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/>
  </bookViews>
  <sheets>
    <sheet name="Sheet1" sheetId="1" r:id="rId1"/>
    <sheet name="Sheet2" sheetId="2" r:id="rId2"/>
  </sheets>
  <definedNames>
    <definedName name="_xlnm._FilterDatabase" localSheetId="0" hidden="1">Sheet1!$A$1:$J$477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加盟商、经销商无自主返利</t>
        </r>
      </text>
    </comment>
    <comment ref="L1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加盟商、经销商无自主返利</t>
        </r>
      </text>
    </comment>
    <comment ref="L2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2022.7.2标价上涨（6.25工厂）</t>
        </r>
      </text>
    </comment>
    <comment ref="D2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2022.7.2标价上涨（6.25工厂）</t>
        </r>
      </text>
    </comment>
    <comment ref="L3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  <comment ref="H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加盟商、经销商无自主返利</t>
        </r>
      </text>
    </comment>
    <comment ref="H2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2022.7.2标价上涨（6.25工厂）</t>
        </r>
      </text>
    </comment>
    <comment ref="I3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不适用能效 商务局说按二级</t>
        </r>
      </text>
    </comment>
  </commentList>
</comments>
</file>

<file path=xl/sharedStrings.xml><?xml version="1.0" encoding="utf-8"?>
<sst xmlns="http://schemas.openxmlformats.org/spreadsheetml/2006/main" count="3534" uniqueCount="1001">
  <si>
    <t>序号</t>
  </si>
  <si>
    <t>商品条码</t>
  </si>
  <si>
    <t>品牌名称</t>
  </si>
  <si>
    <t>商品型号</t>
  </si>
  <si>
    <t>能效标识</t>
  </si>
  <si>
    <t>类型</t>
  </si>
  <si>
    <t>国补刷单的能效标识</t>
  </si>
  <si>
    <t>备注</t>
  </si>
  <si>
    <t>型号</t>
  </si>
  <si>
    <t>6920971957629</t>
  </si>
  <si>
    <t>A.O.史密斯</t>
  </si>
  <si>
    <t>L1PB20-V3</t>
  </si>
  <si>
    <t>采暖炉</t>
  </si>
  <si>
    <t>EWH-6B2</t>
  </si>
  <si>
    <t>6920971957582</t>
  </si>
  <si>
    <t>L1PB26-V3</t>
  </si>
  <si>
    <t>EWH-10A2</t>
  </si>
  <si>
    <t>6920971958954</t>
  </si>
  <si>
    <t>L1PB33-V3</t>
  </si>
  <si>
    <t>EWH-10B2</t>
  </si>
  <si>
    <t>6920971961817</t>
  </si>
  <si>
    <t>L1PB26-V9</t>
  </si>
  <si>
    <t>EWH-6C2</t>
  </si>
  <si>
    <t>6920971961824</t>
  </si>
  <si>
    <t>L1PB33-V9</t>
  </si>
  <si>
    <t>CEWH-60A0</t>
  </si>
  <si>
    <t>6920971961831</t>
  </si>
  <si>
    <t>L1PB37-V9</t>
  </si>
  <si>
    <t>CEWH-80A0</t>
  </si>
  <si>
    <t>6920971962760</t>
  </si>
  <si>
    <t>LL1GBQ24-V10</t>
  </si>
  <si>
    <t>CEWH-60BS-B</t>
  </si>
  <si>
    <t>6920971962777</t>
  </si>
  <si>
    <t>LL1GBQ33-V10</t>
  </si>
  <si>
    <t>CEWH-50D0</t>
  </si>
  <si>
    <t>6920971964672</t>
  </si>
  <si>
    <t>LL1GBQ24-V11</t>
  </si>
  <si>
    <t>CEWH-60D0</t>
  </si>
  <si>
    <t>6920971964689</t>
  </si>
  <si>
    <t>LL1GBQ33-V11</t>
  </si>
  <si>
    <t>CEWH-60D0B</t>
  </si>
  <si>
    <t>6920971962876</t>
  </si>
  <si>
    <t>L1PB26-CA</t>
  </si>
  <si>
    <t>CEWH-80D0</t>
  </si>
  <si>
    <t>6920971970918</t>
  </si>
  <si>
    <t>L1PB20-A1</t>
  </si>
  <si>
    <t>CEWH-60D1BWi</t>
  </si>
  <si>
    <t>6920971970925</t>
  </si>
  <si>
    <t>L1PB26-A1</t>
  </si>
  <si>
    <t>CEWH-60D1Wi</t>
  </si>
  <si>
    <t>6920971969509</t>
  </si>
  <si>
    <t>L1PB26-S9</t>
  </si>
  <si>
    <t>CEWH-80D1Wi</t>
  </si>
  <si>
    <t>6920971969516</t>
  </si>
  <si>
    <t>L1PB33-S9</t>
  </si>
  <si>
    <t>CEWH-50AS</t>
  </si>
  <si>
    <t>6920971969523</t>
  </si>
  <si>
    <t>L1PB37-S9</t>
  </si>
  <si>
    <t>CEWH-60AS</t>
  </si>
  <si>
    <t>6920971972820</t>
  </si>
  <si>
    <t>LN1GBQ26-N10</t>
  </si>
  <si>
    <t>CEWH-80AS</t>
  </si>
  <si>
    <t>6920971972875</t>
  </si>
  <si>
    <t>LN1GBQ35-N10</t>
  </si>
  <si>
    <t>CEWH-60PB</t>
  </si>
  <si>
    <t>6920971964634</t>
  </si>
  <si>
    <t>LL1GBQ24-S10</t>
  </si>
  <si>
    <t>CEWH-60PA</t>
  </si>
  <si>
    <t>6920971964641</t>
  </si>
  <si>
    <t>LL1GBQ33-S10</t>
  </si>
  <si>
    <t>CEWH-80PA</t>
  </si>
  <si>
    <t>6920971964658</t>
  </si>
  <si>
    <t>LL1GBQ24-S11</t>
  </si>
  <si>
    <t>CEWH-50D3Wi</t>
  </si>
  <si>
    <t>6920971964665</t>
  </si>
  <si>
    <t>LL1GBQ33-S11</t>
  </si>
  <si>
    <t>CEWH-60D3Wi</t>
  </si>
  <si>
    <t>6920971975692</t>
  </si>
  <si>
    <t>LL1GBQ24-E10</t>
  </si>
  <si>
    <t>CEWH-60D3BWi</t>
  </si>
  <si>
    <t>6920971975708</t>
  </si>
  <si>
    <t>LL1GBQ33-E10</t>
  </si>
  <si>
    <t>CEWH-80D3Wi</t>
  </si>
  <si>
    <t>6920971977023</t>
  </si>
  <si>
    <t>LL1GBQ24-E10Ai</t>
  </si>
  <si>
    <t>EWH-50DA</t>
  </si>
  <si>
    <t>6920971977030</t>
  </si>
  <si>
    <t>LL1GBQ33-E10Ai</t>
  </si>
  <si>
    <t>EWH-60DA</t>
  </si>
  <si>
    <t>6920971976729</t>
  </si>
  <si>
    <t>LL1GBQ24-E11</t>
  </si>
  <si>
    <t>EWH-80DA</t>
  </si>
  <si>
    <t>6920971976736</t>
  </si>
  <si>
    <t>LL1GBQ33-E11</t>
  </si>
  <si>
    <t>CEWH-60G</t>
  </si>
  <si>
    <t>6920971977047</t>
  </si>
  <si>
    <t>LL1GBQ24-E11Ai</t>
  </si>
  <si>
    <t>CEWH-60GA</t>
  </si>
  <si>
    <t>6920971977054</t>
  </si>
  <si>
    <t>LL1GBQ33-E11Ai</t>
  </si>
  <si>
    <t>CEWH-80GA</t>
  </si>
  <si>
    <t>6920971973230</t>
  </si>
  <si>
    <t>LL1GBQ24-SG2</t>
  </si>
  <si>
    <t>CEWH-60GWi</t>
  </si>
  <si>
    <t>6920971973247</t>
  </si>
  <si>
    <t>LL1GBQ33-SG2</t>
  </si>
  <si>
    <t>CEWH-80GWi</t>
  </si>
  <si>
    <t>6920971969905</t>
  </si>
  <si>
    <t>LN1GBQ52-S15</t>
  </si>
  <si>
    <t>CEWH-80K</t>
  </si>
  <si>
    <t>6920971969912</t>
  </si>
  <si>
    <t>LN1GBQ65-S15</t>
  </si>
  <si>
    <t>CEWH-100K</t>
  </si>
  <si>
    <t>6951142566234</t>
  </si>
  <si>
    <t>R1200HWi-E</t>
  </si>
  <si>
    <t>净水机</t>
  </si>
  <si>
    <t>CEWH-60KBWi</t>
  </si>
  <si>
    <t>6951142564353</t>
  </si>
  <si>
    <t>R1400XF2</t>
  </si>
  <si>
    <t>CEWH-60KWi</t>
  </si>
  <si>
    <t>6951142564476</t>
  </si>
  <si>
    <t>R1700XF2</t>
  </si>
  <si>
    <t>CEWH-80KWi</t>
  </si>
  <si>
    <t>6951142565923</t>
  </si>
  <si>
    <t>R1700XF1</t>
  </si>
  <si>
    <t>CEWH-100KWi</t>
  </si>
  <si>
    <t>6951142565916</t>
  </si>
  <si>
    <t>R2000XF1</t>
  </si>
  <si>
    <t>CEWH-50D5Wi</t>
  </si>
  <si>
    <t>6951142566166</t>
  </si>
  <si>
    <t>R1400F</t>
  </si>
  <si>
    <t>CEWH-60D5Wi</t>
  </si>
  <si>
    <t>6951142566159</t>
  </si>
  <si>
    <t>R1700FWi</t>
  </si>
  <si>
    <t>CEWH-60D5BWi</t>
  </si>
  <si>
    <t>6951142566630</t>
  </si>
  <si>
    <t>R1600SWi</t>
  </si>
  <si>
    <t>CEWH-80D5Wi</t>
  </si>
  <si>
    <t>6951142566647</t>
  </si>
  <si>
    <t>R1800SWi</t>
  </si>
  <si>
    <t>CEWH-60TKBWi</t>
  </si>
  <si>
    <t>6951142566142</t>
  </si>
  <si>
    <t>R2000FWi</t>
  </si>
  <si>
    <t>CEWH-60TKWi</t>
  </si>
  <si>
    <t>6951142563400</t>
  </si>
  <si>
    <t>R1800RC9</t>
  </si>
  <si>
    <t>CEWH-80TKWi</t>
  </si>
  <si>
    <t>6951142563431</t>
  </si>
  <si>
    <t>R2500RC3</t>
  </si>
  <si>
    <t>CEWH-60WKWi</t>
  </si>
  <si>
    <t>6951142563417</t>
  </si>
  <si>
    <t>R2000RC9</t>
  </si>
  <si>
    <t>CEWH-80WKWi</t>
  </si>
  <si>
    <t>6951142563424</t>
  </si>
  <si>
    <t>R2300RC9</t>
  </si>
  <si>
    <t>CEWH-60WKBWi</t>
  </si>
  <si>
    <t>6951142565428</t>
  </si>
  <si>
    <t>R2000AB2</t>
  </si>
  <si>
    <t>EWH-60HGVWi</t>
  </si>
  <si>
    <t>6951142565411</t>
  </si>
  <si>
    <t>R1600AB2</t>
  </si>
  <si>
    <t>EWH-80HGVWi</t>
  </si>
  <si>
    <t>6951142565664</t>
  </si>
  <si>
    <t>R2500AB1</t>
  </si>
  <si>
    <t>EWH-60HG</t>
  </si>
  <si>
    <t>6951142565794</t>
  </si>
  <si>
    <t>R4000AB1</t>
  </si>
  <si>
    <t>EWH-80HG</t>
  </si>
  <si>
    <t>6951142565695</t>
  </si>
  <si>
    <t>R2500AB2</t>
  </si>
  <si>
    <t>EWH-60HGM</t>
  </si>
  <si>
    <t>6951142565800</t>
  </si>
  <si>
    <t>R3000AB1</t>
  </si>
  <si>
    <t>EWH-80HGM</t>
  </si>
  <si>
    <t>6951142566005</t>
  </si>
  <si>
    <t>R1600DWWi</t>
  </si>
  <si>
    <t>EWH-60HGMAi</t>
  </si>
  <si>
    <t>6951142566012</t>
  </si>
  <si>
    <t>R2000DWWi</t>
  </si>
  <si>
    <t>EWH-80HGMAi</t>
  </si>
  <si>
    <t>6951142566029</t>
  </si>
  <si>
    <t>R2500DWAi</t>
  </si>
  <si>
    <t>EWH-60HGMWi</t>
  </si>
  <si>
    <t>6951142564650</t>
  </si>
  <si>
    <t>DR1600HB7</t>
  </si>
  <si>
    <t>EWH-80HGMWi</t>
  </si>
  <si>
    <t>6951142566432</t>
  </si>
  <si>
    <t>DR1600FS</t>
  </si>
  <si>
    <t>EWH-60HGC</t>
  </si>
  <si>
    <t>6951142564698</t>
  </si>
  <si>
    <t>DR2000HF1</t>
  </si>
  <si>
    <t>EWH-80HGC</t>
  </si>
  <si>
    <t>6951142565527</t>
  </si>
  <si>
    <t>DR2000HF2</t>
  </si>
  <si>
    <t>EWH-60THCWi</t>
  </si>
  <si>
    <t>6951142565756</t>
  </si>
  <si>
    <t>DR1600HF2</t>
  </si>
  <si>
    <t>EWH-80THCWi</t>
  </si>
  <si>
    <t>6951142565749</t>
  </si>
  <si>
    <t>DR1800HF2</t>
  </si>
  <si>
    <t>EWH-60WHCWi</t>
  </si>
  <si>
    <t>6951142565770</t>
  </si>
  <si>
    <t>DR1600HF1</t>
  </si>
  <si>
    <t>EWH-80WHCWi</t>
  </si>
  <si>
    <t>6951142565787</t>
  </si>
  <si>
    <t>DR1800HF1</t>
  </si>
  <si>
    <t>EWH-60HGCAi</t>
  </si>
  <si>
    <t>6951142566364</t>
  </si>
  <si>
    <t>DR1600FAi</t>
  </si>
  <si>
    <t>EWH-80HGCAi</t>
  </si>
  <si>
    <t>6951142566357</t>
  </si>
  <si>
    <t>DR1800FAi</t>
  </si>
  <si>
    <t>EWH-60HGCWi</t>
  </si>
  <si>
    <t>6951142566340</t>
  </si>
  <si>
    <t>DR2000FAi</t>
  </si>
  <si>
    <t>EWH-80HGCWi</t>
  </si>
  <si>
    <t>6951142566333</t>
  </si>
  <si>
    <t>DR1600FWi</t>
  </si>
  <si>
    <t>EWH-60HGA</t>
  </si>
  <si>
    <t>6951142566326</t>
  </si>
  <si>
    <t>DR1800FWi</t>
  </si>
  <si>
    <t>EWH-80HGA</t>
  </si>
  <si>
    <t>6951142566593</t>
  </si>
  <si>
    <t>DR1800SWi</t>
  </si>
  <si>
    <t>EWH-60HGAWi</t>
  </si>
  <si>
    <t>6951142566319</t>
  </si>
  <si>
    <t>DR2000FWi</t>
  </si>
  <si>
    <t>EWH-80HGAWi</t>
  </si>
  <si>
    <t>6951142565817</t>
  </si>
  <si>
    <t>DR2000DC2</t>
  </si>
  <si>
    <t>EWH-60HGKWi</t>
  </si>
  <si>
    <t>6951142565688</t>
  </si>
  <si>
    <t>DR2000DC1</t>
  </si>
  <si>
    <t>EWH-80HGKWi</t>
  </si>
  <si>
    <t>6951142565671</t>
  </si>
  <si>
    <t>DR2500DC1</t>
  </si>
  <si>
    <t>EWH-60HGKAi</t>
  </si>
  <si>
    <t>6951142565824</t>
  </si>
  <si>
    <t>DR4000DC1</t>
  </si>
  <si>
    <t>EWH-80HGKAi</t>
  </si>
  <si>
    <t>6951142566654</t>
  </si>
  <si>
    <t>R1600HX1</t>
  </si>
  <si>
    <t>CEWH-40R1S</t>
  </si>
  <si>
    <t>6951142566661</t>
  </si>
  <si>
    <t>DR1600FS-W</t>
  </si>
  <si>
    <t>CEWH-50R1S</t>
  </si>
  <si>
    <t>6951142566708</t>
  </si>
  <si>
    <t>DR2000DWWi</t>
  </si>
  <si>
    <t>CEWH-60R1S</t>
  </si>
  <si>
    <t>6951142566685</t>
  </si>
  <si>
    <t>DR2500DWAi</t>
  </si>
  <si>
    <t>CEWHR-50PE8</t>
  </si>
  <si>
    <t>6951142590994</t>
  </si>
  <si>
    <t>BZR100-A3101</t>
  </si>
  <si>
    <t>CEWHR-60PE8</t>
  </si>
  <si>
    <t>6951142591021</t>
  </si>
  <si>
    <t>BZR100-A3103</t>
  </si>
  <si>
    <t>CEWHR-80PE8</t>
  </si>
  <si>
    <t>6951142591182</t>
  </si>
  <si>
    <t>BZR100-A3201</t>
  </si>
  <si>
    <t>CEWHR-40PEWi</t>
  </si>
  <si>
    <t>6951142591229</t>
  </si>
  <si>
    <t>BZR100-A3301</t>
  </si>
  <si>
    <t>CEWHR-50PEWi</t>
  </si>
  <si>
    <t>6951142590383</t>
  </si>
  <si>
    <t>BZR100-A2111</t>
  </si>
  <si>
    <t>CEWHR-60PEWi</t>
  </si>
  <si>
    <t>6951142590345</t>
  </si>
  <si>
    <t>BZR100-A2117</t>
  </si>
  <si>
    <t>CEWHR-80PEWi</t>
  </si>
  <si>
    <t>6951142590987</t>
  </si>
  <si>
    <t>BZR800-T6H</t>
  </si>
  <si>
    <t>EWH-40MINIWi</t>
  </si>
  <si>
    <t>6951142591403</t>
  </si>
  <si>
    <t>BCR800-H6101</t>
  </si>
  <si>
    <t>E50VDS</t>
  </si>
  <si>
    <t>6951142590901</t>
  </si>
  <si>
    <t>BZR800-S5</t>
  </si>
  <si>
    <t>E60VDS</t>
  </si>
  <si>
    <t>6951142590284</t>
  </si>
  <si>
    <t>BZR800-S1</t>
  </si>
  <si>
    <t>E80VDS</t>
  </si>
  <si>
    <t>6951142591168</t>
  </si>
  <si>
    <t>BG-H6</t>
  </si>
  <si>
    <t>E60VC0</t>
  </si>
  <si>
    <t>6951142591151</t>
  </si>
  <si>
    <t>BZR600-A6101</t>
  </si>
  <si>
    <t>E60VC0-B</t>
  </si>
  <si>
    <t>6951142591373</t>
  </si>
  <si>
    <t>BZR600-S6</t>
  </si>
  <si>
    <t>E80VC0</t>
  </si>
  <si>
    <t>6951142591458</t>
  </si>
  <si>
    <t>BZR1000-T801</t>
  </si>
  <si>
    <t>EESR-20C8</t>
  </si>
  <si>
    <t>6951142591434</t>
  </si>
  <si>
    <t>BZR1000-T806</t>
  </si>
  <si>
    <t>EESR-25C8</t>
  </si>
  <si>
    <t>6951142566777</t>
  </si>
  <si>
    <t>DR1600FS1</t>
  </si>
  <si>
    <t>EES-50-6</t>
  </si>
  <si>
    <t>不适用能效</t>
  </si>
  <si>
    <t>6951142566890</t>
  </si>
  <si>
    <t>ER1600BWi</t>
  </si>
  <si>
    <t>净水器</t>
  </si>
  <si>
    <t>EES-80-6</t>
  </si>
  <si>
    <t>6920971975944</t>
  </si>
  <si>
    <t>松下</t>
  </si>
  <si>
    <t>J13AKR10X</t>
  </si>
  <si>
    <t>空调</t>
  </si>
  <si>
    <t>EES-120-6</t>
  </si>
  <si>
    <t>6920971975166</t>
  </si>
  <si>
    <t>JZT-F5B2</t>
  </si>
  <si>
    <t>燃气灶</t>
  </si>
  <si>
    <t>EES-30D</t>
  </si>
  <si>
    <t>6920971972356</t>
  </si>
  <si>
    <t>JZT-K5G1</t>
  </si>
  <si>
    <t>EES-40D</t>
  </si>
  <si>
    <t>6920971971595</t>
  </si>
  <si>
    <t>JZT-V2B1</t>
  </si>
  <si>
    <t>EES-50D</t>
  </si>
  <si>
    <t>6920971960797</t>
  </si>
  <si>
    <t>JZT-F3B1</t>
  </si>
  <si>
    <t>EES-80D</t>
  </si>
  <si>
    <t>6920971975715</t>
  </si>
  <si>
    <t>JZT-V2B1S</t>
  </si>
  <si>
    <t>ACWP-15AE1</t>
  </si>
  <si>
    <t>6920971975036</t>
  </si>
  <si>
    <t>JZY-F3B1S</t>
  </si>
  <si>
    <t>ACWP-20AE1</t>
  </si>
  <si>
    <t>6920971975005</t>
  </si>
  <si>
    <t>JZT-F3B1S</t>
  </si>
  <si>
    <t>S05T-A1</t>
  </si>
  <si>
    <t>6920971964504</t>
  </si>
  <si>
    <t>JZT-F3B2</t>
  </si>
  <si>
    <t>S05T-A2</t>
  </si>
  <si>
    <t>6920971975012</t>
  </si>
  <si>
    <t>JZT-F3B2S</t>
  </si>
  <si>
    <t>S12A1</t>
  </si>
  <si>
    <t>6920971980511</t>
  </si>
  <si>
    <t>JZT-V2B2S</t>
  </si>
  <si>
    <t>S12K1</t>
  </si>
  <si>
    <t>6920971979911</t>
  </si>
  <si>
    <t>JZT-F5B1</t>
  </si>
  <si>
    <t>S25K1</t>
  </si>
  <si>
    <t>6920971980030</t>
  </si>
  <si>
    <t>JZT-F3B1S+</t>
  </si>
  <si>
    <t>PF25C1</t>
  </si>
  <si>
    <t>6920971980047</t>
  </si>
  <si>
    <t>JZY-F3B1S+</t>
  </si>
  <si>
    <t>PF-B1</t>
  </si>
  <si>
    <t>6920971981853</t>
  </si>
  <si>
    <t>JZT-F3B2S+</t>
  </si>
  <si>
    <t>PF-DA1</t>
  </si>
  <si>
    <t>6920971962647</t>
  </si>
  <si>
    <t>热水器</t>
  </si>
  <si>
    <t>APM-HC1</t>
  </si>
  <si>
    <t>6920971962654</t>
  </si>
  <si>
    <t>R1200CD1</t>
  </si>
  <si>
    <t>6920971966423</t>
  </si>
  <si>
    <t>R1200BG1</t>
  </si>
  <si>
    <t>6920971965617</t>
  </si>
  <si>
    <t>6920971965631</t>
  </si>
  <si>
    <t>6920971965648</t>
  </si>
  <si>
    <t>6920971970796</t>
  </si>
  <si>
    <t>6920971964948</t>
  </si>
  <si>
    <t>6920971964955</t>
  </si>
  <si>
    <t>R1700FWi-E</t>
  </si>
  <si>
    <t>6920971980313</t>
  </si>
  <si>
    <t>6920971980337</t>
  </si>
  <si>
    <t>6920971980320</t>
  </si>
  <si>
    <t>R2500SWi</t>
  </si>
  <si>
    <t>6920971980344</t>
  </si>
  <si>
    <t>6920971958411</t>
  </si>
  <si>
    <t>6920971958435</t>
  </si>
  <si>
    <t>6920971958459</t>
  </si>
  <si>
    <t>6920971961138</t>
  </si>
  <si>
    <t>6920971973254</t>
  </si>
  <si>
    <t>6920971973261</t>
  </si>
  <si>
    <t>6920971978204</t>
  </si>
  <si>
    <t>6920971978211</t>
  </si>
  <si>
    <t>6920971964214</t>
  </si>
  <si>
    <t>6920971978228</t>
  </si>
  <si>
    <t>R3000AB2</t>
  </si>
  <si>
    <t>6920971978242</t>
  </si>
  <si>
    <t>6920971978259</t>
  </si>
  <si>
    <t>6920971978235</t>
  </si>
  <si>
    <t>6920971980351</t>
  </si>
  <si>
    <t>6920971980375</t>
  </si>
  <si>
    <t>6920971980368</t>
  </si>
  <si>
    <t>6920971980382</t>
  </si>
  <si>
    <t>6920971979447</t>
  </si>
  <si>
    <t>DR1600SS2</t>
  </si>
  <si>
    <t>6920971979454</t>
  </si>
  <si>
    <t>6920971979461</t>
  </si>
  <si>
    <t>6920971979638</t>
  </si>
  <si>
    <t>6920971979645</t>
  </si>
  <si>
    <t>6920971979621</t>
  </si>
  <si>
    <t>6920971975326</t>
  </si>
  <si>
    <t>6920971975340</t>
  </si>
  <si>
    <t>6920971976231</t>
  </si>
  <si>
    <t>6920971976248</t>
  </si>
  <si>
    <t>6920971976378</t>
  </si>
  <si>
    <t>6920971976385</t>
  </si>
  <si>
    <t>6920971972110</t>
  </si>
  <si>
    <t>DR1600SWi</t>
  </si>
  <si>
    <t>6920971972141</t>
  </si>
  <si>
    <t>6920971979423</t>
  </si>
  <si>
    <t>DR2500SWi</t>
  </si>
  <si>
    <t>6920971979430</t>
  </si>
  <si>
    <t>6920971980016</t>
  </si>
  <si>
    <t>6920971980023</t>
  </si>
  <si>
    <t>6920971976262</t>
  </si>
  <si>
    <t>6920971976279</t>
  </si>
  <si>
    <t>6920971976446</t>
  </si>
  <si>
    <t>6920971976453</t>
  </si>
  <si>
    <t>6920971972158</t>
  </si>
  <si>
    <t>EWH-80HGP</t>
  </si>
  <si>
    <t>6920971972103</t>
  </si>
  <si>
    <t>KJ455F-C15-F+</t>
  </si>
  <si>
    <t>未查到此型号</t>
  </si>
  <si>
    <t>6920971972134</t>
  </si>
  <si>
    <t>KJ800F-C15-PF+</t>
  </si>
  <si>
    <t>6920971976996</t>
  </si>
  <si>
    <t>KJ455F-C15-PFWi</t>
  </si>
  <si>
    <t>6920971977009</t>
  </si>
  <si>
    <t>KJ800F-C15-PFWi</t>
  </si>
  <si>
    <t>6920971976972</t>
  </si>
  <si>
    <t>JSQ26-CLAX</t>
  </si>
  <si>
    <t>6920971976989</t>
  </si>
  <si>
    <t>JSQ31-CLAX</t>
  </si>
  <si>
    <t>6920971951177</t>
  </si>
  <si>
    <t>JSQ31-MN5</t>
  </si>
  <si>
    <t>6920971951115</t>
  </si>
  <si>
    <t>JSQ26-CLD</t>
  </si>
  <si>
    <t>6920971951122</t>
  </si>
  <si>
    <t>JSQ31-CLD</t>
  </si>
  <si>
    <t>6920971939229</t>
  </si>
  <si>
    <t>JSQ31-CLB</t>
  </si>
  <si>
    <t>6920971939236</t>
  </si>
  <si>
    <t>JSQ31-FSCWi</t>
  </si>
  <si>
    <t>6920971939243</t>
  </si>
  <si>
    <t>JSQ26-TACWi</t>
  </si>
  <si>
    <t>6920971978648</t>
  </si>
  <si>
    <t>JSQ31-TACWi</t>
  </si>
  <si>
    <t>6920971978655</t>
  </si>
  <si>
    <t>JSQ26-ASCWi</t>
  </si>
  <si>
    <t>6920971978662</t>
  </si>
  <si>
    <t>JSQ31-ASCWi</t>
  </si>
  <si>
    <t>6920971978679</t>
  </si>
  <si>
    <t>JSQ26-WACWi</t>
  </si>
  <si>
    <t>6920971978600</t>
  </si>
  <si>
    <t>JSQ31-WACWi</t>
  </si>
  <si>
    <t>6920971956431</t>
  </si>
  <si>
    <t>JSQ26-CSCX</t>
  </si>
  <si>
    <t>6920971956448</t>
  </si>
  <si>
    <t>JSQ31-CSCX</t>
  </si>
  <si>
    <t>6920971956455</t>
  </si>
  <si>
    <t>JSQ31-CSCAi</t>
  </si>
  <si>
    <t>6920971970390</t>
  </si>
  <si>
    <t>JSQ26-CSCWi</t>
  </si>
  <si>
    <t>6920971970406</t>
  </si>
  <si>
    <t>JSQ31-CSCWi</t>
  </si>
  <si>
    <t>6920971970413</t>
  </si>
  <si>
    <t>JSLQ28-ACEWi</t>
  </si>
  <si>
    <t>6920971942861</t>
  </si>
  <si>
    <t>JSLQ28-AJEWi</t>
  </si>
  <si>
    <t>6920971942878</t>
  </si>
  <si>
    <t>JSQ26-DSCX</t>
  </si>
  <si>
    <t>6920971937171</t>
  </si>
  <si>
    <t>JSQ31-DSCX</t>
  </si>
  <si>
    <t>6920971937188</t>
  </si>
  <si>
    <t>JSQ26-DSCWi</t>
  </si>
  <si>
    <t>6920971937195</t>
  </si>
  <si>
    <t>JSQ31-DSCWi</t>
  </si>
  <si>
    <t>6920971955465</t>
  </si>
  <si>
    <t>JSQ26-ESCX</t>
  </si>
  <si>
    <t>6920971966287</t>
  </si>
  <si>
    <t>JSQ31-ESCX</t>
  </si>
  <si>
    <t>6920971966294</t>
  </si>
  <si>
    <t>JSQ26-ESCAi</t>
  </si>
  <si>
    <t>6920971975364</t>
  </si>
  <si>
    <t>JSQ31-ESCAi</t>
  </si>
  <si>
    <t>6920971975371</t>
  </si>
  <si>
    <t>JSQ26-ESCWi</t>
  </si>
  <si>
    <t>6920971979201</t>
  </si>
  <si>
    <t>JSQ31-ESCWi</t>
  </si>
  <si>
    <t>6920971979218</t>
  </si>
  <si>
    <t>JSQ31-HSCX</t>
  </si>
  <si>
    <t>6920971978396</t>
  </si>
  <si>
    <t>JSQ31-LN</t>
  </si>
  <si>
    <t>6920971978402</t>
  </si>
  <si>
    <t>JSQ31-LNWi</t>
  </si>
  <si>
    <t>6920971979737</t>
  </si>
  <si>
    <t>JSW26-OSX</t>
  </si>
  <si>
    <t>6920971979744</t>
  </si>
  <si>
    <t>JSW33-OSX</t>
  </si>
  <si>
    <t>6920971973704</t>
  </si>
  <si>
    <t>JSW26-VOSX</t>
  </si>
  <si>
    <t>6920971961008</t>
  </si>
  <si>
    <t>JSW33-VOSX</t>
  </si>
  <si>
    <t>6920971960841</t>
  </si>
  <si>
    <t>JSW31-VOSWi</t>
  </si>
  <si>
    <t>6920971975494</t>
  </si>
  <si>
    <t>JSQ26-AJSX</t>
  </si>
  <si>
    <t>6920971976804</t>
  </si>
  <si>
    <t>JSQ31-AJSX</t>
  </si>
  <si>
    <t>6920971976811</t>
  </si>
  <si>
    <t>JSQ31-BJS</t>
  </si>
  <si>
    <t>6920971980603</t>
  </si>
  <si>
    <t>JSQ31-BJSWi</t>
  </si>
  <si>
    <t>6920971980856</t>
  </si>
  <si>
    <t>JSQ31-DJSWi</t>
  </si>
  <si>
    <t>6920971961022</t>
  </si>
  <si>
    <t>JSQ31-WDJWi</t>
  </si>
  <si>
    <t>6920971960865</t>
  </si>
  <si>
    <t>JSQ26-VJSX</t>
  </si>
  <si>
    <t>6920971978334</t>
  </si>
  <si>
    <t>JSQ31-WVJWi</t>
  </si>
  <si>
    <t>6920971978341</t>
  </si>
  <si>
    <t>JSQ31-TVJWi</t>
  </si>
  <si>
    <t>6920971961046</t>
  </si>
  <si>
    <t>JSQ31-VJSWi</t>
  </si>
  <si>
    <t>6920971960889</t>
  </si>
  <si>
    <t>JSQ31-VJSAi</t>
  </si>
  <si>
    <t>6920971976309</t>
  </si>
  <si>
    <t>JSQ31-UJSWi</t>
  </si>
  <si>
    <t>6920971976323</t>
  </si>
  <si>
    <t>JSQ33-JSX</t>
  </si>
  <si>
    <t>6920971976903</t>
  </si>
  <si>
    <t>JSQ33-MJSX</t>
  </si>
  <si>
    <t>6920971976910</t>
  </si>
  <si>
    <t>JSQ40-MJSX</t>
  </si>
  <si>
    <t>6920971958633</t>
  </si>
  <si>
    <t>JSQ48-MJSX</t>
  </si>
  <si>
    <t>6920971974930</t>
  </si>
  <si>
    <t>JSQ40-MJSAi</t>
  </si>
  <si>
    <t>6920971978495</t>
  </si>
  <si>
    <t>JSQ48-MJSAi</t>
  </si>
  <si>
    <t>6920971961923</t>
  </si>
  <si>
    <t>JSQ40-MJSWi</t>
  </si>
  <si>
    <t>6920971961916</t>
  </si>
  <si>
    <t>JSQ48-MJSWi</t>
  </si>
  <si>
    <t>6920971964917</t>
  </si>
  <si>
    <t>JSLQ34-LJEWi</t>
  </si>
  <si>
    <t>6920971974909</t>
  </si>
  <si>
    <t>JSQ40-SJSX</t>
  </si>
  <si>
    <t>6920971976408</t>
  </si>
  <si>
    <t>JSQ40-SJSAi</t>
  </si>
  <si>
    <t>6920971978419</t>
  </si>
  <si>
    <t>JSQ48-SJSAi</t>
  </si>
  <si>
    <t>6920971979751</t>
  </si>
  <si>
    <t>JSQ31-QJS</t>
  </si>
  <si>
    <t>6920971979713</t>
  </si>
  <si>
    <t>JSQ31-TDJWi</t>
  </si>
  <si>
    <t>JSQ31-QJSAi</t>
  </si>
  <si>
    <t>6920971960643</t>
  </si>
  <si>
    <t>JSQ31-RSC</t>
  </si>
  <si>
    <t>6920971960674</t>
  </si>
  <si>
    <t>JSQ31-VJSX</t>
  </si>
  <si>
    <t>JSQ31-RJS</t>
  </si>
  <si>
    <t>6920971979768</t>
  </si>
  <si>
    <t>JSQ31-RJSAi</t>
  </si>
  <si>
    <t>6920971979720</t>
  </si>
  <si>
    <t>JSQ36-RJSAi</t>
  </si>
  <si>
    <t>6920971976873</t>
  </si>
  <si>
    <t>EMGP-50C</t>
  </si>
  <si>
    <t>6920971974602</t>
  </si>
  <si>
    <t>EMGP-75C</t>
  </si>
  <si>
    <t>6920971978440</t>
  </si>
  <si>
    <t>EMGO-50C</t>
  </si>
  <si>
    <t>6920971948221</t>
  </si>
  <si>
    <t>EMGO-75C</t>
  </si>
  <si>
    <t>6920971959647</t>
  </si>
  <si>
    <t>HPW-60A3</t>
  </si>
  <si>
    <t>6920971963774</t>
  </si>
  <si>
    <t>HPW-80A3</t>
  </si>
  <si>
    <t>6920971963781</t>
  </si>
  <si>
    <t>HPI-40C1.0A</t>
  </si>
  <si>
    <t>6920971977979</t>
  </si>
  <si>
    <t>HPI-40D1.0B</t>
  </si>
  <si>
    <t>6920971977986</t>
  </si>
  <si>
    <t>HPI-50D1.0B</t>
  </si>
  <si>
    <t>6920971978372</t>
  </si>
  <si>
    <t>HPI-50G1.5AWi</t>
  </si>
  <si>
    <t>6920971978389</t>
  </si>
  <si>
    <t>HPI-40C1.0B</t>
  </si>
  <si>
    <t>6920971962746</t>
  </si>
  <si>
    <t>HPI-50C1.0B</t>
  </si>
  <si>
    <t>6920971962753</t>
  </si>
  <si>
    <t>JSQ48-SJSX</t>
  </si>
  <si>
    <t>HPA-40D1.0Q</t>
  </si>
  <si>
    <t>6920971978013</t>
  </si>
  <si>
    <t>HPA-50D1.0Q</t>
  </si>
  <si>
    <t>6920971978020</t>
  </si>
  <si>
    <t>HPA-50G1.5AWi</t>
  </si>
  <si>
    <t>6920971972950</t>
  </si>
  <si>
    <t>HPA-80D2.0A</t>
  </si>
  <si>
    <t>6920971976866</t>
  </si>
  <si>
    <t>HPA-120D2.0A</t>
  </si>
  <si>
    <t>6920971975173</t>
  </si>
  <si>
    <t>CAHP1.5D-80-6-W</t>
  </si>
  <si>
    <t>6920971973667</t>
  </si>
  <si>
    <t>CAHP1.5D-80-12-W</t>
  </si>
  <si>
    <t>6920971976859</t>
  </si>
  <si>
    <t>CAHP1.5D-120-6-W</t>
  </si>
  <si>
    <t>6920971946135</t>
  </si>
  <si>
    <t>CAHP1.5D-120-12-W</t>
  </si>
  <si>
    <t>6920971946142</t>
  </si>
  <si>
    <t>CAHP2.0C-80-6-W</t>
  </si>
  <si>
    <t>6920971959524</t>
  </si>
  <si>
    <t>CAHP2.0C-80-6S-W</t>
  </si>
  <si>
    <t>6920971959531</t>
  </si>
  <si>
    <t>CAHP2.0C-120-6-W</t>
  </si>
  <si>
    <t>6920971957674</t>
  </si>
  <si>
    <t>CAHP2.0C-120-6S-W</t>
  </si>
  <si>
    <t>6920971957650</t>
  </si>
  <si>
    <t>CAHP2.0-80-6</t>
  </si>
  <si>
    <t>6920971943899</t>
  </si>
  <si>
    <t>CAHP2.0-80-12</t>
  </si>
  <si>
    <t>6920971943929</t>
  </si>
  <si>
    <t>CAHP2.0-120-6</t>
  </si>
  <si>
    <t>6920971943943</t>
  </si>
  <si>
    <t>CAHP2.0-120-12</t>
  </si>
  <si>
    <t>6920971943974</t>
  </si>
  <si>
    <t>HPA-50E1.5Z</t>
  </si>
  <si>
    <t>6920971961978</t>
  </si>
  <si>
    <t>HPA-80E1.5Z</t>
  </si>
  <si>
    <t>6920971961985</t>
  </si>
  <si>
    <t>HPA-80D1.5Z</t>
  </si>
  <si>
    <t>6920971961954</t>
  </si>
  <si>
    <t>HPA-50D1.5Z</t>
  </si>
  <si>
    <t>HPA-50D1.5ZWi</t>
  </si>
  <si>
    <t>6920971961961</t>
  </si>
  <si>
    <t>HPA-80D1.5ZWi</t>
  </si>
  <si>
    <t>6920971980078</t>
  </si>
  <si>
    <t>HPA-50E1.5ZWi</t>
  </si>
  <si>
    <t>6920971980061</t>
  </si>
  <si>
    <t>HPA-80E1.5ZWi</t>
  </si>
  <si>
    <t>6920971980214</t>
  </si>
  <si>
    <t>CAHP120C06</t>
  </si>
  <si>
    <t>6920971970499</t>
  </si>
  <si>
    <t>佳尼特</t>
  </si>
  <si>
    <t>CTE-60M1</t>
  </si>
  <si>
    <t>HPA-50D1.5A</t>
  </si>
  <si>
    <t>6920971970482</t>
  </si>
  <si>
    <t>CTE-60E1</t>
  </si>
  <si>
    <t>HPA-50C1.5B</t>
  </si>
  <si>
    <t>6920971966126</t>
  </si>
  <si>
    <t>CTE-80E1</t>
  </si>
  <si>
    <t>HPA-40C1.0B</t>
  </si>
  <si>
    <t>6920971972165</t>
  </si>
  <si>
    <t>CTE-50J1</t>
  </si>
  <si>
    <t>HPA-50C1.0B</t>
  </si>
  <si>
    <t>6920971972172</t>
  </si>
  <si>
    <t>CTE-60J1</t>
  </si>
  <si>
    <t>FS-01A</t>
  </si>
  <si>
    <t>6920971972189</t>
  </si>
  <si>
    <t>CTE-80J1</t>
  </si>
  <si>
    <t>FS-54A</t>
  </si>
  <si>
    <t>6920971972790</t>
  </si>
  <si>
    <t>JSQ31-T2C</t>
  </si>
  <si>
    <t>FS-02E</t>
  </si>
  <si>
    <t>6920971972783</t>
  </si>
  <si>
    <t>JSQ26-T2C</t>
  </si>
  <si>
    <t>FS-02C</t>
  </si>
  <si>
    <t>6920971974022</t>
  </si>
  <si>
    <t>JSQ31-TEC</t>
  </si>
  <si>
    <t>FS-02G</t>
  </si>
  <si>
    <t>6920971973759</t>
  </si>
  <si>
    <t>CTE-60AS</t>
  </si>
  <si>
    <t>HWM-15F</t>
  </si>
  <si>
    <t>6920971973766</t>
  </si>
  <si>
    <t>CTE-80AS</t>
  </si>
  <si>
    <t>HWM-18F</t>
  </si>
  <si>
    <t>6920971973773</t>
  </si>
  <si>
    <t>CTE-60BS</t>
  </si>
  <si>
    <t>CXW-200-Q1</t>
  </si>
  <si>
    <t>6920971973780</t>
  </si>
  <si>
    <t>CTE-60BS-B</t>
  </si>
  <si>
    <t>CXW-200-Q2</t>
  </si>
  <si>
    <t>6920971973797</t>
  </si>
  <si>
    <t>CTE-80BS</t>
  </si>
  <si>
    <t>CXW-200-T5B+</t>
  </si>
  <si>
    <t>6920971981433</t>
  </si>
  <si>
    <t>CXW-200-Q3S+</t>
  </si>
  <si>
    <t>6920971981440</t>
  </si>
  <si>
    <t>CXW-200-Q5S+</t>
  </si>
  <si>
    <t>6920971981457</t>
  </si>
  <si>
    <t>CXW-200-S2</t>
  </si>
  <si>
    <t>6920971979782</t>
  </si>
  <si>
    <t>CXW-200-S3</t>
  </si>
  <si>
    <t>6920971979799</t>
  </si>
  <si>
    <t>CXW-200-S5</t>
  </si>
  <si>
    <t>6920971980207</t>
  </si>
  <si>
    <t>CXW-200-S7</t>
  </si>
  <si>
    <t>6920971982195</t>
  </si>
  <si>
    <t>CXW-200-S9</t>
  </si>
  <si>
    <t>6920971982201</t>
  </si>
  <si>
    <t>CXW-200-Q5SAi</t>
  </si>
  <si>
    <t>6920971982218</t>
  </si>
  <si>
    <t>CXW-200-S3Ai</t>
  </si>
  <si>
    <t>6920971982225</t>
  </si>
  <si>
    <t>CXW-200-Q3AWi</t>
  </si>
  <si>
    <t>6920971933715</t>
  </si>
  <si>
    <t>CXW-200-Q5AWi</t>
  </si>
  <si>
    <t xml:space="preserve">
6920971981556</t>
  </si>
  <si>
    <t>CXW-350-Q2AWi</t>
  </si>
  <si>
    <t>6920971982423</t>
  </si>
  <si>
    <t>CXW-350-Q2CWi</t>
  </si>
  <si>
    <t>6920971974596</t>
  </si>
  <si>
    <t>CXW-350-E3AWi</t>
  </si>
  <si>
    <t>6920971979591</t>
  </si>
  <si>
    <t>CXW-350-V3Wi</t>
  </si>
  <si>
    <t>6920971979584</t>
  </si>
  <si>
    <t>CXW-200-S5CWi</t>
  </si>
  <si>
    <t>6920971973742</t>
  </si>
  <si>
    <t>CTE-50AS</t>
  </si>
  <si>
    <t>CXW-200-S5AWi</t>
  </si>
  <si>
    <t>6920971979690</t>
  </si>
  <si>
    <t>CEWH-60B6A</t>
  </si>
  <si>
    <t>CXW-400-Z3AWi</t>
  </si>
  <si>
    <t>6920971963286</t>
  </si>
  <si>
    <t>JSQ31-C3CX</t>
  </si>
  <si>
    <t>CXW-400-Z5ASWi</t>
  </si>
  <si>
    <t>6920971948689</t>
  </si>
  <si>
    <t>CXW-400-S5CHWi</t>
  </si>
  <si>
    <t>6920971972325</t>
  </si>
  <si>
    <t>吸油烟机</t>
  </si>
  <si>
    <t>CXW-400-S5VWi</t>
  </si>
  <si>
    <t>6920971967390</t>
  </si>
  <si>
    <t>CXW-400-S5AHWi</t>
  </si>
  <si>
    <t>6920971960780</t>
  </si>
  <si>
    <t>CXW-200-Q5</t>
  </si>
  <si>
    <t>6920971972028</t>
  </si>
  <si>
    <t>6920971971946</t>
  </si>
  <si>
    <t>6920971971960</t>
  </si>
  <si>
    <t>6920971974961</t>
  </si>
  <si>
    <t>6920971974978</t>
  </si>
  <si>
    <t>6920971974046</t>
  </si>
  <si>
    <t>6920971974053</t>
  </si>
  <si>
    <t>6920971973650</t>
  </si>
  <si>
    <t>6920971975104</t>
  </si>
  <si>
    <t>6920971975159</t>
  </si>
  <si>
    <t>6920971976941</t>
  </si>
  <si>
    <t>6920971976958</t>
  </si>
  <si>
    <t>JZT-F3G1</t>
  </si>
  <si>
    <t>6920971976965</t>
  </si>
  <si>
    <t>6920971976712</t>
  </si>
  <si>
    <t>6920971980283</t>
  </si>
  <si>
    <t>JCF-11</t>
  </si>
  <si>
    <t>6920971976569</t>
  </si>
  <si>
    <t>6920971976477</t>
  </si>
  <si>
    <t>J27FQ10A</t>
  </si>
  <si>
    <t>6920971981211</t>
  </si>
  <si>
    <t>XQG100-XE0WI</t>
  </si>
  <si>
    <t>6920971981228</t>
  </si>
  <si>
    <t>NH-XAR0WI</t>
  </si>
  <si>
    <t>6920971977924</t>
  </si>
  <si>
    <t>DWQ10-SR3Wi</t>
  </si>
  <si>
    <t>洗碗机</t>
  </si>
  <si>
    <t>Y3000FVSBKT</t>
  </si>
  <si>
    <t>6920971978891</t>
  </si>
  <si>
    <t>DWQ10-SR3HWi</t>
  </si>
  <si>
    <t>Y3000FVSBKB</t>
  </si>
  <si>
    <t>6920971980009</t>
  </si>
  <si>
    <t>DWQ12-SR5Wi</t>
  </si>
  <si>
    <t>APLC-SK</t>
  </si>
  <si>
    <t>6920971977122</t>
  </si>
  <si>
    <t>DWQ15-R3Wi</t>
  </si>
  <si>
    <t>BBJYM-I2</t>
  </si>
  <si>
    <t>6920971978914</t>
  </si>
  <si>
    <t>DWQ15-R3HWi</t>
  </si>
  <si>
    <t>KZQ45-M1Wi</t>
  </si>
  <si>
    <t>6920971980498</t>
  </si>
  <si>
    <t>DWQ17-R5Wi</t>
  </si>
  <si>
    <t>KZQ45-M1HWi</t>
  </si>
  <si>
    <t>6920971982706</t>
  </si>
  <si>
    <t>DWQ15-MR1AWi</t>
  </si>
  <si>
    <t>KZQ45-M5Wi</t>
  </si>
  <si>
    <t>6924898159111</t>
  </si>
  <si>
    <t>洗衣机</t>
  </si>
  <si>
    <t>KZQ45-M3Wi</t>
  </si>
  <si>
    <t>6924898159128</t>
  </si>
  <si>
    <t>6920971930059</t>
  </si>
  <si>
    <t>6920971930066</t>
  </si>
  <si>
    <t>6951142562557</t>
  </si>
  <si>
    <t>6951142562540</t>
  </si>
  <si>
    <t>6951142562878</t>
  </si>
  <si>
    <t>6951142565381</t>
  </si>
  <si>
    <t>6951142565374</t>
  </si>
  <si>
    <t>DWQ15-RJ100Wi</t>
  </si>
  <si>
    <t>6920971960162</t>
  </si>
  <si>
    <t>前置过滤器</t>
  </si>
  <si>
    <t>扩品2级</t>
  </si>
  <si>
    <t>CWT-EP-C01</t>
  </si>
  <si>
    <t>6920971955496</t>
  </si>
  <si>
    <t>XW-K30</t>
  </si>
  <si>
    <t>6951142565909</t>
  </si>
  <si>
    <t>三级</t>
  </si>
  <si>
    <t>空气净化器</t>
  </si>
  <si>
    <t>AQD-AFW</t>
  </si>
  <si>
    <t>6951142565886</t>
  </si>
  <si>
    <t>AJCC-CIP</t>
  </si>
  <si>
    <t>6920971924515</t>
  </si>
  <si>
    <t>APLC-CC3</t>
  </si>
  <si>
    <t>6920971924522</t>
  </si>
  <si>
    <t>AJCC-CIPD</t>
  </si>
  <si>
    <t>6920971924539</t>
  </si>
  <si>
    <t>6920971916701</t>
  </si>
  <si>
    <t>6920971917647</t>
  </si>
  <si>
    <t>6920971916718</t>
  </si>
  <si>
    <t>6920971917678</t>
  </si>
  <si>
    <t>6920971976743</t>
  </si>
  <si>
    <t>蒸烤一体机</t>
  </si>
  <si>
    <t>6920971978952</t>
  </si>
  <si>
    <t>6920971978518</t>
  </si>
  <si>
    <t>6920971977962</t>
  </si>
  <si>
    <t>JSQ36-RSC</t>
  </si>
  <si>
    <t>6951142565831</t>
  </si>
  <si>
    <t>DR3000DC2</t>
  </si>
  <si>
    <t>6951142566753</t>
  </si>
  <si>
    <t>6951142566814</t>
  </si>
  <si>
    <t>6951142566791</t>
  </si>
  <si>
    <t>饮水机</t>
  </si>
  <si>
    <t>6920971982492</t>
  </si>
  <si>
    <t>6951142566395</t>
  </si>
  <si>
    <t>R1800AB1</t>
  </si>
  <si>
    <t>6920971979232</t>
  </si>
  <si>
    <t>R1600H</t>
  </si>
  <si>
    <t>6920971979249</t>
  </si>
  <si>
    <t>6920971964733</t>
  </si>
  <si>
    <t>CXW-200-Q3+</t>
  </si>
  <si>
    <t>6920971983239</t>
  </si>
  <si>
    <t>油烟机</t>
  </si>
  <si>
    <t>L1PBQ20-A5</t>
  </si>
  <si>
    <t>6920971983420</t>
  </si>
  <si>
    <t>L1PBQ26-A5</t>
  </si>
  <si>
    <t>6920971963026</t>
  </si>
  <si>
    <t>6920971963033</t>
  </si>
  <si>
    <t>6920971959340</t>
  </si>
  <si>
    <t>JSQ26-QSX（白）</t>
  </si>
  <si>
    <t>6920971959364</t>
  </si>
  <si>
    <t>JSQ26-QSX（金）</t>
  </si>
  <si>
    <t>6951142566227</t>
  </si>
  <si>
    <t>6951142565855</t>
  </si>
  <si>
    <t>R2000BG1</t>
  </si>
  <si>
    <t>6920971983468</t>
  </si>
  <si>
    <t>6920971980528</t>
  </si>
  <si>
    <t>6951142591953</t>
  </si>
  <si>
    <t>BZR100-A101</t>
  </si>
  <si>
    <t>6951142591977</t>
  </si>
  <si>
    <t>BZR100-A102</t>
  </si>
  <si>
    <t>L1PB33-CA</t>
  </si>
  <si>
    <t>6941545637532</t>
  </si>
  <si>
    <t>萤石</t>
  </si>
  <si>
    <t>智能门锁</t>
  </si>
  <si>
    <t>L1PB37-CA</t>
  </si>
  <si>
    <t>6941545637525</t>
  </si>
  <si>
    <t>6920971983505</t>
  </si>
  <si>
    <t>EWH-60CHWi</t>
  </si>
  <si>
    <t>6920971983512</t>
  </si>
  <si>
    <t>EWH-80CHWi</t>
  </si>
  <si>
    <t>6920971966324</t>
  </si>
  <si>
    <t>6951142566739</t>
  </si>
  <si>
    <t>6951142566609</t>
  </si>
  <si>
    <t>6951142566579</t>
  </si>
  <si>
    <t>6920971983888</t>
  </si>
  <si>
    <t>6951142566975</t>
  </si>
  <si>
    <t>6920971983543</t>
  </si>
  <si>
    <t>6920971979775</t>
  </si>
  <si>
    <t>CXW-400-S9AAi</t>
  </si>
  <si>
    <t>6920971982515</t>
  </si>
  <si>
    <t>KZQ45-M7Ai</t>
  </si>
  <si>
    <t>6920971982782</t>
  </si>
  <si>
    <t>DWQ18-R7Ai</t>
  </si>
  <si>
    <t>6926221409641</t>
  </si>
  <si>
    <t>NR-D521CW1-H</t>
  </si>
  <si>
    <t>电冰箱</t>
  </si>
  <si>
    <t>6920971974879</t>
  </si>
  <si>
    <t>KZQ45-M1</t>
  </si>
  <si>
    <t>6920971982133</t>
  </si>
  <si>
    <t>EWH-30HGXWi</t>
  </si>
  <si>
    <t>6951142565268</t>
  </si>
  <si>
    <t>6920971978938</t>
  </si>
  <si>
    <t>CXW-400-S7AAi</t>
  </si>
  <si>
    <t>6920971964511</t>
  </si>
  <si>
    <t>6920971964160</t>
  </si>
  <si>
    <t>CXW-200-Q5+</t>
  </si>
  <si>
    <t>CHET-200SC</t>
  </si>
  <si>
    <t>6920971983482</t>
  </si>
  <si>
    <t>CXW-350-E5AWi</t>
  </si>
  <si>
    <t>CHET-300SC</t>
  </si>
  <si>
    <t>6920971983437</t>
  </si>
  <si>
    <t>CXW-200-E6AWi</t>
  </si>
  <si>
    <t>6920971957421</t>
  </si>
  <si>
    <t>HPA-50D1.0N</t>
  </si>
  <si>
    <t>6920971941116</t>
  </si>
  <si>
    <t>JSQ24-LSX</t>
  </si>
  <si>
    <t>6920971964900</t>
  </si>
  <si>
    <t>6920971966317</t>
  </si>
  <si>
    <t>JSQ26-CLB</t>
  </si>
  <si>
    <t>6920971951665</t>
  </si>
  <si>
    <t>JSQ26-HS-CWX</t>
  </si>
  <si>
    <t>CWT-EP-C01- MINI</t>
  </si>
  <si>
    <t>6920971948696</t>
  </si>
  <si>
    <t>CWT-EP-R01</t>
  </si>
  <si>
    <t>6920971983840</t>
  </si>
  <si>
    <t>JSQ31-TBCWi</t>
  </si>
  <si>
    <t>6920971983789</t>
  </si>
  <si>
    <t>JSQ31-DCA</t>
  </si>
  <si>
    <t>6920971984427</t>
  </si>
  <si>
    <t>JSLQ28-ACE</t>
  </si>
  <si>
    <t>6920971983864</t>
  </si>
  <si>
    <t>JSQ31-KSCWi</t>
  </si>
  <si>
    <t>6920971983796</t>
  </si>
  <si>
    <t>JSQ31-DJAWi</t>
  </si>
  <si>
    <t>6920971983901</t>
  </si>
  <si>
    <t>JSQ31-FJSWi</t>
  </si>
  <si>
    <t>BZR800-T7</t>
  </si>
  <si>
    <t>6920971985011</t>
  </si>
  <si>
    <t>JSQ31-CJSWi</t>
  </si>
  <si>
    <t>6951142567361</t>
  </si>
  <si>
    <t>DR1600FWi-E</t>
  </si>
  <si>
    <t>6951142566067</t>
  </si>
  <si>
    <t>R1800AB2</t>
  </si>
  <si>
    <t>6951142565961</t>
  </si>
  <si>
    <t>R1800DWWi</t>
  </si>
  <si>
    <t>6951142567156</t>
  </si>
  <si>
    <t>R3000AB2-E</t>
  </si>
  <si>
    <t>6951142565183</t>
  </si>
  <si>
    <t>S12G1</t>
  </si>
  <si>
    <t>BG-M101</t>
  </si>
  <si>
    <t>6951142566920</t>
  </si>
  <si>
    <t>S15D1</t>
  </si>
  <si>
    <t>BG-M102</t>
  </si>
  <si>
    <t>6951142567132</t>
  </si>
  <si>
    <t>R1800HX1</t>
  </si>
  <si>
    <t>BG-M2111</t>
  </si>
  <si>
    <t>6951142567163</t>
  </si>
  <si>
    <t>R4000AB1Ai-E</t>
  </si>
  <si>
    <t>BG-H5A</t>
  </si>
  <si>
    <t>6951142567354</t>
  </si>
  <si>
    <t>DR2000FWi-E</t>
  </si>
  <si>
    <t>APM-H1</t>
  </si>
  <si>
    <t>6951142567316</t>
  </si>
  <si>
    <t>R1400F-E</t>
  </si>
  <si>
    <t>6951142567293</t>
  </si>
  <si>
    <t>R2000FWi-E1</t>
  </si>
  <si>
    <t>6951142567026</t>
  </si>
  <si>
    <t>R1600SWi-E</t>
  </si>
  <si>
    <t>6951142567033</t>
  </si>
  <si>
    <t>R1800SWi-E</t>
  </si>
  <si>
    <t>6951142567187</t>
  </si>
  <si>
    <t>R2000DWWi-E</t>
  </si>
  <si>
    <t>6951142567101</t>
  </si>
  <si>
    <t>DR2000DWWi3</t>
  </si>
  <si>
    <t>6951142567118</t>
  </si>
  <si>
    <t>DR2500DWAi2</t>
  </si>
  <si>
    <t>6951142567057</t>
  </si>
  <si>
    <t>DR1800SWi-E</t>
  </si>
  <si>
    <t>6951142567071</t>
  </si>
  <si>
    <t>DR2500DC8</t>
  </si>
  <si>
    <t>R1400FWi-E</t>
  </si>
  <si>
    <t>6951142567088</t>
  </si>
  <si>
    <t>DR4000DC18Ai</t>
  </si>
  <si>
    <t>6951142566913</t>
  </si>
  <si>
    <t>S30D1</t>
  </si>
  <si>
    <t>L1PB26-CH1</t>
  </si>
  <si>
    <t>6951142566951</t>
  </si>
  <si>
    <t>WF15D1</t>
  </si>
  <si>
    <t>6951142566944</t>
  </si>
  <si>
    <t>WF30D1</t>
  </si>
  <si>
    <t>6920971934491</t>
  </si>
  <si>
    <t>CEWH-75PG6</t>
  </si>
  <si>
    <t>6920971947156</t>
  </si>
  <si>
    <t>SR50</t>
  </si>
  <si>
    <t>6920971984298</t>
  </si>
  <si>
    <t>EWH-60HGSWi</t>
  </si>
  <si>
    <t>6920971984304</t>
  </si>
  <si>
    <t>EWH-80HGSWi</t>
  </si>
  <si>
    <t>6920971984175</t>
  </si>
  <si>
    <t>EWH-10A5</t>
  </si>
  <si>
    <t>6920971984182</t>
  </si>
  <si>
    <t>EWH-10B5</t>
  </si>
  <si>
    <t>6920971924270</t>
  </si>
  <si>
    <t>L1PB37-EB</t>
  </si>
  <si>
    <t>6920971955908</t>
  </si>
  <si>
    <t>L1PB37-SA</t>
  </si>
  <si>
    <t>CEWH-40R1S-3</t>
  </si>
  <si>
    <t>CEWH-50R1S-3</t>
  </si>
  <si>
    <t>CEWH-60R1S-3</t>
  </si>
  <si>
    <t>A08</t>
  </si>
  <si>
    <t>家用灶具</t>
  </si>
  <si>
    <t>能效等级</t>
  </si>
  <si>
    <t>A07</t>
  </si>
  <si>
    <t>二级</t>
  </si>
  <si>
    <t>A06</t>
  </si>
  <si>
    <t>一级</t>
  </si>
  <si>
    <t>A10</t>
  </si>
  <si>
    <t>四级</t>
  </si>
  <si>
    <t>ER1600BWI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</si>
</sst>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8"/>
      <name val="微软雅黑"/>
      <charset val="134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indexed="8"/>
      <name val="微软雅黑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top"/>
      <protection locked="0"/>
    </xf>
  </cellStyleXfs>
  <cellXfs count="7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60" applyNumberFormat="1" applyFont="1" applyFill="1" applyBorder="1" applyAlignment="1" applyProtection="1">
      <alignment horizontal="center" vertical="top"/>
      <protection locked="0"/>
    </xf>
    <xf numFmtId="0" fontId="2" fillId="0" borderId="1" xfId="60" applyFont="1" applyFill="1" applyBorder="1" applyAlignment="1" applyProtection="1">
      <alignment horizontal="center" vertical="top"/>
      <protection locked="0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4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50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2" fillId="0" borderId="1" xfId="52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 wrapText="1"/>
    </xf>
    <xf numFmtId="0" fontId="2" fillId="0" borderId="1" xfId="54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2" fillId="0" borderId="1" xfId="55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horizontal="center" vertical="center" wrapText="1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 wrapText="1"/>
    </xf>
    <xf numFmtId="177" fontId="2" fillId="0" borderId="1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8" fillId="0" borderId="1" xfId="60" applyNumberFormat="1" applyFill="1" applyBorder="1" applyAlignment="1" applyProtection="1">
      <alignment horizontal="center" vertical="top"/>
      <protection locked="0"/>
    </xf>
    <xf numFmtId="0" fontId="9" fillId="0" borderId="1" xfId="0" applyFont="1" applyFill="1" applyBorder="1" applyAlignment="1">
      <alignment horizontal="center" vertical="center"/>
    </xf>
    <xf numFmtId="0" fontId="8" fillId="0" borderId="1" xfId="60" applyFont="1" applyFill="1" applyBorder="1" applyAlignment="1" applyProtection="1">
      <alignment horizontal="center" vertical="top"/>
      <protection locked="0"/>
    </xf>
    <xf numFmtId="0" fontId="10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center" vertical="center" wrapText="1"/>
    </xf>
    <xf numFmtId="0" fontId="4" fillId="0" borderId="1" xfId="56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0" fontId="6" fillId="0" borderId="1" xfId="57" applyFont="1" applyFill="1" applyBorder="1" applyAlignment="1">
      <alignment horizontal="center" vertical="center" wrapText="1"/>
    </xf>
    <xf numFmtId="0" fontId="6" fillId="0" borderId="1" xfId="54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55" applyFont="1" applyFill="1" applyBorder="1" applyAlignment="1">
      <alignment horizontal="center" vertical="center" wrapText="1"/>
    </xf>
    <xf numFmtId="0" fontId="6" fillId="0" borderId="1" xfId="58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0" fontId="4" fillId="0" borderId="1" xfId="53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7" fontId="4" fillId="0" borderId="1" xfId="49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59" applyFont="1" applyFill="1" applyBorder="1" applyAlignment="1">
      <alignment horizontal="center" vertical="center" wrapText="1"/>
    </xf>
    <xf numFmtId="0" fontId="8" fillId="0" borderId="1" xfId="60" applyFont="1" applyFill="1" applyBorder="1" applyAlignment="1" applyProtection="1">
      <alignment horizontal="center" vertical="top" wrapText="1"/>
      <protection locked="0"/>
    </xf>
    <xf numFmtId="0" fontId="4" fillId="0" borderId="1" xfId="60" applyNumberFormat="1" applyFont="1" applyFill="1" applyBorder="1" applyAlignment="1" applyProtection="1">
      <alignment horizontal="center" vertical="top"/>
      <protection locked="0"/>
    </xf>
    <xf numFmtId="49" fontId="9" fillId="0" borderId="1" xfId="0" applyNumberFormat="1" applyFont="1" applyFill="1" applyBorder="1" applyAlignment="1">
      <alignment horizontal="center" vertical="center"/>
    </xf>
    <xf numFmtId="0" fontId="12" fillId="0" borderId="1" xfId="60" applyNumberFormat="1" applyFont="1" applyFill="1" applyBorder="1" applyAlignment="1" applyProtection="1">
      <alignment horizontal="center" vertical="top"/>
      <protection locked="0"/>
    </xf>
    <xf numFmtId="0" fontId="12" fillId="0" borderId="1" xfId="60" applyFont="1" applyFill="1" applyBorder="1" applyAlignment="1" applyProtection="1">
      <alignment horizontal="center" vertical="top"/>
      <protection locked="0"/>
    </xf>
    <xf numFmtId="0" fontId="9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2" fillId="0" borderId="1" xfId="60" applyNumberFormat="1" applyFont="1" applyFill="1" applyBorder="1" applyAlignment="1" applyProtection="1" quotePrefix="1">
      <alignment horizontal="center" vertical="top"/>
      <protection locked="0"/>
    </xf>
    <xf numFmtId="0" fontId="8" fillId="0" borderId="1" xfId="60" applyFont="1" applyFill="1" applyBorder="1" applyAlignment="1" applyProtection="1" quotePrefix="1">
      <alignment horizontal="center" vertical="top"/>
      <protection locked="0"/>
    </xf>
    <xf numFmtId="0" fontId="8" fillId="0" borderId="1" xfId="60" applyFont="1" applyFill="1" applyBorder="1" applyAlignment="1" applyProtection="1" quotePrefix="1">
      <alignment horizontal="center" vertical="top" wrapText="1"/>
      <protection locked="0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 2" xfId="50"/>
    <cellStyle name="常规 12 2" xfId="51"/>
    <cellStyle name="常规 11 2 2" xfId="52"/>
    <cellStyle name="常规 10 2 2" xfId="53"/>
    <cellStyle name="常规 15" xfId="54"/>
    <cellStyle name="常规 4 29 3" xfId="55"/>
    <cellStyle name="常规 2" xfId="56"/>
    <cellStyle name="常规 11 2" xfId="57"/>
    <cellStyle name="常规 29" xfId="58"/>
    <cellStyle name="常规 27" xfId="59"/>
    <cellStyle name="Normal" xfId="6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14"/>
  <sheetViews>
    <sheetView tabSelected="1" zoomScale="115" zoomScaleNormal="115" workbookViewId="0">
      <selection activeCell="D1" sqref="C$1:C$1048576 D$1:D$1048576"/>
    </sheetView>
  </sheetViews>
  <sheetFormatPr defaultColWidth="8.61666666666667" defaultRowHeight="14.25"/>
  <cols>
    <col min="1" max="1" width="4.125" style="42" customWidth="1"/>
    <col min="2" max="2" width="17.0666666666667" style="42" customWidth="1"/>
    <col min="3" max="3" width="12.7166666666667" style="42" customWidth="1"/>
    <col min="4" max="4" width="21.125" style="42" customWidth="1"/>
    <col min="5" max="5" width="9.45833333333333" style="42" customWidth="1"/>
    <col min="6" max="6" width="10.375" style="42" customWidth="1"/>
    <col min="7" max="7" width="10.5416666666667" style="42" customWidth="1"/>
    <col min="8" max="11" width="8.61666666666667" style="42"/>
    <col min="12" max="12" width="17.625" style="43" customWidth="1"/>
    <col min="13" max="13" width="9" style="44"/>
    <col min="14" max="16384" width="8.61666666666667" style="42"/>
  </cols>
  <sheetData>
    <row r="1" ht="25" customHeight="1" spans="1:1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8" t="s">
        <v>6</v>
      </c>
      <c r="H1" s="24" t="s">
        <v>7</v>
      </c>
      <c r="L1" s="46" t="s">
        <v>8</v>
      </c>
      <c r="M1" s="44" t="s">
        <v>4</v>
      </c>
    </row>
    <row r="2" s="42" customFormat="1" ht="13" customHeight="1" spans="1:13">
      <c r="A2" s="24">
        <v>1</v>
      </c>
      <c r="B2" s="45" t="s">
        <v>9</v>
      </c>
      <c r="C2" s="24" t="s">
        <v>10</v>
      </c>
      <c r="D2" s="8" t="s">
        <v>11</v>
      </c>
      <c r="E2" s="24">
        <v>2</v>
      </c>
      <c r="F2" s="36" t="s">
        <v>12</v>
      </c>
      <c r="G2" s="24">
        <v>2</v>
      </c>
      <c r="H2" s="24"/>
      <c r="I2" s="42" t="str">
        <f>VLOOKUP(D2,Sheet2!H:I,2,0)</f>
        <v>二级</v>
      </c>
      <c r="J2" s="42">
        <f>VLOOKUP(D2,L:M,2,0)</f>
        <v>2</v>
      </c>
      <c r="L2" s="46" t="s">
        <v>13</v>
      </c>
      <c r="M2" s="44">
        <v>2</v>
      </c>
    </row>
    <row r="3" s="42" customFormat="1" ht="14" customHeight="1" spans="1:13">
      <c r="A3" s="24">
        <v>2</v>
      </c>
      <c r="B3" s="45" t="s">
        <v>14</v>
      </c>
      <c r="C3" s="24" t="s">
        <v>10</v>
      </c>
      <c r="D3" s="8" t="s">
        <v>15</v>
      </c>
      <c r="E3" s="24">
        <v>2</v>
      </c>
      <c r="F3" s="36" t="s">
        <v>12</v>
      </c>
      <c r="G3" s="24">
        <v>2</v>
      </c>
      <c r="H3" s="24"/>
      <c r="I3" s="42" t="str">
        <f>VLOOKUP(D3,Sheet2!H:I,2,0)</f>
        <v>二级</v>
      </c>
      <c r="J3" s="42">
        <f t="shared" ref="J3:J66" si="0">VLOOKUP(D3,L:M,2,0)</f>
        <v>2</v>
      </c>
      <c r="L3" s="46" t="s">
        <v>16</v>
      </c>
      <c r="M3" s="44">
        <v>3</v>
      </c>
    </row>
    <row r="4" s="42" customFormat="1" spans="1:13">
      <c r="A4" s="24">
        <v>3</v>
      </c>
      <c r="B4" s="45" t="s">
        <v>17</v>
      </c>
      <c r="C4" s="24" t="s">
        <v>10</v>
      </c>
      <c r="D4" s="8" t="s">
        <v>18</v>
      </c>
      <c r="E4" s="24">
        <v>2</v>
      </c>
      <c r="F4" s="36" t="s">
        <v>12</v>
      </c>
      <c r="G4" s="24">
        <v>2</v>
      </c>
      <c r="H4" s="24"/>
      <c r="I4" s="42" t="str">
        <f>VLOOKUP(D4,Sheet2!H:I,2,0)</f>
        <v>二级</v>
      </c>
      <c r="J4" s="42">
        <f t="shared" si="0"/>
        <v>2</v>
      </c>
      <c r="L4" s="46" t="s">
        <v>19</v>
      </c>
      <c r="M4" s="44">
        <v>3</v>
      </c>
    </row>
    <row r="5" s="42" customFormat="1" spans="1:13">
      <c r="A5" s="24">
        <v>4</v>
      </c>
      <c r="B5" s="45" t="s">
        <v>20</v>
      </c>
      <c r="C5" s="24" t="s">
        <v>10</v>
      </c>
      <c r="D5" s="8" t="s">
        <v>21</v>
      </c>
      <c r="E5" s="24">
        <v>2</v>
      </c>
      <c r="F5" s="36" t="s">
        <v>12</v>
      </c>
      <c r="G5" s="24">
        <v>2</v>
      </c>
      <c r="H5" s="24"/>
      <c r="I5" s="42" t="str">
        <f>VLOOKUP(D5,Sheet2!H:I,2,0)</f>
        <v>二级</v>
      </c>
      <c r="J5" s="42">
        <f t="shared" si="0"/>
        <v>2</v>
      </c>
      <c r="L5" s="46" t="s">
        <v>22</v>
      </c>
      <c r="M5" s="44"/>
    </row>
    <row r="6" s="42" customFormat="1" spans="1:13">
      <c r="A6" s="24">
        <v>5</v>
      </c>
      <c r="B6" s="45" t="s">
        <v>23</v>
      </c>
      <c r="C6" s="24" t="s">
        <v>10</v>
      </c>
      <c r="D6" s="8" t="s">
        <v>24</v>
      </c>
      <c r="E6" s="24">
        <v>2</v>
      </c>
      <c r="F6" s="36" t="s">
        <v>12</v>
      </c>
      <c r="G6" s="24">
        <v>2</v>
      </c>
      <c r="H6" s="24"/>
      <c r="I6" s="42" t="str">
        <f>VLOOKUP(D6,Sheet2!H:I,2,0)</f>
        <v>二级</v>
      </c>
      <c r="J6" s="42">
        <f t="shared" si="0"/>
        <v>2</v>
      </c>
      <c r="L6" s="47" t="s">
        <v>25</v>
      </c>
      <c r="M6" s="44">
        <v>1</v>
      </c>
    </row>
    <row r="7" s="42" customFormat="1" spans="1:13">
      <c r="A7" s="24">
        <v>6</v>
      </c>
      <c r="B7" s="45" t="s">
        <v>26</v>
      </c>
      <c r="C7" s="24" t="s">
        <v>10</v>
      </c>
      <c r="D7" s="8" t="s">
        <v>27</v>
      </c>
      <c r="E7" s="24">
        <v>2</v>
      </c>
      <c r="F7" s="36" t="s">
        <v>12</v>
      </c>
      <c r="G7" s="24">
        <v>2</v>
      </c>
      <c r="H7" s="24"/>
      <c r="I7" s="42" t="str">
        <f>VLOOKUP(D7,Sheet2!H:I,2,0)</f>
        <v>二级</v>
      </c>
      <c r="J7" s="42">
        <f t="shared" si="0"/>
        <v>2</v>
      </c>
      <c r="L7" s="47" t="s">
        <v>28</v>
      </c>
      <c r="M7" s="44">
        <v>1</v>
      </c>
    </row>
    <row r="8" s="42" customFormat="1" spans="1:13">
      <c r="A8" s="24">
        <v>7</v>
      </c>
      <c r="B8" s="45" t="s">
        <v>29</v>
      </c>
      <c r="C8" s="24" t="s">
        <v>10</v>
      </c>
      <c r="D8" s="8" t="s">
        <v>30</v>
      </c>
      <c r="E8" s="24">
        <v>1</v>
      </c>
      <c r="F8" s="36" t="s">
        <v>12</v>
      </c>
      <c r="G8" s="24">
        <v>1</v>
      </c>
      <c r="H8" s="24"/>
      <c r="I8" s="42" t="str">
        <f>VLOOKUP(D8,Sheet2!H:I,2,0)</f>
        <v>一级</v>
      </c>
      <c r="J8" s="42">
        <f t="shared" si="0"/>
        <v>1</v>
      </c>
      <c r="L8" s="48" t="s">
        <v>31</v>
      </c>
      <c r="M8" s="44">
        <v>1</v>
      </c>
    </row>
    <row r="9" s="42" customFormat="1" spans="1:13">
      <c r="A9" s="24">
        <v>8</v>
      </c>
      <c r="B9" s="45" t="s">
        <v>32</v>
      </c>
      <c r="C9" s="24" t="s">
        <v>10</v>
      </c>
      <c r="D9" s="8" t="s">
        <v>33</v>
      </c>
      <c r="E9" s="24">
        <v>1</v>
      </c>
      <c r="F9" s="36" t="s">
        <v>12</v>
      </c>
      <c r="G9" s="24">
        <v>1</v>
      </c>
      <c r="H9" s="24"/>
      <c r="I9" s="42" t="str">
        <f>VLOOKUP(D9,Sheet2!H:I,2,0)</f>
        <v>一级</v>
      </c>
      <c r="J9" s="42">
        <f t="shared" si="0"/>
        <v>1</v>
      </c>
      <c r="L9" s="11" t="s">
        <v>34</v>
      </c>
      <c r="M9" s="44">
        <v>1</v>
      </c>
    </row>
    <row r="10" s="42" customFormat="1" spans="1:13">
      <c r="A10" s="24">
        <v>9</v>
      </c>
      <c r="B10" s="45" t="s">
        <v>35</v>
      </c>
      <c r="C10" s="24" t="s">
        <v>10</v>
      </c>
      <c r="D10" s="8" t="s">
        <v>36</v>
      </c>
      <c r="E10" s="24">
        <v>1</v>
      </c>
      <c r="F10" s="36" t="s">
        <v>12</v>
      </c>
      <c r="G10" s="24">
        <v>1</v>
      </c>
      <c r="H10" s="24"/>
      <c r="I10" s="42" t="str">
        <f>VLOOKUP(D10,Sheet2!H:I,2,0)</f>
        <v>一级</v>
      </c>
      <c r="J10" s="42">
        <f t="shared" si="0"/>
        <v>1</v>
      </c>
      <c r="L10" s="11" t="s">
        <v>37</v>
      </c>
      <c r="M10" s="44">
        <v>1</v>
      </c>
    </row>
    <row r="11" s="42" customFormat="1" spans="1:13">
      <c r="A11" s="24">
        <v>10</v>
      </c>
      <c r="B11" s="45" t="s">
        <v>38</v>
      </c>
      <c r="C11" s="24" t="s">
        <v>10</v>
      </c>
      <c r="D11" s="8" t="s">
        <v>39</v>
      </c>
      <c r="E11" s="24">
        <v>1</v>
      </c>
      <c r="F11" s="36" t="s">
        <v>12</v>
      </c>
      <c r="G11" s="24">
        <v>1</v>
      </c>
      <c r="H11" s="24"/>
      <c r="I11" s="42" t="str">
        <f>VLOOKUP(D11,Sheet2!H:I,2,0)</f>
        <v>一级</v>
      </c>
      <c r="J11" s="42">
        <f t="shared" si="0"/>
        <v>1</v>
      </c>
      <c r="L11" s="11" t="s">
        <v>40</v>
      </c>
      <c r="M11" s="44">
        <v>1</v>
      </c>
    </row>
    <row r="12" s="42" customFormat="1" spans="1:13">
      <c r="A12" s="24">
        <v>11</v>
      </c>
      <c r="B12" s="24" t="s">
        <v>41</v>
      </c>
      <c r="C12" s="24" t="s">
        <v>10</v>
      </c>
      <c r="D12" s="8" t="s">
        <v>42</v>
      </c>
      <c r="E12" s="24">
        <v>2</v>
      </c>
      <c r="F12" s="36" t="s">
        <v>12</v>
      </c>
      <c r="G12" s="24">
        <v>2</v>
      </c>
      <c r="H12" s="24"/>
      <c r="I12" s="42" t="str">
        <f>VLOOKUP(D12,Sheet2!H:I,2,0)</f>
        <v>二级</v>
      </c>
      <c r="J12" s="42">
        <f t="shared" si="0"/>
        <v>2</v>
      </c>
      <c r="L12" s="11" t="s">
        <v>43</v>
      </c>
      <c r="M12" s="44">
        <v>1</v>
      </c>
    </row>
    <row r="13" s="42" customFormat="1" spans="1:13">
      <c r="A13" s="24">
        <v>12</v>
      </c>
      <c r="B13" s="24" t="s">
        <v>44</v>
      </c>
      <c r="C13" s="24" t="s">
        <v>10</v>
      </c>
      <c r="D13" s="8" t="s">
        <v>45</v>
      </c>
      <c r="E13" s="24">
        <v>2</v>
      </c>
      <c r="F13" s="36" t="s">
        <v>12</v>
      </c>
      <c r="G13" s="24">
        <v>2</v>
      </c>
      <c r="H13" s="24"/>
      <c r="I13" s="42" t="str">
        <f>VLOOKUP(D13,Sheet2!H:I,2,0)</f>
        <v>二级</v>
      </c>
      <c r="J13" s="42">
        <f t="shared" si="0"/>
        <v>2</v>
      </c>
      <c r="L13" s="9" t="s">
        <v>46</v>
      </c>
      <c r="M13" s="44">
        <v>1</v>
      </c>
    </row>
    <row r="14" s="42" customFormat="1" spans="1:13">
      <c r="A14" s="24">
        <v>13</v>
      </c>
      <c r="B14" s="73" t="s">
        <v>47</v>
      </c>
      <c r="C14" s="24" t="s">
        <v>10</v>
      </c>
      <c r="D14" s="8" t="s">
        <v>48</v>
      </c>
      <c r="E14" s="24">
        <v>2</v>
      </c>
      <c r="F14" s="36" t="s">
        <v>12</v>
      </c>
      <c r="G14" s="24">
        <v>2</v>
      </c>
      <c r="H14" s="24"/>
      <c r="I14" s="42" t="str">
        <f>VLOOKUP(D14,Sheet2!H:I,2,0)</f>
        <v>二级</v>
      </c>
      <c r="J14" s="42">
        <f t="shared" si="0"/>
        <v>2</v>
      </c>
      <c r="L14" s="9" t="s">
        <v>49</v>
      </c>
      <c r="M14" s="44">
        <v>1</v>
      </c>
    </row>
    <row r="15" s="42" customFormat="1" spans="1:13">
      <c r="A15" s="24">
        <v>14</v>
      </c>
      <c r="B15" s="45" t="s">
        <v>50</v>
      </c>
      <c r="C15" s="24" t="s">
        <v>10</v>
      </c>
      <c r="D15" s="8" t="s">
        <v>51</v>
      </c>
      <c r="E15" s="24">
        <v>2</v>
      </c>
      <c r="F15" s="36" t="s">
        <v>12</v>
      </c>
      <c r="G15" s="24">
        <v>2</v>
      </c>
      <c r="H15" s="24"/>
      <c r="I15" s="42" t="str">
        <f>VLOOKUP(D15,Sheet2!H:I,2,0)</f>
        <v>二级</v>
      </c>
      <c r="J15" s="42">
        <f t="shared" si="0"/>
        <v>2</v>
      </c>
      <c r="L15" s="9" t="s">
        <v>52</v>
      </c>
      <c r="M15" s="44">
        <v>1</v>
      </c>
    </row>
    <row r="16" s="42" customFormat="1" spans="1:13">
      <c r="A16" s="24">
        <v>15</v>
      </c>
      <c r="B16" s="45" t="s">
        <v>53</v>
      </c>
      <c r="C16" s="24" t="s">
        <v>10</v>
      </c>
      <c r="D16" s="8" t="s">
        <v>54</v>
      </c>
      <c r="E16" s="24">
        <v>2</v>
      </c>
      <c r="F16" s="36" t="s">
        <v>12</v>
      </c>
      <c r="G16" s="24">
        <v>2</v>
      </c>
      <c r="H16" s="24"/>
      <c r="I16" s="42" t="str">
        <f>VLOOKUP(D16,Sheet2!H:I,2,0)</f>
        <v>二级</v>
      </c>
      <c r="J16" s="42">
        <f t="shared" si="0"/>
        <v>2</v>
      </c>
      <c r="L16" s="48" t="s">
        <v>55</v>
      </c>
      <c r="M16" s="44">
        <v>1</v>
      </c>
    </row>
    <row r="17" s="42" customFormat="1" spans="1:13">
      <c r="A17" s="24">
        <v>16</v>
      </c>
      <c r="B17" s="45" t="s">
        <v>56</v>
      </c>
      <c r="C17" s="24" t="s">
        <v>10</v>
      </c>
      <c r="D17" s="8" t="s">
        <v>57</v>
      </c>
      <c r="E17" s="24">
        <v>2</v>
      </c>
      <c r="F17" s="36" t="s">
        <v>12</v>
      </c>
      <c r="G17" s="24">
        <v>2</v>
      </c>
      <c r="H17" s="24"/>
      <c r="I17" s="42" t="str">
        <f>VLOOKUP(D17,Sheet2!H:I,2,0)</f>
        <v>二级</v>
      </c>
      <c r="J17" s="42">
        <f t="shared" si="0"/>
        <v>2</v>
      </c>
      <c r="L17" s="48" t="s">
        <v>58</v>
      </c>
      <c r="M17" s="44">
        <v>1</v>
      </c>
    </row>
    <row r="18" s="42" customFormat="1" spans="1:13">
      <c r="A18" s="24">
        <v>17</v>
      </c>
      <c r="B18" s="24" t="s">
        <v>59</v>
      </c>
      <c r="C18" s="24" t="s">
        <v>10</v>
      </c>
      <c r="D18" s="14" t="s">
        <v>60</v>
      </c>
      <c r="E18" s="24">
        <v>1</v>
      </c>
      <c r="F18" s="36" t="s">
        <v>12</v>
      </c>
      <c r="G18" s="24">
        <v>1</v>
      </c>
      <c r="H18" s="24"/>
      <c r="I18" s="42" t="str">
        <f>VLOOKUP(D18,Sheet2!H:I,2,0)</f>
        <v>一级</v>
      </c>
      <c r="J18" s="42">
        <f t="shared" si="0"/>
        <v>1</v>
      </c>
      <c r="L18" s="48" t="s">
        <v>61</v>
      </c>
      <c r="M18" s="44">
        <v>1</v>
      </c>
    </row>
    <row r="19" s="42" customFormat="1" spans="1:13">
      <c r="A19" s="24">
        <v>18</v>
      </c>
      <c r="B19" s="45" t="s">
        <v>62</v>
      </c>
      <c r="C19" s="24" t="s">
        <v>10</v>
      </c>
      <c r="D19" s="14" t="s">
        <v>63</v>
      </c>
      <c r="E19" s="24">
        <v>1</v>
      </c>
      <c r="F19" s="36" t="s">
        <v>12</v>
      </c>
      <c r="G19" s="24">
        <v>1</v>
      </c>
      <c r="H19" s="24"/>
      <c r="I19" s="42" t="str">
        <f>VLOOKUP(D19,Sheet2!H:I,2,0)</f>
        <v>一级</v>
      </c>
      <c r="J19" s="42">
        <f t="shared" si="0"/>
        <v>1</v>
      </c>
      <c r="L19" s="49" t="s">
        <v>64</v>
      </c>
      <c r="M19" s="44">
        <v>1</v>
      </c>
    </row>
    <row r="20" s="42" customFormat="1" spans="1:13">
      <c r="A20" s="24">
        <v>19</v>
      </c>
      <c r="B20" s="45" t="s">
        <v>65</v>
      </c>
      <c r="C20" s="24" t="s">
        <v>10</v>
      </c>
      <c r="D20" s="8" t="s">
        <v>66</v>
      </c>
      <c r="E20" s="24">
        <v>1</v>
      </c>
      <c r="F20" s="36" t="s">
        <v>12</v>
      </c>
      <c r="G20" s="24">
        <v>1</v>
      </c>
      <c r="H20" s="24"/>
      <c r="I20" s="42" t="str">
        <f>VLOOKUP(D20,Sheet2!H:I,2,0)</f>
        <v>一级</v>
      </c>
      <c r="J20" s="42">
        <f t="shared" si="0"/>
        <v>1</v>
      </c>
      <c r="L20" s="48" t="s">
        <v>67</v>
      </c>
      <c r="M20" s="44">
        <v>1</v>
      </c>
    </row>
    <row r="21" s="42" customFormat="1" spans="1:13">
      <c r="A21" s="24">
        <v>20</v>
      </c>
      <c r="B21" s="45" t="s">
        <v>68</v>
      </c>
      <c r="C21" s="24" t="s">
        <v>10</v>
      </c>
      <c r="D21" s="8" t="s">
        <v>69</v>
      </c>
      <c r="E21" s="24">
        <v>1</v>
      </c>
      <c r="F21" s="36" t="s">
        <v>12</v>
      </c>
      <c r="G21" s="24">
        <v>1</v>
      </c>
      <c r="H21" s="24"/>
      <c r="I21" s="42" t="str">
        <f>VLOOKUP(D21,Sheet2!H:I,2,0)</f>
        <v>一级</v>
      </c>
      <c r="J21" s="42">
        <f t="shared" si="0"/>
        <v>1</v>
      </c>
      <c r="L21" s="48" t="s">
        <v>70</v>
      </c>
      <c r="M21" s="44">
        <v>1</v>
      </c>
    </row>
    <row r="22" s="42" customFormat="1" spans="1:13">
      <c r="A22" s="24">
        <v>21</v>
      </c>
      <c r="B22" s="45" t="s">
        <v>71</v>
      </c>
      <c r="C22" s="24" t="s">
        <v>10</v>
      </c>
      <c r="D22" s="8" t="s">
        <v>72</v>
      </c>
      <c r="E22" s="24">
        <v>1</v>
      </c>
      <c r="F22" s="36" t="s">
        <v>12</v>
      </c>
      <c r="G22" s="24">
        <v>1</v>
      </c>
      <c r="H22" s="24"/>
      <c r="I22" s="42" t="str">
        <f>VLOOKUP(D22,Sheet2!H:I,2,0)</f>
        <v>一级</v>
      </c>
      <c r="J22" s="42">
        <f t="shared" si="0"/>
        <v>1</v>
      </c>
      <c r="L22" s="11" t="s">
        <v>73</v>
      </c>
      <c r="M22" s="44">
        <v>1</v>
      </c>
    </row>
    <row r="23" s="42" customFormat="1" spans="1:13">
      <c r="A23" s="24">
        <v>22</v>
      </c>
      <c r="B23" s="45" t="s">
        <v>74</v>
      </c>
      <c r="C23" s="24" t="s">
        <v>10</v>
      </c>
      <c r="D23" s="8" t="s">
        <v>75</v>
      </c>
      <c r="E23" s="24">
        <v>1</v>
      </c>
      <c r="F23" s="36" t="s">
        <v>12</v>
      </c>
      <c r="G23" s="24">
        <v>1</v>
      </c>
      <c r="H23" s="24"/>
      <c r="I23" s="42" t="str">
        <f>VLOOKUP(D23,Sheet2!H:I,2,0)</f>
        <v>一级</v>
      </c>
      <c r="J23" s="42">
        <f t="shared" si="0"/>
        <v>1</v>
      </c>
      <c r="L23" s="11" t="s">
        <v>76</v>
      </c>
      <c r="M23" s="44">
        <v>1</v>
      </c>
    </row>
    <row r="24" s="42" customFormat="1" spans="1:13">
      <c r="A24" s="24">
        <v>23</v>
      </c>
      <c r="B24" s="24" t="s">
        <v>77</v>
      </c>
      <c r="C24" s="24" t="s">
        <v>10</v>
      </c>
      <c r="D24" s="8" t="s">
        <v>78</v>
      </c>
      <c r="E24" s="24">
        <v>1</v>
      </c>
      <c r="F24" s="36" t="s">
        <v>12</v>
      </c>
      <c r="G24" s="24">
        <v>1</v>
      </c>
      <c r="H24" s="24"/>
      <c r="I24" s="42" t="str">
        <f>VLOOKUP(D24,Sheet2!H:I,2,0)</f>
        <v>一级</v>
      </c>
      <c r="J24" s="42">
        <f t="shared" si="0"/>
        <v>1</v>
      </c>
      <c r="L24" s="11" t="s">
        <v>79</v>
      </c>
      <c r="M24" s="44">
        <v>1</v>
      </c>
    </row>
    <row r="25" s="42" customFormat="1" spans="1:13">
      <c r="A25" s="24">
        <v>24</v>
      </c>
      <c r="B25" s="24" t="s">
        <v>80</v>
      </c>
      <c r="C25" s="24" t="s">
        <v>10</v>
      </c>
      <c r="D25" s="8" t="s">
        <v>81</v>
      </c>
      <c r="E25" s="24">
        <v>1</v>
      </c>
      <c r="F25" s="36" t="s">
        <v>12</v>
      </c>
      <c r="G25" s="24">
        <v>1</v>
      </c>
      <c r="H25" s="24"/>
      <c r="I25" s="42" t="str">
        <f>VLOOKUP(D25,Sheet2!H:I,2,0)</f>
        <v>一级</v>
      </c>
      <c r="J25" s="42">
        <f t="shared" si="0"/>
        <v>1</v>
      </c>
      <c r="L25" s="11" t="s">
        <v>82</v>
      </c>
      <c r="M25" s="44">
        <v>1</v>
      </c>
    </row>
    <row r="26" s="42" customFormat="1" spans="1:13">
      <c r="A26" s="24">
        <v>25</v>
      </c>
      <c r="B26" s="24" t="s">
        <v>83</v>
      </c>
      <c r="C26" s="24" t="s">
        <v>10</v>
      </c>
      <c r="D26" s="14" t="s">
        <v>84</v>
      </c>
      <c r="E26" s="24">
        <v>1</v>
      </c>
      <c r="F26" s="36" t="s">
        <v>12</v>
      </c>
      <c r="G26" s="24">
        <v>1</v>
      </c>
      <c r="H26" s="24"/>
      <c r="I26" s="42" t="str">
        <f>VLOOKUP(D26,Sheet2!H:I,2,0)</f>
        <v>一级</v>
      </c>
      <c r="J26" s="42">
        <f t="shared" si="0"/>
        <v>1</v>
      </c>
      <c r="L26" s="48" t="s">
        <v>85</v>
      </c>
      <c r="M26" s="44">
        <v>1</v>
      </c>
    </row>
    <row r="27" s="42" customFormat="1" spans="1:13">
      <c r="A27" s="24">
        <v>26</v>
      </c>
      <c r="B27" s="24" t="s">
        <v>86</v>
      </c>
      <c r="C27" s="24" t="s">
        <v>10</v>
      </c>
      <c r="D27" s="14" t="s">
        <v>87</v>
      </c>
      <c r="E27" s="24">
        <v>1</v>
      </c>
      <c r="F27" s="36" t="s">
        <v>12</v>
      </c>
      <c r="G27" s="24">
        <v>1</v>
      </c>
      <c r="H27" s="24"/>
      <c r="I27" s="42" t="str">
        <f>VLOOKUP(D27,Sheet2!H:I,2,0)</f>
        <v>一级</v>
      </c>
      <c r="J27" s="42">
        <f t="shared" si="0"/>
        <v>1</v>
      </c>
      <c r="L27" s="48" t="s">
        <v>88</v>
      </c>
      <c r="M27" s="44">
        <v>1</v>
      </c>
    </row>
    <row r="28" s="42" customFormat="1" spans="1:13">
      <c r="A28" s="24">
        <v>27</v>
      </c>
      <c r="B28" s="24" t="s">
        <v>89</v>
      </c>
      <c r="C28" s="24" t="s">
        <v>10</v>
      </c>
      <c r="D28" s="14" t="s">
        <v>90</v>
      </c>
      <c r="E28" s="24">
        <v>1</v>
      </c>
      <c r="F28" s="36" t="s">
        <v>12</v>
      </c>
      <c r="G28" s="24">
        <v>1</v>
      </c>
      <c r="H28" s="24"/>
      <c r="I28" s="42" t="str">
        <f>VLOOKUP(D28,Sheet2!H:I,2,0)</f>
        <v>一级</v>
      </c>
      <c r="J28" s="42">
        <f t="shared" si="0"/>
        <v>1</v>
      </c>
      <c r="L28" s="48" t="s">
        <v>91</v>
      </c>
      <c r="M28" s="44">
        <v>1</v>
      </c>
    </row>
    <row r="29" s="42" customFormat="1" spans="1:13">
      <c r="A29" s="24">
        <v>28</v>
      </c>
      <c r="B29" s="24" t="s">
        <v>92</v>
      </c>
      <c r="C29" s="24" t="s">
        <v>10</v>
      </c>
      <c r="D29" s="14" t="s">
        <v>93</v>
      </c>
      <c r="E29" s="24">
        <v>1</v>
      </c>
      <c r="F29" s="36" t="s">
        <v>12</v>
      </c>
      <c r="G29" s="24">
        <v>1</v>
      </c>
      <c r="H29" s="24"/>
      <c r="I29" s="42" t="str">
        <f>VLOOKUP(D29,Sheet2!H:I,2,0)</f>
        <v>一级</v>
      </c>
      <c r="J29" s="42">
        <f t="shared" si="0"/>
        <v>1</v>
      </c>
      <c r="L29" s="50" t="s">
        <v>94</v>
      </c>
      <c r="M29" s="44">
        <v>1</v>
      </c>
    </row>
    <row r="30" s="42" customFormat="1" spans="1:13">
      <c r="A30" s="24">
        <v>29</v>
      </c>
      <c r="B30" s="24" t="s">
        <v>95</v>
      </c>
      <c r="C30" s="24" t="s">
        <v>10</v>
      </c>
      <c r="D30" s="14" t="s">
        <v>96</v>
      </c>
      <c r="E30" s="24">
        <v>1</v>
      </c>
      <c r="F30" s="36" t="s">
        <v>12</v>
      </c>
      <c r="G30" s="24">
        <v>1</v>
      </c>
      <c r="H30" s="24"/>
      <c r="I30" s="42" t="str">
        <f>VLOOKUP(D30,Sheet2!H:I,2,0)</f>
        <v>一级</v>
      </c>
      <c r="J30" s="42">
        <f t="shared" si="0"/>
        <v>1</v>
      </c>
      <c r="L30" s="51" t="s">
        <v>97</v>
      </c>
      <c r="M30" s="44">
        <v>1</v>
      </c>
    </row>
    <row r="31" s="42" customFormat="1" spans="1:13">
      <c r="A31" s="24">
        <v>30</v>
      </c>
      <c r="B31" s="24" t="s">
        <v>98</v>
      </c>
      <c r="C31" s="24" t="s">
        <v>10</v>
      </c>
      <c r="D31" s="14" t="s">
        <v>99</v>
      </c>
      <c r="E31" s="24">
        <v>1</v>
      </c>
      <c r="F31" s="36" t="s">
        <v>12</v>
      </c>
      <c r="G31" s="24">
        <v>1</v>
      </c>
      <c r="H31" s="24"/>
      <c r="I31" s="42" t="str">
        <f>VLOOKUP(D31,Sheet2!H:I,2,0)</f>
        <v>一级</v>
      </c>
      <c r="J31" s="42">
        <f t="shared" si="0"/>
        <v>1</v>
      </c>
      <c r="L31" s="51" t="s">
        <v>100</v>
      </c>
      <c r="M31" s="44">
        <v>1</v>
      </c>
    </row>
    <row r="32" s="42" customFormat="1" spans="1:13">
      <c r="A32" s="24">
        <v>31</v>
      </c>
      <c r="B32" s="24" t="s">
        <v>101</v>
      </c>
      <c r="C32" s="24" t="s">
        <v>10</v>
      </c>
      <c r="D32" s="8" t="s">
        <v>102</v>
      </c>
      <c r="E32" s="24">
        <v>1</v>
      </c>
      <c r="F32" s="36" t="s">
        <v>12</v>
      </c>
      <c r="G32" s="24">
        <v>1</v>
      </c>
      <c r="H32" s="24"/>
      <c r="I32" s="42" t="str">
        <f>VLOOKUP(D32,Sheet2!H:I,2,0)</f>
        <v>一级</v>
      </c>
      <c r="J32" s="42">
        <f t="shared" si="0"/>
        <v>1</v>
      </c>
      <c r="L32" s="47" t="s">
        <v>103</v>
      </c>
      <c r="M32" s="44">
        <v>1</v>
      </c>
    </row>
    <row r="33" s="42" customFormat="1" spans="1:13">
      <c r="A33" s="24">
        <v>32</v>
      </c>
      <c r="B33" s="24" t="s">
        <v>104</v>
      </c>
      <c r="C33" s="24" t="s">
        <v>10</v>
      </c>
      <c r="D33" s="8" t="s">
        <v>105</v>
      </c>
      <c r="E33" s="24">
        <v>1</v>
      </c>
      <c r="F33" s="36" t="s">
        <v>12</v>
      </c>
      <c r="G33" s="24">
        <v>1</v>
      </c>
      <c r="H33" s="24"/>
      <c r="I33" s="42" t="str">
        <f>VLOOKUP(D33,Sheet2!H:I,2,0)</f>
        <v>一级</v>
      </c>
      <c r="J33" s="42">
        <f t="shared" si="0"/>
        <v>1</v>
      </c>
      <c r="L33" s="47" t="s">
        <v>106</v>
      </c>
      <c r="M33" s="44">
        <v>1</v>
      </c>
    </row>
    <row r="34" s="42" customFormat="1" spans="1:13">
      <c r="A34" s="24">
        <v>33</v>
      </c>
      <c r="B34" s="45" t="s">
        <v>107</v>
      </c>
      <c r="C34" s="24" t="s">
        <v>10</v>
      </c>
      <c r="D34" s="8" t="s">
        <v>108</v>
      </c>
      <c r="E34" s="24">
        <v>1</v>
      </c>
      <c r="F34" s="36" t="s">
        <v>12</v>
      </c>
      <c r="G34" s="24">
        <v>1</v>
      </c>
      <c r="H34" s="24"/>
      <c r="I34" s="42" t="str">
        <f>VLOOKUP(D34,Sheet2!H:I,2,0)</f>
        <v>一级</v>
      </c>
      <c r="J34" s="42">
        <f t="shared" si="0"/>
        <v>1</v>
      </c>
      <c r="L34" s="46" t="s">
        <v>109</v>
      </c>
      <c r="M34" s="44">
        <v>1</v>
      </c>
    </row>
    <row r="35" s="42" customFormat="1" spans="1:13">
      <c r="A35" s="24">
        <v>34</v>
      </c>
      <c r="B35" s="45" t="s">
        <v>110</v>
      </c>
      <c r="C35" s="24" t="s">
        <v>10</v>
      </c>
      <c r="D35" s="8" t="s">
        <v>111</v>
      </c>
      <c r="E35" s="24">
        <v>1</v>
      </c>
      <c r="F35" s="36" t="s">
        <v>12</v>
      </c>
      <c r="G35" s="24">
        <v>1</v>
      </c>
      <c r="H35" s="24"/>
      <c r="I35" s="42" t="str">
        <f>VLOOKUP(D35,Sheet2!H:I,2,0)</f>
        <v>一级</v>
      </c>
      <c r="J35" s="42">
        <f t="shared" si="0"/>
        <v>1</v>
      </c>
      <c r="L35" s="52" t="s">
        <v>112</v>
      </c>
      <c r="M35" s="44"/>
    </row>
    <row r="36" s="42" customFormat="1" spans="1:13">
      <c r="A36" s="24">
        <v>35</v>
      </c>
      <c r="B36" s="24" t="s">
        <v>113</v>
      </c>
      <c r="C36" s="24" t="s">
        <v>10</v>
      </c>
      <c r="D36" s="8" t="s">
        <v>114</v>
      </c>
      <c r="E36" s="24">
        <v>2</v>
      </c>
      <c r="F36" s="24" t="s">
        <v>115</v>
      </c>
      <c r="G36" s="24">
        <v>2</v>
      </c>
      <c r="H36" s="24"/>
      <c r="I36" s="42" t="str">
        <f>VLOOKUP(D36,Sheet2!H:I,2,0)</f>
        <v>二级</v>
      </c>
      <c r="J36" s="42">
        <f t="shared" si="0"/>
        <v>2</v>
      </c>
      <c r="L36" s="47" t="s">
        <v>116</v>
      </c>
      <c r="M36" s="44">
        <v>1</v>
      </c>
    </row>
    <row r="37" s="42" customFormat="1" spans="1:13">
      <c r="A37" s="24">
        <v>36</v>
      </c>
      <c r="B37" s="24" t="s">
        <v>117</v>
      </c>
      <c r="C37" s="24" t="s">
        <v>10</v>
      </c>
      <c r="D37" s="19" t="s">
        <v>118</v>
      </c>
      <c r="E37" s="24">
        <v>1</v>
      </c>
      <c r="F37" s="24" t="s">
        <v>115</v>
      </c>
      <c r="G37" s="24">
        <v>1</v>
      </c>
      <c r="H37" s="24"/>
      <c r="I37" s="42" t="str">
        <f>VLOOKUP(D37,Sheet2!H:I,2,0)</f>
        <v>一级</v>
      </c>
      <c r="J37" s="42">
        <f t="shared" si="0"/>
        <v>1</v>
      </c>
      <c r="L37" s="47" t="s">
        <v>119</v>
      </c>
      <c r="M37" s="44">
        <v>1</v>
      </c>
    </row>
    <row r="38" s="42" customFormat="1" spans="1:13">
      <c r="A38" s="24">
        <v>37</v>
      </c>
      <c r="B38" s="24" t="s">
        <v>120</v>
      </c>
      <c r="C38" s="24" t="s">
        <v>10</v>
      </c>
      <c r="D38" s="20" t="s">
        <v>121</v>
      </c>
      <c r="E38" s="24">
        <v>1</v>
      </c>
      <c r="F38" s="24" t="s">
        <v>115</v>
      </c>
      <c r="G38" s="24">
        <v>1</v>
      </c>
      <c r="H38" s="24"/>
      <c r="I38" s="42" t="str">
        <f>VLOOKUP(D38,Sheet2!H:I,2,0)</f>
        <v>一级</v>
      </c>
      <c r="J38" s="42">
        <f t="shared" si="0"/>
        <v>1</v>
      </c>
      <c r="L38" s="47" t="s">
        <v>122</v>
      </c>
      <c r="M38" s="44">
        <v>1</v>
      </c>
    </row>
    <row r="39" s="42" customFormat="1" spans="1:13">
      <c r="A39" s="24">
        <v>38</v>
      </c>
      <c r="B39" s="24" t="s">
        <v>123</v>
      </c>
      <c r="C39" s="24" t="s">
        <v>10</v>
      </c>
      <c r="D39" s="14" t="s">
        <v>124</v>
      </c>
      <c r="E39" s="24">
        <v>1</v>
      </c>
      <c r="F39" s="24" t="s">
        <v>115</v>
      </c>
      <c r="G39" s="24">
        <v>1</v>
      </c>
      <c r="H39" s="24"/>
      <c r="I39" s="42" t="str">
        <f>VLOOKUP(D39,Sheet2!H:I,2,0)</f>
        <v>一级</v>
      </c>
      <c r="J39" s="42">
        <f t="shared" si="0"/>
        <v>1</v>
      </c>
      <c r="L39" s="47" t="s">
        <v>125</v>
      </c>
      <c r="M39" s="44">
        <v>1</v>
      </c>
    </row>
    <row r="40" s="42" customFormat="1" spans="1:13">
      <c r="A40" s="24">
        <v>39</v>
      </c>
      <c r="B40" s="24" t="s">
        <v>126</v>
      </c>
      <c r="C40" s="24" t="s">
        <v>10</v>
      </c>
      <c r="D40" s="14" t="s">
        <v>127</v>
      </c>
      <c r="E40" s="24">
        <v>1</v>
      </c>
      <c r="F40" s="24" t="s">
        <v>115</v>
      </c>
      <c r="G40" s="24">
        <v>1</v>
      </c>
      <c r="H40" s="24"/>
      <c r="I40" s="42" t="str">
        <f>VLOOKUP(D40,Sheet2!H:I,2,0)</f>
        <v>一级</v>
      </c>
      <c r="J40" s="42">
        <f t="shared" si="0"/>
        <v>1</v>
      </c>
      <c r="L40" s="11" t="s">
        <v>128</v>
      </c>
      <c r="M40" s="44">
        <v>1</v>
      </c>
    </row>
    <row r="41" s="42" customFormat="1" spans="1:13">
      <c r="A41" s="24">
        <v>40</v>
      </c>
      <c r="B41" s="24" t="s">
        <v>129</v>
      </c>
      <c r="C41" s="24" t="s">
        <v>10</v>
      </c>
      <c r="D41" s="14" t="s">
        <v>130</v>
      </c>
      <c r="E41" s="24">
        <v>1</v>
      </c>
      <c r="F41" s="24" t="s">
        <v>115</v>
      </c>
      <c r="G41" s="24">
        <v>1</v>
      </c>
      <c r="H41" s="24"/>
      <c r="I41" s="42" t="str">
        <f>VLOOKUP(D41,Sheet2!H:I,2,0)</f>
        <v>一级</v>
      </c>
      <c r="J41" s="42">
        <f t="shared" si="0"/>
        <v>1</v>
      </c>
      <c r="L41" s="11" t="s">
        <v>131</v>
      </c>
      <c r="M41" s="44">
        <v>1</v>
      </c>
    </row>
    <row r="42" s="42" customFormat="1" spans="1:13">
      <c r="A42" s="24">
        <v>41</v>
      </c>
      <c r="B42" s="24" t="s">
        <v>132</v>
      </c>
      <c r="C42" s="24" t="s">
        <v>10</v>
      </c>
      <c r="D42" s="14" t="s">
        <v>133</v>
      </c>
      <c r="E42" s="24">
        <v>1</v>
      </c>
      <c r="F42" s="24" t="s">
        <v>115</v>
      </c>
      <c r="G42" s="24">
        <v>1</v>
      </c>
      <c r="H42" s="24"/>
      <c r="I42" s="42" t="str">
        <f>VLOOKUP(D42,Sheet2!H:I,2,0)</f>
        <v>一级</v>
      </c>
      <c r="J42" s="42">
        <f t="shared" si="0"/>
        <v>1</v>
      </c>
      <c r="L42" s="11" t="s">
        <v>134</v>
      </c>
      <c r="M42" s="44">
        <v>1</v>
      </c>
    </row>
    <row r="43" s="42" customFormat="1" spans="1:13">
      <c r="A43" s="24">
        <v>42</v>
      </c>
      <c r="B43" s="74" t="s">
        <v>135</v>
      </c>
      <c r="C43" s="24" t="s">
        <v>10</v>
      </c>
      <c r="D43" s="8" t="s">
        <v>136</v>
      </c>
      <c r="E43" s="24">
        <v>1</v>
      </c>
      <c r="F43" s="24" t="s">
        <v>115</v>
      </c>
      <c r="G43" s="24">
        <v>1</v>
      </c>
      <c r="H43" s="24"/>
      <c r="I43" s="42" t="str">
        <f>VLOOKUP(D43,Sheet2!H:I,2,0)</f>
        <v>一级</v>
      </c>
      <c r="J43" s="42">
        <f t="shared" si="0"/>
        <v>1</v>
      </c>
      <c r="L43" s="11" t="s">
        <v>137</v>
      </c>
      <c r="M43" s="44">
        <v>1</v>
      </c>
    </row>
    <row r="44" s="42" customFormat="1" spans="1:13">
      <c r="A44" s="24">
        <v>43</v>
      </c>
      <c r="B44" s="74" t="s">
        <v>138</v>
      </c>
      <c r="C44" s="24" t="s">
        <v>10</v>
      </c>
      <c r="D44" s="8" t="s">
        <v>139</v>
      </c>
      <c r="E44" s="24">
        <v>1</v>
      </c>
      <c r="F44" s="24" t="s">
        <v>115</v>
      </c>
      <c r="G44" s="24">
        <v>1</v>
      </c>
      <c r="H44" s="24"/>
      <c r="I44" s="42" t="str">
        <f>VLOOKUP(D44,Sheet2!H:I,2,0)</f>
        <v>一级</v>
      </c>
      <c r="J44" s="42">
        <f t="shared" si="0"/>
        <v>1</v>
      </c>
      <c r="L44" s="47" t="s">
        <v>140</v>
      </c>
      <c r="M44" s="44">
        <v>1</v>
      </c>
    </row>
    <row r="45" s="42" customFormat="1" spans="1:13">
      <c r="A45" s="24">
        <v>44</v>
      </c>
      <c r="B45" s="24" t="s">
        <v>141</v>
      </c>
      <c r="C45" s="24" t="s">
        <v>10</v>
      </c>
      <c r="D45" s="14" t="s">
        <v>142</v>
      </c>
      <c r="E45" s="24">
        <v>1</v>
      </c>
      <c r="F45" s="24" t="s">
        <v>115</v>
      </c>
      <c r="G45" s="24">
        <v>1</v>
      </c>
      <c r="H45" s="24"/>
      <c r="I45" s="42" t="str">
        <f>VLOOKUP(D45,Sheet2!H:I,2,0)</f>
        <v>一级</v>
      </c>
      <c r="J45" s="42">
        <f t="shared" si="0"/>
        <v>1</v>
      </c>
      <c r="L45" s="47" t="s">
        <v>143</v>
      </c>
      <c r="M45" s="44">
        <v>1</v>
      </c>
    </row>
    <row r="46" s="42" customFormat="1" spans="1:13">
      <c r="A46" s="24">
        <v>45</v>
      </c>
      <c r="B46" s="24" t="s">
        <v>144</v>
      </c>
      <c r="C46" s="24" t="s">
        <v>10</v>
      </c>
      <c r="D46" s="21" t="s">
        <v>145</v>
      </c>
      <c r="E46" s="24">
        <v>1</v>
      </c>
      <c r="F46" s="24" t="s">
        <v>115</v>
      </c>
      <c r="G46" s="24">
        <v>1</v>
      </c>
      <c r="H46" s="24"/>
      <c r="I46" s="42" t="str">
        <f>VLOOKUP(D46,Sheet2!H:I,2,0)</f>
        <v>一级</v>
      </c>
      <c r="J46" s="42">
        <f t="shared" si="0"/>
        <v>1</v>
      </c>
      <c r="L46" s="47" t="s">
        <v>146</v>
      </c>
      <c r="M46" s="44">
        <v>1</v>
      </c>
    </row>
    <row r="47" s="42" customFormat="1" spans="1:13">
      <c r="A47" s="24">
        <v>46</v>
      </c>
      <c r="B47" s="24" t="s">
        <v>147</v>
      </c>
      <c r="C47" s="24" t="s">
        <v>10</v>
      </c>
      <c r="D47" s="22" t="s">
        <v>148</v>
      </c>
      <c r="E47" s="24">
        <v>1</v>
      </c>
      <c r="F47" s="24" t="s">
        <v>115</v>
      </c>
      <c r="G47" s="24">
        <v>1</v>
      </c>
      <c r="H47" s="24"/>
      <c r="I47" s="42" t="str">
        <f>VLOOKUP(D47,Sheet2!H:I,2,0)</f>
        <v>一级</v>
      </c>
      <c r="J47" s="42">
        <f t="shared" si="0"/>
        <v>1</v>
      </c>
      <c r="L47" s="11" t="s">
        <v>149</v>
      </c>
      <c r="M47" s="44">
        <v>1</v>
      </c>
    </row>
    <row r="48" s="42" customFormat="1" spans="1:13">
      <c r="A48" s="24">
        <v>47</v>
      </c>
      <c r="B48" s="24" t="s">
        <v>150</v>
      </c>
      <c r="C48" s="24" t="s">
        <v>10</v>
      </c>
      <c r="D48" s="8" t="s">
        <v>151</v>
      </c>
      <c r="E48" s="24">
        <v>1</v>
      </c>
      <c r="F48" s="24" t="s">
        <v>115</v>
      </c>
      <c r="G48" s="24">
        <v>1</v>
      </c>
      <c r="H48" s="24"/>
      <c r="I48" s="42" t="str">
        <f>VLOOKUP(D48,Sheet2!H:I,2,0)</f>
        <v>一级</v>
      </c>
      <c r="J48" s="42">
        <f t="shared" si="0"/>
        <v>1</v>
      </c>
      <c r="L48" s="11" t="s">
        <v>152</v>
      </c>
      <c r="M48" s="44">
        <v>1</v>
      </c>
    </row>
    <row r="49" s="42" customFormat="1" spans="1:13">
      <c r="A49" s="24">
        <v>48</v>
      </c>
      <c r="B49" s="24" t="s">
        <v>153</v>
      </c>
      <c r="C49" s="24" t="s">
        <v>10</v>
      </c>
      <c r="D49" s="8" t="s">
        <v>154</v>
      </c>
      <c r="E49" s="24">
        <v>1</v>
      </c>
      <c r="F49" s="24" t="s">
        <v>115</v>
      </c>
      <c r="G49" s="24">
        <v>1</v>
      </c>
      <c r="H49" s="24"/>
      <c r="I49" s="42" t="str">
        <f>VLOOKUP(D49,Sheet2!H:I,2,0)</f>
        <v>一级</v>
      </c>
      <c r="J49" s="42">
        <f t="shared" si="0"/>
        <v>1</v>
      </c>
      <c r="L49" s="11" t="s">
        <v>155</v>
      </c>
      <c r="M49" s="44">
        <v>1</v>
      </c>
    </row>
    <row r="50" s="42" customFormat="1" spans="1:13">
      <c r="A50" s="24">
        <v>49</v>
      </c>
      <c r="B50" s="24" t="s">
        <v>156</v>
      </c>
      <c r="C50" s="24" t="s">
        <v>10</v>
      </c>
      <c r="D50" s="23" t="s">
        <v>157</v>
      </c>
      <c r="E50" s="24">
        <v>1</v>
      </c>
      <c r="F50" s="24" t="s">
        <v>115</v>
      </c>
      <c r="G50" s="24">
        <v>1</v>
      </c>
      <c r="H50" s="24"/>
      <c r="I50" s="42" t="str">
        <f>VLOOKUP(D50,Sheet2!H:I,2,0)</f>
        <v>一级</v>
      </c>
      <c r="J50" s="42">
        <f t="shared" si="0"/>
        <v>1</v>
      </c>
      <c r="L50" s="11" t="s">
        <v>158</v>
      </c>
      <c r="M50" s="44">
        <v>1</v>
      </c>
    </row>
    <row r="51" s="42" customFormat="1" spans="1:13">
      <c r="A51" s="24">
        <v>50</v>
      </c>
      <c r="B51" s="24" t="s">
        <v>159</v>
      </c>
      <c r="C51" s="24" t="s">
        <v>10</v>
      </c>
      <c r="D51" s="23" t="s">
        <v>160</v>
      </c>
      <c r="E51" s="24">
        <v>1</v>
      </c>
      <c r="F51" s="24" t="s">
        <v>115</v>
      </c>
      <c r="G51" s="24">
        <v>1</v>
      </c>
      <c r="H51" s="24"/>
      <c r="I51" s="42" t="str">
        <f>VLOOKUP(D51,Sheet2!H:I,2,0)</f>
        <v>一级</v>
      </c>
      <c r="J51" s="42">
        <f t="shared" si="0"/>
        <v>1</v>
      </c>
      <c r="L51" s="11" t="s">
        <v>161</v>
      </c>
      <c r="M51" s="44">
        <v>1</v>
      </c>
    </row>
    <row r="52" s="42" customFormat="1" spans="1:13">
      <c r="A52" s="24">
        <v>51</v>
      </c>
      <c r="B52" s="73" t="s">
        <v>162</v>
      </c>
      <c r="C52" s="24" t="s">
        <v>10</v>
      </c>
      <c r="D52" s="14" t="s">
        <v>163</v>
      </c>
      <c r="E52" s="24">
        <v>1</v>
      </c>
      <c r="F52" s="24" t="s">
        <v>115</v>
      </c>
      <c r="G52" s="24">
        <v>1</v>
      </c>
      <c r="H52" s="24"/>
      <c r="I52" s="42" t="str">
        <f>VLOOKUP(D52,Sheet2!H:I,2,0)</f>
        <v>一级</v>
      </c>
      <c r="J52" s="42">
        <f t="shared" si="0"/>
        <v>1</v>
      </c>
      <c r="L52" s="46" t="s">
        <v>164</v>
      </c>
      <c r="M52" s="44">
        <v>1</v>
      </c>
    </row>
    <row r="53" s="42" customFormat="1" spans="1:13">
      <c r="A53" s="24">
        <v>52</v>
      </c>
      <c r="B53" s="45" t="s">
        <v>165</v>
      </c>
      <c r="C53" s="24" t="s">
        <v>10</v>
      </c>
      <c r="D53" s="14" t="s">
        <v>166</v>
      </c>
      <c r="E53" s="24">
        <v>1</v>
      </c>
      <c r="F53" s="24" t="s">
        <v>115</v>
      </c>
      <c r="G53" s="24">
        <v>1</v>
      </c>
      <c r="H53" s="24"/>
      <c r="I53" s="42" t="str">
        <f>VLOOKUP(D53,Sheet2!H:I,2,0)</f>
        <v>一级</v>
      </c>
      <c r="J53" s="42">
        <f t="shared" si="0"/>
        <v>1</v>
      </c>
      <c r="L53" s="46" t="s">
        <v>167</v>
      </c>
      <c r="M53" s="44">
        <v>1</v>
      </c>
    </row>
    <row r="54" s="42" customFormat="1" spans="1:13">
      <c r="A54" s="24">
        <v>53</v>
      </c>
      <c r="B54" s="24" t="s">
        <v>168</v>
      </c>
      <c r="C54" s="24" t="s">
        <v>10</v>
      </c>
      <c r="D54" s="14" t="s">
        <v>169</v>
      </c>
      <c r="E54" s="24">
        <v>1</v>
      </c>
      <c r="F54" s="24" t="s">
        <v>115</v>
      </c>
      <c r="G54" s="24">
        <v>1</v>
      </c>
      <c r="H54" s="24"/>
      <c r="I54" s="42" t="str">
        <f>VLOOKUP(D54,Sheet2!H:I,2,0)</f>
        <v>一级</v>
      </c>
      <c r="J54" s="42">
        <f t="shared" si="0"/>
        <v>1</v>
      </c>
      <c r="L54" s="11" t="s">
        <v>170</v>
      </c>
      <c r="M54" s="44">
        <v>1</v>
      </c>
    </row>
    <row r="55" s="42" customFormat="1" spans="1:13">
      <c r="A55" s="24">
        <v>54</v>
      </c>
      <c r="B55" s="24" t="s">
        <v>171</v>
      </c>
      <c r="C55" s="24" t="s">
        <v>10</v>
      </c>
      <c r="D55" s="14" t="s">
        <v>172</v>
      </c>
      <c r="E55" s="24">
        <v>1</v>
      </c>
      <c r="F55" s="24" t="s">
        <v>115</v>
      </c>
      <c r="G55" s="24">
        <v>1</v>
      </c>
      <c r="H55" s="24"/>
      <c r="I55" s="42" t="str">
        <f>VLOOKUP(D55,Sheet2!H:I,2,0)</f>
        <v>一级</v>
      </c>
      <c r="J55" s="42">
        <f t="shared" si="0"/>
        <v>1</v>
      </c>
      <c r="L55" s="52" t="s">
        <v>173</v>
      </c>
      <c r="M55" s="44">
        <v>1</v>
      </c>
    </row>
    <row r="56" s="42" customFormat="1" spans="1:13">
      <c r="A56" s="24">
        <v>55</v>
      </c>
      <c r="B56" s="24" t="s">
        <v>174</v>
      </c>
      <c r="C56" s="24" t="s">
        <v>10</v>
      </c>
      <c r="D56" s="14" t="s">
        <v>175</v>
      </c>
      <c r="E56" s="24">
        <v>1</v>
      </c>
      <c r="F56" s="24" t="s">
        <v>115</v>
      </c>
      <c r="G56" s="24">
        <v>1</v>
      </c>
      <c r="H56" s="24"/>
      <c r="I56" s="42" t="str">
        <f>VLOOKUP(D56,Sheet2!H:I,2,0)</f>
        <v>一级</v>
      </c>
      <c r="J56" s="42">
        <f t="shared" si="0"/>
        <v>1</v>
      </c>
      <c r="L56" s="11" t="s">
        <v>176</v>
      </c>
      <c r="M56" s="44">
        <v>1</v>
      </c>
    </row>
    <row r="57" s="42" customFormat="1" spans="1:13">
      <c r="A57" s="24">
        <v>56</v>
      </c>
      <c r="B57" s="24" t="s">
        <v>177</v>
      </c>
      <c r="C57" s="24" t="s">
        <v>10</v>
      </c>
      <c r="D57" s="14" t="s">
        <v>178</v>
      </c>
      <c r="E57" s="24">
        <v>1</v>
      </c>
      <c r="F57" s="24" t="s">
        <v>115</v>
      </c>
      <c r="G57" s="24">
        <v>1</v>
      </c>
      <c r="H57" s="24"/>
      <c r="I57" s="42" t="str">
        <f>VLOOKUP(D57,Sheet2!H:I,2,0)</f>
        <v>一级</v>
      </c>
      <c r="J57" s="42">
        <f t="shared" si="0"/>
        <v>1</v>
      </c>
      <c r="L57" s="11" t="s">
        <v>179</v>
      </c>
      <c r="M57" s="44">
        <v>1</v>
      </c>
    </row>
    <row r="58" s="42" customFormat="1" spans="1:13">
      <c r="A58" s="24">
        <v>57</v>
      </c>
      <c r="B58" s="24" t="s">
        <v>180</v>
      </c>
      <c r="C58" s="24" t="s">
        <v>10</v>
      </c>
      <c r="D58" s="14" t="s">
        <v>181</v>
      </c>
      <c r="E58" s="24">
        <v>1</v>
      </c>
      <c r="F58" s="24" t="s">
        <v>115</v>
      </c>
      <c r="G58" s="24">
        <v>1</v>
      </c>
      <c r="H58" s="24"/>
      <c r="I58" s="42" t="str">
        <f>VLOOKUP(D58,Sheet2!H:I,2,0)</f>
        <v>一级</v>
      </c>
      <c r="J58" s="42">
        <f t="shared" si="0"/>
        <v>1</v>
      </c>
      <c r="L58" s="11" t="s">
        <v>182</v>
      </c>
      <c r="M58" s="44">
        <v>1</v>
      </c>
    </row>
    <row r="59" s="42" customFormat="1" spans="1:13">
      <c r="A59" s="24">
        <v>58</v>
      </c>
      <c r="B59" s="24" t="s">
        <v>183</v>
      </c>
      <c r="C59" s="24" t="s">
        <v>10</v>
      </c>
      <c r="D59" s="8" t="s">
        <v>184</v>
      </c>
      <c r="E59" s="24">
        <v>1</v>
      </c>
      <c r="F59" s="24" t="s">
        <v>115</v>
      </c>
      <c r="G59" s="24">
        <v>1</v>
      </c>
      <c r="H59" s="24"/>
      <c r="I59" s="42" t="str">
        <f>VLOOKUP(D59,Sheet2!H:I,2,0)</f>
        <v>一级</v>
      </c>
      <c r="J59" s="42">
        <f t="shared" si="0"/>
        <v>1</v>
      </c>
      <c r="L59" s="11" t="s">
        <v>185</v>
      </c>
      <c r="M59" s="44">
        <v>1</v>
      </c>
    </row>
    <row r="60" s="42" customFormat="1" spans="1:13">
      <c r="A60" s="24">
        <v>59</v>
      </c>
      <c r="B60" s="24" t="s">
        <v>186</v>
      </c>
      <c r="C60" s="24" t="s">
        <v>10</v>
      </c>
      <c r="D60" s="8" t="s">
        <v>187</v>
      </c>
      <c r="E60" s="24">
        <v>1</v>
      </c>
      <c r="F60" s="24" t="s">
        <v>115</v>
      </c>
      <c r="G60" s="24">
        <v>1</v>
      </c>
      <c r="H60" s="24"/>
      <c r="I60" s="42" t="str">
        <f>VLOOKUP(D60,Sheet2!H:I,2,0)</f>
        <v>一级</v>
      </c>
      <c r="J60" s="42">
        <f t="shared" si="0"/>
        <v>1</v>
      </c>
      <c r="L60" s="48" t="s">
        <v>188</v>
      </c>
      <c r="M60" s="44">
        <v>1</v>
      </c>
    </row>
    <row r="61" s="42" customFormat="1" spans="1:13">
      <c r="A61" s="24">
        <v>60</v>
      </c>
      <c r="B61" s="24" t="s">
        <v>189</v>
      </c>
      <c r="C61" s="24" t="s">
        <v>10</v>
      </c>
      <c r="D61" s="20" t="s">
        <v>190</v>
      </c>
      <c r="E61" s="24">
        <v>1</v>
      </c>
      <c r="F61" s="24" t="s">
        <v>115</v>
      </c>
      <c r="G61" s="24">
        <v>1</v>
      </c>
      <c r="H61" s="24"/>
      <c r="I61" s="42" t="str">
        <f>VLOOKUP(D61,Sheet2!H:I,2,0)</f>
        <v>一级</v>
      </c>
      <c r="J61" s="42">
        <f t="shared" si="0"/>
        <v>1</v>
      </c>
      <c r="L61" s="48" t="s">
        <v>191</v>
      </c>
      <c r="M61" s="44">
        <v>1</v>
      </c>
    </row>
    <row r="62" s="42" customFormat="1" spans="1:13">
      <c r="A62" s="24">
        <v>61</v>
      </c>
      <c r="B62" s="74" t="s">
        <v>192</v>
      </c>
      <c r="C62" s="24" t="s">
        <v>10</v>
      </c>
      <c r="D62" s="8" t="s">
        <v>193</v>
      </c>
      <c r="E62" s="24">
        <v>1</v>
      </c>
      <c r="F62" s="24" t="s">
        <v>115</v>
      </c>
      <c r="G62" s="24">
        <v>1</v>
      </c>
      <c r="H62" s="24"/>
      <c r="I62" s="42" t="str">
        <f>VLOOKUP(D62,Sheet2!H:I,2,0)</f>
        <v>一级</v>
      </c>
      <c r="J62" s="42">
        <f t="shared" si="0"/>
        <v>1</v>
      </c>
      <c r="L62" s="47" t="s">
        <v>194</v>
      </c>
      <c r="M62" s="44">
        <v>1</v>
      </c>
    </row>
    <row r="63" s="42" customFormat="1" spans="1:13">
      <c r="A63" s="24">
        <v>62</v>
      </c>
      <c r="B63" s="74" t="s">
        <v>195</v>
      </c>
      <c r="C63" s="24" t="s">
        <v>10</v>
      </c>
      <c r="D63" s="20" t="s">
        <v>196</v>
      </c>
      <c r="E63" s="24">
        <v>1</v>
      </c>
      <c r="F63" s="24" t="s">
        <v>115</v>
      </c>
      <c r="G63" s="24">
        <v>1</v>
      </c>
      <c r="H63" s="24"/>
      <c r="I63" s="42" t="str">
        <f>VLOOKUP(D63,Sheet2!H:I,2,0)</f>
        <v>一级</v>
      </c>
      <c r="J63" s="42">
        <f t="shared" si="0"/>
        <v>1</v>
      </c>
      <c r="L63" s="47" t="s">
        <v>197</v>
      </c>
      <c r="M63" s="44">
        <v>1</v>
      </c>
    </row>
    <row r="64" s="42" customFormat="1" spans="1:13">
      <c r="A64" s="24">
        <v>63</v>
      </c>
      <c r="B64" s="74" t="s">
        <v>198</v>
      </c>
      <c r="C64" s="24" t="s">
        <v>10</v>
      </c>
      <c r="D64" s="20" t="s">
        <v>199</v>
      </c>
      <c r="E64" s="24">
        <v>1</v>
      </c>
      <c r="F64" s="24" t="s">
        <v>115</v>
      </c>
      <c r="G64" s="24">
        <v>1</v>
      </c>
      <c r="H64" s="24"/>
      <c r="I64" s="42" t="str">
        <f>VLOOKUP(D64,Sheet2!H:I,2,0)</f>
        <v>一级</v>
      </c>
      <c r="J64" s="42">
        <f t="shared" si="0"/>
        <v>1</v>
      </c>
      <c r="L64" s="11" t="s">
        <v>200</v>
      </c>
      <c r="M64" s="44">
        <v>1</v>
      </c>
    </row>
    <row r="65" s="42" customFormat="1" spans="1:13">
      <c r="A65" s="24">
        <v>64</v>
      </c>
      <c r="B65" s="24" t="s">
        <v>201</v>
      </c>
      <c r="C65" s="24" t="s">
        <v>10</v>
      </c>
      <c r="D65" s="26" t="s">
        <v>202</v>
      </c>
      <c r="E65" s="24">
        <v>1</v>
      </c>
      <c r="F65" s="24" t="s">
        <v>115</v>
      </c>
      <c r="G65" s="24">
        <v>1</v>
      </c>
      <c r="H65" s="24"/>
      <c r="I65" s="42" t="str">
        <f>VLOOKUP(D65,Sheet2!H:I,2,0)</f>
        <v>一级</v>
      </c>
      <c r="J65" s="42">
        <f t="shared" si="0"/>
        <v>1</v>
      </c>
      <c r="L65" s="11" t="s">
        <v>203</v>
      </c>
      <c r="M65" s="44">
        <v>1</v>
      </c>
    </row>
    <row r="66" s="42" customFormat="1" spans="1:13">
      <c r="A66" s="24">
        <v>65</v>
      </c>
      <c r="B66" s="24" t="s">
        <v>204</v>
      </c>
      <c r="C66" s="24" t="s">
        <v>10</v>
      </c>
      <c r="D66" s="26" t="s">
        <v>205</v>
      </c>
      <c r="E66" s="24">
        <v>1</v>
      </c>
      <c r="F66" s="24" t="s">
        <v>115</v>
      </c>
      <c r="G66" s="24">
        <v>1</v>
      </c>
      <c r="H66" s="24"/>
      <c r="I66" s="42" t="str">
        <f>VLOOKUP(D66,Sheet2!H:I,2,0)</f>
        <v>一级</v>
      </c>
      <c r="J66" s="42">
        <f t="shared" si="0"/>
        <v>1</v>
      </c>
      <c r="L66" s="47" t="s">
        <v>206</v>
      </c>
      <c r="M66" s="44">
        <v>1</v>
      </c>
    </row>
    <row r="67" s="42" customFormat="1" spans="1:13">
      <c r="A67" s="24">
        <v>66</v>
      </c>
      <c r="B67" s="24" t="s">
        <v>207</v>
      </c>
      <c r="C67" s="24" t="s">
        <v>10</v>
      </c>
      <c r="D67" s="14" t="s">
        <v>208</v>
      </c>
      <c r="E67" s="24">
        <v>1</v>
      </c>
      <c r="F67" s="24" t="s">
        <v>115</v>
      </c>
      <c r="G67" s="24">
        <v>1</v>
      </c>
      <c r="H67" s="24"/>
      <c r="I67" s="42" t="str">
        <f>VLOOKUP(D67,Sheet2!H:I,2,0)</f>
        <v>一级</v>
      </c>
      <c r="J67" s="42">
        <f t="shared" ref="J67:J130" si="1">VLOOKUP(D67,L:M,2,0)</f>
        <v>1</v>
      </c>
      <c r="L67" s="54" t="s">
        <v>209</v>
      </c>
      <c r="M67" s="44">
        <v>1</v>
      </c>
    </row>
    <row r="68" s="42" customFormat="1" spans="1:13">
      <c r="A68" s="24">
        <v>67</v>
      </c>
      <c r="B68" s="24" t="s">
        <v>210</v>
      </c>
      <c r="C68" s="24" t="s">
        <v>10</v>
      </c>
      <c r="D68" s="14" t="s">
        <v>211</v>
      </c>
      <c r="E68" s="24">
        <v>1</v>
      </c>
      <c r="F68" s="24" t="s">
        <v>115</v>
      </c>
      <c r="G68" s="24">
        <v>1</v>
      </c>
      <c r="H68" s="24"/>
      <c r="I68" s="42" t="str">
        <f>VLOOKUP(D68,Sheet2!H:I,2,0)</f>
        <v>一级</v>
      </c>
      <c r="J68" s="42">
        <f t="shared" si="1"/>
        <v>1</v>
      </c>
      <c r="L68" s="54" t="s">
        <v>212</v>
      </c>
      <c r="M68" s="44">
        <v>1</v>
      </c>
    </row>
    <row r="69" s="42" customFormat="1" spans="1:13">
      <c r="A69" s="24">
        <v>68</v>
      </c>
      <c r="B69" s="24" t="s">
        <v>213</v>
      </c>
      <c r="C69" s="24" t="s">
        <v>10</v>
      </c>
      <c r="D69" s="14" t="s">
        <v>214</v>
      </c>
      <c r="E69" s="24">
        <v>1</v>
      </c>
      <c r="F69" s="24" t="s">
        <v>115</v>
      </c>
      <c r="G69" s="24">
        <v>1</v>
      </c>
      <c r="H69" s="24"/>
      <c r="I69" s="42" t="str">
        <f>VLOOKUP(D69,Sheet2!H:I,2,0)</f>
        <v>一级</v>
      </c>
      <c r="J69" s="42">
        <f t="shared" si="1"/>
        <v>1</v>
      </c>
      <c r="L69" s="50" t="s">
        <v>215</v>
      </c>
      <c r="M69" s="44">
        <v>1</v>
      </c>
    </row>
    <row r="70" s="42" customFormat="1" spans="1:13">
      <c r="A70" s="24">
        <v>69</v>
      </c>
      <c r="B70" s="24" t="s">
        <v>216</v>
      </c>
      <c r="C70" s="24" t="s">
        <v>10</v>
      </c>
      <c r="D70" s="14" t="s">
        <v>217</v>
      </c>
      <c r="E70" s="24">
        <v>1</v>
      </c>
      <c r="F70" s="24" t="s">
        <v>115</v>
      </c>
      <c r="G70" s="24">
        <v>1</v>
      </c>
      <c r="H70" s="24"/>
      <c r="I70" s="42" t="str">
        <f>VLOOKUP(D70,Sheet2!H:I,2,0)</f>
        <v>一级</v>
      </c>
      <c r="J70" s="42">
        <f t="shared" si="1"/>
        <v>1</v>
      </c>
      <c r="L70" s="48" t="s">
        <v>218</v>
      </c>
      <c r="M70" s="44">
        <v>1</v>
      </c>
    </row>
    <row r="71" s="42" customFormat="1" spans="1:13">
      <c r="A71" s="24">
        <v>70</v>
      </c>
      <c r="B71" s="24" t="s">
        <v>219</v>
      </c>
      <c r="C71" s="24" t="s">
        <v>10</v>
      </c>
      <c r="D71" s="14" t="s">
        <v>220</v>
      </c>
      <c r="E71" s="24">
        <v>1</v>
      </c>
      <c r="F71" s="24" t="s">
        <v>115</v>
      </c>
      <c r="G71" s="24">
        <v>1</v>
      </c>
      <c r="H71" s="24"/>
      <c r="I71" s="42" t="str">
        <f>VLOOKUP(D71,Sheet2!H:I,2,0)</f>
        <v>一级</v>
      </c>
      <c r="J71" s="42">
        <f t="shared" si="1"/>
        <v>1</v>
      </c>
      <c r="L71" s="51" t="s">
        <v>221</v>
      </c>
      <c r="M71" s="44">
        <v>1</v>
      </c>
    </row>
    <row r="72" s="42" customFormat="1" spans="1:13">
      <c r="A72" s="24">
        <v>71</v>
      </c>
      <c r="B72" s="74" t="s">
        <v>222</v>
      </c>
      <c r="C72" s="24" t="s">
        <v>10</v>
      </c>
      <c r="D72" s="8" t="s">
        <v>223</v>
      </c>
      <c r="E72" s="24">
        <v>1</v>
      </c>
      <c r="F72" s="24" t="s">
        <v>115</v>
      </c>
      <c r="G72" s="24">
        <v>1</v>
      </c>
      <c r="H72" s="24"/>
      <c r="I72" s="42" t="str">
        <f>VLOOKUP(D72,Sheet2!H:I,2,0)</f>
        <v>一级</v>
      </c>
      <c r="J72" s="42">
        <f t="shared" si="1"/>
        <v>1</v>
      </c>
      <c r="L72" s="9" t="s">
        <v>224</v>
      </c>
      <c r="M72" s="44">
        <v>1</v>
      </c>
    </row>
    <row r="73" s="42" customFormat="1" spans="1:13">
      <c r="A73" s="24">
        <v>72</v>
      </c>
      <c r="B73" s="24" t="s">
        <v>225</v>
      </c>
      <c r="C73" s="24" t="s">
        <v>10</v>
      </c>
      <c r="D73" s="14" t="s">
        <v>226</v>
      </c>
      <c r="E73" s="24">
        <v>1</v>
      </c>
      <c r="F73" s="24" t="s">
        <v>115</v>
      </c>
      <c r="G73" s="24">
        <v>1</v>
      </c>
      <c r="H73" s="24"/>
      <c r="I73" s="42" t="str">
        <f>VLOOKUP(D73,Sheet2!H:I,2,0)</f>
        <v>一级</v>
      </c>
      <c r="J73" s="42">
        <f t="shared" si="1"/>
        <v>1</v>
      </c>
      <c r="L73" s="9" t="s">
        <v>227</v>
      </c>
      <c r="M73" s="44">
        <v>1</v>
      </c>
    </row>
    <row r="74" s="42" customFormat="1" spans="1:13">
      <c r="A74" s="24">
        <v>73</v>
      </c>
      <c r="B74" s="24" t="s">
        <v>228</v>
      </c>
      <c r="C74" s="24" t="s">
        <v>10</v>
      </c>
      <c r="D74" s="14" t="s">
        <v>229</v>
      </c>
      <c r="E74" s="24">
        <v>1</v>
      </c>
      <c r="F74" s="24" t="s">
        <v>115</v>
      </c>
      <c r="G74" s="24">
        <v>1</v>
      </c>
      <c r="H74" s="24"/>
      <c r="I74" s="42" t="str">
        <f>VLOOKUP(D74,Sheet2!H:I,2,0)</f>
        <v>一级</v>
      </c>
      <c r="J74" s="42">
        <f t="shared" si="1"/>
        <v>1</v>
      </c>
      <c r="L74" s="47" t="s">
        <v>230</v>
      </c>
      <c r="M74" s="44">
        <v>1</v>
      </c>
    </row>
    <row r="75" s="42" customFormat="1" spans="1:13">
      <c r="A75" s="24">
        <v>74</v>
      </c>
      <c r="B75" s="24" t="s">
        <v>231</v>
      </c>
      <c r="C75" s="24" t="s">
        <v>10</v>
      </c>
      <c r="D75" s="14" t="s">
        <v>232</v>
      </c>
      <c r="E75" s="24">
        <v>1</v>
      </c>
      <c r="F75" s="24" t="s">
        <v>115</v>
      </c>
      <c r="G75" s="24">
        <v>1</v>
      </c>
      <c r="H75" s="24"/>
      <c r="I75" s="42" t="str">
        <f>VLOOKUP(D75,Sheet2!H:I,2,0)</f>
        <v>一级</v>
      </c>
      <c r="J75" s="42">
        <f t="shared" si="1"/>
        <v>1</v>
      </c>
      <c r="L75" s="47" t="s">
        <v>233</v>
      </c>
      <c r="M75" s="44">
        <v>1</v>
      </c>
    </row>
    <row r="76" s="42" customFormat="1" spans="1:13">
      <c r="A76" s="24">
        <v>75</v>
      </c>
      <c r="B76" s="24" t="s">
        <v>234</v>
      </c>
      <c r="C76" s="24" t="s">
        <v>10</v>
      </c>
      <c r="D76" s="14" t="s">
        <v>235</v>
      </c>
      <c r="E76" s="24">
        <v>1</v>
      </c>
      <c r="F76" s="24" t="s">
        <v>115</v>
      </c>
      <c r="G76" s="24">
        <v>1</v>
      </c>
      <c r="H76" s="24"/>
      <c r="I76" s="42" t="str">
        <f>VLOOKUP(D76,Sheet2!H:I,2,0)</f>
        <v>一级</v>
      </c>
      <c r="J76" s="42">
        <f t="shared" si="1"/>
        <v>1</v>
      </c>
      <c r="L76" s="47" t="s">
        <v>236</v>
      </c>
      <c r="M76" s="44">
        <v>1</v>
      </c>
    </row>
    <row r="77" s="42" customFormat="1" spans="1:13">
      <c r="A77" s="24">
        <v>76</v>
      </c>
      <c r="B77" s="24" t="s">
        <v>237</v>
      </c>
      <c r="C77" s="24" t="s">
        <v>10</v>
      </c>
      <c r="D77" s="14" t="s">
        <v>238</v>
      </c>
      <c r="E77" s="24">
        <v>1</v>
      </c>
      <c r="F77" s="24" t="s">
        <v>115</v>
      </c>
      <c r="G77" s="24">
        <v>1</v>
      </c>
      <c r="H77" s="24"/>
      <c r="I77" s="42" t="str">
        <f>VLOOKUP(D77,Sheet2!H:I,2,0)</f>
        <v>一级</v>
      </c>
      <c r="J77" s="42">
        <f t="shared" si="1"/>
        <v>1</v>
      </c>
      <c r="L77" s="47" t="s">
        <v>239</v>
      </c>
      <c r="M77" s="44">
        <v>1</v>
      </c>
    </row>
    <row r="78" s="42" customFormat="1" spans="1:13">
      <c r="A78" s="24">
        <v>77</v>
      </c>
      <c r="B78" s="74" t="s">
        <v>240</v>
      </c>
      <c r="C78" s="24" t="s">
        <v>10</v>
      </c>
      <c r="D78" s="8" t="s">
        <v>241</v>
      </c>
      <c r="E78" s="24">
        <v>1</v>
      </c>
      <c r="F78" s="24" t="s">
        <v>115</v>
      </c>
      <c r="G78" s="24">
        <v>1</v>
      </c>
      <c r="H78" s="24"/>
      <c r="I78" s="42" t="str">
        <f>VLOOKUP(D78,Sheet2!H:I,2,0)</f>
        <v>一级</v>
      </c>
      <c r="J78" s="42">
        <f t="shared" si="1"/>
        <v>1</v>
      </c>
      <c r="L78" s="46" t="s">
        <v>242</v>
      </c>
      <c r="M78" s="44">
        <v>1</v>
      </c>
    </row>
    <row r="79" s="42" customFormat="1" spans="1:13">
      <c r="A79" s="24">
        <v>78</v>
      </c>
      <c r="B79" s="74" t="s">
        <v>243</v>
      </c>
      <c r="C79" s="24" t="s">
        <v>10</v>
      </c>
      <c r="D79" s="8" t="s">
        <v>244</v>
      </c>
      <c r="E79" s="24">
        <v>1</v>
      </c>
      <c r="F79" s="24" t="s">
        <v>115</v>
      </c>
      <c r="G79" s="24">
        <v>1</v>
      </c>
      <c r="H79" s="24"/>
      <c r="I79" s="42" t="str">
        <f>VLOOKUP(D79,Sheet2!H:I,2,0)</f>
        <v>一级</v>
      </c>
      <c r="J79" s="42">
        <f t="shared" si="1"/>
        <v>1</v>
      </c>
      <c r="L79" s="46" t="s">
        <v>245</v>
      </c>
      <c r="M79" s="44">
        <v>1</v>
      </c>
    </row>
    <row r="80" s="42" customFormat="1" spans="1:13">
      <c r="A80" s="24">
        <v>79</v>
      </c>
      <c r="B80" s="74" t="s">
        <v>246</v>
      </c>
      <c r="C80" s="24" t="s">
        <v>10</v>
      </c>
      <c r="D80" s="2" t="s">
        <v>247</v>
      </c>
      <c r="E80" s="24">
        <v>1</v>
      </c>
      <c r="F80" s="24" t="s">
        <v>115</v>
      </c>
      <c r="G80" s="24">
        <v>1</v>
      </c>
      <c r="H80" s="24"/>
      <c r="I80" s="42" t="str">
        <f>VLOOKUP(D80,Sheet2!H:I,2,0)</f>
        <v>一级</v>
      </c>
      <c r="J80" s="42">
        <f t="shared" si="1"/>
        <v>1</v>
      </c>
      <c r="L80" s="46" t="s">
        <v>248</v>
      </c>
      <c r="M80" s="44">
        <v>1</v>
      </c>
    </row>
    <row r="81" s="42" customFormat="1" spans="1:13">
      <c r="A81" s="24">
        <v>80</v>
      </c>
      <c r="B81" s="74" t="s">
        <v>249</v>
      </c>
      <c r="C81" s="24" t="s">
        <v>10</v>
      </c>
      <c r="D81" s="2" t="s">
        <v>250</v>
      </c>
      <c r="E81" s="24">
        <v>1</v>
      </c>
      <c r="F81" s="24" t="s">
        <v>115</v>
      </c>
      <c r="G81" s="24">
        <v>1</v>
      </c>
      <c r="H81" s="24"/>
      <c r="I81" s="42" t="str">
        <f>VLOOKUP(D81,Sheet2!H:I,2,0)</f>
        <v>一级</v>
      </c>
      <c r="J81" s="42">
        <f t="shared" si="1"/>
        <v>1</v>
      </c>
      <c r="L81" s="46" t="s">
        <v>251</v>
      </c>
      <c r="M81" s="44">
        <v>1</v>
      </c>
    </row>
    <row r="82" s="42" customFormat="1" spans="1:13">
      <c r="A82" s="24">
        <v>81</v>
      </c>
      <c r="B82" s="74" t="s">
        <v>252</v>
      </c>
      <c r="C82" s="24" t="s">
        <v>10</v>
      </c>
      <c r="D82" s="14" t="s">
        <v>253</v>
      </c>
      <c r="E82" s="24">
        <v>1</v>
      </c>
      <c r="F82" s="24" t="s">
        <v>115</v>
      </c>
      <c r="G82" s="24">
        <v>1</v>
      </c>
      <c r="H82" s="24"/>
      <c r="I82" s="42" t="str">
        <f>VLOOKUP(D82,Sheet2!H:I,2,0)</f>
        <v>一级</v>
      </c>
      <c r="J82" s="42">
        <f t="shared" si="1"/>
        <v>1</v>
      </c>
      <c r="L82" s="46" t="s">
        <v>254</v>
      </c>
      <c r="M82" s="44">
        <v>1</v>
      </c>
    </row>
    <row r="83" s="42" customFormat="1" spans="1:13">
      <c r="A83" s="24">
        <v>82</v>
      </c>
      <c r="B83" s="74" t="s">
        <v>255</v>
      </c>
      <c r="C83" s="24" t="s">
        <v>10</v>
      </c>
      <c r="D83" s="14" t="s">
        <v>256</v>
      </c>
      <c r="E83" s="24">
        <v>1</v>
      </c>
      <c r="F83" s="24" t="s">
        <v>115</v>
      </c>
      <c r="G83" s="24">
        <v>1</v>
      </c>
      <c r="H83" s="24"/>
      <c r="I83" s="42" t="str">
        <f>VLOOKUP(D83,Sheet2!H:I,2,0)</f>
        <v>一级</v>
      </c>
      <c r="J83" s="42">
        <f t="shared" si="1"/>
        <v>1</v>
      </c>
      <c r="L83" s="46" t="s">
        <v>257</v>
      </c>
      <c r="M83" s="44">
        <v>1</v>
      </c>
    </row>
    <row r="84" s="42" customFormat="1" spans="1:13">
      <c r="A84" s="24">
        <v>83</v>
      </c>
      <c r="B84" s="74" t="s">
        <v>258</v>
      </c>
      <c r="C84" s="24" t="s">
        <v>10</v>
      </c>
      <c r="D84" s="14" t="s">
        <v>259</v>
      </c>
      <c r="E84" s="24">
        <v>1</v>
      </c>
      <c r="F84" s="24" t="s">
        <v>115</v>
      </c>
      <c r="G84" s="24">
        <v>1</v>
      </c>
      <c r="H84" s="24"/>
      <c r="I84" s="42" t="str">
        <f>VLOOKUP(D84,Sheet2!H:I,2,0)</f>
        <v>一级</v>
      </c>
      <c r="J84" s="42">
        <f t="shared" si="1"/>
        <v>1</v>
      </c>
      <c r="L84" s="47" t="s">
        <v>260</v>
      </c>
      <c r="M84" s="44">
        <v>1</v>
      </c>
    </row>
    <row r="85" s="42" customFormat="1" spans="1:13">
      <c r="A85" s="24">
        <v>84</v>
      </c>
      <c r="B85" s="74" t="s">
        <v>261</v>
      </c>
      <c r="C85" s="24" t="s">
        <v>10</v>
      </c>
      <c r="D85" s="14" t="s">
        <v>262</v>
      </c>
      <c r="E85" s="24">
        <v>1</v>
      </c>
      <c r="F85" s="24" t="s">
        <v>115</v>
      </c>
      <c r="G85" s="24">
        <v>1</v>
      </c>
      <c r="H85" s="24"/>
      <c r="I85" s="42" t="str">
        <f>VLOOKUP(D85,Sheet2!H:I,2,0)</f>
        <v>一级</v>
      </c>
      <c r="J85" s="42">
        <f t="shared" si="1"/>
        <v>1</v>
      </c>
      <c r="L85" s="47" t="s">
        <v>263</v>
      </c>
      <c r="M85" s="44">
        <v>1</v>
      </c>
    </row>
    <row r="86" s="42" customFormat="1" spans="1:13">
      <c r="A86" s="24">
        <v>85</v>
      </c>
      <c r="B86" s="74" t="s">
        <v>264</v>
      </c>
      <c r="C86" s="24" t="s">
        <v>10</v>
      </c>
      <c r="D86" s="14" t="s">
        <v>265</v>
      </c>
      <c r="E86" s="24">
        <v>1</v>
      </c>
      <c r="F86" s="24" t="s">
        <v>115</v>
      </c>
      <c r="G86" s="24">
        <v>1</v>
      </c>
      <c r="H86" s="24"/>
      <c r="I86" s="42" t="str">
        <f>VLOOKUP(D86,Sheet2!H:I,2,0)</f>
        <v>一级</v>
      </c>
      <c r="J86" s="42">
        <f t="shared" si="1"/>
        <v>1</v>
      </c>
      <c r="L86" s="47" t="s">
        <v>266</v>
      </c>
      <c r="M86" s="44">
        <v>1</v>
      </c>
    </row>
    <row r="87" s="42" customFormat="1" spans="1:13">
      <c r="A87" s="24">
        <v>86</v>
      </c>
      <c r="B87" s="74" t="s">
        <v>267</v>
      </c>
      <c r="C87" s="24" t="s">
        <v>10</v>
      </c>
      <c r="D87" s="14" t="s">
        <v>268</v>
      </c>
      <c r="E87" s="24">
        <v>1</v>
      </c>
      <c r="F87" s="24" t="s">
        <v>115</v>
      </c>
      <c r="G87" s="24">
        <v>1</v>
      </c>
      <c r="H87" s="24"/>
      <c r="I87" s="42" t="str">
        <f>VLOOKUP(D87,Sheet2!H:I,2,0)</f>
        <v>一级</v>
      </c>
      <c r="J87" s="42">
        <f t="shared" si="1"/>
        <v>1</v>
      </c>
      <c r="L87" s="47" t="s">
        <v>269</v>
      </c>
      <c r="M87" s="44">
        <v>1</v>
      </c>
    </row>
    <row r="88" s="42" customFormat="1" spans="1:13">
      <c r="A88" s="24">
        <v>87</v>
      </c>
      <c r="B88" s="74" t="s">
        <v>270</v>
      </c>
      <c r="C88" s="24" t="s">
        <v>10</v>
      </c>
      <c r="D88" s="14" t="s">
        <v>271</v>
      </c>
      <c r="E88" s="24">
        <v>1</v>
      </c>
      <c r="F88" s="24" t="s">
        <v>115</v>
      </c>
      <c r="G88" s="24">
        <v>1</v>
      </c>
      <c r="H88" s="24"/>
      <c r="I88" s="42" t="str">
        <f>VLOOKUP(D88,Sheet2!H:I,2,0)</f>
        <v>一级</v>
      </c>
      <c r="J88" s="42">
        <f t="shared" si="1"/>
        <v>1</v>
      </c>
      <c r="L88" s="11" t="s">
        <v>272</v>
      </c>
      <c r="M88" s="44">
        <v>1</v>
      </c>
    </row>
    <row r="89" s="42" customFormat="1" spans="1:13">
      <c r="A89" s="24">
        <v>88</v>
      </c>
      <c r="B89" s="74" t="s">
        <v>273</v>
      </c>
      <c r="C89" s="24" t="s">
        <v>10</v>
      </c>
      <c r="D89" s="14" t="s">
        <v>274</v>
      </c>
      <c r="E89" s="24">
        <v>1</v>
      </c>
      <c r="F89" s="24" t="s">
        <v>115</v>
      </c>
      <c r="G89" s="24">
        <v>1</v>
      </c>
      <c r="H89" s="24"/>
      <c r="I89" s="42" t="str">
        <f>VLOOKUP(D89,Sheet2!H:I,2,0)</f>
        <v>一级</v>
      </c>
      <c r="J89" s="42">
        <f t="shared" si="1"/>
        <v>1</v>
      </c>
      <c r="L89" s="55" t="s">
        <v>275</v>
      </c>
      <c r="M89" s="44">
        <v>1</v>
      </c>
    </row>
    <row r="90" s="42" customFormat="1" spans="1:13">
      <c r="A90" s="24">
        <v>89</v>
      </c>
      <c r="B90" s="74" t="s">
        <v>276</v>
      </c>
      <c r="C90" s="24" t="s">
        <v>10</v>
      </c>
      <c r="D90" s="14" t="s">
        <v>277</v>
      </c>
      <c r="E90" s="24">
        <v>1</v>
      </c>
      <c r="F90" s="24" t="s">
        <v>115</v>
      </c>
      <c r="G90" s="24">
        <v>1</v>
      </c>
      <c r="H90" s="24"/>
      <c r="I90" s="42" t="str">
        <f>VLOOKUP(D90,Sheet2!H:I,2,0)</f>
        <v>一级</v>
      </c>
      <c r="J90" s="42">
        <f t="shared" si="1"/>
        <v>1</v>
      </c>
      <c r="L90" s="55" t="s">
        <v>278</v>
      </c>
      <c r="M90" s="44">
        <v>1</v>
      </c>
    </row>
    <row r="91" s="42" customFormat="1" spans="1:13">
      <c r="A91" s="24">
        <v>90</v>
      </c>
      <c r="B91" s="74" t="s">
        <v>279</v>
      </c>
      <c r="C91" s="24" t="s">
        <v>10</v>
      </c>
      <c r="D91" s="14" t="s">
        <v>280</v>
      </c>
      <c r="E91" s="24">
        <v>1</v>
      </c>
      <c r="F91" s="24" t="s">
        <v>115</v>
      </c>
      <c r="G91" s="24">
        <v>1</v>
      </c>
      <c r="H91" s="24"/>
      <c r="I91" s="42" t="str">
        <f>VLOOKUP(D91,Sheet2!H:I,2,0)</f>
        <v>一级</v>
      </c>
      <c r="J91" s="42">
        <f t="shared" si="1"/>
        <v>1</v>
      </c>
      <c r="L91" s="55" t="s">
        <v>281</v>
      </c>
      <c r="M91" s="44">
        <v>1</v>
      </c>
    </row>
    <row r="92" s="42" customFormat="1" spans="1:13">
      <c r="A92" s="24">
        <v>91</v>
      </c>
      <c r="B92" s="74" t="s">
        <v>282</v>
      </c>
      <c r="C92" s="24" t="s">
        <v>10</v>
      </c>
      <c r="D92" s="14" t="s">
        <v>283</v>
      </c>
      <c r="E92" s="24">
        <v>1</v>
      </c>
      <c r="F92" s="24" t="s">
        <v>115</v>
      </c>
      <c r="G92" s="24">
        <v>1</v>
      </c>
      <c r="H92" s="24"/>
      <c r="I92" s="42" t="str">
        <f>VLOOKUP(D92,Sheet2!H:I,2,0)</f>
        <v>一级</v>
      </c>
      <c r="J92" s="42">
        <f t="shared" si="1"/>
        <v>1</v>
      </c>
      <c r="L92" s="11" t="s">
        <v>284</v>
      </c>
      <c r="M92" s="44">
        <v>1</v>
      </c>
    </row>
    <row r="93" s="42" customFormat="1" spans="1:13">
      <c r="A93" s="24">
        <v>92</v>
      </c>
      <c r="B93" s="74" t="s">
        <v>285</v>
      </c>
      <c r="C93" s="24" t="s">
        <v>10</v>
      </c>
      <c r="D93" s="33" t="s">
        <v>286</v>
      </c>
      <c r="E93" s="24">
        <v>1</v>
      </c>
      <c r="F93" s="24" t="s">
        <v>115</v>
      </c>
      <c r="G93" s="24">
        <v>1</v>
      </c>
      <c r="H93" s="24"/>
      <c r="I93" s="42" t="str">
        <f>VLOOKUP(D93,Sheet2!H:I,2,0)</f>
        <v>一级</v>
      </c>
      <c r="J93" s="42">
        <f t="shared" si="1"/>
        <v>1</v>
      </c>
      <c r="L93" s="11" t="s">
        <v>287</v>
      </c>
      <c r="M93" s="44">
        <v>1</v>
      </c>
    </row>
    <row r="94" s="42" customFormat="1" spans="1:13">
      <c r="A94" s="24">
        <v>93</v>
      </c>
      <c r="B94" s="74" t="s">
        <v>288</v>
      </c>
      <c r="C94" s="24" t="s">
        <v>10</v>
      </c>
      <c r="D94" s="33" t="s">
        <v>289</v>
      </c>
      <c r="E94" s="24">
        <v>1</v>
      </c>
      <c r="F94" s="24" t="s">
        <v>115</v>
      </c>
      <c r="G94" s="24">
        <v>1</v>
      </c>
      <c r="H94" s="24"/>
      <c r="I94" s="42" t="str">
        <f>VLOOKUP(D94,Sheet2!H:I,2,0)</f>
        <v>一级</v>
      </c>
      <c r="J94" s="42">
        <f t="shared" si="1"/>
        <v>1</v>
      </c>
      <c r="L94" s="11" t="s">
        <v>290</v>
      </c>
      <c r="M94" s="44">
        <v>1</v>
      </c>
    </row>
    <row r="95" s="42" customFormat="1" spans="1:13">
      <c r="A95" s="24">
        <v>94</v>
      </c>
      <c r="B95" s="74" t="s">
        <v>291</v>
      </c>
      <c r="C95" s="24" t="s">
        <v>10</v>
      </c>
      <c r="D95" s="14" t="s">
        <v>292</v>
      </c>
      <c r="E95" s="24">
        <v>1</v>
      </c>
      <c r="F95" s="24" t="s">
        <v>115</v>
      </c>
      <c r="G95" s="24">
        <v>1</v>
      </c>
      <c r="H95" s="24"/>
      <c r="I95" s="42" t="str">
        <f>VLOOKUP(D95,Sheet2!H:I,2,0)</f>
        <v>一级</v>
      </c>
      <c r="J95" s="42">
        <f t="shared" si="1"/>
        <v>1</v>
      </c>
      <c r="L95" s="46" t="s">
        <v>293</v>
      </c>
      <c r="M95" s="44">
        <v>1</v>
      </c>
    </row>
    <row r="96" s="42" customFormat="1" spans="1:13">
      <c r="A96" s="24">
        <v>95</v>
      </c>
      <c r="B96" s="74" t="s">
        <v>294</v>
      </c>
      <c r="C96" s="24" t="s">
        <v>10</v>
      </c>
      <c r="D96" s="14" t="s">
        <v>295</v>
      </c>
      <c r="E96" s="24">
        <v>1</v>
      </c>
      <c r="F96" s="24" t="s">
        <v>115</v>
      </c>
      <c r="G96" s="24">
        <v>1</v>
      </c>
      <c r="H96" s="24"/>
      <c r="I96" s="42" t="str">
        <f>VLOOKUP(D96,Sheet2!H:I,2,0)</f>
        <v>一级</v>
      </c>
      <c r="J96" s="42">
        <f t="shared" si="1"/>
        <v>1</v>
      </c>
      <c r="L96" s="46" t="s">
        <v>296</v>
      </c>
      <c r="M96" s="44">
        <v>1</v>
      </c>
    </row>
    <row r="97" s="42" customFormat="1" spans="1:13">
      <c r="A97" s="24">
        <v>96</v>
      </c>
      <c r="B97" s="74" t="s">
        <v>297</v>
      </c>
      <c r="C97" s="24" t="s">
        <v>10</v>
      </c>
      <c r="D97" s="24" t="s">
        <v>298</v>
      </c>
      <c r="E97" s="24">
        <v>1</v>
      </c>
      <c r="F97" s="24" t="s">
        <v>115</v>
      </c>
      <c r="G97" s="24">
        <v>1</v>
      </c>
      <c r="H97" s="24"/>
      <c r="I97" s="42" t="str">
        <f>VLOOKUP(D97,Sheet2!H:I,2,0)</f>
        <v>一级</v>
      </c>
      <c r="J97" s="42">
        <f t="shared" si="1"/>
        <v>1</v>
      </c>
      <c r="L97" s="46" t="s">
        <v>299</v>
      </c>
      <c r="M97" s="44" t="s">
        <v>300</v>
      </c>
    </row>
    <row r="98" s="42" customFormat="1" spans="1:13">
      <c r="A98" s="24">
        <v>97</v>
      </c>
      <c r="B98" s="53" t="s">
        <v>301</v>
      </c>
      <c r="C98" s="24" t="s">
        <v>10</v>
      </c>
      <c r="D98" s="36" t="s">
        <v>302</v>
      </c>
      <c r="E98" s="36">
        <v>1</v>
      </c>
      <c r="F98" s="36" t="s">
        <v>303</v>
      </c>
      <c r="G98" s="36">
        <v>1</v>
      </c>
      <c r="H98" s="24"/>
      <c r="I98" s="42" t="str">
        <f>VLOOKUP(D98,Sheet2!H:I,2,0)</f>
        <v>一级</v>
      </c>
      <c r="J98" s="42">
        <f t="shared" si="1"/>
        <v>1</v>
      </c>
      <c r="L98" s="46" t="s">
        <v>304</v>
      </c>
      <c r="M98" s="44" t="s">
        <v>300</v>
      </c>
    </row>
    <row r="99" s="42" customFormat="1" spans="1:13">
      <c r="A99" s="24">
        <v>99</v>
      </c>
      <c r="B99" s="24" t="s">
        <v>305</v>
      </c>
      <c r="C99" s="24" t="s">
        <v>306</v>
      </c>
      <c r="D99" s="8" t="s">
        <v>307</v>
      </c>
      <c r="E99" s="24">
        <v>1</v>
      </c>
      <c r="F99" s="24" t="s">
        <v>308</v>
      </c>
      <c r="G99" s="24">
        <v>1</v>
      </c>
      <c r="H99" s="24"/>
      <c r="I99" s="42" t="str">
        <f>VLOOKUP(D99,Sheet2!H:I,2,0)</f>
        <v>一级</v>
      </c>
      <c r="J99" s="42">
        <f t="shared" si="1"/>
        <v>1</v>
      </c>
      <c r="L99" s="46" t="s">
        <v>309</v>
      </c>
      <c r="M99" s="44" t="s">
        <v>300</v>
      </c>
    </row>
    <row r="100" s="42" customFormat="1" spans="1:13">
      <c r="A100" s="24">
        <v>100</v>
      </c>
      <c r="B100" s="73" t="s">
        <v>310</v>
      </c>
      <c r="C100" s="24" t="s">
        <v>10</v>
      </c>
      <c r="D100" s="14" t="s">
        <v>311</v>
      </c>
      <c r="E100" s="24">
        <v>1</v>
      </c>
      <c r="F100" s="36" t="s">
        <v>312</v>
      </c>
      <c r="G100" s="24">
        <v>1</v>
      </c>
      <c r="H100" s="24"/>
      <c r="I100" s="42" t="str">
        <f>VLOOKUP(D100,Sheet2!H:I,2,0)</f>
        <v>一级</v>
      </c>
      <c r="J100" s="42">
        <f t="shared" si="1"/>
        <v>1</v>
      </c>
      <c r="L100" s="46" t="s">
        <v>313</v>
      </c>
      <c r="M100" s="44">
        <v>1</v>
      </c>
    </row>
    <row r="101" s="42" customFormat="1" spans="1:13">
      <c r="A101" s="24">
        <v>101</v>
      </c>
      <c r="B101" s="73" t="s">
        <v>314</v>
      </c>
      <c r="C101" s="24" t="s">
        <v>10</v>
      </c>
      <c r="D101" s="20" t="s">
        <v>315</v>
      </c>
      <c r="E101" s="24">
        <v>1</v>
      </c>
      <c r="F101" s="36" t="s">
        <v>312</v>
      </c>
      <c r="G101" s="24">
        <v>1</v>
      </c>
      <c r="H101" s="24"/>
      <c r="I101" s="42" t="str">
        <f>VLOOKUP(D101,Sheet2!H:I,2,0)</f>
        <v>一级</v>
      </c>
      <c r="J101" s="42">
        <f t="shared" si="1"/>
        <v>1</v>
      </c>
      <c r="L101" s="46" t="s">
        <v>316</v>
      </c>
      <c r="M101" s="44">
        <v>1</v>
      </c>
    </row>
    <row r="102" s="42" customFormat="1" spans="1:13">
      <c r="A102" s="24">
        <v>102</v>
      </c>
      <c r="B102" s="75" t="s">
        <v>317</v>
      </c>
      <c r="C102" s="24" t="s">
        <v>10</v>
      </c>
      <c r="D102" s="27" t="s">
        <v>318</v>
      </c>
      <c r="E102" s="24">
        <v>1</v>
      </c>
      <c r="F102" s="36" t="s">
        <v>312</v>
      </c>
      <c r="G102" s="24">
        <v>1</v>
      </c>
      <c r="H102" s="24"/>
      <c r="I102" s="42" t="str">
        <f>VLOOKUP(D102,Sheet2!H:I,2,0)</f>
        <v>一级</v>
      </c>
      <c r="J102" s="42">
        <f t="shared" si="1"/>
        <v>1</v>
      </c>
      <c r="L102" s="46" t="s">
        <v>319</v>
      </c>
      <c r="M102" s="44">
        <v>1</v>
      </c>
    </row>
    <row r="103" s="42" customFormat="1" spans="1:13">
      <c r="A103" s="24">
        <v>103</v>
      </c>
      <c r="B103" s="24" t="s">
        <v>320</v>
      </c>
      <c r="C103" s="24" t="s">
        <v>10</v>
      </c>
      <c r="D103" s="17" t="s">
        <v>321</v>
      </c>
      <c r="E103" s="24">
        <v>1</v>
      </c>
      <c r="F103" s="36" t="s">
        <v>312</v>
      </c>
      <c r="G103" s="24">
        <v>1</v>
      </c>
      <c r="H103" s="24"/>
      <c r="I103" s="42" t="str">
        <f>VLOOKUP(D103,Sheet2!H:I,2,0)</f>
        <v>一级</v>
      </c>
      <c r="J103" s="42">
        <f t="shared" si="1"/>
        <v>1</v>
      </c>
      <c r="L103" s="56" t="s">
        <v>322</v>
      </c>
      <c r="M103" s="44">
        <v>1</v>
      </c>
    </row>
    <row r="104" s="42" customFormat="1" spans="1:13">
      <c r="A104" s="24">
        <v>104</v>
      </c>
      <c r="B104" s="73" t="s">
        <v>323</v>
      </c>
      <c r="C104" s="24" t="s">
        <v>10</v>
      </c>
      <c r="D104" s="14" t="s">
        <v>324</v>
      </c>
      <c r="E104" s="24">
        <v>1</v>
      </c>
      <c r="F104" s="36" t="s">
        <v>312</v>
      </c>
      <c r="G104" s="24">
        <v>1</v>
      </c>
      <c r="H104" s="24"/>
      <c r="I104" s="42" t="str">
        <f>VLOOKUP(D104,Sheet2!H:I,2,0)</f>
        <v>一级</v>
      </c>
      <c r="J104" s="42">
        <f t="shared" si="1"/>
        <v>1</v>
      </c>
      <c r="L104" s="46" t="s">
        <v>325</v>
      </c>
      <c r="M104" s="44" t="s">
        <v>300</v>
      </c>
    </row>
    <row r="105" s="42" customFormat="1" spans="1:13">
      <c r="A105" s="24">
        <v>105</v>
      </c>
      <c r="B105" s="73" t="s">
        <v>326</v>
      </c>
      <c r="C105" s="24" t="s">
        <v>10</v>
      </c>
      <c r="D105" s="14" t="s">
        <v>327</v>
      </c>
      <c r="E105" s="24">
        <v>2</v>
      </c>
      <c r="F105" s="36" t="s">
        <v>312</v>
      </c>
      <c r="G105" s="24">
        <v>2</v>
      </c>
      <c r="H105" s="24"/>
      <c r="I105" s="42" t="str">
        <f>VLOOKUP(D105,Sheet2!H:I,2,0)</f>
        <v>二级</v>
      </c>
      <c r="J105" s="42">
        <f t="shared" si="1"/>
        <v>2</v>
      </c>
      <c r="L105" s="46" t="s">
        <v>328</v>
      </c>
      <c r="M105" s="44" t="s">
        <v>300</v>
      </c>
    </row>
    <row r="106" s="42" customFormat="1" spans="1:13">
      <c r="A106" s="24">
        <v>106</v>
      </c>
      <c r="B106" s="24" t="s">
        <v>329</v>
      </c>
      <c r="C106" s="24" t="s">
        <v>10</v>
      </c>
      <c r="D106" s="8" t="s">
        <v>330</v>
      </c>
      <c r="E106" s="24">
        <v>1</v>
      </c>
      <c r="F106" s="36" t="s">
        <v>312</v>
      </c>
      <c r="G106" s="24">
        <v>1</v>
      </c>
      <c r="H106" s="24"/>
      <c r="I106" s="42" t="str">
        <f>VLOOKUP(D106,Sheet2!H:I,2,0)</f>
        <v>一级</v>
      </c>
      <c r="J106" s="42">
        <f t="shared" si="1"/>
        <v>1</v>
      </c>
      <c r="L106" s="46" t="s">
        <v>331</v>
      </c>
      <c r="M106" s="44" t="s">
        <v>300</v>
      </c>
    </row>
    <row r="107" s="42" customFormat="1" spans="1:13">
      <c r="A107" s="24">
        <v>107</v>
      </c>
      <c r="B107" s="73" t="s">
        <v>332</v>
      </c>
      <c r="C107" s="24" t="s">
        <v>10</v>
      </c>
      <c r="D107" s="21" t="s">
        <v>333</v>
      </c>
      <c r="E107" s="24">
        <v>1</v>
      </c>
      <c r="F107" s="36" t="s">
        <v>312</v>
      </c>
      <c r="G107" s="24">
        <v>1</v>
      </c>
      <c r="H107" s="24"/>
      <c r="I107" s="42" t="str">
        <f>VLOOKUP(D107,Sheet2!H:I,2,0)</f>
        <v>一级</v>
      </c>
      <c r="J107" s="42">
        <f t="shared" si="1"/>
        <v>1</v>
      </c>
      <c r="L107" s="46" t="s">
        <v>334</v>
      </c>
      <c r="M107" s="44" t="s">
        <v>300</v>
      </c>
    </row>
    <row r="108" s="42" customFormat="1" spans="1:13">
      <c r="A108" s="24">
        <v>108</v>
      </c>
      <c r="B108" s="73" t="s">
        <v>335</v>
      </c>
      <c r="C108" s="24" t="s">
        <v>10</v>
      </c>
      <c r="D108" s="14" t="s">
        <v>336</v>
      </c>
      <c r="E108" s="24">
        <v>1</v>
      </c>
      <c r="F108" s="36" t="s">
        <v>312</v>
      </c>
      <c r="G108" s="24">
        <v>1</v>
      </c>
      <c r="H108" s="24"/>
      <c r="I108" s="42" t="str">
        <f>VLOOKUP(D108,Sheet2!H:I,2,0)</f>
        <v>一级</v>
      </c>
      <c r="J108" s="42">
        <f t="shared" si="1"/>
        <v>1</v>
      </c>
      <c r="L108" s="50" t="s">
        <v>337</v>
      </c>
      <c r="M108" s="44" t="s">
        <v>300</v>
      </c>
    </row>
    <row r="109" s="42" customFormat="1" spans="1:13">
      <c r="A109" s="24">
        <v>109</v>
      </c>
      <c r="B109" s="74" t="s">
        <v>338</v>
      </c>
      <c r="C109" s="24" t="s">
        <v>10</v>
      </c>
      <c r="D109" s="8" t="s">
        <v>339</v>
      </c>
      <c r="E109" s="24">
        <v>1</v>
      </c>
      <c r="F109" s="36" t="s">
        <v>312</v>
      </c>
      <c r="G109" s="24">
        <v>1</v>
      </c>
      <c r="H109" s="24"/>
      <c r="I109" s="42" t="str">
        <f>VLOOKUP(D109,Sheet2!H:I,2,0)</f>
        <v>一级</v>
      </c>
      <c r="J109" s="42">
        <f t="shared" si="1"/>
        <v>1</v>
      </c>
      <c r="L109" s="11" t="s">
        <v>340</v>
      </c>
      <c r="M109" s="44" t="s">
        <v>300</v>
      </c>
    </row>
    <row r="110" s="42" customFormat="1" spans="1:13">
      <c r="A110" s="24">
        <v>110</v>
      </c>
      <c r="B110" s="74" t="s">
        <v>341</v>
      </c>
      <c r="C110" s="24" t="s">
        <v>10</v>
      </c>
      <c r="D110" s="8" t="s">
        <v>342</v>
      </c>
      <c r="E110" s="24">
        <v>1</v>
      </c>
      <c r="F110" s="36" t="s">
        <v>312</v>
      </c>
      <c r="G110" s="24">
        <v>1</v>
      </c>
      <c r="H110" s="24"/>
      <c r="I110" s="42" t="str">
        <f>VLOOKUP(D110,Sheet2!H:I,2,0)</f>
        <v>一级</v>
      </c>
      <c r="J110" s="42">
        <f t="shared" si="1"/>
        <v>1</v>
      </c>
      <c r="L110" s="11" t="s">
        <v>343</v>
      </c>
      <c r="M110" s="44" t="s">
        <v>300</v>
      </c>
    </row>
    <row r="111" s="42" customFormat="1" spans="1:13">
      <c r="A111" s="24">
        <v>111</v>
      </c>
      <c r="B111" s="74" t="s">
        <v>344</v>
      </c>
      <c r="C111" s="24" t="s">
        <v>10</v>
      </c>
      <c r="D111" s="8" t="s">
        <v>345</v>
      </c>
      <c r="E111" s="24">
        <v>1</v>
      </c>
      <c r="F111" s="36" t="s">
        <v>312</v>
      </c>
      <c r="G111" s="24">
        <v>1</v>
      </c>
      <c r="H111" s="24"/>
      <c r="I111" s="42" t="str">
        <f>VLOOKUP(D111,Sheet2!H:I,2,0)</f>
        <v>一级</v>
      </c>
      <c r="J111" s="42">
        <f t="shared" si="1"/>
        <v>1</v>
      </c>
      <c r="L111" s="46" t="s">
        <v>346</v>
      </c>
      <c r="M111" s="44" t="s">
        <v>300</v>
      </c>
    </row>
    <row r="112" s="42" customFormat="1" spans="1:13">
      <c r="A112" s="24">
        <v>112</v>
      </c>
      <c r="B112" s="74" t="s">
        <v>347</v>
      </c>
      <c r="C112" s="24" t="s">
        <v>10</v>
      </c>
      <c r="D112" s="8" t="s">
        <v>348</v>
      </c>
      <c r="E112" s="24">
        <v>2</v>
      </c>
      <c r="F112" s="36" t="s">
        <v>312</v>
      </c>
      <c r="G112" s="24">
        <v>2</v>
      </c>
      <c r="H112" s="24"/>
      <c r="I112" s="42" t="str">
        <f>VLOOKUP(D112,Sheet2!H:I,2,0)</f>
        <v>二级</v>
      </c>
      <c r="J112" s="42">
        <f t="shared" si="1"/>
        <v>2</v>
      </c>
      <c r="L112" s="46" t="s">
        <v>349</v>
      </c>
      <c r="M112" s="44" t="s">
        <v>300</v>
      </c>
    </row>
    <row r="113" s="42" customFormat="1" spans="1:13">
      <c r="A113" s="24">
        <v>113</v>
      </c>
      <c r="B113" s="74" t="s">
        <v>350</v>
      </c>
      <c r="C113" s="24" t="s">
        <v>10</v>
      </c>
      <c r="D113" s="24" t="s">
        <v>351</v>
      </c>
      <c r="E113" s="24">
        <v>1</v>
      </c>
      <c r="F113" s="36" t="s">
        <v>312</v>
      </c>
      <c r="G113" s="24">
        <v>1</v>
      </c>
      <c r="H113" s="24"/>
      <c r="I113" s="42" t="str">
        <f>VLOOKUP(D113,Sheet2!H:I,2,0)</f>
        <v>一级</v>
      </c>
      <c r="J113" s="42">
        <f t="shared" si="1"/>
        <v>1</v>
      </c>
      <c r="L113" s="9" t="s">
        <v>352</v>
      </c>
      <c r="M113" s="44" t="s">
        <v>300</v>
      </c>
    </row>
    <row r="114" s="42" customFormat="1" spans="1:13">
      <c r="A114" s="24">
        <v>114</v>
      </c>
      <c r="B114" s="45" t="s">
        <v>353</v>
      </c>
      <c r="C114" s="24" t="s">
        <v>10</v>
      </c>
      <c r="D114" s="14" t="s">
        <v>25</v>
      </c>
      <c r="E114" s="24">
        <v>1</v>
      </c>
      <c r="F114" s="36" t="s">
        <v>354</v>
      </c>
      <c r="G114" s="24">
        <v>1</v>
      </c>
      <c r="H114" s="24"/>
      <c r="I114" s="42" t="str">
        <f>VLOOKUP(D114,Sheet2!H:I,2,0)</f>
        <v>一级</v>
      </c>
      <c r="J114" s="42">
        <f t="shared" si="1"/>
        <v>1</v>
      </c>
      <c r="L114" s="11" t="s">
        <v>355</v>
      </c>
      <c r="M114" s="44" t="s">
        <v>300</v>
      </c>
    </row>
    <row r="115" s="42" customFormat="1" spans="1:13">
      <c r="A115" s="24">
        <v>115</v>
      </c>
      <c r="B115" s="45" t="s">
        <v>356</v>
      </c>
      <c r="C115" s="24" t="s">
        <v>10</v>
      </c>
      <c r="D115" s="14" t="s">
        <v>28</v>
      </c>
      <c r="E115" s="24">
        <v>1</v>
      </c>
      <c r="F115" s="36" t="s">
        <v>354</v>
      </c>
      <c r="G115" s="24">
        <v>1</v>
      </c>
      <c r="H115" s="24"/>
      <c r="I115" s="42" t="str">
        <f>VLOOKUP(D115,Sheet2!H:I,2,0)</f>
        <v>一级</v>
      </c>
      <c r="J115" s="42">
        <f t="shared" si="1"/>
        <v>1</v>
      </c>
      <c r="L115" s="48" t="s">
        <v>357</v>
      </c>
      <c r="M115" s="44"/>
    </row>
    <row r="116" s="42" customFormat="1" spans="1:13">
      <c r="A116" s="24">
        <v>116</v>
      </c>
      <c r="B116" s="45" t="s">
        <v>358</v>
      </c>
      <c r="C116" s="24" t="s">
        <v>10</v>
      </c>
      <c r="D116" s="20" t="s">
        <v>31</v>
      </c>
      <c r="E116" s="24">
        <v>1</v>
      </c>
      <c r="F116" s="36" t="s">
        <v>354</v>
      </c>
      <c r="G116" s="24">
        <v>1</v>
      </c>
      <c r="H116" s="24"/>
      <c r="I116" s="42" t="str">
        <f>VLOOKUP(D116,Sheet2!H:I,2,0)</f>
        <v>一级</v>
      </c>
      <c r="J116" s="42">
        <f t="shared" si="1"/>
        <v>1</v>
      </c>
      <c r="L116" s="47" t="s">
        <v>359</v>
      </c>
      <c r="M116" s="44">
        <v>2</v>
      </c>
    </row>
    <row r="117" s="42" customFormat="1" spans="1:13">
      <c r="A117" s="24">
        <v>117</v>
      </c>
      <c r="B117" s="24" t="s">
        <v>360</v>
      </c>
      <c r="C117" s="24" t="s">
        <v>10</v>
      </c>
      <c r="D117" s="20" t="s">
        <v>55</v>
      </c>
      <c r="E117" s="24">
        <v>1</v>
      </c>
      <c r="F117" s="36" t="s">
        <v>354</v>
      </c>
      <c r="G117" s="24">
        <v>1</v>
      </c>
      <c r="H117" s="24"/>
      <c r="I117" s="42" t="str">
        <f>VLOOKUP(D117,Sheet2!H:I,2,0)</f>
        <v>一级</v>
      </c>
      <c r="J117" s="42">
        <f t="shared" si="1"/>
        <v>1</v>
      </c>
      <c r="L117" s="11" t="s">
        <v>114</v>
      </c>
      <c r="M117" s="44">
        <v>2</v>
      </c>
    </row>
    <row r="118" s="42" customFormat="1" spans="1:13">
      <c r="A118" s="24">
        <v>118</v>
      </c>
      <c r="B118" s="45" t="s">
        <v>361</v>
      </c>
      <c r="C118" s="24" t="s">
        <v>10</v>
      </c>
      <c r="D118" s="20" t="s">
        <v>58</v>
      </c>
      <c r="E118" s="24">
        <v>1</v>
      </c>
      <c r="F118" s="36" t="s">
        <v>354</v>
      </c>
      <c r="G118" s="24">
        <v>1</v>
      </c>
      <c r="H118" s="24"/>
      <c r="I118" s="42" t="str">
        <f>VLOOKUP(D118,Sheet2!H:I,2,0)</f>
        <v>一级</v>
      </c>
      <c r="J118" s="42">
        <f t="shared" si="1"/>
        <v>1</v>
      </c>
      <c r="L118" s="11" t="s">
        <v>241</v>
      </c>
      <c r="M118" s="44">
        <v>1</v>
      </c>
    </row>
    <row r="119" s="42" customFormat="1" spans="1:13">
      <c r="A119" s="24">
        <v>119</v>
      </c>
      <c r="B119" s="45" t="s">
        <v>362</v>
      </c>
      <c r="C119" s="24" t="s">
        <v>10</v>
      </c>
      <c r="D119" s="20" t="s">
        <v>61</v>
      </c>
      <c r="E119" s="24">
        <v>1</v>
      </c>
      <c r="F119" s="36" t="s">
        <v>354</v>
      </c>
      <c r="G119" s="24">
        <v>1</v>
      </c>
      <c r="H119" s="24"/>
      <c r="I119" s="42" t="str">
        <f>VLOOKUP(D119,Sheet2!H:I,2,0)</f>
        <v>一级</v>
      </c>
      <c r="J119" s="42">
        <f t="shared" si="1"/>
        <v>1</v>
      </c>
      <c r="L119" s="57" t="s">
        <v>118</v>
      </c>
      <c r="M119" s="44">
        <v>1</v>
      </c>
    </row>
    <row r="120" s="42" customFormat="1" spans="1:13">
      <c r="A120" s="24">
        <v>120</v>
      </c>
      <c r="B120" s="45" t="s">
        <v>363</v>
      </c>
      <c r="C120" s="24" t="s">
        <v>10</v>
      </c>
      <c r="D120" s="28" t="s">
        <v>64</v>
      </c>
      <c r="E120" s="24">
        <v>1</v>
      </c>
      <c r="F120" s="36" t="s">
        <v>354</v>
      </c>
      <c r="G120" s="24">
        <v>1</v>
      </c>
      <c r="H120" s="24"/>
      <c r="I120" s="42" t="str">
        <f>VLOOKUP(D120,Sheet2!H:I,2,0)</f>
        <v>一级</v>
      </c>
      <c r="J120" s="42">
        <f t="shared" si="1"/>
        <v>1</v>
      </c>
      <c r="L120" s="9" t="s">
        <v>130</v>
      </c>
      <c r="M120" s="44">
        <v>1</v>
      </c>
    </row>
    <row r="121" s="42" customFormat="1" spans="1:13">
      <c r="A121" s="24">
        <v>121</v>
      </c>
      <c r="B121" s="45" t="s">
        <v>364</v>
      </c>
      <c r="C121" s="24" t="s">
        <v>10</v>
      </c>
      <c r="D121" s="20" t="s">
        <v>67</v>
      </c>
      <c r="E121" s="24">
        <v>1</v>
      </c>
      <c r="F121" s="36" t="s">
        <v>354</v>
      </c>
      <c r="G121" s="24">
        <v>1</v>
      </c>
      <c r="H121" s="24"/>
      <c r="I121" s="42" t="str">
        <f>VLOOKUP(D121,Sheet2!H:I,2,0)</f>
        <v>一级</v>
      </c>
      <c r="J121" s="42">
        <f t="shared" si="1"/>
        <v>1</v>
      </c>
      <c r="L121" s="47" t="s">
        <v>133</v>
      </c>
      <c r="M121" s="44">
        <v>1</v>
      </c>
    </row>
    <row r="122" s="42" customFormat="1" spans="1:13">
      <c r="A122" s="24">
        <v>122</v>
      </c>
      <c r="B122" s="45" t="s">
        <v>365</v>
      </c>
      <c r="C122" s="24" t="s">
        <v>10</v>
      </c>
      <c r="D122" s="20" t="s">
        <v>70</v>
      </c>
      <c r="E122" s="24">
        <v>1</v>
      </c>
      <c r="F122" s="36" t="s">
        <v>354</v>
      </c>
      <c r="G122" s="24">
        <v>1</v>
      </c>
      <c r="H122" s="24"/>
      <c r="I122" s="42" t="str">
        <f>VLOOKUP(D122,Sheet2!H:I,2,0)</f>
        <v>一级</v>
      </c>
      <c r="J122" s="42">
        <f t="shared" si="1"/>
        <v>1</v>
      </c>
      <c r="L122" s="47" t="s">
        <v>366</v>
      </c>
      <c r="M122" s="44">
        <v>1</v>
      </c>
    </row>
    <row r="123" s="42" customFormat="1" spans="1:13">
      <c r="A123" s="24">
        <v>123</v>
      </c>
      <c r="B123" s="74" t="s">
        <v>367</v>
      </c>
      <c r="C123" s="24" t="s">
        <v>10</v>
      </c>
      <c r="D123" s="8" t="s">
        <v>73</v>
      </c>
      <c r="E123" s="24">
        <v>1</v>
      </c>
      <c r="F123" s="36" t="s">
        <v>354</v>
      </c>
      <c r="G123" s="24">
        <v>1</v>
      </c>
      <c r="H123" s="24"/>
      <c r="I123" s="42" t="str">
        <f>VLOOKUP(D123,Sheet2!H:I,2,0)</f>
        <v>一级</v>
      </c>
      <c r="J123" s="42">
        <f t="shared" si="1"/>
        <v>1</v>
      </c>
      <c r="L123" s="11" t="s">
        <v>136</v>
      </c>
      <c r="M123" s="44">
        <v>1</v>
      </c>
    </row>
    <row r="124" s="42" customFormat="1" spans="1:13">
      <c r="A124" s="24">
        <v>124</v>
      </c>
      <c r="B124" s="73" t="s">
        <v>368</v>
      </c>
      <c r="C124" s="24" t="s">
        <v>10</v>
      </c>
      <c r="D124" s="8" t="s">
        <v>76</v>
      </c>
      <c r="E124" s="24">
        <v>1</v>
      </c>
      <c r="F124" s="36" t="s">
        <v>354</v>
      </c>
      <c r="G124" s="24">
        <v>1</v>
      </c>
      <c r="H124" s="24"/>
      <c r="I124" s="42" t="str">
        <f>VLOOKUP(D124,Sheet2!H:I,2,0)</f>
        <v>一级</v>
      </c>
      <c r="J124" s="42">
        <f t="shared" si="1"/>
        <v>1</v>
      </c>
      <c r="L124" s="9" t="s">
        <v>139</v>
      </c>
      <c r="M124" s="44">
        <v>1</v>
      </c>
    </row>
    <row r="125" s="42" customFormat="1" spans="1:13">
      <c r="A125" s="24">
        <v>125</v>
      </c>
      <c r="B125" s="73" t="s">
        <v>369</v>
      </c>
      <c r="C125" s="24" t="s">
        <v>10</v>
      </c>
      <c r="D125" s="8" t="s">
        <v>79</v>
      </c>
      <c r="E125" s="24">
        <v>1</v>
      </c>
      <c r="F125" s="36" t="s">
        <v>354</v>
      </c>
      <c r="G125" s="24">
        <v>1</v>
      </c>
      <c r="H125" s="24"/>
      <c r="I125" s="42" t="str">
        <f>VLOOKUP(D125,Sheet2!H:I,2,0)</f>
        <v>一级</v>
      </c>
      <c r="J125" s="42">
        <f t="shared" si="1"/>
        <v>1</v>
      </c>
      <c r="L125" s="9" t="s">
        <v>370</v>
      </c>
      <c r="M125" s="44">
        <v>1</v>
      </c>
    </row>
    <row r="126" s="42" customFormat="1" spans="1:13">
      <c r="A126" s="24">
        <v>126</v>
      </c>
      <c r="B126" s="73" t="s">
        <v>371</v>
      </c>
      <c r="C126" s="24" t="s">
        <v>10</v>
      </c>
      <c r="D126" s="8" t="s">
        <v>82</v>
      </c>
      <c r="E126" s="24">
        <v>1</v>
      </c>
      <c r="F126" s="36" t="s">
        <v>354</v>
      </c>
      <c r="G126" s="24">
        <v>1</v>
      </c>
      <c r="H126" s="24"/>
      <c r="I126" s="42" t="str">
        <f>VLOOKUP(D126,Sheet2!H:I,2,0)</f>
        <v>一级</v>
      </c>
      <c r="J126" s="42">
        <f t="shared" si="1"/>
        <v>1</v>
      </c>
      <c r="L126" s="9" t="s">
        <v>142</v>
      </c>
      <c r="M126" s="44">
        <v>1</v>
      </c>
    </row>
    <row r="127" s="42" customFormat="1" spans="1:13">
      <c r="A127" s="24">
        <v>127</v>
      </c>
      <c r="B127" s="45" t="s">
        <v>372</v>
      </c>
      <c r="C127" s="24" t="s">
        <v>10</v>
      </c>
      <c r="D127" s="20" t="s">
        <v>85</v>
      </c>
      <c r="E127" s="24">
        <v>1</v>
      </c>
      <c r="F127" s="36" t="s">
        <v>354</v>
      </c>
      <c r="G127" s="24">
        <v>1</v>
      </c>
      <c r="H127" s="24"/>
      <c r="I127" s="42" t="str">
        <f>VLOOKUP(D127,Sheet2!H:I,2,0)</f>
        <v>一级</v>
      </c>
      <c r="J127" s="42">
        <f t="shared" si="1"/>
        <v>1</v>
      </c>
      <c r="L127" s="58" t="s">
        <v>145</v>
      </c>
      <c r="M127" s="44">
        <v>1</v>
      </c>
    </row>
    <row r="128" s="42" customFormat="1" spans="1:13">
      <c r="A128" s="24">
        <v>128</v>
      </c>
      <c r="B128" s="45" t="s">
        <v>373</v>
      </c>
      <c r="C128" s="24" t="s">
        <v>10</v>
      </c>
      <c r="D128" s="20" t="s">
        <v>88</v>
      </c>
      <c r="E128" s="24">
        <v>1</v>
      </c>
      <c r="F128" s="36" t="s">
        <v>354</v>
      </c>
      <c r="G128" s="24">
        <v>1</v>
      </c>
      <c r="H128" s="24"/>
      <c r="I128" s="42" t="str">
        <f>VLOOKUP(D128,Sheet2!H:I,2,0)</f>
        <v>一级</v>
      </c>
      <c r="J128" s="42">
        <f t="shared" si="1"/>
        <v>1</v>
      </c>
      <c r="L128" s="59" t="s">
        <v>148</v>
      </c>
      <c r="M128" s="44">
        <v>1</v>
      </c>
    </row>
    <row r="129" s="42" customFormat="1" spans="1:13">
      <c r="A129" s="24">
        <v>129</v>
      </c>
      <c r="B129" s="45" t="s">
        <v>374</v>
      </c>
      <c r="C129" s="24" t="s">
        <v>10</v>
      </c>
      <c r="D129" s="20" t="s">
        <v>91</v>
      </c>
      <c r="E129" s="24">
        <v>1</v>
      </c>
      <c r="F129" s="36" t="s">
        <v>354</v>
      </c>
      <c r="G129" s="24">
        <v>1</v>
      </c>
      <c r="H129" s="24"/>
      <c r="I129" s="42" t="str">
        <f>VLOOKUP(D129,Sheet2!H:I,2,0)</f>
        <v>一级</v>
      </c>
      <c r="J129" s="42">
        <f t="shared" si="1"/>
        <v>1</v>
      </c>
      <c r="L129" s="11" t="s">
        <v>151</v>
      </c>
      <c r="M129" s="44">
        <v>1</v>
      </c>
    </row>
    <row r="130" s="42" customFormat="1" spans="1:13">
      <c r="A130" s="24">
        <v>130</v>
      </c>
      <c r="B130" s="45" t="s">
        <v>375</v>
      </c>
      <c r="C130" s="24" t="s">
        <v>10</v>
      </c>
      <c r="D130" s="17" t="s">
        <v>94</v>
      </c>
      <c r="E130" s="24">
        <v>1</v>
      </c>
      <c r="F130" s="36" t="s">
        <v>354</v>
      </c>
      <c r="G130" s="24">
        <v>1</v>
      </c>
      <c r="H130" s="24"/>
      <c r="I130" s="42" t="str">
        <f>VLOOKUP(D130,Sheet2!H:I,2,0)</f>
        <v>一级</v>
      </c>
      <c r="J130" s="42">
        <f t="shared" si="1"/>
        <v>1</v>
      </c>
      <c r="L130" s="11" t="s">
        <v>154</v>
      </c>
      <c r="M130" s="44">
        <v>1</v>
      </c>
    </row>
    <row r="131" s="42" customFormat="1" spans="1:13">
      <c r="A131" s="24">
        <v>131</v>
      </c>
      <c r="B131" s="73" t="s">
        <v>376</v>
      </c>
      <c r="C131" s="24" t="s">
        <v>10</v>
      </c>
      <c r="D131" s="29" t="s">
        <v>97</v>
      </c>
      <c r="E131" s="24">
        <v>1</v>
      </c>
      <c r="F131" s="36" t="s">
        <v>354</v>
      </c>
      <c r="G131" s="24">
        <v>1</v>
      </c>
      <c r="H131" s="24"/>
      <c r="I131" s="42" t="str">
        <f>VLOOKUP(D131,Sheet2!H:I,2,0)</f>
        <v>一级</v>
      </c>
      <c r="J131" s="42">
        <f t="shared" ref="J131:J194" si="2">VLOOKUP(D131,L:M,2,0)</f>
        <v>1</v>
      </c>
      <c r="L131" s="60" t="s">
        <v>157</v>
      </c>
      <c r="M131" s="44">
        <v>1</v>
      </c>
    </row>
    <row r="132" s="42" customFormat="1" spans="1:13">
      <c r="A132" s="24">
        <v>132</v>
      </c>
      <c r="B132" s="45" t="s">
        <v>377</v>
      </c>
      <c r="C132" s="24" t="s">
        <v>10</v>
      </c>
      <c r="D132" s="29" t="s">
        <v>100</v>
      </c>
      <c r="E132" s="24">
        <v>1</v>
      </c>
      <c r="F132" s="36" t="s">
        <v>354</v>
      </c>
      <c r="G132" s="24">
        <v>1</v>
      </c>
      <c r="H132" s="24"/>
      <c r="I132" s="42" t="str">
        <f>VLOOKUP(D132,Sheet2!H:I,2,0)</f>
        <v>一级</v>
      </c>
      <c r="J132" s="42">
        <f t="shared" si="2"/>
        <v>1</v>
      </c>
      <c r="L132" s="60" t="s">
        <v>160</v>
      </c>
      <c r="M132" s="44">
        <v>1</v>
      </c>
    </row>
    <row r="133" s="42" customFormat="1" spans="1:13">
      <c r="A133" s="24">
        <v>133</v>
      </c>
      <c r="B133" s="73" t="s">
        <v>378</v>
      </c>
      <c r="C133" s="24" t="s">
        <v>10</v>
      </c>
      <c r="D133" s="14" t="s">
        <v>103</v>
      </c>
      <c r="E133" s="24">
        <v>1</v>
      </c>
      <c r="F133" s="36" t="s">
        <v>354</v>
      </c>
      <c r="G133" s="24">
        <v>1</v>
      </c>
      <c r="H133" s="24"/>
      <c r="I133" s="42" t="str">
        <f>VLOOKUP(D133,Sheet2!H:I,2,0)</f>
        <v>一级</v>
      </c>
      <c r="J133" s="42">
        <f t="shared" si="2"/>
        <v>1</v>
      </c>
      <c r="L133" s="47" t="s">
        <v>163</v>
      </c>
      <c r="M133" s="44">
        <v>1</v>
      </c>
    </row>
    <row r="134" s="42" customFormat="1" spans="1:13">
      <c r="A134" s="24">
        <v>134</v>
      </c>
      <c r="B134" s="73" t="s">
        <v>379</v>
      </c>
      <c r="C134" s="24" t="s">
        <v>10</v>
      </c>
      <c r="D134" s="14" t="s">
        <v>106</v>
      </c>
      <c r="E134" s="24">
        <v>1</v>
      </c>
      <c r="F134" s="36" t="s">
        <v>354</v>
      </c>
      <c r="G134" s="24">
        <v>1</v>
      </c>
      <c r="H134" s="24"/>
      <c r="I134" s="42" t="str">
        <f>VLOOKUP(D134,Sheet2!H:I,2,0)</f>
        <v>一级</v>
      </c>
      <c r="J134" s="42">
        <f t="shared" si="2"/>
        <v>1</v>
      </c>
      <c r="L134" s="47" t="s">
        <v>166</v>
      </c>
      <c r="M134" s="44">
        <v>1</v>
      </c>
    </row>
    <row r="135" s="42" customFormat="1" spans="1:13">
      <c r="A135" s="24">
        <v>135</v>
      </c>
      <c r="B135" s="45" t="s">
        <v>380</v>
      </c>
      <c r="C135" s="24" t="s">
        <v>10</v>
      </c>
      <c r="D135" s="15" t="s">
        <v>109</v>
      </c>
      <c r="E135" s="24">
        <v>1</v>
      </c>
      <c r="F135" s="36" t="s">
        <v>354</v>
      </c>
      <c r="G135" s="24">
        <v>1</v>
      </c>
      <c r="H135" s="24"/>
      <c r="I135" s="42" t="str">
        <f>VLOOKUP(D135,Sheet2!H:I,2,0)</f>
        <v>一级</v>
      </c>
      <c r="J135" s="42">
        <f t="shared" si="2"/>
        <v>1</v>
      </c>
      <c r="L135" s="47" t="s">
        <v>172</v>
      </c>
      <c r="M135" s="44">
        <v>1</v>
      </c>
    </row>
    <row r="136" s="42" customFormat="1" spans="1:13">
      <c r="A136" s="24">
        <v>136</v>
      </c>
      <c r="B136" s="73" t="s">
        <v>381</v>
      </c>
      <c r="C136" s="24" t="s">
        <v>10</v>
      </c>
      <c r="D136" s="14" t="s">
        <v>116</v>
      </c>
      <c r="E136" s="24">
        <v>1</v>
      </c>
      <c r="F136" s="36" t="s">
        <v>354</v>
      </c>
      <c r="G136" s="24">
        <v>1</v>
      </c>
      <c r="H136" s="24"/>
      <c r="I136" s="42" t="str">
        <f>VLOOKUP(D136,Sheet2!H:I,2,0)</f>
        <v>一级</v>
      </c>
      <c r="J136" s="42">
        <f t="shared" si="2"/>
        <v>1</v>
      </c>
      <c r="L136" s="9" t="s">
        <v>382</v>
      </c>
      <c r="M136" s="44">
        <v>1</v>
      </c>
    </row>
    <row r="137" s="42" customFormat="1" spans="1:13">
      <c r="A137" s="24">
        <v>137</v>
      </c>
      <c r="B137" s="73" t="s">
        <v>383</v>
      </c>
      <c r="C137" s="24" t="s">
        <v>10</v>
      </c>
      <c r="D137" s="14" t="s">
        <v>119</v>
      </c>
      <c r="E137" s="24">
        <v>1</v>
      </c>
      <c r="F137" s="36" t="s">
        <v>354</v>
      </c>
      <c r="G137" s="24">
        <v>1</v>
      </c>
      <c r="H137" s="24"/>
      <c r="I137" s="42" t="str">
        <f>VLOOKUP(D137,Sheet2!H:I,2,0)</f>
        <v>一级</v>
      </c>
      <c r="J137" s="42">
        <f t="shared" si="2"/>
        <v>1</v>
      </c>
      <c r="L137" s="47" t="s">
        <v>175</v>
      </c>
      <c r="M137" s="44">
        <v>1</v>
      </c>
    </row>
    <row r="138" s="42" customFormat="1" spans="1:13">
      <c r="A138" s="24">
        <v>138</v>
      </c>
      <c r="B138" s="73" t="s">
        <v>384</v>
      </c>
      <c r="C138" s="24" t="s">
        <v>10</v>
      </c>
      <c r="D138" s="14" t="s">
        <v>122</v>
      </c>
      <c r="E138" s="24">
        <v>1</v>
      </c>
      <c r="F138" s="36" t="s">
        <v>354</v>
      </c>
      <c r="G138" s="24">
        <v>1</v>
      </c>
      <c r="H138" s="24"/>
      <c r="I138" s="42" t="str">
        <f>VLOOKUP(D138,Sheet2!H:I,2,0)</f>
        <v>一级</v>
      </c>
      <c r="J138" s="42">
        <f t="shared" si="2"/>
        <v>1</v>
      </c>
      <c r="L138" s="9" t="s">
        <v>178</v>
      </c>
      <c r="M138" s="44">
        <v>1</v>
      </c>
    </row>
    <row r="139" s="42" customFormat="1" spans="1:13">
      <c r="A139" s="24">
        <v>139</v>
      </c>
      <c r="B139" s="73" t="s">
        <v>385</v>
      </c>
      <c r="C139" s="24" t="s">
        <v>10</v>
      </c>
      <c r="D139" s="14" t="s">
        <v>125</v>
      </c>
      <c r="E139" s="24">
        <v>1</v>
      </c>
      <c r="F139" s="36" t="s">
        <v>354</v>
      </c>
      <c r="G139" s="24">
        <v>1</v>
      </c>
      <c r="H139" s="24"/>
      <c r="I139" s="42" t="str">
        <f>VLOOKUP(D139,Sheet2!H:I,2,0)</f>
        <v>一级</v>
      </c>
      <c r="J139" s="42">
        <f t="shared" si="2"/>
        <v>1</v>
      </c>
      <c r="L139" s="47" t="s">
        <v>181</v>
      </c>
      <c r="M139" s="44">
        <v>1</v>
      </c>
    </row>
    <row r="140" s="42" customFormat="1" spans="1:13">
      <c r="A140" s="24">
        <v>140</v>
      </c>
      <c r="B140" s="74" t="s">
        <v>386</v>
      </c>
      <c r="C140" s="24" t="s">
        <v>10</v>
      </c>
      <c r="D140" s="8" t="s">
        <v>128</v>
      </c>
      <c r="E140" s="24">
        <v>1</v>
      </c>
      <c r="F140" s="36" t="s">
        <v>354</v>
      </c>
      <c r="G140" s="24">
        <v>1</v>
      </c>
      <c r="H140" s="24"/>
      <c r="I140" s="42" t="str">
        <f>VLOOKUP(D140,Sheet2!H:I,2,0)</f>
        <v>一级</v>
      </c>
      <c r="J140" s="42">
        <f t="shared" si="2"/>
        <v>1</v>
      </c>
      <c r="L140" s="11" t="s">
        <v>184</v>
      </c>
      <c r="M140" s="44">
        <v>1</v>
      </c>
    </row>
    <row r="141" s="42" customFormat="1" spans="1:13">
      <c r="A141" s="24">
        <v>141</v>
      </c>
      <c r="B141" s="73" t="s">
        <v>387</v>
      </c>
      <c r="C141" s="24" t="s">
        <v>10</v>
      </c>
      <c r="D141" s="8" t="s">
        <v>131</v>
      </c>
      <c r="E141" s="24">
        <v>1</v>
      </c>
      <c r="F141" s="36" t="s">
        <v>354</v>
      </c>
      <c r="G141" s="24">
        <v>1</v>
      </c>
      <c r="H141" s="24"/>
      <c r="I141" s="42" t="str">
        <f>VLOOKUP(D141,Sheet2!H:I,2,0)</f>
        <v>一级</v>
      </c>
      <c r="J141" s="42">
        <f t="shared" si="2"/>
        <v>1</v>
      </c>
      <c r="L141" s="9" t="s">
        <v>298</v>
      </c>
      <c r="M141" s="44">
        <v>1</v>
      </c>
    </row>
    <row r="142" s="42" customFormat="1" spans="1:13">
      <c r="A142" s="24">
        <v>142</v>
      </c>
      <c r="B142" s="73" t="s">
        <v>388</v>
      </c>
      <c r="C142" s="24" t="s">
        <v>10</v>
      </c>
      <c r="D142" s="8" t="s">
        <v>134</v>
      </c>
      <c r="E142" s="24">
        <v>1</v>
      </c>
      <c r="F142" s="36" t="s">
        <v>354</v>
      </c>
      <c r="G142" s="24">
        <v>1</v>
      </c>
      <c r="H142" s="24"/>
      <c r="I142" s="42" t="str">
        <f>VLOOKUP(D142,Sheet2!H:I,2,0)</f>
        <v>一级</v>
      </c>
      <c r="J142" s="42">
        <f t="shared" si="2"/>
        <v>1</v>
      </c>
      <c r="L142" s="9" t="s">
        <v>187</v>
      </c>
      <c r="M142" s="44">
        <v>1</v>
      </c>
    </row>
    <row r="143" s="42" customFormat="1" spans="1:13">
      <c r="A143" s="24">
        <v>143</v>
      </c>
      <c r="B143" s="73" t="s">
        <v>389</v>
      </c>
      <c r="C143" s="24" t="s">
        <v>10</v>
      </c>
      <c r="D143" s="8" t="s">
        <v>137</v>
      </c>
      <c r="E143" s="24">
        <v>1</v>
      </c>
      <c r="F143" s="36" t="s">
        <v>354</v>
      </c>
      <c r="G143" s="24">
        <v>1</v>
      </c>
      <c r="H143" s="24"/>
      <c r="I143" s="42" t="str">
        <f>VLOOKUP(D143,Sheet2!H:I,2,0)</f>
        <v>一级</v>
      </c>
      <c r="J143" s="42">
        <f t="shared" si="2"/>
        <v>1</v>
      </c>
      <c r="L143" s="11" t="s">
        <v>244</v>
      </c>
      <c r="M143" s="44">
        <v>1</v>
      </c>
    </row>
    <row r="144" s="42" customFormat="1" spans="1:13">
      <c r="A144" s="24">
        <v>144</v>
      </c>
      <c r="B144" s="73" t="s">
        <v>390</v>
      </c>
      <c r="C144" s="24" t="s">
        <v>10</v>
      </c>
      <c r="D144" s="14" t="s">
        <v>140</v>
      </c>
      <c r="E144" s="24">
        <v>1</v>
      </c>
      <c r="F144" s="36" t="s">
        <v>354</v>
      </c>
      <c r="G144" s="24">
        <v>1</v>
      </c>
      <c r="H144" s="24"/>
      <c r="I144" s="42" t="str">
        <f>VLOOKUP(D144,Sheet2!H:I,2,0)</f>
        <v>一级</v>
      </c>
      <c r="J144" s="42">
        <f t="shared" si="2"/>
        <v>1</v>
      </c>
      <c r="L144" s="9" t="s">
        <v>391</v>
      </c>
      <c r="M144" s="44">
        <v>1</v>
      </c>
    </row>
    <row r="145" s="42" customFormat="1" spans="1:13">
      <c r="A145" s="24">
        <v>145</v>
      </c>
      <c r="B145" s="73" t="s">
        <v>392</v>
      </c>
      <c r="C145" s="24" t="s">
        <v>10</v>
      </c>
      <c r="D145" s="14" t="s">
        <v>143</v>
      </c>
      <c r="E145" s="24">
        <v>1</v>
      </c>
      <c r="F145" s="36" t="s">
        <v>354</v>
      </c>
      <c r="G145" s="24">
        <v>1</v>
      </c>
      <c r="H145" s="24"/>
      <c r="I145" s="42" t="str">
        <f>VLOOKUP(D145,Sheet2!H:I,2,0)</f>
        <v>一级</v>
      </c>
      <c r="J145" s="42">
        <f t="shared" si="2"/>
        <v>1</v>
      </c>
      <c r="L145" s="48" t="s">
        <v>190</v>
      </c>
      <c r="M145" s="44">
        <v>1</v>
      </c>
    </row>
    <row r="146" s="42" customFormat="1" spans="1:13">
      <c r="A146" s="24">
        <v>146</v>
      </c>
      <c r="B146" s="73" t="s">
        <v>393</v>
      </c>
      <c r="C146" s="24" t="s">
        <v>10</v>
      </c>
      <c r="D146" s="14" t="s">
        <v>146</v>
      </c>
      <c r="E146" s="24">
        <v>1</v>
      </c>
      <c r="F146" s="36" t="s">
        <v>354</v>
      </c>
      <c r="G146" s="24">
        <v>1</v>
      </c>
      <c r="H146" s="24"/>
      <c r="I146" s="42" t="str">
        <f>VLOOKUP(D146,Sheet2!H:I,2,0)</f>
        <v>一级</v>
      </c>
      <c r="J146" s="42">
        <f t="shared" si="2"/>
        <v>1</v>
      </c>
      <c r="L146" s="11" t="s">
        <v>193</v>
      </c>
      <c r="M146" s="44">
        <v>1</v>
      </c>
    </row>
    <row r="147" s="42" customFormat="1" spans="1:13">
      <c r="A147" s="24">
        <v>147</v>
      </c>
      <c r="B147" s="73" t="s">
        <v>394</v>
      </c>
      <c r="C147" s="24" t="s">
        <v>10</v>
      </c>
      <c r="D147" s="8" t="s">
        <v>149</v>
      </c>
      <c r="E147" s="24">
        <v>1</v>
      </c>
      <c r="F147" s="36" t="s">
        <v>354</v>
      </c>
      <c r="G147" s="24">
        <v>1</v>
      </c>
      <c r="H147" s="24"/>
      <c r="I147" s="42" t="str">
        <f>VLOOKUP(D147,Sheet2!H:I,2,0)</f>
        <v>一级</v>
      </c>
      <c r="J147" s="42">
        <f t="shared" si="2"/>
        <v>1</v>
      </c>
      <c r="L147" s="48" t="s">
        <v>196</v>
      </c>
      <c r="M147" s="44">
        <v>1</v>
      </c>
    </row>
    <row r="148" s="42" customFormat="1" spans="1:13">
      <c r="A148" s="24">
        <v>148</v>
      </c>
      <c r="B148" s="73" t="s">
        <v>395</v>
      </c>
      <c r="C148" s="24" t="s">
        <v>10</v>
      </c>
      <c r="D148" s="8" t="s">
        <v>152</v>
      </c>
      <c r="E148" s="24">
        <v>1</v>
      </c>
      <c r="F148" s="36" t="s">
        <v>354</v>
      </c>
      <c r="G148" s="24">
        <v>1</v>
      </c>
      <c r="H148" s="24"/>
      <c r="I148" s="42" t="str">
        <f>VLOOKUP(D148,Sheet2!H:I,2,0)</f>
        <v>一级</v>
      </c>
      <c r="J148" s="42">
        <f t="shared" si="2"/>
        <v>1</v>
      </c>
      <c r="L148" s="48" t="s">
        <v>199</v>
      </c>
      <c r="M148" s="44">
        <v>1</v>
      </c>
    </row>
    <row r="149" s="42" customFormat="1" spans="1:13">
      <c r="A149" s="24">
        <v>149</v>
      </c>
      <c r="B149" s="73" t="s">
        <v>396</v>
      </c>
      <c r="C149" s="24" t="s">
        <v>10</v>
      </c>
      <c r="D149" s="8" t="s">
        <v>155</v>
      </c>
      <c r="E149" s="24">
        <v>1</v>
      </c>
      <c r="F149" s="36" t="s">
        <v>354</v>
      </c>
      <c r="G149" s="24">
        <v>1</v>
      </c>
      <c r="H149" s="24"/>
      <c r="I149" s="42" t="str">
        <f>VLOOKUP(D149,Sheet2!H:I,2,0)</f>
        <v>一级</v>
      </c>
      <c r="J149" s="42">
        <f t="shared" si="2"/>
        <v>1</v>
      </c>
      <c r="L149" s="52" t="s">
        <v>202</v>
      </c>
      <c r="M149" s="44">
        <v>1</v>
      </c>
    </row>
    <row r="150" s="42" customFormat="1" spans="1:13">
      <c r="A150" s="24">
        <v>150</v>
      </c>
      <c r="B150" s="24" t="s">
        <v>397</v>
      </c>
      <c r="C150" s="24" t="s">
        <v>10</v>
      </c>
      <c r="D150" s="8" t="s">
        <v>170</v>
      </c>
      <c r="E150" s="24">
        <v>1</v>
      </c>
      <c r="F150" s="36" t="s">
        <v>354</v>
      </c>
      <c r="G150" s="24">
        <v>1</v>
      </c>
      <c r="H150" s="24"/>
      <c r="I150" s="42" t="str">
        <f>VLOOKUP(D150,Sheet2!H:I,2,0)</f>
        <v>一级</v>
      </c>
      <c r="J150" s="42">
        <f t="shared" si="2"/>
        <v>1</v>
      </c>
      <c r="L150" s="52" t="s">
        <v>205</v>
      </c>
      <c r="M150" s="44">
        <v>1</v>
      </c>
    </row>
    <row r="151" s="42" customFormat="1" spans="1:13">
      <c r="A151" s="24">
        <v>151</v>
      </c>
      <c r="B151" s="24" t="s">
        <v>398</v>
      </c>
      <c r="C151" s="24" t="s">
        <v>10</v>
      </c>
      <c r="D151" s="26" t="s">
        <v>173</v>
      </c>
      <c r="E151" s="24">
        <v>1</v>
      </c>
      <c r="F151" s="36" t="s">
        <v>354</v>
      </c>
      <c r="G151" s="24">
        <v>1</v>
      </c>
      <c r="H151" s="24"/>
      <c r="I151" s="42" t="str">
        <f>VLOOKUP(D151,Sheet2!H:I,2,0)</f>
        <v>一级</v>
      </c>
      <c r="J151" s="42">
        <f t="shared" si="2"/>
        <v>1</v>
      </c>
      <c r="L151" s="47" t="s">
        <v>208</v>
      </c>
      <c r="M151" s="44">
        <v>1</v>
      </c>
    </row>
    <row r="152" s="42" customFormat="1" spans="1:13">
      <c r="A152" s="24">
        <v>152</v>
      </c>
      <c r="B152" s="73" t="s">
        <v>399</v>
      </c>
      <c r="C152" s="24" t="s">
        <v>10</v>
      </c>
      <c r="D152" s="8" t="s">
        <v>176</v>
      </c>
      <c r="E152" s="24">
        <v>1</v>
      </c>
      <c r="F152" s="36" t="s">
        <v>354</v>
      </c>
      <c r="G152" s="24">
        <v>1</v>
      </c>
      <c r="H152" s="24"/>
      <c r="I152" s="42" t="str">
        <f>VLOOKUP(D152,Sheet2!H:I,2,0)</f>
        <v>一级</v>
      </c>
      <c r="J152" s="42">
        <f t="shared" si="2"/>
        <v>1</v>
      </c>
      <c r="L152" s="47" t="s">
        <v>211</v>
      </c>
      <c r="M152" s="44">
        <v>1</v>
      </c>
    </row>
    <row r="153" s="42" customFormat="1" spans="1:13">
      <c r="A153" s="24">
        <v>153</v>
      </c>
      <c r="B153" s="73" t="s">
        <v>400</v>
      </c>
      <c r="C153" s="24" t="s">
        <v>10</v>
      </c>
      <c r="D153" s="8" t="s">
        <v>179</v>
      </c>
      <c r="E153" s="24">
        <v>1</v>
      </c>
      <c r="F153" s="36" t="s">
        <v>354</v>
      </c>
      <c r="G153" s="24">
        <v>1</v>
      </c>
      <c r="H153" s="24"/>
      <c r="I153" s="42" t="str">
        <f>VLOOKUP(D153,Sheet2!H:I,2,0)</f>
        <v>一级</v>
      </c>
      <c r="J153" s="42">
        <f t="shared" si="2"/>
        <v>1</v>
      </c>
      <c r="L153" s="47" t="s">
        <v>214</v>
      </c>
      <c r="M153" s="44">
        <v>1</v>
      </c>
    </row>
    <row r="154" s="42" customFormat="1" spans="1:13">
      <c r="A154" s="24">
        <v>154</v>
      </c>
      <c r="B154" s="73" t="s">
        <v>401</v>
      </c>
      <c r="C154" s="24" t="s">
        <v>10</v>
      </c>
      <c r="D154" s="8" t="s">
        <v>182</v>
      </c>
      <c r="E154" s="24">
        <v>1</v>
      </c>
      <c r="F154" s="36" t="s">
        <v>354</v>
      </c>
      <c r="G154" s="24">
        <v>1</v>
      </c>
      <c r="H154" s="24"/>
      <c r="I154" s="42" t="str">
        <f>VLOOKUP(D154,Sheet2!H:I,2,0)</f>
        <v>一级</v>
      </c>
      <c r="J154" s="42">
        <f t="shared" si="2"/>
        <v>1</v>
      </c>
      <c r="L154" s="47" t="s">
        <v>217</v>
      </c>
      <c r="M154" s="44">
        <v>1</v>
      </c>
    </row>
    <row r="155" s="42" customFormat="1" spans="1:13">
      <c r="A155" s="24">
        <v>155</v>
      </c>
      <c r="B155" s="73" t="s">
        <v>402</v>
      </c>
      <c r="C155" s="24" t="s">
        <v>10</v>
      </c>
      <c r="D155" s="8" t="s">
        <v>185</v>
      </c>
      <c r="E155" s="24">
        <v>1</v>
      </c>
      <c r="F155" s="36" t="s">
        <v>354</v>
      </c>
      <c r="G155" s="24">
        <v>1</v>
      </c>
      <c r="H155" s="24"/>
      <c r="I155" s="42" t="str">
        <f>VLOOKUP(D155,Sheet2!H:I,2,0)</f>
        <v>一级</v>
      </c>
      <c r="J155" s="42">
        <f t="shared" si="2"/>
        <v>1</v>
      </c>
      <c r="L155" s="47" t="s">
        <v>220</v>
      </c>
      <c r="M155" s="44">
        <v>1</v>
      </c>
    </row>
    <row r="156" s="42" customFormat="1" spans="1:13">
      <c r="A156" s="24">
        <v>156</v>
      </c>
      <c r="B156" s="45" t="s">
        <v>403</v>
      </c>
      <c r="C156" s="24" t="s">
        <v>10</v>
      </c>
      <c r="D156" s="20" t="s">
        <v>188</v>
      </c>
      <c r="E156" s="24">
        <v>1</v>
      </c>
      <c r="F156" s="36" t="s">
        <v>354</v>
      </c>
      <c r="G156" s="24">
        <v>1</v>
      </c>
      <c r="H156" s="24"/>
      <c r="I156" s="42" t="str">
        <f>VLOOKUP(D156,Sheet2!H:I,2,0)</f>
        <v>一级</v>
      </c>
      <c r="J156" s="42">
        <f t="shared" si="2"/>
        <v>1</v>
      </c>
      <c r="L156" s="9" t="s">
        <v>404</v>
      </c>
      <c r="M156" s="44">
        <v>1</v>
      </c>
    </row>
    <row r="157" s="42" customFormat="1" spans="1:13">
      <c r="A157" s="24">
        <v>157</v>
      </c>
      <c r="B157" s="45" t="s">
        <v>405</v>
      </c>
      <c r="C157" s="24" t="s">
        <v>10</v>
      </c>
      <c r="D157" s="20" t="s">
        <v>191</v>
      </c>
      <c r="E157" s="24">
        <v>1</v>
      </c>
      <c r="F157" s="36" t="s">
        <v>354</v>
      </c>
      <c r="G157" s="24">
        <v>1</v>
      </c>
      <c r="H157" s="24"/>
      <c r="I157" s="42" t="str">
        <f>VLOOKUP(D157,Sheet2!H:I,2,0)</f>
        <v>一级</v>
      </c>
      <c r="J157" s="42">
        <f t="shared" si="2"/>
        <v>1</v>
      </c>
      <c r="L157" s="9" t="s">
        <v>223</v>
      </c>
      <c r="M157" s="44">
        <v>1</v>
      </c>
    </row>
    <row r="158" s="42" customFormat="1" spans="1:13">
      <c r="A158" s="24">
        <v>158</v>
      </c>
      <c r="B158" s="73" t="s">
        <v>406</v>
      </c>
      <c r="C158" s="24" t="s">
        <v>10</v>
      </c>
      <c r="D158" s="14" t="s">
        <v>194</v>
      </c>
      <c r="E158" s="24">
        <v>1</v>
      </c>
      <c r="F158" s="36" t="s">
        <v>354</v>
      </c>
      <c r="G158" s="24">
        <v>1</v>
      </c>
      <c r="H158" s="24"/>
      <c r="I158" s="42" t="str">
        <f>VLOOKUP(D158,Sheet2!H:I,2,0)</f>
        <v>一级</v>
      </c>
      <c r="J158" s="42">
        <f t="shared" si="2"/>
        <v>1</v>
      </c>
      <c r="L158" s="9" t="s">
        <v>407</v>
      </c>
      <c r="M158" s="44">
        <v>1</v>
      </c>
    </row>
    <row r="159" s="42" customFormat="1" spans="1:13">
      <c r="A159" s="24">
        <v>159</v>
      </c>
      <c r="B159" s="73" t="s">
        <v>408</v>
      </c>
      <c r="C159" s="24" t="s">
        <v>10</v>
      </c>
      <c r="D159" s="14" t="s">
        <v>197</v>
      </c>
      <c r="E159" s="24">
        <v>1</v>
      </c>
      <c r="F159" s="36" t="s">
        <v>354</v>
      </c>
      <c r="G159" s="24">
        <v>1</v>
      </c>
      <c r="H159" s="24"/>
      <c r="I159" s="42" t="str">
        <f>VLOOKUP(D159,Sheet2!H:I,2,0)</f>
        <v>一级</v>
      </c>
      <c r="J159" s="42">
        <f t="shared" si="2"/>
        <v>1</v>
      </c>
      <c r="L159" s="47" t="s">
        <v>226</v>
      </c>
      <c r="M159" s="44">
        <v>1</v>
      </c>
    </row>
    <row r="160" s="42" customFormat="1" spans="1:13">
      <c r="A160" s="24">
        <v>160</v>
      </c>
      <c r="B160" s="73" t="s">
        <v>409</v>
      </c>
      <c r="C160" s="24" t="s">
        <v>10</v>
      </c>
      <c r="D160" s="8" t="s">
        <v>200</v>
      </c>
      <c r="E160" s="24">
        <v>1</v>
      </c>
      <c r="F160" s="36" t="s">
        <v>354</v>
      </c>
      <c r="G160" s="24">
        <v>1</v>
      </c>
      <c r="H160" s="24"/>
      <c r="I160" s="42" t="str">
        <f>VLOOKUP(D160,Sheet2!H:I,2,0)</f>
        <v>一级</v>
      </c>
      <c r="J160" s="42">
        <f t="shared" si="2"/>
        <v>1</v>
      </c>
      <c r="L160" s="47" t="s">
        <v>229</v>
      </c>
      <c r="M160" s="44">
        <v>1</v>
      </c>
    </row>
    <row r="161" s="42" customFormat="1" spans="1:13">
      <c r="A161" s="24">
        <v>161</v>
      </c>
      <c r="B161" s="73" t="s">
        <v>410</v>
      </c>
      <c r="C161" s="24" t="s">
        <v>10</v>
      </c>
      <c r="D161" s="8" t="s">
        <v>203</v>
      </c>
      <c r="E161" s="24">
        <v>1</v>
      </c>
      <c r="F161" s="36" t="s">
        <v>354</v>
      </c>
      <c r="G161" s="24">
        <v>1</v>
      </c>
      <c r="H161" s="24"/>
      <c r="I161" s="42" t="str">
        <f>VLOOKUP(D161,Sheet2!H:I,2,0)</f>
        <v>一级</v>
      </c>
      <c r="J161" s="42">
        <f t="shared" si="2"/>
        <v>1</v>
      </c>
      <c r="L161" s="47" t="s">
        <v>232</v>
      </c>
      <c r="M161" s="44">
        <v>1</v>
      </c>
    </row>
    <row r="162" s="42" customFormat="1" spans="1:13">
      <c r="A162" s="24">
        <v>162</v>
      </c>
      <c r="B162" s="73" t="s">
        <v>411</v>
      </c>
      <c r="C162" s="24" t="s">
        <v>10</v>
      </c>
      <c r="D162" s="14" t="s">
        <v>206</v>
      </c>
      <c r="E162" s="24">
        <v>1</v>
      </c>
      <c r="F162" s="36" t="s">
        <v>354</v>
      </c>
      <c r="G162" s="24">
        <v>1</v>
      </c>
      <c r="H162" s="24"/>
      <c r="I162" s="42" t="str">
        <f>VLOOKUP(D162,Sheet2!H:I,2,0)</f>
        <v>一级</v>
      </c>
      <c r="J162" s="42">
        <f t="shared" si="2"/>
        <v>1</v>
      </c>
      <c r="L162" s="47" t="s">
        <v>235</v>
      </c>
      <c r="M162" s="44">
        <v>1</v>
      </c>
    </row>
    <row r="163" s="42" customFormat="1" spans="1:13">
      <c r="A163" s="24">
        <v>163</v>
      </c>
      <c r="B163" s="73" t="s">
        <v>412</v>
      </c>
      <c r="C163" s="24" t="s">
        <v>10</v>
      </c>
      <c r="D163" s="27" t="s">
        <v>209</v>
      </c>
      <c r="E163" s="24">
        <v>1</v>
      </c>
      <c r="F163" s="36" t="s">
        <v>354</v>
      </c>
      <c r="G163" s="24">
        <v>1</v>
      </c>
      <c r="H163" s="24"/>
      <c r="I163" s="42" t="str">
        <f>VLOOKUP(D163,Sheet2!H:I,2,0)</f>
        <v>一级</v>
      </c>
      <c r="J163" s="42">
        <f t="shared" si="2"/>
        <v>1</v>
      </c>
      <c r="L163" s="9" t="s">
        <v>238</v>
      </c>
      <c r="M163" s="44">
        <v>1</v>
      </c>
    </row>
    <row r="164" s="42" customFormat="1" spans="1:13">
      <c r="A164" s="24">
        <v>164</v>
      </c>
      <c r="B164" s="73" t="s">
        <v>413</v>
      </c>
      <c r="C164" s="24" t="s">
        <v>10</v>
      </c>
      <c r="D164" s="27" t="s">
        <v>212</v>
      </c>
      <c r="E164" s="24">
        <v>1</v>
      </c>
      <c r="F164" s="36" t="s">
        <v>354</v>
      </c>
      <c r="G164" s="24">
        <v>1</v>
      </c>
      <c r="H164" s="24"/>
      <c r="I164" s="42" t="str">
        <f>VLOOKUP(D164,Sheet2!H:I,2,0)</f>
        <v>一级</v>
      </c>
      <c r="J164" s="42">
        <f t="shared" si="2"/>
        <v>1</v>
      </c>
      <c r="L164" s="9" t="s">
        <v>247</v>
      </c>
      <c r="M164" s="44">
        <v>1</v>
      </c>
    </row>
    <row r="165" s="42" customFormat="1" spans="1:13">
      <c r="A165" s="24">
        <v>165</v>
      </c>
      <c r="B165" s="73" t="s">
        <v>414</v>
      </c>
      <c r="C165" s="24" t="s">
        <v>10</v>
      </c>
      <c r="D165" s="17" t="s">
        <v>215</v>
      </c>
      <c r="E165" s="24">
        <v>1</v>
      </c>
      <c r="F165" s="36" t="s">
        <v>354</v>
      </c>
      <c r="G165" s="24">
        <v>1</v>
      </c>
      <c r="H165" s="24"/>
      <c r="I165" s="42" t="str">
        <f>VLOOKUP(D165,Sheet2!H:I,2,0)</f>
        <v>一级</v>
      </c>
      <c r="J165" s="42">
        <f t="shared" si="2"/>
        <v>1</v>
      </c>
      <c r="L165" s="9" t="s">
        <v>250</v>
      </c>
      <c r="M165" s="44">
        <v>1</v>
      </c>
    </row>
    <row r="166" s="42" customFormat="1" spans="1:13">
      <c r="A166" s="24">
        <v>166</v>
      </c>
      <c r="B166" s="73" t="s">
        <v>415</v>
      </c>
      <c r="C166" s="24" t="s">
        <v>10</v>
      </c>
      <c r="D166" s="29" t="s">
        <v>416</v>
      </c>
      <c r="E166" s="24">
        <v>1</v>
      </c>
      <c r="F166" s="36" t="s">
        <v>354</v>
      </c>
      <c r="G166" s="24">
        <v>1</v>
      </c>
      <c r="H166" s="24"/>
      <c r="I166" s="42" t="str">
        <f>VLOOKUP(D166,Sheet2!H:I,2,0)</f>
        <v>一级</v>
      </c>
      <c r="J166" s="42">
        <f t="shared" si="2"/>
        <v>1</v>
      </c>
      <c r="L166" s="9" t="s">
        <v>302</v>
      </c>
      <c r="M166" s="44">
        <v>1</v>
      </c>
    </row>
    <row r="167" s="42" customFormat="1" spans="1:13">
      <c r="A167" s="24">
        <v>167</v>
      </c>
      <c r="B167" s="45" t="s">
        <v>417</v>
      </c>
      <c r="C167" s="24" t="s">
        <v>10</v>
      </c>
      <c r="D167" s="20" t="s">
        <v>218</v>
      </c>
      <c r="E167" s="24">
        <v>1</v>
      </c>
      <c r="F167" s="36" t="s">
        <v>354</v>
      </c>
      <c r="G167" s="24">
        <v>1</v>
      </c>
      <c r="H167" s="24"/>
      <c r="I167" s="42" t="str">
        <f>VLOOKUP(D167,Sheet2!H:I,2,0)</f>
        <v>一级</v>
      </c>
      <c r="J167" s="42">
        <f t="shared" si="2"/>
        <v>1</v>
      </c>
      <c r="L167" s="48" t="s">
        <v>418</v>
      </c>
      <c r="M167" s="44" t="s">
        <v>419</v>
      </c>
    </row>
    <row r="168" s="42" customFormat="1" spans="1:13">
      <c r="A168" s="24">
        <v>168</v>
      </c>
      <c r="B168" s="73" t="s">
        <v>420</v>
      </c>
      <c r="C168" s="24" t="s">
        <v>10</v>
      </c>
      <c r="D168" s="29" t="s">
        <v>221</v>
      </c>
      <c r="E168" s="24">
        <v>1</v>
      </c>
      <c r="F168" s="36" t="s">
        <v>354</v>
      </c>
      <c r="G168" s="24">
        <v>1</v>
      </c>
      <c r="H168" s="24"/>
      <c r="I168" s="42" t="str">
        <f>VLOOKUP(D168,Sheet2!H:I,2,0)</f>
        <v>一级</v>
      </c>
      <c r="J168" s="42">
        <f t="shared" si="2"/>
        <v>1</v>
      </c>
      <c r="L168" s="48" t="s">
        <v>421</v>
      </c>
      <c r="M168" s="44" t="s">
        <v>419</v>
      </c>
    </row>
    <row r="169" s="42" customFormat="1" spans="1:13">
      <c r="A169" s="24">
        <v>169</v>
      </c>
      <c r="B169" s="73" t="s">
        <v>422</v>
      </c>
      <c r="C169" s="24" t="s">
        <v>10</v>
      </c>
      <c r="D169" s="14" t="s">
        <v>230</v>
      </c>
      <c r="E169" s="24">
        <v>1</v>
      </c>
      <c r="F169" s="36" t="s">
        <v>354</v>
      </c>
      <c r="G169" s="24">
        <v>1</v>
      </c>
      <c r="H169" s="24"/>
      <c r="I169" s="42" t="str">
        <f>VLOOKUP(D169,Sheet2!H:I,2,0)</f>
        <v>一级</v>
      </c>
      <c r="J169" s="42">
        <f t="shared" si="2"/>
        <v>1</v>
      </c>
      <c r="L169" s="47" t="s">
        <v>423</v>
      </c>
      <c r="M169" s="44">
        <v>3</v>
      </c>
    </row>
    <row r="170" s="42" customFormat="1" spans="1:13">
      <c r="A170" s="24">
        <v>170</v>
      </c>
      <c r="B170" s="73" t="s">
        <v>424</v>
      </c>
      <c r="C170" s="24" t="s">
        <v>10</v>
      </c>
      <c r="D170" s="14" t="s">
        <v>233</v>
      </c>
      <c r="E170" s="24">
        <v>1</v>
      </c>
      <c r="F170" s="36" t="s">
        <v>354</v>
      </c>
      <c r="G170" s="24">
        <v>1</v>
      </c>
      <c r="H170" s="24"/>
      <c r="I170" s="42" t="str">
        <f>VLOOKUP(D170,Sheet2!H:I,2,0)</f>
        <v>一级</v>
      </c>
      <c r="J170" s="42">
        <f t="shared" si="2"/>
        <v>1</v>
      </c>
      <c r="L170" s="47" t="s">
        <v>425</v>
      </c>
      <c r="M170" s="44">
        <v>3</v>
      </c>
    </row>
    <row r="171" s="42" customFormat="1" spans="1:13">
      <c r="A171" s="24">
        <v>171</v>
      </c>
      <c r="B171" s="73" t="s">
        <v>426</v>
      </c>
      <c r="C171" s="24" t="s">
        <v>10</v>
      </c>
      <c r="D171" s="14" t="s">
        <v>236</v>
      </c>
      <c r="E171" s="24">
        <v>1</v>
      </c>
      <c r="F171" s="36" t="s">
        <v>354</v>
      </c>
      <c r="G171" s="24">
        <v>1</v>
      </c>
      <c r="H171" s="24"/>
      <c r="I171" s="42" t="str">
        <f>VLOOKUP(D171,Sheet2!H:I,2,0)</f>
        <v>一级</v>
      </c>
      <c r="J171" s="42">
        <f t="shared" si="2"/>
        <v>1</v>
      </c>
      <c r="L171" s="47" t="s">
        <v>427</v>
      </c>
      <c r="M171" s="44">
        <v>2</v>
      </c>
    </row>
    <row r="172" s="42" customFormat="1" spans="1:13">
      <c r="A172" s="24">
        <v>172</v>
      </c>
      <c r="B172" s="73" t="s">
        <v>428</v>
      </c>
      <c r="C172" s="24" t="s">
        <v>10</v>
      </c>
      <c r="D172" s="14" t="s">
        <v>239</v>
      </c>
      <c r="E172" s="24">
        <v>1</v>
      </c>
      <c r="F172" s="36" t="s">
        <v>354</v>
      </c>
      <c r="G172" s="24">
        <v>1</v>
      </c>
      <c r="H172" s="24"/>
      <c r="I172" s="42" t="str">
        <f>VLOOKUP(D172,Sheet2!H:I,2,0)</f>
        <v>一级</v>
      </c>
      <c r="J172" s="42">
        <f t="shared" si="2"/>
        <v>1</v>
      </c>
      <c r="L172" s="47" t="s">
        <v>429</v>
      </c>
      <c r="M172" s="44">
        <v>2</v>
      </c>
    </row>
    <row r="173" s="42" customFormat="1" spans="1:13">
      <c r="A173" s="24">
        <v>173</v>
      </c>
      <c r="B173" s="24" t="s">
        <v>430</v>
      </c>
      <c r="C173" s="24" t="s">
        <v>10</v>
      </c>
      <c r="D173" s="15" t="s">
        <v>242</v>
      </c>
      <c r="E173" s="24">
        <v>1</v>
      </c>
      <c r="F173" s="36" t="s">
        <v>354</v>
      </c>
      <c r="G173" s="24">
        <v>1</v>
      </c>
      <c r="H173" s="24"/>
      <c r="I173" s="42" t="str">
        <f>VLOOKUP(D173,Sheet2!H:I,2,0)</f>
        <v>一级</v>
      </c>
      <c r="J173" s="42">
        <f t="shared" si="2"/>
        <v>1</v>
      </c>
      <c r="L173" s="50" t="s">
        <v>431</v>
      </c>
      <c r="M173" s="44">
        <v>2</v>
      </c>
    </row>
    <row r="174" s="42" customFormat="1" spans="1:13">
      <c r="A174" s="24">
        <v>174</v>
      </c>
      <c r="B174" s="45" t="s">
        <v>432</v>
      </c>
      <c r="C174" s="24" t="s">
        <v>10</v>
      </c>
      <c r="D174" s="15" t="s">
        <v>245</v>
      </c>
      <c r="E174" s="24">
        <v>1</v>
      </c>
      <c r="F174" s="36" t="s">
        <v>354</v>
      </c>
      <c r="G174" s="24">
        <v>1</v>
      </c>
      <c r="H174" s="24"/>
      <c r="I174" s="42" t="str">
        <f>VLOOKUP(D174,Sheet2!H:I,2,0)</f>
        <v>一级</v>
      </c>
      <c r="J174" s="42">
        <f t="shared" si="2"/>
        <v>1</v>
      </c>
      <c r="L174" s="52" t="s">
        <v>433</v>
      </c>
      <c r="M174" s="44">
        <v>2</v>
      </c>
    </row>
    <row r="175" s="42" customFormat="1" spans="1:13">
      <c r="A175" s="24">
        <v>175</v>
      </c>
      <c r="B175" s="74" t="s">
        <v>434</v>
      </c>
      <c r="C175" s="24" t="s">
        <v>10</v>
      </c>
      <c r="D175" s="15" t="s">
        <v>248</v>
      </c>
      <c r="E175" s="24">
        <v>1</v>
      </c>
      <c r="F175" s="36" t="s">
        <v>354</v>
      </c>
      <c r="G175" s="24">
        <v>1</v>
      </c>
      <c r="H175" s="24"/>
      <c r="I175" s="42" t="str">
        <f>VLOOKUP(D175,Sheet2!H:I,2,0)</f>
        <v>一级</v>
      </c>
      <c r="J175" s="42">
        <f t="shared" si="2"/>
        <v>1</v>
      </c>
      <c r="L175" s="11" t="s">
        <v>435</v>
      </c>
      <c r="M175" s="44">
        <v>2</v>
      </c>
    </row>
    <row r="176" s="42" customFormat="1" spans="1:13">
      <c r="A176" s="24">
        <v>176</v>
      </c>
      <c r="B176" s="45" t="s">
        <v>436</v>
      </c>
      <c r="C176" s="24" t="s">
        <v>10</v>
      </c>
      <c r="D176" s="15" t="s">
        <v>251</v>
      </c>
      <c r="E176" s="24">
        <v>1</v>
      </c>
      <c r="F176" s="36" t="s">
        <v>354</v>
      </c>
      <c r="G176" s="24">
        <v>1</v>
      </c>
      <c r="H176" s="24"/>
      <c r="I176" s="42" t="str">
        <f>VLOOKUP(D176,Sheet2!H:I,2,0)</f>
        <v>一级</v>
      </c>
      <c r="J176" s="42">
        <f t="shared" si="2"/>
        <v>1</v>
      </c>
      <c r="L176" s="47" t="s">
        <v>437</v>
      </c>
      <c r="M176" s="44">
        <v>2</v>
      </c>
    </row>
    <row r="177" s="42" customFormat="1" spans="1:13">
      <c r="A177" s="24">
        <v>177</v>
      </c>
      <c r="B177" s="45" t="s">
        <v>438</v>
      </c>
      <c r="C177" s="24" t="s">
        <v>10</v>
      </c>
      <c r="D177" s="15" t="s">
        <v>254</v>
      </c>
      <c r="E177" s="24">
        <v>1</v>
      </c>
      <c r="F177" s="36" t="s">
        <v>354</v>
      </c>
      <c r="G177" s="24">
        <v>1</v>
      </c>
      <c r="H177" s="24"/>
      <c r="I177" s="42" t="str">
        <f>VLOOKUP(D177,Sheet2!H:I,2,0)</f>
        <v>一级</v>
      </c>
      <c r="J177" s="42">
        <f t="shared" si="2"/>
        <v>1</v>
      </c>
      <c r="L177" s="11" t="s">
        <v>439</v>
      </c>
      <c r="M177" s="44">
        <v>2</v>
      </c>
    </row>
    <row r="178" s="42" customFormat="1" spans="1:13">
      <c r="A178" s="24">
        <v>178</v>
      </c>
      <c r="B178" s="45" t="s">
        <v>440</v>
      </c>
      <c r="C178" s="24" t="s">
        <v>10</v>
      </c>
      <c r="D178" s="15" t="s">
        <v>257</v>
      </c>
      <c r="E178" s="24">
        <v>1</v>
      </c>
      <c r="F178" s="36" t="s">
        <v>354</v>
      </c>
      <c r="G178" s="24">
        <v>1</v>
      </c>
      <c r="H178" s="24"/>
      <c r="I178" s="42" t="str">
        <f>VLOOKUP(D178,Sheet2!H:I,2,0)</f>
        <v>一级</v>
      </c>
      <c r="J178" s="42">
        <f t="shared" si="2"/>
        <v>1</v>
      </c>
      <c r="L178" s="9" t="s">
        <v>441</v>
      </c>
      <c r="M178" s="44">
        <v>2</v>
      </c>
    </row>
    <row r="179" s="42" customFormat="1" spans="1:13">
      <c r="A179" s="24">
        <v>179</v>
      </c>
      <c r="B179" s="73" t="s">
        <v>442</v>
      </c>
      <c r="C179" s="24" t="s">
        <v>10</v>
      </c>
      <c r="D179" s="14" t="s">
        <v>260</v>
      </c>
      <c r="E179" s="24">
        <v>1</v>
      </c>
      <c r="F179" s="36" t="s">
        <v>354</v>
      </c>
      <c r="G179" s="24">
        <v>1</v>
      </c>
      <c r="H179" s="24"/>
      <c r="I179" s="42" t="str">
        <f>VLOOKUP(D179,Sheet2!H:I,2,0)</f>
        <v>一级</v>
      </c>
      <c r="J179" s="42">
        <f t="shared" si="2"/>
        <v>1</v>
      </c>
      <c r="L179" s="9" t="s">
        <v>443</v>
      </c>
      <c r="M179" s="44">
        <v>2</v>
      </c>
    </row>
    <row r="180" s="42" customFormat="1" spans="1:13">
      <c r="A180" s="24">
        <v>180</v>
      </c>
      <c r="B180" s="73" t="s">
        <v>444</v>
      </c>
      <c r="C180" s="24" t="s">
        <v>10</v>
      </c>
      <c r="D180" s="14" t="s">
        <v>263</v>
      </c>
      <c r="E180" s="24">
        <v>1</v>
      </c>
      <c r="F180" s="36" t="s">
        <v>354</v>
      </c>
      <c r="G180" s="24">
        <v>1</v>
      </c>
      <c r="H180" s="24"/>
      <c r="I180" s="42" t="str">
        <f>VLOOKUP(D180,Sheet2!H:I,2,0)</f>
        <v>一级</v>
      </c>
      <c r="J180" s="42">
        <f t="shared" si="2"/>
        <v>1</v>
      </c>
      <c r="L180" s="9" t="s">
        <v>445</v>
      </c>
      <c r="M180" s="44">
        <v>2</v>
      </c>
    </row>
    <row r="181" s="42" customFormat="1" spans="1:13">
      <c r="A181" s="24">
        <v>181</v>
      </c>
      <c r="B181" s="73" t="s">
        <v>446</v>
      </c>
      <c r="C181" s="24" t="s">
        <v>10</v>
      </c>
      <c r="D181" s="14" t="s">
        <v>266</v>
      </c>
      <c r="E181" s="24">
        <v>1</v>
      </c>
      <c r="F181" s="36" t="s">
        <v>354</v>
      </c>
      <c r="G181" s="24">
        <v>1</v>
      </c>
      <c r="H181" s="24"/>
      <c r="I181" s="42" t="str">
        <f>VLOOKUP(D181,Sheet2!H:I,2,0)</f>
        <v>一级</v>
      </c>
      <c r="J181" s="42">
        <f t="shared" si="2"/>
        <v>1</v>
      </c>
      <c r="L181" s="9" t="s">
        <v>447</v>
      </c>
      <c r="M181" s="44">
        <v>2</v>
      </c>
    </row>
    <row r="182" s="42" customFormat="1" spans="1:13">
      <c r="A182" s="24">
        <v>182</v>
      </c>
      <c r="B182" s="73" t="s">
        <v>448</v>
      </c>
      <c r="C182" s="24" t="s">
        <v>10</v>
      </c>
      <c r="D182" s="14" t="s">
        <v>269</v>
      </c>
      <c r="E182" s="24">
        <v>1</v>
      </c>
      <c r="F182" s="36" t="s">
        <v>354</v>
      </c>
      <c r="G182" s="24">
        <v>1</v>
      </c>
      <c r="H182" s="24"/>
      <c r="I182" s="42" t="str">
        <f>VLOOKUP(D182,Sheet2!H:I,2,0)</f>
        <v>一级</v>
      </c>
      <c r="J182" s="42">
        <f t="shared" si="2"/>
        <v>1</v>
      </c>
      <c r="L182" s="9" t="s">
        <v>449</v>
      </c>
      <c r="M182" s="44">
        <v>2</v>
      </c>
    </row>
    <row r="183" s="42" customFormat="1" spans="1:13">
      <c r="A183" s="24">
        <v>183</v>
      </c>
      <c r="B183" s="73" t="s">
        <v>450</v>
      </c>
      <c r="C183" s="24" t="s">
        <v>10</v>
      </c>
      <c r="D183" s="8" t="s">
        <v>272</v>
      </c>
      <c r="E183" s="24">
        <v>1</v>
      </c>
      <c r="F183" s="36" t="s">
        <v>354</v>
      </c>
      <c r="G183" s="24">
        <v>1</v>
      </c>
      <c r="H183" s="24"/>
      <c r="I183" s="42" t="str">
        <f>VLOOKUP(D183,Sheet2!H:I,2,0)</f>
        <v>一级</v>
      </c>
      <c r="J183" s="42">
        <f t="shared" si="2"/>
        <v>1</v>
      </c>
      <c r="L183" s="9" t="s">
        <v>451</v>
      </c>
      <c r="M183" s="44">
        <v>2</v>
      </c>
    </row>
    <row r="184" s="42" customFormat="1" spans="1:13">
      <c r="A184" s="24">
        <v>184</v>
      </c>
      <c r="B184" s="24" t="s">
        <v>452</v>
      </c>
      <c r="C184" s="24" t="s">
        <v>10</v>
      </c>
      <c r="D184" s="30" t="s">
        <v>275</v>
      </c>
      <c r="E184" s="24">
        <v>1</v>
      </c>
      <c r="F184" s="36" t="s">
        <v>354</v>
      </c>
      <c r="G184" s="24">
        <v>1</v>
      </c>
      <c r="H184" s="24"/>
      <c r="I184" s="42" t="str">
        <f>VLOOKUP(D184,Sheet2!H:I,2,0)</f>
        <v>一级</v>
      </c>
      <c r="J184" s="42">
        <f t="shared" si="2"/>
        <v>1</v>
      </c>
      <c r="L184" s="52" t="s">
        <v>453</v>
      </c>
      <c r="M184" s="44">
        <v>2</v>
      </c>
    </row>
    <row r="185" s="42" customFormat="1" spans="1:13">
      <c r="A185" s="24">
        <v>185</v>
      </c>
      <c r="B185" s="45" t="s">
        <v>454</v>
      </c>
      <c r="C185" s="24" t="s">
        <v>10</v>
      </c>
      <c r="D185" s="30" t="s">
        <v>278</v>
      </c>
      <c r="E185" s="24">
        <v>1</v>
      </c>
      <c r="F185" s="36" t="s">
        <v>354</v>
      </c>
      <c r="G185" s="24">
        <v>1</v>
      </c>
      <c r="H185" s="24"/>
      <c r="I185" s="42" t="str">
        <f>VLOOKUP(D185,Sheet2!H:I,2,0)</f>
        <v>一级</v>
      </c>
      <c r="J185" s="42">
        <f t="shared" si="2"/>
        <v>1</v>
      </c>
      <c r="L185" s="48" t="s">
        <v>455</v>
      </c>
      <c r="M185" s="44">
        <v>2</v>
      </c>
    </row>
    <row r="186" s="42" customFormat="1" spans="1:13">
      <c r="A186" s="24">
        <v>186</v>
      </c>
      <c r="B186" s="45" t="s">
        <v>456</v>
      </c>
      <c r="C186" s="24" t="s">
        <v>10</v>
      </c>
      <c r="D186" s="30" t="s">
        <v>281</v>
      </c>
      <c r="E186" s="24">
        <v>1</v>
      </c>
      <c r="F186" s="36" t="s">
        <v>354</v>
      </c>
      <c r="G186" s="24">
        <v>1</v>
      </c>
      <c r="H186" s="24"/>
      <c r="I186" s="42" t="str">
        <f>VLOOKUP(D186,Sheet2!H:I,2,0)</f>
        <v>一级</v>
      </c>
      <c r="J186" s="42">
        <f t="shared" si="2"/>
        <v>1</v>
      </c>
      <c r="L186" s="11" t="s">
        <v>457</v>
      </c>
      <c r="M186" s="44">
        <v>2</v>
      </c>
    </row>
    <row r="187" s="42" customFormat="1" spans="1:13">
      <c r="A187" s="24">
        <v>187</v>
      </c>
      <c r="B187" s="24" t="s">
        <v>458</v>
      </c>
      <c r="C187" s="24" t="s">
        <v>10</v>
      </c>
      <c r="D187" s="8" t="s">
        <v>284</v>
      </c>
      <c r="E187" s="24">
        <v>1</v>
      </c>
      <c r="F187" s="36" t="s">
        <v>354</v>
      </c>
      <c r="G187" s="24">
        <v>1</v>
      </c>
      <c r="H187" s="24"/>
      <c r="I187" s="42" t="str">
        <f>VLOOKUP(D187,Sheet2!H:I,2,0)</f>
        <v>一级</v>
      </c>
      <c r="J187" s="42">
        <f t="shared" si="2"/>
        <v>1</v>
      </c>
      <c r="L187" s="11" t="s">
        <v>459</v>
      </c>
      <c r="M187" s="44">
        <v>2</v>
      </c>
    </row>
    <row r="188" s="42" customFormat="1" spans="1:13">
      <c r="A188" s="24">
        <v>188</v>
      </c>
      <c r="B188" s="73" t="s">
        <v>460</v>
      </c>
      <c r="C188" s="24" t="s">
        <v>10</v>
      </c>
      <c r="D188" s="8" t="s">
        <v>287</v>
      </c>
      <c r="E188" s="24">
        <v>1</v>
      </c>
      <c r="F188" s="36" t="s">
        <v>354</v>
      </c>
      <c r="G188" s="24">
        <v>1</v>
      </c>
      <c r="H188" s="24"/>
      <c r="I188" s="42" t="str">
        <f>VLOOKUP(D188,Sheet2!H:I,2,0)</f>
        <v>一级</v>
      </c>
      <c r="J188" s="42">
        <f t="shared" si="2"/>
        <v>1</v>
      </c>
      <c r="L188" s="11" t="s">
        <v>461</v>
      </c>
      <c r="M188" s="44">
        <v>2</v>
      </c>
    </row>
    <row r="189" s="42" customFormat="1" spans="1:13">
      <c r="A189" s="24">
        <v>189</v>
      </c>
      <c r="B189" s="73" t="s">
        <v>462</v>
      </c>
      <c r="C189" s="24" t="s">
        <v>10</v>
      </c>
      <c r="D189" s="8" t="s">
        <v>290</v>
      </c>
      <c r="E189" s="24">
        <v>1</v>
      </c>
      <c r="F189" s="36" t="s">
        <v>354</v>
      </c>
      <c r="G189" s="24">
        <v>1</v>
      </c>
      <c r="H189" s="24"/>
      <c r="I189" s="42" t="str">
        <f>VLOOKUP(D189,Sheet2!H:I,2,0)</f>
        <v>一级</v>
      </c>
      <c r="J189" s="42">
        <f t="shared" si="2"/>
        <v>1</v>
      </c>
      <c r="L189" s="11" t="s">
        <v>463</v>
      </c>
      <c r="M189" s="44">
        <v>1</v>
      </c>
    </row>
    <row r="190" s="42" customFormat="1" spans="1:13">
      <c r="A190" s="24">
        <v>190</v>
      </c>
      <c r="B190" s="45" t="s">
        <v>464</v>
      </c>
      <c r="C190" s="24" t="s">
        <v>10</v>
      </c>
      <c r="D190" s="15" t="s">
        <v>293</v>
      </c>
      <c r="E190" s="24">
        <v>1</v>
      </c>
      <c r="F190" s="36" t="s">
        <v>354</v>
      </c>
      <c r="G190" s="24">
        <v>1</v>
      </c>
      <c r="H190" s="24"/>
      <c r="I190" s="42" t="str">
        <f>VLOOKUP(D190,Sheet2!H:I,2,0)</f>
        <v>一级</v>
      </c>
      <c r="J190" s="42">
        <f t="shared" si="2"/>
        <v>1</v>
      </c>
      <c r="L190" s="11" t="s">
        <v>465</v>
      </c>
      <c r="M190" s="44">
        <v>1</v>
      </c>
    </row>
    <row r="191" s="42" customFormat="1" spans="1:13">
      <c r="A191" s="24">
        <v>191</v>
      </c>
      <c r="B191" s="45" t="s">
        <v>466</v>
      </c>
      <c r="C191" s="24" t="s">
        <v>10</v>
      </c>
      <c r="D191" s="15" t="s">
        <v>296</v>
      </c>
      <c r="E191" s="24">
        <v>1</v>
      </c>
      <c r="F191" s="36" t="s">
        <v>354</v>
      </c>
      <c r="G191" s="24">
        <v>1</v>
      </c>
      <c r="H191" s="24"/>
      <c r="I191" s="42" t="str">
        <f>VLOOKUP(D191,Sheet2!H:I,2,0)</f>
        <v>一级</v>
      </c>
      <c r="J191" s="42">
        <f t="shared" si="2"/>
        <v>1</v>
      </c>
      <c r="L191" s="52" t="s">
        <v>467</v>
      </c>
      <c r="M191" s="44">
        <v>2</v>
      </c>
    </row>
    <row r="192" s="42" customFormat="1" spans="1:13">
      <c r="A192" s="24">
        <v>192</v>
      </c>
      <c r="B192" s="45" t="s">
        <v>468</v>
      </c>
      <c r="C192" s="24" t="s">
        <v>10</v>
      </c>
      <c r="D192" s="15" t="s">
        <v>313</v>
      </c>
      <c r="E192" s="24">
        <v>1</v>
      </c>
      <c r="F192" s="36" t="s">
        <v>354</v>
      </c>
      <c r="G192" s="24">
        <v>1</v>
      </c>
      <c r="H192" s="24"/>
      <c r="I192" s="42" t="str">
        <f>VLOOKUP(D192,Sheet2!H:I,2,0)</f>
        <v>一级</v>
      </c>
      <c r="J192" s="42">
        <f t="shared" si="2"/>
        <v>1</v>
      </c>
      <c r="L192" s="52" t="s">
        <v>469</v>
      </c>
      <c r="M192" s="44">
        <v>2</v>
      </c>
    </row>
    <row r="193" s="42" customFormat="1" spans="1:13">
      <c r="A193" s="24">
        <v>193</v>
      </c>
      <c r="B193" s="45" t="s">
        <v>470</v>
      </c>
      <c r="C193" s="24" t="s">
        <v>10</v>
      </c>
      <c r="D193" s="15" t="s">
        <v>316</v>
      </c>
      <c r="E193" s="24">
        <v>1</v>
      </c>
      <c r="F193" s="36" t="s">
        <v>354</v>
      </c>
      <c r="G193" s="24">
        <v>1</v>
      </c>
      <c r="H193" s="24"/>
      <c r="I193" s="42" t="str">
        <f>VLOOKUP(D193,Sheet2!H:I,2,0)</f>
        <v>一级</v>
      </c>
      <c r="J193" s="42">
        <f t="shared" si="2"/>
        <v>1</v>
      </c>
      <c r="L193" s="11" t="s">
        <v>471</v>
      </c>
      <c r="M193" s="44">
        <v>2</v>
      </c>
    </row>
    <row r="194" s="42" customFormat="1" spans="1:13">
      <c r="A194" s="24">
        <v>194</v>
      </c>
      <c r="B194" s="45" t="s">
        <v>472</v>
      </c>
      <c r="C194" s="24" t="s">
        <v>10</v>
      </c>
      <c r="D194" s="15" t="s">
        <v>319</v>
      </c>
      <c r="E194" s="24">
        <v>1</v>
      </c>
      <c r="F194" s="36" t="s">
        <v>354</v>
      </c>
      <c r="G194" s="24">
        <v>1</v>
      </c>
      <c r="H194" s="24"/>
      <c r="I194" s="42" t="str">
        <f>VLOOKUP(D194,Sheet2!H:I,2,0)</f>
        <v>一级</v>
      </c>
      <c r="J194" s="42">
        <f t="shared" si="2"/>
        <v>1</v>
      </c>
      <c r="L194" s="11" t="s">
        <v>473</v>
      </c>
      <c r="M194" s="44">
        <v>2</v>
      </c>
    </row>
    <row r="195" s="42" customFormat="1" spans="1:13">
      <c r="A195" s="24">
        <v>195</v>
      </c>
      <c r="B195" s="45" t="s">
        <v>474</v>
      </c>
      <c r="C195" s="24" t="s">
        <v>10</v>
      </c>
      <c r="D195" s="31" t="s">
        <v>322</v>
      </c>
      <c r="E195" s="24">
        <v>1</v>
      </c>
      <c r="F195" s="36" t="s">
        <v>354</v>
      </c>
      <c r="G195" s="24">
        <v>1</v>
      </c>
      <c r="H195" s="24"/>
      <c r="I195" s="42" t="str">
        <f>VLOOKUP(D195,Sheet2!H:I,2,0)</f>
        <v>一级</v>
      </c>
      <c r="J195" s="42">
        <f t="shared" ref="J195:J258" si="3">VLOOKUP(D195,L:M,2,0)</f>
        <v>1</v>
      </c>
      <c r="L195" s="52" t="s">
        <v>475</v>
      </c>
      <c r="M195" s="44">
        <v>2</v>
      </c>
    </row>
    <row r="196" s="42" customFormat="1" spans="1:13">
      <c r="A196" s="24">
        <v>196</v>
      </c>
      <c r="B196" s="73" t="s">
        <v>476</v>
      </c>
      <c r="C196" s="24" t="s">
        <v>10</v>
      </c>
      <c r="D196" s="14" t="s">
        <v>427</v>
      </c>
      <c r="E196" s="24">
        <v>2</v>
      </c>
      <c r="F196" s="36" t="s">
        <v>354</v>
      </c>
      <c r="G196" s="24">
        <v>2</v>
      </c>
      <c r="H196" s="24"/>
      <c r="I196" s="42" t="str">
        <f>VLOOKUP(D196,Sheet2!H:I,2,0)</f>
        <v>二级</v>
      </c>
      <c r="J196" s="42">
        <f t="shared" si="3"/>
        <v>2</v>
      </c>
      <c r="L196" s="50" t="s">
        <v>477</v>
      </c>
      <c r="M196" s="44">
        <v>2</v>
      </c>
    </row>
    <row r="197" s="42" customFormat="1" spans="1:13">
      <c r="A197" s="24">
        <v>197</v>
      </c>
      <c r="B197" s="45" t="s">
        <v>478</v>
      </c>
      <c r="C197" s="24" t="s">
        <v>10</v>
      </c>
      <c r="D197" s="14" t="s">
        <v>429</v>
      </c>
      <c r="E197" s="24">
        <v>2</v>
      </c>
      <c r="F197" s="36" t="s">
        <v>354</v>
      </c>
      <c r="G197" s="24">
        <v>2</v>
      </c>
      <c r="H197" s="24"/>
      <c r="I197" s="42" t="str">
        <f>VLOOKUP(D197,Sheet2!H:I,2,0)</f>
        <v>二级</v>
      </c>
      <c r="J197" s="42">
        <f t="shared" si="3"/>
        <v>2</v>
      </c>
      <c r="L197" s="47" t="s">
        <v>479</v>
      </c>
      <c r="M197" s="44">
        <v>2</v>
      </c>
    </row>
    <row r="198" s="42" customFormat="1" spans="1:13">
      <c r="A198" s="24">
        <v>198</v>
      </c>
      <c r="B198" s="45" t="s">
        <v>480</v>
      </c>
      <c r="C198" s="24" t="s">
        <v>10</v>
      </c>
      <c r="D198" s="26" t="s">
        <v>433</v>
      </c>
      <c r="E198" s="24">
        <v>2</v>
      </c>
      <c r="F198" s="36" t="s">
        <v>354</v>
      </c>
      <c r="G198" s="24">
        <v>2</v>
      </c>
      <c r="H198" s="24"/>
      <c r="I198" s="42" t="str">
        <f>VLOOKUP(D198,Sheet2!H:I,2,0)</f>
        <v>二级</v>
      </c>
      <c r="J198" s="42">
        <f t="shared" si="3"/>
        <v>2</v>
      </c>
      <c r="L198" s="47" t="s">
        <v>481</v>
      </c>
      <c r="M198" s="44">
        <v>2</v>
      </c>
    </row>
    <row r="199" s="42" customFormat="1" spans="1:13">
      <c r="A199" s="24">
        <v>199</v>
      </c>
      <c r="B199" s="45" t="s">
        <v>482</v>
      </c>
      <c r="C199" s="24" t="s">
        <v>10</v>
      </c>
      <c r="D199" s="8" t="s">
        <v>435</v>
      </c>
      <c r="E199" s="24">
        <v>2</v>
      </c>
      <c r="F199" s="36" t="s">
        <v>354</v>
      </c>
      <c r="G199" s="24">
        <v>2</v>
      </c>
      <c r="H199" s="24"/>
      <c r="I199" s="42" t="str">
        <f>VLOOKUP(D199,Sheet2!H:I,2,0)</f>
        <v>二级</v>
      </c>
      <c r="J199" s="42">
        <f t="shared" si="3"/>
        <v>2</v>
      </c>
      <c r="L199" s="47" t="s">
        <v>483</v>
      </c>
      <c r="M199" s="44">
        <v>2</v>
      </c>
    </row>
    <row r="200" s="42" customFormat="1" spans="1:13">
      <c r="A200" s="24">
        <v>200</v>
      </c>
      <c r="B200" s="73" t="s">
        <v>484</v>
      </c>
      <c r="C200" s="24" t="s">
        <v>10</v>
      </c>
      <c r="D200" s="2" t="s">
        <v>441</v>
      </c>
      <c r="E200" s="24">
        <v>2</v>
      </c>
      <c r="F200" s="36" t="s">
        <v>354</v>
      </c>
      <c r="G200" s="24">
        <v>2</v>
      </c>
      <c r="H200" s="24"/>
      <c r="I200" s="42" t="str">
        <f>VLOOKUP(D200,Sheet2!H:I,2,0)</f>
        <v>二级</v>
      </c>
      <c r="J200" s="42">
        <f t="shared" si="3"/>
        <v>2</v>
      </c>
      <c r="L200" s="47" t="s">
        <v>485</v>
      </c>
      <c r="M200" s="44">
        <v>2</v>
      </c>
    </row>
    <row r="201" s="42" customFormat="1" spans="1:13">
      <c r="A201" s="24">
        <v>201</v>
      </c>
      <c r="B201" s="73" t="s">
        <v>486</v>
      </c>
      <c r="C201" s="24" t="s">
        <v>10</v>
      </c>
      <c r="D201" s="2" t="s">
        <v>443</v>
      </c>
      <c r="E201" s="24">
        <v>2</v>
      </c>
      <c r="F201" s="36" t="s">
        <v>354</v>
      </c>
      <c r="G201" s="24">
        <v>2</v>
      </c>
      <c r="H201" s="24"/>
      <c r="I201" s="42" t="str">
        <f>VLOOKUP(D201,Sheet2!H:I,2,0)</f>
        <v>二级</v>
      </c>
      <c r="J201" s="42">
        <f t="shared" si="3"/>
        <v>2</v>
      </c>
      <c r="L201" s="50" t="s">
        <v>487</v>
      </c>
      <c r="M201" s="44">
        <v>2</v>
      </c>
    </row>
    <row r="202" s="42" customFormat="1" spans="1:13">
      <c r="A202" s="24">
        <v>202</v>
      </c>
      <c r="B202" s="73" t="s">
        <v>488</v>
      </c>
      <c r="C202" s="24" t="s">
        <v>10</v>
      </c>
      <c r="D202" s="2" t="s">
        <v>445</v>
      </c>
      <c r="E202" s="24">
        <v>2</v>
      </c>
      <c r="F202" s="36" t="s">
        <v>354</v>
      </c>
      <c r="G202" s="24">
        <v>2</v>
      </c>
      <c r="H202" s="24"/>
      <c r="I202" s="42" t="str">
        <f>VLOOKUP(D202,Sheet2!H:I,2,0)</f>
        <v>二级</v>
      </c>
      <c r="J202" s="42">
        <f t="shared" si="3"/>
        <v>2</v>
      </c>
      <c r="L202" s="51" t="s">
        <v>489</v>
      </c>
      <c r="M202" s="44">
        <v>2</v>
      </c>
    </row>
    <row r="203" s="42" customFormat="1" spans="1:13">
      <c r="A203" s="24">
        <v>203</v>
      </c>
      <c r="B203" s="73" t="s">
        <v>490</v>
      </c>
      <c r="C203" s="24" t="s">
        <v>10</v>
      </c>
      <c r="D203" s="2" t="s">
        <v>447</v>
      </c>
      <c r="E203" s="24">
        <v>2</v>
      </c>
      <c r="F203" s="36" t="s">
        <v>354</v>
      </c>
      <c r="G203" s="24">
        <v>2</v>
      </c>
      <c r="H203" s="24"/>
      <c r="I203" s="42" t="str">
        <f>VLOOKUP(D203,Sheet2!H:I,2,0)</f>
        <v>二级</v>
      </c>
      <c r="J203" s="42">
        <f t="shared" si="3"/>
        <v>2</v>
      </c>
      <c r="L203" s="11" t="s">
        <v>491</v>
      </c>
      <c r="M203" s="44">
        <v>2</v>
      </c>
    </row>
    <row r="204" s="42" customFormat="1" spans="1:13">
      <c r="A204" s="24">
        <v>204</v>
      </c>
      <c r="B204" s="73" t="s">
        <v>492</v>
      </c>
      <c r="C204" s="24" t="s">
        <v>10</v>
      </c>
      <c r="D204" s="2" t="s">
        <v>449</v>
      </c>
      <c r="E204" s="24">
        <v>2</v>
      </c>
      <c r="F204" s="36" t="s">
        <v>354</v>
      </c>
      <c r="G204" s="24">
        <v>2</v>
      </c>
      <c r="H204" s="24"/>
      <c r="I204" s="42" t="str">
        <f>VLOOKUP(D204,Sheet2!H:I,2,0)</f>
        <v>二级</v>
      </c>
      <c r="J204" s="42">
        <f t="shared" si="3"/>
        <v>2</v>
      </c>
      <c r="L204" s="46" t="s">
        <v>493</v>
      </c>
      <c r="M204" s="44">
        <v>2</v>
      </c>
    </row>
    <row r="205" s="42" customFormat="1" spans="1:13">
      <c r="A205" s="24">
        <v>205</v>
      </c>
      <c r="B205" s="73" t="s">
        <v>494</v>
      </c>
      <c r="C205" s="24" t="s">
        <v>10</v>
      </c>
      <c r="D205" s="2" t="s">
        <v>451</v>
      </c>
      <c r="E205" s="24">
        <v>2</v>
      </c>
      <c r="F205" s="36" t="s">
        <v>354</v>
      </c>
      <c r="G205" s="24">
        <v>2</v>
      </c>
      <c r="H205" s="24"/>
      <c r="I205" s="42" t="str">
        <f>VLOOKUP(D205,Sheet2!H:I,2,0)</f>
        <v>二级</v>
      </c>
      <c r="J205" s="42">
        <f t="shared" si="3"/>
        <v>2</v>
      </c>
      <c r="L205" s="46" t="s">
        <v>495</v>
      </c>
      <c r="M205" s="44">
        <v>2</v>
      </c>
    </row>
    <row r="206" s="42" customFormat="1" spans="1:13">
      <c r="A206" s="24">
        <v>206</v>
      </c>
      <c r="B206" s="45" t="s">
        <v>496</v>
      </c>
      <c r="C206" s="24" t="s">
        <v>10</v>
      </c>
      <c r="D206" s="17" t="s">
        <v>431</v>
      </c>
      <c r="E206" s="24">
        <v>2</v>
      </c>
      <c r="F206" s="36" t="s">
        <v>354</v>
      </c>
      <c r="G206" s="24">
        <v>2</v>
      </c>
      <c r="H206" s="24"/>
      <c r="I206" s="42" t="str">
        <f>VLOOKUP(D206,Sheet2!H:I,2,0)</f>
        <v>二级</v>
      </c>
      <c r="J206" s="42">
        <f t="shared" si="3"/>
        <v>2</v>
      </c>
      <c r="L206" s="50" t="s">
        <v>497</v>
      </c>
      <c r="M206" s="44">
        <v>2</v>
      </c>
    </row>
    <row r="207" s="42" customFormat="1" spans="1:13">
      <c r="A207" s="24">
        <v>207</v>
      </c>
      <c r="B207" s="45" t="s">
        <v>498</v>
      </c>
      <c r="C207" s="24" t="s">
        <v>10</v>
      </c>
      <c r="D207" s="26" t="s">
        <v>453</v>
      </c>
      <c r="E207" s="24">
        <v>2</v>
      </c>
      <c r="F207" s="36" t="s">
        <v>354</v>
      </c>
      <c r="G207" s="24">
        <v>2</v>
      </c>
      <c r="H207" s="24"/>
      <c r="I207" s="42" t="str">
        <f>VLOOKUP(D207,Sheet2!H:I,2,0)</f>
        <v>二级</v>
      </c>
      <c r="J207" s="42">
        <f t="shared" si="3"/>
        <v>2</v>
      </c>
      <c r="L207" s="50" t="s">
        <v>499</v>
      </c>
      <c r="M207" s="44">
        <v>2</v>
      </c>
    </row>
    <row r="208" s="42" customFormat="1" spans="1:13">
      <c r="A208" s="24">
        <v>208</v>
      </c>
      <c r="B208" s="45" t="s">
        <v>500</v>
      </c>
      <c r="C208" s="24" t="s">
        <v>10</v>
      </c>
      <c r="D208" s="20" t="s">
        <v>455</v>
      </c>
      <c r="E208" s="24">
        <v>2</v>
      </c>
      <c r="F208" s="36" t="s">
        <v>354</v>
      </c>
      <c r="G208" s="24">
        <v>2</v>
      </c>
      <c r="H208" s="24"/>
      <c r="I208" s="42" t="str">
        <f>VLOOKUP(D208,Sheet2!H:I,2,0)</f>
        <v>二级</v>
      </c>
      <c r="J208" s="42">
        <f t="shared" si="3"/>
        <v>2</v>
      </c>
      <c r="L208" s="11" t="s">
        <v>501</v>
      </c>
      <c r="M208" s="44">
        <v>2</v>
      </c>
    </row>
    <row r="209" s="42" customFormat="1" spans="1:13">
      <c r="A209" s="24">
        <v>209</v>
      </c>
      <c r="B209" s="45" t="s">
        <v>502</v>
      </c>
      <c r="C209" s="24" t="s">
        <v>10</v>
      </c>
      <c r="D209" s="8" t="s">
        <v>457</v>
      </c>
      <c r="E209" s="24">
        <v>2</v>
      </c>
      <c r="F209" s="36" t="s">
        <v>354</v>
      </c>
      <c r="G209" s="24">
        <v>2</v>
      </c>
      <c r="H209" s="24"/>
      <c r="I209" s="42" t="str">
        <f>VLOOKUP(D209,Sheet2!H:I,2,0)</f>
        <v>二级</v>
      </c>
      <c r="J209" s="42">
        <f t="shared" si="3"/>
        <v>2</v>
      </c>
      <c r="L209" s="50" t="s">
        <v>503</v>
      </c>
      <c r="M209" s="44">
        <v>2</v>
      </c>
    </row>
    <row r="210" s="42" customFormat="1" spans="1:13">
      <c r="A210" s="24">
        <v>210</v>
      </c>
      <c r="B210" s="73" t="s">
        <v>504</v>
      </c>
      <c r="C210" s="24" t="s">
        <v>10</v>
      </c>
      <c r="D210" s="8" t="s">
        <v>459</v>
      </c>
      <c r="E210" s="24">
        <v>2</v>
      </c>
      <c r="F210" s="36" t="s">
        <v>354</v>
      </c>
      <c r="G210" s="24">
        <v>2</v>
      </c>
      <c r="H210" s="24"/>
      <c r="I210" s="42" t="str">
        <f>VLOOKUP(D210,Sheet2!H:I,2,0)</f>
        <v>二级</v>
      </c>
      <c r="J210" s="42">
        <f t="shared" si="3"/>
        <v>2</v>
      </c>
      <c r="L210" s="50" t="s">
        <v>505</v>
      </c>
      <c r="M210" s="44">
        <v>2</v>
      </c>
    </row>
    <row r="211" s="42" customFormat="1" spans="1:13">
      <c r="A211" s="24">
        <v>211</v>
      </c>
      <c r="B211" s="45" t="s">
        <v>506</v>
      </c>
      <c r="C211" s="24" t="s">
        <v>10</v>
      </c>
      <c r="D211" s="8" t="s">
        <v>461</v>
      </c>
      <c r="E211" s="24">
        <v>2</v>
      </c>
      <c r="F211" s="36" t="s">
        <v>354</v>
      </c>
      <c r="G211" s="24">
        <v>2</v>
      </c>
      <c r="H211" s="24"/>
      <c r="I211" s="42" t="str">
        <f>VLOOKUP(D211,Sheet2!H:I,2,0)</f>
        <v>二级</v>
      </c>
      <c r="J211" s="42">
        <f t="shared" si="3"/>
        <v>2</v>
      </c>
      <c r="L211" s="11" t="s">
        <v>507</v>
      </c>
      <c r="M211" s="44">
        <v>2</v>
      </c>
    </row>
    <row r="212" s="42" customFormat="1" spans="1:13">
      <c r="A212" s="24">
        <v>212</v>
      </c>
      <c r="B212" s="73" t="s">
        <v>508</v>
      </c>
      <c r="C212" s="24" t="s">
        <v>10</v>
      </c>
      <c r="D212" s="8" t="s">
        <v>463</v>
      </c>
      <c r="E212" s="24">
        <v>1</v>
      </c>
      <c r="F212" s="36" t="s">
        <v>354</v>
      </c>
      <c r="G212" s="24">
        <v>1</v>
      </c>
      <c r="H212" s="24"/>
      <c r="I212" s="42" t="str">
        <f>VLOOKUP(D212,Sheet2!H:I,2,0)</f>
        <v>一级</v>
      </c>
      <c r="J212" s="42">
        <f t="shared" si="3"/>
        <v>1</v>
      </c>
      <c r="L212" s="47" t="s">
        <v>509</v>
      </c>
      <c r="M212" s="44">
        <v>2</v>
      </c>
    </row>
    <row r="213" s="42" customFormat="1" spans="1:13">
      <c r="A213" s="24">
        <v>213</v>
      </c>
      <c r="B213" s="73" t="s">
        <v>510</v>
      </c>
      <c r="C213" s="24" t="s">
        <v>10</v>
      </c>
      <c r="D213" s="8" t="s">
        <v>465</v>
      </c>
      <c r="E213" s="24">
        <v>1</v>
      </c>
      <c r="F213" s="36" t="s">
        <v>354</v>
      </c>
      <c r="G213" s="24">
        <v>1</v>
      </c>
      <c r="H213" s="24"/>
      <c r="I213" s="42" t="str">
        <f>VLOOKUP(D213,Sheet2!H:I,2,0)</f>
        <v>一级</v>
      </c>
      <c r="J213" s="42">
        <f t="shared" si="3"/>
        <v>1</v>
      </c>
      <c r="L213" s="11" t="s">
        <v>511</v>
      </c>
      <c r="M213" s="44">
        <v>2</v>
      </c>
    </row>
    <row r="214" s="42" customFormat="1" spans="1:13">
      <c r="A214" s="24">
        <v>214</v>
      </c>
      <c r="B214" s="45" t="s">
        <v>512</v>
      </c>
      <c r="C214" s="24" t="s">
        <v>10</v>
      </c>
      <c r="D214" s="26" t="s">
        <v>467</v>
      </c>
      <c r="E214" s="24">
        <v>2</v>
      </c>
      <c r="F214" s="36" t="s">
        <v>354</v>
      </c>
      <c r="G214" s="24">
        <v>2</v>
      </c>
      <c r="H214" s="24"/>
      <c r="I214" s="42" t="str">
        <f>VLOOKUP(D214,Sheet2!H:I,2,0)</f>
        <v>二级</v>
      </c>
      <c r="J214" s="42">
        <f t="shared" si="3"/>
        <v>2</v>
      </c>
      <c r="L214" s="47" t="s">
        <v>513</v>
      </c>
      <c r="M214" s="44">
        <v>2</v>
      </c>
    </row>
    <row r="215" s="42" customFormat="1" spans="1:13">
      <c r="A215" s="24">
        <v>215</v>
      </c>
      <c r="B215" s="45" t="s">
        <v>514</v>
      </c>
      <c r="C215" s="24" t="s">
        <v>10</v>
      </c>
      <c r="D215" s="26" t="s">
        <v>469</v>
      </c>
      <c r="E215" s="24">
        <v>2</v>
      </c>
      <c r="F215" s="36" t="s">
        <v>354</v>
      </c>
      <c r="G215" s="24">
        <v>2</v>
      </c>
      <c r="H215" s="24"/>
      <c r="I215" s="42" t="str">
        <f>VLOOKUP(D215,Sheet2!H:I,2,0)</f>
        <v>二级</v>
      </c>
      <c r="J215" s="42">
        <f t="shared" si="3"/>
        <v>2</v>
      </c>
      <c r="L215" s="49" t="s">
        <v>515</v>
      </c>
      <c r="M215" s="44">
        <v>2</v>
      </c>
    </row>
    <row r="216" s="42" customFormat="1" spans="1:13">
      <c r="A216" s="24">
        <v>216</v>
      </c>
      <c r="B216" s="73" t="s">
        <v>516</v>
      </c>
      <c r="C216" s="24" t="s">
        <v>10</v>
      </c>
      <c r="D216" s="8" t="s">
        <v>471</v>
      </c>
      <c r="E216" s="24">
        <v>2</v>
      </c>
      <c r="F216" s="36" t="s">
        <v>354</v>
      </c>
      <c r="G216" s="24">
        <v>2</v>
      </c>
      <c r="H216" s="24"/>
      <c r="I216" s="42" t="str">
        <f>VLOOKUP(D216,Sheet2!H:I,2,0)</f>
        <v>二级</v>
      </c>
      <c r="J216" s="42">
        <f t="shared" si="3"/>
        <v>2</v>
      </c>
      <c r="L216" s="11" t="s">
        <v>517</v>
      </c>
      <c r="M216" s="44">
        <v>2</v>
      </c>
    </row>
    <row r="217" s="42" customFormat="1" spans="1:13">
      <c r="A217" s="24">
        <v>217</v>
      </c>
      <c r="B217" s="45" t="s">
        <v>518</v>
      </c>
      <c r="C217" s="24" t="s">
        <v>10</v>
      </c>
      <c r="D217" s="8" t="s">
        <v>473</v>
      </c>
      <c r="E217" s="24">
        <v>2</v>
      </c>
      <c r="F217" s="36" t="s">
        <v>354</v>
      </c>
      <c r="G217" s="24">
        <v>2</v>
      </c>
      <c r="H217" s="24"/>
      <c r="I217" s="42" t="str">
        <f>VLOOKUP(D217,Sheet2!H:I,2,0)</f>
        <v>二级</v>
      </c>
      <c r="J217" s="42">
        <f t="shared" si="3"/>
        <v>2</v>
      </c>
      <c r="L217" s="11" t="s">
        <v>519</v>
      </c>
      <c r="M217" s="44">
        <v>2</v>
      </c>
    </row>
    <row r="218" s="42" customFormat="1" spans="1:13">
      <c r="A218" s="24">
        <v>218</v>
      </c>
      <c r="B218" s="45" t="s">
        <v>520</v>
      </c>
      <c r="C218" s="24" t="s">
        <v>10</v>
      </c>
      <c r="D218" s="26" t="s">
        <v>475</v>
      </c>
      <c r="E218" s="24">
        <v>2</v>
      </c>
      <c r="F218" s="36" t="s">
        <v>354</v>
      </c>
      <c r="G218" s="24">
        <v>2</v>
      </c>
      <c r="H218" s="24"/>
      <c r="I218" s="42" t="str">
        <f>VLOOKUP(D218,Sheet2!H:I,2,0)</f>
        <v>二级</v>
      </c>
      <c r="J218" s="42">
        <f t="shared" si="3"/>
        <v>2</v>
      </c>
      <c r="L218" s="47" t="s">
        <v>521</v>
      </c>
      <c r="M218" s="44">
        <v>2</v>
      </c>
    </row>
    <row r="219" s="42" customFormat="1" spans="1:13">
      <c r="A219" s="24">
        <v>219</v>
      </c>
      <c r="B219" s="45" t="s">
        <v>522</v>
      </c>
      <c r="C219" s="24" t="s">
        <v>10</v>
      </c>
      <c r="D219" s="17" t="s">
        <v>477</v>
      </c>
      <c r="E219" s="24">
        <v>2</v>
      </c>
      <c r="F219" s="36" t="s">
        <v>354</v>
      </c>
      <c r="G219" s="24">
        <v>2</v>
      </c>
      <c r="H219" s="24"/>
      <c r="I219" s="42" t="str">
        <f>VLOOKUP(D219,Sheet2!H:I,2,0)</f>
        <v>二级</v>
      </c>
      <c r="J219" s="42">
        <f t="shared" si="3"/>
        <v>2</v>
      </c>
      <c r="L219" s="11" t="s">
        <v>523</v>
      </c>
      <c r="M219" s="44">
        <v>2</v>
      </c>
    </row>
    <row r="220" s="42" customFormat="1" spans="1:13">
      <c r="A220" s="24">
        <v>220</v>
      </c>
      <c r="B220" s="73" t="s">
        <v>524</v>
      </c>
      <c r="C220" s="24" t="s">
        <v>10</v>
      </c>
      <c r="D220" s="14" t="s">
        <v>479</v>
      </c>
      <c r="E220" s="24">
        <v>2</v>
      </c>
      <c r="F220" s="36" t="s">
        <v>354</v>
      </c>
      <c r="G220" s="24">
        <v>2</v>
      </c>
      <c r="H220" s="24"/>
      <c r="I220" s="42" t="str">
        <f>VLOOKUP(D220,Sheet2!H:I,2,0)</f>
        <v>二级</v>
      </c>
      <c r="J220" s="42">
        <f t="shared" si="3"/>
        <v>2</v>
      </c>
      <c r="L220" s="11" t="s">
        <v>525</v>
      </c>
      <c r="M220" s="44">
        <v>2</v>
      </c>
    </row>
    <row r="221" s="42" customFormat="1" spans="1:13">
      <c r="A221" s="24">
        <v>221</v>
      </c>
      <c r="B221" s="45" t="s">
        <v>526</v>
      </c>
      <c r="C221" s="24" t="s">
        <v>10</v>
      </c>
      <c r="D221" s="14" t="s">
        <v>481</v>
      </c>
      <c r="E221" s="24">
        <v>2</v>
      </c>
      <c r="F221" s="36" t="s">
        <v>354</v>
      </c>
      <c r="G221" s="24">
        <v>2</v>
      </c>
      <c r="H221" s="24"/>
      <c r="I221" s="42" t="str">
        <f>VLOOKUP(D221,Sheet2!H:I,2,0)</f>
        <v>二级</v>
      </c>
      <c r="J221" s="42">
        <f t="shared" si="3"/>
        <v>2</v>
      </c>
      <c r="L221" s="46" t="s">
        <v>527</v>
      </c>
      <c r="M221" s="44">
        <v>2</v>
      </c>
    </row>
    <row r="222" s="42" customFormat="1" spans="1:13">
      <c r="A222" s="24">
        <v>222</v>
      </c>
      <c r="B222" s="73" t="s">
        <v>528</v>
      </c>
      <c r="C222" s="24" t="s">
        <v>10</v>
      </c>
      <c r="D222" s="14" t="s">
        <v>483</v>
      </c>
      <c r="E222" s="24">
        <v>2</v>
      </c>
      <c r="F222" s="36" t="s">
        <v>354</v>
      </c>
      <c r="G222" s="24">
        <v>2</v>
      </c>
      <c r="H222" s="24"/>
      <c r="I222" s="42" t="str">
        <f>VLOOKUP(D222,Sheet2!H:I,2,0)</f>
        <v>二级</v>
      </c>
      <c r="J222" s="42">
        <f t="shared" si="3"/>
        <v>2</v>
      </c>
      <c r="L222" s="46" t="s">
        <v>529</v>
      </c>
      <c r="M222" s="44">
        <v>2</v>
      </c>
    </row>
    <row r="223" s="42" customFormat="1" spans="1:13">
      <c r="A223" s="24">
        <v>223</v>
      </c>
      <c r="B223" s="45" t="s">
        <v>530</v>
      </c>
      <c r="C223" s="24" t="s">
        <v>10</v>
      </c>
      <c r="D223" s="14" t="s">
        <v>485</v>
      </c>
      <c r="E223" s="24">
        <v>2</v>
      </c>
      <c r="F223" s="36" t="s">
        <v>354</v>
      </c>
      <c r="G223" s="24">
        <v>2</v>
      </c>
      <c r="H223" s="24"/>
      <c r="I223" s="42" t="str">
        <f>VLOOKUP(D223,Sheet2!H:I,2,0)</f>
        <v>二级</v>
      </c>
      <c r="J223" s="42">
        <f t="shared" si="3"/>
        <v>2</v>
      </c>
      <c r="L223" s="46" t="s">
        <v>531</v>
      </c>
      <c r="M223" s="44">
        <v>2</v>
      </c>
    </row>
    <row r="224" s="42" customFormat="1" spans="1:13">
      <c r="A224" s="24">
        <v>224</v>
      </c>
      <c r="B224" s="45" t="s">
        <v>532</v>
      </c>
      <c r="C224" s="24" t="s">
        <v>10</v>
      </c>
      <c r="D224" s="17" t="s">
        <v>487</v>
      </c>
      <c r="E224" s="24">
        <v>2</v>
      </c>
      <c r="F224" s="36" t="s">
        <v>354</v>
      </c>
      <c r="G224" s="24">
        <v>2</v>
      </c>
      <c r="H224" s="24"/>
      <c r="I224" s="42" t="str">
        <f>VLOOKUP(D224,Sheet2!H:I,2,0)</f>
        <v>二级</v>
      </c>
      <c r="J224" s="42">
        <f t="shared" si="3"/>
        <v>2</v>
      </c>
      <c r="L224" s="46" t="s">
        <v>533</v>
      </c>
      <c r="M224" s="44">
        <v>2</v>
      </c>
    </row>
    <row r="225" s="42" customFormat="1" spans="1:13">
      <c r="A225" s="24">
        <v>225</v>
      </c>
      <c r="B225" s="45" t="s">
        <v>534</v>
      </c>
      <c r="C225" s="24" t="s">
        <v>10</v>
      </c>
      <c r="D225" s="29" t="s">
        <v>489</v>
      </c>
      <c r="E225" s="24">
        <v>2</v>
      </c>
      <c r="F225" s="36" t="s">
        <v>354</v>
      </c>
      <c r="G225" s="24">
        <v>2</v>
      </c>
      <c r="H225" s="24"/>
      <c r="I225" s="42" t="str">
        <f>VLOOKUP(D225,Sheet2!H:I,2,0)</f>
        <v>二级</v>
      </c>
      <c r="J225" s="42">
        <f t="shared" si="3"/>
        <v>2</v>
      </c>
      <c r="L225" s="47" t="s">
        <v>535</v>
      </c>
      <c r="M225" s="44">
        <v>2</v>
      </c>
    </row>
    <row r="226" s="42" customFormat="1" spans="1:13">
      <c r="A226" s="24">
        <v>226</v>
      </c>
      <c r="B226" s="73" t="s">
        <v>536</v>
      </c>
      <c r="C226" s="24" t="s">
        <v>10</v>
      </c>
      <c r="D226" s="8" t="s">
        <v>491</v>
      </c>
      <c r="E226" s="24">
        <v>2</v>
      </c>
      <c r="F226" s="36" t="s">
        <v>354</v>
      </c>
      <c r="G226" s="24">
        <v>2</v>
      </c>
      <c r="H226" s="24"/>
      <c r="I226" s="42" t="str">
        <f>VLOOKUP(D226,Sheet2!H:I,2,0)</f>
        <v>二级</v>
      </c>
      <c r="J226" s="42">
        <f t="shared" si="3"/>
        <v>2</v>
      </c>
      <c r="L226" s="47" t="s">
        <v>537</v>
      </c>
      <c r="M226" s="44">
        <v>2</v>
      </c>
    </row>
    <row r="227" s="42" customFormat="1" spans="1:13">
      <c r="A227" s="24">
        <v>227</v>
      </c>
      <c r="B227" s="45" t="s">
        <v>538</v>
      </c>
      <c r="C227" s="24" t="s">
        <v>10</v>
      </c>
      <c r="D227" s="17" t="s">
        <v>497</v>
      </c>
      <c r="E227" s="24">
        <v>2</v>
      </c>
      <c r="F227" s="36" t="s">
        <v>354</v>
      </c>
      <c r="G227" s="24">
        <v>2</v>
      </c>
      <c r="H227" s="24"/>
      <c r="I227" s="42" t="str">
        <f>VLOOKUP(D227,Sheet2!H:I,2,0)</f>
        <v>二级</v>
      </c>
      <c r="J227" s="42">
        <f t="shared" si="3"/>
        <v>2</v>
      </c>
      <c r="L227" s="47" t="s">
        <v>539</v>
      </c>
      <c r="M227" s="44">
        <v>2</v>
      </c>
    </row>
    <row r="228" s="42" customFormat="1" spans="1:13">
      <c r="A228" s="24">
        <v>228</v>
      </c>
      <c r="B228" s="45" t="s">
        <v>540</v>
      </c>
      <c r="C228" s="24" t="s">
        <v>10</v>
      </c>
      <c r="D228" s="17" t="s">
        <v>499</v>
      </c>
      <c r="E228" s="24">
        <v>2</v>
      </c>
      <c r="F228" s="36" t="s">
        <v>354</v>
      </c>
      <c r="G228" s="24">
        <v>2</v>
      </c>
      <c r="H228" s="24"/>
      <c r="I228" s="42" t="str">
        <f>VLOOKUP(D228,Sheet2!H:I,2,0)</f>
        <v>二级</v>
      </c>
      <c r="J228" s="42">
        <f t="shared" si="3"/>
        <v>2</v>
      </c>
      <c r="L228" s="47" t="s">
        <v>541</v>
      </c>
      <c r="M228" s="44">
        <v>2</v>
      </c>
    </row>
    <row r="229" s="42" customFormat="1" spans="1:13">
      <c r="A229" s="24">
        <v>229</v>
      </c>
      <c r="B229" s="24" t="s">
        <v>542</v>
      </c>
      <c r="C229" s="24" t="s">
        <v>10</v>
      </c>
      <c r="D229" s="17" t="s">
        <v>505</v>
      </c>
      <c r="E229" s="24">
        <v>2</v>
      </c>
      <c r="F229" s="36" t="s">
        <v>354</v>
      </c>
      <c r="G229" s="24">
        <v>2</v>
      </c>
      <c r="H229" s="24"/>
      <c r="I229" s="42" t="str">
        <f>VLOOKUP(D229,Sheet2!H:I,2,0)</f>
        <v>二级</v>
      </c>
      <c r="J229" s="42">
        <f t="shared" si="3"/>
        <v>2</v>
      </c>
      <c r="L229" s="9" t="s">
        <v>543</v>
      </c>
      <c r="M229" s="44">
        <v>1</v>
      </c>
    </row>
    <row r="230" s="42" customFormat="1" spans="1:13">
      <c r="A230" s="24">
        <v>230</v>
      </c>
      <c r="B230" s="74" t="s">
        <v>544</v>
      </c>
      <c r="C230" s="24" t="s">
        <v>10</v>
      </c>
      <c r="D230" s="8" t="s">
        <v>507</v>
      </c>
      <c r="E230" s="24">
        <v>2</v>
      </c>
      <c r="F230" s="36" t="s">
        <v>354</v>
      </c>
      <c r="G230" s="24">
        <v>2</v>
      </c>
      <c r="H230" s="24"/>
      <c r="I230" s="42" t="str">
        <f>VLOOKUP(D230,Sheet2!H:I,2,0)</f>
        <v>二级</v>
      </c>
      <c r="J230" s="42">
        <f t="shared" si="3"/>
        <v>2</v>
      </c>
      <c r="L230" s="48" t="s">
        <v>545</v>
      </c>
      <c r="M230" s="44">
        <v>2</v>
      </c>
    </row>
    <row r="231" s="42" customFormat="1" spans="1:13">
      <c r="A231" s="24">
        <v>231</v>
      </c>
      <c r="B231" s="73" t="s">
        <v>546</v>
      </c>
      <c r="C231" s="24" t="s">
        <v>10</v>
      </c>
      <c r="D231" s="14" t="s">
        <v>509</v>
      </c>
      <c r="E231" s="24">
        <v>2</v>
      </c>
      <c r="F231" s="36" t="s">
        <v>354</v>
      </c>
      <c r="G231" s="24">
        <v>2</v>
      </c>
      <c r="H231" s="24"/>
      <c r="I231" s="42" t="str">
        <f>VLOOKUP(D231,Sheet2!H:I,2,0)</f>
        <v>二级</v>
      </c>
      <c r="J231" s="42">
        <f t="shared" si="3"/>
        <v>2</v>
      </c>
      <c r="L231" s="47" t="s">
        <v>547</v>
      </c>
      <c r="M231" s="44">
        <v>2</v>
      </c>
    </row>
    <row r="232" s="42" customFormat="1" spans="1:13">
      <c r="A232" s="24">
        <v>232</v>
      </c>
      <c r="B232" s="73" t="s">
        <v>548</v>
      </c>
      <c r="C232" s="24" t="s">
        <v>10</v>
      </c>
      <c r="D232" s="8" t="s">
        <v>511</v>
      </c>
      <c r="E232" s="24">
        <v>2</v>
      </c>
      <c r="F232" s="36" t="s">
        <v>354</v>
      </c>
      <c r="G232" s="24">
        <v>2</v>
      </c>
      <c r="H232" s="24"/>
      <c r="I232" s="42" t="str">
        <f>VLOOKUP(D232,Sheet2!H:I,2,0)</f>
        <v>二级</v>
      </c>
      <c r="J232" s="42">
        <f t="shared" si="3"/>
        <v>2</v>
      </c>
      <c r="L232" s="47" t="s">
        <v>549</v>
      </c>
      <c r="M232" s="44">
        <v>2</v>
      </c>
    </row>
    <row r="233" s="42" customFormat="1" spans="1:13">
      <c r="A233" s="24">
        <v>233</v>
      </c>
      <c r="B233" s="74" t="s">
        <v>550</v>
      </c>
      <c r="C233" s="24" t="s">
        <v>10</v>
      </c>
      <c r="D233" s="8" t="s">
        <v>513</v>
      </c>
      <c r="E233" s="24">
        <v>2</v>
      </c>
      <c r="F233" s="36" t="s">
        <v>354</v>
      </c>
      <c r="G233" s="24">
        <v>2</v>
      </c>
      <c r="H233" s="24"/>
      <c r="I233" s="42" t="str">
        <f>VLOOKUP(D233,Sheet2!H:I,2,0)</f>
        <v>二级</v>
      </c>
      <c r="J233" s="42">
        <f t="shared" si="3"/>
        <v>2</v>
      </c>
      <c r="L233" s="52" t="s">
        <v>551</v>
      </c>
      <c r="M233" s="44">
        <v>2</v>
      </c>
    </row>
    <row r="234" s="42" customFormat="1" spans="1:13">
      <c r="A234" s="24">
        <v>234</v>
      </c>
      <c r="B234" s="73" t="s">
        <v>552</v>
      </c>
      <c r="C234" s="24" t="s">
        <v>10</v>
      </c>
      <c r="D234" s="8" t="s">
        <v>553</v>
      </c>
      <c r="E234" s="24">
        <v>2</v>
      </c>
      <c r="F234" s="36" t="s">
        <v>354</v>
      </c>
      <c r="G234" s="24">
        <v>2</v>
      </c>
      <c r="H234" s="24"/>
      <c r="I234" s="42" t="str">
        <f>VLOOKUP(D234,Sheet2!H:I,2,0)</f>
        <v>二级</v>
      </c>
      <c r="J234" s="42">
        <f t="shared" si="3"/>
        <v>2</v>
      </c>
      <c r="L234" s="47" t="s">
        <v>554</v>
      </c>
      <c r="M234" s="44">
        <v>2</v>
      </c>
    </row>
    <row r="235" s="42" customFormat="1" spans="1:13">
      <c r="A235" s="24">
        <v>235</v>
      </c>
      <c r="B235" s="24" t="s">
        <v>555</v>
      </c>
      <c r="C235" s="24" t="s">
        <v>10</v>
      </c>
      <c r="D235" s="28" t="s">
        <v>515</v>
      </c>
      <c r="E235" s="24">
        <v>2</v>
      </c>
      <c r="F235" s="36" t="s">
        <v>354</v>
      </c>
      <c r="G235" s="24">
        <v>2</v>
      </c>
      <c r="H235" s="24"/>
      <c r="I235" s="42" t="str">
        <f>VLOOKUP(D235,Sheet2!H:I,2,0)</f>
        <v>二级</v>
      </c>
      <c r="J235" s="42">
        <f t="shared" si="3"/>
        <v>2</v>
      </c>
      <c r="L235" s="11" t="s">
        <v>556</v>
      </c>
      <c r="M235" s="44">
        <v>2</v>
      </c>
    </row>
    <row r="236" s="42" customFormat="1" spans="1:13">
      <c r="A236" s="24">
        <v>236</v>
      </c>
      <c r="B236" s="45" t="s">
        <v>557</v>
      </c>
      <c r="C236" s="24" t="s">
        <v>10</v>
      </c>
      <c r="D236" s="28" t="s">
        <v>558</v>
      </c>
      <c r="E236" s="24">
        <v>2</v>
      </c>
      <c r="F236" s="36" t="s">
        <v>354</v>
      </c>
      <c r="G236" s="24">
        <v>2</v>
      </c>
      <c r="H236" s="24"/>
      <c r="I236" s="42" t="str">
        <f>VLOOKUP(D236,Sheet2!H:I,2,0)</f>
        <v>二级</v>
      </c>
      <c r="J236" s="42">
        <f t="shared" si="3"/>
        <v>2</v>
      </c>
      <c r="L236" s="52" t="s">
        <v>559</v>
      </c>
      <c r="M236" s="44">
        <v>2</v>
      </c>
    </row>
    <row r="237" s="42" customFormat="1" spans="1:13">
      <c r="A237" s="24">
        <v>237</v>
      </c>
      <c r="B237" s="73" t="s">
        <v>560</v>
      </c>
      <c r="C237" s="24" t="s">
        <v>10</v>
      </c>
      <c r="D237" s="8" t="s">
        <v>517</v>
      </c>
      <c r="E237" s="24">
        <v>2</v>
      </c>
      <c r="F237" s="36" t="s">
        <v>354</v>
      </c>
      <c r="G237" s="24">
        <v>2</v>
      </c>
      <c r="H237" s="24"/>
      <c r="I237" s="42" t="str">
        <f>VLOOKUP(D237,Sheet2!H:I,2,0)</f>
        <v>二级</v>
      </c>
      <c r="J237" s="42">
        <f t="shared" si="3"/>
        <v>2</v>
      </c>
      <c r="L237" s="11" t="s">
        <v>561</v>
      </c>
      <c r="M237" s="44">
        <v>2</v>
      </c>
    </row>
    <row r="238" s="42" customFormat="1" spans="1:13">
      <c r="A238" s="24">
        <v>238</v>
      </c>
      <c r="B238" s="45" t="s">
        <v>562</v>
      </c>
      <c r="C238" s="24" t="s">
        <v>10</v>
      </c>
      <c r="D238" s="8" t="s">
        <v>519</v>
      </c>
      <c r="E238" s="24">
        <v>2</v>
      </c>
      <c r="F238" s="36" t="s">
        <v>354</v>
      </c>
      <c r="G238" s="24">
        <v>2</v>
      </c>
      <c r="H238" s="24"/>
      <c r="I238" s="42" t="str">
        <f>VLOOKUP(D238,Sheet2!H:I,2,0)</f>
        <v>二级</v>
      </c>
      <c r="J238" s="42">
        <f t="shared" si="3"/>
        <v>2</v>
      </c>
      <c r="L238" s="13" t="s">
        <v>563</v>
      </c>
      <c r="M238" s="44">
        <v>2</v>
      </c>
    </row>
    <row r="239" s="42" customFormat="1" spans="1:13">
      <c r="A239" s="24">
        <v>239</v>
      </c>
      <c r="B239" s="45" t="s">
        <v>564</v>
      </c>
      <c r="C239" s="24" t="s">
        <v>10</v>
      </c>
      <c r="D239" s="14" t="s">
        <v>521</v>
      </c>
      <c r="E239" s="24">
        <v>2</v>
      </c>
      <c r="F239" s="36" t="s">
        <v>354</v>
      </c>
      <c r="G239" s="24">
        <v>2</v>
      </c>
      <c r="H239" s="24"/>
      <c r="I239" s="42" t="str">
        <f>VLOOKUP(D239,Sheet2!H:I,2,0)</f>
        <v>二级</v>
      </c>
      <c r="J239" s="42">
        <f t="shared" si="3"/>
        <v>2</v>
      </c>
      <c r="L239" s="46" t="s">
        <v>565</v>
      </c>
      <c r="M239" s="44" t="s">
        <v>300</v>
      </c>
    </row>
    <row r="240" s="42" customFormat="1" spans="1:13">
      <c r="A240" s="24">
        <v>240</v>
      </c>
      <c r="B240" s="45" t="s">
        <v>566</v>
      </c>
      <c r="C240" s="24" t="s">
        <v>10</v>
      </c>
      <c r="D240" s="8" t="s">
        <v>523</v>
      </c>
      <c r="E240" s="24">
        <v>2</v>
      </c>
      <c r="F240" s="36" t="s">
        <v>354</v>
      </c>
      <c r="G240" s="24">
        <v>2</v>
      </c>
      <c r="H240" s="24"/>
      <c r="I240" s="42" t="str">
        <f>VLOOKUP(D240,Sheet2!H:I,2,0)</f>
        <v>二级</v>
      </c>
      <c r="J240" s="42">
        <f t="shared" si="3"/>
        <v>2</v>
      </c>
      <c r="L240" s="46" t="s">
        <v>567</v>
      </c>
      <c r="M240" s="44" t="s">
        <v>300</v>
      </c>
    </row>
    <row r="241" s="42" customFormat="1" spans="1:13">
      <c r="A241" s="24">
        <v>241</v>
      </c>
      <c r="B241" s="45" t="s">
        <v>568</v>
      </c>
      <c r="C241" s="24" t="s">
        <v>10</v>
      </c>
      <c r="D241" s="8" t="s">
        <v>525</v>
      </c>
      <c r="E241" s="24">
        <v>2</v>
      </c>
      <c r="F241" s="36" t="s">
        <v>354</v>
      </c>
      <c r="G241" s="24">
        <v>2</v>
      </c>
      <c r="H241" s="24"/>
      <c r="I241" s="42" t="str">
        <f>VLOOKUP(D241,Sheet2!H:I,2,0)</f>
        <v>二级</v>
      </c>
      <c r="J241" s="42">
        <f t="shared" si="3"/>
        <v>2</v>
      </c>
      <c r="L241" s="46" t="s">
        <v>569</v>
      </c>
      <c r="M241" s="44" t="s">
        <v>300</v>
      </c>
    </row>
    <row r="242" s="42" customFormat="1" spans="1:13">
      <c r="A242" s="24">
        <v>242</v>
      </c>
      <c r="B242" s="24" t="s">
        <v>570</v>
      </c>
      <c r="C242" s="24" t="s">
        <v>10</v>
      </c>
      <c r="D242" s="15" t="s">
        <v>527</v>
      </c>
      <c r="E242" s="24">
        <v>2</v>
      </c>
      <c r="F242" s="36" t="s">
        <v>354</v>
      </c>
      <c r="G242" s="24">
        <v>2</v>
      </c>
      <c r="H242" s="24"/>
      <c r="I242" s="42" t="str">
        <f>VLOOKUP(D242,Sheet2!H:I,2,0)</f>
        <v>二级</v>
      </c>
      <c r="J242" s="42">
        <f t="shared" si="3"/>
        <v>2</v>
      </c>
      <c r="L242" s="46" t="s">
        <v>571</v>
      </c>
      <c r="M242" s="44" t="s">
        <v>300</v>
      </c>
    </row>
    <row r="243" s="42" customFormat="1" spans="1:13">
      <c r="A243" s="24">
        <v>243</v>
      </c>
      <c r="B243" s="45" t="s">
        <v>572</v>
      </c>
      <c r="C243" s="24" t="s">
        <v>10</v>
      </c>
      <c r="D243" s="15" t="s">
        <v>529</v>
      </c>
      <c r="E243" s="24">
        <v>2</v>
      </c>
      <c r="F243" s="36" t="s">
        <v>354</v>
      </c>
      <c r="G243" s="24">
        <v>2</v>
      </c>
      <c r="H243" s="24"/>
      <c r="I243" s="42" t="str">
        <f>VLOOKUP(D243,Sheet2!H:I,2,0)</f>
        <v>二级</v>
      </c>
      <c r="J243" s="42">
        <f t="shared" si="3"/>
        <v>2</v>
      </c>
      <c r="L243" s="46" t="s">
        <v>573</v>
      </c>
      <c r="M243" s="44"/>
    </row>
    <row r="244" s="42" customFormat="1" spans="1:13">
      <c r="A244" s="24">
        <v>244</v>
      </c>
      <c r="B244" s="24" t="s">
        <v>574</v>
      </c>
      <c r="C244" s="24" t="s">
        <v>10</v>
      </c>
      <c r="D244" s="15" t="s">
        <v>531</v>
      </c>
      <c r="E244" s="24">
        <v>2</v>
      </c>
      <c r="F244" s="36" t="s">
        <v>354</v>
      </c>
      <c r="G244" s="24">
        <v>2</v>
      </c>
      <c r="H244" s="24"/>
      <c r="I244" s="42" t="str">
        <f>VLOOKUP(D244,Sheet2!H:I,2,0)</f>
        <v>二级</v>
      </c>
      <c r="J244" s="42">
        <f t="shared" si="3"/>
        <v>2</v>
      </c>
      <c r="L244" s="46" t="s">
        <v>575</v>
      </c>
      <c r="M244" s="44"/>
    </row>
    <row r="245" s="42" customFormat="1" spans="1:13">
      <c r="A245" s="24">
        <v>245</v>
      </c>
      <c r="B245" s="24" t="s">
        <v>576</v>
      </c>
      <c r="C245" s="24" t="s">
        <v>10</v>
      </c>
      <c r="D245" s="15" t="s">
        <v>533</v>
      </c>
      <c r="E245" s="24">
        <v>2</v>
      </c>
      <c r="F245" s="36" t="s">
        <v>354</v>
      </c>
      <c r="G245" s="24">
        <v>2</v>
      </c>
      <c r="H245" s="24"/>
      <c r="I245" s="42" t="str">
        <f>VLOOKUP(D245,Sheet2!H:I,2,0)</f>
        <v>二级</v>
      </c>
      <c r="J245" s="42">
        <f t="shared" si="3"/>
        <v>2</v>
      </c>
      <c r="L245" s="46" t="s">
        <v>577</v>
      </c>
      <c r="M245" s="44" t="s">
        <v>419</v>
      </c>
    </row>
    <row r="246" s="42" customFormat="1" spans="1:13">
      <c r="A246" s="24">
        <v>246</v>
      </c>
      <c r="B246" s="45" t="s">
        <v>578</v>
      </c>
      <c r="C246" s="24" t="s">
        <v>10</v>
      </c>
      <c r="D246" s="14" t="s">
        <v>535</v>
      </c>
      <c r="E246" s="24">
        <v>2</v>
      </c>
      <c r="F246" s="36" t="s">
        <v>354</v>
      </c>
      <c r="G246" s="24">
        <v>2</v>
      </c>
      <c r="H246" s="24"/>
      <c r="I246" s="42" t="str">
        <f>VLOOKUP(D246,Sheet2!H:I,2,0)</f>
        <v>二级</v>
      </c>
      <c r="J246" s="42">
        <f t="shared" si="3"/>
        <v>2</v>
      </c>
      <c r="L246" s="46" t="s">
        <v>579</v>
      </c>
      <c r="M246" s="44">
        <v>1</v>
      </c>
    </row>
    <row r="247" s="42" customFormat="1" spans="1:13">
      <c r="A247" s="24">
        <v>247</v>
      </c>
      <c r="B247" s="73" t="s">
        <v>580</v>
      </c>
      <c r="C247" s="24" t="s">
        <v>10</v>
      </c>
      <c r="D247" s="14" t="s">
        <v>537</v>
      </c>
      <c r="E247" s="24">
        <v>2</v>
      </c>
      <c r="F247" s="36" t="s">
        <v>354</v>
      </c>
      <c r="G247" s="24">
        <v>2</v>
      </c>
      <c r="H247" s="24"/>
      <c r="I247" s="42" t="str">
        <f>VLOOKUP(D247,Sheet2!H:I,2,0)</f>
        <v>二级</v>
      </c>
      <c r="J247" s="42">
        <f t="shared" si="3"/>
        <v>2</v>
      </c>
      <c r="L247" s="46" t="s">
        <v>581</v>
      </c>
      <c r="M247" s="44">
        <v>1</v>
      </c>
    </row>
    <row r="248" s="42" customFormat="1" spans="1:13">
      <c r="A248" s="24">
        <v>248</v>
      </c>
      <c r="B248" s="45" t="s">
        <v>582</v>
      </c>
      <c r="C248" s="24" t="s">
        <v>10</v>
      </c>
      <c r="D248" s="14" t="s">
        <v>539</v>
      </c>
      <c r="E248" s="24">
        <v>2</v>
      </c>
      <c r="F248" s="36" t="s">
        <v>354</v>
      </c>
      <c r="G248" s="24">
        <v>2</v>
      </c>
      <c r="H248" s="24"/>
      <c r="I248" s="42" t="str">
        <f>VLOOKUP(D248,Sheet2!H:I,2,0)</f>
        <v>二级</v>
      </c>
      <c r="J248" s="42">
        <f t="shared" si="3"/>
        <v>2</v>
      </c>
      <c r="L248" s="11" t="s">
        <v>583</v>
      </c>
      <c r="M248" s="44">
        <v>1</v>
      </c>
    </row>
    <row r="249" s="42" customFormat="1" spans="1:13">
      <c r="A249" s="24">
        <v>249</v>
      </c>
      <c r="B249" s="45" t="s">
        <v>584</v>
      </c>
      <c r="C249" s="24" t="s">
        <v>10</v>
      </c>
      <c r="D249" s="14" t="s">
        <v>541</v>
      </c>
      <c r="E249" s="24">
        <v>2</v>
      </c>
      <c r="F249" s="36" t="s">
        <v>354</v>
      </c>
      <c r="G249" s="24">
        <v>2</v>
      </c>
      <c r="H249" s="24"/>
      <c r="I249" s="42" t="str">
        <f>VLOOKUP(D249,Sheet2!H:I,2,0)</f>
        <v>二级</v>
      </c>
      <c r="J249" s="42">
        <f t="shared" si="3"/>
        <v>2</v>
      </c>
      <c r="L249" s="46" t="s">
        <v>585</v>
      </c>
      <c r="M249" s="44">
        <v>4</v>
      </c>
    </row>
    <row r="250" s="42" customFormat="1" spans="1:13">
      <c r="A250" s="24">
        <v>250</v>
      </c>
      <c r="B250" s="24" t="s">
        <v>586</v>
      </c>
      <c r="C250" s="24" t="s">
        <v>10</v>
      </c>
      <c r="D250" s="20" t="s">
        <v>545</v>
      </c>
      <c r="E250" s="24">
        <v>2</v>
      </c>
      <c r="F250" s="36" t="s">
        <v>354</v>
      </c>
      <c r="G250" s="24">
        <v>2</v>
      </c>
      <c r="H250" s="24"/>
      <c r="I250" s="42" t="str">
        <f>VLOOKUP(D250,Sheet2!H:I,2,0)</f>
        <v>二级</v>
      </c>
      <c r="J250" s="42">
        <f t="shared" si="3"/>
        <v>2</v>
      </c>
      <c r="L250" s="46" t="s">
        <v>587</v>
      </c>
      <c r="M250" s="44">
        <v>4</v>
      </c>
    </row>
    <row r="251" s="42" customFormat="1" spans="1:13">
      <c r="A251" s="24">
        <v>251</v>
      </c>
      <c r="B251" s="24" t="s">
        <v>588</v>
      </c>
      <c r="C251" s="24" t="s">
        <v>10</v>
      </c>
      <c r="D251" s="20" t="s">
        <v>589</v>
      </c>
      <c r="E251" s="24">
        <v>2</v>
      </c>
      <c r="F251" s="36" t="s">
        <v>354</v>
      </c>
      <c r="G251" s="24">
        <v>2</v>
      </c>
      <c r="H251" s="24"/>
      <c r="I251" s="42" t="str">
        <f>VLOOKUP(D251,Sheet2!H:I,2,0)</f>
        <v>二级</v>
      </c>
      <c r="J251" s="42">
        <f t="shared" si="3"/>
        <v>2</v>
      </c>
      <c r="L251" s="61" t="s">
        <v>590</v>
      </c>
      <c r="M251" s="44">
        <v>1</v>
      </c>
    </row>
    <row r="252" s="42" customFormat="1" spans="1:13">
      <c r="A252" s="24">
        <v>252</v>
      </c>
      <c r="B252" s="73" t="s">
        <v>591</v>
      </c>
      <c r="C252" s="24" t="s">
        <v>10</v>
      </c>
      <c r="D252" s="14" t="s">
        <v>547</v>
      </c>
      <c r="E252" s="24">
        <v>2</v>
      </c>
      <c r="F252" s="36" t="s">
        <v>354</v>
      </c>
      <c r="G252" s="24">
        <v>2</v>
      </c>
      <c r="H252" s="24"/>
      <c r="I252" s="42" t="str">
        <f>VLOOKUP(D252,Sheet2!H:I,2,0)</f>
        <v>二级</v>
      </c>
      <c r="J252" s="42">
        <f t="shared" si="3"/>
        <v>2</v>
      </c>
      <c r="L252" s="61" t="s">
        <v>592</v>
      </c>
      <c r="M252" s="44">
        <v>1</v>
      </c>
    </row>
    <row r="253" s="42" customFormat="1" spans="1:13">
      <c r="A253" s="24">
        <v>253</v>
      </c>
      <c r="B253" s="73" t="s">
        <v>593</v>
      </c>
      <c r="C253" s="24" t="s">
        <v>10</v>
      </c>
      <c r="D253" s="14" t="s">
        <v>549</v>
      </c>
      <c r="E253" s="24">
        <v>2</v>
      </c>
      <c r="F253" s="36" t="s">
        <v>354</v>
      </c>
      <c r="G253" s="24">
        <v>2</v>
      </c>
      <c r="H253" s="24"/>
      <c r="I253" s="42" t="str">
        <f>VLOOKUP(D253,Sheet2!H:I,2,0)</f>
        <v>二级</v>
      </c>
      <c r="J253" s="42">
        <f t="shared" si="3"/>
        <v>2</v>
      </c>
      <c r="L253" s="11" t="s">
        <v>594</v>
      </c>
      <c r="M253" s="44">
        <v>1</v>
      </c>
    </row>
    <row r="254" s="42" customFormat="1" spans="1:13">
      <c r="A254" s="24">
        <v>254</v>
      </c>
      <c r="B254" s="45" t="s">
        <v>595</v>
      </c>
      <c r="C254" s="24" t="s">
        <v>10</v>
      </c>
      <c r="D254" s="26" t="s">
        <v>551</v>
      </c>
      <c r="E254" s="24">
        <v>2</v>
      </c>
      <c r="F254" s="36" t="s">
        <v>354</v>
      </c>
      <c r="G254" s="24">
        <v>2</v>
      </c>
      <c r="H254" s="24"/>
      <c r="I254" s="42" t="str">
        <f>VLOOKUP(D254,Sheet2!H:I,2,0)</f>
        <v>二级</v>
      </c>
      <c r="J254" s="42">
        <f t="shared" si="3"/>
        <v>2</v>
      </c>
      <c r="L254" s="61" t="s">
        <v>596</v>
      </c>
      <c r="M254" s="44">
        <v>1</v>
      </c>
    </row>
    <row r="255" s="42" customFormat="1" spans="1:13">
      <c r="A255" s="24">
        <v>255</v>
      </c>
      <c r="B255" s="73" t="s">
        <v>597</v>
      </c>
      <c r="C255" s="24" t="s">
        <v>10</v>
      </c>
      <c r="D255" s="14" t="s">
        <v>554</v>
      </c>
      <c r="E255" s="24">
        <v>2</v>
      </c>
      <c r="F255" s="36" t="s">
        <v>354</v>
      </c>
      <c r="G255" s="24">
        <v>2</v>
      </c>
      <c r="H255" s="24"/>
      <c r="I255" s="42" t="str">
        <f>VLOOKUP(D255,Sheet2!H:I,2,0)</f>
        <v>二级</v>
      </c>
      <c r="J255" s="42">
        <f t="shared" si="3"/>
        <v>2</v>
      </c>
      <c r="L255" s="61" t="s">
        <v>598</v>
      </c>
      <c r="M255" s="44">
        <v>1</v>
      </c>
    </row>
    <row r="256" s="42" customFormat="1" spans="1:13">
      <c r="A256" s="24">
        <v>256</v>
      </c>
      <c r="B256" s="24" t="s">
        <v>599</v>
      </c>
      <c r="C256" s="24" t="s">
        <v>10</v>
      </c>
      <c r="D256" s="8" t="s">
        <v>556</v>
      </c>
      <c r="E256" s="24">
        <v>2</v>
      </c>
      <c r="F256" s="36" t="s">
        <v>354</v>
      </c>
      <c r="G256" s="24">
        <v>2</v>
      </c>
      <c r="H256" s="24"/>
      <c r="I256" s="42" t="str">
        <f>VLOOKUP(D256,Sheet2!H:I,2,0)</f>
        <v>二级</v>
      </c>
      <c r="J256" s="42">
        <f t="shared" si="3"/>
        <v>2</v>
      </c>
      <c r="L256" s="61" t="s">
        <v>600</v>
      </c>
      <c r="M256" s="44">
        <v>1</v>
      </c>
    </row>
    <row r="257" s="42" customFormat="1" spans="1:13">
      <c r="A257" s="24">
        <v>257</v>
      </c>
      <c r="B257" s="45" t="s">
        <v>601</v>
      </c>
      <c r="C257" s="24" t="s">
        <v>10</v>
      </c>
      <c r="D257" s="26" t="s">
        <v>559</v>
      </c>
      <c r="E257" s="24">
        <v>2</v>
      </c>
      <c r="F257" s="36" t="s">
        <v>354</v>
      </c>
      <c r="G257" s="24">
        <v>2</v>
      </c>
      <c r="H257" s="24"/>
      <c r="I257" s="42" t="str">
        <f>VLOOKUP(D257,Sheet2!H:I,2,0)</f>
        <v>二级</v>
      </c>
      <c r="J257" s="42">
        <f t="shared" si="3"/>
        <v>2</v>
      </c>
      <c r="L257" s="61" t="s">
        <v>602</v>
      </c>
      <c r="M257" s="44">
        <v>1</v>
      </c>
    </row>
    <row r="258" s="42" customFormat="1" spans="1:13">
      <c r="A258" s="24">
        <v>258</v>
      </c>
      <c r="B258" s="73" t="s">
        <v>603</v>
      </c>
      <c r="C258" s="24" t="s">
        <v>10</v>
      </c>
      <c r="D258" s="24" t="s">
        <v>563</v>
      </c>
      <c r="E258" s="24">
        <v>2</v>
      </c>
      <c r="F258" s="36" t="s">
        <v>354</v>
      </c>
      <c r="G258" s="24">
        <v>2</v>
      </c>
      <c r="H258" s="24"/>
      <c r="I258" s="42" t="str">
        <f>VLOOKUP(D258,Sheet2!H:I,2,0)</f>
        <v>二级</v>
      </c>
      <c r="J258" s="42">
        <f t="shared" si="3"/>
        <v>2</v>
      </c>
      <c r="L258" s="61" t="s">
        <v>604</v>
      </c>
      <c r="M258" s="44">
        <v>1</v>
      </c>
    </row>
    <row r="259" s="42" customFormat="1" spans="1:13">
      <c r="A259" s="24">
        <v>259</v>
      </c>
      <c r="B259" s="45" t="s">
        <v>605</v>
      </c>
      <c r="C259" s="24" t="s">
        <v>10</v>
      </c>
      <c r="D259" s="15" t="s">
        <v>579</v>
      </c>
      <c r="E259" s="24">
        <v>1</v>
      </c>
      <c r="F259" s="24" t="s">
        <v>354</v>
      </c>
      <c r="G259" s="24">
        <v>1</v>
      </c>
      <c r="H259" s="24"/>
      <c r="I259" s="42" t="str">
        <f>VLOOKUP(D259,Sheet2!H:I,2,0)</f>
        <v>一级</v>
      </c>
      <c r="J259" s="42">
        <f t="shared" ref="J259:J322" si="4">VLOOKUP(D259,L:M,2,0)</f>
        <v>1</v>
      </c>
      <c r="L259" s="61" t="s">
        <v>606</v>
      </c>
      <c r="M259" s="44">
        <v>1</v>
      </c>
    </row>
    <row r="260" s="42" customFormat="1" spans="1:13">
      <c r="A260" s="24">
        <v>260</v>
      </c>
      <c r="B260" s="45" t="s">
        <v>607</v>
      </c>
      <c r="C260" s="24" t="s">
        <v>10</v>
      </c>
      <c r="D260" s="15" t="s">
        <v>581</v>
      </c>
      <c r="E260" s="24">
        <v>1</v>
      </c>
      <c r="F260" s="24" t="s">
        <v>354</v>
      </c>
      <c r="G260" s="24">
        <v>1</v>
      </c>
      <c r="H260" s="24"/>
      <c r="I260" s="42" t="str">
        <f>VLOOKUP(D260,Sheet2!H:I,2,0)</f>
        <v>一级</v>
      </c>
      <c r="J260" s="42">
        <f t="shared" si="4"/>
        <v>1</v>
      </c>
      <c r="L260" s="61" t="s">
        <v>608</v>
      </c>
      <c r="M260" s="44"/>
    </row>
    <row r="261" s="42" customFormat="1" spans="1:13">
      <c r="A261" s="24">
        <v>261</v>
      </c>
      <c r="B261" s="45" t="s">
        <v>609</v>
      </c>
      <c r="C261" s="24" t="s">
        <v>10</v>
      </c>
      <c r="D261" s="32" t="s">
        <v>590</v>
      </c>
      <c r="E261" s="24">
        <v>1</v>
      </c>
      <c r="F261" s="24" t="s">
        <v>354</v>
      </c>
      <c r="G261" s="24">
        <v>1</v>
      </c>
      <c r="H261" s="24"/>
      <c r="I261" s="42" t="str">
        <f>VLOOKUP(D261,Sheet2!H:I,2,0)</f>
        <v>一级</v>
      </c>
      <c r="J261" s="42">
        <f t="shared" si="4"/>
        <v>1</v>
      </c>
      <c r="L261" s="61" t="s">
        <v>610</v>
      </c>
      <c r="M261" s="44"/>
    </row>
    <row r="262" s="42" customFormat="1" spans="1:13">
      <c r="A262" s="24">
        <v>262</v>
      </c>
      <c r="B262" s="45" t="s">
        <v>611</v>
      </c>
      <c r="C262" s="24" t="s">
        <v>10</v>
      </c>
      <c r="D262" s="32" t="s">
        <v>592</v>
      </c>
      <c r="E262" s="24">
        <v>1</v>
      </c>
      <c r="F262" s="24" t="s">
        <v>354</v>
      </c>
      <c r="G262" s="24">
        <v>1</v>
      </c>
      <c r="H262" s="24"/>
      <c r="I262" s="42" t="str">
        <f>VLOOKUP(D262,Sheet2!H:I,2,0)</f>
        <v>一级</v>
      </c>
      <c r="J262" s="42">
        <f t="shared" si="4"/>
        <v>1</v>
      </c>
      <c r="L262" s="61" t="s">
        <v>612</v>
      </c>
      <c r="M262" s="44"/>
    </row>
    <row r="263" s="42" customFormat="1" spans="1:13">
      <c r="A263" s="24">
        <v>263</v>
      </c>
      <c r="B263" s="45" t="s">
        <v>613</v>
      </c>
      <c r="C263" s="24" t="s">
        <v>10</v>
      </c>
      <c r="D263" s="32" t="s">
        <v>596</v>
      </c>
      <c r="E263" s="24">
        <v>1</v>
      </c>
      <c r="F263" s="24" t="s">
        <v>354</v>
      </c>
      <c r="G263" s="24">
        <v>1</v>
      </c>
      <c r="H263" s="24"/>
      <c r="I263" s="42" t="str">
        <f>VLOOKUP(D263,Sheet2!H:I,2,0)</f>
        <v>一级</v>
      </c>
      <c r="J263" s="42">
        <f t="shared" si="4"/>
        <v>1</v>
      </c>
      <c r="L263" s="61" t="s">
        <v>614</v>
      </c>
      <c r="M263" s="44"/>
    </row>
    <row r="264" s="42" customFormat="1" spans="1:13">
      <c r="A264" s="24">
        <v>264</v>
      </c>
      <c r="B264" s="45" t="s">
        <v>615</v>
      </c>
      <c r="C264" s="24" t="s">
        <v>10</v>
      </c>
      <c r="D264" s="32" t="s">
        <v>598</v>
      </c>
      <c r="E264" s="24">
        <v>1</v>
      </c>
      <c r="F264" s="24" t="s">
        <v>354</v>
      </c>
      <c r="G264" s="24">
        <v>1</v>
      </c>
      <c r="H264" s="24"/>
      <c r="I264" s="42" t="str">
        <f>VLOOKUP(D264,Sheet2!H:I,2,0)</f>
        <v>一级</v>
      </c>
      <c r="J264" s="42">
        <f t="shared" si="4"/>
        <v>1</v>
      </c>
      <c r="L264" s="61" t="s">
        <v>616</v>
      </c>
      <c r="M264" s="44"/>
    </row>
    <row r="265" s="42" customFormat="1" spans="1:13">
      <c r="A265" s="24">
        <v>265</v>
      </c>
      <c r="B265" s="45" t="s">
        <v>617</v>
      </c>
      <c r="C265" s="24" t="s">
        <v>10</v>
      </c>
      <c r="D265" s="32" t="s">
        <v>600</v>
      </c>
      <c r="E265" s="24">
        <v>1</v>
      </c>
      <c r="F265" s="24" t="s">
        <v>354</v>
      </c>
      <c r="G265" s="24">
        <v>1</v>
      </c>
      <c r="H265" s="24"/>
      <c r="I265" s="42" t="str">
        <f>VLOOKUP(D265,Sheet2!H:I,2,0)</f>
        <v>一级</v>
      </c>
      <c r="J265" s="42">
        <f t="shared" si="4"/>
        <v>1</v>
      </c>
      <c r="L265" s="61" t="s">
        <v>618</v>
      </c>
      <c r="M265" s="44"/>
    </row>
    <row r="266" s="42" customFormat="1" spans="1:13">
      <c r="A266" s="24">
        <v>266</v>
      </c>
      <c r="B266" s="45" t="s">
        <v>619</v>
      </c>
      <c r="C266" s="24" t="s">
        <v>10</v>
      </c>
      <c r="D266" s="32" t="s">
        <v>602</v>
      </c>
      <c r="E266" s="24">
        <v>1</v>
      </c>
      <c r="F266" s="24" t="s">
        <v>354</v>
      </c>
      <c r="G266" s="24">
        <v>1</v>
      </c>
      <c r="H266" s="24"/>
      <c r="I266" s="42" t="str">
        <f>VLOOKUP(D266,Sheet2!H:I,2,0)</f>
        <v>一级</v>
      </c>
      <c r="J266" s="42">
        <f t="shared" si="4"/>
        <v>1</v>
      </c>
      <c r="L266" s="61" t="s">
        <v>620</v>
      </c>
      <c r="M266" s="44"/>
    </row>
    <row r="267" s="42" customFormat="1" spans="1:13">
      <c r="A267" s="24">
        <v>267</v>
      </c>
      <c r="B267" s="24" t="s">
        <v>621</v>
      </c>
      <c r="C267" s="24" t="s">
        <v>10</v>
      </c>
      <c r="D267" s="32" t="s">
        <v>604</v>
      </c>
      <c r="E267" s="24">
        <v>1</v>
      </c>
      <c r="F267" s="24" t="s">
        <v>354</v>
      </c>
      <c r="G267" s="24">
        <v>1</v>
      </c>
      <c r="H267" s="24"/>
      <c r="I267" s="42" t="str">
        <f>VLOOKUP(D267,Sheet2!H:I,2,0)</f>
        <v>一级</v>
      </c>
      <c r="J267" s="42">
        <f t="shared" si="4"/>
        <v>1</v>
      </c>
      <c r="L267" s="61" t="s">
        <v>622</v>
      </c>
      <c r="M267" s="44" t="s">
        <v>419</v>
      </c>
    </row>
    <row r="268" s="42" customFormat="1" spans="1:13">
      <c r="A268" s="24">
        <v>268</v>
      </c>
      <c r="B268" s="45" t="s">
        <v>623</v>
      </c>
      <c r="C268" s="24" t="s">
        <v>10</v>
      </c>
      <c r="D268" s="32" t="s">
        <v>606</v>
      </c>
      <c r="E268" s="24">
        <v>1</v>
      </c>
      <c r="F268" s="24" t="s">
        <v>354</v>
      </c>
      <c r="G268" s="24">
        <v>1</v>
      </c>
      <c r="H268" s="24"/>
      <c r="I268" s="42" t="str">
        <f>VLOOKUP(D268,Sheet2!H:I,2,0)</f>
        <v>一级</v>
      </c>
      <c r="J268" s="42">
        <f t="shared" si="4"/>
        <v>1</v>
      </c>
      <c r="L268" s="50" t="s">
        <v>624</v>
      </c>
      <c r="M268" s="44">
        <v>1</v>
      </c>
    </row>
    <row r="269" s="42" customFormat="1" spans="1:13">
      <c r="A269" s="24">
        <v>269</v>
      </c>
      <c r="B269" s="45" t="s">
        <v>625</v>
      </c>
      <c r="C269" s="24" t="s">
        <v>10</v>
      </c>
      <c r="D269" s="17" t="s">
        <v>624</v>
      </c>
      <c r="E269" s="24">
        <v>1</v>
      </c>
      <c r="F269" s="24" t="s">
        <v>354</v>
      </c>
      <c r="G269" s="24">
        <v>1</v>
      </c>
      <c r="H269" s="24"/>
      <c r="I269" s="42" t="str">
        <f>VLOOKUP(D269,Sheet2!H:I,2,0)</f>
        <v>一级</v>
      </c>
      <c r="J269" s="42">
        <f t="shared" si="4"/>
        <v>1</v>
      </c>
      <c r="L269" s="50" t="s">
        <v>626</v>
      </c>
      <c r="M269" s="44">
        <v>1</v>
      </c>
    </row>
    <row r="270" s="42" customFormat="1" spans="1:13">
      <c r="A270" s="24">
        <v>270</v>
      </c>
      <c r="B270" s="45" t="s">
        <v>627</v>
      </c>
      <c r="C270" s="24" t="s">
        <v>10</v>
      </c>
      <c r="D270" s="17" t="s">
        <v>626</v>
      </c>
      <c r="E270" s="24">
        <v>1</v>
      </c>
      <c r="F270" s="24" t="s">
        <v>354</v>
      </c>
      <c r="G270" s="24">
        <v>1</v>
      </c>
      <c r="H270" s="24"/>
      <c r="I270" s="42" t="str">
        <f>VLOOKUP(D270,Sheet2!H:I,2,0)</f>
        <v>一级</v>
      </c>
      <c r="J270" s="42">
        <f t="shared" si="4"/>
        <v>1</v>
      </c>
      <c r="L270" s="50" t="s">
        <v>628</v>
      </c>
      <c r="M270" s="44">
        <v>1</v>
      </c>
    </row>
    <row r="271" s="42" customFormat="1" spans="1:13">
      <c r="A271" s="24">
        <v>271</v>
      </c>
      <c r="B271" s="45" t="s">
        <v>629</v>
      </c>
      <c r="C271" s="24" t="s">
        <v>10</v>
      </c>
      <c r="D271" s="17" t="s">
        <v>630</v>
      </c>
      <c r="E271" s="24">
        <v>1</v>
      </c>
      <c r="F271" s="24" t="s">
        <v>354</v>
      </c>
      <c r="G271" s="24">
        <v>1</v>
      </c>
      <c r="H271" s="24"/>
      <c r="I271" s="42" t="str">
        <f>VLOOKUP(D271,Sheet2!H:I,2,0)</f>
        <v>一级</v>
      </c>
      <c r="J271" s="42">
        <f t="shared" si="4"/>
        <v>1</v>
      </c>
      <c r="L271" s="11" t="s">
        <v>631</v>
      </c>
      <c r="M271" s="44">
        <v>1</v>
      </c>
    </row>
    <row r="272" s="42" customFormat="1" spans="1:13">
      <c r="A272" s="24">
        <v>272</v>
      </c>
      <c r="B272" s="45" t="s">
        <v>632</v>
      </c>
      <c r="C272" s="24" t="s">
        <v>10</v>
      </c>
      <c r="D272" s="17" t="s">
        <v>628</v>
      </c>
      <c r="E272" s="24">
        <v>1</v>
      </c>
      <c r="F272" s="24" t="s">
        <v>354</v>
      </c>
      <c r="G272" s="24">
        <v>1</v>
      </c>
      <c r="H272" s="24"/>
      <c r="I272" s="42" t="str">
        <f>VLOOKUP(D272,Sheet2!H:I,2,0)</f>
        <v>一级</v>
      </c>
      <c r="J272" s="42">
        <f t="shared" si="4"/>
        <v>1</v>
      </c>
      <c r="L272" s="11" t="s">
        <v>633</v>
      </c>
      <c r="M272" s="44">
        <v>1</v>
      </c>
    </row>
    <row r="273" s="42" customFormat="1" spans="1:13">
      <c r="A273" s="24">
        <v>273</v>
      </c>
      <c r="B273" s="74" t="s">
        <v>634</v>
      </c>
      <c r="C273" s="24" t="s">
        <v>10</v>
      </c>
      <c r="D273" s="8" t="s">
        <v>631</v>
      </c>
      <c r="E273" s="24">
        <v>1</v>
      </c>
      <c r="F273" s="24" t="s">
        <v>354</v>
      </c>
      <c r="G273" s="24">
        <v>1</v>
      </c>
      <c r="H273" s="24"/>
      <c r="I273" s="42" t="str">
        <f>VLOOKUP(D273,Sheet2!H:I,2,0)</f>
        <v>一级</v>
      </c>
      <c r="J273" s="42">
        <f t="shared" si="4"/>
        <v>1</v>
      </c>
      <c r="L273" s="11" t="s">
        <v>635</v>
      </c>
      <c r="M273" s="44">
        <v>1</v>
      </c>
    </row>
    <row r="274" s="42" customFormat="1" spans="1:13">
      <c r="A274" s="24">
        <v>274</v>
      </c>
      <c r="B274" s="74" t="s">
        <v>636</v>
      </c>
      <c r="C274" s="24" t="s">
        <v>10</v>
      </c>
      <c r="D274" s="8" t="s">
        <v>633</v>
      </c>
      <c r="E274" s="24">
        <v>1</v>
      </c>
      <c r="F274" s="24" t="s">
        <v>354</v>
      </c>
      <c r="G274" s="24">
        <v>1</v>
      </c>
      <c r="H274" s="24"/>
      <c r="I274" s="42" t="str">
        <f>VLOOKUP(D274,Sheet2!H:I,2,0)</f>
        <v>一级</v>
      </c>
      <c r="J274" s="42">
        <f t="shared" si="4"/>
        <v>1</v>
      </c>
      <c r="L274" s="11" t="s">
        <v>637</v>
      </c>
      <c r="M274" s="44">
        <v>1</v>
      </c>
    </row>
    <row r="275" s="42" customFormat="1" spans="1:13">
      <c r="A275" s="24">
        <v>275</v>
      </c>
      <c r="B275" s="74" t="s">
        <v>638</v>
      </c>
      <c r="C275" s="24" t="s">
        <v>10</v>
      </c>
      <c r="D275" s="8" t="s">
        <v>637</v>
      </c>
      <c r="E275" s="24">
        <v>1</v>
      </c>
      <c r="F275" s="24" t="s">
        <v>354</v>
      </c>
      <c r="G275" s="24">
        <v>1</v>
      </c>
      <c r="H275" s="24"/>
      <c r="I275" s="42" t="str">
        <f>VLOOKUP(D275,Sheet2!H:I,2,0)</f>
        <v>一级</v>
      </c>
      <c r="J275" s="42">
        <f t="shared" si="4"/>
        <v>1</v>
      </c>
      <c r="L275" s="58" t="s">
        <v>639</v>
      </c>
      <c r="M275" s="44"/>
    </row>
    <row r="276" s="42" customFormat="1" spans="1:13">
      <c r="A276" s="24">
        <v>276</v>
      </c>
      <c r="B276" s="45" t="s">
        <v>640</v>
      </c>
      <c r="C276" s="24" t="s">
        <v>641</v>
      </c>
      <c r="D276" s="8" t="s">
        <v>642</v>
      </c>
      <c r="E276" s="24">
        <v>1</v>
      </c>
      <c r="F276" s="36" t="s">
        <v>354</v>
      </c>
      <c r="G276" s="24">
        <v>1</v>
      </c>
      <c r="H276" s="24"/>
      <c r="I276" s="42" t="str">
        <f>VLOOKUP(D276,Sheet2!H:I,2,0)</f>
        <v>一级</v>
      </c>
      <c r="J276" s="42">
        <f t="shared" si="4"/>
        <v>1</v>
      </c>
      <c r="L276" s="58" t="s">
        <v>643</v>
      </c>
      <c r="M276" s="44"/>
    </row>
    <row r="277" s="42" customFormat="1" spans="1:13">
      <c r="A277" s="24">
        <v>277</v>
      </c>
      <c r="B277" s="73" t="s">
        <v>644</v>
      </c>
      <c r="C277" s="24" t="s">
        <v>641</v>
      </c>
      <c r="D277" s="8" t="s">
        <v>645</v>
      </c>
      <c r="E277" s="24">
        <v>1</v>
      </c>
      <c r="F277" s="36" t="s">
        <v>354</v>
      </c>
      <c r="G277" s="24">
        <v>1</v>
      </c>
      <c r="H277" s="24"/>
      <c r="I277" s="42" t="str">
        <f>VLOOKUP(D277,Sheet2!H:I,2,0)</f>
        <v>一级</v>
      </c>
      <c r="J277" s="42">
        <f t="shared" si="4"/>
        <v>1</v>
      </c>
      <c r="L277" s="50" t="s">
        <v>646</v>
      </c>
      <c r="M277" s="44">
        <v>3</v>
      </c>
    </row>
    <row r="278" s="42" customFormat="1" spans="1:13">
      <c r="A278" s="24">
        <v>278</v>
      </c>
      <c r="B278" s="45" t="s">
        <v>647</v>
      </c>
      <c r="C278" s="24" t="s">
        <v>641</v>
      </c>
      <c r="D278" s="8" t="s">
        <v>648</v>
      </c>
      <c r="E278" s="24">
        <v>1</v>
      </c>
      <c r="F278" s="36" t="s">
        <v>354</v>
      </c>
      <c r="G278" s="24">
        <v>1</v>
      </c>
      <c r="H278" s="24"/>
      <c r="I278" s="42" t="str">
        <f>VLOOKUP(D278,Sheet2!H:I,2,0)</f>
        <v>一级</v>
      </c>
      <c r="J278" s="42">
        <f t="shared" si="4"/>
        <v>1</v>
      </c>
      <c r="L278" s="50" t="s">
        <v>649</v>
      </c>
      <c r="M278" s="44">
        <v>3</v>
      </c>
    </row>
    <row r="279" s="42" customFormat="1" spans="1:13">
      <c r="A279" s="24">
        <v>279</v>
      </c>
      <c r="B279" s="45" t="s">
        <v>650</v>
      </c>
      <c r="C279" s="24" t="s">
        <v>641</v>
      </c>
      <c r="D279" s="8" t="s">
        <v>651</v>
      </c>
      <c r="E279" s="24">
        <v>1</v>
      </c>
      <c r="F279" s="36" t="s">
        <v>354</v>
      </c>
      <c r="G279" s="24">
        <v>1</v>
      </c>
      <c r="H279" s="24"/>
      <c r="I279" s="42" t="str">
        <f>VLOOKUP(D279,Sheet2!H:I,2,0)</f>
        <v>一级</v>
      </c>
      <c r="J279" s="42">
        <f t="shared" si="4"/>
        <v>1</v>
      </c>
      <c r="L279" s="50" t="s">
        <v>652</v>
      </c>
      <c r="M279" s="44">
        <v>3</v>
      </c>
    </row>
    <row r="280" s="42" customFormat="1" spans="1:13">
      <c r="A280" s="24">
        <v>280</v>
      </c>
      <c r="B280" s="45" t="s">
        <v>653</v>
      </c>
      <c r="C280" s="24" t="s">
        <v>641</v>
      </c>
      <c r="D280" s="8" t="s">
        <v>654</v>
      </c>
      <c r="E280" s="24">
        <v>1</v>
      </c>
      <c r="F280" s="36" t="s">
        <v>354</v>
      </c>
      <c r="G280" s="24">
        <v>1</v>
      </c>
      <c r="H280" s="24"/>
      <c r="I280" s="42" t="str">
        <f>VLOOKUP(D280,Sheet2!H:I,2,0)</f>
        <v>一级</v>
      </c>
      <c r="J280" s="42">
        <f t="shared" si="4"/>
        <v>1</v>
      </c>
      <c r="L280" s="46" t="s">
        <v>655</v>
      </c>
      <c r="M280" s="44"/>
    </row>
    <row r="281" s="42" customFormat="1" spans="1:13">
      <c r="A281" s="24">
        <v>281</v>
      </c>
      <c r="B281" s="45" t="s">
        <v>656</v>
      </c>
      <c r="C281" s="24" t="s">
        <v>641</v>
      </c>
      <c r="D281" s="8" t="s">
        <v>657</v>
      </c>
      <c r="E281" s="24">
        <v>1</v>
      </c>
      <c r="F281" s="36" t="s">
        <v>354</v>
      </c>
      <c r="G281" s="24">
        <v>1</v>
      </c>
      <c r="H281" s="24"/>
      <c r="I281" s="42" t="str">
        <f>VLOOKUP(D281,Sheet2!H:I,2,0)</f>
        <v>一级</v>
      </c>
      <c r="J281" s="42">
        <f t="shared" si="4"/>
        <v>1</v>
      </c>
      <c r="L281" s="46" t="s">
        <v>658</v>
      </c>
      <c r="M281" s="44"/>
    </row>
    <row r="282" s="42" customFormat="1" spans="1:13">
      <c r="A282" s="24">
        <v>282</v>
      </c>
      <c r="B282" s="45" t="s">
        <v>659</v>
      </c>
      <c r="C282" s="24" t="s">
        <v>641</v>
      </c>
      <c r="D282" s="20" t="s">
        <v>660</v>
      </c>
      <c r="E282" s="24">
        <v>2</v>
      </c>
      <c r="F282" s="36" t="s">
        <v>354</v>
      </c>
      <c r="G282" s="24">
        <v>2</v>
      </c>
      <c r="H282" s="24"/>
      <c r="I282" s="42" t="str">
        <f>VLOOKUP(D282,Sheet2!H:I,2,0)</f>
        <v>二级</v>
      </c>
      <c r="J282" s="42">
        <f t="shared" si="4"/>
        <v>2</v>
      </c>
      <c r="L282" s="46" t="s">
        <v>661</v>
      </c>
      <c r="M282" s="44"/>
    </row>
    <row r="283" s="42" customFormat="1" spans="1:13">
      <c r="A283" s="24">
        <v>283</v>
      </c>
      <c r="B283" s="45" t="s">
        <v>662</v>
      </c>
      <c r="C283" s="24" t="s">
        <v>641</v>
      </c>
      <c r="D283" s="20" t="s">
        <v>663</v>
      </c>
      <c r="E283" s="24">
        <v>2</v>
      </c>
      <c r="F283" s="36" t="s">
        <v>354</v>
      </c>
      <c r="G283" s="24">
        <v>2</v>
      </c>
      <c r="H283" s="24"/>
      <c r="I283" s="42" t="str">
        <f>VLOOKUP(D283,Sheet2!H:I,2,0)</f>
        <v>二级</v>
      </c>
      <c r="J283" s="42">
        <f t="shared" si="4"/>
        <v>2</v>
      </c>
      <c r="L283" s="46" t="s">
        <v>664</v>
      </c>
      <c r="M283" s="44"/>
    </row>
    <row r="284" s="42" customFormat="1" spans="1:13">
      <c r="A284" s="24">
        <v>284</v>
      </c>
      <c r="B284" s="24" t="s">
        <v>665</v>
      </c>
      <c r="C284" s="24" t="s">
        <v>641</v>
      </c>
      <c r="D284" s="26" t="s">
        <v>666</v>
      </c>
      <c r="E284" s="24">
        <v>2</v>
      </c>
      <c r="F284" s="36" t="s">
        <v>354</v>
      </c>
      <c r="G284" s="24">
        <v>2</v>
      </c>
      <c r="H284" s="24"/>
      <c r="I284" s="42" t="str">
        <f>VLOOKUP(D284,Sheet2!H:I,2,0)</f>
        <v>二级</v>
      </c>
      <c r="J284" s="42">
        <f t="shared" si="4"/>
        <v>2</v>
      </c>
      <c r="L284" s="46" t="s">
        <v>667</v>
      </c>
      <c r="M284" s="44"/>
    </row>
    <row r="285" s="42" customFormat="1" spans="1:13">
      <c r="A285" s="24">
        <v>285</v>
      </c>
      <c r="B285" s="24" t="s">
        <v>668</v>
      </c>
      <c r="C285" s="24" t="s">
        <v>641</v>
      </c>
      <c r="D285" s="26" t="s">
        <v>669</v>
      </c>
      <c r="E285" s="24">
        <v>1</v>
      </c>
      <c r="F285" s="36" t="s">
        <v>354</v>
      </c>
      <c r="G285" s="24">
        <v>1</v>
      </c>
      <c r="H285" s="24"/>
      <c r="I285" s="42" t="str">
        <f>VLOOKUP(D285,Sheet2!H:I,2,0)</f>
        <v>一级</v>
      </c>
      <c r="J285" s="42">
        <f t="shared" si="4"/>
        <v>1</v>
      </c>
      <c r="L285" s="58" t="s">
        <v>670</v>
      </c>
      <c r="M285" s="44"/>
    </row>
    <row r="286" s="42" customFormat="1" spans="1:13">
      <c r="A286" s="24">
        <v>286</v>
      </c>
      <c r="B286" s="24" t="s">
        <v>671</v>
      </c>
      <c r="C286" s="24" t="s">
        <v>641</v>
      </c>
      <c r="D286" s="26" t="s">
        <v>672</v>
      </c>
      <c r="E286" s="24">
        <v>1</v>
      </c>
      <c r="F286" s="36" t="s">
        <v>354</v>
      </c>
      <c r="G286" s="24">
        <v>1</v>
      </c>
      <c r="H286" s="24"/>
      <c r="I286" s="42" t="str">
        <f>VLOOKUP(D286,Sheet2!H:I,2,0)</f>
        <v>一级</v>
      </c>
      <c r="J286" s="42">
        <f t="shared" si="4"/>
        <v>1</v>
      </c>
      <c r="L286" s="58" t="s">
        <v>673</v>
      </c>
      <c r="M286" s="44"/>
    </row>
    <row r="287" s="42" customFormat="1" spans="1:13">
      <c r="A287" s="24">
        <v>287</v>
      </c>
      <c r="B287" s="24" t="s">
        <v>674</v>
      </c>
      <c r="C287" s="24" t="s">
        <v>641</v>
      </c>
      <c r="D287" s="26" t="s">
        <v>675</v>
      </c>
      <c r="E287" s="24">
        <v>1</v>
      </c>
      <c r="F287" s="36" t="s">
        <v>354</v>
      </c>
      <c r="G287" s="24">
        <v>1</v>
      </c>
      <c r="H287" s="24"/>
      <c r="I287" s="42" t="str">
        <f>VLOOKUP(D287,Sheet2!H:I,2,0)</f>
        <v>一级</v>
      </c>
      <c r="J287" s="42">
        <f t="shared" si="4"/>
        <v>1</v>
      </c>
      <c r="L287" s="54" t="s">
        <v>676</v>
      </c>
      <c r="M287" s="44">
        <v>1</v>
      </c>
    </row>
    <row r="288" s="42" customFormat="1" spans="1:13">
      <c r="A288" s="24">
        <v>288</v>
      </c>
      <c r="B288" s="24" t="s">
        <v>677</v>
      </c>
      <c r="C288" s="24" t="s">
        <v>641</v>
      </c>
      <c r="D288" s="26" t="s">
        <v>678</v>
      </c>
      <c r="E288" s="24">
        <v>1</v>
      </c>
      <c r="F288" s="36" t="s">
        <v>354</v>
      </c>
      <c r="G288" s="24">
        <v>1</v>
      </c>
      <c r="H288" s="24"/>
      <c r="I288" s="42" t="str">
        <f>VLOOKUP(D288,Sheet2!H:I,2,0)</f>
        <v>一级</v>
      </c>
      <c r="J288" s="42">
        <f t="shared" si="4"/>
        <v>1</v>
      </c>
      <c r="L288" s="54" t="s">
        <v>679</v>
      </c>
      <c r="M288" s="44">
        <v>1</v>
      </c>
    </row>
    <row r="289" s="42" customFormat="1" spans="1:13">
      <c r="A289" s="24">
        <v>289</v>
      </c>
      <c r="B289" s="24" t="s">
        <v>680</v>
      </c>
      <c r="C289" s="24" t="s">
        <v>641</v>
      </c>
      <c r="D289" s="26" t="s">
        <v>681</v>
      </c>
      <c r="E289" s="24">
        <v>1</v>
      </c>
      <c r="F289" s="36" t="s">
        <v>354</v>
      </c>
      <c r="G289" s="24">
        <v>1</v>
      </c>
      <c r="H289" s="24"/>
      <c r="I289" s="42" t="str">
        <f>VLOOKUP(D289,Sheet2!H:I,2,0)</f>
        <v>一级</v>
      </c>
      <c r="J289" s="42">
        <f t="shared" si="4"/>
        <v>1</v>
      </c>
      <c r="L289" s="50" t="s">
        <v>682</v>
      </c>
      <c r="M289" s="44">
        <v>1</v>
      </c>
    </row>
    <row r="290" s="42" customFormat="1" spans="1:13">
      <c r="A290" s="24">
        <v>290</v>
      </c>
      <c r="B290" s="74" t="s">
        <v>683</v>
      </c>
      <c r="C290" s="24" t="s">
        <v>10</v>
      </c>
      <c r="D290" s="2" t="s">
        <v>46</v>
      </c>
      <c r="E290" s="24">
        <v>1</v>
      </c>
      <c r="F290" s="24" t="s">
        <v>354</v>
      </c>
      <c r="G290" s="24">
        <v>1</v>
      </c>
      <c r="H290" s="24"/>
      <c r="I290" s="42" t="str">
        <f>VLOOKUP(D290,Sheet2!H:I,2,0)</f>
        <v>一级</v>
      </c>
      <c r="J290" s="42">
        <f t="shared" si="4"/>
        <v>1</v>
      </c>
      <c r="L290" s="50" t="s">
        <v>684</v>
      </c>
      <c r="M290" s="44">
        <v>1</v>
      </c>
    </row>
    <row r="291" s="42" customFormat="1" spans="1:13">
      <c r="A291" s="24">
        <v>291</v>
      </c>
      <c r="B291" s="74" t="s">
        <v>685</v>
      </c>
      <c r="C291" s="24" t="s">
        <v>10</v>
      </c>
      <c r="D291" s="2" t="s">
        <v>49</v>
      </c>
      <c r="E291" s="24">
        <v>1</v>
      </c>
      <c r="F291" s="24" t="s">
        <v>354</v>
      </c>
      <c r="G291" s="24">
        <v>1</v>
      </c>
      <c r="H291" s="24"/>
      <c r="I291" s="42" t="str">
        <f>VLOOKUP(D291,Sheet2!H:I,2,0)</f>
        <v>一级</v>
      </c>
      <c r="J291" s="42">
        <f t="shared" si="4"/>
        <v>1</v>
      </c>
      <c r="L291" s="50" t="s">
        <v>686</v>
      </c>
      <c r="M291" s="44">
        <v>1</v>
      </c>
    </row>
    <row r="292" s="42" customFormat="1" spans="1:13">
      <c r="A292" s="24">
        <v>292</v>
      </c>
      <c r="B292" s="74" t="s">
        <v>687</v>
      </c>
      <c r="C292" s="24" t="s">
        <v>10</v>
      </c>
      <c r="D292" s="2" t="s">
        <v>52</v>
      </c>
      <c r="E292" s="24">
        <v>1</v>
      </c>
      <c r="F292" s="24" t="s">
        <v>354</v>
      </c>
      <c r="G292" s="24">
        <v>1</v>
      </c>
      <c r="H292" s="24"/>
      <c r="I292" s="42" t="str">
        <f>VLOOKUP(D292,Sheet2!H:I,2,0)</f>
        <v>一级</v>
      </c>
      <c r="J292" s="42">
        <f t="shared" si="4"/>
        <v>1</v>
      </c>
      <c r="L292" s="60" t="s">
        <v>688</v>
      </c>
      <c r="M292" s="44">
        <v>1</v>
      </c>
    </row>
    <row r="293" s="42" customFormat="1" spans="1:13">
      <c r="A293" s="24">
        <v>293</v>
      </c>
      <c r="B293" s="74" t="s">
        <v>689</v>
      </c>
      <c r="C293" s="24" t="s">
        <v>10</v>
      </c>
      <c r="D293" s="2" t="s">
        <v>224</v>
      </c>
      <c r="E293" s="24">
        <v>1</v>
      </c>
      <c r="F293" s="24" t="s">
        <v>354</v>
      </c>
      <c r="G293" s="24">
        <v>1</v>
      </c>
      <c r="H293" s="24"/>
      <c r="I293" s="42" t="str">
        <f>VLOOKUP(D293,Sheet2!H:I,2,0)</f>
        <v>一级</v>
      </c>
      <c r="J293" s="42">
        <f t="shared" si="4"/>
        <v>1</v>
      </c>
      <c r="L293" s="60" t="s">
        <v>690</v>
      </c>
      <c r="M293" s="44">
        <v>1</v>
      </c>
    </row>
    <row r="294" s="42" customFormat="1" spans="1:13">
      <c r="A294" s="24">
        <v>294</v>
      </c>
      <c r="B294" s="74" t="s">
        <v>691</v>
      </c>
      <c r="C294" s="24" t="s">
        <v>10</v>
      </c>
      <c r="D294" s="2" t="s">
        <v>227</v>
      </c>
      <c r="E294" s="24">
        <v>1</v>
      </c>
      <c r="F294" s="24" t="s">
        <v>354</v>
      </c>
      <c r="G294" s="24">
        <v>1</v>
      </c>
      <c r="H294" s="24"/>
      <c r="I294" s="42" t="str">
        <f>VLOOKUP(D294,Sheet2!H:I,2,0)</f>
        <v>一级</v>
      </c>
      <c r="J294" s="42">
        <f t="shared" si="4"/>
        <v>1</v>
      </c>
      <c r="L294" s="52" t="s">
        <v>692</v>
      </c>
      <c r="M294" s="44">
        <v>1</v>
      </c>
    </row>
    <row r="295" s="42" customFormat="1" spans="1:13">
      <c r="A295" s="24">
        <v>295</v>
      </c>
      <c r="B295" s="74" t="s">
        <v>693</v>
      </c>
      <c r="C295" s="24" t="s">
        <v>10</v>
      </c>
      <c r="D295" s="8" t="s">
        <v>635</v>
      </c>
      <c r="E295" s="24">
        <v>1</v>
      </c>
      <c r="F295" s="24" t="s">
        <v>354</v>
      </c>
      <c r="G295" s="24">
        <v>1</v>
      </c>
      <c r="H295" s="24"/>
      <c r="I295" s="42" t="str">
        <f>VLOOKUP(D295,Sheet2!H:I,2,0)</f>
        <v>一级</v>
      </c>
      <c r="J295" s="42">
        <f t="shared" si="4"/>
        <v>1</v>
      </c>
      <c r="L295" s="52" t="s">
        <v>694</v>
      </c>
      <c r="M295" s="44">
        <v>1</v>
      </c>
    </row>
    <row r="296" s="42" customFormat="1" spans="1:13">
      <c r="A296" s="24">
        <v>296</v>
      </c>
      <c r="B296" s="74" t="s">
        <v>695</v>
      </c>
      <c r="C296" s="24" t="s">
        <v>10</v>
      </c>
      <c r="D296" s="24" t="s">
        <v>34</v>
      </c>
      <c r="E296" s="24">
        <v>1</v>
      </c>
      <c r="F296" s="24" t="s">
        <v>354</v>
      </c>
      <c r="G296" s="24">
        <v>1</v>
      </c>
      <c r="H296" s="24"/>
      <c r="I296" s="42" t="str">
        <f>VLOOKUP(D296,Sheet2!H:I,2,0)</f>
        <v>一级</v>
      </c>
      <c r="J296" s="42">
        <f t="shared" si="4"/>
        <v>1</v>
      </c>
      <c r="L296" s="52" t="s">
        <v>696</v>
      </c>
      <c r="M296" s="44">
        <v>1</v>
      </c>
    </row>
    <row r="297" s="42" customFormat="1" spans="1:13">
      <c r="A297" s="24">
        <v>297</v>
      </c>
      <c r="B297" s="74" t="s">
        <v>697</v>
      </c>
      <c r="C297" s="24" t="s">
        <v>10</v>
      </c>
      <c r="D297" s="24" t="s">
        <v>37</v>
      </c>
      <c r="E297" s="24">
        <v>1</v>
      </c>
      <c r="F297" s="24" t="s">
        <v>354</v>
      </c>
      <c r="G297" s="24">
        <v>1</v>
      </c>
      <c r="H297" s="24"/>
      <c r="I297" s="42" t="str">
        <f>VLOOKUP(D297,Sheet2!H:I,2,0)</f>
        <v>一级</v>
      </c>
      <c r="J297" s="42">
        <f t="shared" si="4"/>
        <v>1</v>
      </c>
      <c r="L297" s="11" t="s">
        <v>698</v>
      </c>
      <c r="M297" s="44">
        <v>1</v>
      </c>
    </row>
    <row r="298" s="42" customFormat="1" spans="1:13">
      <c r="A298" s="24">
        <v>298</v>
      </c>
      <c r="B298" s="74" t="s">
        <v>699</v>
      </c>
      <c r="C298" s="24" t="s">
        <v>10</v>
      </c>
      <c r="D298" s="24" t="s">
        <v>40</v>
      </c>
      <c r="E298" s="24">
        <v>1</v>
      </c>
      <c r="F298" s="24" t="s">
        <v>354</v>
      </c>
      <c r="G298" s="24">
        <v>1</v>
      </c>
      <c r="H298" s="24"/>
      <c r="I298" s="42" t="str">
        <f>VLOOKUP(D298,Sheet2!H:I,2,0)</f>
        <v>一级</v>
      </c>
      <c r="J298" s="42">
        <f t="shared" si="4"/>
        <v>1</v>
      </c>
      <c r="L298" s="11" t="s">
        <v>700</v>
      </c>
      <c r="M298" s="44">
        <v>1</v>
      </c>
    </row>
    <row r="299" s="42" customFormat="1" spans="1:13">
      <c r="A299" s="24">
        <v>299</v>
      </c>
      <c r="B299" s="74" t="s">
        <v>701</v>
      </c>
      <c r="C299" s="24" t="s">
        <v>10</v>
      </c>
      <c r="D299" s="24" t="s">
        <v>43</v>
      </c>
      <c r="E299" s="24">
        <v>1</v>
      </c>
      <c r="F299" s="24" t="s">
        <v>354</v>
      </c>
      <c r="G299" s="24">
        <v>1</v>
      </c>
      <c r="H299" s="24"/>
      <c r="I299" s="42" t="str">
        <f>VLOOKUP(D299,Sheet2!H:I,2,0)</f>
        <v>一级</v>
      </c>
      <c r="J299" s="42">
        <f t="shared" si="4"/>
        <v>1</v>
      </c>
      <c r="L299" s="47" t="s">
        <v>702</v>
      </c>
      <c r="M299" s="44">
        <v>1</v>
      </c>
    </row>
    <row r="300" s="42" customFormat="1" spans="1:13">
      <c r="A300" s="24">
        <v>300</v>
      </c>
      <c r="B300" s="24" t="s">
        <v>703</v>
      </c>
      <c r="C300" s="24" t="s">
        <v>10</v>
      </c>
      <c r="D300" s="24" t="s">
        <v>13</v>
      </c>
      <c r="E300" s="24">
        <v>2</v>
      </c>
      <c r="F300" s="24" t="s">
        <v>354</v>
      </c>
      <c r="G300" s="24">
        <v>2</v>
      </c>
      <c r="H300" s="24"/>
      <c r="I300" s="42" t="str">
        <f>VLOOKUP(D300,Sheet2!H:I,2,0)</f>
        <v>二级</v>
      </c>
      <c r="J300" s="42">
        <f t="shared" si="4"/>
        <v>2</v>
      </c>
      <c r="L300" s="47" t="s">
        <v>704</v>
      </c>
      <c r="M300" s="44">
        <v>1</v>
      </c>
    </row>
    <row r="301" s="42" customFormat="1" spans="1:13">
      <c r="A301" s="24">
        <v>301</v>
      </c>
      <c r="B301" s="24" t="s">
        <v>705</v>
      </c>
      <c r="C301" s="24" t="s">
        <v>10</v>
      </c>
      <c r="D301" s="24" t="s">
        <v>501</v>
      </c>
      <c r="E301" s="24">
        <v>2</v>
      </c>
      <c r="F301" s="24" t="s">
        <v>354</v>
      </c>
      <c r="G301" s="24">
        <v>2</v>
      </c>
      <c r="H301" s="24"/>
      <c r="I301" s="42" t="str">
        <f>VLOOKUP(D301,Sheet2!H:I,2,0)</f>
        <v>二级</v>
      </c>
      <c r="J301" s="42">
        <f t="shared" si="4"/>
        <v>2</v>
      </c>
      <c r="L301" s="11" t="s">
        <v>706</v>
      </c>
      <c r="M301" s="44">
        <v>1</v>
      </c>
    </row>
    <row r="302" s="42" customFormat="1" spans="1:13">
      <c r="A302" s="24">
        <v>302</v>
      </c>
      <c r="B302" s="74" t="s">
        <v>707</v>
      </c>
      <c r="C302" s="24" t="s">
        <v>10</v>
      </c>
      <c r="D302" s="24" t="s">
        <v>543</v>
      </c>
      <c r="E302" s="24">
        <v>1</v>
      </c>
      <c r="F302" s="24" t="s">
        <v>354</v>
      </c>
      <c r="G302" s="24">
        <v>1</v>
      </c>
      <c r="H302" s="24"/>
      <c r="I302" s="42" t="str">
        <f>VLOOKUP(D302,Sheet2!H:I,2,0)</f>
        <v>一级</v>
      </c>
      <c r="J302" s="42">
        <f t="shared" si="4"/>
        <v>1</v>
      </c>
      <c r="L302" s="47" t="s">
        <v>708</v>
      </c>
      <c r="M302" s="44">
        <v>1</v>
      </c>
    </row>
    <row r="303" s="42" customFormat="1" spans="1:13">
      <c r="A303" s="24">
        <v>303</v>
      </c>
      <c r="B303" s="74" t="s">
        <v>709</v>
      </c>
      <c r="C303" s="24" t="s">
        <v>10</v>
      </c>
      <c r="D303" s="24" t="s">
        <v>561</v>
      </c>
      <c r="E303" s="24">
        <v>2</v>
      </c>
      <c r="F303" s="24" t="s">
        <v>354</v>
      </c>
      <c r="G303" s="24">
        <v>2</v>
      </c>
      <c r="H303" s="24"/>
      <c r="I303" s="42" t="str">
        <f>VLOOKUP(D303,Sheet2!H:I,2,0)</f>
        <v>二级</v>
      </c>
      <c r="J303" s="42">
        <f t="shared" si="4"/>
        <v>2</v>
      </c>
      <c r="L303" s="47" t="s">
        <v>710</v>
      </c>
      <c r="M303" s="44">
        <v>1</v>
      </c>
    </row>
    <row r="304" s="42" customFormat="1" spans="1:13">
      <c r="A304" s="24">
        <v>304</v>
      </c>
      <c r="B304" s="74" t="s">
        <v>711</v>
      </c>
      <c r="C304" s="24" t="s">
        <v>10</v>
      </c>
      <c r="D304" s="24" t="s">
        <v>583</v>
      </c>
      <c r="E304" s="24">
        <v>1</v>
      </c>
      <c r="F304" s="24" t="s">
        <v>354</v>
      </c>
      <c r="G304" s="24">
        <v>1</v>
      </c>
      <c r="H304" s="24"/>
      <c r="I304" s="42" t="str">
        <f>VLOOKUP(D304,Sheet2!H:I,2,0)</f>
        <v>一级</v>
      </c>
      <c r="J304" s="42">
        <f t="shared" si="4"/>
        <v>1</v>
      </c>
      <c r="L304" s="11" t="s">
        <v>712</v>
      </c>
      <c r="M304" s="44">
        <v>1</v>
      </c>
    </row>
    <row r="305" s="42" customFormat="1" spans="1:13">
      <c r="A305" s="24">
        <v>305</v>
      </c>
      <c r="B305" s="74" t="s">
        <v>713</v>
      </c>
      <c r="C305" s="24" t="s">
        <v>10</v>
      </c>
      <c r="D305" s="24" t="s">
        <v>594</v>
      </c>
      <c r="E305" s="24">
        <v>1</v>
      </c>
      <c r="F305" s="24" t="s">
        <v>354</v>
      </c>
      <c r="G305" s="24">
        <v>1</v>
      </c>
      <c r="H305" s="24"/>
      <c r="I305" s="42" t="str">
        <f>VLOOKUP(D305,Sheet2!H:I,2,0)</f>
        <v>一级</v>
      </c>
      <c r="J305" s="42">
        <f t="shared" si="4"/>
        <v>1</v>
      </c>
      <c r="L305" s="47" t="s">
        <v>714</v>
      </c>
      <c r="M305" s="44">
        <v>1</v>
      </c>
    </row>
    <row r="306" s="42" customFormat="1" spans="1:13">
      <c r="A306" s="24">
        <v>306</v>
      </c>
      <c r="B306" s="74" t="s">
        <v>715</v>
      </c>
      <c r="C306" s="24" t="s">
        <v>641</v>
      </c>
      <c r="D306" s="24" t="s">
        <v>716</v>
      </c>
      <c r="E306" s="24">
        <v>1</v>
      </c>
      <c r="F306" s="24" t="s">
        <v>354</v>
      </c>
      <c r="G306" s="24">
        <v>1</v>
      </c>
      <c r="H306" s="24"/>
      <c r="I306" s="42" t="str">
        <f>VLOOKUP(D306,Sheet2!H:I,2,0)</f>
        <v>一级</v>
      </c>
      <c r="J306" s="42">
        <f t="shared" si="4"/>
        <v>1</v>
      </c>
      <c r="L306" s="47" t="s">
        <v>717</v>
      </c>
      <c r="M306" s="44">
        <v>1</v>
      </c>
    </row>
    <row r="307" s="42" customFormat="1" spans="1:13">
      <c r="A307" s="24">
        <v>307</v>
      </c>
      <c r="B307" s="45" t="s">
        <v>718</v>
      </c>
      <c r="C307" s="36" t="s">
        <v>10</v>
      </c>
      <c r="D307" s="36" t="s">
        <v>719</v>
      </c>
      <c r="E307" s="36">
        <v>1</v>
      </c>
      <c r="F307" s="36" t="s">
        <v>354</v>
      </c>
      <c r="G307" s="36">
        <v>1</v>
      </c>
      <c r="H307" s="24"/>
      <c r="I307" s="42">
        <f>VLOOKUP(D307,Sheet2!H:I,2,0)</f>
        <v>1</v>
      </c>
      <c r="J307" s="42">
        <f t="shared" si="4"/>
        <v>1</v>
      </c>
      <c r="L307" s="62" t="s">
        <v>720</v>
      </c>
      <c r="M307" s="44">
        <v>1</v>
      </c>
    </row>
    <row r="308" s="42" customFormat="1" spans="1:13">
      <c r="A308" s="24">
        <v>308</v>
      </c>
      <c r="B308" s="45" t="s">
        <v>721</v>
      </c>
      <c r="C308" s="36" t="s">
        <v>10</v>
      </c>
      <c r="D308" s="36" t="s">
        <v>722</v>
      </c>
      <c r="E308" s="36">
        <v>2</v>
      </c>
      <c r="F308" s="36" t="s">
        <v>354</v>
      </c>
      <c r="G308" s="36">
        <v>2</v>
      </c>
      <c r="H308" s="24"/>
      <c r="I308" s="42">
        <f>VLOOKUP(D308,Sheet2!H:I,2,0)</f>
        <v>2</v>
      </c>
      <c r="J308" s="42">
        <f t="shared" si="4"/>
        <v>2</v>
      </c>
      <c r="L308" s="9" t="s">
        <v>723</v>
      </c>
      <c r="M308" s="44">
        <v>1</v>
      </c>
    </row>
    <row r="309" s="42" customFormat="1" spans="1:13">
      <c r="A309" s="24">
        <v>309</v>
      </c>
      <c r="B309" s="24" t="s">
        <v>724</v>
      </c>
      <c r="C309" s="36" t="s">
        <v>10</v>
      </c>
      <c r="D309" s="36" t="s">
        <v>495</v>
      </c>
      <c r="E309" s="36">
        <v>2</v>
      </c>
      <c r="F309" s="36" t="s">
        <v>354</v>
      </c>
      <c r="G309" s="36">
        <v>2</v>
      </c>
      <c r="H309" s="24"/>
      <c r="I309" s="42">
        <f>VLOOKUP(D309,Sheet2!H:I,2,0)</f>
        <v>2</v>
      </c>
      <c r="J309" s="42">
        <f t="shared" si="4"/>
        <v>2</v>
      </c>
      <c r="L309" s="9" t="s">
        <v>725</v>
      </c>
      <c r="M309" s="44">
        <v>1</v>
      </c>
    </row>
    <row r="310" s="42" customFormat="1" spans="1:13">
      <c r="A310" s="24">
        <v>310</v>
      </c>
      <c r="B310" s="24" t="s">
        <v>726</v>
      </c>
      <c r="C310" s="24" t="s">
        <v>10</v>
      </c>
      <c r="D310" s="27" t="s">
        <v>676</v>
      </c>
      <c r="E310" s="24">
        <v>1</v>
      </c>
      <c r="F310" s="36" t="s">
        <v>727</v>
      </c>
      <c r="G310" s="24">
        <v>1</v>
      </c>
      <c r="H310" s="24"/>
      <c r="I310" s="42" t="str">
        <f>VLOOKUP(D310,Sheet2!H:I,2,0)</f>
        <v>一级</v>
      </c>
      <c r="J310" s="42">
        <f t="shared" si="4"/>
        <v>1</v>
      </c>
      <c r="L310" s="9" t="s">
        <v>728</v>
      </c>
      <c r="M310" s="44">
        <v>1</v>
      </c>
    </row>
    <row r="311" s="42" customFormat="1" spans="1:13">
      <c r="A311" s="24">
        <v>311</v>
      </c>
      <c r="B311" s="24" t="s">
        <v>729</v>
      </c>
      <c r="C311" s="24" t="s">
        <v>10</v>
      </c>
      <c r="D311" s="27" t="s">
        <v>679</v>
      </c>
      <c r="E311" s="24">
        <v>1</v>
      </c>
      <c r="F311" s="36" t="s">
        <v>727</v>
      </c>
      <c r="G311" s="24">
        <v>1</v>
      </c>
      <c r="H311" s="24"/>
      <c r="I311" s="42" t="str">
        <f>VLOOKUP(D311,Sheet2!H:I,2,0)</f>
        <v>一级</v>
      </c>
      <c r="J311" s="42">
        <f t="shared" si="4"/>
        <v>1</v>
      </c>
      <c r="L311" s="9" t="s">
        <v>730</v>
      </c>
      <c r="M311" s="44">
        <v>1</v>
      </c>
    </row>
    <row r="312" s="42" customFormat="1" spans="1:13">
      <c r="A312" s="24"/>
      <c r="B312" s="74" t="s">
        <v>731</v>
      </c>
      <c r="C312" s="24" t="s">
        <v>10</v>
      </c>
      <c r="D312" s="27" t="s">
        <v>732</v>
      </c>
      <c r="E312" s="24">
        <v>1</v>
      </c>
      <c r="F312" s="36" t="s">
        <v>727</v>
      </c>
      <c r="G312" s="24">
        <v>1</v>
      </c>
      <c r="H312" s="24"/>
      <c r="I312" s="42" t="e">
        <f>VLOOKUP(D312,Sheet2!H:I,2,0)</f>
        <v>#N/A</v>
      </c>
      <c r="J312" s="42">
        <f t="shared" si="4"/>
        <v>1</v>
      </c>
      <c r="L312" s="47" t="s">
        <v>311</v>
      </c>
      <c r="M312" s="44">
        <v>1</v>
      </c>
    </row>
    <row r="313" s="42" customFormat="1" spans="1:13">
      <c r="A313" s="24">
        <v>312</v>
      </c>
      <c r="B313" s="74" t="s">
        <v>733</v>
      </c>
      <c r="C313" s="24" t="s">
        <v>10</v>
      </c>
      <c r="D313" s="17" t="s">
        <v>682</v>
      </c>
      <c r="E313" s="24">
        <v>1</v>
      </c>
      <c r="F313" s="36" t="s">
        <v>727</v>
      </c>
      <c r="G313" s="24">
        <v>1</v>
      </c>
      <c r="H313" s="24"/>
      <c r="I313" s="42" t="str">
        <f>VLOOKUP(D313,Sheet2!H:I,2,0)</f>
        <v>一级</v>
      </c>
      <c r="J313" s="42">
        <f t="shared" si="4"/>
        <v>1</v>
      </c>
      <c r="L313" s="48" t="s">
        <v>315</v>
      </c>
      <c r="M313" s="44">
        <v>1</v>
      </c>
    </row>
    <row r="314" s="42" customFormat="1" spans="1:13">
      <c r="A314" s="24">
        <v>313</v>
      </c>
      <c r="B314" s="45" t="s">
        <v>734</v>
      </c>
      <c r="C314" s="24" t="s">
        <v>10</v>
      </c>
      <c r="D314" s="17" t="s">
        <v>684</v>
      </c>
      <c r="E314" s="24">
        <v>1</v>
      </c>
      <c r="F314" s="36" t="s">
        <v>727</v>
      </c>
      <c r="G314" s="24">
        <v>1</v>
      </c>
      <c r="H314" s="24"/>
      <c r="I314" s="42" t="str">
        <f>VLOOKUP(D314,Sheet2!H:I,2,0)</f>
        <v>一级</v>
      </c>
      <c r="J314" s="42">
        <f t="shared" si="4"/>
        <v>1</v>
      </c>
      <c r="L314" s="54" t="s">
        <v>318</v>
      </c>
      <c r="M314" s="44">
        <v>1</v>
      </c>
    </row>
    <row r="315" s="42" customFormat="1" spans="1:13">
      <c r="A315" s="24">
        <v>314</v>
      </c>
      <c r="B315" s="73" t="s">
        <v>735</v>
      </c>
      <c r="C315" s="24" t="s">
        <v>10</v>
      </c>
      <c r="D315" s="17" t="s">
        <v>686</v>
      </c>
      <c r="E315" s="24">
        <v>1</v>
      </c>
      <c r="F315" s="36" t="s">
        <v>727</v>
      </c>
      <c r="G315" s="24">
        <v>1</v>
      </c>
      <c r="H315" s="24"/>
      <c r="I315" s="42" t="str">
        <f>VLOOKUP(D315,Sheet2!H:I,2,0)</f>
        <v>一级</v>
      </c>
      <c r="J315" s="42">
        <f t="shared" si="4"/>
        <v>1</v>
      </c>
      <c r="L315" s="50" t="s">
        <v>321</v>
      </c>
      <c r="M315" s="44">
        <v>1</v>
      </c>
    </row>
    <row r="316" s="42" customFormat="1" spans="1:13">
      <c r="A316" s="24">
        <v>315</v>
      </c>
      <c r="B316" s="73" t="s">
        <v>736</v>
      </c>
      <c r="C316" s="24" t="s">
        <v>10</v>
      </c>
      <c r="D316" s="23" t="s">
        <v>688</v>
      </c>
      <c r="E316" s="24">
        <v>1</v>
      </c>
      <c r="F316" s="36" t="s">
        <v>727</v>
      </c>
      <c r="G316" s="24">
        <v>1</v>
      </c>
      <c r="H316" s="24"/>
      <c r="I316" s="42" t="str">
        <f>VLOOKUP(D316,Sheet2!H:I,2,0)</f>
        <v>一级</v>
      </c>
      <c r="J316" s="42">
        <f t="shared" si="4"/>
        <v>1</v>
      </c>
      <c r="L316" s="47" t="s">
        <v>324</v>
      </c>
      <c r="M316" s="44">
        <v>1</v>
      </c>
    </row>
    <row r="317" s="42" customFormat="1" spans="1:13">
      <c r="A317" s="24">
        <v>316</v>
      </c>
      <c r="B317" s="73" t="s">
        <v>737</v>
      </c>
      <c r="C317" s="24" t="s">
        <v>10</v>
      </c>
      <c r="D317" s="23" t="s">
        <v>690</v>
      </c>
      <c r="E317" s="24">
        <v>1</v>
      </c>
      <c r="F317" s="36" t="s">
        <v>727</v>
      </c>
      <c r="G317" s="24">
        <v>1</v>
      </c>
      <c r="H317" s="24"/>
      <c r="I317" s="42" t="str">
        <f>VLOOKUP(D317,Sheet2!H:I,2,0)</f>
        <v>一级</v>
      </c>
      <c r="J317" s="42">
        <f t="shared" si="4"/>
        <v>1</v>
      </c>
      <c r="L317" s="47" t="s">
        <v>327</v>
      </c>
      <c r="M317" s="44">
        <v>2</v>
      </c>
    </row>
    <row r="318" s="42" customFormat="1" spans="1:13">
      <c r="A318" s="24">
        <v>317</v>
      </c>
      <c r="B318" s="73" t="s">
        <v>738</v>
      </c>
      <c r="C318" s="24" t="s">
        <v>10</v>
      </c>
      <c r="D318" s="26" t="s">
        <v>692</v>
      </c>
      <c r="E318" s="24">
        <v>1</v>
      </c>
      <c r="F318" s="36" t="s">
        <v>727</v>
      </c>
      <c r="G318" s="24">
        <v>1</v>
      </c>
      <c r="H318" s="24"/>
      <c r="I318" s="42" t="str">
        <f>VLOOKUP(D318,Sheet2!H:I,2,0)</f>
        <v>一级</v>
      </c>
      <c r="J318" s="42">
        <f t="shared" si="4"/>
        <v>1</v>
      </c>
      <c r="L318" s="11" t="s">
        <v>330</v>
      </c>
      <c r="M318" s="44">
        <v>1</v>
      </c>
    </row>
    <row r="319" s="42" customFormat="1" spans="1:13">
      <c r="A319" s="24">
        <v>318</v>
      </c>
      <c r="B319" s="73" t="s">
        <v>739</v>
      </c>
      <c r="C319" s="24" t="s">
        <v>10</v>
      </c>
      <c r="D319" s="26" t="s">
        <v>694</v>
      </c>
      <c r="E319" s="24">
        <v>1</v>
      </c>
      <c r="F319" s="36" t="s">
        <v>727</v>
      </c>
      <c r="G319" s="24">
        <v>1</v>
      </c>
      <c r="H319" s="24"/>
      <c r="I319" s="42" t="str">
        <f>VLOOKUP(D319,Sheet2!H:I,2,0)</f>
        <v>一级</v>
      </c>
      <c r="J319" s="42">
        <f t="shared" si="4"/>
        <v>1</v>
      </c>
      <c r="L319" s="11" t="s">
        <v>345</v>
      </c>
      <c r="M319" s="44">
        <v>1</v>
      </c>
    </row>
    <row r="320" s="42" customFormat="1" spans="1:13">
      <c r="A320" s="24">
        <v>319</v>
      </c>
      <c r="B320" s="73" t="s">
        <v>740</v>
      </c>
      <c r="C320" s="24" t="s">
        <v>10</v>
      </c>
      <c r="D320" s="26" t="s">
        <v>696</v>
      </c>
      <c r="E320" s="24">
        <v>1</v>
      </c>
      <c r="F320" s="36" t="s">
        <v>727</v>
      </c>
      <c r="G320" s="24">
        <v>1</v>
      </c>
      <c r="H320" s="24"/>
      <c r="I320" s="42" t="str">
        <f>VLOOKUP(D320,Sheet2!H:I,2,0)</f>
        <v>一级</v>
      </c>
      <c r="J320" s="42">
        <f t="shared" si="4"/>
        <v>1</v>
      </c>
      <c r="L320" s="11" t="s">
        <v>348</v>
      </c>
      <c r="M320" s="44">
        <v>2</v>
      </c>
    </row>
    <row r="321" s="42" customFormat="1" spans="1:13">
      <c r="A321" s="24">
        <v>320</v>
      </c>
      <c r="B321" s="24" t="s">
        <v>741</v>
      </c>
      <c r="C321" s="24" t="s">
        <v>10</v>
      </c>
      <c r="D321" s="8" t="s">
        <v>698</v>
      </c>
      <c r="E321" s="24">
        <v>1</v>
      </c>
      <c r="F321" s="36" t="s">
        <v>727</v>
      </c>
      <c r="G321" s="24">
        <v>1</v>
      </c>
      <c r="H321" s="24"/>
      <c r="I321" s="42" t="str">
        <f>VLOOKUP(D321,Sheet2!H:I,2,0)</f>
        <v>一级</v>
      </c>
      <c r="J321" s="42">
        <f t="shared" si="4"/>
        <v>1</v>
      </c>
      <c r="L321" s="58" t="s">
        <v>333</v>
      </c>
      <c r="M321" s="44">
        <v>1</v>
      </c>
    </row>
    <row r="322" s="42" customFormat="1" spans="1:13">
      <c r="A322" s="24">
        <v>321</v>
      </c>
      <c r="B322" s="24" t="s">
        <v>742</v>
      </c>
      <c r="C322" s="24" t="s">
        <v>10</v>
      </c>
      <c r="D322" s="8" t="s">
        <v>700</v>
      </c>
      <c r="E322" s="24">
        <v>1</v>
      </c>
      <c r="F322" s="36" t="s">
        <v>727</v>
      </c>
      <c r="G322" s="24">
        <v>1</v>
      </c>
      <c r="H322" s="24"/>
      <c r="I322" s="42" t="str">
        <f>VLOOKUP(D322,Sheet2!H:I,2,0)</f>
        <v>一级</v>
      </c>
      <c r="J322" s="42">
        <f t="shared" si="4"/>
        <v>1</v>
      </c>
      <c r="L322" s="47" t="s">
        <v>336</v>
      </c>
      <c r="M322" s="44">
        <v>1</v>
      </c>
    </row>
    <row r="323" s="42" customFormat="1" spans="1:13">
      <c r="A323" s="24">
        <v>322</v>
      </c>
      <c r="B323" s="73" t="s">
        <v>743</v>
      </c>
      <c r="C323" s="24" t="s">
        <v>10</v>
      </c>
      <c r="D323" s="14" t="s">
        <v>702</v>
      </c>
      <c r="E323" s="24">
        <v>1</v>
      </c>
      <c r="F323" s="36" t="s">
        <v>727</v>
      </c>
      <c r="G323" s="24">
        <v>1</v>
      </c>
      <c r="H323" s="24"/>
      <c r="I323" s="42" t="str">
        <f>VLOOKUP(D323,Sheet2!H:I,2,0)</f>
        <v>一级</v>
      </c>
      <c r="J323" s="42">
        <f t="shared" ref="J323:J386" si="5">VLOOKUP(D323,L:M,2,0)</f>
        <v>1</v>
      </c>
      <c r="L323" s="13" t="s">
        <v>351</v>
      </c>
      <c r="M323" s="44">
        <v>1</v>
      </c>
    </row>
    <row r="324" s="42" customFormat="1" spans="1:13">
      <c r="A324" s="24">
        <v>323</v>
      </c>
      <c r="B324" s="24" t="s">
        <v>744</v>
      </c>
      <c r="C324" s="24" t="s">
        <v>10</v>
      </c>
      <c r="D324" s="14" t="s">
        <v>704</v>
      </c>
      <c r="E324" s="24">
        <v>1</v>
      </c>
      <c r="F324" s="36" t="s">
        <v>727</v>
      </c>
      <c r="G324" s="24">
        <v>1</v>
      </c>
      <c r="H324" s="24"/>
      <c r="I324" s="42" t="str">
        <f>VLOOKUP(D324,Sheet2!H:I,2,0)</f>
        <v>一级</v>
      </c>
      <c r="J324" s="42">
        <f t="shared" si="5"/>
        <v>1</v>
      </c>
      <c r="L324" s="46" t="s">
        <v>745</v>
      </c>
      <c r="M324" s="44">
        <v>1</v>
      </c>
    </row>
    <row r="325" s="42" customFormat="1" spans="1:13">
      <c r="A325" s="24">
        <v>324</v>
      </c>
      <c r="B325" s="74" t="s">
        <v>746</v>
      </c>
      <c r="C325" s="24" t="s">
        <v>10</v>
      </c>
      <c r="D325" s="8" t="s">
        <v>706</v>
      </c>
      <c r="E325" s="24">
        <v>1</v>
      </c>
      <c r="F325" s="36" t="s">
        <v>727</v>
      </c>
      <c r="G325" s="24">
        <v>1</v>
      </c>
      <c r="H325" s="24"/>
      <c r="I325" s="42" t="str">
        <f>VLOOKUP(D325,Sheet2!H:I,2,0)</f>
        <v>一级</v>
      </c>
      <c r="J325" s="42">
        <f t="shared" si="5"/>
        <v>1</v>
      </c>
      <c r="L325" s="11" t="s">
        <v>339</v>
      </c>
      <c r="M325" s="44">
        <v>1</v>
      </c>
    </row>
    <row r="326" s="42" customFormat="1" spans="1:13">
      <c r="A326" s="24">
        <v>325</v>
      </c>
      <c r="B326" s="73" t="s">
        <v>747</v>
      </c>
      <c r="C326" s="24" t="s">
        <v>10</v>
      </c>
      <c r="D326" s="8" t="s">
        <v>708</v>
      </c>
      <c r="E326" s="24">
        <v>1</v>
      </c>
      <c r="F326" s="36" t="s">
        <v>727</v>
      </c>
      <c r="G326" s="24">
        <v>1</v>
      </c>
      <c r="H326" s="24"/>
      <c r="I326" s="42" t="str">
        <f>VLOOKUP(D326,Sheet2!H:I,2,0)</f>
        <v>一级</v>
      </c>
      <c r="J326" s="42">
        <f t="shared" si="5"/>
        <v>1</v>
      </c>
      <c r="L326" s="11" t="s">
        <v>342</v>
      </c>
      <c r="M326" s="44">
        <v>1</v>
      </c>
    </row>
    <row r="327" s="42" customFormat="1" spans="1:13">
      <c r="A327" s="24">
        <v>326</v>
      </c>
      <c r="B327" s="24" t="s">
        <v>748</v>
      </c>
      <c r="C327" s="24" t="s">
        <v>10</v>
      </c>
      <c r="D327" s="8" t="s">
        <v>712</v>
      </c>
      <c r="E327" s="24">
        <v>1</v>
      </c>
      <c r="F327" s="36" t="s">
        <v>727</v>
      </c>
      <c r="G327" s="24">
        <v>1</v>
      </c>
      <c r="H327" s="24"/>
      <c r="I327" s="42" t="str">
        <f>VLOOKUP(D327,Sheet2!H:I,2,0)</f>
        <v>一级</v>
      </c>
      <c r="J327" s="42">
        <f t="shared" si="5"/>
        <v>1</v>
      </c>
      <c r="L327" s="52" t="s">
        <v>749</v>
      </c>
      <c r="M327" s="44"/>
    </row>
    <row r="328" s="42" customFormat="1" spans="1:13">
      <c r="A328" s="24">
        <v>327</v>
      </c>
      <c r="B328" s="24" t="s">
        <v>750</v>
      </c>
      <c r="C328" s="24" t="s">
        <v>10</v>
      </c>
      <c r="D328" s="14" t="s">
        <v>714</v>
      </c>
      <c r="E328" s="24">
        <v>1</v>
      </c>
      <c r="F328" s="36" t="s">
        <v>727</v>
      </c>
      <c r="G328" s="24">
        <v>1</v>
      </c>
      <c r="H328" s="24"/>
      <c r="I328" s="42" t="str">
        <f>VLOOKUP(D328,Sheet2!H:I,2,0)</f>
        <v>一级</v>
      </c>
      <c r="J328" s="42">
        <f t="shared" si="5"/>
        <v>1</v>
      </c>
      <c r="L328" s="11" t="s">
        <v>307</v>
      </c>
      <c r="M328" s="44">
        <v>1</v>
      </c>
    </row>
    <row r="329" s="42" customFormat="1" spans="1:13">
      <c r="A329" s="24">
        <v>328</v>
      </c>
      <c r="B329" s="73" t="s">
        <v>751</v>
      </c>
      <c r="C329" s="24" t="s">
        <v>10</v>
      </c>
      <c r="D329" s="14" t="s">
        <v>717</v>
      </c>
      <c r="E329" s="24">
        <v>1</v>
      </c>
      <c r="F329" s="36" t="s">
        <v>727</v>
      </c>
      <c r="G329" s="24">
        <v>1</v>
      </c>
      <c r="H329" s="24"/>
      <c r="I329" s="42" t="str">
        <f>VLOOKUP(D329,Sheet2!H:I,2,0)</f>
        <v>一级</v>
      </c>
      <c r="J329" s="42">
        <f t="shared" si="5"/>
        <v>1</v>
      </c>
      <c r="L329" s="11" t="s">
        <v>752</v>
      </c>
      <c r="M329" s="44"/>
    </row>
    <row r="330" s="42" customFormat="1" spans="1:13">
      <c r="A330" s="24">
        <v>329</v>
      </c>
      <c r="B330" s="74" t="s">
        <v>753</v>
      </c>
      <c r="C330" s="24" t="s">
        <v>10</v>
      </c>
      <c r="D330" s="24" t="s">
        <v>730</v>
      </c>
      <c r="E330" s="24">
        <v>1</v>
      </c>
      <c r="F330" s="36" t="s">
        <v>727</v>
      </c>
      <c r="G330" s="24">
        <v>1</v>
      </c>
      <c r="H330" s="24"/>
      <c r="I330" s="42" t="str">
        <f>VLOOKUP(D330,Sheet2!H:I,2,0)</f>
        <v>一级</v>
      </c>
      <c r="J330" s="42">
        <f t="shared" si="5"/>
        <v>1</v>
      </c>
      <c r="L330" s="47" t="s">
        <v>754</v>
      </c>
      <c r="M330" s="44">
        <v>1</v>
      </c>
    </row>
    <row r="331" s="42" customFormat="1" spans="1:13">
      <c r="A331" s="24">
        <v>330</v>
      </c>
      <c r="B331" s="74" t="s">
        <v>755</v>
      </c>
      <c r="C331" s="24" t="s">
        <v>10</v>
      </c>
      <c r="D331" s="24" t="s">
        <v>725</v>
      </c>
      <c r="E331" s="24">
        <v>1</v>
      </c>
      <c r="F331" s="36" t="s">
        <v>727</v>
      </c>
      <c r="G331" s="24">
        <v>1</v>
      </c>
      <c r="H331" s="24"/>
      <c r="I331" s="42" t="str">
        <f>VLOOKUP(D331,Sheet2!H:I,2,0)</f>
        <v>一级</v>
      </c>
      <c r="J331" s="42">
        <f t="shared" si="5"/>
        <v>1</v>
      </c>
      <c r="L331" s="47" t="s">
        <v>756</v>
      </c>
      <c r="M331" s="44">
        <v>2</v>
      </c>
    </row>
    <row r="332" s="42" customFormat="1" spans="1:13">
      <c r="A332" s="24">
        <v>331</v>
      </c>
      <c r="B332" s="24" t="s">
        <v>757</v>
      </c>
      <c r="C332" s="24" t="s">
        <v>10</v>
      </c>
      <c r="D332" s="14" t="s">
        <v>758</v>
      </c>
      <c r="E332" s="24">
        <v>1</v>
      </c>
      <c r="F332" s="24" t="s">
        <v>759</v>
      </c>
      <c r="G332" s="24">
        <v>1</v>
      </c>
      <c r="H332" s="24"/>
      <c r="I332" s="42" t="str">
        <f>VLOOKUP(D332,Sheet2!H:I,2,0)</f>
        <v>一级</v>
      </c>
      <c r="J332" s="42">
        <f t="shared" si="5"/>
        <v>1</v>
      </c>
      <c r="L332" s="11" t="s">
        <v>760</v>
      </c>
      <c r="M332" s="44" t="s">
        <v>300</v>
      </c>
    </row>
    <row r="333" s="42" customFormat="1" ht="16" customHeight="1" spans="1:13">
      <c r="A333" s="24">
        <v>332</v>
      </c>
      <c r="B333" s="24" t="s">
        <v>761</v>
      </c>
      <c r="C333" s="24" t="s">
        <v>10</v>
      </c>
      <c r="D333" s="2" t="s">
        <v>762</v>
      </c>
      <c r="E333" s="24">
        <v>1</v>
      </c>
      <c r="F333" s="24" t="s">
        <v>759</v>
      </c>
      <c r="G333" s="24">
        <v>1</v>
      </c>
      <c r="H333" s="24"/>
      <c r="I333" s="42" t="str">
        <f>VLOOKUP(D333,Sheet2!H:I,2,0)</f>
        <v>一级</v>
      </c>
      <c r="J333" s="42">
        <f t="shared" si="5"/>
        <v>1</v>
      </c>
      <c r="L333" s="11" t="s">
        <v>763</v>
      </c>
      <c r="M333" s="44" t="s">
        <v>300</v>
      </c>
    </row>
    <row r="334" spans="1:12">
      <c r="A334" s="24">
        <v>333</v>
      </c>
      <c r="B334" s="24" t="s">
        <v>764</v>
      </c>
      <c r="C334" s="24" t="s">
        <v>10</v>
      </c>
      <c r="D334" s="14" t="s">
        <v>765</v>
      </c>
      <c r="E334" s="24">
        <v>1</v>
      </c>
      <c r="F334" s="24" t="s">
        <v>759</v>
      </c>
      <c r="G334" s="24">
        <v>1</v>
      </c>
      <c r="H334" s="24"/>
      <c r="I334" s="42" t="str">
        <f>VLOOKUP(D334,Sheet2!H:I,2,0)</f>
        <v>一级</v>
      </c>
      <c r="J334" s="42">
        <f t="shared" si="5"/>
        <v>1</v>
      </c>
      <c r="L334" s="11" t="s">
        <v>766</v>
      </c>
    </row>
    <row r="335" spans="1:12">
      <c r="A335" s="24">
        <v>334</v>
      </c>
      <c r="B335" s="24" t="s">
        <v>767</v>
      </c>
      <c r="C335" s="24" t="s">
        <v>10</v>
      </c>
      <c r="D335" s="23" t="s">
        <v>768</v>
      </c>
      <c r="E335" s="24">
        <v>1</v>
      </c>
      <c r="F335" s="24" t="s">
        <v>759</v>
      </c>
      <c r="G335" s="24">
        <v>1</v>
      </c>
      <c r="H335" s="24"/>
      <c r="I335" s="42" t="str">
        <f>VLOOKUP(D335,Sheet2!H:I,2,0)</f>
        <v>一级</v>
      </c>
      <c r="J335" s="42">
        <f t="shared" si="5"/>
        <v>1</v>
      </c>
      <c r="L335" s="11" t="s">
        <v>769</v>
      </c>
    </row>
    <row r="336" spans="1:13">
      <c r="A336" s="24">
        <v>335</v>
      </c>
      <c r="B336" s="24" t="s">
        <v>770</v>
      </c>
      <c r="C336" s="24" t="s">
        <v>10</v>
      </c>
      <c r="D336" s="8" t="s">
        <v>771</v>
      </c>
      <c r="E336" s="24">
        <v>1</v>
      </c>
      <c r="F336" s="24" t="s">
        <v>759</v>
      </c>
      <c r="G336" s="24">
        <v>1</v>
      </c>
      <c r="H336" s="24"/>
      <c r="I336" s="42" t="str">
        <f>VLOOKUP(D336,Sheet2!H:I,2,0)</f>
        <v>一级</v>
      </c>
      <c r="J336" s="42">
        <f t="shared" si="5"/>
        <v>1</v>
      </c>
      <c r="L336" s="47" t="s">
        <v>772</v>
      </c>
      <c r="M336" s="44" t="s">
        <v>300</v>
      </c>
    </row>
    <row r="337" spans="1:13">
      <c r="A337" s="24">
        <v>336</v>
      </c>
      <c r="B337" s="74" t="s">
        <v>773</v>
      </c>
      <c r="C337" s="24" t="s">
        <v>10</v>
      </c>
      <c r="D337" s="14" t="s">
        <v>774</v>
      </c>
      <c r="E337" s="24">
        <v>1</v>
      </c>
      <c r="F337" s="24" t="s">
        <v>759</v>
      </c>
      <c r="G337" s="24">
        <v>1</v>
      </c>
      <c r="H337" s="24"/>
      <c r="I337" s="42" t="str">
        <f>VLOOKUP(D337,Sheet2!H:I,2,0)</f>
        <v>一级</v>
      </c>
      <c r="J337" s="42">
        <f t="shared" si="5"/>
        <v>1</v>
      </c>
      <c r="L337" s="47" t="s">
        <v>775</v>
      </c>
      <c r="M337" s="44" t="s">
        <v>300</v>
      </c>
    </row>
    <row r="338" spans="1:13">
      <c r="A338" s="24">
        <v>337</v>
      </c>
      <c r="B338" s="53" t="s">
        <v>776</v>
      </c>
      <c r="C338" s="24" t="s">
        <v>10</v>
      </c>
      <c r="D338" s="36" t="s">
        <v>777</v>
      </c>
      <c r="E338" s="36">
        <v>1</v>
      </c>
      <c r="F338" s="36" t="s">
        <v>759</v>
      </c>
      <c r="G338" s="36">
        <v>1</v>
      </c>
      <c r="H338" s="24"/>
      <c r="I338" s="42" t="str">
        <f>VLOOKUP(D338,Sheet2!H:I,2,0)</f>
        <v>一级</v>
      </c>
      <c r="J338" s="42">
        <f t="shared" si="5"/>
        <v>1</v>
      </c>
      <c r="L338" s="11" t="s">
        <v>778</v>
      </c>
      <c r="M338" s="44" t="s">
        <v>300</v>
      </c>
    </row>
    <row r="339" spans="1:13">
      <c r="A339" s="24">
        <v>338</v>
      </c>
      <c r="B339" s="63" t="s">
        <v>779</v>
      </c>
      <c r="C339" s="7" t="s">
        <v>306</v>
      </c>
      <c r="D339" s="7" t="s">
        <v>754</v>
      </c>
      <c r="E339" s="24">
        <v>1</v>
      </c>
      <c r="F339" s="7" t="s">
        <v>780</v>
      </c>
      <c r="G339" s="24">
        <v>1</v>
      </c>
      <c r="H339" s="24"/>
      <c r="I339" s="42" t="str">
        <f>VLOOKUP(D339,Sheet2!H:I,2,0)</f>
        <v>一级</v>
      </c>
      <c r="J339" s="42">
        <f t="shared" si="5"/>
        <v>1</v>
      </c>
      <c r="L339" s="11" t="s">
        <v>781</v>
      </c>
      <c r="M339" s="44" t="s">
        <v>300</v>
      </c>
    </row>
    <row r="340" spans="1:13">
      <c r="A340" s="24">
        <v>339</v>
      </c>
      <c r="B340" s="53" t="s">
        <v>782</v>
      </c>
      <c r="C340" s="36" t="s">
        <v>306</v>
      </c>
      <c r="D340" s="36" t="s">
        <v>756</v>
      </c>
      <c r="E340" s="36">
        <v>2</v>
      </c>
      <c r="F340" s="36" t="s">
        <v>780</v>
      </c>
      <c r="G340" s="36">
        <v>2</v>
      </c>
      <c r="H340" s="24"/>
      <c r="I340" s="42" t="str">
        <f>VLOOKUP(D340,Sheet2!H:I,2,0)</f>
        <v>二级</v>
      </c>
      <c r="J340" s="42">
        <f t="shared" si="5"/>
        <v>2</v>
      </c>
      <c r="L340" s="47" t="s">
        <v>758</v>
      </c>
      <c r="M340" s="44">
        <v>1</v>
      </c>
    </row>
    <row r="341" spans="1:13">
      <c r="A341" s="24"/>
      <c r="B341" s="24" t="s">
        <v>783</v>
      </c>
      <c r="C341" s="24" t="s">
        <v>10</v>
      </c>
      <c r="D341" s="15" t="s">
        <v>325</v>
      </c>
      <c r="E341" s="24" t="s">
        <v>300</v>
      </c>
      <c r="F341" s="24" t="s">
        <v>115</v>
      </c>
      <c r="G341" s="36">
        <v>2</v>
      </c>
      <c r="H341" s="24"/>
      <c r="I341" s="42" t="str">
        <f>VLOOKUP(D341,Sheet2!H:I,2,0)</f>
        <v>不适用能效</v>
      </c>
      <c r="J341" s="42" t="str">
        <f t="shared" si="5"/>
        <v>不适用能效</v>
      </c>
      <c r="L341" s="9" t="s">
        <v>762</v>
      </c>
      <c r="M341" s="44">
        <v>1</v>
      </c>
    </row>
    <row r="342" spans="1:13">
      <c r="A342" s="24"/>
      <c r="B342" s="24" t="s">
        <v>784</v>
      </c>
      <c r="C342" s="24" t="s">
        <v>10</v>
      </c>
      <c r="D342" s="15" t="s">
        <v>328</v>
      </c>
      <c r="E342" s="24" t="s">
        <v>300</v>
      </c>
      <c r="F342" s="24" t="s">
        <v>115</v>
      </c>
      <c r="G342" s="36">
        <v>2</v>
      </c>
      <c r="H342" s="24"/>
      <c r="I342" s="42" t="str">
        <f>VLOOKUP(D342,Sheet2!H:I,2,0)</f>
        <v>不适用能效</v>
      </c>
      <c r="J342" s="42" t="str">
        <f t="shared" si="5"/>
        <v>不适用能效</v>
      </c>
      <c r="L342" s="47" t="s">
        <v>765</v>
      </c>
      <c r="M342" s="44">
        <v>1</v>
      </c>
    </row>
    <row r="343" spans="1:13">
      <c r="A343" s="24"/>
      <c r="B343" s="24" t="s">
        <v>785</v>
      </c>
      <c r="C343" s="24" t="s">
        <v>10</v>
      </c>
      <c r="D343" s="15" t="s">
        <v>331</v>
      </c>
      <c r="E343" s="24" t="s">
        <v>300</v>
      </c>
      <c r="F343" s="24" t="s">
        <v>115</v>
      </c>
      <c r="G343" s="36">
        <v>2</v>
      </c>
      <c r="H343" s="24"/>
      <c r="I343" s="42" t="str">
        <f>VLOOKUP(D343,Sheet2!H:I,2,0)</f>
        <v>不适用能效</v>
      </c>
      <c r="J343" s="42" t="str">
        <f t="shared" si="5"/>
        <v>不适用能效</v>
      </c>
      <c r="L343" s="60" t="s">
        <v>768</v>
      </c>
      <c r="M343" s="44">
        <v>1</v>
      </c>
    </row>
    <row r="344" spans="1:13">
      <c r="A344" s="24"/>
      <c r="B344" s="24" t="s">
        <v>786</v>
      </c>
      <c r="C344" s="24" t="s">
        <v>10</v>
      </c>
      <c r="D344" s="15" t="s">
        <v>334</v>
      </c>
      <c r="E344" s="24" t="s">
        <v>300</v>
      </c>
      <c r="F344" s="24" t="s">
        <v>115</v>
      </c>
      <c r="G344" s="36">
        <v>2</v>
      </c>
      <c r="H344" s="24"/>
      <c r="I344" s="42" t="str">
        <f>VLOOKUP(D344,Sheet2!H:I,2,0)</f>
        <v>不适用能效</v>
      </c>
      <c r="J344" s="42" t="str">
        <f t="shared" si="5"/>
        <v>不适用能效</v>
      </c>
      <c r="L344" s="11" t="s">
        <v>771</v>
      </c>
      <c r="M344" s="44">
        <v>1</v>
      </c>
    </row>
    <row r="345" spans="1:13">
      <c r="A345" s="24"/>
      <c r="B345" s="24" t="s">
        <v>787</v>
      </c>
      <c r="C345" s="24" t="s">
        <v>10</v>
      </c>
      <c r="D345" s="17" t="s">
        <v>337</v>
      </c>
      <c r="E345" s="24" t="s">
        <v>300</v>
      </c>
      <c r="F345" s="24" t="s">
        <v>115</v>
      </c>
      <c r="G345" s="36">
        <v>2</v>
      </c>
      <c r="H345" s="24"/>
      <c r="I345" s="42" t="str">
        <f>VLOOKUP(D345,Sheet2!H:I,2,0)</f>
        <v>不适用能效</v>
      </c>
      <c r="J345" s="42" t="str">
        <f t="shared" si="5"/>
        <v>不适用能效</v>
      </c>
      <c r="L345" s="47" t="s">
        <v>774</v>
      </c>
      <c r="M345" s="44">
        <v>1</v>
      </c>
    </row>
    <row r="346" spans="1:13">
      <c r="A346" s="24"/>
      <c r="B346" s="24" t="s">
        <v>788</v>
      </c>
      <c r="C346" s="24" t="s">
        <v>10</v>
      </c>
      <c r="D346" s="8" t="s">
        <v>340</v>
      </c>
      <c r="E346" s="24" t="s">
        <v>300</v>
      </c>
      <c r="F346" s="24" t="s">
        <v>115</v>
      </c>
      <c r="G346" s="36">
        <v>2</v>
      </c>
      <c r="H346" s="24"/>
      <c r="I346" s="42" t="str">
        <f>VLOOKUP(D346,Sheet2!H:I,2,0)</f>
        <v>不适用能效</v>
      </c>
      <c r="J346" s="42" t="str">
        <f t="shared" si="5"/>
        <v>不适用能效</v>
      </c>
      <c r="L346" s="11" t="s">
        <v>777</v>
      </c>
      <c r="M346" s="44">
        <v>1</v>
      </c>
    </row>
    <row r="347" spans="1:13">
      <c r="A347" s="24"/>
      <c r="B347" s="24" t="s">
        <v>789</v>
      </c>
      <c r="C347" s="24" t="s">
        <v>10</v>
      </c>
      <c r="D347" s="8" t="s">
        <v>343</v>
      </c>
      <c r="E347" s="24" t="s">
        <v>300</v>
      </c>
      <c r="F347" s="24" t="s">
        <v>115</v>
      </c>
      <c r="G347" s="36">
        <v>2</v>
      </c>
      <c r="H347" s="24"/>
      <c r="I347" s="42" t="str">
        <f>VLOOKUP(D347,Sheet2!H:I,2,0)</f>
        <v>不适用能效</v>
      </c>
      <c r="J347" s="42" t="str">
        <f t="shared" si="5"/>
        <v>不适用能效</v>
      </c>
      <c r="L347" s="9" t="s">
        <v>790</v>
      </c>
      <c r="M347" s="44">
        <v>1</v>
      </c>
    </row>
    <row r="348" spans="1:12">
      <c r="A348" s="24"/>
      <c r="B348" s="24" t="s">
        <v>791</v>
      </c>
      <c r="C348" s="24" t="s">
        <v>10</v>
      </c>
      <c r="D348" s="15" t="s">
        <v>346</v>
      </c>
      <c r="E348" s="24" t="s">
        <v>300</v>
      </c>
      <c r="F348" s="24" t="s">
        <v>792</v>
      </c>
      <c r="G348" s="24" t="s">
        <v>793</v>
      </c>
      <c r="H348" s="24"/>
      <c r="I348" s="42" t="str">
        <f>VLOOKUP(D348,Sheet2!H:I,2,0)</f>
        <v>不适用能效</v>
      </c>
      <c r="J348" s="42" t="str">
        <f t="shared" si="5"/>
        <v>不适用能效</v>
      </c>
      <c r="L348" s="11" t="s">
        <v>794</v>
      </c>
    </row>
    <row r="349" spans="1:12">
      <c r="A349" s="24"/>
      <c r="B349" s="24" t="s">
        <v>795</v>
      </c>
      <c r="C349" s="24" t="s">
        <v>10</v>
      </c>
      <c r="D349" s="15" t="s">
        <v>349</v>
      </c>
      <c r="E349" s="24" t="s">
        <v>300</v>
      </c>
      <c r="F349" s="24" t="s">
        <v>792</v>
      </c>
      <c r="G349" s="24" t="s">
        <v>793</v>
      </c>
      <c r="H349" s="24"/>
      <c r="I349" s="42" t="str">
        <f>VLOOKUP(D349,Sheet2!H:I,2,0)</f>
        <v>不适用能效</v>
      </c>
      <c r="J349" s="42" t="str">
        <f t="shared" si="5"/>
        <v>不适用能效</v>
      </c>
      <c r="L349" s="47" t="s">
        <v>796</v>
      </c>
    </row>
    <row r="350" spans="1:12">
      <c r="A350" s="24"/>
      <c r="B350" s="24" t="s">
        <v>797</v>
      </c>
      <c r="C350" s="24" t="s">
        <v>10</v>
      </c>
      <c r="D350" s="14" t="s">
        <v>423</v>
      </c>
      <c r="E350" s="24" t="s">
        <v>798</v>
      </c>
      <c r="F350" s="36" t="s">
        <v>799</v>
      </c>
      <c r="G350" s="24" t="s">
        <v>793</v>
      </c>
      <c r="H350" s="24"/>
      <c r="I350" s="42" t="str">
        <f>VLOOKUP(D350,Sheet2!H:I,2,0)</f>
        <v>三级</v>
      </c>
      <c r="J350" s="42">
        <f t="shared" si="5"/>
        <v>3</v>
      </c>
      <c r="L350" s="47" t="s">
        <v>800</v>
      </c>
    </row>
    <row r="351" spans="1:12">
      <c r="A351" s="24"/>
      <c r="B351" s="24" t="s">
        <v>801</v>
      </c>
      <c r="C351" s="24" t="s">
        <v>10</v>
      </c>
      <c r="D351" s="14" t="s">
        <v>425</v>
      </c>
      <c r="E351" s="24" t="s">
        <v>798</v>
      </c>
      <c r="F351" s="36" t="s">
        <v>799</v>
      </c>
      <c r="G351" s="24" t="s">
        <v>793</v>
      </c>
      <c r="H351" s="24"/>
      <c r="I351" s="42" t="str">
        <f>VLOOKUP(D351,Sheet2!H:I,2,0)</f>
        <v>三级</v>
      </c>
      <c r="J351" s="42">
        <f t="shared" si="5"/>
        <v>3</v>
      </c>
      <c r="L351" s="64" t="s">
        <v>802</v>
      </c>
    </row>
    <row r="352" spans="1:12">
      <c r="A352" s="24"/>
      <c r="B352" s="45" t="s">
        <v>803</v>
      </c>
      <c r="C352" s="24" t="s">
        <v>10</v>
      </c>
      <c r="D352" s="15" t="s">
        <v>299</v>
      </c>
      <c r="E352" s="24" t="s">
        <v>300</v>
      </c>
      <c r="F352" s="36" t="s">
        <v>354</v>
      </c>
      <c r="G352" s="36">
        <v>2</v>
      </c>
      <c r="H352" s="24"/>
      <c r="I352" s="42" t="str">
        <f>VLOOKUP(D352,Sheet2!H:I,2,0)</f>
        <v>不适用能效</v>
      </c>
      <c r="J352" s="42" t="str">
        <f t="shared" si="5"/>
        <v>不适用能效</v>
      </c>
      <c r="L352" s="64" t="s">
        <v>804</v>
      </c>
    </row>
    <row r="353" spans="1:12">
      <c r="A353" s="24"/>
      <c r="B353" s="45" t="s">
        <v>805</v>
      </c>
      <c r="C353" s="24" t="s">
        <v>10</v>
      </c>
      <c r="D353" s="15" t="s">
        <v>304</v>
      </c>
      <c r="E353" s="24" t="s">
        <v>300</v>
      </c>
      <c r="F353" s="36" t="s">
        <v>354</v>
      </c>
      <c r="G353" s="36">
        <v>2</v>
      </c>
      <c r="H353" s="24"/>
      <c r="I353" s="42" t="str">
        <f>VLOOKUP(D353,Sheet2!H:I,2,0)</f>
        <v>不适用能效</v>
      </c>
      <c r="J353" s="42" t="str">
        <f t="shared" si="5"/>
        <v>不适用能效</v>
      </c>
      <c r="L353" s="9" t="s">
        <v>806</v>
      </c>
    </row>
    <row r="354" spans="1:13">
      <c r="A354" s="24"/>
      <c r="B354" s="45" t="s">
        <v>807</v>
      </c>
      <c r="C354" s="24" t="s">
        <v>10</v>
      </c>
      <c r="D354" s="15" t="s">
        <v>309</v>
      </c>
      <c r="E354" s="24" t="s">
        <v>300</v>
      </c>
      <c r="F354" s="36" t="s">
        <v>354</v>
      </c>
      <c r="G354" s="36">
        <v>2</v>
      </c>
      <c r="H354" s="24"/>
      <c r="I354" s="42" t="str">
        <f>VLOOKUP(D354,Sheet2!H:I,2,0)</f>
        <v>不适用能效</v>
      </c>
      <c r="J354" s="42" t="str">
        <f t="shared" si="5"/>
        <v>不适用能效</v>
      </c>
      <c r="L354" s="11" t="s">
        <v>642</v>
      </c>
      <c r="M354" s="44">
        <v>1</v>
      </c>
    </row>
    <row r="355" spans="1:13">
      <c r="A355" s="24"/>
      <c r="B355" s="24" t="s">
        <v>808</v>
      </c>
      <c r="C355" s="24" t="s">
        <v>10</v>
      </c>
      <c r="D355" s="15" t="s">
        <v>565</v>
      </c>
      <c r="E355" s="24" t="s">
        <v>300</v>
      </c>
      <c r="F355" s="36" t="s">
        <v>354</v>
      </c>
      <c r="G355" s="36">
        <v>2</v>
      </c>
      <c r="H355" s="24"/>
      <c r="I355" s="42" t="str">
        <f>VLOOKUP(D355,Sheet2!H:I,2,0)</f>
        <v>不适用能效</v>
      </c>
      <c r="J355" s="42" t="str">
        <f t="shared" si="5"/>
        <v>不适用能效</v>
      </c>
      <c r="L355" s="11" t="s">
        <v>645</v>
      </c>
      <c r="M355" s="44">
        <v>1</v>
      </c>
    </row>
    <row r="356" spans="1:13">
      <c r="A356" s="24"/>
      <c r="B356" s="24" t="s">
        <v>809</v>
      </c>
      <c r="C356" s="24" t="s">
        <v>10</v>
      </c>
      <c r="D356" s="15" t="s">
        <v>567</v>
      </c>
      <c r="E356" s="24" t="s">
        <v>300</v>
      </c>
      <c r="F356" s="36" t="s">
        <v>354</v>
      </c>
      <c r="G356" s="36">
        <v>2</v>
      </c>
      <c r="H356" s="24"/>
      <c r="I356" s="42" t="str">
        <f>VLOOKUP(D356,Sheet2!H:I,2,0)</f>
        <v>不适用能效</v>
      </c>
      <c r="J356" s="42" t="str">
        <f t="shared" si="5"/>
        <v>不适用能效</v>
      </c>
      <c r="L356" s="11" t="s">
        <v>648</v>
      </c>
      <c r="M356" s="44">
        <v>1</v>
      </c>
    </row>
    <row r="357" spans="1:13">
      <c r="A357" s="24"/>
      <c r="B357" s="24" t="s">
        <v>810</v>
      </c>
      <c r="C357" s="24" t="s">
        <v>10</v>
      </c>
      <c r="D357" s="15" t="s">
        <v>569</v>
      </c>
      <c r="E357" s="24" t="s">
        <v>300</v>
      </c>
      <c r="F357" s="36" t="s">
        <v>354</v>
      </c>
      <c r="G357" s="36">
        <v>2</v>
      </c>
      <c r="H357" s="24"/>
      <c r="I357" s="42" t="str">
        <f>VLOOKUP(D357,Sheet2!H:I,2,0)</f>
        <v>不适用能效</v>
      </c>
      <c r="J357" s="42" t="str">
        <f t="shared" si="5"/>
        <v>不适用能效</v>
      </c>
      <c r="L357" s="11" t="s">
        <v>651</v>
      </c>
      <c r="M357" s="44">
        <v>1</v>
      </c>
    </row>
    <row r="358" spans="1:13">
      <c r="A358" s="24"/>
      <c r="B358" s="24" t="s">
        <v>811</v>
      </c>
      <c r="C358" s="24" t="s">
        <v>10</v>
      </c>
      <c r="D358" s="15" t="s">
        <v>571</v>
      </c>
      <c r="E358" s="24" t="s">
        <v>300</v>
      </c>
      <c r="F358" s="36" t="s">
        <v>354</v>
      </c>
      <c r="G358" s="36">
        <v>2</v>
      </c>
      <c r="H358" s="24"/>
      <c r="I358" s="42" t="str">
        <f>VLOOKUP(D358,Sheet2!H:I,2,0)</f>
        <v>不适用能效</v>
      </c>
      <c r="J358" s="42" t="str">
        <f t="shared" si="5"/>
        <v>不适用能效</v>
      </c>
      <c r="L358" s="11" t="s">
        <v>654</v>
      </c>
      <c r="M358" s="44">
        <v>1</v>
      </c>
    </row>
    <row r="359" spans="1:13">
      <c r="A359" s="24"/>
      <c r="B359" s="24" t="s">
        <v>812</v>
      </c>
      <c r="C359" s="24" t="s">
        <v>10</v>
      </c>
      <c r="D359" s="14" t="s">
        <v>772</v>
      </c>
      <c r="E359" s="24" t="s">
        <v>300</v>
      </c>
      <c r="F359" s="36" t="s">
        <v>813</v>
      </c>
      <c r="G359" s="24" t="s">
        <v>793</v>
      </c>
      <c r="H359" s="24"/>
      <c r="I359" s="42" t="str">
        <f>VLOOKUP(D359,Sheet2!H:I,2,0)</f>
        <v>不适用能效</v>
      </c>
      <c r="J359" s="42" t="str">
        <f t="shared" si="5"/>
        <v>不适用能效</v>
      </c>
      <c r="L359" s="11" t="s">
        <v>657</v>
      </c>
      <c r="M359" s="44">
        <v>1</v>
      </c>
    </row>
    <row r="360" spans="1:13">
      <c r="A360" s="24"/>
      <c r="B360" s="24" t="s">
        <v>814</v>
      </c>
      <c r="C360" s="24" t="s">
        <v>10</v>
      </c>
      <c r="D360" s="8" t="s">
        <v>775</v>
      </c>
      <c r="E360" s="24" t="s">
        <v>300</v>
      </c>
      <c r="F360" s="36" t="s">
        <v>813</v>
      </c>
      <c r="G360" s="24" t="s">
        <v>793</v>
      </c>
      <c r="H360" s="24"/>
      <c r="I360" s="42" t="str">
        <f>VLOOKUP(D360,Sheet2!H:I,2,0)</f>
        <v>不适用能效</v>
      </c>
      <c r="J360" s="42" t="str">
        <f t="shared" si="5"/>
        <v>不适用能效</v>
      </c>
      <c r="L360" s="48" t="s">
        <v>660</v>
      </c>
      <c r="M360" s="44">
        <v>2</v>
      </c>
    </row>
    <row r="361" spans="1:13">
      <c r="A361" s="24"/>
      <c r="B361" s="24" t="s">
        <v>815</v>
      </c>
      <c r="C361" s="24" t="s">
        <v>10</v>
      </c>
      <c r="D361" s="8" t="s">
        <v>778</v>
      </c>
      <c r="E361" s="24" t="s">
        <v>300</v>
      </c>
      <c r="F361" s="36" t="s">
        <v>813</v>
      </c>
      <c r="G361" s="24" t="s">
        <v>793</v>
      </c>
      <c r="H361" s="24"/>
      <c r="I361" s="42" t="str">
        <f>VLOOKUP(D361,Sheet2!H:I,2,0)</f>
        <v>不适用能效</v>
      </c>
      <c r="J361" s="42" t="str">
        <f t="shared" si="5"/>
        <v>不适用能效</v>
      </c>
      <c r="L361" s="48" t="s">
        <v>663</v>
      </c>
      <c r="M361" s="44">
        <v>2</v>
      </c>
    </row>
    <row r="362" spans="1:13">
      <c r="A362" s="24"/>
      <c r="B362" s="74" t="s">
        <v>816</v>
      </c>
      <c r="C362" s="24" t="s">
        <v>10</v>
      </c>
      <c r="D362" s="24" t="s">
        <v>817</v>
      </c>
      <c r="E362" s="24">
        <v>2</v>
      </c>
      <c r="F362" s="24" t="s">
        <v>354</v>
      </c>
      <c r="G362" s="24">
        <v>2</v>
      </c>
      <c r="H362" s="24"/>
      <c r="I362" s="42" t="str">
        <f>VLOOKUP(D362,Sheet2!H:I,2,0)</f>
        <v>二级</v>
      </c>
      <c r="J362" s="42">
        <f t="shared" si="5"/>
        <v>2</v>
      </c>
      <c r="L362" s="52" t="s">
        <v>666</v>
      </c>
      <c r="M362" s="44">
        <v>2</v>
      </c>
    </row>
    <row r="363" spans="1:13">
      <c r="A363" s="24"/>
      <c r="B363" s="74" t="s">
        <v>818</v>
      </c>
      <c r="C363" s="24" t="s">
        <v>10</v>
      </c>
      <c r="D363" s="24" t="s">
        <v>819</v>
      </c>
      <c r="E363" s="24">
        <v>1</v>
      </c>
      <c r="F363" s="24" t="s">
        <v>115</v>
      </c>
      <c r="G363" s="24">
        <v>1</v>
      </c>
      <c r="H363" s="24"/>
      <c r="I363" s="42" t="str">
        <f>VLOOKUP(D363,Sheet2!H:I,2,0)</f>
        <v>一级</v>
      </c>
      <c r="J363" s="42">
        <f t="shared" si="5"/>
        <v>1</v>
      </c>
      <c r="L363" s="52" t="s">
        <v>669</v>
      </c>
      <c r="M363" s="44">
        <v>1</v>
      </c>
    </row>
    <row r="364" spans="1:13">
      <c r="A364" s="24"/>
      <c r="B364" s="74" t="s">
        <v>820</v>
      </c>
      <c r="C364" s="24" t="s">
        <v>10</v>
      </c>
      <c r="D364" s="24" t="s">
        <v>382</v>
      </c>
      <c r="E364" s="24">
        <v>1</v>
      </c>
      <c r="F364" s="24" t="s">
        <v>115</v>
      </c>
      <c r="G364" s="24">
        <v>1</v>
      </c>
      <c r="H364" s="24"/>
      <c r="I364" s="42" t="str">
        <f>VLOOKUP(D364,Sheet2!H:I,2,0)</f>
        <v>一级</v>
      </c>
      <c r="J364" s="42">
        <f t="shared" si="5"/>
        <v>1</v>
      </c>
      <c r="L364" s="52" t="s">
        <v>672</v>
      </c>
      <c r="M364" s="44">
        <v>1</v>
      </c>
    </row>
    <row r="365" spans="1:13">
      <c r="A365" s="24"/>
      <c r="B365" s="74" t="s">
        <v>821</v>
      </c>
      <c r="C365" s="24" t="s">
        <v>10</v>
      </c>
      <c r="D365" s="24" t="s">
        <v>352</v>
      </c>
      <c r="E365" s="24" t="s">
        <v>300</v>
      </c>
      <c r="F365" s="24" t="s">
        <v>792</v>
      </c>
      <c r="G365" s="24" t="s">
        <v>793</v>
      </c>
      <c r="H365" s="24"/>
      <c r="I365" s="42" t="str">
        <f>VLOOKUP(D365,Sheet2!H:I,2,0)</f>
        <v>不适用能效</v>
      </c>
      <c r="J365" s="42" t="str">
        <f t="shared" si="5"/>
        <v>不适用能效</v>
      </c>
      <c r="L365" s="52" t="s">
        <v>675</v>
      </c>
      <c r="M365" s="44">
        <v>1</v>
      </c>
    </row>
    <row r="366" spans="1:13">
      <c r="A366" s="24"/>
      <c r="B366" s="74" t="s">
        <v>822</v>
      </c>
      <c r="C366" s="24" t="s">
        <v>10</v>
      </c>
      <c r="D366" s="24" t="s">
        <v>355</v>
      </c>
      <c r="E366" s="24" t="s">
        <v>300</v>
      </c>
      <c r="F366" s="24" t="s">
        <v>823</v>
      </c>
      <c r="G366" s="24" t="s">
        <v>793</v>
      </c>
      <c r="H366" s="24"/>
      <c r="I366" s="42" t="str">
        <f>VLOOKUP(D366,Sheet2!H:I,2,0)</f>
        <v>不适用能效</v>
      </c>
      <c r="J366" s="42" t="str">
        <f t="shared" si="5"/>
        <v>不适用能效</v>
      </c>
      <c r="L366" s="52" t="s">
        <v>681</v>
      </c>
      <c r="M366" s="44">
        <v>1</v>
      </c>
    </row>
    <row r="367" spans="1:13">
      <c r="A367" s="24"/>
      <c r="B367" s="74" t="s">
        <v>824</v>
      </c>
      <c r="C367" s="24" t="s">
        <v>10</v>
      </c>
      <c r="D367" s="24" t="s">
        <v>728</v>
      </c>
      <c r="E367" s="24">
        <v>1</v>
      </c>
      <c r="F367" s="36" t="s">
        <v>727</v>
      </c>
      <c r="G367" s="24">
        <v>1</v>
      </c>
      <c r="H367" s="24"/>
      <c r="I367" s="42" t="str">
        <f>VLOOKUP(D367,Sheet2!H:I,2,0)</f>
        <v>一级</v>
      </c>
      <c r="J367" s="42">
        <f t="shared" si="5"/>
        <v>1</v>
      </c>
      <c r="L367" s="9" t="s">
        <v>719</v>
      </c>
      <c r="M367" s="44">
        <v>1</v>
      </c>
    </row>
    <row r="368" spans="1:13">
      <c r="A368" s="24"/>
      <c r="B368" s="74" t="s">
        <v>825</v>
      </c>
      <c r="C368" s="24" t="s">
        <v>10</v>
      </c>
      <c r="D368" s="24" t="s">
        <v>826</v>
      </c>
      <c r="E368" s="24">
        <v>1</v>
      </c>
      <c r="F368" s="24" t="s">
        <v>115</v>
      </c>
      <c r="G368" s="24">
        <v>1</v>
      </c>
      <c r="H368" s="24"/>
      <c r="I368" s="42" t="str">
        <f>VLOOKUP(D368,Sheet2!H:I,2,0)</f>
        <v>一级</v>
      </c>
      <c r="J368" s="42">
        <f t="shared" si="5"/>
        <v>1</v>
      </c>
      <c r="L368" s="9" t="s">
        <v>722</v>
      </c>
      <c r="M368" s="44">
        <v>2</v>
      </c>
    </row>
    <row r="369" spans="1:12">
      <c r="A369" s="24"/>
      <c r="B369" s="74" t="s">
        <v>827</v>
      </c>
      <c r="C369" s="24" t="s">
        <v>10</v>
      </c>
      <c r="D369" s="24" t="s">
        <v>158</v>
      </c>
      <c r="E369" s="24">
        <v>1</v>
      </c>
      <c r="F369" s="24" t="s">
        <v>354</v>
      </c>
      <c r="G369" s="24">
        <v>1</v>
      </c>
      <c r="H369" s="24"/>
      <c r="I369" s="42" t="str">
        <f>VLOOKUP(D369,Sheet2!H:I,2,0)</f>
        <v>一级</v>
      </c>
      <c r="J369" s="42">
        <f t="shared" si="5"/>
        <v>1</v>
      </c>
      <c r="L369" s="9" t="s">
        <v>828</v>
      </c>
    </row>
    <row r="370" spans="1:13">
      <c r="A370" s="24"/>
      <c r="B370" s="74" t="s">
        <v>829</v>
      </c>
      <c r="C370" s="24" t="s">
        <v>10</v>
      </c>
      <c r="D370" s="24" t="s">
        <v>161</v>
      </c>
      <c r="E370" s="24">
        <v>1</v>
      </c>
      <c r="F370" s="24" t="s">
        <v>354</v>
      </c>
      <c r="G370" s="24">
        <v>1</v>
      </c>
      <c r="H370" s="24"/>
      <c r="I370" s="42" t="str">
        <f>VLOOKUP(D370,Sheet2!H:I,2,0)</f>
        <v>一级</v>
      </c>
      <c r="J370" s="42">
        <f t="shared" si="5"/>
        <v>1</v>
      </c>
      <c r="L370" s="11" t="s">
        <v>553</v>
      </c>
      <c r="M370" s="44">
        <v>2</v>
      </c>
    </row>
    <row r="371" spans="1:13">
      <c r="A371" s="24"/>
      <c r="B371" s="74" t="s">
        <v>830</v>
      </c>
      <c r="C371" s="24" t="s">
        <v>10</v>
      </c>
      <c r="D371" s="24" t="s">
        <v>831</v>
      </c>
      <c r="E371" s="24">
        <v>1</v>
      </c>
      <c r="F371" s="36" t="s">
        <v>727</v>
      </c>
      <c r="G371" s="24">
        <v>1</v>
      </c>
      <c r="H371" s="24"/>
      <c r="I371" s="42" t="str">
        <f>VLOOKUP(D371,Sheet2!H:I,2,0)</f>
        <v>一级</v>
      </c>
      <c r="J371" s="42">
        <f t="shared" si="5"/>
        <v>1</v>
      </c>
      <c r="L371" s="9" t="s">
        <v>826</v>
      </c>
      <c r="M371" s="44">
        <v>1</v>
      </c>
    </row>
    <row r="372" spans="1:12">
      <c r="A372" s="24"/>
      <c r="B372" s="76" t="s">
        <v>832</v>
      </c>
      <c r="C372" s="24" t="s">
        <v>10</v>
      </c>
      <c r="D372" s="3" t="s">
        <v>720</v>
      </c>
      <c r="E372" s="3">
        <v>1</v>
      </c>
      <c r="F372" s="24" t="s">
        <v>833</v>
      </c>
      <c r="G372" s="3">
        <v>1</v>
      </c>
      <c r="H372" s="24"/>
      <c r="I372" s="42">
        <f>VLOOKUP(D372,Sheet2!H:I,2,0)</f>
        <v>1</v>
      </c>
      <c r="J372" s="42">
        <f t="shared" si="5"/>
        <v>1</v>
      </c>
      <c r="L372" s="65" t="s">
        <v>834</v>
      </c>
    </row>
    <row r="373" spans="1:12">
      <c r="A373" s="24"/>
      <c r="B373" s="76" t="s">
        <v>835</v>
      </c>
      <c r="C373" s="24" t="s">
        <v>10</v>
      </c>
      <c r="D373" s="3" t="s">
        <v>790</v>
      </c>
      <c r="E373" s="3">
        <v>1</v>
      </c>
      <c r="F373" s="24" t="s">
        <v>759</v>
      </c>
      <c r="G373" s="3">
        <v>1</v>
      </c>
      <c r="H373" s="24"/>
      <c r="I373" s="42">
        <f>VLOOKUP(D373,Sheet2!H:I,2,0)</f>
        <v>1</v>
      </c>
      <c r="J373" s="42">
        <f t="shared" si="5"/>
        <v>1</v>
      </c>
      <c r="L373" s="65" t="s">
        <v>836</v>
      </c>
    </row>
    <row r="374" spans="1:13">
      <c r="A374" s="24"/>
      <c r="B374" s="53" t="s">
        <v>837</v>
      </c>
      <c r="C374" s="24" t="s">
        <v>10</v>
      </c>
      <c r="D374" s="3" t="s">
        <v>164</v>
      </c>
      <c r="E374" s="3">
        <v>1</v>
      </c>
      <c r="F374" s="24" t="s">
        <v>354</v>
      </c>
      <c r="G374" s="3">
        <v>1</v>
      </c>
      <c r="H374" s="24"/>
      <c r="I374" s="42">
        <f>VLOOKUP(D374,Sheet2!H:I,2,0)</f>
        <v>1</v>
      </c>
      <c r="J374" s="42">
        <f t="shared" si="5"/>
        <v>1</v>
      </c>
      <c r="L374" s="11" t="s">
        <v>11</v>
      </c>
      <c r="M374" s="44">
        <v>2</v>
      </c>
    </row>
    <row r="375" spans="1:13">
      <c r="A375" s="24"/>
      <c r="B375" s="76" t="s">
        <v>827</v>
      </c>
      <c r="C375" s="24" t="s">
        <v>10</v>
      </c>
      <c r="D375" s="3" t="s">
        <v>158</v>
      </c>
      <c r="E375" s="3">
        <v>1</v>
      </c>
      <c r="F375" s="24" t="s">
        <v>354</v>
      </c>
      <c r="G375" s="3">
        <v>1</v>
      </c>
      <c r="H375" s="24"/>
      <c r="I375" s="42" t="str">
        <f>VLOOKUP(D375,Sheet2!H:I,2,0)</f>
        <v>一级</v>
      </c>
      <c r="J375" s="42">
        <f t="shared" si="5"/>
        <v>1</v>
      </c>
      <c r="L375" s="11" t="s">
        <v>15</v>
      </c>
      <c r="M375" s="44">
        <v>2</v>
      </c>
    </row>
    <row r="376" spans="1:13">
      <c r="A376" s="24"/>
      <c r="B376" s="53" t="s">
        <v>838</v>
      </c>
      <c r="C376" s="24" t="s">
        <v>10</v>
      </c>
      <c r="D376" s="3" t="s">
        <v>167</v>
      </c>
      <c r="E376" s="3">
        <v>1</v>
      </c>
      <c r="F376" s="24" t="s">
        <v>354</v>
      </c>
      <c r="G376" s="3">
        <v>1</v>
      </c>
      <c r="H376" s="24"/>
      <c r="I376" s="42">
        <f>VLOOKUP(D376,Sheet2!H:I,2,0)</f>
        <v>1</v>
      </c>
      <c r="J376" s="42">
        <f t="shared" si="5"/>
        <v>1</v>
      </c>
      <c r="L376" s="11" t="s">
        <v>18</v>
      </c>
      <c r="M376" s="44">
        <v>2</v>
      </c>
    </row>
    <row r="377" spans="1:13">
      <c r="A377" s="24"/>
      <c r="B377" s="76" t="s">
        <v>829</v>
      </c>
      <c r="C377" s="24" t="s">
        <v>10</v>
      </c>
      <c r="D377" s="3" t="s">
        <v>161</v>
      </c>
      <c r="E377" s="3">
        <v>1</v>
      </c>
      <c r="F377" s="24" t="s">
        <v>354</v>
      </c>
      <c r="G377" s="3">
        <v>1</v>
      </c>
      <c r="H377" s="24"/>
      <c r="I377" s="42" t="str">
        <f>VLOOKUP(D377,Sheet2!H:I,2,0)</f>
        <v>一级</v>
      </c>
      <c r="J377" s="42">
        <f t="shared" si="5"/>
        <v>1</v>
      </c>
      <c r="L377" s="11" t="s">
        <v>21</v>
      </c>
      <c r="M377" s="44">
        <v>2</v>
      </c>
    </row>
    <row r="378" spans="1:13">
      <c r="A378" s="24"/>
      <c r="B378" s="53" t="s">
        <v>839</v>
      </c>
      <c r="C378" s="24" t="s">
        <v>10</v>
      </c>
      <c r="D378" s="3" t="s">
        <v>840</v>
      </c>
      <c r="E378" s="3">
        <v>2</v>
      </c>
      <c r="F378" s="24" t="s">
        <v>354</v>
      </c>
      <c r="G378" s="3">
        <v>2</v>
      </c>
      <c r="H378" s="24"/>
      <c r="I378" s="42">
        <f>VLOOKUP(D378,Sheet2!H:I,2,0)</f>
        <v>2</v>
      </c>
      <c r="J378" s="42">
        <f t="shared" si="5"/>
        <v>2</v>
      </c>
      <c r="L378" s="11" t="s">
        <v>24</v>
      </c>
      <c r="M378" s="44">
        <v>2</v>
      </c>
    </row>
    <row r="379" spans="1:13">
      <c r="A379" s="24"/>
      <c r="B379" s="53" t="s">
        <v>841</v>
      </c>
      <c r="C379" s="24" t="s">
        <v>10</v>
      </c>
      <c r="D379" s="3" t="s">
        <v>842</v>
      </c>
      <c r="E379" s="3">
        <v>2</v>
      </c>
      <c r="F379" s="24" t="s">
        <v>354</v>
      </c>
      <c r="G379" s="3">
        <v>2</v>
      </c>
      <c r="H379" s="24"/>
      <c r="I379" s="42">
        <f>VLOOKUP(D379,Sheet2!H:I,2,0)</f>
        <v>2</v>
      </c>
      <c r="J379" s="42">
        <f t="shared" si="5"/>
        <v>2</v>
      </c>
      <c r="L379" s="11" t="s">
        <v>27</v>
      </c>
      <c r="M379" s="44">
        <v>2</v>
      </c>
    </row>
    <row r="380" spans="1:13">
      <c r="A380" s="24"/>
      <c r="B380" s="76" t="s">
        <v>843</v>
      </c>
      <c r="C380" s="24" t="s">
        <v>10</v>
      </c>
      <c r="D380" s="3" t="s">
        <v>366</v>
      </c>
      <c r="E380" s="3">
        <v>1</v>
      </c>
      <c r="F380" s="24" t="s">
        <v>303</v>
      </c>
      <c r="G380" s="3">
        <v>1</v>
      </c>
      <c r="H380" s="24"/>
      <c r="I380" s="42" t="str">
        <f>VLOOKUP(D380,Sheet2!H:I,2,0)</f>
        <v>一级</v>
      </c>
      <c r="J380" s="42">
        <f t="shared" si="5"/>
        <v>1</v>
      </c>
      <c r="L380" s="11" t="s">
        <v>30</v>
      </c>
      <c r="M380" s="44">
        <v>1</v>
      </c>
    </row>
    <row r="381" spans="1:13">
      <c r="A381" s="24"/>
      <c r="B381" s="76" t="s">
        <v>844</v>
      </c>
      <c r="C381" s="24" t="s">
        <v>10</v>
      </c>
      <c r="D381" s="3" t="s">
        <v>845</v>
      </c>
      <c r="E381" s="3">
        <v>1</v>
      </c>
      <c r="F381" s="24" t="s">
        <v>303</v>
      </c>
      <c r="G381" s="3">
        <v>1</v>
      </c>
      <c r="H381" s="24"/>
      <c r="I381" s="42">
        <f>VLOOKUP(D381,Sheet2!H:I,2,0)</f>
        <v>1</v>
      </c>
      <c r="J381" s="42">
        <f t="shared" si="5"/>
        <v>1</v>
      </c>
      <c r="L381" s="11" t="s">
        <v>33</v>
      </c>
      <c r="M381" s="44">
        <v>1</v>
      </c>
    </row>
    <row r="382" spans="1:13">
      <c r="A382" s="24"/>
      <c r="B382" s="74" t="s">
        <v>846</v>
      </c>
      <c r="C382" s="24" t="s">
        <v>10</v>
      </c>
      <c r="D382" s="24" t="s">
        <v>710</v>
      </c>
      <c r="E382" s="3">
        <v>1</v>
      </c>
      <c r="F382" s="24" t="s">
        <v>833</v>
      </c>
      <c r="G382" s="3">
        <v>1</v>
      </c>
      <c r="H382" s="24"/>
      <c r="I382" s="42">
        <f>VLOOKUP(D382,Sheet2!H:I,2,0)</f>
        <v>1</v>
      </c>
      <c r="J382" s="42">
        <f t="shared" si="5"/>
        <v>1</v>
      </c>
      <c r="L382" s="11" t="s">
        <v>36</v>
      </c>
      <c r="M382" s="44">
        <v>1</v>
      </c>
    </row>
    <row r="383" spans="1:13">
      <c r="A383" s="24"/>
      <c r="B383" s="74" t="s">
        <v>847</v>
      </c>
      <c r="C383" s="24" t="s">
        <v>10</v>
      </c>
      <c r="D383" s="24" t="s">
        <v>781</v>
      </c>
      <c r="E383" s="24" t="s">
        <v>300</v>
      </c>
      <c r="F383" s="36" t="s">
        <v>813</v>
      </c>
      <c r="G383" s="24" t="s">
        <v>793</v>
      </c>
      <c r="H383" s="24"/>
      <c r="I383" s="42" t="str">
        <f>VLOOKUP(D383,Sheet2!H:I,2,0)</f>
        <v>不适用能效</v>
      </c>
      <c r="J383" s="42" t="str">
        <f t="shared" si="5"/>
        <v>不适用能效</v>
      </c>
      <c r="L383" s="11" t="s">
        <v>39</v>
      </c>
      <c r="M383" s="44">
        <v>1</v>
      </c>
    </row>
    <row r="384" spans="1:13">
      <c r="A384" s="24"/>
      <c r="B384" s="3" t="s">
        <v>848</v>
      </c>
      <c r="C384" s="24" t="s">
        <v>10</v>
      </c>
      <c r="D384" s="14" t="s">
        <v>849</v>
      </c>
      <c r="E384" s="3">
        <v>1</v>
      </c>
      <c r="F384" s="24" t="s">
        <v>303</v>
      </c>
      <c r="G384" s="3">
        <v>1</v>
      </c>
      <c r="H384" s="24"/>
      <c r="I384" s="42">
        <f>VLOOKUP(D384,Sheet2!H:I,2,0)</f>
        <v>1</v>
      </c>
      <c r="J384" s="42">
        <f t="shared" si="5"/>
        <v>1</v>
      </c>
      <c r="L384" s="11" t="s">
        <v>42</v>
      </c>
      <c r="M384" s="44">
        <v>2</v>
      </c>
    </row>
    <row r="385" spans="1:12">
      <c r="A385" s="24"/>
      <c r="B385" s="3" t="s">
        <v>850</v>
      </c>
      <c r="C385" s="24" t="s">
        <v>10</v>
      </c>
      <c r="D385" s="14" t="s">
        <v>851</v>
      </c>
      <c r="E385" s="3">
        <v>1</v>
      </c>
      <c r="F385" s="24" t="s">
        <v>303</v>
      </c>
      <c r="G385" s="3">
        <v>1</v>
      </c>
      <c r="H385" s="24"/>
      <c r="I385" s="42">
        <f>VLOOKUP(D385,Sheet2!H:I,2,0)</f>
        <v>1</v>
      </c>
      <c r="J385" s="42">
        <f t="shared" si="5"/>
        <v>1</v>
      </c>
      <c r="L385" s="11" t="s">
        <v>852</v>
      </c>
    </row>
    <row r="386" spans="1:12">
      <c r="A386" s="24"/>
      <c r="B386" s="75" t="s">
        <v>853</v>
      </c>
      <c r="C386" s="24" t="s">
        <v>854</v>
      </c>
      <c r="D386" s="33" t="s">
        <v>760</v>
      </c>
      <c r="E386" s="24" t="s">
        <v>300</v>
      </c>
      <c r="F386" s="24" t="s">
        <v>855</v>
      </c>
      <c r="G386" s="24" t="s">
        <v>793</v>
      </c>
      <c r="H386" s="24"/>
      <c r="I386" s="42" t="str">
        <f>VLOOKUP(D386,Sheet2!H:I,2,0)</f>
        <v>未查到此型号</v>
      </c>
      <c r="J386" s="42" t="str">
        <f t="shared" si="5"/>
        <v>不适用能效</v>
      </c>
      <c r="L386" s="11" t="s">
        <v>856</v>
      </c>
    </row>
    <row r="387" spans="1:13">
      <c r="A387" s="24"/>
      <c r="B387" s="75" t="s">
        <v>857</v>
      </c>
      <c r="C387" s="24" t="s">
        <v>854</v>
      </c>
      <c r="D387" s="33" t="s">
        <v>763</v>
      </c>
      <c r="E387" s="24" t="s">
        <v>300</v>
      </c>
      <c r="F387" s="24" t="s">
        <v>855</v>
      </c>
      <c r="G387" s="24" t="s">
        <v>793</v>
      </c>
      <c r="H387" s="24"/>
      <c r="I387" s="42" t="str">
        <f>VLOOKUP(D387,Sheet2!H:I,2,0)</f>
        <v>未查到此型号</v>
      </c>
      <c r="J387" s="42" t="str">
        <f t="shared" ref="J387:J450" si="6">VLOOKUP(D387,L:M,2,0)</f>
        <v>不适用能效</v>
      </c>
      <c r="L387" s="11" t="s">
        <v>45</v>
      </c>
      <c r="M387" s="44">
        <v>2</v>
      </c>
    </row>
    <row r="388" spans="1:13">
      <c r="A388" s="24"/>
      <c r="B388" s="75" t="s">
        <v>858</v>
      </c>
      <c r="C388" s="24" t="s">
        <v>10</v>
      </c>
      <c r="D388" s="8" t="s">
        <v>859</v>
      </c>
      <c r="E388" s="3">
        <v>1</v>
      </c>
      <c r="F388" s="24" t="s">
        <v>354</v>
      </c>
      <c r="G388" s="3">
        <v>1</v>
      </c>
      <c r="H388" s="24"/>
      <c r="I388" s="42" t="e">
        <f>VLOOKUP(D388,Sheet2!H:I,2,0)</f>
        <v>#N/A</v>
      </c>
      <c r="J388" s="42">
        <f t="shared" si="6"/>
        <v>1</v>
      </c>
      <c r="L388" s="11" t="s">
        <v>48</v>
      </c>
      <c r="M388" s="44">
        <v>2</v>
      </c>
    </row>
    <row r="389" spans="1:13">
      <c r="A389" s="24"/>
      <c r="B389" s="75" t="s">
        <v>860</v>
      </c>
      <c r="C389" s="24" t="s">
        <v>10</v>
      </c>
      <c r="D389" s="8" t="s">
        <v>861</v>
      </c>
      <c r="E389" s="3">
        <v>1</v>
      </c>
      <c r="F389" s="24" t="s">
        <v>354</v>
      </c>
      <c r="G389" s="3">
        <v>1</v>
      </c>
      <c r="H389" s="24"/>
      <c r="I389" s="42" t="e">
        <f>VLOOKUP(D389,Sheet2!H:I,2,0)</f>
        <v>#N/A</v>
      </c>
      <c r="J389" s="42">
        <f t="shared" si="6"/>
        <v>1</v>
      </c>
      <c r="L389" s="11" t="s">
        <v>51</v>
      </c>
      <c r="M389" s="44">
        <v>2</v>
      </c>
    </row>
    <row r="390" spans="1:13">
      <c r="A390" s="24"/>
      <c r="B390" s="75" t="s">
        <v>862</v>
      </c>
      <c r="C390" s="24" t="s">
        <v>10</v>
      </c>
      <c r="D390" s="14" t="s">
        <v>437</v>
      </c>
      <c r="E390" s="24">
        <v>2</v>
      </c>
      <c r="F390" s="24" t="s">
        <v>354</v>
      </c>
      <c r="G390" s="3">
        <v>2</v>
      </c>
      <c r="H390" s="24"/>
      <c r="I390" s="42" t="e">
        <f>VLOOKUP(D390,Sheet2!H:I,2,0)</f>
        <v>#N/A</v>
      </c>
      <c r="J390" s="42">
        <f t="shared" si="6"/>
        <v>2</v>
      </c>
      <c r="L390" s="11" t="s">
        <v>54</v>
      </c>
      <c r="M390" s="44">
        <v>2</v>
      </c>
    </row>
    <row r="391" spans="1:13">
      <c r="A391" s="24"/>
      <c r="B391" s="75" t="s">
        <v>863</v>
      </c>
      <c r="C391" s="24" t="s">
        <v>10</v>
      </c>
      <c r="D391" s="8" t="s">
        <v>370</v>
      </c>
      <c r="E391" s="3">
        <v>1</v>
      </c>
      <c r="F391" s="24" t="s">
        <v>303</v>
      </c>
      <c r="G391" s="3">
        <v>1</v>
      </c>
      <c r="H391" s="24"/>
      <c r="I391" s="42" t="e">
        <f>VLOOKUP(D391,Sheet2!H:I,2,0)</f>
        <v>#N/A</v>
      </c>
      <c r="J391" s="42">
        <f t="shared" si="6"/>
        <v>1</v>
      </c>
      <c r="L391" s="11" t="s">
        <v>57</v>
      </c>
      <c r="M391" s="44">
        <v>2</v>
      </c>
    </row>
    <row r="392" spans="1:13">
      <c r="A392" s="24"/>
      <c r="B392" s="75" t="s">
        <v>864</v>
      </c>
      <c r="C392" s="24" t="s">
        <v>10</v>
      </c>
      <c r="D392" s="8" t="s">
        <v>404</v>
      </c>
      <c r="E392" s="3">
        <v>1</v>
      </c>
      <c r="F392" s="24" t="s">
        <v>303</v>
      </c>
      <c r="G392" s="3">
        <v>1</v>
      </c>
      <c r="H392" s="24"/>
      <c r="I392" s="42" t="e">
        <f>VLOOKUP(D392,Sheet2!H:I,2,0)</f>
        <v>#N/A</v>
      </c>
      <c r="J392" s="42">
        <f t="shared" si="6"/>
        <v>1</v>
      </c>
      <c r="L392" s="47" t="s">
        <v>60</v>
      </c>
      <c r="M392" s="44">
        <v>1</v>
      </c>
    </row>
    <row r="393" spans="1:13">
      <c r="A393" s="24"/>
      <c r="B393" s="75" t="s">
        <v>865</v>
      </c>
      <c r="C393" s="24" t="s">
        <v>10</v>
      </c>
      <c r="D393" s="8" t="s">
        <v>407</v>
      </c>
      <c r="E393" s="3">
        <v>1</v>
      </c>
      <c r="F393" s="24" t="s">
        <v>303</v>
      </c>
      <c r="G393" s="3">
        <v>1</v>
      </c>
      <c r="H393" s="24"/>
      <c r="I393" s="42" t="e">
        <f>VLOOKUP(D393,Sheet2!H:I,2,0)</f>
        <v>#N/A</v>
      </c>
      <c r="J393" s="42">
        <f t="shared" si="6"/>
        <v>1</v>
      </c>
      <c r="L393" s="47" t="s">
        <v>63</v>
      </c>
      <c r="M393" s="44">
        <v>1</v>
      </c>
    </row>
    <row r="394" spans="1:13">
      <c r="A394" s="24"/>
      <c r="B394" s="75" t="s">
        <v>866</v>
      </c>
      <c r="C394" s="24" t="s">
        <v>10</v>
      </c>
      <c r="D394" s="24" t="s">
        <v>439</v>
      </c>
      <c r="E394" s="3">
        <v>2</v>
      </c>
      <c r="F394" s="24" t="s">
        <v>354</v>
      </c>
      <c r="G394" s="3">
        <v>2</v>
      </c>
      <c r="H394" s="24"/>
      <c r="I394" s="42" t="e">
        <f>VLOOKUP(D394,Sheet2!H:I,2,0)</f>
        <v>#N/A</v>
      </c>
      <c r="J394" s="42">
        <f t="shared" si="6"/>
        <v>2</v>
      </c>
      <c r="L394" s="11" t="s">
        <v>66</v>
      </c>
      <c r="M394" s="44">
        <v>1</v>
      </c>
    </row>
    <row r="395" spans="1:13">
      <c r="A395" s="24"/>
      <c r="B395" s="74" t="s">
        <v>867</v>
      </c>
      <c r="C395" s="24" t="s">
        <v>10</v>
      </c>
      <c r="D395" s="8" t="s">
        <v>391</v>
      </c>
      <c r="E395" s="24">
        <v>1</v>
      </c>
      <c r="F395" s="24" t="s">
        <v>303</v>
      </c>
      <c r="G395" s="3">
        <v>1</v>
      </c>
      <c r="H395" s="24"/>
      <c r="I395" s="42" t="e">
        <f>VLOOKUP(D395,Sheet2!H:I,2,0)</f>
        <v>#N/A</v>
      </c>
      <c r="J395" s="42">
        <f t="shared" si="6"/>
        <v>1</v>
      </c>
      <c r="L395" s="11" t="s">
        <v>69</v>
      </c>
      <c r="M395" s="44">
        <v>1</v>
      </c>
    </row>
    <row r="396" spans="1:13">
      <c r="A396" s="24"/>
      <c r="B396" s="45" t="s">
        <v>868</v>
      </c>
      <c r="C396" s="24" t="s">
        <v>10</v>
      </c>
      <c r="D396" s="24" t="s">
        <v>723</v>
      </c>
      <c r="E396" s="24">
        <v>1</v>
      </c>
      <c r="F396" s="24" t="s">
        <v>727</v>
      </c>
      <c r="G396" s="3">
        <v>1</v>
      </c>
      <c r="H396" s="24"/>
      <c r="I396" s="42" t="e">
        <f>VLOOKUP(D396,Sheet2!H:I,2,0)</f>
        <v>#N/A</v>
      </c>
      <c r="J396" s="42">
        <f t="shared" si="6"/>
        <v>1</v>
      </c>
      <c r="L396" s="11" t="s">
        <v>72</v>
      </c>
      <c r="M396" s="44">
        <v>1</v>
      </c>
    </row>
    <row r="397" spans="1:13">
      <c r="A397" s="24"/>
      <c r="B397" s="53" t="s">
        <v>830</v>
      </c>
      <c r="C397" s="24" t="s">
        <v>10</v>
      </c>
      <c r="D397" s="36" t="s">
        <v>831</v>
      </c>
      <c r="E397" s="36">
        <v>1</v>
      </c>
      <c r="F397" s="24" t="s">
        <v>727</v>
      </c>
      <c r="G397" s="3">
        <v>1</v>
      </c>
      <c r="H397" s="24">
        <v>6998</v>
      </c>
      <c r="I397" s="42" t="str">
        <f>VLOOKUP(D397,Sheet2!H:I,2,0)</f>
        <v>一级</v>
      </c>
      <c r="J397" s="42">
        <f t="shared" si="6"/>
        <v>1</v>
      </c>
      <c r="L397" s="11" t="s">
        <v>75</v>
      </c>
      <c r="M397" s="44">
        <v>1</v>
      </c>
    </row>
    <row r="398" spans="1:13">
      <c r="A398" s="24"/>
      <c r="B398" s="45" t="s">
        <v>869</v>
      </c>
      <c r="C398" s="24" t="s">
        <v>10</v>
      </c>
      <c r="D398" s="45" t="s">
        <v>870</v>
      </c>
      <c r="E398" s="24">
        <v>1</v>
      </c>
      <c r="F398" s="24" t="s">
        <v>727</v>
      </c>
      <c r="G398" s="24">
        <v>1</v>
      </c>
      <c r="H398" s="24"/>
      <c r="I398" s="42" t="e">
        <f>VLOOKUP(D398,Sheet2!H:I,2,0)</f>
        <v>#N/A</v>
      </c>
      <c r="J398" s="42">
        <f t="shared" si="6"/>
        <v>1</v>
      </c>
      <c r="L398" s="11" t="s">
        <v>78</v>
      </c>
      <c r="M398" s="44">
        <v>1</v>
      </c>
    </row>
    <row r="399" spans="1:13">
      <c r="A399" s="24"/>
      <c r="B399" s="45" t="s">
        <v>871</v>
      </c>
      <c r="C399" s="24" t="s">
        <v>10</v>
      </c>
      <c r="D399" s="45" t="s">
        <v>872</v>
      </c>
      <c r="E399" s="24" t="s">
        <v>300</v>
      </c>
      <c r="F399" s="36" t="s">
        <v>813</v>
      </c>
      <c r="G399" s="24" t="s">
        <v>793</v>
      </c>
      <c r="H399" s="24"/>
      <c r="I399" s="42" t="e">
        <f>VLOOKUP(D399,Sheet2!H:I,2,0)</f>
        <v>#N/A</v>
      </c>
      <c r="J399" s="42" t="str">
        <f t="shared" si="6"/>
        <v>不适用能效</v>
      </c>
      <c r="L399" s="11" t="s">
        <v>81</v>
      </c>
      <c r="M399" s="44">
        <v>1</v>
      </c>
    </row>
    <row r="400" spans="1:13">
      <c r="A400" s="24"/>
      <c r="B400" s="45" t="s">
        <v>873</v>
      </c>
      <c r="C400" s="24" t="s">
        <v>10</v>
      </c>
      <c r="D400" s="45" t="s">
        <v>874</v>
      </c>
      <c r="E400" s="24">
        <v>1</v>
      </c>
      <c r="F400" s="36" t="s">
        <v>759</v>
      </c>
      <c r="G400" s="24">
        <v>1</v>
      </c>
      <c r="H400" s="24"/>
      <c r="I400" s="42" t="e">
        <f>VLOOKUP(D400,Sheet2!H:I,2,0)</f>
        <v>#N/A</v>
      </c>
      <c r="J400" s="42">
        <f t="shared" si="6"/>
        <v>1</v>
      </c>
      <c r="L400" s="47" t="s">
        <v>84</v>
      </c>
      <c r="M400" s="44">
        <v>1</v>
      </c>
    </row>
    <row r="401" spans="1:13">
      <c r="A401" s="24"/>
      <c r="B401" s="74" t="s">
        <v>875</v>
      </c>
      <c r="C401" s="24" t="s">
        <v>306</v>
      </c>
      <c r="D401" s="24" t="s">
        <v>876</v>
      </c>
      <c r="E401" s="24">
        <v>1</v>
      </c>
      <c r="F401" s="24" t="s">
        <v>877</v>
      </c>
      <c r="G401" s="24">
        <v>1</v>
      </c>
      <c r="H401" s="24">
        <v>9990</v>
      </c>
      <c r="I401" s="42">
        <f>VLOOKUP(D401,Sheet2!H:I,2,0)</f>
        <v>1</v>
      </c>
      <c r="J401" s="42">
        <f t="shared" si="6"/>
        <v>1</v>
      </c>
      <c r="L401" s="47" t="s">
        <v>87</v>
      </c>
      <c r="M401" s="44">
        <v>1</v>
      </c>
    </row>
    <row r="402" spans="1:13">
      <c r="A402" s="24"/>
      <c r="B402" s="45" t="s">
        <v>878</v>
      </c>
      <c r="C402" s="24" t="s">
        <v>10</v>
      </c>
      <c r="D402" s="45" t="s">
        <v>879</v>
      </c>
      <c r="E402" s="24" t="s">
        <v>300</v>
      </c>
      <c r="F402" s="36" t="s">
        <v>813</v>
      </c>
      <c r="G402" s="24" t="s">
        <v>793</v>
      </c>
      <c r="H402" s="24"/>
      <c r="I402" s="42" t="str">
        <f>VLOOKUP(D402,Sheet2!H:I,2,0)</f>
        <v>不适用能效</v>
      </c>
      <c r="J402" s="42" t="str">
        <f t="shared" si="6"/>
        <v>不适用能效</v>
      </c>
      <c r="L402" s="47" t="s">
        <v>90</v>
      </c>
      <c r="M402" s="44">
        <v>1</v>
      </c>
    </row>
    <row r="403" spans="1:13">
      <c r="A403" s="24"/>
      <c r="B403" s="45" t="s">
        <v>880</v>
      </c>
      <c r="C403" s="24" t="s">
        <v>10</v>
      </c>
      <c r="D403" s="24" t="s">
        <v>881</v>
      </c>
      <c r="E403" s="24">
        <v>1</v>
      </c>
      <c r="F403" s="24" t="s">
        <v>354</v>
      </c>
      <c r="G403" s="24">
        <v>1</v>
      </c>
      <c r="H403" s="24"/>
      <c r="I403" s="42">
        <f>VLOOKUP(D403,Sheet2!H:I,2,0)</f>
        <v>1</v>
      </c>
      <c r="J403" s="42">
        <f t="shared" si="6"/>
        <v>1</v>
      </c>
      <c r="L403" s="47" t="s">
        <v>93</v>
      </c>
      <c r="M403" s="44">
        <v>1</v>
      </c>
    </row>
    <row r="404" spans="1:13">
      <c r="A404" s="24"/>
      <c r="B404" s="45" t="s">
        <v>882</v>
      </c>
      <c r="C404" s="2" t="s">
        <v>10</v>
      </c>
      <c r="D404" s="24" t="s">
        <v>359</v>
      </c>
      <c r="E404" s="24">
        <v>2</v>
      </c>
      <c r="F404" s="24" t="s">
        <v>303</v>
      </c>
      <c r="G404" s="24">
        <v>2</v>
      </c>
      <c r="H404" s="24"/>
      <c r="I404" s="42">
        <f>VLOOKUP(D404,Sheet2!H:I,2,0)</f>
        <v>2</v>
      </c>
      <c r="J404" s="42">
        <f t="shared" si="6"/>
        <v>2</v>
      </c>
      <c r="L404" s="47" t="s">
        <v>96</v>
      </c>
      <c r="M404" s="44">
        <v>1</v>
      </c>
    </row>
    <row r="405" spans="1:13">
      <c r="A405" s="24"/>
      <c r="B405" s="45" t="s">
        <v>883</v>
      </c>
      <c r="C405" s="2" t="s">
        <v>10</v>
      </c>
      <c r="D405" s="45" t="s">
        <v>884</v>
      </c>
      <c r="E405" s="24">
        <v>1</v>
      </c>
      <c r="F405" s="24" t="s">
        <v>727</v>
      </c>
      <c r="G405" s="24">
        <v>1</v>
      </c>
      <c r="H405" s="24"/>
      <c r="I405" s="42" t="str">
        <f>VLOOKUP(D405,Sheet2!H:I,2,0)</f>
        <v>一级</v>
      </c>
      <c r="J405" s="42">
        <f t="shared" si="6"/>
        <v>1</v>
      </c>
      <c r="L405" s="47" t="s">
        <v>99</v>
      </c>
      <c r="M405" s="44">
        <v>1</v>
      </c>
    </row>
    <row r="406" spans="2:13">
      <c r="B406" s="37" t="s">
        <v>878</v>
      </c>
      <c r="C406" s="24" t="s">
        <v>10</v>
      </c>
      <c r="D406" s="37" t="s">
        <v>879</v>
      </c>
      <c r="E406" s="24" t="s">
        <v>300</v>
      </c>
      <c r="F406" s="36" t="s">
        <v>813</v>
      </c>
      <c r="G406" s="42">
        <v>2</v>
      </c>
      <c r="J406" s="42" t="str">
        <f t="shared" si="6"/>
        <v>不适用能效</v>
      </c>
      <c r="L406" s="11" t="s">
        <v>102</v>
      </c>
      <c r="M406" s="44">
        <v>1</v>
      </c>
    </row>
    <row r="407" spans="2:13">
      <c r="B407" s="45" t="s">
        <v>880</v>
      </c>
      <c r="C407" s="24" t="s">
        <v>10</v>
      </c>
      <c r="D407" s="24" t="s">
        <v>881</v>
      </c>
      <c r="E407" s="24">
        <v>1</v>
      </c>
      <c r="F407" s="13" t="s">
        <v>354</v>
      </c>
      <c r="G407" s="42">
        <f t="shared" ref="G407:G438" si="7">E407</f>
        <v>1</v>
      </c>
      <c r="J407" s="42">
        <f t="shared" si="6"/>
        <v>1</v>
      </c>
      <c r="L407" s="11" t="s">
        <v>105</v>
      </c>
      <c r="M407" s="44">
        <v>1</v>
      </c>
    </row>
    <row r="408" spans="2:13">
      <c r="B408" s="45" t="s">
        <v>882</v>
      </c>
      <c r="C408" s="2" t="s">
        <v>10</v>
      </c>
      <c r="D408" s="24" t="s">
        <v>359</v>
      </c>
      <c r="E408" s="24">
        <v>2</v>
      </c>
      <c r="F408" s="24" t="s">
        <v>303</v>
      </c>
      <c r="G408" s="42">
        <f t="shared" si="7"/>
        <v>2</v>
      </c>
      <c r="J408" s="42">
        <f t="shared" si="6"/>
        <v>2</v>
      </c>
      <c r="L408" s="11" t="s">
        <v>108</v>
      </c>
      <c r="M408" s="44">
        <v>1</v>
      </c>
    </row>
    <row r="409" spans="2:13">
      <c r="B409" s="77" t="s">
        <v>885</v>
      </c>
      <c r="C409" s="2" t="s">
        <v>10</v>
      </c>
      <c r="D409" s="38" t="s">
        <v>745</v>
      </c>
      <c r="E409" s="40">
        <v>1</v>
      </c>
      <c r="F409" s="24" t="str">
        <f>VLOOKUP(D409,Sheet2!B$1:E$65536,4,0)</f>
        <v>家用灶具</v>
      </c>
      <c r="G409" s="42">
        <f t="shared" si="7"/>
        <v>1</v>
      </c>
      <c r="J409" s="42">
        <f t="shared" si="6"/>
        <v>1</v>
      </c>
      <c r="L409" s="11" t="s">
        <v>111</v>
      </c>
      <c r="M409" s="44">
        <v>1</v>
      </c>
    </row>
    <row r="410" spans="2:13">
      <c r="B410" s="77" t="s">
        <v>886</v>
      </c>
      <c r="C410" s="2" t="s">
        <v>10</v>
      </c>
      <c r="D410" s="38" t="s">
        <v>887</v>
      </c>
      <c r="E410" s="40">
        <v>1</v>
      </c>
      <c r="F410" s="24" t="str">
        <f>VLOOKUP(D410,Sheet2!B$1:E$65536,4,0)</f>
        <v>吸油烟机</v>
      </c>
      <c r="G410" s="42">
        <f t="shared" si="7"/>
        <v>1</v>
      </c>
      <c r="J410" s="42">
        <f t="shared" si="6"/>
        <v>1</v>
      </c>
      <c r="L410" s="47" t="s">
        <v>888</v>
      </c>
      <c r="M410" s="44" t="s">
        <v>419</v>
      </c>
    </row>
    <row r="411" spans="2:13">
      <c r="B411" s="77" t="s">
        <v>889</v>
      </c>
      <c r="C411" s="2" t="s">
        <v>10</v>
      </c>
      <c r="D411" s="9" t="s">
        <v>890</v>
      </c>
      <c r="E411" s="40">
        <v>1</v>
      </c>
      <c r="F411" s="24" t="str">
        <f>VLOOKUP(D411,Sheet2!B$1:E$65536,4,0)</f>
        <v>吸油烟机</v>
      </c>
      <c r="G411" s="42">
        <f t="shared" si="7"/>
        <v>1</v>
      </c>
      <c r="J411" s="42">
        <f t="shared" si="6"/>
        <v>1</v>
      </c>
      <c r="L411" s="47" t="s">
        <v>891</v>
      </c>
      <c r="M411" s="44" t="s">
        <v>419</v>
      </c>
    </row>
    <row r="412" spans="2:13">
      <c r="B412" s="77" t="s">
        <v>892</v>
      </c>
      <c r="C412" s="2" t="s">
        <v>10</v>
      </c>
      <c r="D412" s="9" t="s">
        <v>893</v>
      </c>
      <c r="E412" s="40">
        <v>1</v>
      </c>
      <c r="F412" s="24" t="str">
        <f>VLOOKUP(D412,Sheet2!B$1:E$65536,4,0)</f>
        <v>吸油烟机</v>
      </c>
      <c r="G412" s="42">
        <f t="shared" si="7"/>
        <v>1</v>
      </c>
      <c r="J412" s="42">
        <f t="shared" si="6"/>
        <v>1</v>
      </c>
      <c r="L412" s="47" t="s">
        <v>849</v>
      </c>
      <c r="M412" s="44">
        <v>1</v>
      </c>
    </row>
    <row r="413" spans="2:13">
      <c r="B413" s="40" t="s">
        <v>746</v>
      </c>
      <c r="C413" s="2" t="s">
        <v>10</v>
      </c>
      <c r="D413" s="9" t="s">
        <v>706</v>
      </c>
      <c r="E413" s="40">
        <v>1</v>
      </c>
      <c r="F413" s="24" t="str">
        <f>VLOOKUP(D413,Sheet2!B$1:E$65536,4,0)</f>
        <v>吸油烟机</v>
      </c>
      <c r="G413" s="42">
        <f t="shared" si="7"/>
        <v>1</v>
      </c>
      <c r="J413" s="42">
        <f t="shared" si="6"/>
        <v>1</v>
      </c>
      <c r="L413" s="47" t="s">
        <v>851</v>
      </c>
      <c r="M413" s="44">
        <v>1</v>
      </c>
    </row>
    <row r="414" spans="2:13">
      <c r="B414" s="77" t="s">
        <v>743</v>
      </c>
      <c r="C414" s="2" t="s">
        <v>10</v>
      </c>
      <c r="D414" s="9" t="s">
        <v>702</v>
      </c>
      <c r="E414" s="40">
        <v>1</v>
      </c>
      <c r="F414" s="24" t="str">
        <f>VLOOKUP(D414,Sheet2!B$1:E$65536,4,0)</f>
        <v>吸油烟机</v>
      </c>
      <c r="G414" s="42">
        <f t="shared" si="7"/>
        <v>1</v>
      </c>
      <c r="J414" s="42">
        <f t="shared" si="6"/>
        <v>1</v>
      </c>
      <c r="L414" s="47" t="s">
        <v>253</v>
      </c>
      <c r="M414" s="44">
        <v>1</v>
      </c>
    </row>
    <row r="415" spans="2:13">
      <c r="B415" s="77" t="s">
        <v>894</v>
      </c>
      <c r="C415" s="2" t="s">
        <v>10</v>
      </c>
      <c r="D415" s="38" t="s">
        <v>895</v>
      </c>
      <c r="E415" s="40">
        <v>1</v>
      </c>
      <c r="F415" s="24" t="str">
        <f>VLOOKUP(D415,Sheet2!B$1:E$65536,4,0)</f>
        <v>热水器</v>
      </c>
      <c r="G415" s="42">
        <f t="shared" si="7"/>
        <v>1</v>
      </c>
      <c r="J415" s="42">
        <f t="shared" si="6"/>
        <v>1</v>
      </c>
      <c r="L415" s="47" t="s">
        <v>256</v>
      </c>
      <c r="M415" s="44">
        <v>1</v>
      </c>
    </row>
    <row r="416" spans="2:13">
      <c r="B416" s="40" t="s">
        <v>896</v>
      </c>
      <c r="C416" s="2" t="s">
        <v>10</v>
      </c>
      <c r="D416" s="38" t="s">
        <v>897</v>
      </c>
      <c r="E416" s="40">
        <v>2</v>
      </c>
      <c r="F416" s="24" t="str">
        <f>VLOOKUP(D416,Sheet2!B$1:E$65536,4,0)</f>
        <v>热水器</v>
      </c>
      <c r="G416" s="42">
        <f t="shared" si="7"/>
        <v>2</v>
      </c>
      <c r="J416" s="42">
        <f t="shared" si="6"/>
        <v>2</v>
      </c>
      <c r="L416" s="47" t="s">
        <v>259</v>
      </c>
      <c r="M416" s="44">
        <v>1</v>
      </c>
    </row>
    <row r="417" spans="2:13">
      <c r="B417" s="77" t="s">
        <v>898</v>
      </c>
      <c r="C417" s="2" t="s">
        <v>10</v>
      </c>
      <c r="D417" s="38" t="s">
        <v>503</v>
      </c>
      <c r="E417" s="40">
        <v>2</v>
      </c>
      <c r="F417" s="24" t="str">
        <f>VLOOKUP(D417,Sheet2!B$1:E$65536,4,0)</f>
        <v>热水器</v>
      </c>
      <c r="G417" s="42">
        <f t="shared" si="7"/>
        <v>2</v>
      </c>
      <c r="J417" s="42">
        <f t="shared" si="6"/>
        <v>2</v>
      </c>
      <c r="L417" s="47" t="s">
        <v>262</v>
      </c>
      <c r="M417" s="44">
        <v>1</v>
      </c>
    </row>
    <row r="418" spans="2:12">
      <c r="B418" s="77" t="s">
        <v>899</v>
      </c>
      <c r="C418" s="2" t="s">
        <v>10</v>
      </c>
      <c r="D418" s="38" t="s">
        <v>900</v>
      </c>
      <c r="E418" s="40">
        <v>2</v>
      </c>
      <c r="F418" s="24" t="str">
        <f>VLOOKUP(D418,Sheet2!B$1:E$65536,4,0)</f>
        <v>热水器</v>
      </c>
      <c r="G418" s="42">
        <f t="shared" si="7"/>
        <v>2</v>
      </c>
      <c r="J418" s="42">
        <f t="shared" si="6"/>
        <v>2</v>
      </c>
      <c r="L418" s="47" t="s">
        <v>794</v>
      </c>
    </row>
    <row r="419" spans="2:12">
      <c r="B419" s="40" t="s">
        <v>901</v>
      </c>
      <c r="C419" s="2" t="s">
        <v>10</v>
      </c>
      <c r="D419" s="38" t="s">
        <v>902</v>
      </c>
      <c r="E419" s="40">
        <v>2</v>
      </c>
      <c r="F419" s="24" t="str">
        <f>VLOOKUP(D419,Sheet2!B$1:E$65536,4,0)</f>
        <v>热水器</v>
      </c>
      <c r="G419" s="42">
        <f t="shared" si="7"/>
        <v>2</v>
      </c>
      <c r="J419" s="42">
        <f t="shared" si="6"/>
        <v>2</v>
      </c>
      <c r="L419" s="47" t="s">
        <v>903</v>
      </c>
    </row>
    <row r="420" spans="2:12">
      <c r="B420" s="40" t="s">
        <v>904</v>
      </c>
      <c r="C420" s="2" t="s">
        <v>10</v>
      </c>
      <c r="D420" s="38" t="s">
        <v>493</v>
      </c>
      <c r="E420" s="40">
        <v>2</v>
      </c>
      <c r="F420" s="24" t="str">
        <f>VLOOKUP(D420,Sheet2!B$1:E$65536,4,0)</f>
        <v>热水器</v>
      </c>
      <c r="G420" s="42">
        <f t="shared" si="7"/>
        <v>2</v>
      </c>
      <c r="J420" s="42">
        <f t="shared" si="6"/>
        <v>2</v>
      </c>
      <c r="L420" s="47" t="s">
        <v>905</v>
      </c>
    </row>
    <row r="421" spans="2:13">
      <c r="B421" s="77" t="s">
        <v>906</v>
      </c>
      <c r="C421" s="2" t="s">
        <v>10</v>
      </c>
      <c r="D421" s="11" t="s">
        <v>907</v>
      </c>
      <c r="E421" s="40">
        <v>2</v>
      </c>
      <c r="F421" s="24" t="str">
        <f>VLOOKUP(D421,Sheet2!B$1:E$65536,4,0)</f>
        <v>热水器</v>
      </c>
      <c r="G421" s="42">
        <f t="shared" si="7"/>
        <v>2</v>
      </c>
      <c r="J421" s="42">
        <f t="shared" si="6"/>
        <v>2</v>
      </c>
      <c r="L421" s="47" t="s">
        <v>265</v>
      </c>
      <c r="M421" s="44">
        <v>1</v>
      </c>
    </row>
    <row r="422" spans="2:13">
      <c r="B422" s="77" t="s">
        <v>908</v>
      </c>
      <c r="C422" s="2" t="s">
        <v>10</v>
      </c>
      <c r="D422" s="11" t="s">
        <v>909</v>
      </c>
      <c r="E422" s="40">
        <v>2</v>
      </c>
      <c r="F422" s="24" t="str">
        <f>VLOOKUP(D422,Sheet2!B$1:E$65536,4,0)</f>
        <v>热水器</v>
      </c>
      <c r="G422" s="42">
        <f t="shared" si="7"/>
        <v>2</v>
      </c>
      <c r="J422" s="42">
        <f t="shared" si="6"/>
        <v>2</v>
      </c>
      <c r="L422" s="47" t="s">
        <v>268</v>
      </c>
      <c r="M422" s="44">
        <v>1</v>
      </c>
    </row>
    <row r="423" spans="2:13">
      <c r="B423" s="78" t="s">
        <v>910</v>
      </c>
      <c r="C423" s="2" t="s">
        <v>10</v>
      </c>
      <c r="D423" s="12" t="s">
        <v>911</v>
      </c>
      <c r="E423" s="40">
        <v>1</v>
      </c>
      <c r="F423" s="24" t="str">
        <f>VLOOKUP(D423,Sheet2!B$1:E$65536,4,0)</f>
        <v>热水器</v>
      </c>
      <c r="G423" s="42">
        <f t="shared" si="7"/>
        <v>1</v>
      </c>
      <c r="J423" s="42">
        <f t="shared" si="6"/>
        <v>1</v>
      </c>
      <c r="L423" s="47" t="s">
        <v>286</v>
      </c>
      <c r="M423" s="44">
        <v>1</v>
      </c>
    </row>
    <row r="424" spans="2:13">
      <c r="B424" s="77" t="s">
        <v>912</v>
      </c>
      <c r="C424" s="2" t="s">
        <v>10</v>
      </c>
      <c r="D424" s="9" t="s">
        <v>913</v>
      </c>
      <c r="E424" s="40">
        <v>2</v>
      </c>
      <c r="F424" s="24" t="str">
        <f>VLOOKUP(D424,Sheet2!B$1:E$65536,4,0)</f>
        <v>热水器</v>
      </c>
      <c r="G424" s="42">
        <f t="shared" si="7"/>
        <v>2</v>
      </c>
      <c r="J424" s="42">
        <f t="shared" si="6"/>
        <v>2</v>
      </c>
      <c r="L424" s="47" t="s">
        <v>292</v>
      </c>
      <c r="M424" s="44">
        <v>1</v>
      </c>
    </row>
    <row r="425" spans="2:13">
      <c r="B425" s="77" t="s">
        <v>914</v>
      </c>
      <c r="C425" s="2" t="s">
        <v>10</v>
      </c>
      <c r="D425" s="12" t="s">
        <v>915</v>
      </c>
      <c r="E425" s="40">
        <v>2</v>
      </c>
      <c r="F425" s="24" t="str">
        <f>VLOOKUP(D425,Sheet2!B$1:E$65536,4,0)</f>
        <v>热水器</v>
      </c>
      <c r="G425" s="42">
        <f t="shared" si="7"/>
        <v>2</v>
      </c>
      <c r="J425" s="42">
        <f t="shared" si="6"/>
        <v>2</v>
      </c>
      <c r="L425" s="47" t="s">
        <v>295</v>
      </c>
      <c r="M425" s="44">
        <v>1</v>
      </c>
    </row>
    <row r="426" spans="2:12">
      <c r="B426" s="77" t="s">
        <v>916</v>
      </c>
      <c r="C426" s="2" t="s">
        <v>10</v>
      </c>
      <c r="D426" s="13" t="s">
        <v>917</v>
      </c>
      <c r="E426" s="40">
        <v>2</v>
      </c>
      <c r="F426" s="24" t="str">
        <f>VLOOKUP(D426,Sheet2!B$1:E$65536,4,0)</f>
        <v>热水器</v>
      </c>
      <c r="G426" s="42">
        <f t="shared" si="7"/>
        <v>2</v>
      </c>
      <c r="J426" s="42">
        <f t="shared" si="6"/>
        <v>2</v>
      </c>
      <c r="L426" s="47" t="s">
        <v>918</v>
      </c>
    </row>
    <row r="427" spans="2:13">
      <c r="B427" s="77" t="s">
        <v>919</v>
      </c>
      <c r="C427" s="2" t="s">
        <v>10</v>
      </c>
      <c r="D427" s="13" t="s">
        <v>920</v>
      </c>
      <c r="E427" s="40">
        <v>2</v>
      </c>
      <c r="F427" s="24" t="str">
        <f>VLOOKUP(D427,Sheet2!B$1:E$65536,4,0)</f>
        <v>热水器</v>
      </c>
      <c r="G427" s="42">
        <f t="shared" si="7"/>
        <v>2</v>
      </c>
      <c r="J427" s="42">
        <f t="shared" si="6"/>
        <v>2</v>
      </c>
      <c r="L427" s="47" t="s">
        <v>271</v>
      </c>
      <c r="M427" s="44">
        <v>1</v>
      </c>
    </row>
    <row r="428" spans="2:13">
      <c r="B428" s="77" t="s">
        <v>899</v>
      </c>
      <c r="C428" s="2" t="s">
        <v>10</v>
      </c>
      <c r="D428" s="13" t="s">
        <v>900</v>
      </c>
      <c r="E428" s="40">
        <v>2</v>
      </c>
      <c r="F428" s="24" t="str">
        <f>VLOOKUP(D428,Sheet2!B$1:E$65536,4,0)</f>
        <v>热水器</v>
      </c>
      <c r="G428" s="42">
        <f t="shared" si="7"/>
        <v>2</v>
      </c>
      <c r="J428" s="42">
        <f t="shared" si="6"/>
        <v>2</v>
      </c>
      <c r="L428" s="47" t="s">
        <v>274</v>
      </c>
      <c r="M428" s="44">
        <v>1</v>
      </c>
    </row>
    <row r="429" spans="2:13">
      <c r="B429" s="77" t="s">
        <v>921</v>
      </c>
      <c r="C429" s="2" t="s">
        <v>10</v>
      </c>
      <c r="D429" s="38" t="s">
        <v>922</v>
      </c>
      <c r="E429" s="40">
        <v>1</v>
      </c>
      <c r="F429" s="24" t="str">
        <f>VLOOKUP(D429,Sheet2!B$1:E$65536,4,0)</f>
        <v>净水器</v>
      </c>
      <c r="G429" s="42">
        <f t="shared" si="7"/>
        <v>1</v>
      </c>
      <c r="J429" s="42">
        <f t="shared" si="6"/>
        <v>1</v>
      </c>
      <c r="L429" s="47" t="s">
        <v>277</v>
      </c>
      <c r="M429" s="44">
        <v>1</v>
      </c>
    </row>
    <row r="430" spans="2:13">
      <c r="B430" s="77" t="s">
        <v>923</v>
      </c>
      <c r="C430" s="2" t="s">
        <v>10</v>
      </c>
      <c r="D430" s="38" t="s">
        <v>924</v>
      </c>
      <c r="E430" s="40">
        <v>1</v>
      </c>
      <c r="F430" s="24" t="str">
        <f>VLOOKUP(D430,Sheet2!B$1:E$65536,4,0)</f>
        <v>净水器</v>
      </c>
      <c r="G430" s="42">
        <f t="shared" si="7"/>
        <v>1</v>
      </c>
      <c r="J430" s="42">
        <f t="shared" si="6"/>
        <v>1</v>
      </c>
      <c r="L430" s="47" t="s">
        <v>280</v>
      </c>
      <c r="M430" s="44">
        <v>1</v>
      </c>
    </row>
    <row r="431" spans="2:13">
      <c r="B431" s="77" t="s">
        <v>925</v>
      </c>
      <c r="C431" s="2" t="s">
        <v>10</v>
      </c>
      <c r="D431" s="38" t="s">
        <v>926</v>
      </c>
      <c r="E431" s="40">
        <v>1</v>
      </c>
      <c r="F431" s="24" t="str">
        <f>VLOOKUP(D431,Sheet2!B$1:E$65536,4,0)</f>
        <v>净水器</v>
      </c>
      <c r="G431" s="42">
        <f t="shared" si="7"/>
        <v>1</v>
      </c>
      <c r="J431" s="42">
        <f t="shared" si="6"/>
        <v>1</v>
      </c>
      <c r="L431" s="47" t="s">
        <v>289</v>
      </c>
      <c r="M431" s="44">
        <v>1</v>
      </c>
    </row>
    <row r="432" spans="2:13">
      <c r="B432" s="77" t="s">
        <v>927</v>
      </c>
      <c r="C432" s="2" t="s">
        <v>10</v>
      </c>
      <c r="D432" s="38" t="s">
        <v>928</v>
      </c>
      <c r="E432" s="40">
        <v>1</v>
      </c>
      <c r="F432" s="24" t="str">
        <f>VLOOKUP(D432,Sheet2!B$1:E$65536,4,0)</f>
        <v>净水器</v>
      </c>
      <c r="G432" s="42">
        <f t="shared" si="7"/>
        <v>1</v>
      </c>
      <c r="J432" s="42">
        <f t="shared" si="6"/>
        <v>1</v>
      </c>
      <c r="L432" s="47" t="s">
        <v>283</v>
      </c>
      <c r="M432" s="44">
        <v>1</v>
      </c>
    </row>
    <row r="433" spans="2:12">
      <c r="B433" s="77" t="s">
        <v>929</v>
      </c>
      <c r="C433" s="2" t="s">
        <v>10</v>
      </c>
      <c r="D433" s="38" t="s">
        <v>930</v>
      </c>
      <c r="E433" s="40" t="s">
        <v>300</v>
      </c>
      <c r="F433" s="24" t="str">
        <f>VLOOKUP(D433,Sheet2!B$1:E$65536,4,0)</f>
        <v>净水器</v>
      </c>
      <c r="G433" s="42">
        <v>2</v>
      </c>
      <c r="J433" s="42" t="str">
        <f t="shared" si="6"/>
        <v>不适用能效</v>
      </c>
      <c r="L433" s="47" t="s">
        <v>931</v>
      </c>
    </row>
    <row r="434" spans="2:12">
      <c r="B434" s="77" t="s">
        <v>932</v>
      </c>
      <c r="C434" s="2" t="s">
        <v>10</v>
      </c>
      <c r="D434" s="38" t="s">
        <v>933</v>
      </c>
      <c r="E434" s="40" t="s">
        <v>300</v>
      </c>
      <c r="F434" s="24" t="str">
        <f>VLOOKUP(D434,Sheet2!B$1:E$65536,4,0)</f>
        <v>净水器</v>
      </c>
      <c r="G434" s="42">
        <v>2</v>
      </c>
      <c r="J434" s="42" t="str">
        <f t="shared" si="6"/>
        <v>不适用能效</v>
      </c>
      <c r="L434" s="47" t="s">
        <v>934</v>
      </c>
    </row>
    <row r="435" spans="2:12">
      <c r="B435" s="77" t="s">
        <v>935</v>
      </c>
      <c r="C435" s="2" t="s">
        <v>10</v>
      </c>
      <c r="D435" s="12" t="s">
        <v>936</v>
      </c>
      <c r="E435" s="40">
        <v>1</v>
      </c>
      <c r="F435" s="24" t="str">
        <f>VLOOKUP(D435,Sheet2!B$1:E$65536,4,0)</f>
        <v>净水器</v>
      </c>
      <c r="G435" s="42">
        <f t="shared" si="7"/>
        <v>1</v>
      </c>
      <c r="J435" s="42">
        <f t="shared" si="6"/>
        <v>1</v>
      </c>
      <c r="L435" s="47" t="s">
        <v>937</v>
      </c>
    </row>
    <row r="436" spans="2:12">
      <c r="B436" s="77" t="s">
        <v>938</v>
      </c>
      <c r="C436" s="2" t="s">
        <v>10</v>
      </c>
      <c r="D436" s="11" t="s">
        <v>939</v>
      </c>
      <c r="E436" s="40">
        <v>1</v>
      </c>
      <c r="F436" s="24" t="str">
        <f>VLOOKUP(D436,Sheet2!B$1:E$65536,4,0)</f>
        <v>净水器</v>
      </c>
      <c r="G436" s="42">
        <f t="shared" si="7"/>
        <v>1</v>
      </c>
      <c r="J436" s="42">
        <f t="shared" si="6"/>
        <v>1</v>
      </c>
      <c r="L436" s="47" t="s">
        <v>940</v>
      </c>
    </row>
    <row r="437" spans="2:12">
      <c r="B437" s="77" t="s">
        <v>941</v>
      </c>
      <c r="C437" s="2" t="s">
        <v>10</v>
      </c>
      <c r="D437" s="12" t="s">
        <v>942</v>
      </c>
      <c r="E437" s="40">
        <v>1</v>
      </c>
      <c r="F437" s="24" t="str">
        <f>VLOOKUP(D437,Sheet2!B$1:E$65536,4,0)</f>
        <v>净水器</v>
      </c>
      <c r="G437" s="42">
        <f t="shared" si="7"/>
        <v>1</v>
      </c>
      <c r="J437" s="42">
        <f t="shared" si="6"/>
        <v>1</v>
      </c>
      <c r="L437" s="47" t="s">
        <v>943</v>
      </c>
    </row>
    <row r="438" spans="2:13">
      <c r="B438" s="77" t="s">
        <v>944</v>
      </c>
      <c r="C438" s="2" t="s">
        <v>10</v>
      </c>
      <c r="D438" s="12" t="s">
        <v>945</v>
      </c>
      <c r="E438" s="40">
        <v>1</v>
      </c>
      <c r="F438" s="24" t="str">
        <f>VLOOKUP(D438,Sheet2!B$1:E$65536,4,0)</f>
        <v>净水器</v>
      </c>
      <c r="G438" s="42">
        <f t="shared" si="7"/>
        <v>1</v>
      </c>
      <c r="J438" s="42">
        <f t="shared" si="6"/>
        <v>1</v>
      </c>
      <c r="L438" s="48" t="s">
        <v>121</v>
      </c>
      <c r="M438" s="13">
        <v>1</v>
      </c>
    </row>
    <row r="439" spans="2:13">
      <c r="B439" s="77" t="s">
        <v>946</v>
      </c>
      <c r="C439" s="2" t="s">
        <v>10</v>
      </c>
      <c r="D439" s="11" t="s">
        <v>947</v>
      </c>
      <c r="E439" s="40">
        <v>1</v>
      </c>
      <c r="F439" s="24" t="str">
        <f>VLOOKUP(D439,Sheet2!B$1:E$65536,4,0)</f>
        <v>净水器</v>
      </c>
      <c r="G439" s="42">
        <f t="shared" ref="G439:G472" si="8">E439</f>
        <v>1</v>
      </c>
      <c r="J439" s="42">
        <f t="shared" si="6"/>
        <v>1</v>
      </c>
      <c r="L439" s="47" t="s">
        <v>124</v>
      </c>
      <c r="M439" s="13">
        <v>1</v>
      </c>
    </row>
    <row r="440" spans="2:13">
      <c r="B440" s="77" t="s">
        <v>948</v>
      </c>
      <c r="C440" s="2" t="s">
        <v>10</v>
      </c>
      <c r="D440" s="11" t="s">
        <v>949</v>
      </c>
      <c r="E440" s="40">
        <v>1</v>
      </c>
      <c r="F440" s="24" t="str">
        <f>VLOOKUP(D440,Sheet2!B$1:E$65536,4,0)</f>
        <v>净水器</v>
      </c>
      <c r="G440" s="42">
        <f t="shared" si="8"/>
        <v>1</v>
      </c>
      <c r="J440" s="42">
        <f t="shared" si="6"/>
        <v>1</v>
      </c>
      <c r="L440" s="47" t="s">
        <v>127</v>
      </c>
      <c r="M440" s="13">
        <v>1</v>
      </c>
    </row>
    <row r="441" spans="2:13">
      <c r="B441" s="77" t="s">
        <v>950</v>
      </c>
      <c r="C441" s="2" t="s">
        <v>10</v>
      </c>
      <c r="D441" s="11" t="s">
        <v>951</v>
      </c>
      <c r="E441" s="40">
        <v>1</v>
      </c>
      <c r="F441" s="24" t="str">
        <f>VLOOKUP(D441,Sheet2!B$1:E$65536,4,0)</f>
        <v>净水器</v>
      </c>
      <c r="G441" s="42">
        <f t="shared" si="8"/>
        <v>1</v>
      </c>
      <c r="J441" s="42">
        <f t="shared" si="6"/>
        <v>1</v>
      </c>
      <c r="L441" s="47" t="s">
        <v>169</v>
      </c>
      <c r="M441" s="13">
        <v>1</v>
      </c>
    </row>
    <row r="442" spans="2:13">
      <c r="B442" s="77" t="s">
        <v>927</v>
      </c>
      <c r="C442" s="2" t="s">
        <v>10</v>
      </c>
      <c r="D442" s="11" t="s">
        <v>928</v>
      </c>
      <c r="E442" s="40">
        <v>1</v>
      </c>
      <c r="F442" s="24" t="str">
        <f>VLOOKUP(D442,Sheet2!B$1:E$65536,4,0)</f>
        <v>净水器</v>
      </c>
      <c r="G442" s="42">
        <f t="shared" si="8"/>
        <v>1</v>
      </c>
      <c r="J442" s="42">
        <f t="shared" si="6"/>
        <v>1</v>
      </c>
      <c r="L442" s="51" t="s">
        <v>416</v>
      </c>
      <c r="M442" s="13">
        <v>1</v>
      </c>
    </row>
    <row r="443" spans="2:13">
      <c r="B443" s="77" t="s">
        <v>952</v>
      </c>
      <c r="C443" s="2" t="s">
        <v>10</v>
      </c>
      <c r="D443" s="11" t="s">
        <v>953</v>
      </c>
      <c r="E443" s="40">
        <v>1</v>
      </c>
      <c r="F443" s="24" t="str">
        <f>VLOOKUP(D443,Sheet2!B$1:E$65536,4,0)</f>
        <v>净水器</v>
      </c>
      <c r="G443" s="42">
        <f t="shared" si="8"/>
        <v>1</v>
      </c>
      <c r="J443" s="42">
        <f t="shared" si="6"/>
        <v>1</v>
      </c>
      <c r="L443" s="49" t="s">
        <v>558</v>
      </c>
      <c r="M443" s="13">
        <v>2</v>
      </c>
    </row>
    <row r="444" spans="2:13">
      <c r="B444" s="77" t="s">
        <v>954</v>
      </c>
      <c r="C444" s="2" t="s">
        <v>10</v>
      </c>
      <c r="D444" s="11" t="s">
        <v>955</v>
      </c>
      <c r="E444" s="40">
        <v>1</v>
      </c>
      <c r="F444" s="24" t="str">
        <f>VLOOKUP(D444,Sheet2!B$1:E$65536,4,0)</f>
        <v>净水器</v>
      </c>
      <c r="G444" s="42">
        <f t="shared" si="8"/>
        <v>1</v>
      </c>
      <c r="J444" s="42">
        <f t="shared" si="6"/>
        <v>1</v>
      </c>
      <c r="L444" s="48" t="s">
        <v>589</v>
      </c>
      <c r="M444" s="13">
        <v>2</v>
      </c>
    </row>
    <row r="445" spans="2:13">
      <c r="B445" s="77" t="s">
        <v>956</v>
      </c>
      <c r="C445" s="2" t="s">
        <v>10</v>
      </c>
      <c r="D445" s="11" t="s">
        <v>957</v>
      </c>
      <c r="E445" s="40">
        <v>1</v>
      </c>
      <c r="F445" s="24" t="str">
        <f>VLOOKUP(D445,Sheet2!B$1:E$65536,4,0)</f>
        <v>净水器</v>
      </c>
      <c r="G445" s="42">
        <f t="shared" si="8"/>
        <v>1</v>
      </c>
      <c r="J445" s="42">
        <f t="shared" si="6"/>
        <v>1</v>
      </c>
      <c r="L445" s="50" t="s">
        <v>630</v>
      </c>
      <c r="M445" s="13">
        <v>1</v>
      </c>
    </row>
    <row r="446" spans="2:13">
      <c r="B446" s="77" t="s">
        <v>921</v>
      </c>
      <c r="C446" s="2" t="s">
        <v>10</v>
      </c>
      <c r="D446" s="11" t="s">
        <v>922</v>
      </c>
      <c r="E446" s="40">
        <v>1</v>
      </c>
      <c r="F446" s="24" t="str">
        <f>VLOOKUP(D446,Sheet2!B$1:E$65536,4,0)</f>
        <v>净水器</v>
      </c>
      <c r="G446" s="42">
        <f t="shared" si="8"/>
        <v>1</v>
      </c>
      <c r="J446" s="42">
        <f t="shared" si="6"/>
        <v>1</v>
      </c>
      <c r="L446" s="52" t="s">
        <v>678</v>
      </c>
      <c r="M446" s="13">
        <v>1</v>
      </c>
    </row>
    <row r="447" spans="2:13">
      <c r="B447" s="77" t="s">
        <v>958</v>
      </c>
      <c r="C447" s="2" t="s">
        <v>10</v>
      </c>
      <c r="D447" s="16" t="s">
        <v>959</v>
      </c>
      <c r="E447" s="40">
        <v>1</v>
      </c>
      <c r="F447" s="24" t="str">
        <f>VLOOKUP(D447,Sheet2!B$1:E$65536,4,0)</f>
        <v>净水器</v>
      </c>
      <c r="G447" s="42">
        <f t="shared" si="8"/>
        <v>1</v>
      </c>
      <c r="J447" s="42">
        <f t="shared" si="6"/>
        <v>1</v>
      </c>
      <c r="L447" s="13" t="s">
        <v>817</v>
      </c>
      <c r="M447" s="13">
        <v>2</v>
      </c>
    </row>
    <row r="448" spans="2:13">
      <c r="B448" s="77" t="s">
        <v>960</v>
      </c>
      <c r="C448" s="2" t="s">
        <v>10</v>
      </c>
      <c r="D448" s="11" t="s">
        <v>961</v>
      </c>
      <c r="E448" s="40">
        <v>1</v>
      </c>
      <c r="F448" s="24" t="str">
        <f>VLOOKUP(D448,Sheet2!B$1:E$65536,4,0)</f>
        <v>净水器</v>
      </c>
      <c r="G448" s="42">
        <f t="shared" si="8"/>
        <v>1</v>
      </c>
      <c r="J448" s="42">
        <f t="shared" si="6"/>
        <v>1</v>
      </c>
      <c r="L448" s="13" t="s">
        <v>962</v>
      </c>
      <c r="M448" s="13" t="s">
        <v>419</v>
      </c>
    </row>
    <row r="449" spans="2:13">
      <c r="B449" s="77" t="s">
        <v>963</v>
      </c>
      <c r="C449" s="2" t="s">
        <v>10</v>
      </c>
      <c r="D449" s="11" t="s">
        <v>964</v>
      </c>
      <c r="E449" s="40">
        <v>1</v>
      </c>
      <c r="F449" s="24" t="str">
        <f>VLOOKUP(D449,Sheet2!B$1:E$65536,4,0)</f>
        <v>净水器</v>
      </c>
      <c r="G449" s="42">
        <f t="shared" si="8"/>
        <v>1</v>
      </c>
      <c r="J449" s="42">
        <f t="shared" si="6"/>
        <v>1</v>
      </c>
      <c r="L449" s="13" t="s">
        <v>819</v>
      </c>
      <c r="M449" s="13">
        <v>1</v>
      </c>
    </row>
    <row r="450" spans="2:13">
      <c r="B450" s="77" t="s">
        <v>932</v>
      </c>
      <c r="C450" s="2" t="s">
        <v>10</v>
      </c>
      <c r="D450" s="9" t="s">
        <v>933</v>
      </c>
      <c r="E450" s="40" t="s">
        <v>300</v>
      </c>
      <c r="F450" s="24" t="str">
        <f>VLOOKUP(D450,Sheet2!B$1:E$65536,4,0)</f>
        <v>净水器</v>
      </c>
      <c r="G450" s="42">
        <v>2</v>
      </c>
      <c r="J450" s="42" t="str">
        <f t="shared" si="6"/>
        <v>不适用能效</v>
      </c>
      <c r="L450" s="13" t="s">
        <v>884</v>
      </c>
      <c r="M450" s="13">
        <v>1</v>
      </c>
    </row>
    <row r="451" spans="2:13">
      <c r="B451" s="77" t="s">
        <v>965</v>
      </c>
      <c r="C451" s="2" t="s">
        <v>10</v>
      </c>
      <c r="D451" s="9" t="s">
        <v>966</v>
      </c>
      <c r="E451" s="40" t="s">
        <v>300</v>
      </c>
      <c r="F451" s="24" t="str">
        <f>VLOOKUP(D451,Sheet2!B$1:E$65536,4,0)</f>
        <v>净水器</v>
      </c>
      <c r="G451" s="42">
        <v>2</v>
      </c>
      <c r="J451" s="42" t="str">
        <f t="shared" ref="J451:J477" si="9">VLOOKUP(D451,L:M,2,0)</f>
        <v>不适用能效</v>
      </c>
      <c r="L451" s="13" t="s">
        <v>967</v>
      </c>
      <c r="M451" s="13" t="s">
        <v>419</v>
      </c>
    </row>
    <row r="452" spans="2:13">
      <c r="B452" s="77" t="s">
        <v>968</v>
      </c>
      <c r="C452" s="2" t="s">
        <v>10</v>
      </c>
      <c r="D452" s="9" t="s">
        <v>969</v>
      </c>
      <c r="E452" s="40" t="s">
        <v>300</v>
      </c>
      <c r="F452" s="24" t="str">
        <f>VLOOKUP(D452,Sheet2!B$1:E$65536,4,0)</f>
        <v>净水器</v>
      </c>
      <c r="G452" s="42">
        <v>2</v>
      </c>
      <c r="J452" s="42" t="str">
        <f t="shared" si="9"/>
        <v>不适用能效</v>
      </c>
      <c r="L452" s="13" t="s">
        <v>924</v>
      </c>
      <c r="M452" s="13">
        <v>1</v>
      </c>
    </row>
    <row r="453" spans="2:13">
      <c r="B453" s="77" t="s">
        <v>970</v>
      </c>
      <c r="C453" s="2" t="s">
        <v>10</v>
      </c>
      <c r="D453" s="9" t="s">
        <v>971</v>
      </c>
      <c r="E453" s="40" t="s">
        <v>300</v>
      </c>
      <c r="F453" s="24" t="str">
        <f>VLOOKUP(D453,Sheet2!B$1:E$65536,4,0)</f>
        <v>净水器</v>
      </c>
      <c r="G453" s="42">
        <v>2</v>
      </c>
      <c r="J453" s="42" t="str">
        <f t="shared" si="9"/>
        <v>不适用能效</v>
      </c>
      <c r="L453" s="13" t="s">
        <v>716</v>
      </c>
      <c r="M453" s="13">
        <v>1</v>
      </c>
    </row>
    <row r="454" spans="2:13">
      <c r="B454" s="77" t="s">
        <v>972</v>
      </c>
      <c r="C454" s="2" t="s">
        <v>10</v>
      </c>
      <c r="D454" s="38" t="s">
        <v>973</v>
      </c>
      <c r="E454" s="40">
        <v>1</v>
      </c>
      <c r="F454" s="24" t="str">
        <f>VLOOKUP(D454,Sheet2!B$1:E$65536,4,0)</f>
        <v>热水器</v>
      </c>
      <c r="G454" s="42">
        <f t="shared" si="8"/>
        <v>1</v>
      </c>
      <c r="J454" s="42">
        <f t="shared" si="9"/>
        <v>1</v>
      </c>
      <c r="L454" s="13" t="s">
        <v>831</v>
      </c>
      <c r="M454" s="13">
        <v>1</v>
      </c>
    </row>
    <row r="455" spans="2:13">
      <c r="B455" s="40" t="s">
        <v>974</v>
      </c>
      <c r="C455" s="2" t="s">
        <v>10</v>
      </c>
      <c r="D455" s="38" t="s">
        <v>975</v>
      </c>
      <c r="E455" s="40">
        <v>1</v>
      </c>
      <c r="F455" s="24" t="str">
        <f>VLOOKUP(D455,Sheet2!B$1:E$65536,4,0)</f>
        <v>热水器</v>
      </c>
      <c r="G455" s="42">
        <f t="shared" si="8"/>
        <v>1</v>
      </c>
      <c r="J455" s="42">
        <f t="shared" si="9"/>
        <v>1</v>
      </c>
      <c r="L455" s="67" t="s">
        <v>840</v>
      </c>
      <c r="M455" s="67">
        <v>2</v>
      </c>
    </row>
    <row r="456" spans="2:13">
      <c r="B456" s="77" t="s">
        <v>976</v>
      </c>
      <c r="C456" s="2" t="s">
        <v>10</v>
      </c>
      <c r="D456" s="13" t="s">
        <v>977</v>
      </c>
      <c r="E456" s="40">
        <v>1</v>
      </c>
      <c r="F456" s="24" t="str">
        <f>VLOOKUP(D456,Sheet2!B$1:E$65536,4,0)</f>
        <v>热水器</v>
      </c>
      <c r="G456" s="42">
        <f t="shared" si="8"/>
        <v>1</v>
      </c>
      <c r="J456" s="42">
        <f t="shared" si="9"/>
        <v>1</v>
      </c>
      <c r="L456" s="67" t="s">
        <v>842</v>
      </c>
      <c r="M456" s="67">
        <v>2</v>
      </c>
    </row>
    <row r="457" spans="2:13">
      <c r="B457" s="77" t="s">
        <v>978</v>
      </c>
      <c r="C457" s="2" t="s">
        <v>10</v>
      </c>
      <c r="D457" s="13" t="s">
        <v>979</v>
      </c>
      <c r="E457" s="40">
        <v>1</v>
      </c>
      <c r="F457" s="24" t="str">
        <f>VLOOKUP(D457,Sheet2!B$1:E$65536,4,0)</f>
        <v>热水器</v>
      </c>
      <c r="G457" s="42">
        <f t="shared" si="8"/>
        <v>1</v>
      </c>
      <c r="J457" s="42">
        <f t="shared" si="9"/>
        <v>1</v>
      </c>
      <c r="L457" s="67" t="s">
        <v>845</v>
      </c>
      <c r="M457" s="67">
        <v>1</v>
      </c>
    </row>
    <row r="458" spans="2:13">
      <c r="B458" s="77" t="s">
        <v>980</v>
      </c>
      <c r="C458" s="2" t="s">
        <v>10</v>
      </c>
      <c r="D458" s="41" t="s">
        <v>981</v>
      </c>
      <c r="E458" s="40">
        <v>2</v>
      </c>
      <c r="F458" s="24" t="str">
        <f>VLOOKUP(D458,Sheet2!B$1:E$65536,4,0)</f>
        <v>热水器</v>
      </c>
      <c r="G458" s="42">
        <f t="shared" si="8"/>
        <v>2</v>
      </c>
      <c r="J458" s="42">
        <f t="shared" si="9"/>
        <v>2</v>
      </c>
      <c r="L458" s="43" t="s">
        <v>876</v>
      </c>
      <c r="M458" s="43">
        <v>1</v>
      </c>
    </row>
    <row r="459" spans="2:13">
      <c r="B459" s="77" t="s">
        <v>982</v>
      </c>
      <c r="C459" s="2" t="s">
        <v>10</v>
      </c>
      <c r="D459" s="41" t="s">
        <v>983</v>
      </c>
      <c r="E459" s="40">
        <v>2</v>
      </c>
      <c r="F459" s="24" t="str">
        <f>VLOOKUP(D459,Sheet2!B$1:E$65536,4,0)</f>
        <v>热水器</v>
      </c>
      <c r="G459" s="42">
        <f t="shared" si="8"/>
        <v>2</v>
      </c>
      <c r="J459" s="42">
        <f t="shared" si="9"/>
        <v>2</v>
      </c>
      <c r="L459" s="68" t="s">
        <v>879</v>
      </c>
      <c r="M459" s="13" t="s">
        <v>300</v>
      </c>
    </row>
    <row r="460" spans="2:13">
      <c r="B460" s="77" t="s">
        <v>984</v>
      </c>
      <c r="C460" s="2" t="s">
        <v>10</v>
      </c>
      <c r="D460" s="38" t="s">
        <v>985</v>
      </c>
      <c r="E460" s="40">
        <v>2</v>
      </c>
      <c r="F460" s="24" t="str">
        <f>VLOOKUP(D460,Sheet2!B$1:E$65536,4,0)</f>
        <v>热水器</v>
      </c>
      <c r="G460" s="42">
        <f t="shared" si="8"/>
        <v>2</v>
      </c>
      <c r="J460" s="42">
        <f t="shared" si="9"/>
        <v>2</v>
      </c>
      <c r="L460" s="13" t="s">
        <v>881</v>
      </c>
      <c r="M460" s="13">
        <v>1</v>
      </c>
    </row>
    <row r="461" spans="2:13">
      <c r="B461" s="77" t="s">
        <v>986</v>
      </c>
      <c r="C461" s="2" t="s">
        <v>10</v>
      </c>
      <c r="D461" s="38" t="s">
        <v>987</v>
      </c>
      <c r="E461" s="40">
        <v>2</v>
      </c>
      <c r="F461" s="24" t="str">
        <f>VLOOKUP(D461,Sheet2!B$1:E$65536,4,0)</f>
        <v>热水器</v>
      </c>
      <c r="G461" s="42">
        <f t="shared" si="8"/>
        <v>2</v>
      </c>
      <c r="J461" s="42">
        <f t="shared" si="9"/>
        <v>2</v>
      </c>
      <c r="L461" s="69" t="s">
        <v>887</v>
      </c>
      <c r="M461" s="70">
        <v>1</v>
      </c>
    </row>
    <row r="462" spans="2:13">
      <c r="B462" s="74" t="s">
        <v>731</v>
      </c>
      <c r="C462" s="2" t="s">
        <v>10</v>
      </c>
      <c r="D462" s="27" t="s">
        <v>732</v>
      </c>
      <c r="E462" s="24">
        <v>1</v>
      </c>
      <c r="F462" s="36" t="s">
        <v>727</v>
      </c>
      <c r="G462" s="42">
        <f t="shared" si="8"/>
        <v>1</v>
      </c>
      <c r="J462" s="42">
        <f t="shared" si="9"/>
        <v>1</v>
      </c>
      <c r="L462" s="9" t="s">
        <v>890</v>
      </c>
      <c r="M462" s="70">
        <v>1</v>
      </c>
    </row>
    <row r="463" spans="2:13">
      <c r="B463" s="75" t="s">
        <v>858</v>
      </c>
      <c r="C463" s="2" t="s">
        <v>10</v>
      </c>
      <c r="D463" s="8" t="s">
        <v>859</v>
      </c>
      <c r="E463" s="3">
        <v>1</v>
      </c>
      <c r="F463" s="24" t="s">
        <v>354</v>
      </c>
      <c r="G463" s="42">
        <f t="shared" si="8"/>
        <v>1</v>
      </c>
      <c r="J463" s="42">
        <f t="shared" si="9"/>
        <v>1</v>
      </c>
      <c r="L463" s="9" t="s">
        <v>893</v>
      </c>
      <c r="M463" s="70">
        <v>1</v>
      </c>
    </row>
    <row r="464" spans="2:13">
      <c r="B464" s="75" t="s">
        <v>860</v>
      </c>
      <c r="C464" s="2" t="s">
        <v>10</v>
      </c>
      <c r="D464" s="8" t="s">
        <v>861</v>
      </c>
      <c r="E464" s="3">
        <v>1</v>
      </c>
      <c r="F464" s="24" t="s">
        <v>354</v>
      </c>
      <c r="G464" s="42">
        <f t="shared" si="8"/>
        <v>1</v>
      </c>
      <c r="J464" s="42">
        <f t="shared" si="9"/>
        <v>1</v>
      </c>
      <c r="L464" s="69" t="s">
        <v>895</v>
      </c>
      <c r="M464" s="70">
        <v>1</v>
      </c>
    </row>
    <row r="465" spans="2:13">
      <c r="B465" s="75" t="s">
        <v>862</v>
      </c>
      <c r="C465" s="2" t="s">
        <v>10</v>
      </c>
      <c r="D465" s="14" t="s">
        <v>437</v>
      </c>
      <c r="E465" s="24">
        <v>2</v>
      </c>
      <c r="F465" s="24" t="s">
        <v>354</v>
      </c>
      <c r="G465" s="42">
        <f t="shared" si="8"/>
        <v>2</v>
      </c>
      <c r="J465" s="42">
        <f t="shared" si="9"/>
        <v>2</v>
      </c>
      <c r="L465" s="69" t="s">
        <v>897</v>
      </c>
      <c r="M465" s="70">
        <v>2</v>
      </c>
    </row>
    <row r="466" spans="2:13">
      <c r="B466" s="75" t="s">
        <v>863</v>
      </c>
      <c r="C466" s="2" t="s">
        <v>10</v>
      </c>
      <c r="D466" s="8" t="s">
        <v>370</v>
      </c>
      <c r="E466" s="3">
        <v>1</v>
      </c>
      <c r="F466" s="24" t="s">
        <v>303</v>
      </c>
      <c r="G466" s="42">
        <f t="shared" si="8"/>
        <v>1</v>
      </c>
      <c r="J466" s="42">
        <f t="shared" si="9"/>
        <v>1</v>
      </c>
      <c r="L466" s="69" t="s">
        <v>900</v>
      </c>
      <c r="M466" s="70">
        <v>2</v>
      </c>
    </row>
    <row r="467" spans="2:13">
      <c r="B467" s="75" t="s">
        <v>864</v>
      </c>
      <c r="C467" s="2" t="s">
        <v>10</v>
      </c>
      <c r="D467" s="8" t="s">
        <v>404</v>
      </c>
      <c r="E467" s="3">
        <v>1</v>
      </c>
      <c r="F467" s="24" t="s">
        <v>303</v>
      </c>
      <c r="G467" s="42">
        <f t="shared" si="8"/>
        <v>1</v>
      </c>
      <c r="J467" s="42">
        <f t="shared" si="9"/>
        <v>1</v>
      </c>
      <c r="L467" s="69" t="s">
        <v>902</v>
      </c>
      <c r="M467" s="70">
        <v>2</v>
      </c>
    </row>
    <row r="468" spans="2:13">
      <c r="B468" s="75" t="s">
        <v>865</v>
      </c>
      <c r="C468" s="2" t="s">
        <v>10</v>
      </c>
      <c r="D468" s="8" t="s">
        <v>407</v>
      </c>
      <c r="E468" s="3">
        <v>1</v>
      </c>
      <c r="F468" s="24" t="s">
        <v>303</v>
      </c>
      <c r="G468" s="42">
        <f t="shared" si="8"/>
        <v>1</v>
      </c>
      <c r="J468" s="42">
        <f t="shared" si="9"/>
        <v>1</v>
      </c>
      <c r="L468" s="11" t="s">
        <v>907</v>
      </c>
      <c r="M468" s="70">
        <v>2</v>
      </c>
    </row>
    <row r="469" spans="2:13">
      <c r="B469" s="75" t="s">
        <v>866</v>
      </c>
      <c r="C469" s="2" t="s">
        <v>10</v>
      </c>
      <c r="D469" s="24" t="s">
        <v>439</v>
      </c>
      <c r="E469" s="3">
        <v>2</v>
      </c>
      <c r="F469" s="24" t="s">
        <v>354</v>
      </c>
      <c r="G469" s="42">
        <f t="shared" si="8"/>
        <v>2</v>
      </c>
      <c r="J469" s="42">
        <f t="shared" si="9"/>
        <v>2</v>
      </c>
      <c r="L469" s="11" t="s">
        <v>909</v>
      </c>
      <c r="M469" s="70">
        <v>2</v>
      </c>
    </row>
    <row r="470" spans="2:13">
      <c r="B470" s="74" t="s">
        <v>867</v>
      </c>
      <c r="C470" s="2" t="s">
        <v>10</v>
      </c>
      <c r="D470" s="8" t="s">
        <v>391</v>
      </c>
      <c r="E470" s="24">
        <v>1</v>
      </c>
      <c r="F470" s="24" t="s">
        <v>303</v>
      </c>
      <c r="G470" s="42">
        <f t="shared" si="8"/>
        <v>1</v>
      </c>
      <c r="J470" s="42">
        <f t="shared" si="9"/>
        <v>1</v>
      </c>
      <c r="L470" s="12" t="s">
        <v>911</v>
      </c>
      <c r="M470" s="70">
        <v>1</v>
      </c>
    </row>
    <row r="471" spans="2:13">
      <c r="B471" s="45" t="s">
        <v>868</v>
      </c>
      <c r="C471" s="2" t="s">
        <v>10</v>
      </c>
      <c r="D471" s="24" t="s">
        <v>723</v>
      </c>
      <c r="E471" s="24">
        <v>1</v>
      </c>
      <c r="F471" s="24" t="s">
        <v>727</v>
      </c>
      <c r="G471" s="42">
        <f t="shared" si="8"/>
        <v>1</v>
      </c>
      <c r="J471" s="42">
        <f t="shared" si="9"/>
        <v>1</v>
      </c>
      <c r="L471" s="9" t="s">
        <v>913</v>
      </c>
      <c r="M471" s="70">
        <v>2</v>
      </c>
    </row>
    <row r="472" spans="2:13">
      <c r="B472" s="45" t="s">
        <v>869</v>
      </c>
      <c r="C472" s="2" t="s">
        <v>10</v>
      </c>
      <c r="D472" s="45" t="s">
        <v>870</v>
      </c>
      <c r="E472" s="24">
        <v>1</v>
      </c>
      <c r="F472" s="24" t="s">
        <v>727</v>
      </c>
      <c r="G472" s="42">
        <f t="shared" si="8"/>
        <v>1</v>
      </c>
      <c r="J472" s="42">
        <f t="shared" si="9"/>
        <v>1</v>
      </c>
      <c r="L472" s="12" t="s">
        <v>915</v>
      </c>
      <c r="M472" s="70">
        <v>2</v>
      </c>
    </row>
    <row r="473" spans="2:13">
      <c r="B473" s="45" t="s">
        <v>871</v>
      </c>
      <c r="C473" s="2" t="s">
        <v>10</v>
      </c>
      <c r="D473" s="45" t="s">
        <v>872</v>
      </c>
      <c r="E473" s="24" t="s">
        <v>300</v>
      </c>
      <c r="F473" s="36" t="s">
        <v>813</v>
      </c>
      <c r="G473" s="42">
        <v>2</v>
      </c>
      <c r="J473" s="42" t="str">
        <f t="shared" si="9"/>
        <v>不适用能效</v>
      </c>
      <c r="L473" s="13" t="s">
        <v>917</v>
      </c>
      <c r="M473" s="70">
        <v>2</v>
      </c>
    </row>
    <row r="474" spans="2:13">
      <c r="B474" s="45" t="s">
        <v>873</v>
      </c>
      <c r="C474" s="2" t="s">
        <v>10</v>
      </c>
      <c r="D474" s="45" t="s">
        <v>874</v>
      </c>
      <c r="E474" s="24">
        <v>1</v>
      </c>
      <c r="F474" s="36" t="s">
        <v>759</v>
      </c>
      <c r="G474" s="42">
        <f>E474</f>
        <v>1</v>
      </c>
      <c r="J474" s="42">
        <f t="shared" si="9"/>
        <v>1</v>
      </c>
      <c r="L474" s="13" t="s">
        <v>920</v>
      </c>
      <c r="M474" s="70">
        <v>2</v>
      </c>
    </row>
    <row r="475" spans="2:13">
      <c r="B475" s="24" t="s">
        <v>430</v>
      </c>
      <c r="C475" s="24" t="s">
        <v>10</v>
      </c>
      <c r="D475" s="15" t="s">
        <v>988</v>
      </c>
      <c r="E475" s="24">
        <v>1</v>
      </c>
      <c r="F475" s="36" t="s">
        <v>354</v>
      </c>
      <c r="G475" s="42">
        <f>E475</f>
        <v>1</v>
      </c>
      <c r="J475" s="42" t="e">
        <f t="shared" si="9"/>
        <v>#N/A</v>
      </c>
      <c r="L475" s="13" t="s">
        <v>900</v>
      </c>
      <c r="M475" s="70">
        <v>2</v>
      </c>
    </row>
    <row r="476" spans="2:13">
      <c r="B476" s="45" t="s">
        <v>432</v>
      </c>
      <c r="C476" s="24" t="s">
        <v>10</v>
      </c>
      <c r="D476" s="15" t="s">
        <v>989</v>
      </c>
      <c r="E476" s="24">
        <v>1</v>
      </c>
      <c r="F476" s="36" t="s">
        <v>354</v>
      </c>
      <c r="G476" s="42">
        <f>E476</f>
        <v>1</v>
      </c>
      <c r="J476" s="42" t="e">
        <f t="shared" si="9"/>
        <v>#N/A</v>
      </c>
      <c r="L476" s="69" t="s">
        <v>922</v>
      </c>
      <c r="M476" s="70">
        <v>1</v>
      </c>
    </row>
    <row r="477" spans="2:13">
      <c r="B477" s="74" t="s">
        <v>434</v>
      </c>
      <c r="C477" s="24" t="s">
        <v>10</v>
      </c>
      <c r="D477" s="15" t="s">
        <v>990</v>
      </c>
      <c r="E477" s="24">
        <v>1</v>
      </c>
      <c r="F477" s="36" t="s">
        <v>354</v>
      </c>
      <c r="G477" s="42">
        <f>E477</f>
        <v>1</v>
      </c>
      <c r="J477" s="42" t="e">
        <f t="shared" si="9"/>
        <v>#N/A</v>
      </c>
      <c r="L477" s="69" t="s">
        <v>924</v>
      </c>
      <c r="M477" s="70">
        <v>1</v>
      </c>
    </row>
    <row r="478" spans="12:13">
      <c r="L478" s="69" t="s">
        <v>926</v>
      </c>
      <c r="M478" s="70">
        <v>1</v>
      </c>
    </row>
    <row r="479" spans="12:13">
      <c r="L479" s="69" t="s">
        <v>928</v>
      </c>
      <c r="M479" s="70">
        <v>1</v>
      </c>
    </row>
    <row r="480" spans="12:13">
      <c r="L480" s="69" t="s">
        <v>930</v>
      </c>
      <c r="M480" s="70" t="s">
        <v>300</v>
      </c>
    </row>
    <row r="481" spans="12:13">
      <c r="L481" s="69" t="s">
        <v>933</v>
      </c>
      <c r="M481" s="70" t="s">
        <v>300</v>
      </c>
    </row>
    <row r="482" spans="12:13">
      <c r="L482" s="12" t="s">
        <v>936</v>
      </c>
      <c r="M482" s="70">
        <v>1</v>
      </c>
    </row>
    <row r="483" spans="12:13">
      <c r="L483" s="11" t="s">
        <v>939</v>
      </c>
      <c r="M483" s="70">
        <v>1</v>
      </c>
    </row>
    <row r="484" spans="12:13">
      <c r="L484" s="12" t="s">
        <v>942</v>
      </c>
      <c r="M484" s="70">
        <v>1</v>
      </c>
    </row>
    <row r="485" spans="12:13">
      <c r="L485" s="12" t="s">
        <v>945</v>
      </c>
      <c r="M485" s="70">
        <v>1</v>
      </c>
    </row>
    <row r="486" spans="12:13">
      <c r="L486" s="11" t="s">
        <v>947</v>
      </c>
      <c r="M486" s="70">
        <v>1</v>
      </c>
    </row>
    <row r="487" spans="12:13">
      <c r="L487" s="11" t="s">
        <v>949</v>
      </c>
      <c r="M487" s="70">
        <v>1</v>
      </c>
    </row>
    <row r="488" spans="12:13">
      <c r="L488" s="11" t="s">
        <v>951</v>
      </c>
      <c r="M488" s="70">
        <v>1</v>
      </c>
    </row>
    <row r="489" spans="12:13">
      <c r="L489" s="11" t="s">
        <v>928</v>
      </c>
      <c r="M489" s="70">
        <v>1</v>
      </c>
    </row>
    <row r="490" spans="12:13">
      <c r="L490" s="11" t="s">
        <v>953</v>
      </c>
      <c r="M490" s="70">
        <v>1</v>
      </c>
    </row>
    <row r="491" spans="12:13">
      <c r="L491" s="11" t="s">
        <v>955</v>
      </c>
      <c r="M491" s="70">
        <v>1</v>
      </c>
    </row>
    <row r="492" spans="12:13">
      <c r="L492" s="11" t="s">
        <v>957</v>
      </c>
      <c r="M492" s="70">
        <v>1</v>
      </c>
    </row>
    <row r="493" spans="12:13">
      <c r="L493" s="11" t="s">
        <v>922</v>
      </c>
      <c r="M493" s="70">
        <v>1</v>
      </c>
    </row>
    <row r="494" spans="12:13">
      <c r="L494" s="16" t="s">
        <v>959</v>
      </c>
      <c r="M494" s="70">
        <v>1</v>
      </c>
    </row>
    <row r="495" spans="12:13">
      <c r="L495" s="11" t="s">
        <v>961</v>
      </c>
      <c r="M495" s="70">
        <v>1</v>
      </c>
    </row>
    <row r="496" spans="12:13">
      <c r="L496" s="11" t="s">
        <v>964</v>
      </c>
      <c r="M496" s="70">
        <v>1</v>
      </c>
    </row>
    <row r="497" spans="12:13">
      <c r="L497" s="9" t="s">
        <v>933</v>
      </c>
      <c r="M497" s="70" t="s">
        <v>300</v>
      </c>
    </row>
    <row r="498" spans="12:13">
      <c r="L498" s="9" t="s">
        <v>966</v>
      </c>
      <c r="M498" s="70" t="s">
        <v>300</v>
      </c>
    </row>
    <row r="499" spans="12:13">
      <c r="L499" s="9" t="s">
        <v>969</v>
      </c>
      <c r="M499" s="70" t="s">
        <v>300</v>
      </c>
    </row>
    <row r="500" spans="12:13">
      <c r="L500" s="9" t="s">
        <v>971</v>
      </c>
      <c r="M500" s="70" t="s">
        <v>300</v>
      </c>
    </row>
    <row r="501" spans="12:13">
      <c r="L501" s="69" t="s">
        <v>973</v>
      </c>
      <c r="M501" s="70">
        <v>1</v>
      </c>
    </row>
    <row r="502" spans="12:13">
      <c r="L502" s="69" t="s">
        <v>975</v>
      </c>
      <c r="M502" s="70">
        <v>1</v>
      </c>
    </row>
    <row r="503" spans="12:13">
      <c r="L503" s="13" t="s">
        <v>977</v>
      </c>
      <c r="M503" s="70">
        <v>1</v>
      </c>
    </row>
    <row r="504" spans="12:13">
      <c r="L504" s="13" t="s">
        <v>979</v>
      </c>
      <c r="M504" s="70">
        <v>1</v>
      </c>
    </row>
    <row r="505" spans="12:13">
      <c r="L505" s="71" t="s">
        <v>981</v>
      </c>
      <c r="M505" s="70">
        <v>2</v>
      </c>
    </row>
    <row r="506" spans="12:13">
      <c r="L506" s="71" t="s">
        <v>983</v>
      </c>
      <c r="M506" s="70">
        <v>2</v>
      </c>
    </row>
    <row r="507" spans="12:13">
      <c r="L507" s="69" t="s">
        <v>985</v>
      </c>
      <c r="M507" s="70">
        <v>2</v>
      </c>
    </row>
    <row r="508" spans="12:13">
      <c r="L508" s="69" t="s">
        <v>987</v>
      </c>
      <c r="M508" s="70">
        <v>2</v>
      </c>
    </row>
    <row r="509" spans="12:13">
      <c r="L509" s="54" t="s">
        <v>732</v>
      </c>
      <c r="M509" s="13">
        <v>1</v>
      </c>
    </row>
    <row r="510" spans="12:13">
      <c r="L510" s="11" t="s">
        <v>859</v>
      </c>
      <c r="M510" s="67">
        <v>1</v>
      </c>
    </row>
    <row r="511" spans="12:13">
      <c r="L511" s="11" t="s">
        <v>861</v>
      </c>
      <c r="M511" s="67">
        <v>1</v>
      </c>
    </row>
    <row r="512" spans="12:13">
      <c r="L512" s="72" t="s">
        <v>870</v>
      </c>
      <c r="M512" s="13">
        <v>1</v>
      </c>
    </row>
    <row r="513" spans="12:13">
      <c r="L513" s="72" t="s">
        <v>872</v>
      </c>
      <c r="M513" s="13" t="s">
        <v>300</v>
      </c>
    </row>
    <row r="514" spans="12:13">
      <c r="L514" s="72" t="s">
        <v>874</v>
      </c>
      <c r="M514" s="13">
        <v>1</v>
      </c>
    </row>
  </sheetData>
  <sheetProtection formatCells="0" insertHyperlinks="0" autoFilter="0"/>
  <sortState ref="A3:G341">
    <sortCondition ref="F3"/>
  </sortState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3"/>
  <sheetViews>
    <sheetView workbookViewId="0">
      <selection activeCell="C8" sqref="C8"/>
    </sheetView>
  </sheetViews>
  <sheetFormatPr defaultColWidth="9" defaultRowHeight="14.25"/>
  <cols>
    <col min="2" max="2" width="18.875" customWidth="1"/>
    <col min="8" max="8" width="17" style="1" customWidth="1"/>
    <col min="9" max="9" width="16.75" style="1" customWidth="1"/>
  </cols>
  <sheetData>
    <row r="1" spans="1:9">
      <c r="A1" s="2" t="s">
        <v>10</v>
      </c>
      <c r="B1" s="3" t="s">
        <v>745</v>
      </c>
      <c r="C1" s="4">
        <v>1</v>
      </c>
      <c r="D1" s="5" t="s">
        <v>991</v>
      </c>
      <c r="E1" s="6" t="s">
        <v>992</v>
      </c>
      <c r="H1" s="7" t="s">
        <v>3</v>
      </c>
      <c r="I1" s="7" t="s">
        <v>993</v>
      </c>
    </row>
    <row r="2" spans="1:9">
      <c r="A2" s="2" t="s">
        <v>10</v>
      </c>
      <c r="B2" s="3" t="s">
        <v>887</v>
      </c>
      <c r="C2" s="4">
        <v>1</v>
      </c>
      <c r="D2" s="6" t="s">
        <v>994</v>
      </c>
      <c r="E2" s="6" t="s">
        <v>727</v>
      </c>
      <c r="H2" s="8" t="s">
        <v>11</v>
      </c>
      <c r="I2" s="24" t="s">
        <v>995</v>
      </c>
    </row>
    <row r="3" spans="1:9">
      <c r="A3" s="2" t="s">
        <v>10</v>
      </c>
      <c r="B3" s="9" t="s">
        <v>890</v>
      </c>
      <c r="C3" s="4">
        <v>1</v>
      </c>
      <c r="D3" s="6" t="s">
        <v>994</v>
      </c>
      <c r="E3" s="6" t="s">
        <v>727</v>
      </c>
      <c r="H3" s="8" t="s">
        <v>15</v>
      </c>
      <c r="I3" s="24" t="s">
        <v>995</v>
      </c>
    </row>
    <row r="4" spans="1:9">
      <c r="A4" s="2" t="s">
        <v>10</v>
      </c>
      <c r="B4" s="9" t="s">
        <v>893</v>
      </c>
      <c r="C4" s="4">
        <v>1</v>
      </c>
      <c r="D4" s="6" t="s">
        <v>994</v>
      </c>
      <c r="E4" s="6" t="s">
        <v>727</v>
      </c>
      <c r="H4" s="8" t="s">
        <v>18</v>
      </c>
      <c r="I4" s="24" t="s">
        <v>995</v>
      </c>
    </row>
    <row r="5" spans="1:9">
      <c r="A5" s="2" t="s">
        <v>10</v>
      </c>
      <c r="B5" s="9" t="s">
        <v>706</v>
      </c>
      <c r="C5" s="4">
        <v>1</v>
      </c>
      <c r="D5" s="6" t="s">
        <v>994</v>
      </c>
      <c r="E5" s="6" t="s">
        <v>727</v>
      </c>
      <c r="H5" s="8" t="s">
        <v>21</v>
      </c>
      <c r="I5" s="24" t="s">
        <v>995</v>
      </c>
    </row>
    <row r="6" spans="1:9">
      <c r="A6" s="2" t="s">
        <v>10</v>
      </c>
      <c r="B6" s="9" t="s">
        <v>702</v>
      </c>
      <c r="C6" s="4">
        <v>1</v>
      </c>
      <c r="D6" s="6" t="s">
        <v>994</v>
      </c>
      <c r="E6" s="6" t="s">
        <v>727</v>
      </c>
      <c r="H6" s="8" t="s">
        <v>24</v>
      </c>
      <c r="I6" s="24" t="s">
        <v>995</v>
      </c>
    </row>
    <row r="7" spans="1:9">
      <c r="A7" s="2" t="s">
        <v>10</v>
      </c>
      <c r="B7" s="3" t="s">
        <v>895</v>
      </c>
      <c r="C7" s="4">
        <v>1</v>
      </c>
      <c r="D7" s="6" t="s">
        <v>996</v>
      </c>
      <c r="E7" s="6" t="s">
        <v>354</v>
      </c>
      <c r="H7" s="8" t="s">
        <v>27</v>
      </c>
      <c r="I7" s="24" t="s">
        <v>995</v>
      </c>
    </row>
    <row r="8" ht="16.5" spans="1:9">
      <c r="A8" s="2" t="s">
        <v>10</v>
      </c>
      <c r="B8" s="3" t="s">
        <v>897</v>
      </c>
      <c r="C8" s="4">
        <v>2</v>
      </c>
      <c r="D8" s="10" t="s">
        <v>996</v>
      </c>
      <c r="E8" s="10" t="s">
        <v>354</v>
      </c>
      <c r="H8" s="8" t="s">
        <v>30</v>
      </c>
      <c r="I8" s="24" t="s">
        <v>997</v>
      </c>
    </row>
    <row r="9" ht="16.5" spans="1:9">
      <c r="A9" s="2" t="s">
        <v>10</v>
      </c>
      <c r="B9" s="3" t="s">
        <v>503</v>
      </c>
      <c r="C9" s="4">
        <v>2</v>
      </c>
      <c r="D9" s="10" t="s">
        <v>996</v>
      </c>
      <c r="E9" s="10" t="s">
        <v>354</v>
      </c>
      <c r="H9" s="8" t="s">
        <v>33</v>
      </c>
      <c r="I9" s="24" t="s">
        <v>997</v>
      </c>
    </row>
    <row r="10" ht="16.5" spans="1:9">
      <c r="A10" s="2" t="s">
        <v>10</v>
      </c>
      <c r="B10" s="3" t="s">
        <v>900</v>
      </c>
      <c r="C10" s="4">
        <v>2</v>
      </c>
      <c r="D10" s="10" t="s">
        <v>996</v>
      </c>
      <c r="E10" s="10" t="s">
        <v>354</v>
      </c>
      <c r="H10" s="8" t="s">
        <v>36</v>
      </c>
      <c r="I10" s="24" t="s">
        <v>997</v>
      </c>
    </row>
    <row r="11" ht="16.5" spans="1:9">
      <c r="A11" s="2" t="s">
        <v>10</v>
      </c>
      <c r="B11" s="3" t="s">
        <v>902</v>
      </c>
      <c r="C11" s="4">
        <v>2</v>
      </c>
      <c r="D11" s="10" t="s">
        <v>996</v>
      </c>
      <c r="E11" s="10" t="s">
        <v>354</v>
      </c>
      <c r="H11" s="8" t="s">
        <v>39</v>
      </c>
      <c r="I11" s="24" t="s">
        <v>997</v>
      </c>
    </row>
    <row r="12" ht="16.5" spans="1:9">
      <c r="A12" s="2" t="s">
        <v>10</v>
      </c>
      <c r="B12" s="3" t="s">
        <v>493</v>
      </c>
      <c r="C12" s="4">
        <v>2</v>
      </c>
      <c r="D12" s="10" t="s">
        <v>996</v>
      </c>
      <c r="E12" s="10" t="s">
        <v>354</v>
      </c>
      <c r="H12" s="8" t="s">
        <v>42</v>
      </c>
      <c r="I12" s="24" t="s">
        <v>995</v>
      </c>
    </row>
    <row r="13" ht="16.5" spans="1:9">
      <c r="A13" s="2" t="s">
        <v>10</v>
      </c>
      <c r="B13" s="11" t="s">
        <v>907</v>
      </c>
      <c r="C13" s="4">
        <v>2</v>
      </c>
      <c r="D13" s="10" t="s">
        <v>996</v>
      </c>
      <c r="E13" s="10" t="s">
        <v>354</v>
      </c>
      <c r="H13" s="8" t="s">
        <v>45</v>
      </c>
      <c r="I13" s="24" t="s">
        <v>995</v>
      </c>
    </row>
    <row r="14" ht="16.5" spans="1:9">
      <c r="A14" s="2" t="s">
        <v>10</v>
      </c>
      <c r="B14" s="11" t="s">
        <v>909</v>
      </c>
      <c r="C14" s="4">
        <v>2</v>
      </c>
      <c r="D14" s="10" t="s">
        <v>996</v>
      </c>
      <c r="E14" s="10" t="s">
        <v>354</v>
      </c>
      <c r="H14" s="8" t="s">
        <v>48</v>
      </c>
      <c r="I14" s="24" t="s">
        <v>995</v>
      </c>
    </row>
    <row r="15" ht="16.5" spans="1:9">
      <c r="A15" s="2" t="s">
        <v>10</v>
      </c>
      <c r="B15" s="12" t="s">
        <v>911</v>
      </c>
      <c r="C15" s="4">
        <v>1</v>
      </c>
      <c r="D15" s="10" t="s">
        <v>996</v>
      </c>
      <c r="E15" s="10" t="s">
        <v>354</v>
      </c>
      <c r="H15" s="8" t="s">
        <v>51</v>
      </c>
      <c r="I15" s="24" t="s">
        <v>995</v>
      </c>
    </row>
    <row r="16" ht="16.5" spans="1:9">
      <c r="A16" s="2" t="s">
        <v>10</v>
      </c>
      <c r="B16" s="9" t="s">
        <v>913</v>
      </c>
      <c r="C16" s="4">
        <v>2</v>
      </c>
      <c r="D16" s="10" t="s">
        <v>996</v>
      </c>
      <c r="E16" s="10" t="s">
        <v>354</v>
      </c>
      <c r="H16" s="8" t="s">
        <v>54</v>
      </c>
      <c r="I16" s="24" t="s">
        <v>995</v>
      </c>
    </row>
    <row r="17" ht="16.5" spans="1:9">
      <c r="A17" s="2" t="s">
        <v>10</v>
      </c>
      <c r="B17" s="12" t="s">
        <v>915</v>
      </c>
      <c r="C17" s="4">
        <v>2</v>
      </c>
      <c r="D17" s="10" t="s">
        <v>996</v>
      </c>
      <c r="E17" s="10" t="s">
        <v>354</v>
      </c>
      <c r="H17" s="8" t="s">
        <v>57</v>
      </c>
      <c r="I17" s="24" t="s">
        <v>995</v>
      </c>
    </row>
    <row r="18" ht="16.5" spans="1:9">
      <c r="A18" s="2" t="s">
        <v>10</v>
      </c>
      <c r="B18" s="13" t="s">
        <v>917</v>
      </c>
      <c r="C18" s="4">
        <v>2</v>
      </c>
      <c r="D18" s="10" t="s">
        <v>996</v>
      </c>
      <c r="E18" s="10" t="s">
        <v>354</v>
      </c>
      <c r="H18" s="14" t="s">
        <v>60</v>
      </c>
      <c r="I18" s="24" t="s">
        <v>997</v>
      </c>
    </row>
    <row r="19" ht="16.5" spans="1:9">
      <c r="A19" s="2" t="s">
        <v>10</v>
      </c>
      <c r="B19" s="13" t="s">
        <v>920</v>
      </c>
      <c r="C19" s="4">
        <v>2</v>
      </c>
      <c r="D19" s="10" t="s">
        <v>996</v>
      </c>
      <c r="E19" s="10" t="s">
        <v>354</v>
      </c>
      <c r="H19" s="14" t="s">
        <v>63</v>
      </c>
      <c r="I19" s="24" t="s">
        <v>997</v>
      </c>
    </row>
    <row r="20" ht="16.5" spans="1:9">
      <c r="A20" s="2" t="s">
        <v>10</v>
      </c>
      <c r="B20" s="13" t="s">
        <v>900</v>
      </c>
      <c r="C20" s="4">
        <v>2</v>
      </c>
      <c r="D20" s="10" t="s">
        <v>996</v>
      </c>
      <c r="E20" s="10" t="s">
        <v>354</v>
      </c>
      <c r="H20" s="8" t="s">
        <v>66</v>
      </c>
      <c r="I20" s="24" t="s">
        <v>997</v>
      </c>
    </row>
    <row r="21" ht="16.5" spans="1:9">
      <c r="A21" s="2" t="s">
        <v>10</v>
      </c>
      <c r="B21" s="3" t="s">
        <v>922</v>
      </c>
      <c r="C21" s="4">
        <v>1</v>
      </c>
      <c r="D21" s="10" t="s">
        <v>998</v>
      </c>
      <c r="E21" s="10" t="s">
        <v>303</v>
      </c>
      <c r="H21" s="8" t="s">
        <v>69</v>
      </c>
      <c r="I21" s="24" t="s">
        <v>997</v>
      </c>
    </row>
    <row r="22" ht="16.5" spans="1:9">
      <c r="A22" s="2" t="s">
        <v>10</v>
      </c>
      <c r="B22" s="3" t="s">
        <v>924</v>
      </c>
      <c r="C22" s="4">
        <v>1</v>
      </c>
      <c r="D22" s="10" t="s">
        <v>998</v>
      </c>
      <c r="E22" s="10" t="s">
        <v>303</v>
      </c>
      <c r="H22" s="8" t="s">
        <v>72</v>
      </c>
      <c r="I22" s="24" t="s">
        <v>997</v>
      </c>
    </row>
    <row r="23" ht="16.5" spans="1:9">
      <c r="A23" s="2" t="s">
        <v>10</v>
      </c>
      <c r="B23" s="3" t="s">
        <v>926</v>
      </c>
      <c r="C23" s="4">
        <v>1</v>
      </c>
      <c r="D23" s="10" t="s">
        <v>998</v>
      </c>
      <c r="E23" s="10" t="s">
        <v>303</v>
      </c>
      <c r="H23" s="8" t="s">
        <v>75</v>
      </c>
      <c r="I23" s="24" t="s">
        <v>997</v>
      </c>
    </row>
    <row r="24" ht="16.5" spans="1:9">
      <c r="A24" s="2" t="s">
        <v>10</v>
      </c>
      <c r="B24" s="3" t="s">
        <v>928</v>
      </c>
      <c r="C24" s="4">
        <v>1</v>
      </c>
      <c r="D24" s="10" t="s">
        <v>998</v>
      </c>
      <c r="E24" s="10" t="s">
        <v>303</v>
      </c>
      <c r="H24" s="8" t="s">
        <v>78</v>
      </c>
      <c r="I24" s="24" t="s">
        <v>997</v>
      </c>
    </row>
    <row r="25" ht="16.5" spans="1:9">
      <c r="A25" s="2" t="s">
        <v>10</v>
      </c>
      <c r="B25" s="3" t="s">
        <v>930</v>
      </c>
      <c r="C25" s="4">
        <v>2</v>
      </c>
      <c r="D25" s="10" t="s">
        <v>998</v>
      </c>
      <c r="E25" s="10" t="s">
        <v>303</v>
      </c>
      <c r="H25" s="8" t="s">
        <v>81</v>
      </c>
      <c r="I25" s="24" t="s">
        <v>997</v>
      </c>
    </row>
    <row r="26" ht="16.5" spans="1:9">
      <c r="A26" s="2" t="s">
        <v>10</v>
      </c>
      <c r="B26" s="3" t="s">
        <v>933</v>
      </c>
      <c r="C26" s="4">
        <v>2</v>
      </c>
      <c r="D26" s="10" t="s">
        <v>998</v>
      </c>
      <c r="E26" s="10" t="s">
        <v>303</v>
      </c>
      <c r="H26" s="14" t="s">
        <v>84</v>
      </c>
      <c r="I26" s="24" t="s">
        <v>997</v>
      </c>
    </row>
    <row r="27" ht="16.5" spans="1:9">
      <c r="A27" s="2" t="s">
        <v>10</v>
      </c>
      <c r="B27" s="12" t="s">
        <v>936</v>
      </c>
      <c r="C27" s="4">
        <v>1</v>
      </c>
      <c r="D27" s="10" t="s">
        <v>998</v>
      </c>
      <c r="E27" s="10" t="s">
        <v>303</v>
      </c>
      <c r="H27" s="14" t="s">
        <v>87</v>
      </c>
      <c r="I27" s="24" t="s">
        <v>997</v>
      </c>
    </row>
    <row r="28" ht="16.5" spans="1:9">
      <c r="A28" s="2" t="s">
        <v>10</v>
      </c>
      <c r="B28" s="11" t="s">
        <v>939</v>
      </c>
      <c r="C28" s="4">
        <v>1</v>
      </c>
      <c r="D28" s="10" t="s">
        <v>998</v>
      </c>
      <c r="E28" s="10" t="s">
        <v>303</v>
      </c>
      <c r="H28" s="14" t="s">
        <v>90</v>
      </c>
      <c r="I28" s="24" t="s">
        <v>997</v>
      </c>
    </row>
    <row r="29" ht="16.5" spans="1:9">
      <c r="A29" s="2" t="s">
        <v>10</v>
      </c>
      <c r="B29" s="12" t="s">
        <v>942</v>
      </c>
      <c r="C29" s="4">
        <v>1</v>
      </c>
      <c r="D29" s="10" t="s">
        <v>998</v>
      </c>
      <c r="E29" s="10" t="s">
        <v>303</v>
      </c>
      <c r="H29" s="14" t="s">
        <v>93</v>
      </c>
      <c r="I29" s="24" t="s">
        <v>997</v>
      </c>
    </row>
    <row r="30" ht="16.5" spans="1:9">
      <c r="A30" s="2" t="s">
        <v>10</v>
      </c>
      <c r="B30" s="12" t="s">
        <v>945</v>
      </c>
      <c r="C30" s="4">
        <v>1</v>
      </c>
      <c r="D30" s="10" t="s">
        <v>998</v>
      </c>
      <c r="E30" s="10" t="s">
        <v>303</v>
      </c>
      <c r="H30" s="14" t="s">
        <v>96</v>
      </c>
      <c r="I30" s="24" t="s">
        <v>997</v>
      </c>
    </row>
    <row r="31" ht="16.5" spans="1:9">
      <c r="A31" s="2" t="s">
        <v>10</v>
      </c>
      <c r="B31" s="11" t="s">
        <v>947</v>
      </c>
      <c r="C31" s="4">
        <v>1</v>
      </c>
      <c r="D31" s="10" t="s">
        <v>998</v>
      </c>
      <c r="E31" s="10" t="s">
        <v>303</v>
      </c>
      <c r="H31" s="14" t="s">
        <v>99</v>
      </c>
      <c r="I31" s="24" t="s">
        <v>997</v>
      </c>
    </row>
    <row r="32" ht="16.5" spans="1:9">
      <c r="A32" s="2" t="s">
        <v>10</v>
      </c>
      <c r="B32" s="11" t="s">
        <v>949</v>
      </c>
      <c r="C32" s="4">
        <v>1</v>
      </c>
      <c r="D32" s="10" t="s">
        <v>998</v>
      </c>
      <c r="E32" s="10" t="s">
        <v>303</v>
      </c>
      <c r="H32" s="8" t="s">
        <v>102</v>
      </c>
      <c r="I32" s="24" t="s">
        <v>997</v>
      </c>
    </row>
    <row r="33" ht="16.5" spans="1:9">
      <c r="A33" s="2" t="s">
        <v>10</v>
      </c>
      <c r="B33" s="11" t="s">
        <v>951</v>
      </c>
      <c r="C33" s="4">
        <v>1</v>
      </c>
      <c r="D33" s="10" t="s">
        <v>998</v>
      </c>
      <c r="E33" s="10" t="s">
        <v>303</v>
      </c>
      <c r="H33" s="8" t="s">
        <v>105</v>
      </c>
      <c r="I33" s="24" t="s">
        <v>997</v>
      </c>
    </row>
    <row r="34" ht="16.5" spans="1:9">
      <c r="A34" s="2" t="s">
        <v>10</v>
      </c>
      <c r="B34" s="11" t="s">
        <v>928</v>
      </c>
      <c r="C34" s="4">
        <v>1</v>
      </c>
      <c r="D34" s="10" t="s">
        <v>998</v>
      </c>
      <c r="E34" s="10" t="s">
        <v>303</v>
      </c>
      <c r="H34" s="8" t="s">
        <v>108</v>
      </c>
      <c r="I34" s="24" t="s">
        <v>997</v>
      </c>
    </row>
    <row r="35" ht="16.5" spans="1:9">
      <c r="A35" s="2" t="s">
        <v>10</v>
      </c>
      <c r="B35" s="11" t="s">
        <v>953</v>
      </c>
      <c r="C35" s="4">
        <v>1</v>
      </c>
      <c r="D35" s="10" t="s">
        <v>998</v>
      </c>
      <c r="E35" s="10" t="s">
        <v>303</v>
      </c>
      <c r="H35" s="8" t="s">
        <v>111</v>
      </c>
      <c r="I35" s="24" t="s">
        <v>997</v>
      </c>
    </row>
    <row r="36" ht="16.5" spans="1:9">
      <c r="A36" s="2" t="s">
        <v>10</v>
      </c>
      <c r="B36" s="11" t="s">
        <v>955</v>
      </c>
      <c r="C36" s="4">
        <v>1</v>
      </c>
      <c r="D36" s="10" t="s">
        <v>998</v>
      </c>
      <c r="E36" s="10" t="s">
        <v>303</v>
      </c>
      <c r="H36" s="14" t="s">
        <v>888</v>
      </c>
      <c r="I36" s="24" t="s">
        <v>419</v>
      </c>
    </row>
    <row r="37" ht="16.5" spans="1:9">
      <c r="A37" s="2" t="s">
        <v>10</v>
      </c>
      <c r="B37" s="11" t="s">
        <v>957</v>
      </c>
      <c r="C37" s="4">
        <v>1</v>
      </c>
      <c r="D37" s="10" t="s">
        <v>998</v>
      </c>
      <c r="E37" s="10" t="s">
        <v>303</v>
      </c>
      <c r="H37" s="14" t="s">
        <v>891</v>
      </c>
      <c r="I37" s="24" t="s">
        <v>419</v>
      </c>
    </row>
    <row r="38" ht="16.5" spans="1:9">
      <c r="A38" s="2" t="s">
        <v>10</v>
      </c>
      <c r="B38" s="11" t="s">
        <v>922</v>
      </c>
      <c r="C38" s="4">
        <v>1</v>
      </c>
      <c r="D38" s="10" t="s">
        <v>998</v>
      </c>
      <c r="E38" s="10" t="s">
        <v>303</v>
      </c>
      <c r="H38" s="15" t="s">
        <v>325</v>
      </c>
      <c r="I38" s="24" t="s">
        <v>300</v>
      </c>
    </row>
    <row r="39" ht="16.5" spans="1:9">
      <c r="A39" s="2" t="s">
        <v>10</v>
      </c>
      <c r="B39" s="16" t="s">
        <v>959</v>
      </c>
      <c r="C39" s="4">
        <v>1</v>
      </c>
      <c r="D39" s="10" t="s">
        <v>998</v>
      </c>
      <c r="E39" s="10" t="s">
        <v>303</v>
      </c>
      <c r="H39" s="15" t="s">
        <v>328</v>
      </c>
      <c r="I39" s="24" t="s">
        <v>300</v>
      </c>
    </row>
    <row r="40" ht="16.5" spans="1:9">
      <c r="A40" s="2" t="s">
        <v>10</v>
      </c>
      <c r="B40" s="11" t="s">
        <v>961</v>
      </c>
      <c r="C40" s="4">
        <v>1</v>
      </c>
      <c r="D40" s="10" t="s">
        <v>998</v>
      </c>
      <c r="E40" s="10" t="s">
        <v>303</v>
      </c>
      <c r="H40" s="15" t="s">
        <v>331</v>
      </c>
      <c r="I40" s="24" t="s">
        <v>300</v>
      </c>
    </row>
    <row r="41" ht="16.5" spans="1:9">
      <c r="A41" s="2" t="s">
        <v>10</v>
      </c>
      <c r="B41" s="11" t="s">
        <v>964</v>
      </c>
      <c r="C41" s="4">
        <v>1</v>
      </c>
      <c r="D41" s="10" t="s">
        <v>998</v>
      </c>
      <c r="E41" s="10" t="s">
        <v>303</v>
      </c>
      <c r="H41" s="15" t="s">
        <v>334</v>
      </c>
      <c r="I41" s="24" t="s">
        <v>300</v>
      </c>
    </row>
    <row r="42" ht="16.5" spans="1:9">
      <c r="A42" s="2" t="s">
        <v>10</v>
      </c>
      <c r="B42" s="9" t="s">
        <v>933</v>
      </c>
      <c r="C42" s="4">
        <v>2</v>
      </c>
      <c r="D42" s="10" t="s">
        <v>998</v>
      </c>
      <c r="E42" s="10" t="s">
        <v>303</v>
      </c>
      <c r="H42" s="17" t="s">
        <v>337</v>
      </c>
      <c r="I42" s="24" t="s">
        <v>300</v>
      </c>
    </row>
    <row r="43" ht="16.5" spans="1:9">
      <c r="A43" s="2" t="s">
        <v>10</v>
      </c>
      <c r="B43" s="9" t="s">
        <v>966</v>
      </c>
      <c r="C43" s="4">
        <v>2</v>
      </c>
      <c r="D43" s="10" t="s">
        <v>998</v>
      </c>
      <c r="E43" s="10" t="s">
        <v>303</v>
      </c>
      <c r="H43" s="8" t="s">
        <v>340</v>
      </c>
      <c r="I43" s="24" t="s">
        <v>300</v>
      </c>
    </row>
    <row r="44" ht="16.5" spans="1:9">
      <c r="A44" s="2" t="s">
        <v>10</v>
      </c>
      <c r="B44" s="9" t="s">
        <v>969</v>
      </c>
      <c r="C44" s="4">
        <v>2</v>
      </c>
      <c r="D44" s="10" t="s">
        <v>998</v>
      </c>
      <c r="E44" s="10" t="s">
        <v>303</v>
      </c>
      <c r="H44" s="8" t="s">
        <v>343</v>
      </c>
      <c r="I44" s="24" t="s">
        <v>300</v>
      </c>
    </row>
    <row r="45" ht="16.5" spans="1:9">
      <c r="A45" s="2" t="s">
        <v>10</v>
      </c>
      <c r="B45" s="9" t="s">
        <v>971</v>
      </c>
      <c r="C45" s="4">
        <v>2</v>
      </c>
      <c r="D45" s="10" t="s">
        <v>998</v>
      </c>
      <c r="E45" s="10" t="s">
        <v>303</v>
      </c>
      <c r="H45" s="18" t="s">
        <v>346</v>
      </c>
      <c r="I45" s="24" t="s">
        <v>300</v>
      </c>
    </row>
    <row r="46" ht="16.5" spans="1:9">
      <c r="A46" s="2" t="s">
        <v>10</v>
      </c>
      <c r="B46" s="3" t="s">
        <v>973</v>
      </c>
      <c r="C46" s="4">
        <v>1</v>
      </c>
      <c r="D46" s="10" t="s">
        <v>996</v>
      </c>
      <c r="E46" s="10" t="s">
        <v>354</v>
      </c>
      <c r="H46" s="18" t="s">
        <v>349</v>
      </c>
      <c r="I46" s="24" t="s">
        <v>300</v>
      </c>
    </row>
    <row r="47" ht="16.5" spans="1:9">
      <c r="A47" s="2" t="s">
        <v>10</v>
      </c>
      <c r="B47" s="3" t="s">
        <v>975</v>
      </c>
      <c r="C47" s="4">
        <v>1</v>
      </c>
      <c r="D47" s="10" t="s">
        <v>996</v>
      </c>
      <c r="E47" s="10" t="s">
        <v>354</v>
      </c>
      <c r="H47" s="8" t="s">
        <v>114</v>
      </c>
      <c r="I47" s="25" t="s">
        <v>995</v>
      </c>
    </row>
    <row r="48" ht="16.5" spans="1:9">
      <c r="A48" s="2" t="s">
        <v>10</v>
      </c>
      <c r="B48" s="13" t="s">
        <v>977</v>
      </c>
      <c r="C48" s="4">
        <v>1</v>
      </c>
      <c r="D48" s="10" t="s">
        <v>996</v>
      </c>
      <c r="E48" s="10" t="s">
        <v>354</v>
      </c>
      <c r="H48" s="19" t="s">
        <v>118</v>
      </c>
      <c r="I48" s="24" t="s">
        <v>997</v>
      </c>
    </row>
    <row r="49" ht="16.5" spans="1:9">
      <c r="A49" s="2" t="s">
        <v>10</v>
      </c>
      <c r="B49" s="13" t="s">
        <v>979</v>
      </c>
      <c r="C49" s="4">
        <v>1</v>
      </c>
      <c r="D49" s="10" t="s">
        <v>996</v>
      </c>
      <c r="E49" s="10" t="s">
        <v>354</v>
      </c>
      <c r="H49" s="20" t="s">
        <v>121</v>
      </c>
      <c r="I49" s="24" t="s">
        <v>997</v>
      </c>
    </row>
    <row r="50" ht="16.5" spans="1:9">
      <c r="A50" s="2" t="s">
        <v>10</v>
      </c>
      <c r="B50" s="8" t="s">
        <v>981</v>
      </c>
      <c r="C50" s="4">
        <v>2</v>
      </c>
      <c r="D50" s="10" t="s">
        <v>996</v>
      </c>
      <c r="E50" s="10" t="s">
        <v>354</v>
      </c>
      <c r="H50" s="14" t="s">
        <v>124</v>
      </c>
      <c r="I50" s="24" t="s">
        <v>997</v>
      </c>
    </row>
    <row r="51" ht="16.5" spans="1:9">
      <c r="A51" s="2" t="s">
        <v>10</v>
      </c>
      <c r="B51" s="8" t="s">
        <v>983</v>
      </c>
      <c r="C51" s="4">
        <v>2</v>
      </c>
      <c r="D51" s="10" t="s">
        <v>996</v>
      </c>
      <c r="E51" s="10" t="s">
        <v>354</v>
      </c>
      <c r="H51" s="14" t="s">
        <v>127</v>
      </c>
      <c r="I51" s="24" t="s">
        <v>997</v>
      </c>
    </row>
    <row r="52" ht="16.5" spans="1:9">
      <c r="A52" s="2" t="s">
        <v>10</v>
      </c>
      <c r="B52" s="3" t="s">
        <v>985</v>
      </c>
      <c r="C52" s="4">
        <v>2</v>
      </c>
      <c r="D52" s="10" t="s">
        <v>996</v>
      </c>
      <c r="E52" s="10" t="s">
        <v>354</v>
      </c>
      <c r="H52" s="14" t="s">
        <v>130</v>
      </c>
      <c r="I52" s="24" t="s">
        <v>997</v>
      </c>
    </row>
    <row r="53" ht="16.5" spans="1:9">
      <c r="A53" s="2" t="s">
        <v>10</v>
      </c>
      <c r="B53" s="3" t="s">
        <v>987</v>
      </c>
      <c r="C53" s="4">
        <v>2</v>
      </c>
      <c r="D53" s="10" t="s">
        <v>996</v>
      </c>
      <c r="E53" s="10" t="s">
        <v>354</v>
      </c>
      <c r="H53" s="14" t="s">
        <v>133</v>
      </c>
      <c r="I53" s="24" t="s">
        <v>997</v>
      </c>
    </row>
    <row r="54" spans="8:9">
      <c r="H54" s="8" t="s">
        <v>136</v>
      </c>
      <c r="I54" s="24" t="s">
        <v>997</v>
      </c>
    </row>
    <row r="55" spans="8:9">
      <c r="H55" s="8" t="s">
        <v>139</v>
      </c>
      <c r="I55" s="24" t="s">
        <v>997</v>
      </c>
    </row>
    <row r="56" spans="8:9">
      <c r="H56" s="14" t="s">
        <v>142</v>
      </c>
      <c r="I56" s="24" t="s">
        <v>997</v>
      </c>
    </row>
    <row r="57" spans="8:9">
      <c r="H57" s="21" t="s">
        <v>145</v>
      </c>
      <c r="I57" s="24" t="s">
        <v>997</v>
      </c>
    </row>
    <row r="58" spans="8:9">
      <c r="H58" s="22" t="s">
        <v>148</v>
      </c>
      <c r="I58" s="24" t="s">
        <v>997</v>
      </c>
    </row>
    <row r="59" spans="8:9">
      <c r="H59" s="8" t="s">
        <v>151</v>
      </c>
      <c r="I59" s="24" t="s">
        <v>997</v>
      </c>
    </row>
    <row r="60" spans="8:9">
      <c r="H60" s="8" t="s">
        <v>154</v>
      </c>
      <c r="I60" s="24" t="s">
        <v>997</v>
      </c>
    </row>
    <row r="61" spans="8:9">
      <c r="H61" s="23" t="s">
        <v>157</v>
      </c>
      <c r="I61" s="24" t="s">
        <v>997</v>
      </c>
    </row>
    <row r="62" spans="8:9">
      <c r="H62" s="23" t="s">
        <v>160</v>
      </c>
      <c r="I62" s="24" t="s">
        <v>997</v>
      </c>
    </row>
    <row r="63" spans="8:9">
      <c r="H63" s="14" t="s">
        <v>163</v>
      </c>
      <c r="I63" s="24" t="s">
        <v>997</v>
      </c>
    </row>
    <row r="64" spans="8:9">
      <c r="H64" s="14" t="s">
        <v>166</v>
      </c>
      <c r="I64" s="24" t="s">
        <v>997</v>
      </c>
    </row>
    <row r="65" spans="8:9">
      <c r="H65" s="14" t="s">
        <v>169</v>
      </c>
      <c r="I65" s="24" t="s">
        <v>997</v>
      </c>
    </row>
    <row r="66" spans="8:9">
      <c r="H66" s="14" t="s">
        <v>172</v>
      </c>
      <c r="I66" s="24" t="s">
        <v>997</v>
      </c>
    </row>
    <row r="67" spans="8:9">
      <c r="H67" s="14" t="s">
        <v>175</v>
      </c>
      <c r="I67" s="24" t="s">
        <v>997</v>
      </c>
    </row>
    <row r="68" spans="8:9">
      <c r="H68" s="14" t="s">
        <v>178</v>
      </c>
      <c r="I68" s="24" t="s">
        <v>997</v>
      </c>
    </row>
    <row r="69" spans="8:9">
      <c r="H69" s="14" t="s">
        <v>181</v>
      </c>
      <c r="I69" s="24" t="s">
        <v>997</v>
      </c>
    </row>
    <row r="70" spans="8:9">
      <c r="H70" s="8" t="s">
        <v>184</v>
      </c>
      <c r="I70" s="24" t="s">
        <v>997</v>
      </c>
    </row>
    <row r="71" spans="8:9">
      <c r="H71" s="8" t="s">
        <v>187</v>
      </c>
      <c r="I71" s="24" t="s">
        <v>997</v>
      </c>
    </row>
    <row r="72" spans="8:9">
      <c r="H72" s="20" t="s">
        <v>190</v>
      </c>
      <c r="I72" s="24" t="s">
        <v>997</v>
      </c>
    </row>
    <row r="73" spans="8:9">
      <c r="H73" s="8" t="s">
        <v>193</v>
      </c>
      <c r="I73" s="24" t="s">
        <v>997</v>
      </c>
    </row>
    <row r="74" spans="8:9">
      <c r="H74" s="20" t="s">
        <v>196</v>
      </c>
      <c r="I74" s="24" t="s">
        <v>997</v>
      </c>
    </row>
    <row r="75" spans="8:9">
      <c r="H75" s="20" t="s">
        <v>199</v>
      </c>
      <c r="I75" s="24" t="s">
        <v>997</v>
      </c>
    </row>
    <row r="76" spans="8:9">
      <c r="H76" s="26" t="s">
        <v>202</v>
      </c>
      <c r="I76" s="24" t="s">
        <v>997</v>
      </c>
    </row>
    <row r="77" spans="8:9">
      <c r="H77" s="26" t="s">
        <v>205</v>
      </c>
      <c r="I77" s="24" t="s">
        <v>997</v>
      </c>
    </row>
    <row r="78" spans="8:9">
      <c r="H78" s="14" t="s">
        <v>208</v>
      </c>
      <c r="I78" s="24" t="s">
        <v>997</v>
      </c>
    </row>
    <row r="79" spans="8:9">
      <c r="H79" s="14" t="s">
        <v>211</v>
      </c>
      <c r="I79" s="24" t="s">
        <v>997</v>
      </c>
    </row>
    <row r="80" spans="8:9">
      <c r="H80" s="14" t="s">
        <v>214</v>
      </c>
      <c r="I80" s="24" t="s">
        <v>997</v>
      </c>
    </row>
    <row r="81" spans="8:9">
      <c r="H81" s="14" t="s">
        <v>217</v>
      </c>
      <c r="I81" s="24" t="s">
        <v>997</v>
      </c>
    </row>
    <row r="82" spans="8:9">
      <c r="H82" s="14" t="s">
        <v>220</v>
      </c>
      <c r="I82" s="24" t="s">
        <v>997</v>
      </c>
    </row>
    <row r="83" spans="8:9">
      <c r="H83" s="8" t="s">
        <v>223</v>
      </c>
      <c r="I83" s="24" t="s">
        <v>997</v>
      </c>
    </row>
    <row r="84" spans="8:9">
      <c r="H84" s="14" t="s">
        <v>226</v>
      </c>
      <c r="I84" s="24" t="s">
        <v>997</v>
      </c>
    </row>
    <row r="85" spans="8:9">
      <c r="H85" s="14" t="s">
        <v>229</v>
      </c>
      <c r="I85" s="24" t="s">
        <v>997</v>
      </c>
    </row>
    <row r="86" spans="8:9">
      <c r="H86" s="14" t="s">
        <v>232</v>
      </c>
      <c r="I86" s="24" t="s">
        <v>997</v>
      </c>
    </row>
    <row r="87" spans="8:9">
      <c r="H87" s="14" t="s">
        <v>235</v>
      </c>
      <c r="I87" s="24" t="s">
        <v>997</v>
      </c>
    </row>
    <row r="88" spans="8:9">
      <c r="H88" s="14" t="s">
        <v>238</v>
      </c>
      <c r="I88" s="24" t="s">
        <v>997</v>
      </c>
    </row>
    <row r="89" spans="8:9">
      <c r="H89" s="20" t="s">
        <v>418</v>
      </c>
      <c r="I89" s="24" t="s">
        <v>419</v>
      </c>
    </row>
    <row r="90" spans="8:9">
      <c r="H90" s="20" t="s">
        <v>421</v>
      </c>
      <c r="I90" s="24" t="s">
        <v>419</v>
      </c>
    </row>
    <row r="91" spans="8:9">
      <c r="H91" s="14" t="s">
        <v>423</v>
      </c>
      <c r="I91" s="24" t="s">
        <v>798</v>
      </c>
    </row>
    <row r="92" spans="8:9">
      <c r="H92" s="14" t="s">
        <v>425</v>
      </c>
      <c r="I92" s="24" t="s">
        <v>798</v>
      </c>
    </row>
    <row r="93" spans="8:9">
      <c r="H93" s="8" t="s">
        <v>307</v>
      </c>
      <c r="I93" s="24" t="s">
        <v>997</v>
      </c>
    </row>
    <row r="94" spans="8:9">
      <c r="H94" s="14" t="s">
        <v>311</v>
      </c>
      <c r="I94" s="24" t="s">
        <v>997</v>
      </c>
    </row>
    <row r="95" spans="8:9">
      <c r="H95" s="20" t="s">
        <v>315</v>
      </c>
      <c r="I95" s="24" t="s">
        <v>997</v>
      </c>
    </row>
    <row r="96" spans="8:9">
      <c r="H96" s="27" t="s">
        <v>318</v>
      </c>
      <c r="I96" s="24" t="s">
        <v>997</v>
      </c>
    </row>
    <row r="97" spans="8:9">
      <c r="H97" s="17" t="s">
        <v>321</v>
      </c>
      <c r="I97" s="24" t="s">
        <v>997</v>
      </c>
    </row>
    <row r="98" spans="8:9">
      <c r="H98" s="14" t="s">
        <v>324</v>
      </c>
      <c r="I98" s="24" t="s">
        <v>997</v>
      </c>
    </row>
    <row r="99" spans="8:9">
      <c r="H99" s="14" t="s">
        <v>327</v>
      </c>
      <c r="I99" s="25" t="s">
        <v>995</v>
      </c>
    </row>
    <row r="100" spans="8:9">
      <c r="H100" s="8" t="s">
        <v>330</v>
      </c>
      <c r="I100" s="24" t="s">
        <v>997</v>
      </c>
    </row>
    <row r="101" spans="8:9">
      <c r="H101" s="21" t="s">
        <v>333</v>
      </c>
      <c r="I101" s="24" t="s">
        <v>997</v>
      </c>
    </row>
    <row r="102" spans="8:9">
      <c r="H102" s="14" t="s">
        <v>336</v>
      </c>
      <c r="I102" s="24" t="s">
        <v>997</v>
      </c>
    </row>
    <row r="103" spans="8:9">
      <c r="H103" s="8" t="s">
        <v>339</v>
      </c>
      <c r="I103" s="24" t="s">
        <v>997</v>
      </c>
    </row>
    <row r="104" spans="8:9">
      <c r="H104" s="8" t="s">
        <v>342</v>
      </c>
      <c r="I104" s="24" t="s">
        <v>997</v>
      </c>
    </row>
    <row r="105" spans="8:9">
      <c r="H105" s="14" t="s">
        <v>25</v>
      </c>
      <c r="I105" s="24" t="s">
        <v>997</v>
      </c>
    </row>
    <row r="106" spans="8:9">
      <c r="H106" s="14" t="s">
        <v>28</v>
      </c>
      <c r="I106" s="24" t="s">
        <v>997</v>
      </c>
    </row>
    <row r="107" spans="8:9">
      <c r="H107" s="20" t="s">
        <v>31</v>
      </c>
      <c r="I107" s="24" t="s">
        <v>997</v>
      </c>
    </row>
    <row r="108" spans="8:9">
      <c r="H108" s="20" t="s">
        <v>55</v>
      </c>
      <c r="I108" s="24" t="s">
        <v>997</v>
      </c>
    </row>
    <row r="109" spans="8:9">
      <c r="H109" s="20" t="s">
        <v>58</v>
      </c>
      <c r="I109" s="24" t="s">
        <v>997</v>
      </c>
    </row>
    <row r="110" spans="8:9">
      <c r="H110" s="20" t="s">
        <v>61</v>
      </c>
      <c r="I110" s="24" t="s">
        <v>997</v>
      </c>
    </row>
    <row r="111" spans="8:9">
      <c r="H111" s="28" t="s">
        <v>64</v>
      </c>
      <c r="I111" s="24" t="s">
        <v>997</v>
      </c>
    </row>
    <row r="112" spans="8:9">
      <c r="H112" s="20" t="s">
        <v>67</v>
      </c>
      <c r="I112" s="24" t="s">
        <v>997</v>
      </c>
    </row>
    <row r="113" spans="8:9">
      <c r="H113" s="20" t="s">
        <v>70</v>
      </c>
      <c r="I113" s="24" t="s">
        <v>997</v>
      </c>
    </row>
    <row r="114" spans="8:9">
      <c r="H114" s="8" t="s">
        <v>73</v>
      </c>
      <c r="I114" s="24" t="s">
        <v>997</v>
      </c>
    </row>
    <row r="115" spans="8:9">
      <c r="H115" s="8" t="s">
        <v>76</v>
      </c>
      <c r="I115" s="24" t="s">
        <v>997</v>
      </c>
    </row>
    <row r="116" spans="8:9">
      <c r="H116" s="8" t="s">
        <v>79</v>
      </c>
      <c r="I116" s="24" t="s">
        <v>997</v>
      </c>
    </row>
    <row r="117" spans="8:9">
      <c r="H117" s="8" t="s">
        <v>82</v>
      </c>
      <c r="I117" s="24" t="s">
        <v>997</v>
      </c>
    </row>
    <row r="118" spans="8:9">
      <c r="H118" s="20" t="s">
        <v>85</v>
      </c>
      <c r="I118" s="24" t="s">
        <v>997</v>
      </c>
    </row>
    <row r="119" spans="8:9">
      <c r="H119" s="20" t="s">
        <v>88</v>
      </c>
      <c r="I119" s="24" t="s">
        <v>997</v>
      </c>
    </row>
    <row r="120" spans="8:9">
      <c r="H120" s="20" t="s">
        <v>91</v>
      </c>
      <c r="I120" s="24" t="s">
        <v>997</v>
      </c>
    </row>
    <row r="121" spans="8:9">
      <c r="H121" s="17" t="s">
        <v>94</v>
      </c>
      <c r="I121" s="24" t="s">
        <v>997</v>
      </c>
    </row>
    <row r="122" spans="8:9">
      <c r="H122" s="29" t="s">
        <v>97</v>
      </c>
      <c r="I122" s="24" t="s">
        <v>997</v>
      </c>
    </row>
    <row r="123" spans="8:9">
      <c r="H123" s="29" t="s">
        <v>100</v>
      </c>
      <c r="I123" s="24" t="s">
        <v>997</v>
      </c>
    </row>
    <row r="124" spans="8:9">
      <c r="H124" s="14" t="s">
        <v>103</v>
      </c>
      <c r="I124" s="24" t="s">
        <v>997</v>
      </c>
    </row>
    <row r="125" spans="8:9">
      <c r="H125" s="14" t="s">
        <v>106</v>
      </c>
      <c r="I125" s="24" t="s">
        <v>997</v>
      </c>
    </row>
    <row r="126" spans="8:9">
      <c r="H126" s="15" t="s">
        <v>109</v>
      </c>
      <c r="I126" s="24" t="s">
        <v>997</v>
      </c>
    </row>
    <row r="127" spans="8:9">
      <c r="H127" s="14" t="s">
        <v>116</v>
      </c>
      <c r="I127" s="24" t="s">
        <v>997</v>
      </c>
    </row>
    <row r="128" spans="8:9">
      <c r="H128" s="14" t="s">
        <v>119</v>
      </c>
      <c r="I128" s="24" t="s">
        <v>997</v>
      </c>
    </row>
    <row r="129" spans="8:9">
      <c r="H129" s="14" t="s">
        <v>122</v>
      </c>
      <c r="I129" s="24" t="s">
        <v>997</v>
      </c>
    </row>
    <row r="130" spans="8:9">
      <c r="H130" s="14" t="s">
        <v>125</v>
      </c>
      <c r="I130" s="24" t="s">
        <v>997</v>
      </c>
    </row>
    <row r="131" spans="8:9">
      <c r="H131" s="8" t="s">
        <v>128</v>
      </c>
      <c r="I131" s="24" t="s">
        <v>997</v>
      </c>
    </row>
    <row r="132" spans="8:9">
      <c r="H132" s="8" t="s">
        <v>131</v>
      </c>
      <c r="I132" s="24" t="s">
        <v>997</v>
      </c>
    </row>
    <row r="133" spans="8:9">
      <c r="H133" s="8" t="s">
        <v>134</v>
      </c>
      <c r="I133" s="24" t="s">
        <v>997</v>
      </c>
    </row>
    <row r="134" spans="8:9">
      <c r="H134" s="8" t="s">
        <v>137</v>
      </c>
      <c r="I134" s="24" t="s">
        <v>997</v>
      </c>
    </row>
    <row r="135" spans="8:9">
      <c r="H135" s="14" t="s">
        <v>140</v>
      </c>
      <c r="I135" s="24" t="s">
        <v>997</v>
      </c>
    </row>
    <row r="136" spans="8:9">
      <c r="H136" s="14" t="s">
        <v>143</v>
      </c>
      <c r="I136" s="24" t="s">
        <v>997</v>
      </c>
    </row>
    <row r="137" spans="8:9">
      <c r="H137" s="14" t="s">
        <v>146</v>
      </c>
      <c r="I137" s="24" t="s">
        <v>997</v>
      </c>
    </row>
    <row r="138" spans="8:9">
      <c r="H138" s="8" t="s">
        <v>149</v>
      </c>
      <c r="I138" s="24" t="s">
        <v>997</v>
      </c>
    </row>
    <row r="139" spans="8:9">
      <c r="H139" s="8" t="s">
        <v>152</v>
      </c>
      <c r="I139" s="24" t="s">
        <v>997</v>
      </c>
    </row>
    <row r="140" spans="8:9">
      <c r="H140" s="8" t="s">
        <v>155</v>
      </c>
      <c r="I140" s="24" t="s">
        <v>997</v>
      </c>
    </row>
    <row r="141" spans="8:9">
      <c r="H141" s="8" t="s">
        <v>170</v>
      </c>
      <c r="I141" s="24" t="s">
        <v>997</v>
      </c>
    </row>
    <row r="142" spans="8:9">
      <c r="H142" s="26" t="s">
        <v>173</v>
      </c>
      <c r="I142" s="24" t="s">
        <v>997</v>
      </c>
    </row>
    <row r="143" spans="8:9">
      <c r="H143" s="8" t="s">
        <v>176</v>
      </c>
      <c r="I143" s="24" t="s">
        <v>997</v>
      </c>
    </row>
    <row r="144" spans="8:9">
      <c r="H144" s="8" t="s">
        <v>179</v>
      </c>
      <c r="I144" s="24" t="s">
        <v>997</v>
      </c>
    </row>
    <row r="145" spans="8:9">
      <c r="H145" s="8" t="s">
        <v>182</v>
      </c>
      <c r="I145" s="24" t="s">
        <v>997</v>
      </c>
    </row>
    <row r="146" spans="8:9">
      <c r="H146" s="8" t="s">
        <v>185</v>
      </c>
      <c r="I146" s="24" t="s">
        <v>997</v>
      </c>
    </row>
    <row r="147" spans="8:9">
      <c r="H147" s="20" t="s">
        <v>188</v>
      </c>
      <c r="I147" s="24" t="s">
        <v>997</v>
      </c>
    </row>
    <row r="148" spans="8:9">
      <c r="H148" s="20" t="s">
        <v>191</v>
      </c>
      <c r="I148" s="24" t="s">
        <v>997</v>
      </c>
    </row>
    <row r="149" spans="8:9">
      <c r="H149" s="14" t="s">
        <v>194</v>
      </c>
      <c r="I149" s="24" t="s">
        <v>997</v>
      </c>
    </row>
    <row r="150" spans="8:9">
      <c r="H150" s="14" t="s">
        <v>197</v>
      </c>
      <c r="I150" s="24" t="s">
        <v>997</v>
      </c>
    </row>
    <row r="151" spans="8:9">
      <c r="H151" s="8" t="s">
        <v>200</v>
      </c>
      <c r="I151" s="24" t="s">
        <v>997</v>
      </c>
    </row>
    <row r="152" spans="8:9">
      <c r="H152" s="8" t="s">
        <v>203</v>
      </c>
      <c r="I152" s="24" t="s">
        <v>997</v>
      </c>
    </row>
    <row r="153" spans="8:9">
      <c r="H153" s="14" t="s">
        <v>206</v>
      </c>
      <c r="I153" s="24" t="s">
        <v>997</v>
      </c>
    </row>
    <row r="154" spans="8:9">
      <c r="H154" s="27" t="s">
        <v>209</v>
      </c>
      <c r="I154" s="24" t="s">
        <v>997</v>
      </c>
    </row>
    <row r="155" spans="8:9">
      <c r="H155" s="27" t="s">
        <v>212</v>
      </c>
      <c r="I155" s="24" t="s">
        <v>997</v>
      </c>
    </row>
    <row r="156" spans="8:9">
      <c r="H156" s="17" t="s">
        <v>215</v>
      </c>
      <c r="I156" s="24" t="s">
        <v>997</v>
      </c>
    </row>
    <row r="157" spans="8:9">
      <c r="H157" s="29" t="s">
        <v>416</v>
      </c>
      <c r="I157" s="24" t="s">
        <v>997</v>
      </c>
    </row>
    <row r="158" spans="8:9">
      <c r="H158" s="20" t="s">
        <v>218</v>
      </c>
      <c r="I158" s="24" t="s">
        <v>997</v>
      </c>
    </row>
    <row r="159" spans="8:9">
      <c r="H159" s="29" t="s">
        <v>221</v>
      </c>
      <c r="I159" s="24" t="s">
        <v>997</v>
      </c>
    </row>
    <row r="160" spans="8:9">
      <c r="H160" s="14" t="s">
        <v>230</v>
      </c>
      <c r="I160" s="24" t="s">
        <v>997</v>
      </c>
    </row>
    <row r="161" spans="8:9">
      <c r="H161" s="14" t="s">
        <v>233</v>
      </c>
      <c r="I161" s="24" t="s">
        <v>997</v>
      </c>
    </row>
    <row r="162" spans="8:9">
      <c r="H162" s="14" t="s">
        <v>236</v>
      </c>
      <c r="I162" s="24" t="s">
        <v>997</v>
      </c>
    </row>
    <row r="163" spans="8:9">
      <c r="H163" s="14" t="s">
        <v>239</v>
      </c>
      <c r="I163" s="24" t="s">
        <v>997</v>
      </c>
    </row>
    <row r="164" spans="8:9">
      <c r="H164" s="15" t="s">
        <v>242</v>
      </c>
      <c r="I164" s="24" t="s">
        <v>997</v>
      </c>
    </row>
    <row r="165" spans="8:9">
      <c r="H165" s="15" t="s">
        <v>245</v>
      </c>
      <c r="I165" s="24" t="s">
        <v>997</v>
      </c>
    </row>
    <row r="166" spans="8:9">
      <c r="H166" s="15" t="s">
        <v>248</v>
      </c>
      <c r="I166" s="24" t="s">
        <v>997</v>
      </c>
    </row>
    <row r="167" spans="8:9">
      <c r="H167" s="15" t="s">
        <v>251</v>
      </c>
      <c r="I167" s="24" t="s">
        <v>997</v>
      </c>
    </row>
    <row r="168" spans="8:9">
      <c r="H168" s="15" t="s">
        <v>254</v>
      </c>
      <c r="I168" s="24" t="s">
        <v>997</v>
      </c>
    </row>
    <row r="169" spans="8:9">
      <c r="H169" s="15" t="s">
        <v>257</v>
      </c>
      <c r="I169" s="24" t="s">
        <v>997</v>
      </c>
    </row>
    <row r="170" spans="8:9">
      <c r="H170" s="14" t="s">
        <v>260</v>
      </c>
      <c r="I170" s="24" t="s">
        <v>997</v>
      </c>
    </row>
    <row r="171" spans="8:9">
      <c r="H171" s="14" t="s">
        <v>263</v>
      </c>
      <c r="I171" s="24" t="s">
        <v>997</v>
      </c>
    </row>
    <row r="172" spans="8:9">
      <c r="H172" s="14" t="s">
        <v>266</v>
      </c>
      <c r="I172" s="24" t="s">
        <v>997</v>
      </c>
    </row>
    <row r="173" spans="8:9">
      <c r="H173" s="14" t="s">
        <v>269</v>
      </c>
      <c r="I173" s="24" t="s">
        <v>997</v>
      </c>
    </row>
    <row r="174" spans="8:9">
      <c r="H174" s="8" t="s">
        <v>272</v>
      </c>
      <c r="I174" s="24" t="s">
        <v>997</v>
      </c>
    </row>
    <row r="175" spans="8:9">
      <c r="H175" s="30" t="s">
        <v>275</v>
      </c>
      <c r="I175" s="24" t="s">
        <v>997</v>
      </c>
    </row>
    <row r="176" spans="8:9">
      <c r="H176" s="30" t="s">
        <v>278</v>
      </c>
      <c r="I176" s="24" t="s">
        <v>997</v>
      </c>
    </row>
    <row r="177" spans="8:9">
      <c r="H177" s="30" t="s">
        <v>281</v>
      </c>
      <c r="I177" s="24" t="s">
        <v>997</v>
      </c>
    </row>
    <row r="178" spans="8:9">
      <c r="H178" s="8" t="s">
        <v>284</v>
      </c>
      <c r="I178" s="24" t="s">
        <v>997</v>
      </c>
    </row>
    <row r="179" spans="8:9">
      <c r="H179" s="8" t="s">
        <v>287</v>
      </c>
      <c r="I179" s="24" t="s">
        <v>997</v>
      </c>
    </row>
    <row r="180" spans="8:9">
      <c r="H180" s="8" t="s">
        <v>290</v>
      </c>
      <c r="I180" s="24" t="s">
        <v>997</v>
      </c>
    </row>
    <row r="181" spans="8:9">
      <c r="H181" s="15" t="s">
        <v>293</v>
      </c>
      <c r="I181" s="24" t="s">
        <v>997</v>
      </c>
    </row>
    <row r="182" spans="8:9">
      <c r="H182" s="15" t="s">
        <v>296</v>
      </c>
      <c r="I182" s="24" t="s">
        <v>997</v>
      </c>
    </row>
    <row r="183" spans="8:9">
      <c r="H183" s="15" t="s">
        <v>299</v>
      </c>
      <c r="I183" s="24" t="s">
        <v>300</v>
      </c>
    </row>
    <row r="184" spans="8:9">
      <c r="H184" s="15" t="s">
        <v>304</v>
      </c>
      <c r="I184" s="24" t="s">
        <v>300</v>
      </c>
    </row>
    <row r="185" spans="8:9">
      <c r="H185" s="15" t="s">
        <v>309</v>
      </c>
      <c r="I185" s="24" t="s">
        <v>300</v>
      </c>
    </row>
    <row r="186" spans="8:9">
      <c r="H186" s="15" t="s">
        <v>313</v>
      </c>
      <c r="I186" s="24" t="s">
        <v>997</v>
      </c>
    </row>
    <row r="187" spans="8:9">
      <c r="H187" s="15" t="s">
        <v>316</v>
      </c>
      <c r="I187" s="24" t="s">
        <v>997</v>
      </c>
    </row>
    <row r="188" spans="8:9">
      <c r="H188" s="15" t="s">
        <v>319</v>
      </c>
      <c r="I188" s="24" t="s">
        <v>997</v>
      </c>
    </row>
    <row r="189" spans="8:9">
      <c r="H189" s="31" t="s">
        <v>322</v>
      </c>
      <c r="I189" s="24" t="s">
        <v>997</v>
      </c>
    </row>
    <row r="190" spans="8:9">
      <c r="H190" s="14" t="s">
        <v>427</v>
      </c>
      <c r="I190" s="24" t="s">
        <v>995</v>
      </c>
    </row>
    <row r="191" spans="8:9">
      <c r="H191" s="14" t="s">
        <v>429</v>
      </c>
      <c r="I191" s="24" t="s">
        <v>995</v>
      </c>
    </row>
    <row r="192" spans="8:9">
      <c r="H192" s="26" t="s">
        <v>433</v>
      </c>
      <c r="I192" s="24" t="s">
        <v>995</v>
      </c>
    </row>
    <row r="193" spans="8:9">
      <c r="H193" s="8" t="s">
        <v>435</v>
      </c>
      <c r="I193" s="24" t="s">
        <v>995</v>
      </c>
    </row>
    <row r="194" spans="8:9">
      <c r="H194" s="2" t="s">
        <v>441</v>
      </c>
      <c r="I194" s="24" t="s">
        <v>995</v>
      </c>
    </row>
    <row r="195" spans="8:9">
      <c r="H195" s="2" t="s">
        <v>443</v>
      </c>
      <c r="I195" s="24" t="s">
        <v>995</v>
      </c>
    </row>
    <row r="196" spans="8:9">
      <c r="H196" s="2" t="s">
        <v>445</v>
      </c>
      <c r="I196" s="24" t="s">
        <v>995</v>
      </c>
    </row>
    <row r="197" spans="8:9">
      <c r="H197" s="2" t="s">
        <v>447</v>
      </c>
      <c r="I197" s="24" t="s">
        <v>995</v>
      </c>
    </row>
    <row r="198" spans="8:9">
      <c r="H198" s="2" t="s">
        <v>449</v>
      </c>
      <c r="I198" s="24" t="s">
        <v>995</v>
      </c>
    </row>
    <row r="199" spans="8:9">
      <c r="H199" s="2" t="s">
        <v>451</v>
      </c>
      <c r="I199" s="24" t="s">
        <v>995</v>
      </c>
    </row>
    <row r="200" spans="8:9">
      <c r="H200" s="17" t="s">
        <v>431</v>
      </c>
      <c r="I200" s="24" t="s">
        <v>995</v>
      </c>
    </row>
    <row r="201" spans="8:9">
      <c r="H201" s="26" t="s">
        <v>453</v>
      </c>
      <c r="I201" s="24" t="s">
        <v>995</v>
      </c>
    </row>
    <row r="202" spans="8:9">
      <c r="H202" s="20" t="s">
        <v>455</v>
      </c>
      <c r="I202" s="24" t="s">
        <v>995</v>
      </c>
    </row>
    <row r="203" spans="8:9">
      <c r="H203" s="8" t="s">
        <v>457</v>
      </c>
      <c r="I203" s="24" t="s">
        <v>995</v>
      </c>
    </row>
    <row r="204" spans="8:9">
      <c r="H204" s="8" t="s">
        <v>459</v>
      </c>
      <c r="I204" s="24" t="s">
        <v>995</v>
      </c>
    </row>
    <row r="205" spans="8:9">
      <c r="H205" s="8" t="s">
        <v>461</v>
      </c>
      <c r="I205" s="24" t="s">
        <v>995</v>
      </c>
    </row>
    <row r="206" spans="8:9">
      <c r="H206" s="8" t="s">
        <v>463</v>
      </c>
      <c r="I206" s="24" t="s">
        <v>997</v>
      </c>
    </row>
    <row r="207" spans="8:9">
      <c r="H207" s="8" t="s">
        <v>465</v>
      </c>
      <c r="I207" s="24" t="s">
        <v>997</v>
      </c>
    </row>
    <row r="208" spans="8:9">
      <c r="H208" s="26" t="s">
        <v>467</v>
      </c>
      <c r="I208" s="24" t="s">
        <v>995</v>
      </c>
    </row>
    <row r="209" spans="8:9">
      <c r="H209" s="26" t="s">
        <v>469</v>
      </c>
      <c r="I209" s="24" t="s">
        <v>995</v>
      </c>
    </row>
    <row r="210" spans="8:9">
      <c r="H210" s="8" t="s">
        <v>471</v>
      </c>
      <c r="I210" s="24" t="s">
        <v>995</v>
      </c>
    </row>
    <row r="211" spans="8:9">
      <c r="H211" s="8" t="s">
        <v>473</v>
      </c>
      <c r="I211" s="24" t="s">
        <v>995</v>
      </c>
    </row>
    <row r="212" spans="8:9">
      <c r="H212" s="26" t="s">
        <v>475</v>
      </c>
      <c r="I212" s="24" t="s">
        <v>995</v>
      </c>
    </row>
    <row r="213" spans="8:9">
      <c r="H213" s="17" t="s">
        <v>477</v>
      </c>
      <c r="I213" s="24" t="s">
        <v>995</v>
      </c>
    </row>
    <row r="214" spans="8:9">
      <c r="H214" s="14" t="s">
        <v>479</v>
      </c>
      <c r="I214" s="24" t="s">
        <v>995</v>
      </c>
    </row>
    <row r="215" spans="8:9">
      <c r="H215" s="14" t="s">
        <v>481</v>
      </c>
      <c r="I215" s="24" t="s">
        <v>995</v>
      </c>
    </row>
    <row r="216" spans="8:9">
      <c r="H216" s="14" t="s">
        <v>483</v>
      </c>
      <c r="I216" s="24" t="s">
        <v>995</v>
      </c>
    </row>
    <row r="217" spans="8:9">
      <c r="H217" s="14" t="s">
        <v>485</v>
      </c>
      <c r="I217" s="24" t="s">
        <v>995</v>
      </c>
    </row>
    <row r="218" spans="8:9">
      <c r="H218" s="17" t="s">
        <v>487</v>
      </c>
      <c r="I218" s="24" t="s">
        <v>995</v>
      </c>
    </row>
    <row r="219" spans="8:9">
      <c r="H219" s="29" t="s">
        <v>489</v>
      </c>
      <c r="I219" s="24" t="s">
        <v>995</v>
      </c>
    </row>
    <row r="220" spans="8:9">
      <c r="H220" s="8" t="s">
        <v>491</v>
      </c>
      <c r="I220" s="24" t="s">
        <v>995</v>
      </c>
    </row>
    <row r="221" spans="8:9">
      <c r="H221" s="17" t="s">
        <v>497</v>
      </c>
      <c r="I221" s="24" t="s">
        <v>995</v>
      </c>
    </row>
    <row r="222" spans="8:9">
      <c r="H222" s="17" t="s">
        <v>499</v>
      </c>
      <c r="I222" s="24" t="s">
        <v>995</v>
      </c>
    </row>
    <row r="223" spans="8:9">
      <c r="H223" s="17" t="s">
        <v>505</v>
      </c>
      <c r="I223" s="24" t="s">
        <v>995</v>
      </c>
    </row>
    <row r="224" spans="8:9">
      <c r="H224" s="8" t="s">
        <v>507</v>
      </c>
      <c r="I224" s="24" t="s">
        <v>995</v>
      </c>
    </row>
    <row r="225" spans="8:9">
      <c r="H225" s="14" t="s">
        <v>509</v>
      </c>
      <c r="I225" s="24" t="s">
        <v>995</v>
      </c>
    </row>
    <row r="226" spans="8:9">
      <c r="H226" s="8" t="s">
        <v>511</v>
      </c>
      <c r="I226" s="24" t="s">
        <v>995</v>
      </c>
    </row>
    <row r="227" spans="8:9">
      <c r="H227" s="8" t="s">
        <v>513</v>
      </c>
      <c r="I227" s="24" t="s">
        <v>995</v>
      </c>
    </row>
    <row r="228" spans="8:9">
      <c r="H228" s="8" t="s">
        <v>553</v>
      </c>
      <c r="I228" s="24" t="s">
        <v>995</v>
      </c>
    </row>
    <row r="229" spans="8:9">
      <c r="H229" s="28" t="s">
        <v>515</v>
      </c>
      <c r="I229" s="24" t="s">
        <v>995</v>
      </c>
    </row>
    <row r="230" spans="8:9">
      <c r="H230" s="28" t="s">
        <v>558</v>
      </c>
      <c r="I230" s="24" t="s">
        <v>995</v>
      </c>
    </row>
    <row r="231" spans="8:9">
      <c r="H231" s="8" t="s">
        <v>517</v>
      </c>
      <c r="I231" s="24" t="s">
        <v>995</v>
      </c>
    </row>
    <row r="232" spans="8:9">
      <c r="H232" s="8" t="s">
        <v>519</v>
      </c>
      <c r="I232" s="24" t="s">
        <v>995</v>
      </c>
    </row>
    <row r="233" spans="8:9">
      <c r="H233" s="14" t="s">
        <v>521</v>
      </c>
      <c r="I233" s="24" t="s">
        <v>995</v>
      </c>
    </row>
    <row r="234" spans="8:9">
      <c r="H234" s="8" t="s">
        <v>523</v>
      </c>
      <c r="I234" s="24" t="s">
        <v>995</v>
      </c>
    </row>
    <row r="235" spans="8:9">
      <c r="H235" s="8" t="s">
        <v>525</v>
      </c>
      <c r="I235" s="24" t="s">
        <v>995</v>
      </c>
    </row>
    <row r="236" spans="8:9">
      <c r="H236" s="15" t="s">
        <v>527</v>
      </c>
      <c r="I236" s="24" t="s">
        <v>995</v>
      </c>
    </row>
    <row r="237" spans="8:9">
      <c r="H237" s="15" t="s">
        <v>529</v>
      </c>
      <c r="I237" s="24" t="s">
        <v>995</v>
      </c>
    </row>
    <row r="238" spans="8:9">
      <c r="H238" s="15" t="s">
        <v>531</v>
      </c>
      <c r="I238" s="24" t="s">
        <v>995</v>
      </c>
    </row>
    <row r="239" spans="8:9">
      <c r="H239" s="15" t="s">
        <v>533</v>
      </c>
      <c r="I239" s="24" t="s">
        <v>995</v>
      </c>
    </row>
    <row r="240" spans="8:9">
      <c r="H240" s="14" t="s">
        <v>535</v>
      </c>
      <c r="I240" s="24" t="s">
        <v>995</v>
      </c>
    </row>
    <row r="241" spans="8:9">
      <c r="H241" s="14" t="s">
        <v>537</v>
      </c>
      <c r="I241" s="24" t="s">
        <v>995</v>
      </c>
    </row>
    <row r="242" spans="8:9">
      <c r="H242" s="14" t="s">
        <v>539</v>
      </c>
      <c r="I242" s="24" t="s">
        <v>995</v>
      </c>
    </row>
    <row r="243" spans="8:9">
      <c r="H243" s="14" t="s">
        <v>541</v>
      </c>
      <c r="I243" s="24" t="s">
        <v>995</v>
      </c>
    </row>
    <row r="244" spans="8:9">
      <c r="H244" s="20" t="s">
        <v>545</v>
      </c>
      <c r="I244" s="24" t="s">
        <v>995</v>
      </c>
    </row>
    <row r="245" spans="8:9">
      <c r="H245" s="20" t="s">
        <v>589</v>
      </c>
      <c r="I245" s="24" t="s">
        <v>995</v>
      </c>
    </row>
    <row r="246" spans="8:9">
      <c r="H246" s="14" t="s">
        <v>547</v>
      </c>
      <c r="I246" s="24" t="s">
        <v>995</v>
      </c>
    </row>
    <row r="247" spans="8:9">
      <c r="H247" s="14" t="s">
        <v>549</v>
      </c>
      <c r="I247" s="24" t="s">
        <v>995</v>
      </c>
    </row>
    <row r="248" spans="8:9">
      <c r="H248" s="26" t="s">
        <v>551</v>
      </c>
      <c r="I248" s="24" t="s">
        <v>995</v>
      </c>
    </row>
    <row r="249" spans="8:9">
      <c r="H249" s="14" t="s">
        <v>554</v>
      </c>
      <c r="I249" s="24" t="s">
        <v>995</v>
      </c>
    </row>
    <row r="250" spans="8:9">
      <c r="H250" s="8" t="s">
        <v>556</v>
      </c>
      <c r="I250" s="24" t="s">
        <v>995</v>
      </c>
    </row>
    <row r="251" spans="8:9">
      <c r="H251" s="26" t="s">
        <v>559</v>
      </c>
      <c r="I251" s="24" t="s">
        <v>995</v>
      </c>
    </row>
    <row r="252" spans="8:9">
      <c r="H252" s="24" t="s">
        <v>563</v>
      </c>
      <c r="I252" s="24" t="s">
        <v>995</v>
      </c>
    </row>
    <row r="253" spans="8:9">
      <c r="H253" s="15" t="s">
        <v>565</v>
      </c>
      <c r="I253" s="24" t="s">
        <v>300</v>
      </c>
    </row>
    <row r="254" spans="8:9">
      <c r="H254" s="15" t="s">
        <v>567</v>
      </c>
      <c r="I254" s="24" t="s">
        <v>300</v>
      </c>
    </row>
    <row r="255" spans="8:9">
      <c r="H255" s="15" t="s">
        <v>569</v>
      </c>
      <c r="I255" s="24" t="s">
        <v>300</v>
      </c>
    </row>
    <row r="256" spans="8:9">
      <c r="H256" s="15" t="s">
        <v>571</v>
      </c>
      <c r="I256" s="24" t="s">
        <v>300</v>
      </c>
    </row>
    <row r="257" spans="8:9">
      <c r="H257" s="15" t="s">
        <v>577</v>
      </c>
      <c r="I257" s="24" t="s">
        <v>419</v>
      </c>
    </row>
    <row r="258" spans="8:9">
      <c r="H258" s="15" t="s">
        <v>579</v>
      </c>
      <c r="I258" s="24" t="s">
        <v>997</v>
      </c>
    </row>
    <row r="259" spans="8:9">
      <c r="H259" s="15" t="s">
        <v>581</v>
      </c>
      <c r="I259" s="24" t="s">
        <v>997</v>
      </c>
    </row>
    <row r="260" spans="8:9">
      <c r="H260" s="15" t="s">
        <v>587</v>
      </c>
      <c r="I260" s="25" t="s">
        <v>999</v>
      </c>
    </row>
    <row r="261" spans="8:9">
      <c r="H261" s="15" t="s">
        <v>585</v>
      </c>
      <c r="I261" s="25" t="s">
        <v>999</v>
      </c>
    </row>
    <row r="262" spans="8:9">
      <c r="H262" s="32" t="s">
        <v>590</v>
      </c>
      <c r="I262" s="24" t="s">
        <v>997</v>
      </c>
    </row>
    <row r="263" spans="8:9">
      <c r="H263" s="32" t="s">
        <v>592</v>
      </c>
      <c r="I263" s="24" t="s">
        <v>997</v>
      </c>
    </row>
    <row r="264" spans="8:9">
      <c r="H264" s="32" t="s">
        <v>596</v>
      </c>
      <c r="I264" s="24" t="s">
        <v>997</v>
      </c>
    </row>
    <row r="265" spans="8:9">
      <c r="H265" s="32" t="s">
        <v>598</v>
      </c>
      <c r="I265" s="24" t="s">
        <v>997</v>
      </c>
    </row>
    <row r="266" spans="8:9">
      <c r="H266" s="32" t="s">
        <v>600</v>
      </c>
      <c r="I266" s="24" t="s">
        <v>997</v>
      </c>
    </row>
    <row r="267" spans="8:9">
      <c r="H267" s="32" t="s">
        <v>602</v>
      </c>
      <c r="I267" s="24" t="s">
        <v>997</v>
      </c>
    </row>
    <row r="268" spans="8:9">
      <c r="H268" s="32" t="s">
        <v>604</v>
      </c>
      <c r="I268" s="24" t="s">
        <v>997</v>
      </c>
    </row>
    <row r="269" spans="8:9">
      <c r="H269" s="32" t="s">
        <v>606</v>
      </c>
      <c r="I269" s="24" t="s">
        <v>997</v>
      </c>
    </row>
    <row r="270" spans="8:9">
      <c r="H270" s="32" t="s">
        <v>622</v>
      </c>
      <c r="I270" s="24" t="s">
        <v>419</v>
      </c>
    </row>
    <row r="271" spans="8:9">
      <c r="H271" s="17" t="s">
        <v>624</v>
      </c>
      <c r="I271" s="24" t="s">
        <v>997</v>
      </c>
    </row>
    <row r="272" spans="8:9">
      <c r="H272" s="17" t="s">
        <v>626</v>
      </c>
      <c r="I272" s="24" t="s">
        <v>997</v>
      </c>
    </row>
    <row r="273" spans="8:9">
      <c r="H273" s="17" t="s">
        <v>630</v>
      </c>
      <c r="I273" s="24" t="s">
        <v>997</v>
      </c>
    </row>
    <row r="274" spans="8:9">
      <c r="H274" s="17" t="s">
        <v>628</v>
      </c>
      <c r="I274" s="24" t="s">
        <v>997</v>
      </c>
    </row>
    <row r="275" spans="8:9">
      <c r="H275" s="8" t="s">
        <v>631</v>
      </c>
      <c r="I275" s="24" t="s">
        <v>997</v>
      </c>
    </row>
    <row r="276" spans="8:9">
      <c r="H276" s="8" t="s">
        <v>633</v>
      </c>
      <c r="I276" s="24" t="s">
        <v>997</v>
      </c>
    </row>
    <row r="277" spans="8:9">
      <c r="H277" s="8" t="s">
        <v>637</v>
      </c>
      <c r="I277" s="24" t="s">
        <v>997</v>
      </c>
    </row>
    <row r="278" spans="8:9">
      <c r="H278" s="17" t="s">
        <v>646</v>
      </c>
      <c r="I278" s="25" t="s">
        <v>798</v>
      </c>
    </row>
    <row r="279" spans="8:9">
      <c r="H279" s="17" t="s">
        <v>649</v>
      </c>
      <c r="I279" s="25" t="s">
        <v>798</v>
      </c>
    </row>
    <row r="280" spans="8:9">
      <c r="H280" s="17" t="s">
        <v>652</v>
      </c>
      <c r="I280" s="25" t="s">
        <v>798</v>
      </c>
    </row>
    <row r="281" spans="8:9">
      <c r="H281" s="8" t="s">
        <v>642</v>
      </c>
      <c r="I281" s="24" t="s">
        <v>997</v>
      </c>
    </row>
    <row r="282" spans="8:9">
      <c r="H282" s="8" t="s">
        <v>645</v>
      </c>
      <c r="I282" s="24" t="s">
        <v>997</v>
      </c>
    </row>
    <row r="283" spans="8:9">
      <c r="H283" s="8" t="s">
        <v>648</v>
      </c>
      <c r="I283" s="24" t="s">
        <v>997</v>
      </c>
    </row>
    <row r="284" spans="8:9">
      <c r="H284" s="8" t="s">
        <v>651</v>
      </c>
      <c r="I284" s="24" t="s">
        <v>997</v>
      </c>
    </row>
    <row r="285" spans="8:9">
      <c r="H285" s="8" t="s">
        <v>654</v>
      </c>
      <c r="I285" s="24" t="s">
        <v>997</v>
      </c>
    </row>
    <row r="286" spans="8:9">
      <c r="H286" s="8" t="s">
        <v>657</v>
      </c>
      <c r="I286" s="24" t="s">
        <v>997</v>
      </c>
    </row>
    <row r="287" spans="8:9">
      <c r="H287" s="20" t="s">
        <v>660</v>
      </c>
      <c r="I287" s="24" t="s">
        <v>995</v>
      </c>
    </row>
    <row r="288" spans="8:9">
      <c r="H288" s="20" t="s">
        <v>663</v>
      </c>
      <c r="I288" s="24" t="s">
        <v>995</v>
      </c>
    </row>
    <row r="289" spans="8:9">
      <c r="H289" s="26" t="s">
        <v>666</v>
      </c>
      <c r="I289" s="24" t="s">
        <v>995</v>
      </c>
    </row>
    <row r="290" spans="8:9">
      <c r="H290" s="26" t="s">
        <v>669</v>
      </c>
      <c r="I290" s="24" t="s">
        <v>997</v>
      </c>
    </row>
    <row r="291" spans="8:9">
      <c r="H291" s="26" t="s">
        <v>672</v>
      </c>
      <c r="I291" s="24" t="s">
        <v>997</v>
      </c>
    </row>
    <row r="292" spans="8:9">
      <c r="H292" s="26" t="s">
        <v>675</v>
      </c>
      <c r="I292" s="24" t="s">
        <v>997</v>
      </c>
    </row>
    <row r="293" spans="8:9">
      <c r="H293" s="26" t="s">
        <v>678</v>
      </c>
      <c r="I293" s="24" t="s">
        <v>997</v>
      </c>
    </row>
    <row r="294" spans="8:9">
      <c r="H294" s="26" t="s">
        <v>681</v>
      </c>
      <c r="I294" s="24" t="s">
        <v>997</v>
      </c>
    </row>
    <row r="295" spans="8:9">
      <c r="H295" s="27" t="s">
        <v>676</v>
      </c>
      <c r="I295" s="24" t="s">
        <v>997</v>
      </c>
    </row>
    <row r="296" spans="8:9">
      <c r="H296" s="27" t="s">
        <v>679</v>
      </c>
      <c r="I296" s="24" t="s">
        <v>997</v>
      </c>
    </row>
    <row r="297" spans="8:9">
      <c r="H297" s="17" t="s">
        <v>682</v>
      </c>
      <c r="I297" s="24" t="s">
        <v>997</v>
      </c>
    </row>
    <row r="298" spans="8:9">
      <c r="H298" s="17" t="s">
        <v>684</v>
      </c>
      <c r="I298" s="24" t="s">
        <v>997</v>
      </c>
    </row>
    <row r="299" spans="8:9">
      <c r="H299" s="17" t="s">
        <v>686</v>
      </c>
      <c r="I299" s="24" t="s">
        <v>997</v>
      </c>
    </row>
    <row r="300" spans="8:9">
      <c r="H300" s="23" t="s">
        <v>688</v>
      </c>
      <c r="I300" s="24" t="s">
        <v>997</v>
      </c>
    </row>
    <row r="301" spans="8:9">
      <c r="H301" s="23" t="s">
        <v>690</v>
      </c>
      <c r="I301" s="24" t="s">
        <v>997</v>
      </c>
    </row>
    <row r="302" spans="8:9">
      <c r="H302" s="26" t="s">
        <v>692</v>
      </c>
      <c r="I302" s="24" t="s">
        <v>997</v>
      </c>
    </row>
    <row r="303" spans="8:9">
      <c r="H303" s="26" t="s">
        <v>694</v>
      </c>
      <c r="I303" s="24" t="s">
        <v>997</v>
      </c>
    </row>
    <row r="304" spans="8:9">
      <c r="H304" s="26" t="s">
        <v>696</v>
      </c>
      <c r="I304" s="24" t="s">
        <v>997</v>
      </c>
    </row>
    <row r="305" spans="8:9">
      <c r="H305" s="8" t="s">
        <v>698</v>
      </c>
      <c r="I305" s="24" t="s">
        <v>997</v>
      </c>
    </row>
    <row r="306" spans="8:9">
      <c r="H306" s="8" t="s">
        <v>700</v>
      </c>
      <c r="I306" s="24" t="s">
        <v>997</v>
      </c>
    </row>
    <row r="307" spans="8:9">
      <c r="H307" s="14" t="s">
        <v>702</v>
      </c>
      <c r="I307" s="24" t="s">
        <v>997</v>
      </c>
    </row>
    <row r="308" spans="8:9">
      <c r="H308" s="14" t="s">
        <v>704</v>
      </c>
      <c r="I308" s="24" t="s">
        <v>997</v>
      </c>
    </row>
    <row r="309" spans="8:9">
      <c r="H309" s="8" t="s">
        <v>706</v>
      </c>
      <c r="I309" s="24" t="s">
        <v>997</v>
      </c>
    </row>
    <row r="310" spans="8:9">
      <c r="H310" s="8" t="s">
        <v>708</v>
      </c>
      <c r="I310" s="24" t="s">
        <v>997</v>
      </c>
    </row>
    <row r="311" spans="8:9">
      <c r="H311" s="8" t="s">
        <v>712</v>
      </c>
      <c r="I311" s="24" t="s">
        <v>997</v>
      </c>
    </row>
    <row r="312" spans="8:9">
      <c r="H312" s="14" t="s">
        <v>714</v>
      </c>
      <c r="I312" s="24" t="s">
        <v>997</v>
      </c>
    </row>
    <row r="313" spans="8:9">
      <c r="H313" s="14" t="s">
        <v>717</v>
      </c>
      <c r="I313" s="24" t="s">
        <v>997</v>
      </c>
    </row>
    <row r="314" spans="8:9">
      <c r="H314" s="14" t="s">
        <v>758</v>
      </c>
      <c r="I314" s="24" t="s">
        <v>997</v>
      </c>
    </row>
    <row r="315" spans="8:9">
      <c r="H315" s="2" t="s">
        <v>762</v>
      </c>
      <c r="I315" s="24" t="s">
        <v>997</v>
      </c>
    </row>
    <row r="316" spans="8:9">
      <c r="H316" s="14" t="s">
        <v>765</v>
      </c>
      <c r="I316" s="24" t="s">
        <v>997</v>
      </c>
    </row>
    <row r="317" spans="8:9">
      <c r="H317" s="23" t="s">
        <v>768</v>
      </c>
      <c r="I317" s="24" t="s">
        <v>997</v>
      </c>
    </row>
    <row r="318" spans="8:9">
      <c r="H318" s="8" t="s">
        <v>771</v>
      </c>
      <c r="I318" s="24" t="s">
        <v>997</v>
      </c>
    </row>
    <row r="319" spans="8:9">
      <c r="H319" s="14" t="s">
        <v>774</v>
      </c>
      <c r="I319" s="24" t="s">
        <v>997</v>
      </c>
    </row>
    <row r="320" spans="8:9">
      <c r="H320" s="14" t="s">
        <v>772</v>
      </c>
      <c r="I320" s="24" t="s">
        <v>300</v>
      </c>
    </row>
    <row r="321" spans="8:9">
      <c r="H321" s="8" t="s">
        <v>775</v>
      </c>
      <c r="I321" s="24" t="s">
        <v>300</v>
      </c>
    </row>
    <row r="322" spans="8:9">
      <c r="H322" s="8" t="s">
        <v>778</v>
      </c>
      <c r="I322" s="24" t="s">
        <v>300</v>
      </c>
    </row>
    <row r="323" spans="8:9">
      <c r="H323" s="7" t="s">
        <v>754</v>
      </c>
      <c r="I323" s="7" t="s">
        <v>997</v>
      </c>
    </row>
    <row r="324" spans="8:9">
      <c r="H324" s="7" t="s">
        <v>756</v>
      </c>
      <c r="I324" s="24" t="s">
        <v>995</v>
      </c>
    </row>
    <row r="325" spans="8:9">
      <c r="H325" s="2" t="s">
        <v>46</v>
      </c>
      <c r="I325" s="24" t="s">
        <v>997</v>
      </c>
    </row>
    <row r="326" spans="8:9">
      <c r="H326" s="2" t="s">
        <v>49</v>
      </c>
      <c r="I326" s="24" t="s">
        <v>997</v>
      </c>
    </row>
    <row r="327" spans="8:9">
      <c r="H327" s="2" t="s">
        <v>52</v>
      </c>
      <c r="I327" s="24" t="s">
        <v>997</v>
      </c>
    </row>
    <row r="328" spans="8:9">
      <c r="H328" s="2" t="s">
        <v>224</v>
      </c>
      <c r="I328" s="24" t="s">
        <v>997</v>
      </c>
    </row>
    <row r="329" spans="8:9">
      <c r="H329" s="2" t="s">
        <v>227</v>
      </c>
      <c r="I329" s="24" t="s">
        <v>997</v>
      </c>
    </row>
    <row r="330" spans="8:9">
      <c r="H330" s="8" t="s">
        <v>241</v>
      </c>
      <c r="I330" s="24" t="s">
        <v>997</v>
      </c>
    </row>
    <row r="331" spans="8:9">
      <c r="H331" s="8" t="s">
        <v>244</v>
      </c>
      <c r="I331" s="24" t="s">
        <v>997</v>
      </c>
    </row>
    <row r="332" spans="8:9">
      <c r="H332" s="2" t="s">
        <v>247</v>
      </c>
      <c r="I332" s="24" t="s">
        <v>997</v>
      </c>
    </row>
    <row r="333" spans="8:9">
      <c r="H333" s="2" t="s">
        <v>250</v>
      </c>
      <c r="I333" s="24" t="s">
        <v>997</v>
      </c>
    </row>
    <row r="334" spans="8:9">
      <c r="H334" s="8" t="s">
        <v>635</v>
      </c>
      <c r="I334" s="24" t="s">
        <v>997</v>
      </c>
    </row>
    <row r="335" spans="8:9">
      <c r="H335" s="8" t="s">
        <v>345</v>
      </c>
      <c r="I335" s="24" t="s">
        <v>997</v>
      </c>
    </row>
    <row r="336" spans="8:9">
      <c r="H336" s="8" t="s">
        <v>348</v>
      </c>
      <c r="I336" s="24" t="s">
        <v>995</v>
      </c>
    </row>
    <row r="337" spans="8:9">
      <c r="H337" s="14" t="s">
        <v>253</v>
      </c>
      <c r="I337" s="24" t="s">
        <v>997</v>
      </c>
    </row>
    <row r="338" spans="8:9">
      <c r="H338" s="14" t="s">
        <v>256</v>
      </c>
      <c r="I338" s="24" t="s">
        <v>997</v>
      </c>
    </row>
    <row r="339" spans="8:9">
      <c r="H339" s="14" t="s">
        <v>259</v>
      </c>
      <c r="I339" s="24" t="s">
        <v>997</v>
      </c>
    </row>
    <row r="340" spans="8:9">
      <c r="H340" s="14" t="s">
        <v>262</v>
      </c>
      <c r="I340" s="24" t="s">
        <v>997</v>
      </c>
    </row>
    <row r="341" spans="8:9">
      <c r="H341" s="14" t="s">
        <v>265</v>
      </c>
      <c r="I341" s="24" t="s">
        <v>997</v>
      </c>
    </row>
    <row r="342" spans="8:9">
      <c r="H342" s="14" t="s">
        <v>268</v>
      </c>
      <c r="I342" s="24" t="s">
        <v>997</v>
      </c>
    </row>
    <row r="343" spans="8:9">
      <c r="H343" s="14" t="s">
        <v>271</v>
      </c>
      <c r="I343" s="24" t="s">
        <v>997</v>
      </c>
    </row>
    <row r="344" spans="8:9">
      <c r="H344" s="14" t="s">
        <v>274</v>
      </c>
      <c r="I344" s="24" t="s">
        <v>997</v>
      </c>
    </row>
    <row r="345" spans="8:9">
      <c r="H345" s="14" t="s">
        <v>277</v>
      </c>
      <c r="I345" s="24" t="s">
        <v>997</v>
      </c>
    </row>
    <row r="346" spans="8:9">
      <c r="H346" s="14" t="s">
        <v>280</v>
      </c>
      <c r="I346" s="24" t="s">
        <v>997</v>
      </c>
    </row>
    <row r="347" spans="8:9">
      <c r="H347" s="14" t="s">
        <v>283</v>
      </c>
      <c r="I347" s="24" t="s">
        <v>997</v>
      </c>
    </row>
    <row r="348" spans="8:9">
      <c r="H348" s="33" t="s">
        <v>286</v>
      </c>
      <c r="I348" s="24" t="s">
        <v>997</v>
      </c>
    </row>
    <row r="349" spans="8:9">
      <c r="H349" s="33" t="s">
        <v>289</v>
      </c>
      <c r="I349" s="24" t="s">
        <v>997</v>
      </c>
    </row>
    <row r="350" spans="8:9">
      <c r="H350" s="14" t="s">
        <v>292</v>
      </c>
      <c r="I350" s="24" t="s">
        <v>997</v>
      </c>
    </row>
    <row r="351" spans="8:9">
      <c r="H351" s="14" t="s">
        <v>295</v>
      </c>
      <c r="I351" s="24" t="s">
        <v>997</v>
      </c>
    </row>
    <row r="352" spans="8:9">
      <c r="H352" s="24" t="s">
        <v>34</v>
      </c>
      <c r="I352" s="24" t="s">
        <v>997</v>
      </c>
    </row>
    <row r="353" spans="8:9">
      <c r="H353" s="24" t="s">
        <v>37</v>
      </c>
      <c r="I353" s="24" t="s">
        <v>997</v>
      </c>
    </row>
    <row r="354" spans="8:9">
      <c r="H354" s="24" t="s">
        <v>40</v>
      </c>
      <c r="I354" s="24" t="s">
        <v>997</v>
      </c>
    </row>
    <row r="355" spans="8:9">
      <c r="H355" s="24" t="s">
        <v>43</v>
      </c>
      <c r="I355" s="24" t="s">
        <v>997</v>
      </c>
    </row>
    <row r="356" spans="8:9">
      <c r="H356" s="24" t="s">
        <v>13</v>
      </c>
      <c r="I356" s="24" t="s">
        <v>995</v>
      </c>
    </row>
    <row r="357" spans="8:9">
      <c r="H357" s="24" t="s">
        <v>16</v>
      </c>
      <c r="I357" s="24" t="s">
        <v>798</v>
      </c>
    </row>
    <row r="358" spans="8:9">
      <c r="H358" s="24" t="s">
        <v>19</v>
      </c>
      <c r="I358" s="24" t="s">
        <v>798</v>
      </c>
    </row>
    <row r="359" spans="8:9">
      <c r="H359" s="24" t="s">
        <v>501</v>
      </c>
      <c r="I359" s="24" t="s">
        <v>995</v>
      </c>
    </row>
    <row r="360" spans="8:9">
      <c r="H360" s="24" t="s">
        <v>543</v>
      </c>
      <c r="I360" s="24" t="s">
        <v>997</v>
      </c>
    </row>
    <row r="361" spans="8:9">
      <c r="H361" s="24" t="s">
        <v>561</v>
      </c>
      <c r="I361" s="24" t="s">
        <v>995</v>
      </c>
    </row>
    <row r="362" spans="8:9">
      <c r="H362" s="24" t="s">
        <v>817</v>
      </c>
      <c r="I362" s="24" t="s">
        <v>995</v>
      </c>
    </row>
    <row r="363" spans="8:9">
      <c r="H363" s="24" t="s">
        <v>962</v>
      </c>
      <c r="I363" s="24" t="s">
        <v>419</v>
      </c>
    </row>
    <row r="364" spans="8:9">
      <c r="H364" s="24" t="s">
        <v>366</v>
      </c>
      <c r="I364" s="24" t="s">
        <v>997</v>
      </c>
    </row>
    <row r="365" spans="8:9">
      <c r="H365" s="24" t="s">
        <v>298</v>
      </c>
      <c r="I365" s="24" t="s">
        <v>997</v>
      </c>
    </row>
    <row r="366" spans="8:9">
      <c r="H366" s="24" t="s">
        <v>819</v>
      </c>
      <c r="I366" s="24" t="s">
        <v>997</v>
      </c>
    </row>
    <row r="367" spans="8:9">
      <c r="H367" s="24" t="s">
        <v>382</v>
      </c>
      <c r="I367" s="24" t="s">
        <v>997</v>
      </c>
    </row>
    <row r="368" spans="8:9">
      <c r="H368" s="34" t="s">
        <v>352</v>
      </c>
      <c r="I368" s="24" t="s">
        <v>300</v>
      </c>
    </row>
    <row r="369" spans="8:9">
      <c r="H369" s="34" t="s">
        <v>355</v>
      </c>
      <c r="I369" s="24" t="s">
        <v>300</v>
      </c>
    </row>
    <row r="370" spans="8:9">
      <c r="H370" s="24" t="s">
        <v>884</v>
      </c>
      <c r="I370" s="24" t="s">
        <v>997</v>
      </c>
    </row>
    <row r="371" spans="8:9">
      <c r="H371" s="24" t="s">
        <v>730</v>
      </c>
      <c r="I371" s="24" t="s">
        <v>997</v>
      </c>
    </row>
    <row r="372" spans="8:9">
      <c r="H372" s="24" t="s">
        <v>725</v>
      </c>
      <c r="I372" s="24" t="s">
        <v>997</v>
      </c>
    </row>
    <row r="373" spans="8:9">
      <c r="H373" s="24" t="s">
        <v>728</v>
      </c>
      <c r="I373" s="24" t="s">
        <v>997</v>
      </c>
    </row>
    <row r="374" spans="8:9">
      <c r="H374" s="24" t="s">
        <v>351</v>
      </c>
      <c r="I374" s="24" t="s">
        <v>997</v>
      </c>
    </row>
    <row r="375" spans="8:9">
      <c r="H375" s="24" t="s">
        <v>583</v>
      </c>
      <c r="I375" s="24" t="s">
        <v>997</v>
      </c>
    </row>
    <row r="376" spans="8:9">
      <c r="H376" s="24" t="s">
        <v>594</v>
      </c>
      <c r="I376" s="24" t="s">
        <v>997</v>
      </c>
    </row>
    <row r="377" spans="8:9">
      <c r="H377" s="24" t="s">
        <v>967</v>
      </c>
      <c r="I377" s="24" t="s">
        <v>419</v>
      </c>
    </row>
    <row r="378" spans="8:9">
      <c r="H378" s="24" t="s">
        <v>760</v>
      </c>
      <c r="I378" s="24" t="s">
        <v>419</v>
      </c>
    </row>
    <row r="379" spans="8:9">
      <c r="H379" s="24" t="s">
        <v>763</v>
      </c>
      <c r="I379" s="24" t="s">
        <v>419</v>
      </c>
    </row>
    <row r="380" spans="8:9">
      <c r="H380" s="24" t="s">
        <v>924</v>
      </c>
      <c r="I380" s="24" t="s">
        <v>997</v>
      </c>
    </row>
    <row r="381" spans="8:9">
      <c r="H381" s="35" t="s">
        <v>826</v>
      </c>
      <c r="I381" s="35" t="s">
        <v>997</v>
      </c>
    </row>
    <row r="382" spans="8:9">
      <c r="H382" s="24" t="s">
        <v>158</v>
      </c>
      <c r="I382" s="24" t="s">
        <v>997</v>
      </c>
    </row>
    <row r="383" spans="8:9">
      <c r="H383" s="24" t="s">
        <v>161</v>
      </c>
      <c r="I383" s="24" t="s">
        <v>997</v>
      </c>
    </row>
    <row r="384" spans="8:9">
      <c r="H384" s="24" t="s">
        <v>716</v>
      </c>
      <c r="I384" s="24" t="s">
        <v>997</v>
      </c>
    </row>
    <row r="385" spans="8:9">
      <c r="H385" s="24" t="s">
        <v>831</v>
      </c>
      <c r="I385" s="24" t="s">
        <v>997</v>
      </c>
    </row>
    <row r="386" spans="8:9">
      <c r="H386" s="24" t="s">
        <v>777</v>
      </c>
      <c r="I386" s="24" t="s">
        <v>997</v>
      </c>
    </row>
    <row r="387" spans="8:9">
      <c r="H387" s="1" t="s">
        <v>302</v>
      </c>
      <c r="I387" s="24" t="s">
        <v>997</v>
      </c>
    </row>
    <row r="388" ht="13.5" spans="8:9">
      <c r="H388" s="11" t="s">
        <v>719</v>
      </c>
      <c r="I388" s="39">
        <v>1</v>
      </c>
    </row>
    <row r="389" ht="13.5" spans="8:9">
      <c r="H389" s="11" t="s">
        <v>722</v>
      </c>
      <c r="I389" s="39">
        <v>2</v>
      </c>
    </row>
    <row r="390" spans="8:9">
      <c r="H390" s="36" t="s">
        <v>495</v>
      </c>
      <c r="I390" s="1">
        <v>2</v>
      </c>
    </row>
    <row r="391" spans="8:9">
      <c r="H391" s="3" t="s">
        <v>720</v>
      </c>
      <c r="I391" s="3">
        <v>1</v>
      </c>
    </row>
    <row r="392" spans="8:9">
      <c r="H392" s="3" t="s">
        <v>777</v>
      </c>
      <c r="I392" s="3">
        <v>1</v>
      </c>
    </row>
    <row r="393" spans="8:9">
      <c r="H393" s="3" t="s">
        <v>790</v>
      </c>
      <c r="I393" s="3">
        <v>1</v>
      </c>
    </row>
    <row r="394" spans="8:9">
      <c r="H394" s="3" t="s">
        <v>1000</v>
      </c>
      <c r="I394" s="3">
        <v>1</v>
      </c>
    </row>
    <row r="395" spans="8:9">
      <c r="H395" s="3" t="s">
        <v>164</v>
      </c>
      <c r="I395" s="3">
        <v>1</v>
      </c>
    </row>
    <row r="396" spans="8:9">
      <c r="H396" s="3" t="s">
        <v>158</v>
      </c>
      <c r="I396" s="3">
        <v>1</v>
      </c>
    </row>
    <row r="397" spans="8:9">
      <c r="H397" s="3" t="s">
        <v>167</v>
      </c>
      <c r="I397" s="3">
        <v>1</v>
      </c>
    </row>
    <row r="398" spans="8:9">
      <c r="H398" s="3" t="s">
        <v>161</v>
      </c>
      <c r="I398" s="3">
        <v>1</v>
      </c>
    </row>
    <row r="399" spans="8:9">
      <c r="H399" s="3" t="s">
        <v>840</v>
      </c>
      <c r="I399" s="3">
        <v>2</v>
      </c>
    </row>
    <row r="400" spans="8:9">
      <c r="H400" s="3" t="s">
        <v>842</v>
      </c>
      <c r="I400" s="3">
        <v>2</v>
      </c>
    </row>
    <row r="401" spans="8:9">
      <c r="H401" s="3" t="s">
        <v>366</v>
      </c>
      <c r="I401" s="3">
        <v>1</v>
      </c>
    </row>
    <row r="402" spans="8:9">
      <c r="H402" s="3" t="s">
        <v>845</v>
      </c>
      <c r="I402" s="3">
        <v>1</v>
      </c>
    </row>
    <row r="403" spans="8:9">
      <c r="H403" s="24" t="s">
        <v>710</v>
      </c>
      <c r="I403" s="3">
        <v>1</v>
      </c>
    </row>
    <row r="404" spans="8:9">
      <c r="H404" s="1" t="s">
        <v>781</v>
      </c>
      <c r="I404" s="1" t="s">
        <v>300</v>
      </c>
    </row>
    <row r="405" spans="8:9">
      <c r="H405" s="14" t="s">
        <v>849</v>
      </c>
      <c r="I405" s="3">
        <v>1</v>
      </c>
    </row>
    <row r="406" spans="8:9">
      <c r="H406" s="14" t="s">
        <v>851</v>
      </c>
      <c r="I406" s="3">
        <v>1</v>
      </c>
    </row>
    <row r="407" spans="8:9">
      <c r="H407" s="1" t="s">
        <v>876</v>
      </c>
      <c r="I407" s="1">
        <v>1</v>
      </c>
    </row>
    <row r="408" spans="8:9">
      <c r="H408" s="37" t="s">
        <v>879</v>
      </c>
      <c r="I408" s="24" t="s">
        <v>300</v>
      </c>
    </row>
    <row r="409" spans="8:9">
      <c r="H409" s="24" t="s">
        <v>881</v>
      </c>
      <c r="I409" s="24">
        <v>1</v>
      </c>
    </row>
    <row r="410" spans="8:9">
      <c r="H410" s="24" t="s">
        <v>359</v>
      </c>
      <c r="I410" s="24">
        <v>2</v>
      </c>
    </row>
    <row r="411" ht="13.5" spans="8:9">
      <c r="H411" s="38" t="s">
        <v>745</v>
      </c>
      <c r="I411" s="40">
        <v>1</v>
      </c>
    </row>
    <row r="412" ht="13.5" spans="8:9">
      <c r="H412" s="38" t="s">
        <v>887</v>
      </c>
      <c r="I412" s="40">
        <v>1</v>
      </c>
    </row>
    <row r="413" ht="13.5" spans="8:9">
      <c r="H413" s="9" t="s">
        <v>890</v>
      </c>
      <c r="I413" s="40">
        <v>1</v>
      </c>
    </row>
    <row r="414" ht="13.5" spans="8:9">
      <c r="H414" s="9" t="s">
        <v>893</v>
      </c>
      <c r="I414" s="40">
        <v>1</v>
      </c>
    </row>
    <row r="415" ht="13.5" spans="8:9">
      <c r="H415" s="9" t="s">
        <v>706</v>
      </c>
      <c r="I415" s="40">
        <v>1</v>
      </c>
    </row>
    <row r="416" ht="13.5" spans="8:9">
      <c r="H416" s="9" t="s">
        <v>702</v>
      </c>
      <c r="I416" s="40">
        <v>1</v>
      </c>
    </row>
    <row r="417" ht="13.5" spans="8:9">
      <c r="H417" s="38" t="s">
        <v>895</v>
      </c>
      <c r="I417" s="40">
        <v>1</v>
      </c>
    </row>
    <row r="418" ht="13.5" spans="8:9">
      <c r="H418" s="38" t="s">
        <v>897</v>
      </c>
      <c r="I418" s="40">
        <v>2</v>
      </c>
    </row>
    <row r="419" ht="13.5" spans="8:9">
      <c r="H419" s="38" t="s">
        <v>503</v>
      </c>
      <c r="I419" s="40">
        <v>2</v>
      </c>
    </row>
    <row r="420" ht="13.5" spans="8:9">
      <c r="H420" s="38" t="s">
        <v>900</v>
      </c>
      <c r="I420" s="40">
        <v>2</v>
      </c>
    </row>
    <row r="421" ht="13.5" spans="8:9">
      <c r="H421" s="38" t="s">
        <v>902</v>
      </c>
      <c r="I421" s="40">
        <v>2</v>
      </c>
    </row>
    <row r="422" ht="13.5" spans="8:9">
      <c r="H422" s="38" t="s">
        <v>493</v>
      </c>
      <c r="I422" s="40">
        <v>2</v>
      </c>
    </row>
    <row r="423" ht="13.5" spans="8:9">
      <c r="H423" s="11" t="s">
        <v>907</v>
      </c>
      <c r="I423" s="40">
        <v>2</v>
      </c>
    </row>
    <row r="424" ht="13.5" spans="8:9">
      <c r="H424" s="11" t="s">
        <v>909</v>
      </c>
      <c r="I424" s="40">
        <v>2</v>
      </c>
    </row>
    <row r="425" ht="13.5" spans="8:9">
      <c r="H425" s="12" t="s">
        <v>911</v>
      </c>
      <c r="I425" s="40">
        <v>1</v>
      </c>
    </row>
    <row r="426" ht="13.5" spans="8:9">
      <c r="H426" s="9" t="s">
        <v>913</v>
      </c>
      <c r="I426" s="40">
        <v>2</v>
      </c>
    </row>
    <row r="427" ht="13.5" spans="8:9">
      <c r="H427" s="12" t="s">
        <v>915</v>
      </c>
      <c r="I427" s="40">
        <v>2</v>
      </c>
    </row>
    <row r="428" ht="13.5" spans="8:9">
      <c r="H428" s="13" t="s">
        <v>917</v>
      </c>
      <c r="I428" s="40">
        <v>2</v>
      </c>
    </row>
    <row r="429" ht="13.5" spans="8:9">
      <c r="H429" s="13" t="s">
        <v>920</v>
      </c>
      <c r="I429" s="40">
        <v>2</v>
      </c>
    </row>
    <row r="430" ht="13.5" spans="8:9">
      <c r="H430" s="13" t="s">
        <v>900</v>
      </c>
      <c r="I430" s="40">
        <v>2</v>
      </c>
    </row>
    <row r="431" ht="13.5" spans="8:9">
      <c r="H431" s="38" t="s">
        <v>922</v>
      </c>
      <c r="I431" s="40">
        <v>1</v>
      </c>
    </row>
    <row r="432" ht="13.5" spans="8:9">
      <c r="H432" s="38" t="s">
        <v>924</v>
      </c>
      <c r="I432" s="40">
        <v>1</v>
      </c>
    </row>
    <row r="433" ht="13.5" spans="8:9">
      <c r="H433" s="38" t="s">
        <v>926</v>
      </c>
      <c r="I433" s="40">
        <v>1</v>
      </c>
    </row>
    <row r="434" ht="13.5" spans="8:9">
      <c r="H434" s="38" t="s">
        <v>928</v>
      </c>
      <c r="I434" s="40">
        <v>1</v>
      </c>
    </row>
    <row r="435" ht="13.5" spans="8:9">
      <c r="H435" s="38" t="s">
        <v>930</v>
      </c>
      <c r="I435" s="40" t="s">
        <v>300</v>
      </c>
    </row>
    <row r="436" ht="13.5" spans="8:9">
      <c r="H436" s="38" t="s">
        <v>933</v>
      </c>
      <c r="I436" s="40" t="s">
        <v>300</v>
      </c>
    </row>
    <row r="437" ht="13.5" spans="8:9">
      <c r="H437" s="12" t="s">
        <v>936</v>
      </c>
      <c r="I437" s="40">
        <v>1</v>
      </c>
    </row>
    <row r="438" ht="13.5" spans="8:9">
      <c r="H438" s="11" t="s">
        <v>939</v>
      </c>
      <c r="I438" s="40">
        <v>1</v>
      </c>
    </row>
    <row r="439" ht="13.5" spans="8:9">
      <c r="H439" s="12" t="s">
        <v>942</v>
      </c>
      <c r="I439" s="40">
        <v>1</v>
      </c>
    </row>
    <row r="440" ht="13.5" spans="8:9">
      <c r="H440" s="12" t="s">
        <v>945</v>
      </c>
      <c r="I440" s="40">
        <v>1</v>
      </c>
    </row>
    <row r="441" ht="13.5" spans="8:9">
      <c r="H441" s="11" t="s">
        <v>947</v>
      </c>
      <c r="I441" s="40">
        <v>1</v>
      </c>
    </row>
    <row r="442" ht="13.5" spans="8:9">
      <c r="H442" s="11" t="s">
        <v>949</v>
      </c>
      <c r="I442" s="40">
        <v>1</v>
      </c>
    </row>
    <row r="443" ht="13.5" spans="8:9">
      <c r="H443" s="11" t="s">
        <v>951</v>
      </c>
      <c r="I443" s="40">
        <v>1</v>
      </c>
    </row>
    <row r="444" ht="13.5" spans="8:9">
      <c r="H444" s="11" t="s">
        <v>928</v>
      </c>
      <c r="I444" s="40">
        <v>1</v>
      </c>
    </row>
    <row r="445" ht="13.5" spans="8:9">
      <c r="H445" s="11" t="s">
        <v>953</v>
      </c>
      <c r="I445" s="40">
        <v>1</v>
      </c>
    </row>
    <row r="446" ht="13.5" spans="8:9">
      <c r="H446" s="11" t="s">
        <v>955</v>
      </c>
      <c r="I446" s="40">
        <v>1</v>
      </c>
    </row>
    <row r="447" ht="13.5" spans="8:9">
      <c r="H447" s="11" t="s">
        <v>957</v>
      </c>
      <c r="I447" s="40">
        <v>1</v>
      </c>
    </row>
    <row r="448" ht="13.5" spans="8:9">
      <c r="H448" s="11" t="s">
        <v>922</v>
      </c>
      <c r="I448" s="40">
        <v>1</v>
      </c>
    </row>
    <row r="449" ht="13.5" spans="8:9">
      <c r="H449" s="16" t="s">
        <v>959</v>
      </c>
      <c r="I449" s="40">
        <v>1</v>
      </c>
    </row>
    <row r="450" ht="13.5" spans="8:9">
      <c r="H450" s="11" t="s">
        <v>961</v>
      </c>
      <c r="I450" s="40">
        <v>1</v>
      </c>
    </row>
    <row r="451" ht="13.5" spans="8:9">
      <c r="H451" s="11" t="s">
        <v>964</v>
      </c>
      <c r="I451" s="40">
        <v>1</v>
      </c>
    </row>
    <row r="452" ht="13.5" spans="8:9">
      <c r="H452" s="9" t="s">
        <v>933</v>
      </c>
      <c r="I452" s="40" t="s">
        <v>300</v>
      </c>
    </row>
    <row r="453" ht="13.5" spans="8:9">
      <c r="H453" s="9" t="s">
        <v>966</v>
      </c>
      <c r="I453" s="40" t="s">
        <v>300</v>
      </c>
    </row>
    <row r="454" ht="13.5" spans="8:9">
      <c r="H454" s="9" t="s">
        <v>969</v>
      </c>
      <c r="I454" s="40" t="s">
        <v>300</v>
      </c>
    </row>
    <row r="455" ht="13.5" spans="8:9">
      <c r="H455" s="9" t="s">
        <v>971</v>
      </c>
      <c r="I455" s="40" t="s">
        <v>300</v>
      </c>
    </row>
    <row r="456" ht="13.5" spans="8:9">
      <c r="H456" s="38" t="s">
        <v>973</v>
      </c>
      <c r="I456" s="40">
        <v>1</v>
      </c>
    </row>
    <row r="457" ht="13.5" spans="8:9">
      <c r="H457" s="38" t="s">
        <v>975</v>
      </c>
      <c r="I457" s="40">
        <v>1</v>
      </c>
    </row>
    <row r="458" ht="13.5" spans="8:9">
      <c r="H458" s="13" t="s">
        <v>977</v>
      </c>
      <c r="I458" s="40">
        <v>1</v>
      </c>
    </row>
    <row r="459" ht="13.5" spans="8:9">
      <c r="H459" s="13" t="s">
        <v>979</v>
      </c>
      <c r="I459" s="40">
        <v>1</v>
      </c>
    </row>
    <row r="460" ht="13.5" spans="8:9">
      <c r="H460" s="41" t="s">
        <v>981</v>
      </c>
      <c r="I460" s="40">
        <v>2</v>
      </c>
    </row>
    <row r="461" ht="13.5" spans="8:9">
      <c r="H461" s="41" t="s">
        <v>983</v>
      </c>
      <c r="I461" s="40">
        <v>2</v>
      </c>
    </row>
    <row r="462" ht="13.5" spans="8:9">
      <c r="H462" s="38" t="s">
        <v>985</v>
      </c>
      <c r="I462" s="40">
        <v>2</v>
      </c>
    </row>
    <row r="463" ht="13.5" spans="8:9">
      <c r="H463" s="38" t="s">
        <v>987</v>
      </c>
      <c r="I463" s="40">
        <v>2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WWO_openplatform_20210507165418-e6971cd0a6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ccn</dc:creator>
  <cp:lastModifiedBy>你好，晴天</cp:lastModifiedBy>
  <dcterms:created xsi:type="dcterms:W3CDTF">2024-12-21T00:46:00Z</dcterms:created>
  <dcterms:modified xsi:type="dcterms:W3CDTF">2025-09-28T03:11:30Z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F974212E911A4A149A45C37EA590FC8D_13</vt:lpwstr>
  </property>
  <property fmtid="{D5CDD505-2E9C-101B-9397-08002B2CF9AE}" pid="3" name="KSOProductBuildVer">
    <vt:lpwstr>2052-12.1.0.22529</vt:lpwstr>
  </property>
</Properties>
</file>