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filterPrivacy="1" defaultThemeVersion="124226"/>
  <xr:revisionPtr revIDLastSave="0" documentId="13_ncr:1_{F6AF5F69-4CD7-FC4E-9AFC-7D6555A2DA79}" xr6:coauthVersionLast="47" xr6:coauthVersionMax="47" xr10:uidLastSave="{00000000-0000-0000-0000-000000000000}"/>
  <bookViews>
    <workbookView xWindow="240" yWindow="740" windowWidth="26080" windowHeight="155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Q13" i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P4" i="1"/>
  <c r="Q4" i="1" s="1"/>
  <c r="P3" i="1"/>
  <c r="Q3" i="1" s="1"/>
  <c r="P2" i="1"/>
  <c r="P24" i="1" l="1"/>
  <c r="Q2" i="1"/>
  <c r="Q24" i="1" s="1"/>
</calcChain>
</file>

<file path=xl/sharedStrings.xml><?xml version="1.0" encoding="utf-8"?>
<sst xmlns="http://schemas.openxmlformats.org/spreadsheetml/2006/main" count="478" uniqueCount="254">
  <si>
    <t/>
  </si>
  <si>
    <t>序号</t>
  </si>
  <si>
    <t>选择</t>
  </si>
  <si>
    <t>发货单号</t>
  </si>
  <si>
    <t>发货日期</t>
  </si>
  <si>
    <t>业务类型</t>
  </si>
  <si>
    <t>销售类型</t>
  </si>
  <si>
    <t>客户简称</t>
  </si>
  <si>
    <t>销售部门</t>
  </si>
  <si>
    <t>业 务 员</t>
  </si>
  <si>
    <t>发票号</t>
  </si>
  <si>
    <t>仓库</t>
  </si>
  <si>
    <t>存货编码</t>
  </si>
  <si>
    <t>存货名称</t>
  </si>
  <si>
    <t>数量</t>
  </si>
  <si>
    <t>型号</t>
  </si>
  <si>
    <t>单台</t>
  </si>
  <si>
    <t>提成</t>
  </si>
  <si>
    <t>含税单价</t>
  </si>
  <si>
    <t>价税合计</t>
  </si>
  <si>
    <t>制单人</t>
  </si>
  <si>
    <t>审核人</t>
  </si>
  <si>
    <t>发运方式</t>
  </si>
  <si>
    <t>联系人</t>
  </si>
  <si>
    <t>发货地址</t>
  </si>
  <si>
    <t>备 注</t>
  </si>
  <si>
    <t>单据头自定义项8</t>
  </si>
  <si>
    <t>自定义项10</t>
  </si>
  <si>
    <t>销售分类</t>
  </si>
  <si>
    <t>未回款金额本币</t>
  </si>
  <si>
    <t>1</t>
  </si>
  <si>
    <t>0000067420</t>
  </si>
  <si>
    <t>2025-09-01</t>
  </si>
  <si>
    <t>普通销售</t>
  </si>
  <si>
    <t>杭州市临平区星光幼儿园</t>
  </si>
  <si>
    <t>业务三部</t>
  </si>
  <si>
    <t>方秀华</t>
  </si>
  <si>
    <t>2300689</t>
  </si>
  <si>
    <t>商场库</t>
  </si>
  <si>
    <t>2111006</t>
  </si>
  <si>
    <t>史密斯热水器EWH-10B2</t>
  </si>
  <si>
    <t>EWH-10B2</t>
  </si>
  <si>
    <t>孙佳琪</t>
  </si>
  <si>
    <t>购退</t>
  </si>
  <si>
    <t>上环桥6号（星河园区）</t>
  </si>
  <si>
    <t>货未送</t>
  </si>
  <si>
    <t>13738115881陈媛</t>
  </si>
  <si>
    <t>商场产品销售</t>
  </si>
  <si>
    <t>2</t>
  </si>
  <si>
    <t>0000067521</t>
  </si>
  <si>
    <t>2025-09-02</t>
  </si>
  <si>
    <t>施丽萍</t>
  </si>
  <si>
    <t>业务一部</t>
  </si>
  <si>
    <t>沈芳妹</t>
  </si>
  <si>
    <t>2300876</t>
  </si>
  <si>
    <t>2112195</t>
  </si>
  <si>
    <t>史密斯热水器CEWH-60D1BWi</t>
  </si>
  <si>
    <t>CEWH-60D1BWi</t>
  </si>
  <si>
    <t>马丽</t>
  </si>
  <si>
    <t>厂方直送</t>
  </si>
  <si>
    <t>凤仪家园11-4-506</t>
  </si>
  <si>
    <t>厂家送货</t>
  </si>
  <si>
    <t>15372002802</t>
  </si>
  <si>
    <t>3</t>
  </si>
  <si>
    <t>0000067522</t>
  </si>
  <si>
    <t>以旧换新</t>
  </si>
  <si>
    <t>刘晓霞</t>
  </si>
  <si>
    <t>张月春</t>
  </si>
  <si>
    <t>2502465</t>
  </si>
  <si>
    <t>2111078</t>
  </si>
  <si>
    <t>史密斯洗碗机DWQ15-R3Wi</t>
  </si>
  <si>
    <t>DWQ15-R3Wi</t>
  </si>
  <si>
    <t>杨树河新苑7-12</t>
  </si>
  <si>
    <t>厂家送货/以旧换新1190</t>
  </si>
  <si>
    <t>15268151656</t>
  </si>
  <si>
    <t>4</t>
  </si>
  <si>
    <t>0000067841</t>
  </si>
  <si>
    <t>2025-09-09</t>
  </si>
  <si>
    <t>俞香花</t>
  </si>
  <si>
    <t>陈锋</t>
  </si>
  <si>
    <t>2300508</t>
  </si>
  <si>
    <t>2112193</t>
  </si>
  <si>
    <t>史密斯热水器CEWH-60D3Wi</t>
  </si>
  <si>
    <t>CEWH-60D3Wi</t>
  </si>
  <si>
    <t>东方俊园8-1-802</t>
  </si>
  <si>
    <t>18357008000</t>
  </si>
  <si>
    <t>5</t>
  </si>
  <si>
    <t>0000067842</t>
  </si>
  <si>
    <t>孙庆灵</t>
  </si>
  <si>
    <t>2300506</t>
  </si>
  <si>
    <t>金地海泊雅苑10-2-2501</t>
  </si>
  <si>
    <t>13989493852</t>
  </si>
  <si>
    <t>6</t>
  </si>
  <si>
    <t>0000067844</t>
  </si>
  <si>
    <t>俞林花</t>
  </si>
  <si>
    <t>徐小锋</t>
  </si>
  <si>
    <t>2507379</t>
  </si>
  <si>
    <t>2111084</t>
  </si>
  <si>
    <t>史密斯净水R1400F</t>
  </si>
  <si>
    <t>R1400F</t>
  </si>
  <si>
    <t>杨树河新苑4-22号</t>
  </si>
  <si>
    <t>厂家送货/补贴740/6951142566166/卡号244</t>
  </si>
  <si>
    <t>13291479835</t>
  </si>
  <si>
    <t>7</t>
  </si>
  <si>
    <t>0000067845</t>
  </si>
  <si>
    <t>2505258</t>
  </si>
  <si>
    <t>2112199</t>
  </si>
  <si>
    <t>史密斯热水器CEWH-60D1Wi</t>
  </si>
  <si>
    <t>CEWH-60D1Wi</t>
  </si>
  <si>
    <t>杨树河新苑4-22</t>
  </si>
  <si>
    <t>厂家送货政府补贴560/6920971981440/p0487</t>
  </si>
  <si>
    <t>13291429835/13291479835</t>
  </si>
  <si>
    <t>8</t>
  </si>
  <si>
    <t>0000067847</t>
  </si>
  <si>
    <t>马建忠</t>
  </si>
  <si>
    <t>巩建勋</t>
  </si>
  <si>
    <t>2307304</t>
  </si>
  <si>
    <t>2112200</t>
  </si>
  <si>
    <t>史密斯热水器JSQ26-CLAX</t>
  </si>
  <si>
    <t>JSQ26-CLAX</t>
  </si>
  <si>
    <t>海澜半岛西区2-1-501</t>
  </si>
  <si>
    <t>13606812229</t>
  </si>
  <si>
    <t>9</t>
  </si>
  <si>
    <t>0000067849</t>
  </si>
  <si>
    <t>尤晓阳</t>
  </si>
  <si>
    <t>2300439</t>
  </si>
  <si>
    <t>2111027</t>
  </si>
  <si>
    <t>史密斯净水机DR1600HF2</t>
  </si>
  <si>
    <t>DR1600HF2</t>
  </si>
  <si>
    <t>杨树河新苑9-12号</t>
  </si>
  <si>
    <t>厂家送货/695142565756/p2366</t>
  </si>
  <si>
    <t>沈亚芬</t>
  </si>
  <si>
    <t>13858119799</t>
  </si>
  <si>
    <t>10</t>
  </si>
  <si>
    <t>0000067860</t>
  </si>
  <si>
    <t>徐云杰</t>
  </si>
  <si>
    <t>2505257</t>
  </si>
  <si>
    <t>厂家送货/政府补贴560/6920971981440/p0485</t>
  </si>
  <si>
    <t>11</t>
  </si>
  <si>
    <t>0000068112</t>
  </si>
  <si>
    <t>2025-09-12</t>
  </si>
  <si>
    <t>员工外接</t>
  </si>
  <si>
    <t>杭州格源城建有限公司</t>
  </si>
  <si>
    <t>祝红英</t>
  </si>
  <si>
    <t>2306384</t>
  </si>
  <si>
    <t>2111024</t>
  </si>
  <si>
    <t>史密斯前置PF25C1</t>
  </si>
  <si>
    <t>PF25C1</t>
  </si>
  <si>
    <t>自提</t>
  </si>
  <si>
    <t>吴伟忠</t>
  </si>
  <si>
    <t>12</t>
  </si>
  <si>
    <t>0000068135</t>
  </si>
  <si>
    <t>严森华</t>
  </si>
  <si>
    <t>2504088</t>
  </si>
  <si>
    <t>2111067</t>
  </si>
  <si>
    <t>史密斯净水机DR1600HF1Wi</t>
  </si>
  <si>
    <t>DR1600HF1Wi</t>
  </si>
  <si>
    <t>送货</t>
  </si>
  <si>
    <t>鼎湖未来云城天喜12-2301</t>
  </si>
  <si>
    <t>9.13号上午送货p00457/456</t>
  </si>
  <si>
    <t>13588723980</t>
  </si>
  <si>
    <t>净水销售</t>
  </si>
  <si>
    <t>13</t>
  </si>
  <si>
    <t>0000068176</t>
  </si>
  <si>
    <t>2306388</t>
  </si>
  <si>
    <t>14</t>
  </si>
  <si>
    <t>0000068192</t>
  </si>
  <si>
    <t>2025-09-13</t>
  </si>
  <si>
    <t>潘淑芳</t>
  </si>
  <si>
    <t>2307178</t>
  </si>
  <si>
    <t>2111081</t>
  </si>
  <si>
    <t>史密斯净水R1700FWi</t>
  </si>
  <si>
    <t>R1700FWi</t>
  </si>
  <si>
    <t>塘宁新苑18-1-801</t>
  </si>
  <si>
    <t>等通知/p2540</t>
  </si>
  <si>
    <t>15868865378</t>
  </si>
  <si>
    <t>15</t>
  </si>
  <si>
    <t>0000068371</t>
  </si>
  <si>
    <t>2025-09-17</t>
  </si>
  <si>
    <t>潘玉仙</t>
  </si>
  <si>
    <t>2307183</t>
  </si>
  <si>
    <t>2111074</t>
  </si>
  <si>
    <t>史密斯热水器JSQ31-CSCWi</t>
  </si>
  <si>
    <t>JSQ31-CSCWi</t>
  </si>
  <si>
    <t>塘宁新苑西区18-1-801</t>
  </si>
  <si>
    <t>厂家送货P0650</t>
  </si>
  <si>
    <t>16</t>
  </si>
  <si>
    <t>0000068373</t>
  </si>
  <si>
    <t>沈丽丽</t>
  </si>
  <si>
    <t>2306268</t>
  </si>
  <si>
    <t>2111057</t>
  </si>
  <si>
    <t>史密斯热水器JSQ31-CLD</t>
  </si>
  <si>
    <t>JSQ31-CLD</t>
  </si>
  <si>
    <t>新丰苑9-2-401</t>
  </si>
  <si>
    <t>厂家送货/国补-585/6920971975371/P0625</t>
  </si>
  <si>
    <t>13588328089</t>
  </si>
  <si>
    <t>17</t>
  </si>
  <si>
    <t>0000068517</t>
  </si>
  <si>
    <t>2025-09-18</t>
  </si>
  <si>
    <t>钟新花</t>
  </si>
  <si>
    <t>2505878</t>
  </si>
  <si>
    <t>水晶城领翔阁3-2-3101</t>
  </si>
  <si>
    <t>与唐立林一起送以旧换新1580元/6945 2491 42804/P95941</t>
  </si>
  <si>
    <t>13757309322</t>
  </si>
  <si>
    <t>18</t>
  </si>
  <si>
    <t>0000068519</t>
  </si>
  <si>
    <t>唐立林</t>
  </si>
  <si>
    <t>2511813</t>
  </si>
  <si>
    <t>水晶城领翔阁3-1-3101</t>
  </si>
  <si>
    <t>9.18与别的电器一起送以旧换新900元/6951142566159/P5944</t>
  </si>
  <si>
    <t>19</t>
  </si>
  <si>
    <t>0000068615</t>
  </si>
  <si>
    <t>2025-09-22</t>
  </si>
  <si>
    <t>2300115</t>
  </si>
  <si>
    <t>2112187</t>
  </si>
  <si>
    <t>史密斯管线机APM-HC1</t>
  </si>
  <si>
    <t>APM-HC1</t>
  </si>
  <si>
    <t>水景城领翔阁3-2-3101</t>
  </si>
  <si>
    <t>自提知卡号251</t>
  </si>
  <si>
    <t>20</t>
  </si>
  <si>
    <t>0000068787</t>
  </si>
  <si>
    <t>2025-09-23</t>
  </si>
  <si>
    <t>徐建浩</t>
  </si>
  <si>
    <t>2300218</t>
  </si>
  <si>
    <t>杨树河6-2号</t>
  </si>
  <si>
    <t>仓库自提</t>
  </si>
  <si>
    <t>18106572787</t>
  </si>
  <si>
    <t>21</t>
  </si>
  <si>
    <t>0000068793</t>
  </si>
  <si>
    <t>朱如珍</t>
  </si>
  <si>
    <t>徐涛盛</t>
  </si>
  <si>
    <t>2504393</t>
  </si>
  <si>
    <t>2112185</t>
  </si>
  <si>
    <t>史密斯热水器JSQ26-TACWi</t>
  </si>
  <si>
    <t>JSQ26-TACWi</t>
  </si>
  <si>
    <t>水漾人家14-201</t>
  </si>
  <si>
    <t>13116752702</t>
  </si>
  <si>
    <t>22</t>
  </si>
  <si>
    <t>0000068846</t>
  </si>
  <si>
    <t>2025-09-24</t>
  </si>
  <si>
    <t>蒋栋</t>
  </si>
  <si>
    <t>廖芳芳</t>
  </si>
  <si>
    <t>2507749</t>
  </si>
  <si>
    <t>2112202</t>
  </si>
  <si>
    <t>史密斯净水机R1800SWI</t>
  </si>
  <si>
    <t>R1800SWI</t>
  </si>
  <si>
    <t>乔司长林府8-1-1002</t>
  </si>
  <si>
    <t>丁春华</t>
  </si>
  <si>
    <t>13868079531</t>
  </si>
  <si>
    <t>23</t>
  </si>
  <si>
    <t>合计</t>
  </si>
  <si>
    <t>单位：杭州兴达京昀电器有限公司</t>
  </si>
  <si>
    <t>制表：胡利民</t>
  </si>
  <si>
    <t>打印日期：2025-10-07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</si>
</sst>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CF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7108/Desktop/&#20013;&#20896;/&#20154;&#21147;/1&#20013;&#20896;&#34218;&#36164;/&#25552;&#25104;&#25919;&#31574;/2025/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  <cell r="I2">
            <v>828</v>
          </cell>
          <cell r="J2">
            <v>1.4999999999999999E-2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  <cell r="I3">
            <v>898</v>
          </cell>
          <cell r="J3">
            <v>1.4999999999999999E-2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  <cell r="I4">
            <v>898</v>
          </cell>
          <cell r="J4">
            <v>1.4999999999999999E-2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  <cell r="I5">
            <v>998</v>
          </cell>
          <cell r="J5">
            <v>1.4999999999999999E-2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  <cell r="I6">
            <v>2288</v>
          </cell>
          <cell r="J6">
            <v>1.4999999999999999E-2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  <cell r="I7">
            <v>2458</v>
          </cell>
          <cell r="J7">
            <v>1.4999999999999999E-2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  <cell r="I8">
            <v>2998</v>
          </cell>
          <cell r="J8">
            <v>1.4999999999999999E-2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  <cell r="I9">
            <v>2418</v>
          </cell>
          <cell r="J9">
            <v>1.4999999999999999E-2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  <cell r="I10">
            <v>2518</v>
          </cell>
          <cell r="J10">
            <v>1.4999999999999999E-2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  <cell r="I11">
            <v>2518</v>
          </cell>
          <cell r="J11">
            <v>1.4999999999999999E-2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  <cell r="I12">
            <v>2718</v>
          </cell>
          <cell r="J12">
            <v>1.4999999999999999E-2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  <cell r="I13">
            <v>3138</v>
          </cell>
          <cell r="J13">
            <v>2.5000000000000001E-2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  <cell r="I14">
            <v>3138</v>
          </cell>
          <cell r="J14">
            <v>2.5000000000000001E-2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  <cell r="I15">
            <v>3428</v>
          </cell>
          <cell r="J15">
            <v>2.5000000000000001E-2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  <cell r="I16">
            <v>2498</v>
          </cell>
          <cell r="J16">
            <v>1.4999999999999999E-2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  <cell r="I17">
            <v>2598</v>
          </cell>
          <cell r="J17">
            <v>1.4999999999999999E-2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  <cell r="I18">
            <v>2798</v>
          </cell>
          <cell r="J18">
            <v>1.4999999999999999E-2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  <cell r="I19">
            <v>3598</v>
          </cell>
          <cell r="J19">
            <v>2.5000000000000001E-2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  <cell r="I20">
            <v>3488</v>
          </cell>
          <cell r="J20">
            <v>2.5000000000000001E-2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  <cell r="I21">
            <v>3788</v>
          </cell>
          <cell r="J21">
            <v>2.5000000000000001E-2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  <cell r="I22">
            <v>3358</v>
          </cell>
          <cell r="J22">
            <v>2.5000000000000001E-2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  <cell r="I23">
            <v>3618</v>
          </cell>
          <cell r="J23">
            <v>2.5000000000000001E-2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  <cell r="I24">
            <v>3618</v>
          </cell>
          <cell r="J24">
            <v>2.5000000000000001E-2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  <cell r="I25">
            <v>3958</v>
          </cell>
          <cell r="J25">
            <v>2.5000000000000001E-2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  <cell r="I26">
            <v>3998</v>
          </cell>
          <cell r="J26">
            <v>2.5000000000000001E-2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  <cell r="I27">
            <v>4198</v>
          </cell>
          <cell r="J27">
            <v>2.5000000000000001E-2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  <cell r="I28">
            <v>4498</v>
          </cell>
          <cell r="J28">
            <v>2.5000000000000001E-2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  <cell r="I29">
            <v>4398</v>
          </cell>
          <cell r="J29">
            <v>2.5000000000000001E-2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  <cell r="I30">
            <v>4598</v>
          </cell>
          <cell r="J30">
            <v>2.5000000000000001E-2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  <cell r="I31">
            <v>4898</v>
          </cell>
          <cell r="J31">
            <v>2.5000000000000001E-2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  <cell r="I32">
            <v>4398</v>
          </cell>
          <cell r="J32">
            <v>2.5000000000000001E-2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  <cell r="I33">
            <v>4698</v>
          </cell>
          <cell r="J33">
            <v>2.5000000000000001E-2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  <cell r="I34">
            <v>4098</v>
          </cell>
          <cell r="J34">
            <v>2.5000000000000001E-2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  <cell r="I35">
            <v>4698</v>
          </cell>
          <cell r="J35">
            <v>2.5000000000000001E-2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  <cell r="I36">
            <v>3798</v>
          </cell>
          <cell r="J36">
            <v>2.5000000000000001E-2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  <cell r="I37">
            <v>3798</v>
          </cell>
          <cell r="J37">
            <v>2.5000000000000001E-2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  <cell r="I38">
            <v>4098</v>
          </cell>
          <cell r="J38">
            <v>2.5000000000000001E-2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  <cell r="I39">
            <v>4698</v>
          </cell>
          <cell r="J39">
            <v>2.5000000000000001E-2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  <cell r="I40">
            <v>3698</v>
          </cell>
          <cell r="J40">
            <v>2.5000000000000001E-2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  <cell r="I41">
            <v>3998</v>
          </cell>
          <cell r="J41">
            <v>2.5000000000000001E-2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  <cell r="I42">
            <v>3998</v>
          </cell>
          <cell r="J42">
            <v>2.5000000000000001E-2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  <cell r="I43">
            <v>4298</v>
          </cell>
          <cell r="J43">
            <v>2.5000000000000001E-2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  <cell r="I44">
            <v>3988</v>
          </cell>
          <cell r="J44">
            <v>2.5000000000000001E-2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  <cell r="I45">
            <v>3988</v>
          </cell>
          <cell r="J45">
            <v>2.5000000000000001E-2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  <cell r="I46">
            <v>4288</v>
          </cell>
          <cell r="J46">
            <v>2.5000000000000001E-2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  <cell r="I47">
            <v>3898</v>
          </cell>
          <cell r="J47">
            <v>2.5000000000000001E-2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  <cell r="I48">
            <v>4198</v>
          </cell>
          <cell r="J48">
            <v>2.5000000000000001E-2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  <cell r="I49">
            <v>3898</v>
          </cell>
          <cell r="J49">
            <v>2.5000000000000001E-2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  <cell r="I50">
            <v>5578</v>
          </cell>
          <cell r="J50">
            <v>2.5000000000000001E-2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  <cell r="I51">
            <v>5978</v>
          </cell>
          <cell r="J51">
            <v>2.5000000000000001E-2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  <cell r="I52">
            <v>4698</v>
          </cell>
          <cell r="J52">
            <v>2.5000000000000001E-2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  <cell r="I53">
            <v>5098</v>
          </cell>
          <cell r="J53">
            <v>2.5000000000000001E-2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  <cell r="I54">
            <v>5588</v>
          </cell>
          <cell r="J54">
            <v>2.5000000000000001E-2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  <cell r="I55">
            <v>5988</v>
          </cell>
          <cell r="J55">
            <v>2.5000000000000001E-2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  <cell r="I56">
            <v>5398</v>
          </cell>
          <cell r="J56">
            <v>2.5000000000000001E-2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  <cell r="I57">
            <v>5798</v>
          </cell>
          <cell r="J57">
            <v>2.5000000000000001E-2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  <cell r="I58">
            <v>5098</v>
          </cell>
          <cell r="J58">
            <v>2.5000000000000001E-2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  <cell r="I59">
            <v>5498</v>
          </cell>
          <cell r="J59">
            <v>2.5000000000000001E-2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  <cell r="I60">
            <v>5598</v>
          </cell>
          <cell r="J60">
            <v>2.5000000000000001E-2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  <cell r="I61">
            <v>5998</v>
          </cell>
          <cell r="J61">
            <v>2.5000000000000001E-2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  <cell r="I62">
            <v>5498</v>
          </cell>
          <cell r="J62">
            <v>2.5000000000000001E-2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  <cell r="I63">
            <v>5898</v>
          </cell>
          <cell r="J63">
            <v>2.5000000000000001E-2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  <cell r="I64">
            <v>5588</v>
          </cell>
          <cell r="J64">
            <v>2.5000000000000001E-2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  <cell r="I65">
            <v>5988</v>
          </cell>
          <cell r="J65">
            <v>2.5000000000000001E-2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  <cell r="I66">
            <v>5398</v>
          </cell>
          <cell r="J66">
            <v>2.5000000000000001E-2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  <cell r="I67">
            <v>5798</v>
          </cell>
          <cell r="J67">
            <v>2.5000000000000001E-2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  <cell r="I68">
            <v>6498</v>
          </cell>
          <cell r="J68">
            <v>2.5000000000000001E-2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  <cell r="I69">
            <v>6898</v>
          </cell>
          <cell r="J69">
            <v>2.5000000000000001E-2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  <cell r="I70">
            <v>6728</v>
          </cell>
          <cell r="J70">
            <v>2.5000000000000001E-2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  <cell r="I71">
            <v>7138</v>
          </cell>
          <cell r="J71">
            <v>2.5000000000000001E-2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  <cell r="I72">
            <v>5818</v>
          </cell>
          <cell r="J72">
            <v>2.5000000000000001E-2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  <cell r="I73">
            <v>6218</v>
          </cell>
          <cell r="J73">
            <v>2.5000000000000001E-2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  <cell r="I74">
            <v>5928</v>
          </cell>
          <cell r="J74">
            <v>2.5000000000000001E-2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  <cell r="I75">
            <v>6328</v>
          </cell>
          <cell r="J75">
            <v>2.5000000000000001E-2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  <cell r="I76">
            <v>2498</v>
          </cell>
          <cell r="J76">
            <v>2.5000000000000001E-2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  <cell r="I77">
            <v>2598</v>
          </cell>
          <cell r="J77">
            <v>2.5000000000000001E-2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  <cell r="I78">
            <v>2678</v>
          </cell>
          <cell r="J78">
            <v>2.5000000000000001E-2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  <cell r="I79">
            <v>3158</v>
          </cell>
          <cell r="J79">
            <v>2.5000000000000001E-2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  <cell r="I80">
            <v>3418</v>
          </cell>
          <cell r="J80">
            <v>2.5000000000000001E-2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  <cell r="I81">
            <v>3818</v>
          </cell>
          <cell r="J81">
            <v>2.5000000000000001E-2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  <cell r="I82">
            <v>3068</v>
          </cell>
          <cell r="J82">
            <v>2.5000000000000001E-2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  <cell r="I83">
            <v>3328</v>
          </cell>
          <cell r="J83">
            <v>2.5000000000000001E-2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  <cell r="I84">
            <v>3588</v>
          </cell>
          <cell r="J84">
            <v>2.5000000000000001E-2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  <cell r="I85">
            <v>3988</v>
          </cell>
          <cell r="J85">
            <v>2.5000000000000001E-2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  <cell r="I86">
            <v>6358</v>
          </cell>
          <cell r="J86">
            <v>2.5000000000000001E-2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  <cell r="I87">
            <v>2688</v>
          </cell>
          <cell r="J87">
            <v>1.4999999999999999E-2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  <cell r="I88">
            <v>2788</v>
          </cell>
          <cell r="J88">
            <v>1.4999999999999999E-2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  <cell r="I89">
            <v>2988</v>
          </cell>
          <cell r="J89">
            <v>1.4999999999999999E-2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  <cell r="I90">
            <v>2658</v>
          </cell>
          <cell r="J90">
            <v>1.4999999999999999E-2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  <cell r="I91">
            <v>2658</v>
          </cell>
          <cell r="J91">
            <v>1.4999999999999999E-2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  <cell r="I92">
            <v>2858</v>
          </cell>
          <cell r="J92">
            <v>1.4999999999999999E-2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  <cell r="I93">
            <v>4168</v>
          </cell>
          <cell r="J93">
            <v>2.5000000000000001E-2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  <cell r="I94">
            <v>4718</v>
          </cell>
          <cell r="J94">
            <v>2.5000000000000001E-2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  <cell r="I95">
            <v>8568</v>
          </cell>
          <cell r="J95">
            <v>2.5000000000000001E-2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  <cell r="I96">
            <v>13308</v>
          </cell>
          <cell r="J96">
            <v>2.5000000000000001E-2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  <cell r="I97">
            <v>21758</v>
          </cell>
          <cell r="J97">
            <v>2.5000000000000001E-2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  <cell r="I98">
            <v>7588</v>
          </cell>
          <cell r="J98">
            <v>2.5000000000000001E-2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  <cell r="I99">
            <v>9098</v>
          </cell>
          <cell r="J99">
            <v>2.5000000000000001E-2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  <cell r="I100">
            <v>10678</v>
          </cell>
          <cell r="J100">
            <v>2.5000000000000001E-2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  <cell r="I101">
            <v>15438</v>
          </cell>
          <cell r="J101">
            <v>2.5000000000000001E-2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  <cell r="I104">
            <v>5978</v>
          </cell>
          <cell r="J104">
            <v>1.4999999999999999E-2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  <cell r="I109">
            <v>828</v>
          </cell>
          <cell r="J109">
            <v>1.4999999999999999E-2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  <cell r="E111" t="str">
            <v>是</v>
          </cell>
          <cell r="F111" t="str">
            <v>特价</v>
          </cell>
          <cell r="G111">
            <v>1488</v>
          </cell>
          <cell r="I111">
            <v>1488</v>
          </cell>
          <cell r="J111">
            <v>1.4999999999999999E-2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  <cell r="E112" t="str">
            <v>在销</v>
          </cell>
          <cell r="F112" t="str">
            <v>常规</v>
          </cell>
          <cell r="G112">
            <v>2588</v>
          </cell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  <cell r="E114" t="str">
            <v>下市</v>
          </cell>
          <cell r="F114" t="str">
            <v>特价</v>
          </cell>
          <cell r="G114">
            <v>3188</v>
          </cell>
          <cell r="I114">
            <v>3088</v>
          </cell>
          <cell r="J114">
            <v>1.4999999999999999E-2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  <cell r="I115">
            <v>3088</v>
          </cell>
          <cell r="J115">
            <v>1.4999999999999999E-2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  <cell r="E116" t="str">
            <v>在销</v>
          </cell>
          <cell r="F116" t="str">
            <v>特价</v>
          </cell>
          <cell r="G116">
            <v>4758</v>
          </cell>
          <cell r="I116">
            <v>4658</v>
          </cell>
          <cell r="J116">
            <v>1.4999999999999999E-2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  <cell r="E118" t="str">
            <v>在销</v>
          </cell>
          <cell r="F118" t="str">
            <v>常规</v>
          </cell>
          <cell r="G118">
            <v>4258</v>
          </cell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  <cell r="E119" t="str">
            <v>下市</v>
          </cell>
          <cell r="F119" t="str">
            <v>常规</v>
          </cell>
          <cell r="G119">
            <v>4848</v>
          </cell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  <cell r="E120" t="str">
            <v>在销</v>
          </cell>
          <cell r="F120" t="str">
            <v>常规</v>
          </cell>
          <cell r="G120">
            <v>4988</v>
          </cell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  <cell r="E123" t="str">
            <v>在销</v>
          </cell>
          <cell r="F123" t="str">
            <v>常规</v>
          </cell>
          <cell r="G123">
            <v>5808</v>
          </cell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  <cell r="E130" t="str">
            <v>下市</v>
          </cell>
          <cell r="F130" t="str">
            <v>常规</v>
          </cell>
          <cell r="G130">
            <v>7688</v>
          </cell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  <cell r="E131" t="str">
            <v>在销</v>
          </cell>
          <cell r="F131" t="str">
            <v>常规</v>
          </cell>
          <cell r="G131">
            <v>9988</v>
          </cell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  <cell r="E132" t="str">
            <v>在销</v>
          </cell>
          <cell r="F132" t="str">
            <v>常规</v>
          </cell>
          <cell r="G132">
            <v>8088</v>
          </cell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  <cell r="E133" t="str">
            <v>在销</v>
          </cell>
          <cell r="F133" t="str">
            <v>常规</v>
          </cell>
          <cell r="G133">
            <v>5988</v>
          </cell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  <cell r="E134" t="str">
            <v>在销</v>
          </cell>
          <cell r="F134" t="str">
            <v>常规</v>
          </cell>
          <cell r="G134">
            <v>6658</v>
          </cell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  <cell r="E135" t="str">
            <v>在销</v>
          </cell>
          <cell r="F135" t="str">
            <v>常规</v>
          </cell>
          <cell r="G135">
            <v>7288</v>
          </cell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  <cell r="I136">
            <v>6288</v>
          </cell>
          <cell r="J136">
            <v>1.4999999999999999E-2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  <cell r="E137" t="str">
            <v>在销</v>
          </cell>
          <cell r="F137" t="str">
            <v>常规</v>
          </cell>
          <cell r="G137">
            <v>7558</v>
          </cell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  <cell r="E138" t="str">
            <v>在销</v>
          </cell>
          <cell r="F138" t="str">
            <v>常规</v>
          </cell>
          <cell r="G138">
            <v>7188</v>
          </cell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  <cell r="E139" t="str">
            <v>在销</v>
          </cell>
          <cell r="F139" t="str">
            <v>特价</v>
          </cell>
          <cell r="G139">
            <v>6688</v>
          </cell>
          <cell r="I139">
            <v>6588</v>
          </cell>
          <cell r="J139">
            <v>1.4999999999999999E-2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  <cell r="E146" t="str">
            <v>在销</v>
          </cell>
          <cell r="F146" t="str">
            <v>常规</v>
          </cell>
          <cell r="G146">
            <v>8388</v>
          </cell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  <cell r="E147" t="str">
            <v>在销</v>
          </cell>
          <cell r="F147" t="str">
            <v>常规</v>
          </cell>
          <cell r="G147">
            <v>9088</v>
          </cell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  <cell r="E148" t="str">
            <v>在销</v>
          </cell>
          <cell r="F148" t="str">
            <v>常规</v>
          </cell>
          <cell r="G148">
            <v>9658</v>
          </cell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  <cell r="E149" t="str">
            <v>在销</v>
          </cell>
          <cell r="F149" t="str">
            <v>常规</v>
          </cell>
          <cell r="G149">
            <v>8288</v>
          </cell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  <cell r="E150" t="str">
            <v>下市</v>
          </cell>
          <cell r="F150" t="str">
            <v>常规</v>
          </cell>
          <cell r="G150">
            <v>8688</v>
          </cell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  <cell r="E152" t="str">
            <v>在销</v>
          </cell>
          <cell r="F152" t="str">
            <v>常规</v>
          </cell>
          <cell r="G152">
            <v>9288</v>
          </cell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  <cell r="E153" t="str">
            <v>在销</v>
          </cell>
          <cell r="F153" t="str">
            <v>常规</v>
          </cell>
          <cell r="G153">
            <v>10788</v>
          </cell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  <cell r="E154" t="str">
            <v>在销</v>
          </cell>
          <cell r="F154" t="str">
            <v>常规</v>
          </cell>
          <cell r="G154">
            <v>11188</v>
          </cell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  <cell r="E155" t="str">
            <v>在销</v>
          </cell>
          <cell r="F155" t="str">
            <v>常规</v>
          </cell>
          <cell r="G155">
            <v>11588</v>
          </cell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  <cell r="E156" t="str">
            <v>在销</v>
          </cell>
          <cell r="F156" t="str">
            <v>常规</v>
          </cell>
          <cell r="G156">
            <v>15518</v>
          </cell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  <cell r="E157" t="str">
            <v>在销</v>
          </cell>
          <cell r="F157" t="str">
            <v>常规</v>
          </cell>
          <cell r="G157">
            <v>11298</v>
          </cell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  <cell r="E158" t="str">
            <v>在销</v>
          </cell>
          <cell r="F158" t="str">
            <v>常规</v>
          </cell>
          <cell r="G158">
            <v>11688</v>
          </cell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  <cell r="E159" t="str">
            <v>在销</v>
          </cell>
          <cell r="F159" t="str">
            <v>常规</v>
          </cell>
          <cell r="G159">
            <v>11988</v>
          </cell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  <cell r="I160">
            <v>5988</v>
          </cell>
          <cell r="J160">
            <v>2.5000000000000001E-2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  <cell r="I161">
            <v>8988</v>
          </cell>
          <cell r="J161">
            <v>2.5000000000000001E-2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  <cell r="E162" t="str">
            <v>在销</v>
          </cell>
          <cell r="F162" t="str">
            <v>常规</v>
          </cell>
          <cell r="G162">
            <v>6158</v>
          </cell>
          <cell r="I162">
            <v>6058</v>
          </cell>
          <cell r="J162">
            <v>2.5000000000000001E-2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  <cell r="E163" t="str">
            <v>在销</v>
          </cell>
          <cell r="F163" t="str">
            <v>常规</v>
          </cell>
          <cell r="G163">
            <v>9168</v>
          </cell>
          <cell r="I163">
            <v>9068</v>
          </cell>
          <cell r="J163">
            <v>2.5000000000000001E-2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  <cell r="I164">
            <v>3198</v>
          </cell>
          <cell r="J164">
            <v>1.4999999999999999E-2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  <cell r="I165">
            <v>3498</v>
          </cell>
          <cell r="J165">
            <v>1.4999999999999999E-2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  <cell r="I166">
            <v>3668</v>
          </cell>
          <cell r="J166">
            <v>1.4999999999999999E-2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  <cell r="I167">
            <v>3698</v>
          </cell>
          <cell r="J167">
            <v>1.4999999999999999E-2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  <cell r="I168">
            <v>4098</v>
          </cell>
          <cell r="J168">
            <v>2.5000000000000001E-2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  <cell r="I169">
            <v>4458</v>
          </cell>
          <cell r="J169">
            <v>2.5000000000000001E-2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  <cell r="I170">
            <v>4758</v>
          </cell>
          <cell r="J170">
            <v>2.5000000000000001E-2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  <cell r="I171">
            <v>4458</v>
          </cell>
          <cell r="J171">
            <v>2.5000000000000001E-2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  <cell r="I172">
            <v>4758</v>
          </cell>
          <cell r="J172">
            <v>2.5000000000000001E-2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  <cell r="I173">
            <v>4458</v>
          </cell>
          <cell r="J173">
            <v>2.5000000000000001E-2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  <cell r="I174">
            <v>4758</v>
          </cell>
          <cell r="J174">
            <v>2.5000000000000001E-2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  <cell r="I175">
            <v>4798</v>
          </cell>
          <cell r="J175">
            <v>2.5000000000000001E-2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  <cell r="I176">
            <v>5098</v>
          </cell>
          <cell r="J176">
            <v>2.5000000000000001E-2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  <cell r="I177">
            <v>5618</v>
          </cell>
          <cell r="J177">
            <v>2.5000000000000001E-2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  <cell r="I178">
            <v>5068</v>
          </cell>
          <cell r="J178">
            <v>2.5000000000000001E-2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  <cell r="I179">
            <v>5358</v>
          </cell>
          <cell r="J179">
            <v>2.5000000000000001E-2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  <cell r="I180">
            <v>5268</v>
          </cell>
          <cell r="J180">
            <v>2.5000000000000001E-2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  <cell r="I181">
            <v>7588</v>
          </cell>
          <cell r="J181">
            <v>2.5000000000000001E-2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  <cell r="I182">
            <v>5058</v>
          </cell>
          <cell r="J182">
            <v>2.5000000000000001E-2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  <cell r="I183">
            <v>5608</v>
          </cell>
          <cell r="J183">
            <v>2.5000000000000001E-2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  <cell r="I184">
            <v>5768</v>
          </cell>
          <cell r="J184">
            <v>2.5000000000000001E-2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  <cell r="I185">
            <v>6068</v>
          </cell>
          <cell r="J185">
            <v>2.5000000000000001E-2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  <cell r="I186">
            <v>5598</v>
          </cell>
          <cell r="J186">
            <v>2.5000000000000001E-2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  <cell r="I187">
            <v>5998</v>
          </cell>
          <cell r="J187">
            <v>2.5000000000000001E-2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  <cell r="I188">
            <v>6318</v>
          </cell>
          <cell r="J188">
            <v>2.5000000000000001E-2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  <cell r="I189">
            <v>6618</v>
          </cell>
          <cell r="J189">
            <v>2.5000000000000001E-2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  <cell r="I190">
            <v>6208</v>
          </cell>
          <cell r="J190">
            <v>2.5000000000000001E-2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  <cell r="I191">
            <v>6508</v>
          </cell>
          <cell r="J191">
            <v>2.5000000000000001E-2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  <cell r="I192">
            <v>5988</v>
          </cell>
          <cell r="J192">
            <v>2.5000000000000001E-2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  <cell r="I193">
            <v>6298</v>
          </cell>
          <cell r="J193">
            <v>2.5000000000000001E-2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  <cell r="I194">
            <v>6598</v>
          </cell>
          <cell r="J194">
            <v>2.5000000000000001E-2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  <cell r="I195">
            <v>12498</v>
          </cell>
          <cell r="J195">
            <v>1.4999999999999999E-2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  <cell r="I196">
            <v>13268</v>
          </cell>
          <cell r="J196">
            <v>1.4999999999999999E-2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  <cell r="I197">
            <v>6268</v>
          </cell>
          <cell r="J197">
            <v>1.4999999999999999E-2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  <cell r="I198">
            <v>7358</v>
          </cell>
          <cell r="J198">
            <v>2.5000000000000001E-2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  <cell r="E199" t="str">
            <v>在销</v>
          </cell>
          <cell r="F199" t="str">
            <v>常规</v>
          </cell>
          <cell r="G199">
            <v>5798</v>
          </cell>
          <cell r="I199">
            <v>5698</v>
          </cell>
          <cell r="J199">
            <v>2.5000000000000001E-2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  <cell r="I200">
            <v>5798</v>
          </cell>
          <cell r="J200">
            <v>2.5000000000000001E-2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  <cell r="I201">
            <v>6458</v>
          </cell>
          <cell r="J201">
            <v>2.5000000000000001E-2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  <cell r="I202">
            <v>6588</v>
          </cell>
          <cell r="J202">
            <v>2.5000000000000001E-2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  <cell r="I203">
            <v>7258</v>
          </cell>
          <cell r="J203">
            <v>2.5000000000000001E-2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  <cell r="I204">
            <v>6388</v>
          </cell>
          <cell r="J204">
            <v>2.5000000000000001E-2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  <cell r="I205">
            <v>6388</v>
          </cell>
          <cell r="J205">
            <v>2.5000000000000001E-2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  <cell r="I206">
            <v>6898</v>
          </cell>
          <cell r="J206">
            <v>2.5000000000000001E-2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  <cell r="I207">
            <v>7988</v>
          </cell>
          <cell r="J207">
            <v>2.5000000000000001E-2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  <cell r="I208">
            <v>7818</v>
          </cell>
          <cell r="J208">
            <v>2.5000000000000001E-2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  <cell r="I209">
            <v>8378</v>
          </cell>
          <cell r="J209">
            <v>2.5000000000000001E-2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  <cell r="I210">
            <v>8478</v>
          </cell>
          <cell r="J210">
            <v>2.5000000000000001E-2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  <cell r="I211">
            <v>7988</v>
          </cell>
          <cell r="J211">
            <v>2.5000000000000001E-2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  <cell r="I212">
            <v>10968</v>
          </cell>
          <cell r="J212">
            <v>2.5000000000000001E-2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  <cell r="I213">
            <v>8988</v>
          </cell>
          <cell r="J213">
            <v>2.5000000000000001E-2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  <cell r="I214">
            <v>11198</v>
          </cell>
          <cell r="J214">
            <v>2.5000000000000001E-2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  <cell r="I215">
            <v>12918</v>
          </cell>
          <cell r="J215">
            <v>2.5000000000000001E-2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  <cell r="I216">
            <v>11658</v>
          </cell>
          <cell r="J216">
            <v>2.5000000000000001E-2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  <cell r="I217">
            <v>13308</v>
          </cell>
          <cell r="J217">
            <v>2.5000000000000001E-2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  <cell r="I218">
            <v>11558</v>
          </cell>
          <cell r="J218">
            <v>2.5000000000000001E-2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  <cell r="I219">
            <v>13198</v>
          </cell>
          <cell r="J219">
            <v>2.5000000000000001E-2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  <cell r="I220">
            <v>10998</v>
          </cell>
          <cell r="J220">
            <v>2.5000000000000001E-2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  <cell r="I221">
            <v>15098</v>
          </cell>
          <cell r="J221">
            <v>2.5000000000000001E-2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  <cell r="I222">
            <v>14698</v>
          </cell>
          <cell r="J222">
            <v>2.5000000000000001E-2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  <cell r="I223">
            <v>16688</v>
          </cell>
          <cell r="J223">
            <v>2.5000000000000001E-2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  <cell r="I224">
            <v>8998</v>
          </cell>
          <cell r="J224">
            <v>2.5000000000000001E-2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  <cell r="I225">
            <v>9208</v>
          </cell>
          <cell r="J225">
            <v>2.5000000000000001E-2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  <cell r="I226">
            <v>12088</v>
          </cell>
          <cell r="J226">
            <v>2.5000000000000001E-2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  <cell r="I227">
            <v>16358</v>
          </cell>
          <cell r="J227">
            <v>2.5000000000000001E-2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  <cell r="I228">
            <v>16888</v>
          </cell>
          <cell r="J228">
            <v>2.5000000000000001E-2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  <cell r="I229">
            <v>18588</v>
          </cell>
          <cell r="J229">
            <v>2.5000000000000001E-2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  <cell r="I230">
            <v>12288</v>
          </cell>
          <cell r="J230">
            <v>2.5000000000000001E-2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  <cell r="I231">
            <v>19158</v>
          </cell>
          <cell r="J231">
            <v>2.5000000000000001E-2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  <cell r="I232">
            <v>14058</v>
          </cell>
          <cell r="J232">
            <v>2.5000000000000001E-2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  <cell r="I233">
            <v>21328</v>
          </cell>
          <cell r="J233">
            <v>2.5000000000000001E-2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  <cell r="I234">
            <v>7308</v>
          </cell>
          <cell r="J234">
            <v>2.5000000000000001E-2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  <cell r="I235">
            <v>7628</v>
          </cell>
          <cell r="J235">
            <v>2.5000000000000001E-2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  <cell r="I236">
            <v>12808</v>
          </cell>
          <cell r="J236">
            <v>2.5000000000000001E-2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  <cell r="I237">
            <v>14998</v>
          </cell>
          <cell r="J237">
            <v>2.5000000000000001E-2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  <cell r="I238">
            <v>16168</v>
          </cell>
          <cell r="J238">
            <v>2.5000000000000001E-2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  <cell r="I239">
            <v>19718</v>
          </cell>
          <cell r="J239">
            <v>2.5000000000000001E-2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  <cell r="I240">
            <v>8988</v>
          </cell>
          <cell r="J240">
            <v>2.5000000000000001E-2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  <cell r="I241">
            <v>9988</v>
          </cell>
          <cell r="J241">
            <v>2.5000000000000001E-2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  <cell r="I242">
            <v>14198</v>
          </cell>
          <cell r="J242">
            <v>2.5000000000000001E-2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  <cell r="I243">
            <v>16398</v>
          </cell>
          <cell r="J243">
            <v>2.5000000000000001E-2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  <cell r="I244">
            <v>20628</v>
          </cell>
          <cell r="J244">
            <v>2.5000000000000001E-2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  <cell r="I245">
            <v>27458</v>
          </cell>
          <cell r="J245">
            <v>2.5000000000000001E-2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  <cell r="I246">
            <v>32458</v>
          </cell>
          <cell r="J246">
            <v>2.5000000000000001E-2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  <cell r="E247" t="str">
            <v>在销</v>
          </cell>
          <cell r="F247" t="str">
            <v>常规</v>
          </cell>
          <cell r="G247">
            <v>32088</v>
          </cell>
          <cell r="I247">
            <v>31988</v>
          </cell>
          <cell r="J247">
            <v>2.5000000000000001E-2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  <cell r="E248" t="str">
            <v>在销</v>
          </cell>
          <cell r="F248" t="str">
            <v>常规</v>
          </cell>
          <cell r="G248">
            <v>33588</v>
          </cell>
          <cell r="I248">
            <v>33488</v>
          </cell>
          <cell r="J248">
            <v>2.5000000000000001E-2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  <cell r="E249" t="str">
            <v>在销</v>
          </cell>
          <cell r="F249" t="str">
            <v>常规</v>
          </cell>
          <cell r="G249">
            <v>36928</v>
          </cell>
          <cell r="I249">
            <v>36828</v>
          </cell>
          <cell r="J249">
            <v>2.5000000000000001E-2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  <cell r="E250" t="str">
            <v>在销</v>
          </cell>
          <cell r="F250" t="str">
            <v>常规</v>
          </cell>
          <cell r="G250">
            <v>38458</v>
          </cell>
          <cell r="I250">
            <v>38358</v>
          </cell>
          <cell r="J250">
            <v>2.5000000000000001E-2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  <cell r="E251" t="str">
            <v>在销</v>
          </cell>
          <cell r="F251" t="str">
            <v>常规</v>
          </cell>
          <cell r="G251">
            <v>38758</v>
          </cell>
          <cell r="I251">
            <v>38658</v>
          </cell>
          <cell r="J251">
            <v>2.5000000000000001E-2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  <cell r="E252" t="str">
            <v>在销</v>
          </cell>
          <cell r="F252" t="str">
            <v>常规</v>
          </cell>
          <cell r="G252">
            <v>38758</v>
          </cell>
          <cell r="I252">
            <v>38658</v>
          </cell>
          <cell r="J252">
            <v>2.5000000000000001E-2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  <cell r="E253" t="str">
            <v>在销</v>
          </cell>
          <cell r="F253" t="str">
            <v>常规</v>
          </cell>
          <cell r="G253">
            <v>44178</v>
          </cell>
          <cell r="I253">
            <v>44078</v>
          </cell>
          <cell r="J253">
            <v>2.5000000000000001E-2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  <cell r="E254" t="str">
            <v>在销</v>
          </cell>
          <cell r="F254" t="str">
            <v>常规</v>
          </cell>
          <cell r="G254">
            <v>44178</v>
          </cell>
          <cell r="I254">
            <v>44078</v>
          </cell>
          <cell r="J254">
            <v>2.5000000000000001E-2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  <cell r="E255" t="str">
            <v>下市</v>
          </cell>
          <cell r="F255" t="str">
            <v>常规</v>
          </cell>
          <cell r="G255">
            <v>43668</v>
          </cell>
          <cell r="I255">
            <v>43568</v>
          </cell>
          <cell r="J255">
            <v>2.5000000000000001E-2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  <cell r="E256" t="str">
            <v>下市</v>
          </cell>
          <cell r="F256" t="str">
            <v>常规</v>
          </cell>
          <cell r="G256">
            <v>45628</v>
          </cell>
          <cell r="I256">
            <v>45528</v>
          </cell>
          <cell r="J256">
            <v>2.5000000000000001E-2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  <cell r="E257" t="str">
            <v>下市</v>
          </cell>
          <cell r="F257" t="str">
            <v>常规</v>
          </cell>
          <cell r="G257">
            <v>49848</v>
          </cell>
          <cell r="I257">
            <v>49748</v>
          </cell>
          <cell r="J257">
            <v>2.5000000000000001E-2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  <cell r="E258" t="str">
            <v>下市</v>
          </cell>
          <cell r="F258" t="str">
            <v>常规</v>
          </cell>
          <cell r="G258">
            <v>51768</v>
          </cell>
          <cell r="I258">
            <v>51668</v>
          </cell>
          <cell r="J258">
            <v>2.5000000000000001E-2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  <cell r="I259">
            <v>17098</v>
          </cell>
          <cell r="J259">
            <v>2.5000000000000001E-2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  <cell r="I260">
            <v>22438</v>
          </cell>
          <cell r="J260">
            <v>2.5000000000000001E-2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  <cell r="I261">
            <v>21288</v>
          </cell>
          <cell r="J261">
            <v>2.5000000000000001E-2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  <cell r="I262">
            <v>18168</v>
          </cell>
          <cell r="J262">
            <v>2.5000000000000001E-2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  <cell r="I263">
            <v>24328</v>
          </cell>
          <cell r="J263">
            <v>2.5000000000000001E-2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  <cell r="I264">
            <v>19448</v>
          </cell>
          <cell r="J264">
            <v>2.5000000000000001E-2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  <cell r="I265">
            <v>25618</v>
          </cell>
          <cell r="J265">
            <v>2.5000000000000001E-2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  <cell r="E266" t="str">
            <v>下市</v>
          </cell>
          <cell r="F266" t="str">
            <v>常规</v>
          </cell>
          <cell r="G266">
            <v>54708</v>
          </cell>
          <cell r="I266">
            <v>54608</v>
          </cell>
          <cell r="J266">
            <v>2.5000000000000001E-2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  <cell r="I267">
            <v>18848</v>
          </cell>
          <cell r="J267">
            <v>2.5000000000000001E-2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  <cell r="I268">
            <v>13598</v>
          </cell>
          <cell r="J268">
            <v>2.5000000000000001E-2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  <cell r="I269">
            <v>8988</v>
          </cell>
          <cell r="J269">
            <v>2.5000000000000001E-2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  <cell r="I270">
            <v>9988</v>
          </cell>
          <cell r="J270">
            <v>2.5000000000000001E-2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  <cell r="E271" t="str">
            <v>下市</v>
          </cell>
          <cell r="F271" t="str">
            <v>特价</v>
          </cell>
          <cell r="G271">
            <v>3698</v>
          </cell>
          <cell r="I271">
            <v>3698</v>
          </cell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  <cell r="E272" t="str">
            <v>在销</v>
          </cell>
          <cell r="F272" t="str">
            <v>特价</v>
          </cell>
          <cell r="G272">
            <v>378</v>
          </cell>
          <cell r="I272">
            <v>378</v>
          </cell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  <cell r="E273" t="str">
            <v>在销</v>
          </cell>
          <cell r="F273" t="str">
            <v>特价</v>
          </cell>
          <cell r="G273">
            <v>1298</v>
          </cell>
          <cell r="I273">
            <v>1298</v>
          </cell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  <cell r="E274" t="str">
            <v>在销</v>
          </cell>
          <cell r="F274" t="str">
            <v>特价</v>
          </cell>
          <cell r="G274">
            <v>1998</v>
          </cell>
          <cell r="I274">
            <v>1998</v>
          </cell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  <cell r="E275" t="str">
            <v>在销</v>
          </cell>
          <cell r="F275" t="str">
            <v>特价</v>
          </cell>
          <cell r="G275">
            <v>998</v>
          </cell>
          <cell r="I275">
            <v>998</v>
          </cell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  <cell r="E276" t="str">
            <v>在销</v>
          </cell>
          <cell r="F276" t="str">
            <v>特价</v>
          </cell>
          <cell r="G276">
            <v>1988</v>
          </cell>
          <cell r="I276">
            <v>1888</v>
          </cell>
          <cell r="J276">
            <v>2.5000000000000001E-2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  <cell r="E277" t="str">
            <v>在销</v>
          </cell>
          <cell r="F277" t="str">
            <v>特价</v>
          </cell>
          <cell r="G277">
            <v>2188</v>
          </cell>
          <cell r="I277">
            <v>2088</v>
          </cell>
          <cell r="J277">
            <v>2.5000000000000001E-2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  <cell r="E278" t="str">
            <v>在销</v>
          </cell>
          <cell r="F278" t="str">
            <v>特价</v>
          </cell>
          <cell r="G278">
            <v>4998</v>
          </cell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  <cell r="E279" t="str">
            <v>在销</v>
          </cell>
          <cell r="F279" t="str">
            <v>特价</v>
          </cell>
          <cell r="G279">
            <v>5598</v>
          </cell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  <cell r="E280" t="str">
            <v>在销</v>
          </cell>
          <cell r="F280" t="str">
            <v>特价</v>
          </cell>
          <cell r="G280">
            <v>4308</v>
          </cell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  <cell r="E281" t="str">
            <v>下市</v>
          </cell>
          <cell r="F281" t="str">
            <v>特价</v>
          </cell>
          <cell r="G281">
            <v>7098</v>
          </cell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  <cell r="E282" t="str">
            <v>下市</v>
          </cell>
          <cell r="F282" t="str">
            <v>特价</v>
          </cell>
          <cell r="G282">
            <v>8698</v>
          </cell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  <cell r="E283" t="str">
            <v>下市</v>
          </cell>
          <cell r="F283" t="str">
            <v>特价</v>
          </cell>
          <cell r="G283">
            <v>7798</v>
          </cell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  <cell r="E284" t="str">
            <v>下市</v>
          </cell>
          <cell r="F284" t="str">
            <v>特价</v>
          </cell>
          <cell r="G284">
            <v>7798</v>
          </cell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  <cell r="E285" t="str">
            <v>下市</v>
          </cell>
          <cell r="F285" t="str">
            <v>特价</v>
          </cell>
          <cell r="G285">
            <v>10098</v>
          </cell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  <cell r="E286" t="str">
            <v>下市</v>
          </cell>
          <cell r="F286" t="str">
            <v>特价</v>
          </cell>
          <cell r="G286">
            <v>15498</v>
          </cell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  <cell r="E287" t="str">
            <v>在销</v>
          </cell>
          <cell r="F287" t="str">
            <v>特价</v>
          </cell>
          <cell r="G287">
            <v>18798</v>
          </cell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  <cell r="E288" t="str">
            <v>下市</v>
          </cell>
          <cell r="F288" t="str">
            <v>特价</v>
          </cell>
          <cell r="G288">
            <v>9198</v>
          </cell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  <cell r="E289" t="str">
            <v>在销</v>
          </cell>
          <cell r="F289" t="str">
            <v>特价</v>
          </cell>
          <cell r="G289">
            <v>8358</v>
          </cell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  <cell r="E290" t="str">
            <v>在销</v>
          </cell>
          <cell r="F290" t="str">
            <v>特价</v>
          </cell>
          <cell r="G290">
            <v>7418</v>
          </cell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  <cell r="E291" t="str">
            <v>在销</v>
          </cell>
          <cell r="F291" t="str">
            <v>特价</v>
          </cell>
          <cell r="G291">
            <v>9068</v>
          </cell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  <cell r="E292" t="str">
            <v>在销</v>
          </cell>
          <cell r="F292" t="str">
            <v>特价</v>
          </cell>
          <cell r="G292">
            <v>5858</v>
          </cell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  <cell r="E293" t="str">
            <v>在销</v>
          </cell>
          <cell r="F293" t="str">
            <v>特价</v>
          </cell>
          <cell r="G293">
            <v>5678</v>
          </cell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  <cell r="E294" t="str">
            <v>在销</v>
          </cell>
          <cell r="F294" t="str">
            <v>特价</v>
          </cell>
          <cell r="G294">
            <v>5158</v>
          </cell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  <cell r="E295" t="str">
            <v>下市</v>
          </cell>
          <cell r="F295" t="str">
            <v>特价</v>
          </cell>
          <cell r="G295">
            <v>8568</v>
          </cell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  <cell r="E296" t="str">
            <v>下市</v>
          </cell>
          <cell r="F296" t="str">
            <v>特价</v>
          </cell>
          <cell r="G296">
            <v>10098</v>
          </cell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  <cell r="E297" t="str">
            <v>在销</v>
          </cell>
          <cell r="F297" t="str">
            <v>特价</v>
          </cell>
          <cell r="G297">
            <v>8568</v>
          </cell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  <cell r="E298" t="str">
            <v>在销</v>
          </cell>
          <cell r="F298" t="str">
            <v>特价</v>
          </cell>
          <cell r="G298">
            <v>7328</v>
          </cell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  <cell r="E299" t="str">
            <v>是</v>
          </cell>
          <cell r="F299" t="str">
            <v>特价</v>
          </cell>
          <cell r="G299">
            <v>10098</v>
          </cell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  <cell r="E300" t="str">
            <v>在销</v>
          </cell>
          <cell r="F300" t="str">
            <v>特价</v>
          </cell>
          <cell r="G300">
            <v>4398</v>
          </cell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  <cell r="E301" t="str">
            <v>在销</v>
          </cell>
          <cell r="F301" t="str">
            <v>特价</v>
          </cell>
          <cell r="G301">
            <v>6098</v>
          </cell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  <cell r="E302" t="str">
            <v>下市</v>
          </cell>
          <cell r="F302" t="str">
            <v>特价-无批发价</v>
          </cell>
          <cell r="G302">
            <v>3098</v>
          </cell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  <cell r="E303" t="str">
            <v>下市</v>
          </cell>
          <cell r="F303" t="str">
            <v>特价</v>
          </cell>
          <cell r="G303">
            <v>3098</v>
          </cell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  <cell r="E304" t="str">
            <v>在销</v>
          </cell>
          <cell r="F304" t="str">
            <v>特价</v>
          </cell>
          <cell r="G304">
            <v>3098</v>
          </cell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  <cell r="E305" t="str">
            <v>下市</v>
          </cell>
          <cell r="F305" t="str">
            <v>特价</v>
          </cell>
          <cell r="G305">
            <v>3098</v>
          </cell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  <cell r="E307" t="str">
            <v>在销</v>
          </cell>
          <cell r="F307" t="str">
            <v>特价</v>
          </cell>
          <cell r="G307">
            <v>3398</v>
          </cell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  <cell r="E308" t="str">
            <v>在销</v>
          </cell>
          <cell r="F308" t="str">
            <v>特价</v>
          </cell>
          <cell r="G308">
            <v>3398</v>
          </cell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  <cell r="E309" t="str">
            <v>下市</v>
          </cell>
          <cell r="F309" t="str">
            <v>特价</v>
          </cell>
          <cell r="G309">
            <v>3598</v>
          </cell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  <cell r="E310" t="str">
            <v>下市</v>
          </cell>
          <cell r="F310" t="str">
            <v>特价</v>
          </cell>
          <cell r="G310">
            <v>3398</v>
          </cell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  <cell r="E311" t="str">
            <v>是</v>
          </cell>
          <cell r="F311" t="str">
            <v>特价</v>
          </cell>
          <cell r="G311">
            <v>3398</v>
          </cell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  <cell r="E312" t="str">
            <v>在销</v>
          </cell>
          <cell r="F312" t="str">
            <v>特价</v>
          </cell>
          <cell r="G312">
            <v>3398</v>
          </cell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  <cell r="E313" t="str">
            <v>在销</v>
          </cell>
          <cell r="F313" t="str">
            <v>特价</v>
          </cell>
          <cell r="G313">
            <v>3098</v>
          </cell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  <cell r="E314" t="str">
            <v>在销</v>
          </cell>
          <cell r="F314" t="str">
            <v>特价</v>
          </cell>
          <cell r="G314">
            <v>3798</v>
          </cell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  <cell r="I315">
            <v>1298</v>
          </cell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  <cell r="I316">
            <v>5998</v>
          </cell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  <cell r="I317">
            <v>23008</v>
          </cell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  <cell r="E318" t="str">
            <v>在销</v>
          </cell>
          <cell r="F318" t="str">
            <v>特价</v>
          </cell>
          <cell r="G318">
            <v>8358</v>
          </cell>
          <cell r="I318">
            <v>8358</v>
          </cell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  <cell r="E319" t="str">
            <v>在销</v>
          </cell>
          <cell r="F319" t="str">
            <v>特价</v>
          </cell>
          <cell r="G319">
            <v>9998</v>
          </cell>
          <cell r="I319">
            <v>9998</v>
          </cell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  <cell r="E320" t="str">
            <v>在销</v>
          </cell>
          <cell r="F320" t="str">
            <v>特价</v>
          </cell>
          <cell r="G320">
            <v>3599</v>
          </cell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  <cell r="E321" t="str">
            <v>在销</v>
          </cell>
          <cell r="F321" t="str">
            <v>特价</v>
          </cell>
          <cell r="G321">
            <v>3599</v>
          </cell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  <cell r="E322" t="str">
            <v>在销</v>
          </cell>
          <cell r="F322" t="str">
            <v>特价</v>
          </cell>
          <cell r="G322">
            <v>1998</v>
          </cell>
          <cell r="I322">
            <v>1998</v>
          </cell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  <cell r="E323" t="str">
            <v>在销</v>
          </cell>
          <cell r="F323" t="str">
            <v>特价</v>
          </cell>
          <cell r="G323">
            <v>758</v>
          </cell>
          <cell r="I323">
            <v>758</v>
          </cell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  <cell r="E324" t="str">
            <v>在销</v>
          </cell>
          <cell r="F324" t="str">
            <v>特价</v>
          </cell>
          <cell r="G324">
            <v>7308</v>
          </cell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  <cell r="E325" t="str">
            <v>在销</v>
          </cell>
          <cell r="F325" t="str">
            <v>特价</v>
          </cell>
          <cell r="G325">
            <v>7308</v>
          </cell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  <cell r="E326" t="str">
            <v>在销</v>
          </cell>
          <cell r="F326" t="str">
            <v>特价</v>
          </cell>
          <cell r="G326">
            <v>9098</v>
          </cell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  <cell r="E327" t="str">
            <v>在销</v>
          </cell>
          <cell r="F327" t="str">
            <v>特价</v>
          </cell>
          <cell r="G327">
            <v>7308</v>
          </cell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  <cell r="E328" t="str">
            <v>在销</v>
          </cell>
          <cell r="F328" t="str">
            <v>特价</v>
          </cell>
          <cell r="G328">
            <v>6698</v>
          </cell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  <cell r="E329" t="str">
            <v>在销</v>
          </cell>
          <cell r="F329" t="str">
            <v>特价</v>
          </cell>
          <cell r="G329">
            <v>6698</v>
          </cell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  <cell r="E330" t="str">
            <v>在销</v>
          </cell>
          <cell r="F330" t="str">
            <v>特价</v>
          </cell>
          <cell r="G330">
            <v>7398</v>
          </cell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  <cell r="E331" t="str">
            <v>在销</v>
          </cell>
          <cell r="F331" t="str">
            <v>特价</v>
          </cell>
          <cell r="G331">
            <v>9388</v>
          </cell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  <cell r="E332" t="str">
            <v>在销</v>
          </cell>
          <cell r="F332" t="str">
            <v>特价</v>
          </cell>
          <cell r="G332">
            <v>9388</v>
          </cell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  <cell r="E333" t="str">
            <v>在销</v>
          </cell>
          <cell r="F333" t="str">
            <v>特价</v>
          </cell>
          <cell r="G333">
            <v>11098</v>
          </cell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  <cell r="E334" t="str">
            <v>在销</v>
          </cell>
          <cell r="F334" t="str">
            <v>特价</v>
          </cell>
          <cell r="G334">
            <v>7698</v>
          </cell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  <cell r="E335" t="str">
            <v>在销</v>
          </cell>
          <cell r="F335" t="str">
            <v>特价</v>
          </cell>
          <cell r="G335">
            <v>16000</v>
          </cell>
          <cell r="I335">
            <v>16000</v>
          </cell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  <cell r="E336" t="str">
            <v>在销</v>
          </cell>
          <cell r="F336" t="str">
            <v>特价</v>
          </cell>
          <cell r="G336">
            <v>39</v>
          </cell>
          <cell r="I336">
            <v>39</v>
          </cell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  <cell r="E337" t="str">
            <v>在销</v>
          </cell>
          <cell r="F337" t="str">
            <v>特价</v>
          </cell>
          <cell r="G337">
            <v>1558</v>
          </cell>
          <cell r="I337">
            <v>1558</v>
          </cell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  <cell r="E338" t="str">
            <v>在销</v>
          </cell>
          <cell r="F338" t="str">
            <v>特价</v>
          </cell>
          <cell r="G338">
            <v>3988</v>
          </cell>
          <cell r="I338">
            <v>3988</v>
          </cell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  <cell r="E339" t="str">
            <v>在销</v>
          </cell>
          <cell r="F339" t="str">
            <v>特价</v>
          </cell>
          <cell r="G339">
            <v>1998</v>
          </cell>
          <cell r="I339">
            <v>1998</v>
          </cell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  <cell r="E340" t="str">
            <v>在销</v>
          </cell>
          <cell r="F340" t="str">
            <v>特价</v>
          </cell>
          <cell r="G340">
            <v>668</v>
          </cell>
          <cell r="I340">
            <v>668</v>
          </cell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  <cell r="E341" t="str">
            <v>在销</v>
          </cell>
          <cell r="F341" t="str">
            <v>特价</v>
          </cell>
          <cell r="G341">
            <v>2299</v>
          </cell>
          <cell r="I341">
            <v>2199</v>
          </cell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  <cell r="E342" t="str">
            <v>在销</v>
          </cell>
          <cell r="F342" t="str">
            <v>特价</v>
          </cell>
          <cell r="G342">
            <v>2399</v>
          </cell>
          <cell r="I342">
            <v>2299</v>
          </cell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  <cell r="E343" t="str">
            <v>在销</v>
          </cell>
          <cell r="F343" t="str">
            <v>特价</v>
          </cell>
          <cell r="G343">
            <v>2599</v>
          </cell>
          <cell r="I343">
            <v>2499</v>
          </cell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  <cell r="E344" t="str">
            <v>在销</v>
          </cell>
          <cell r="F344" t="str">
            <v>特价</v>
          </cell>
          <cell r="G344">
            <v>2399</v>
          </cell>
          <cell r="I344">
            <v>2299</v>
          </cell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  <cell r="E345" t="str">
            <v>在销</v>
          </cell>
          <cell r="F345" t="str">
            <v>特价</v>
          </cell>
          <cell r="G345">
            <v>2499</v>
          </cell>
          <cell r="I345">
            <v>2399</v>
          </cell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  <cell r="E346" t="str">
            <v>在销</v>
          </cell>
          <cell r="F346" t="str">
            <v>特价</v>
          </cell>
          <cell r="G346">
            <v>2699</v>
          </cell>
          <cell r="I346">
            <v>2599</v>
          </cell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  <cell r="E347" t="str">
            <v>在销</v>
          </cell>
          <cell r="F347" t="str">
            <v>特价</v>
          </cell>
          <cell r="G347">
            <v>3598</v>
          </cell>
          <cell r="I347">
            <v>3498</v>
          </cell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  <cell r="E348" t="str">
            <v>在销</v>
          </cell>
          <cell r="F348" t="str">
            <v>特价</v>
          </cell>
          <cell r="G348">
            <v>3098</v>
          </cell>
          <cell r="I348">
            <v>2998</v>
          </cell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  <cell r="E349" t="str">
            <v>下市</v>
          </cell>
          <cell r="F349" t="str">
            <v>特价</v>
          </cell>
          <cell r="G349">
            <v>2338</v>
          </cell>
          <cell r="I349">
            <v>2238</v>
          </cell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  <cell r="E350" t="str">
            <v>在销</v>
          </cell>
          <cell r="F350" t="str">
            <v>特价</v>
          </cell>
          <cell r="G350">
            <v>1898</v>
          </cell>
          <cell r="I350">
            <v>1798</v>
          </cell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  <cell r="E351" t="str">
            <v>在销</v>
          </cell>
          <cell r="F351" t="str">
            <v>特价</v>
          </cell>
          <cell r="G351">
            <v>2198</v>
          </cell>
          <cell r="I351">
            <v>2098</v>
          </cell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  <cell r="E352" t="str">
            <v>在销</v>
          </cell>
          <cell r="F352" t="str">
            <v>特价</v>
          </cell>
          <cell r="G352">
            <v>3098</v>
          </cell>
          <cell r="I352">
            <v>2998</v>
          </cell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  <cell r="E353" t="str">
            <v>在销</v>
          </cell>
          <cell r="F353" t="str">
            <v>特价</v>
          </cell>
          <cell r="G353">
            <v>3398</v>
          </cell>
          <cell r="I353">
            <v>3298</v>
          </cell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  <cell r="I354">
            <v>2488</v>
          </cell>
          <cell r="J354">
            <v>1.4999999999999999E-2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  <cell r="I355">
            <v>6088</v>
          </cell>
          <cell r="J355">
            <v>1.4999999999999999E-2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  <cell r="E356" t="str">
            <v>在销</v>
          </cell>
          <cell r="F356" t="str">
            <v>特价-无批发价</v>
          </cell>
          <cell r="G356">
            <v>4758</v>
          </cell>
          <cell r="I356">
            <v>4658</v>
          </cell>
          <cell r="J356">
            <v>1.4999999999999999E-2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  <cell r="I357">
            <v>6788</v>
          </cell>
          <cell r="J357">
            <v>2.5000000000000001E-2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  <cell r="E378" t="str">
            <v>在销</v>
          </cell>
          <cell r="F378" t="str">
            <v>特价</v>
          </cell>
          <cell r="G378">
            <v>16598</v>
          </cell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  <cell r="E379" t="str">
            <v>在销</v>
          </cell>
          <cell r="F379" t="str">
            <v>特价</v>
          </cell>
          <cell r="G379">
            <v>17698</v>
          </cell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  <cell r="E386" t="str">
            <v>在销</v>
          </cell>
          <cell r="F386" t="str">
            <v>特价</v>
          </cell>
          <cell r="G386">
            <v>17698</v>
          </cell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  <cell r="E387" t="str">
            <v>在销</v>
          </cell>
          <cell r="F387" t="str">
            <v>特价</v>
          </cell>
          <cell r="G387">
            <v>19098</v>
          </cell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  <cell r="E388" t="str">
            <v>在销</v>
          </cell>
          <cell r="F388" t="str">
            <v>特价</v>
          </cell>
          <cell r="G388">
            <v>19098</v>
          </cell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  <cell r="E389" t="str">
            <v>在销</v>
          </cell>
          <cell r="F389" t="str">
            <v>特价</v>
          </cell>
          <cell r="G389">
            <v>22088</v>
          </cell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  <cell r="E390" t="str">
            <v>在销</v>
          </cell>
          <cell r="F390" t="str">
            <v>特价</v>
          </cell>
          <cell r="G390">
            <v>20898</v>
          </cell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  <cell r="E391" t="str">
            <v>在销</v>
          </cell>
          <cell r="F391" t="str">
            <v>特价</v>
          </cell>
          <cell r="G391">
            <v>23898</v>
          </cell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  <cell r="E396" t="str">
            <v>在销</v>
          </cell>
          <cell r="F396" t="str">
            <v>特价</v>
          </cell>
          <cell r="G396">
            <v>7708</v>
          </cell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  <cell r="E397" t="str">
            <v>在销</v>
          </cell>
          <cell r="F397" t="str">
            <v>特价</v>
          </cell>
          <cell r="G397">
            <v>9578</v>
          </cell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  <cell r="E398" t="str">
            <v>在销</v>
          </cell>
          <cell r="F398" t="str">
            <v>常规</v>
          </cell>
          <cell r="G398">
            <v>5788</v>
          </cell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  <cell r="E399" t="str">
            <v>在销</v>
          </cell>
          <cell r="F399" t="str">
            <v>常规</v>
          </cell>
          <cell r="G399">
            <v>6208</v>
          </cell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  <cell r="E400" t="str">
            <v>在销</v>
          </cell>
          <cell r="F400" t="str">
            <v>常规</v>
          </cell>
          <cell r="G400">
            <v>8888</v>
          </cell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  <cell r="E401" t="str">
            <v>在销</v>
          </cell>
          <cell r="F401" t="str">
            <v>常规</v>
          </cell>
          <cell r="G401">
            <v>9788</v>
          </cell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  <cell r="I402">
            <v>4458</v>
          </cell>
          <cell r="J402">
            <v>2.5000000000000001E-2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  <cell r="E403" t="str">
            <v>在销</v>
          </cell>
          <cell r="F403" t="str">
            <v>特价</v>
          </cell>
          <cell r="G403">
            <v>5678</v>
          </cell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  <cell r="E404" t="str">
            <v>在销</v>
          </cell>
          <cell r="F404" t="str">
            <v>常规</v>
          </cell>
          <cell r="G404">
            <v>8288</v>
          </cell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  <cell r="E405" t="str">
            <v>在销</v>
          </cell>
          <cell r="F405" t="str">
            <v>特价</v>
          </cell>
          <cell r="G405">
            <v>7698</v>
          </cell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  <cell r="E406" t="str">
            <v>在销</v>
          </cell>
          <cell r="F406" t="str">
            <v>特价</v>
          </cell>
          <cell r="G406">
            <v>6188</v>
          </cell>
          <cell r="I406">
            <v>6088</v>
          </cell>
          <cell r="J406">
            <v>1.4999999999999999E-2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  <cell r="I407">
            <v>6888</v>
          </cell>
          <cell r="J407">
            <v>2.5000000000000001E-2</v>
          </cell>
          <cell r="K407">
            <v>172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tabSelected="1" workbookViewId="0">
      <selection activeCell="O7" sqref="O7"/>
    </sheetView>
  </sheetViews>
  <sheetFormatPr baseColWidth="10" defaultColWidth="8.83203125" defaultRowHeight="14"/>
  <cols>
    <col min="18" max="18" width="11" bestFit="1" customWidth="1"/>
    <col min="19" max="19" width="12" bestFit="1" customWidth="1"/>
  </cols>
  <sheetData>
    <row r="1" spans="1:29" ht="30">
      <c r="A1" s="4" t="s">
        <v>1</v>
      </c>
      <c r="B1" s="4" t="s">
        <v>2</v>
      </c>
      <c r="C1" s="5" t="s">
        <v>3</v>
      </c>
      <c r="D1" s="5" t="s">
        <v>4</v>
      </c>
      <c r="E1" s="4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7" t="s">
        <v>17</v>
      </c>
      <c r="R1" s="6" t="s">
        <v>18</v>
      </c>
      <c r="S1" s="6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6" t="s">
        <v>29</v>
      </c>
    </row>
    <row r="2" spans="1:29" ht="45">
      <c r="A2" s="8" t="s">
        <v>30</v>
      </c>
      <c r="B2" s="8"/>
      <c r="C2" s="9" t="s">
        <v>31</v>
      </c>
      <c r="D2" s="9" t="s">
        <v>32</v>
      </c>
      <c r="E2" s="8" t="s">
        <v>33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10">
        <v>-5</v>
      </c>
      <c r="O2" s="10" t="s">
        <v>41</v>
      </c>
      <c r="P2" s="10">
        <f>VLOOKUP(O2,'[1]2025年5.5新价格提成表 '!$B$1:$K$421,10,0)</f>
        <v>13</v>
      </c>
      <c r="Q2" s="11">
        <f>P2*N2</f>
        <v>-65</v>
      </c>
      <c r="R2" s="10">
        <v>1080</v>
      </c>
      <c r="S2" s="10">
        <v>-5400</v>
      </c>
      <c r="T2" s="9" t="s">
        <v>42</v>
      </c>
      <c r="U2" s="9" t="s">
        <v>42</v>
      </c>
      <c r="V2" s="9" t="s">
        <v>43</v>
      </c>
      <c r="W2" s="9"/>
      <c r="X2" s="9" t="s">
        <v>44</v>
      </c>
      <c r="Y2" s="9" t="s">
        <v>45</v>
      </c>
      <c r="Z2" s="9"/>
      <c r="AA2" s="9" t="s">
        <v>46</v>
      </c>
      <c r="AB2" s="9" t="s">
        <v>47</v>
      </c>
      <c r="AC2" s="10">
        <v>-5400</v>
      </c>
    </row>
    <row r="3" spans="1:29" ht="60">
      <c r="A3" s="8" t="s">
        <v>48</v>
      </c>
      <c r="B3" s="8"/>
      <c r="C3" s="9" t="s">
        <v>49</v>
      </c>
      <c r="D3" s="9" t="s">
        <v>50</v>
      </c>
      <c r="E3" s="8" t="s">
        <v>33</v>
      </c>
      <c r="F3" s="9" t="s">
        <v>33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38</v>
      </c>
      <c r="L3" s="9" t="s">
        <v>55</v>
      </c>
      <c r="M3" s="9" t="s">
        <v>56</v>
      </c>
      <c r="N3" s="10">
        <v>1</v>
      </c>
      <c r="O3" s="10" t="s">
        <v>57</v>
      </c>
      <c r="P3" s="10">
        <f>VLOOKUP(O3,'[1]2025年5.5新价格提成表 '!$B$1:$K$421,10,0)</f>
        <v>78</v>
      </c>
      <c r="Q3" s="11">
        <f t="shared" ref="Q3:Q23" si="0">P3*N3</f>
        <v>78</v>
      </c>
      <c r="R3" s="10">
        <v>2850</v>
      </c>
      <c r="S3" s="10">
        <v>2850</v>
      </c>
      <c r="T3" s="9" t="s">
        <v>58</v>
      </c>
      <c r="U3" s="9" t="s">
        <v>58</v>
      </c>
      <c r="V3" s="9" t="s">
        <v>59</v>
      </c>
      <c r="W3" s="9"/>
      <c r="X3" s="9" t="s">
        <v>60</v>
      </c>
      <c r="Y3" s="9" t="s">
        <v>61</v>
      </c>
      <c r="Z3" s="9"/>
      <c r="AA3" s="9" t="s">
        <v>62</v>
      </c>
      <c r="AB3" s="9" t="s">
        <v>47</v>
      </c>
      <c r="AC3" s="10">
        <v>2850</v>
      </c>
    </row>
    <row r="4" spans="1:29" ht="60">
      <c r="A4" s="8" t="s">
        <v>63</v>
      </c>
      <c r="B4" s="8"/>
      <c r="C4" s="9" t="s">
        <v>64</v>
      </c>
      <c r="D4" s="9" t="s">
        <v>50</v>
      </c>
      <c r="E4" s="8" t="s">
        <v>33</v>
      </c>
      <c r="F4" s="9" t="s">
        <v>65</v>
      </c>
      <c r="G4" s="9" t="s">
        <v>66</v>
      </c>
      <c r="H4" s="9" t="s">
        <v>52</v>
      </c>
      <c r="I4" s="9" t="s">
        <v>67</v>
      </c>
      <c r="J4" s="9" t="s">
        <v>68</v>
      </c>
      <c r="K4" s="9" t="s">
        <v>38</v>
      </c>
      <c r="L4" s="9" t="s">
        <v>69</v>
      </c>
      <c r="M4" s="9" t="s">
        <v>70</v>
      </c>
      <c r="N4" s="10">
        <v>1</v>
      </c>
      <c r="O4" s="10" t="s">
        <v>71</v>
      </c>
      <c r="P4" s="10">
        <f>VLOOKUP(O4,'[1]2025年5.5新价格提成表 '!$B$1:$K$421,10,0)</f>
        <v>372</v>
      </c>
      <c r="Q4" s="11">
        <f t="shared" si="0"/>
        <v>372</v>
      </c>
      <c r="R4" s="10">
        <v>5950</v>
      </c>
      <c r="S4" s="10">
        <v>5950</v>
      </c>
      <c r="T4" s="9" t="s">
        <v>58</v>
      </c>
      <c r="U4" s="9" t="s">
        <v>58</v>
      </c>
      <c r="V4" s="9" t="s">
        <v>59</v>
      </c>
      <c r="W4" s="9"/>
      <c r="X4" s="9" t="s">
        <v>72</v>
      </c>
      <c r="Y4" s="9" t="s">
        <v>73</v>
      </c>
      <c r="Z4" s="9"/>
      <c r="AA4" s="9" t="s">
        <v>74</v>
      </c>
      <c r="AB4" s="9" t="s">
        <v>47</v>
      </c>
      <c r="AC4" s="10">
        <v>5950</v>
      </c>
    </row>
    <row r="5" spans="1:29" ht="60">
      <c r="A5" s="8" t="s">
        <v>75</v>
      </c>
      <c r="B5" s="8"/>
      <c r="C5" s="9" t="s">
        <v>76</v>
      </c>
      <c r="D5" s="9" t="s">
        <v>77</v>
      </c>
      <c r="E5" s="8" t="s">
        <v>33</v>
      </c>
      <c r="F5" s="9" t="s">
        <v>33</v>
      </c>
      <c r="G5" s="9" t="s">
        <v>78</v>
      </c>
      <c r="H5" s="9" t="s">
        <v>52</v>
      </c>
      <c r="I5" s="9" t="s">
        <v>79</v>
      </c>
      <c r="J5" s="9" t="s">
        <v>80</v>
      </c>
      <c r="K5" s="9" t="s">
        <v>38</v>
      </c>
      <c r="L5" s="9" t="s">
        <v>81</v>
      </c>
      <c r="M5" s="9" t="s">
        <v>82</v>
      </c>
      <c r="N5" s="10">
        <v>1</v>
      </c>
      <c r="O5" s="10" t="s">
        <v>83</v>
      </c>
      <c r="P5" s="10">
        <f>VLOOKUP(O5,'[1]2025年5.5新价格提成表 '!$B$1:$K$421,10,0)</f>
        <v>90</v>
      </c>
      <c r="Q5" s="11">
        <f t="shared" si="0"/>
        <v>90</v>
      </c>
      <c r="R5" s="10">
        <v>3800</v>
      </c>
      <c r="S5" s="10">
        <v>3800</v>
      </c>
      <c r="T5" s="9" t="s">
        <v>58</v>
      </c>
      <c r="U5" s="9" t="s">
        <v>58</v>
      </c>
      <c r="V5" s="9" t="s">
        <v>59</v>
      </c>
      <c r="W5" s="9"/>
      <c r="X5" s="9" t="s">
        <v>84</v>
      </c>
      <c r="Y5" s="9" t="s">
        <v>61</v>
      </c>
      <c r="Z5" s="9"/>
      <c r="AA5" s="9" t="s">
        <v>85</v>
      </c>
      <c r="AB5" s="9" t="s">
        <v>47</v>
      </c>
      <c r="AC5" s="10">
        <v>3800</v>
      </c>
    </row>
    <row r="6" spans="1:29" ht="60">
      <c r="A6" s="8" t="s">
        <v>86</v>
      </c>
      <c r="B6" s="8"/>
      <c r="C6" s="9" t="s">
        <v>87</v>
      </c>
      <c r="D6" s="9" t="s">
        <v>77</v>
      </c>
      <c r="E6" s="8" t="s">
        <v>33</v>
      </c>
      <c r="F6" s="9" t="s">
        <v>33</v>
      </c>
      <c r="G6" s="9" t="s">
        <v>88</v>
      </c>
      <c r="H6" s="9" t="s">
        <v>52</v>
      </c>
      <c r="I6" s="9" t="s">
        <v>79</v>
      </c>
      <c r="J6" s="9" t="s">
        <v>89</v>
      </c>
      <c r="K6" s="9" t="s">
        <v>38</v>
      </c>
      <c r="L6" s="9" t="s">
        <v>55</v>
      </c>
      <c r="M6" s="9" t="s">
        <v>56</v>
      </c>
      <c r="N6" s="10">
        <v>1</v>
      </c>
      <c r="O6" s="10" t="s">
        <v>57</v>
      </c>
      <c r="P6" s="10">
        <f>VLOOKUP(O6,'[1]2025年5.5新价格提成表 '!$B$1:$K$421,10,0)</f>
        <v>78</v>
      </c>
      <c r="Q6" s="11">
        <f t="shared" si="0"/>
        <v>78</v>
      </c>
      <c r="R6" s="10">
        <v>2850</v>
      </c>
      <c r="S6" s="10">
        <v>2850</v>
      </c>
      <c r="T6" s="9" t="s">
        <v>58</v>
      </c>
      <c r="U6" s="9" t="s">
        <v>58</v>
      </c>
      <c r="V6" s="9" t="s">
        <v>59</v>
      </c>
      <c r="W6" s="9"/>
      <c r="X6" s="9" t="s">
        <v>90</v>
      </c>
      <c r="Y6" s="9" t="s">
        <v>61</v>
      </c>
      <c r="Z6" s="9"/>
      <c r="AA6" s="9" t="s">
        <v>91</v>
      </c>
      <c r="AB6" s="9" t="s">
        <v>47</v>
      </c>
      <c r="AC6" s="10">
        <v>2850</v>
      </c>
    </row>
    <row r="7" spans="1:29" ht="90">
      <c r="A7" s="8" t="s">
        <v>92</v>
      </c>
      <c r="B7" s="8"/>
      <c r="C7" s="9" t="s">
        <v>93</v>
      </c>
      <c r="D7" s="9" t="s">
        <v>77</v>
      </c>
      <c r="E7" s="8" t="s">
        <v>33</v>
      </c>
      <c r="F7" s="9" t="s">
        <v>65</v>
      </c>
      <c r="G7" s="9" t="s">
        <v>94</v>
      </c>
      <c r="H7" s="9" t="s">
        <v>35</v>
      </c>
      <c r="I7" s="9" t="s">
        <v>95</v>
      </c>
      <c r="J7" s="9" t="s">
        <v>96</v>
      </c>
      <c r="K7" s="9" t="s">
        <v>38</v>
      </c>
      <c r="L7" s="9" t="s">
        <v>97</v>
      </c>
      <c r="M7" s="9" t="s">
        <v>98</v>
      </c>
      <c r="N7" s="10">
        <v>1</v>
      </c>
      <c r="O7" s="10" t="s">
        <v>99</v>
      </c>
      <c r="P7" s="10">
        <f>VLOOKUP(O7,'[1]2025年5.5新价格提成表 '!$B$1:$K$421,10,0)</f>
        <v>125</v>
      </c>
      <c r="Q7" s="11">
        <f t="shared" si="0"/>
        <v>125</v>
      </c>
      <c r="R7" s="10">
        <v>3700</v>
      </c>
      <c r="S7" s="10">
        <v>3700</v>
      </c>
      <c r="T7" s="9" t="s">
        <v>58</v>
      </c>
      <c r="U7" s="9" t="s">
        <v>58</v>
      </c>
      <c r="V7" s="9" t="s">
        <v>59</v>
      </c>
      <c r="W7" s="9"/>
      <c r="X7" s="9" t="s">
        <v>100</v>
      </c>
      <c r="Y7" s="9" t="s">
        <v>101</v>
      </c>
      <c r="Z7" s="9"/>
      <c r="AA7" s="9" t="s">
        <v>102</v>
      </c>
      <c r="AB7" s="9" t="s">
        <v>47</v>
      </c>
      <c r="AC7" s="10">
        <v>3700</v>
      </c>
    </row>
    <row r="8" spans="1:29" ht="75">
      <c r="A8" s="8" t="s">
        <v>103</v>
      </c>
      <c r="B8" s="8"/>
      <c r="C8" s="9" t="s">
        <v>104</v>
      </c>
      <c r="D8" s="9" t="s">
        <v>77</v>
      </c>
      <c r="E8" s="8" t="s">
        <v>33</v>
      </c>
      <c r="F8" s="9" t="s">
        <v>65</v>
      </c>
      <c r="G8" s="9" t="s">
        <v>94</v>
      </c>
      <c r="H8" s="9" t="s">
        <v>35</v>
      </c>
      <c r="I8" s="9" t="s">
        <v>95</v>
      </c>
      <c r="J8" s="9" t="s">
        <v>105</v>
      </c>
      <c r="K8" s="9" t="s">
        <v>38</v>
      </c>
      <c r="L8" s="9" t="s">
        <v>106</v>
      </c>
      <c r="M8" s="9" t="s">
        <v>107</v>
      </c>
      <c r="N8" s="10">
        <v>1</v>
      </c>
      <c r="O8" s="10" t="s">
        <v>108</v>
      </c>
      <c r="P8" s="10">
        <f>VLOOKUP(O8,'[1]2025年5.5新价格提成表 '!$B$1:$K$421,10,0)</f>
        <v>78</v>
      </c>
      <c r="Q8" s="11">
        <f t="shared" si="0"/>
        <v>78</v>
      </c>
      <c r="R8" s="10">
        <v>2800</v>
      </c>
      <c r="S8" s="10">
        <v>2800</v>
      </c>
      <c r="T8" s="9" t="s">
        <v>58</v>
      </c>
      <c r="U8" s="9" t="s">
        <v>58</v>
      </c>
      <c r="V8" s="9" t="s">
        <v>59</v>
      </c>
      <c r="W8" s="9"/>
      <c r="X8" s="9" t="s">
        <v>109</v>
      </c>
      <c r="Y8" s="9" t="s">
        <v>110</v>
      </c>
      <c r="Z8" s="9"/>
      <c r="AA8" s="9" t="s">
        <v>111</v>
      </c>
      <c r="AB8" s="9" t="s">
        <v>47</v>
      </c>
      <c r="AC8" s="10">
        <v>2800</v>
      </c>
    </row>
    <row r="9" spans="1:29" ht="60">
      <c r="A9" s="8" t="s">
        <v>112</v>
      </c>
      <c r="B9" s="8"/>
      <c r="C9" s="9" t="s">
        <v>113</v>
      </c>
      <c r="D9" s="9" t="s">
        <v>77</v>
      </c>
      <c r="E9" s="8" t="s">
        <v>33</v>
      </c>
      <c r="F9" s="9" t="s">
        <v>33</v>
      </c>
      <c r="G9" s="9" t="s">
        <v>114</v>
      </c>
      <c r="H9" s="9" t="s">
        <v>52</v>
      </c>
      <c r="I9" s="9" t="s">
        <v>115</v>
      </c>
      <c r="J9" s="9" t="s">
        <v>116</v>
      </c>
      <c r="K9" s="9" t="s">
        <v>38</v>
      </c>
      <c r="L9" s="9" t="s">
        <v>117</v>
      </c>
      <c r="M9" s="9" t="s">
        <v>118</v>
      </c>
      <c r="N9" s="10">
        <v>1</v>
      </c>
      <c r="O9" s="10" t="s">
        <v>119</v>
      </c>
      <c r="P9" s="10">
        <f>VLOOKUP(O9,'[1]2025年5.5新价格提成表 '!$B$1:$K$421,10,0)</f>
        <v>48</v>
      </c>
      <c r="Q9" s="11">
        <f t="shared" si="0"/>
        <v>48</v>
      </c>
      <c r="R9" s="10">
        <v>2500</v>
      </c>
      <c r="S9" s="10">
        <v>2500</v>
      </c>
      <c r="T9" s="9" t="s">
        <v>58</v>
      </c>
      <c r="U9" s="9" t="s">
        <v>58</v>
      </c>
      <c r="V9" s="9" t="s">
        <v>59</v>
      </c>
      <c r="W9" s="9"/>
      <c r="X9" s="9" t="s">
        <v>120</v>
      </c>
      <c r="Y9" s="9" t="s">
        <v>61</v>
      </c>
      <c r="Z9" s="9"/>
      <c r="AA9" s="9" t="s">
        <v>121</v>
      </c>
      <c r="AB9" s="9" t="s">
        <v>47</v>
      </c>
      <c r="AC9" s="10">
        <v>2500</v>
      </c>
    </row>
    <row r="10" spans="1:29" ht="60">
      <c r="A10" s="8" t="s">
        <v>122</v>
      </c>
      <c r="B10" s="8"/>
      <c r="C10" s="9" t="s">
        <v>123</v>
      </c>
      <c r="D10" s="9" t="s">
        <v>77</v>
      </c>
      <c r="E10" s="8" t="s">
        <v>33</v>
      </c>
      <c r="F10" s="9" t="s">
        <v>65</v>
      </c>
      <c r="G10" s="9" t="s">
        <v>124</v>
      </c>
      <c r="H10" s="9" t="s">
        <v>52</v>
      </c>
      <c r="I10" s="9" t="s">
        <v>79</v>
      </c>
      <c r="J10" s="9" t="s">
        <v>125</v>
      </c>
      <c r="K10" s="9" t="s">
        <v>38</v>
      </c>
      <c r="L10" s="9" t="s">
        <v>126</v>
      </c>
      <c r="M10" s="9" t="s">
        <v>127</v>
      </c>
      <c r="N10" s="10">
        <v>1</v>
      </c>
      <c r="O10" s="10" t="s">
        <v>128</v>
      </c>
      <c r="P10" s="10">
        <f>VLOOKUP(O10,'[1]2025年5.5新价格提成表 '!$B$1:$K$421,10,0)</f>
        <v>249</v>
      </c>
      <c r="Q10" s="11">
        <f t="shared" si="0"/>
        <v>249</v>
      </c>
      <c r="R10" s="10">
        <v>6900</v>
      </c>
      <c r="S10" s="10">
        <v>6900</v>
      </c>
      <c r="T10" s="9" t="s">
        <v>58</v>
      </c>
      <c r="U10" s="9" t="s">
        <v>58</v>
      </c>
      <c r="V10" s="9" t="s">
        <v>59</v>
      </c>
      <c r="W10" s="9"/>
      <c r="X10" s="9" t="s">
        <v>129</v>
      </c>
      <c r="Y10" s="9" t="s">
        <v>130</v>
      </c>
      <c r="Z10" s="9" t="s">
        <v>131</v>
      </c>
      <c r="AA10" s="9" t="s">
        <v>132</v>
      </c>
      <c r="AB10" s="9" t="s">
        <v>47</v>
      </c>
      <c r="AC10" s="10">
        <v>0</v>
      </c>
    </row>
    <row r="11" spans="1:29" ht="90">
      <c r="A11" s="8" t="s">
        <v>133</v>
      </c>
      <c r="B11" s="8"/>
      <c r="C11" s="9" t="s">
        <v>134</v>
      </c>
      <c r="D11" s="9" t="s">
        <v>77</v>
      </c>
      <c r="E11" s="8" t="s">
        <v>33</v>
      </c>
      <c r="F11" s="9" t="s">
        <v>65</v>
      </c>
      <c r="G11" s="9" t="s">
        <v>135</v>
      </c>
      <c r="H11" s="9" t="s">
        <v>35</v>
      </c>
      <c r="I11" s="9" t="s">
        <v>95</v>
      </c>
      <c r="J11" s="9" t="s">
        <v>136</v>
      </c>
      <c r="K11" s="9" t="s">
        <v>38</v>
      </c>
      <c r="L11" s="9" t="s">
        <v>106</v>
      </c>
      <c r="M11" s="9" t="s">
        <v>107</v>
      </c>
      <c r="N11" s="10">
        <v>1</v>
      </c>
      <c r="O11" s="10" t="s">
        <v>108</v>
      </c>
      <c r="P11" s="10">
        <f>VLOOKUP(O11,'[1]2025年5.5新价格提成表 '!$B$1:$K$421,10,0)</f>
        <v>78</v>
      </c>
      <c r="Q11" s="11">
        <f t="shared" si="0"/>
        <v>78</v>
      </c>
      <c r="R11" s="10">
        <v>2800</v>
      </c>
      <c r="S11" s="10">
        <v>2800</v>
      </c>
      <c r="T11" s="9" t="s">
        <v>58</v>
      </c>
      <c r="U11" s="9" t="s">
        <v>58</v>
      </c>
      <c r="V11" s="9" t="s">
        <v>59</v>
      </c>
      <c r="W11" s="9"/>
      <c r="X11" s="9" t="s">
        <v>109</v>
      </c>
      <c r="Y11" s="9" t="s">
        <v>137</v>
      </c>
      <c r="Z11" s="9"/>
      <c r="AA11" s="9" t="s">
        <v>111</v>
      </c>
      <c r="AB11" s="9" t="s">
        <v>47</v>
      </c>
      <c r="AC11" s="10">
        <v>2800</v>
      </c>
    </row>
    <row r="12" spans="1:29" ht="45">
      <c r="A12" s="8" t="s">
        <v>138</v>
      </c>
      <c r="B12" s="8"/>
      <c r="C12" s="9" t="s">
        <v>139</v>
      </c>
      <c r="D12" s="9" t="s">
        <v>140</v>
      </c>
      <c r="E12" s="8" t="s">
        <v>33</v>
      </c>
      <c r="F12" s="9" t="s">
        <v>141</v>
      </c>
      <c r="G12" s="9" t="s">
        <v>142</v>
      </c>
      <c r="H12" s="9" t="s">
        <v>52</v>
      </c>
      <c r="I12" s="9" t="s">
        <v>143</v>
      </c>
      <c r="J12" s="9" t="s">
        <v>144</v>
      </c>
      <c r="K12" s="9" t="s">
        <v>38</v>
      </c>
      <c r="L12" s="9" t="s">
        <v>145</v>
      </c>
      <c r="M12" s="9" t="s">
        <v>146</v>
      </c>
      <c r="N12" s="10">
        <v>2</v>
      </c>
      <c r="O12" s="10" t="s">
        <v>147</v>
      </c>
      <c r="P12" s="10">
        <f>VLOOKUP(O12,'[1]2025年5.5新价格提成表 '!$B$1:$K$421,10,0)</f>
        <v>12</v>
      </c>
      <c r="Q12" s="11">
        <f t="shared" si="0"/>
        <v>24</v>
      </c>
      <c r="R12" s="10">
        <v>460</v>
      </c>
      <c r="S12" s="10">
        <v>920</v>
      </c>
      <c r="T12" s="9" t="s">
        <v>42</v>
      </c>
      <c r="U12" s="9" t="s">
        <v>42</v>
      </c>
      <c r="V12" s="9" t="s">
        <v>148</v>
      </c>
      <c r="W12" s="9"/>
      <c r="X12" s="9"/>
      <c r="Y12" s="9"/>
      <c r="Z12" s="9" t="s">
        <v>149</v>
      </c>
      <c r="AA12" s="9"/>
      <c r="AB12" s="9" t="s">
        <v>47</v>
      </c>
      <c r="AC12" s="10">
        <v>920</v>
      </c>
    </row>
    <row r="13" spans="1:29" ht="60">
      <c r="A13" s="8" t="s">
        <v>150</v>
      </c>
      <c r="B13" s="8"/>
      <c r="C13" s="9" t="s">
        <v>151</v>
      </c>
      <c r="D13" s="9" t="s">
        <v>140</v>
      </c>
      <c r="E13" s="8" t="s">
        <v>33</v>
      </c>
      <c r="F13" s="9" t="s">
        <v>65</v>
      </c>
      <c r="G13" s="9" t="s">
        <v>152</v>
      </c>
      <c r="H13" s="9" t="s">
        <v>35</v>
      </c>
      <c r="I13" s="9" t="s">
        <v>36</v>
      </c>
      <c r="J13" s="9" t="s">
        <v>153</v>
      </c>
      <c r="K13" s="9" t="s">
        <v>38</v>
      </c>
      <c r="L13" s="9" t="s">
        <v>154</v>
      </c>
      <c r="M13" s="9" t="s">
        <v>155</v>
      </c>
      <c r="N13" s="10">
        <v>1</v>
      </c>
      <c r="O13" s="10" t="s">
        <v>156</v>
      </c>
      <c r="P13" s="10">
        <v>237</v>
      </c>
      <c r="Q13" s="11">
        <f t="shared" si="0"/>
        <v>237</v>
      </c>
      <c r="R13" s="10">
        <v>7200</v>
      </c>
      <c r="S13" s="10">
        <v>7200</v>
      </c>
      <c r="T13" s="9" t="s">
        <v>58</v>
      </c>
      <c r="U13" s="9" t="s">
        <v>58</v>
      </c>
      <c r="V13" s="9" t="s">
        <v>157</v>
      </c>
      <c r="W13" s="9"/>
      <c r="X13" s="9" t="s">
        <v>158</v>
      </c>
      <c r="Y13" s="9" t="s">
        <v>159</v>
      </c>
      <c r="Z13" s="9"/>
      <c r="AA13" s="9" t="s">
        <v>160</v>
      </c>
      <c r="AB13" s="9" t="s">
        <v>161</v>
      </c>
      <c r="AC13" s="10">
        <v>7200</v>
      </c>
    </row>
    <row r="14" spans="1:29" ht="45">
      <c r="A14" s="8" t="s">
        <v>162</v>
      </c>
      <c r="B14" s="8"/>
      <c r="C14" s="9" t="s">
        <v>163</v>
      </c>
      <c r="D14" s="9" t="s">
        <v>140</v>
      </c>
      <c r="E14" s="8" t="s">
        <v>33</v>
      </c>
      <c r="F14" s="9" t="s">
        <v>65</v>
      </c>
      <c r="G14" s="9" t="s">
        <v>142</v>
      </c>
      <c r="H14" s="9" t="s">
        <v>52</v>
      </c>
      <c r="I14" s="9" t="s">
        <v>143</v>
      </c>
      <c r="J14" s="9" t="s">
        <v>164</v>
      </c>
      <c r="K14" s="9" t="s">
        <v>38</v>
      </c>
      <c r="L14" s="9" t="s">
        <v>145</v>
      </c>
      <c r="M14" s="9" t="s">
        <v>146</v>
      </c>
      <c r="N14" s="10">
        <v>-2</v>
      </c>
      <c r="O14" s="10" t="s">
        <v>147</v>
      </c>
      <c r="P14" s="10">
        <f>VLOOKUP(O14,'[1]2025年5.5新价格提成表 '!$B$1:$K$421,10,0)</f>
        <v>12</v>
      </c>
      <c r="Q14" s="11">
        <f t="shared" si="0"/>
        <v>-24</v>
      </c>
      <c r="R14" s="10">
        <v>460</v>
      </c>
      <c r="S14" s="10">
        <v>-920</v>
      </c>
      <c r="T14" s="9" t="s">
        <v>58</v>
      </c>
      <c r="U14" s="9" t="s">
        <v>58</v>
      </c>
      <c r="V14" s="9"/>
      <c r="W14" s="9"/>
      <c r="X14" s="9"/>
      <c r="Y14" s="9"/>
      <c r="Z14" s="9" t="s">
        <v>149</v>
      </c>
      <c r="AA14" s="9"/>
      <c r="AB14" s="9" t="s">
        <v>47</v>
      </c>
      <c r="AC14" s="10">
        <v>-920</v>
      </c>
    </row>
    <row r="15" spans="1:29" ht="45">
      <c r="A15" s="8" t="s">
        <v>165</v>
      </c>
      <c r="B15" s="8"/>
      <c r="C15" s="9" t="s">
        <v>166</v>
      </c>
      <c r="D15" s="9" t="s">
        <v>167</v>
      </c>
      <c r="E15" s="8" t="s">
        <v>33</v>
      </c>
      <c r="F15" s="9" t="s">
        <v>65</v>
      </c>
      <c r="G15" s="9" t="s">
        <v>168</v>
      </c>
      <c r="H15" s="9" t="s">
        <v>35</v>
      </c>
      <c r="I15" s="9" t="s">
        <v>36</v>
      </c>
      <c r="J15" s="9" t="s">
        <v>169</v>
      </c>
      <c r="K15" s="9" t="s">
        <v>38</v>
      </c>
      <c r="L15" s="9" t="s">
        <v>170</v>
      </c>
      <c r="M15" s="9" t="s">
        <v>171</v>
      </c>
      <c r="N15" s="10">
        <v>1</v>
      </c>
      <c r="O15" s="10" t="s">
        <v>172</v>
      </c>
      <c r="P15" s="10">
        <f>VLOOKUP(O15,'[1]2025年5.5新价格提成表 '!$B$1:$K$421,10,0)</f>
        <v>142</v>
      </c>
      <c r="Q15" s="11">
        <f t="shared" si="0"/>
        <v>142</v>
      </c>
      <c r="R15" s="10">
        <v>4600</v>
      </c>
      <c r="S15" s="10">
        <v>4600</v>
      </c>
      <c r="T15" s="9" t="s">
        <v>58</v>
      </c>
      <c r="U15" s="9" t="s">
        <v>58</v>
      </c>
      <c r="V15" s="9" t="s">
        <v>157</v>
      </c>
      <c r="W15" s="9"/>
      <c r="X15" s="9" t="s">
        <v>173</v>
      </c>
      <c r="Y15" s="9" t="s">
        <v>174</v>
      </c>
      <c r="Z15" s="9"/>
      <c r="AA15" s="9" t="s">
        <v>175</v>
      </c>
      <c r="AB15" s="9" t="s">
        <v>47</v>
      </c>
      <c r="AC15" s="10">
        <v>4600</v>
      </c>
    </row>
    <row r="16" spans="1:29" ht="60">
      <c r="A16" s="8" t="s">
        <v>176</v>
      </c>
      <c r="B16" s="8"/>
      <c r="C16" s="9" t="s">
        <v>177</v>
      </c>
      <c r="D16" s="9" t="s">
        <v>178</v>
      </c>
      <c r="E16" s="8" t="s">
        <v>33</v>
      </c>
      <c r="F16" s="9" t="s">
        <v>65</v>
      </c>
      <c r="G16" s="9" t="s">
        <v>179</v>
      </c>
      <c r="H16" s="9" t="s">
        <v>35</v>
      </c>
      <c r="I16" s="9" t="s">
        <v>36</v>
      </c>
      <c r="J16" s="9" t="s">
        <v>180</v>
      </c>
      <c r="K16" s="9" t="s">
        <v>38</v>
      </c>
      <c r="L16" s="9" t="s">
        <v>181</v>
      </c>
      <c r="M16" s="9" t="s">
        <v>182</v>
      </c>
      <c r="N16" s="10">
        <v>1</v>
      </c>
      <c r="O16" s="10" t="s">
        <v>183</v>
      </c>
      <c r="P16" s="10">
        <f>VLOOKUP(O16,'[1]2025年5.5新价格提成表 '!$B$1:$K$421,10,0)</f>
        <v>134</v>
      </c>
      <c r="Q16" s="11">
        <f t="shared" si="0"/>
        <v>134</v>
      </c>
      <c r="R16" s="10">
        <v>5100</v>
      </c>
      <c r="S16" s="10">
        <v>5100</v>
      </c>
      <c r="T16" s="9" t="s">
        <v>58</v>
      </c>
      <c r="U16" s="9" t="s">
        <v>58</v>
      </c>
      <c r="V16" s="9" t="s">
        <v>59</v>
      </c>
      <c r="W16" s="9"/>
      <c r="X16" s="9" t="s">
        <v>184</v>
      </c>
      <c r="Y16" s="9" t="s">
        <v>185</v>
      </c>
      <c r="Z16" s="9"/>
      <c r="AA16" s="9" t="s">
        <v>175</v>
      </c>
      <c r="AB16" s="9" t="s">
        <v>47</v>
      </c>
      <c r="AC16" s="10">
        <v>5100</v>
      </c>
    </row>
    <row r="17" spans="1:29" ht="75">
      <c r="A17" s="8" t="s">
        <v>186</v>
      </c>
      <c r="B17" s="8"/>
      <c r="C17" s="9" t="s">
        <v>187</v>
      </c>
      <c r="D17" s="9" t="s">
        <v>178</v>
      </c>
      <c r="E17" s="8" t="s">
        <v>33</v>
      </c>
      <c r="F17" s="9" t="s">
        <v>65</v>
      </c>
      <c r="G17" s="9" t="s">
        <v>188</v>
      </c>
      <c r="H17" s="9" t="s">
        <v>35</v>
      </c>
      <c r="I17" s="9" t="s">
        <v>36</v>
      </c>
      <c r="J17" s="9" t="s">
        <v>189</v>
      </c>
      <c r="K17" s="9" t="s">
        <v>38</v>
      </c>
      <c r="L17" s="9" t="s">
        <v>190</v>
      </c>
      <c r="M17" s="9" t="s">
        <v>191</v>
      </c>
      <c r="N17" s="10">
        <v>1</v>
      </c>
      <c r="O17" s="10" t="s">
        <v>192</v>
      </c>
      <c r="P17" s="10">
        <f>VLOOKUP(O17,'[1]2025年5.5新价格提成表 '!$B$1:$K$421,10,0)</f>
        <v>102</v>
      </c>
      <c r="Q17" s="11">
        <f t="shared" si="0"/>
        <v>102</v>
      </c>
      <c r="R17" s="10">
        <v>3900</v>
      </c>
      <c r="S17" s="10">
        <v>3900</v>
      </c>
      <c r="T17" s="9" t="s">
        <v>58</v>
      </c>
      <c r="U17" s="9" t="s">
        <v>58</v>
      </c>
      <c r="V17" s="9" t="s">
        <v>59</v>
      </c>
      <c r="W17" s="9"/>
      <c r="X17" s="9" t="s">
        <v>193</v>
      </c>
      <c r="Y17" s="9" t="s">
        <v>194</v>
      </c>
      <c r="Z17" s="9"/>
      <c r="AA17" s="9" t="s">
        <v>195</v>
      </c>
      <c r="AB17" s="9" t="s">
        <v>47</v>
      </c>
      <c r="AC17" s="10">
        <v>3900</v>
      </c>
    </row>
    <row r="18" spans="1:29" ht="120">
      <c r="A18" s="8" t="s">
        <v>196</v>
      </c>
      <c r="B18" s="8"/>
      <c r="C18" s="9" t="s">
        <v>197</v>
      </c>
      <c r="D18" s="9" t="s">
        <v>198</v>
      </c>
      <c r="E18" s="8" t="s">
        <v>33</v>
      </c>
      <c r="F18" s="9" t="s">
        <v>65</v>
      </c>
      <c r="G18" s="9" t="s">
        <v>199</v>
      </c>
      <c r="H18" s="9" t="s">
        <v>52</v>
      </c>
      <c r="I18" s="9" t="s">
        <v>143</v>
      </c>
      <c r="J18" s="9" t="s">
        <v>200</v>
      </c>
      <c r="K18" s="9" t="s">
        <v>38</v>
      </c>
      <c r="L18" s="9" t="s">
        <v>145</v>
      </c>
      <c r="M18" s="9" t="s">
        <v>146</v>
      </c>
      <c r="N18" s="10">
        <v>1</v>
      </c>
      <c r="O18" s="10" t="s">
        <v>147</v>
      </c>
      <c r="P18" s="10">
        <f>VLOOKUP(O18,'[1]2025年5.5新价格提成表 '!$B$1:$K$421,10,0)</f>
        <v>12</v>
      </c>
      <c r="Q18" s="11">
        <f t="shared" si="0"/>
        <v>12</v>
      </c>
      <c r="R18" s="10">
        <v>0</v>
      </c>
      <c r="S18" s="10">
        <v>0</v>
      </c>
      <c r="T18" s="9" t="s">
        <v>58</v>
      </c>
      <c r="U18" s="9" t="s">
        <v>58</v>
      </c>
      <c r="V18" s="9" t="s">
        <v>157</v>
      </c>
      <c r="W18" s="9"/>
      <c r="X18" s="9" t="s">
        <v>201</v>
      </c>
      <c r="Y18" s="9" t="s">
        <v>202</v>
      </c>
      <c r="Z18" s="9"/>
      <c r="AA18" s="9" t="s">
        <v>203</v>
      </c>
      <c r="AB18" s="9" t="s">
        <v>47</v>
      </c>
      <c r="AC18" s="10">
        <v>0</v>
      </c>
    </row>
    <row r="19" spans="1:29" ht="120">
      <c r="A19" s="8" t="s">
        <v>204</v>
      </c>
      <c r="B19" s="8"/>
      <c r="C19" s="9" t="s">
        <v>205</v>
      </c>
      <c r="D19" s="9" t="s">
        <v>198</v>
      </c>
      <c r="E19" s="8" t="s">
        <v>33</v>
      </c>
      <c r="F19" s="9" t="s">
        <v>65</v>
      </c>
      <c r="G19" s="9" t="s">
        <v>206</v>
      </c>
      <c r="H19" s="9" t="s">
        <v>52</v>
      </c>
      <c r="I19" s="9" t="s">
        <v>143</v>
      </c>
      <c r="J19" s="9" t="s">
        <v>207</v>
      </c>
      <c r="K19" s="9" t="s">
        <v>38</v>
      </c>
      <c r="L19" s="9" t="s">
        <v>170</v>
      </c>
      <c r="M19" s="9" t="s">
        <v>171</v>
      </c>
      <c r="N19" s="10">
        <v>1</v>
      </c>
      <c r="O19" s="10" t="s">
        <v>172</v>
      </c>
      <c r="P19" s="10">
        <f>VLOOKUP(O19,'[1]2025年5.5新价格提成表 '!$B$1:$K$421,10,0)</f>
        <v>142</v>
      </c>
      <c r="Q19" s="11">
        <f t="shared" si="0"/>
        <v>142</v>
      </c>
      <c r="R19" s="10">
        <v>4500</v>
      </c>
      <c r="S19" s="10">
        <v>4500</v>
      </c>
      <c r="T19" s="9" t="s">
        <v>58</v>
      </c>
      <c r="U19" s="9" t="s">
        <v>58</v>
      </c>
      <c r="V19" s="9" t="s">
        <v>157</v>
      </c>
      <c r="W19" s="9"/>
      <c r="X19" s="9" t="s">
        <v>208</v>
      </c>
      <c r="Y19" s="9" t="s">
        <v>209</v>
      </c>
      <c r="Z19" s="9"/>
      <c r="AA19" s="9" t="s">
        <v>203</v>
      </c>
      <c r="AB19" s="9" t="s">
        <v>47</v>
      </c>
      <c r="AC19" s="10">
        <v>4500</v>
      </c>
    </row>
    <row r="20" spans="1:29" ht="45">
      <c r="A20" s="8" t="s">
        <v>210</v>
      </c>
      <c r="B20" s="8"/>
      <c r="C20" s="9" t="s">
        <v>211</v>
      </c>
      <c r="D20" s="9" t="s">
        <v>212</v>
      </c>
      <c r="E20" s="8" t="s">
        <v>33</v>
      </c>
      <c r="F20" s="9" t="s">
        <v>33</v>
      </c>
      <c r="G20" s="9" t="s">
        <v>206</v>
      </c>
      <c r="H20" s="9" t="s">
        <v>52</v>
      </c>
      <c r="I20" s="9" t="s">
        <v>143</v>
      </c>
      <c r="J20" s="9" t="s">
        <v>213</v>
      </c>
      <c r="K20" s="9" t="s">
        <v>38</v>
      </c>
      <c r="L20" s="9" t="s">
        <v>214</v>
      </c>
      <c r="M20" s="9" t="s">
        <v>215</v>
      </c>
      <c r="N20" s="10">
        <v>1</v>
      </c>
      <c r="O20" s="10" t="s">
        <v>216</v>
      </c>
      <c r="P20" s="10">
        <f>VLOOKUP(O20,'[1]2025年5.5新价格提成表 '!$B$1:$K$421,10,0)</f>
        <v>75</v>
      </c>
      <c r="Q20" s="11">
        <f t="shared" si="0"/>
        <v>75</v>
      </c>
      <c r="R20" s="10">
        <v>2500</v>
      </c>
      <c r="S20" s="10">
        <v>2500</v>
      </c>
      <c r="T20" s="9" t="s">
        <v>42</v>
      </c>
      <c r="U20" s="9" t="s">
        <v>42</v>
      </c>
      <c r="V20" s="9" t="s">
        <v>157</v>
      </c>
      <c r="W20" s="9"/>
      <c r="X20" s="9" t="s">
        <v>217</v>
      </c>
      <c r="Y20" s="9" t="s">
        <v>218</v>
      </c>
      <c r="Z20" s="9"/>
      <c r="AA20" s="9" t="s">
        <v>203</v>
      </c>
      <c r="AB20" s="9" t="s">
        <v>47</v>
      </c>
      <c r="AC20" s="10">
        <v>2500</v>
      </c>
    </row>
    <row r="21" spans="1:29" ht="30">
      <c r="A21" s="8" t="s">
        <v>219</v>
      </c>
      <c r="B21" s="8"/>
      <c r="C21" s="9" t="s">
        <v>220</v>
      </c>
      <c r="D21" s="9" t="s">
        <v>221</v>
      </c>
      <c r="E21" s="8" t="s">
        <v>33</v>
      </c>
      <c r="F21" s="9" t="s">
        <v>33</v>
      </c>
      <c r="G21" s="9" t="s">
        <v>222</v>
      </c>
      <c r="H21" s="9" t="s">
        <v>52</v>
      </c>
      <c r="I21" s="9" t="s">
        <v>67</v>
      </c>
      <c r="J21" s="9" t="s">
        <v>223</v>
      </c>
      <c r="K21" s="9" t="s">
        <v>38</v>
      </c>
      <c r="L21" s="9" t="s">
        <v>145</v>
      </c>
      <c r="M21" s="9" t="s">
        <v>146</v>
      </c>
      <c r="N21" s="10">
        <v>1</v>
      </c>
      <c r="O21" s="10" t="s">
        <v>147</v>
      </c>
      <c r="P21" s="10">
        <f>VLOOKUP(O21,'[1]2025年5.5新价格提成表 '!$B$1:$K$421,10,0)</f>
        <v>12</v>
      </c>
      <c r="Q21" s="11">
        <f t="shared" si="0"/>
        <v>12</v>
      </c>
      <c r="R21" s="10">
        <v>400</v>
      </c>
      <c r="S21" s="10">
        <v>400</v>
      </c>
      <c r="T21" s="9" t="s">
        <v>58</v>
      </c>
      <c r="U21" s="9" t="s">
        <v>58</v>
      </c>
      <c r="V21" s="9" t="s">
        <v>148</v>
      </c>
      <c r="W21" s="9"/>
      <c r="X21" s="9" t="s">
        <v>224</v>
      </c>
      <c r="Y21" s="9" t="s">
        <v>225</v>
      </c>
      <c r="Z21" s="9"/>
      <c r="AA21" s="9" t="s">
        <v>226</v>
      </c>
      <c r="AB21" s="9" t="s">
        <v>47</v>
      </c>
      <c r="AC21" s="10">
        <v>400</v>
      </c>
    </row>
    <row r="22" spans="1:29" ht="60">
      <c r="A22" s="8" t="s">
        <v>227</v>
      </c>
      <c r="B22" s="8"/>
      <c r="C22" s="9" t="s">
        <v>228</v>
      </c>
      <c r="D22" s="9" t="s">
        <v>221</v>
      </c>
      <c r="E22" s="8" t="s">
        <v>33</v>
      </c>
      <c r="F22" s="9" t="s">
        <v>65</v>
      </c>
      <c r="G22" s="9" t="s">
        <v>229</v>
      </c>
      <c r="H22" s="9" t="s">
        <v>52</v>
      </c>
      <c r="I22" s="9" t="s">
        <v>230</v>
      </c>
      <c r="J22" s="9" t="s">
        <v>231</v>
      </c>
      <c r="K22" s="9" t="s">
        <v>38</v>
      </c>
      <c r="L22" s="9" t="s">
        <v>232</v>
      </c>
      <c r="M22" s="9" t="s">
        <v>233</v>
      </c>
      <c r="N22" s="10">
        <v>1</v>
      </c>
      <c r="O22" s="10" t="s">
        <v>234</v>
      </c>
      <c r="P22" s="10">
        <f>VLOOKUP(O22,'[1]2025年5.5新价格提成表 '!$B$1:$K$421,10,0)</f>
        <v>111</v>
      </c>
      <c r="Q22" s="11">
        <f t="shared" si="0"/>
        <v>111</v>
      </c>
      <c r="R22" s="10">
        <v>4000</v>
      </c>
      <c r="S22" s="10">
        <v>4000</v>
      </c>
      <c r="T22" s="9" t="s">
        <v>58</v>
      </c>
      <c r="U22" s="9" t="s">
        <v>58</v>
      </c>
      <c r="V22" s="9" t="s">
        <v>59</v>
      </c>
      <c r="W22" s="9"/>
      <c r="X22" s="9" t="s">
        <v>235</v>
      </c>
      <c r="Y22" s="9" t="s">
        <v>61</v>
      </c>
      <c r="Z22" s="9"/>
      <c r="AA22" s="9" t="s">
        <v>236</v>
      </c>
      <c r="AB22" s="9" t="s">
        <v>47</v>
      </c>
      <c r="AC22" s="10">
        <v>4000</v>
      </c>
    </row>
    <row r="23" spans="1:29" ht="45">
      <c r="A23" s="8" t="s">
        <v>237</v>
      </c>
      <c r="B23" s="8"/>
      <c r="C23" s="9" t="s">
        <v>238</v>
      </c>
      <c r="D23" s="9" t="s">
        <v>239</v>
      </c>
      <c r="E23" s="8" t="s">
        <v>33</v>
      </c>
      <c r="F23" s="9" t="s">
        <v>65</v>
      </c>
      <c r="G23" s="9" t="s">
        <v>240</v>
      </c>
      <c r="H23" s="9" t="s">
        <v>52</v>
      </c>
      <c r="I23" s="9" t="s">
        <v>241</v>
      </c>
      <c r="J23" s="9" t="s">
        <v>242</v>
      </c>
      <c r="K23" s="9" t="s">
        <v>38</v>
      </c>
      <c r="L23" s="9" t="s">
        <v>243</v>
      </c>
      <c r="M23" s="9" t="s">
        <v>244</v>
      </c>
      <c r="N23" s="10">
        <v>1</v>
      </c>
      <c r="O23" s="10" t="s">
        <v>245</v>
      </c>
      <c r="P23" s="10">
        <f>VLOOKUP(O23,'[1]2025年5.5新价格提成表 '!$B$1:$K$421,10,0)</f>
        <v>149</v>
      </c>
      <c r="Q23" s="11">
        <f t="shared" si="0"/>
        <v>149</v>
      </c>
      <c r="R23" s="10">
        <v>4500</v>
      </c>
      <c r="S23" s="10">
        <v>4500</v>
      </c>
      <c r="T23" s="9" t="s">
        <v>58</v>
      </c>
      <c r="U23" s="9" t="s">
        <v>58</v>
      </c>
      <c r="V23" s="9" t="s">
        <v>59</v>
      </c>
      <c r="W23" s="9"/>
      <c r="X23" s="9" t="s">
        <v>246</v>
      </c>
      <c r="Y23" s="9" t="s">
        <v>61</v>
      </c>
      <c r="Z23" s="9" t="s">
        <v>247</v>
      </c>
      <c r="AA23" s="9" t="s">
        <v>248</v>
      </c>
      <c r="AB23" s="9" t="s">
        <v>47</v>
      </c>
      <c r="AC23" s="10">
        <v>4500</v>
      </c>
    </row>
    <row r="24" spans="1:29" ht="15">
      <c r="A24" s="8" t="s">
        <v>249</v>
      </c>
      <c r="B24" s="8" t="s">
        <v>250</v>
      </c>
      <c r="C24" s="9"/>
      <c r="D24" s="9"/>
      <c r="E24" s="8"/>
      <c r="F24" s="9"/>
      <c r="G24" s="9"/>
      <c r="H24" s="9"/>
      <c r="I24" s="9"/>
      <c r="J24" s="9"/>
      <c r="K24" s="9"/>
      <c r="L24" s="9"/>
      <c r="M24" s="9"/>
      <c r="N24" s="10">
        <v>14</v>
      </c>
      <c r="O24" s="10"/>
      <c r="P24" s="10">
        <f>SUM(P2:P23)</f>
        <v>2349</v>
      </c>
      <c r="Q24" s="11">
        <f>SUM(Q2:Q23)</f>
        <v>2247</v>
      </c>
      <c r="R24" s="12"/>
      <c r="S24" s="10">
        <v>65450</v>
      </c>
      <c r="T24" s="9"/>
      <c r="U24" s="9"/>
      <c r="V24" s="9"/>
      <c r="W24" s="9"/>
      <c r="X24" s="9"/>
      <c r="Y24" s="9"/>
      <c r="Z24" s="9"/>
      <c r="AA24" s="9"/>
      <c r="AB24" s="9"/>
      <c r="AC24" s="10">
        <v>58550</v>
      </c>
    </row>
    <row r="25" spans="1:29" ht="1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2"/>
      <c r="I25" s="2"/>
      <c r="J25" s="2"/>
      <c r="K25" s="2"/>
      <c r="L25" s="2"/>
      <c r="M25" s="2"/>
      <c r="N25" s="2"/>
      <c r="O25" s="2"/>
      <c r="P25" s="2"/>
      <c r="Q25" s="3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>
      <c r="A26" s="13" t="s">
        <v>251</v>
      </c>
      <c r="B26" s="13"/>
      <c r="C26" s="13"/>
      <c r="D26" s="13"/>
      <c r="E26" s="13"/>
      <c r="F26" s="13"/>
      <c r="G26" s="13"/>
      <c r="H26" s="13"/>
      <c r="I26" s="13" t="s">
        <v>252</v>
      </c>
      <c r="J26" s="13"/>
      <c r="K26" s="13"/>
      <c r="L26" s="13"/>
      <c r="M26" s="13"/>
      <c r="N26" s="13"/>
      <c r="O26" s="13"/>
      <c r="P26" s="13"/>
      <c r="Q26" s="14"/>
      <c r="R26" s="13"/>
      <c r="S26" s="13"/>
      <c r="T26" s="13" t="s">
        <v>253</v>
      </c>
      <c r="U26" s="13"/>
      <c r="V26" s="13"/>
      <c r="W26" s="13"/>
      <c r="X26" s="13"/>
      <c r="Y26" s="13"/>
      <c r="Z26" s="13"/>
      <c r="AA26" s="13"/>
      <c r="AB26" s="13"/>
      <c r="AC26" s="13"/>
    </row>
  </sheetData>
  <mergeCells count="3">
    <mergeCell ref="A26:H26"/>
    <mergeCell ref="I26:S26"/>
    <mergeCell ref="T26:AC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2025-10-17T03:23:46Z</dcterms:modified>
</cp:coreProperties>
</file>