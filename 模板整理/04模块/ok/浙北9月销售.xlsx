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Sheet1" sheetId="1" r:id="rId1"/>
    <sheet name="汇总" sheetId="3" r:id="rId2"/>
    <sheet name="提成" sheetId="2" r:id="rId3"/>
  </sheets>
  <externalReferences>
    <externalReference r:id="rId5"/>
  </externalReferences>
  <definedNames>
    <definedName name="_xlnm._FilterDatabase" localSheetId="2" hidden="1">提成!$A$1:$Q$50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<sst xmlns="http://schemas.openxmlformats.org/spreadsheetml/2006/main" count="1055" uniqueCount="243">
  <si>
    <t>日期</t>
  </si>
  <si>
    <t>单据类型</t>
  </si>
  <si>
    <t>单据编号</t>
  </si>
  <si>
    <t>用户姓名</t>
  </si>
  <si>
    <t>用户手机</t>
  </si>
  <si>
    <t>单据状态</t>
  </si>
  <si>
    <t>客户</t>
  </si>
  <si>
    <t>促销员</t>
  </si>
  <si>
    <t>物料名称</t>
  </si>
  <si>
    <t>规格型号</t>
  </si>
  <si>
    <t>销售数量</t>
  </si>
  <si>
    <t>价税合计</t>
  </si>
  <si>
    <t>成交价</t>
  </si>
  <si>
    <t>系统定价</t>
  </si>
  <si>
    <t>备注</t>
  </si>
  <si>
    <t>2025/9/30</t>
  </si>
  <si>
    <t>信用零售销售订单</t>
  </si>
  <si>
    <t>A20250930000884</t>
  </si>
  <si>
    <t>余少锡</t>
  </si>
  <si>
    <t>18958857351</t>
  </si>
  <si>
    <t>已审核</t>
  </si>
  <si>
    <t>湖州浙北大厦家电有限公司</t>
  </si>
  <si>
    <t>管如云</t>
  </si>
  <si>
    <t>HPA-50C1.0B分体热泵热水器（含室外机）</t>
  </si>
  <si>
    <t>HPA-50C1.0B</t>
  </si>
  <si>
    <t>2025/9/28</t>
  </si>
  <si>
    <t>A20250928003745</t>
  </si>
  <si>
    <t>朱永康</t>
  </si>
  <si>
    <t>13705722729</t>
  </si>
  <si>
    <t>戚高英</t>
  </si>
  <si>
    <t>EWH-60HGMWi 储水式电热水器</t>
  </si>
  <si>
    <t>EWH-60HGMWi</t>
  </si>
  <si>
    <t>2025/9/27</t>
  </si>
  <si>
    <t>A20250927012560</t>
  </si>
  <si>
    <t>龚善涯</t>
  </si>
  <si>
    <t>13588800598</t>
  </si>
  <si>
    <t>CEWH-60D3Wi储水式热水器</t>
  </si>
  <si>
    <t>CEWH-60D3Wi</t>
  </si>
  <si>
    <t>2025/9/23</t>
  </si>
  <si>
    <t>A20250323006840C</t>
  </si>
  <si>
    <t>沈诗妍</t>
  </si>
  <si>
    <t>13706723157</t>
  </si>
  <si>
    <t>APM-HC1 管线机</t>
  </si>
  <si>
    <t>APM-HC1</t>
  </si>
  <si>
    <t>A20250323006841C</t>
  </si>
  <si>
    <t>R1700FWi饮水机</t>
  </si>
  <si>
    <t>R1700FWi</t>
  </si>
  <si>
    <t>A20250323006842C</t>
  </si>
  <si>
    <t>PF-DA1前置过滤器</t>
  </si>
  <si>
    <t>PF-DA1</t>
  </si>
  <si>
    <t>退货订单</t>
  </si>
  <si>
    <t>A20250323006840R</t>
  </si>
  <si>
    <t>ZJDB250402027顾客拒收，改11月送货</t>
  </si>
  <si>
    <t>A20250323006841R</t>
  </si>
  <si>
    <t>ZJDB250402022顾客拒收，改11月送货</t>
  </si>
  <si>
    <t>A20250323006842R</t>
  </si>
  <si>
    <t>ZJDB250402026顾客拒收，改11月送货</t>
  </si>
  <si>
    <t>2025/9/21</t>
  </si>
  <si>
    <t>A20250921005344</t>
  </si>
  <si>
    <t>施德福</t>
  </si>
  <si>
    <t>13706729058</t>
  </si>
  <si>
    <t>CEWH-80A0储水式电热水器</t>
  </si>
  <si>
    <t>CEWH-80A0</t>
  </si>
  <si>
    <t>拆旧</t>
  </si>
  <si>
    <t>2025/9/22</t>
  </si>
  <si>
    <t>A20250922000730</t>
  </si>
  <si>
    <t>周瑾</t>
  </si>
  <si>
    <t>13506726888</t>
  </si>
  <si>
    <t>陈春艳</t>
  </si>
  <si>
    <t>EWH-10B2储水式电热水器2000W</t>
  </si>
  <si>
    <t>EWH-10B2</t>
  </si>
  <si>
    <t>A20250921002895</t>
  </si>
  <si>
    <t>吴月珍</t>
  </si>
  <si>
    <t>13511220816</t>
  </si>
  <si>
    <t>CEWH-50D0储水式电热水器</t>
  </si>
  <si>
    <t>CEWH-50D0</t>
  </si>
  <si>
    <t>A20250921001207</t>
  </si>
  <si>
    <t>钱群妹</t>
  </si>
  <si>
    <t>13336851645</t>
  </si>
  <si>
    <t>CEWH-60D1BWi储水式热水器</t>
  </si>
  <si>
    <t>CEWH-60D1BWi</t>
  </si>
  <si>
    <t>2025/9/20</t>
  </si>
  <si>
    <t>A20250920003596</t>
  </si>
  <si>
    <t>张志芳</t>
  </si>
  <si>
    <t>13506720699</t>
  </si>
  <si>
    <t>EWH-6B2储水式电热水器</t>
  </si>
  <si>
    <t>EWH-6B2</t>
  </si>
  <si>
    <t>2025/9/18</t>
  </si>
  <si>
    <t>A20241204004161R</t>
  </si>
  <si>
    <t>管小燕</t>
  </si>
  <si>
    <t>13567247602</t>
  </si>
  <si>
    <t>JSQ31-HSCX燃气快速热水器</t>
  </si>
  <si>
    <t>JSQ31-HSCX</t>
  </si>
  <si>
    <t>ZJDB250812045顾客嫌弃22年生产日期，要求换机，外包装完好</t>
  </si>
  <si>
    <t>2025/9/17</t>
  </si>
  <si>
    <t>A20250917004452</t>
  </si>
  <si>
    <t>陆平华</t>
  </si>
  <si>
    <t>13665717007</t>
  </si>
  <si>
    <t>HPI-40D1.0B热泵电热水器一级能效超静音整体热泵</t>
  </si>
  <si>
    <t>HPI-40D1.0B</t>
  </si>
  <si>
    <t>A20250916004043</t>
  </si>
  <si>
    <t>化磊</t>
  </si>
  <si>
    <t>13833490969</t>
  </si>
  <si>
    <t>JSQ31-CSCWI燃气快速热水器</t>
  </si>
  <si>
    <t>JSQ31-CSCWI</t>
  </si>
  <si>
    <t>2025/9/16</t>
  </si>
  <si>
    <t>A20250916001459</t>
  </si>
  <si>
    <t>吴建霞</t>
  </si>
  <si>
    <t>13185269267</t>
  </si>
  <si>
    <t xml:space="preserve"> CEWH-80TKWi储水电热水器</t>
  </si>
  <si>
    <t>CEWH-80TKWi</t>
  </si>
  <si>
    <t>2025/9/15</t>
  </si>
  <si>
    <t>A20250915000580</t>
  </si>
  <si>
    <t>吾伟晔</t>
  </si>
  <si>
    <t>13867272188</t>
  </si>
  <si>
    <t>翁昕</t>
  </si>
  <si>
    <t>L1PB26-V3燃气采暖热水炉（配烟管5520220）</t>
  </si>
  <si>
    <t>L1PB26-V3</t>
  </si>
  <si>
    <t>2025/9/14</t>
  </si>
  <si>
    <t>A20250914003371</t>
  </si>
  <si>
    <t>俞华耕</t>
  </si>
  <si>
    <t>13705728621</t>
  </si>
  <si>
    <t>EWH-80HGAWi储水式热水器</t>
  </si>
  <si>
    <t>EWH-80HGAWi</t>
  </si>
  <si>
    <t>A20250914003028</t>
  </si>
  <si>
    <t>陈勤</t>
  </si>
  <si>
    <t>13757077919</t>
  </si>
  <si>
    <t>JSQ31-TACWi燃气快速热水器</t>
  </si>
  <si>
    <t>JSQ31-TACWi</t>
  </si>
  <si>
    <t>A20250914003023</t>
  </si>
  <si>
    <t>JZT-F3B1S+AI-LiNK大火力灶具</t>
  </si>
  <si>
    <t>JZT-F3B1S+</t>
  </si>
  <si>
    <t>A20250914003032</t>
  </si>
  <si>
    <t>CXW-350-Q2CWi 顶侧双吸油烟机</t>
  </si>
  <si>
    <t>CXW-350-Q2CWi</t>
  </si>
  <si>
    <t>A20250914002750</t>
  </si>
  <si>
    <t>宋女士</t>
  </si>
  <si>
    <t>13857292533</t>
  </si>
  <si>
    <t>A20250914001242</t>
  </si>
  <si>
    <t>赵利</t>
  </si>
  <si>
    <t>13511269925</t>
  </si>
  <si>
    <t>刘凌</t>
  </si>
  <si>
    <t>A20250913005428</t>
  </si>
  <si>
    <t>郑丽丽</t>
  </si>
  <si>
    <t>15957278066</t>
  </si>
  <si>
    <t>2025/9/13</t>
  </si>
  <si>
    <t>A20250913005303</t>
  </si>
  <si>
    <t>林霞</t>
  </si>
  <si>
    <t>13615723240</t>
  </si>
  <si>
    <t>A20250913004607</t>
  </si>
  <si>
    <t>邵浠怡</t>
  </si>
  <si>
    <t>15906729972</t>
  </si>
  <si>
    <t>A20250913004719</t>
  </si>
  <si>
    <t>殷女士</t>
  </si>
  <si>
    <t>13819204410</t>
  </si>
  <si>
    <t>JSQ26-CSCWI燃气快速热水器通用防冻</t>
  </si>
  <si>
    <t>JSQ26-CSCWI</t>
  </si>
  <si>
    <t>A20250916002028</t>
  </si>
  <si>
    <t>潘馥</t>
  </si>
  <si>
    <t>13511228056</t>
  </si>
  <si>
    <t>EWH-80DA储水式电热水器</t>
  </si>
  <si>
    <t>EWH-80DA</t>
  </si>
  <si>
    <t>A20250913003153</t>
  </si>
  <si>
    <t>王治平</t>
  </si>
  <si>
    <t>13757251368</t>
  </si>
  <si>
    <t>CXW-200-Q3AWi易清洁顶侧双吸油烟机</t>
  </si>
  <si>
    <t>CXW-200-Q3AWi</t>
  </si>
  <si>
    <t>A20250913002355</t>
  </si>
  <si>
    <t>钱芳芳</t>
  </si>
  <si>
    <t>13819205767</t>
  </si>
  <si>
    <t>CEWH-80D3Wi储水式热水器</t>
  </si>
  <si>
    <t>CEWH-80D3Wi</t>
  </si>
  <si>
    <t>A20250913002078</t>
  </si>
  <si>
    <t>殷非凡</t>
  </si>
  <si>
    <t>13575793276</t>
  </si>
  <si>
    <t>CEWH-60A0储水式电热水器</t>
  </si>
  <si>
    <t>CEWH-60A0</t>
  </si>
  <si>
    <t>A20250913002076</t>
  </si>
  <si>
    <t>A20250913001194</t>
  </si>
  <si>
    <t>芮先生</t>
  </si>
  <si>
    <t>18667238888</t>
  </si>
  <si>
    <t>JSQ31-WDJWi燃气快速热水器</t>
  </si>
  <si>
    <t>JSQ31-WDJWi</t>
  </si>
  <si>
    <t>2025/9/9</t>
  </si>
  <si>
    <t>A20250909002178</t>
  </si>
  <si>
    <t>洪圆</t>
  </si>
  <si>
    <t>18605821186</t>
  </si>
  <si>
    <t>A20250909001209</t>
  </si>
  <si>
    <t>郭建华</t>
  </si>
  <si>
    <t>13506721608</t>
  </si>
  <si>
    <t>2025/9/8</t>
  </si>
  <si>
    <t>A20250908000677</t>
  </si>
  <si>
    <t>毛国群</t>
  </si>
  <si>
    <t>13705825797</t>
  </si>
  <si>
    <t>2025/9/6</t>
  </si>
  <si>
    <t>A20250906002448</t>
  </si>
  <si>
    <t>孙顺兴</t>
  </si>
  <si>
    <t>13906728536</t>
  </si>
  <si>
    <t>A20250906002444</t>
  </si>
  <si>
    <t>2025/9/3</t>
  </si>
  <si>
    <t>A20250903004300</t>
  </si>
  <si>
    <t>董魁富</t>
  </si>
  <si>
    <t>13867240388</t>
  </si>
  <si>
    <t>A20250829006383R</t>
  </si>
  <si>
    <t>吴</t>
  </si>
  <si>
    <t>18767206201</t>
  </si>
  <si>
    <t>ZJDB250902110顾客已换货，现退机，外包装完好</t>
  </si>
  <si>
    <t>2025/9/2</t>
  </si>
  <si>
    <t>A20250808004705C</t>
  </si>
  <si>
    <t>王志芳</t>
  </si>
  <si>
    <t>13567960488</t>
  </si>
  <si>
    <t>空进空出（改门店）</t>
  </si>
  <si>
    <t>A20250808004705R</t>
  </si>
  <si>
    <t>空进空退（改门店）</t>
  </si>
  <si>
    <t>A20250812003204C</t>
  </si>
  <si>
    <t>胡</t>
  </si>
  <si>
    <t>13857290766</t>
  </si>
  <si>
    <t>A20250812003204R</t>
  </si>
  <si>
    <t>A20250902003282</t>
  </si>
  <si>
    <t>周</t>
  </si>
  <si>
    <t>13857284252</t>
  </si>
  <si>
    <t>A20250902002305</t>
  </si>
  <si>
    <t>沈敏敏</t>
  </si>
  <si>
    <t>13395821589</t>
  </si>
  <si>
    <t>JSW31-VOSWi燃气热水器（含排烟组件总成403879-079）</t>
  </si>
  <si>
    <t>JSW31-VOSWi</t>
  </si>
  <si>
    <t>A20250628004125R</t>
  </si>
  <si>
    <t>沈苗苗</t>
  </si>
  <si>
    <t>13735100336</t>
  </si>
  <si>
    <t>空进空退（未送货，现退款）家里旧的机器已修好</t>
  </si>
  <si>
    <t>求和项:提成</t>
  </si>
  <si>
    <t>求和项:销售数量</t>
  </si>
  <si>
    <t>门店</t>
  </si>
  <si>
    <t>人员</t>
  </si>
  <si>
    <t>数量</t>
  </si>
  <si>
    <t>提成</t>
  </si>
  <si>
    <t>湖州浙北</t>
  </si>
  <si>
    <t>长兴浙北</t>
  </si>
  <si>
    <t>王琳/刘凌</t>
  </si>
  <si>
    <t>合计</t>
  </si>
  <si>
    <t>(空白)</t>
  </si>
  <si>
    <t>总计</t>
  </si>
  <si>
    <t>单台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</si>
</sst>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</sheetData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8.5615856481" refreshedBy="17108" recordCount="50">
  <cacheSource type="worksheet">
    <worksheetSource ref="A1:Q1048576" sheet="提成"/>
  </cacheSource>
  <cacheFields count="17">
    <cacheField name="日期" numFmtId="0">
      <sharedItems containsBlank="1" count="19">
        <s v="2025/9/30"/>
        <s v="2025/9/28"/>
        <s v="2025/9/27"/>
        <s v="2025/9/23"/>
        <s v="2025/9/21"/>
        <s v="2025/9/22"/>
        <s v="2025/9/20"/>
        <s v="2025/9/18"/>
        <s v="2025/9/17"/>
        <s v="2025/9/16"/>
        <s v="2025/9/15"/>
        <s v="2025/9/14"/>
        <s v="2025/9/13"/>
        <s v="2025/9/9"/>
        <s v="2025/9/8"/>
        <s v="2025/9/6"/>
        <s v="2025/9/3"/>
        <s v="2025/9/2"/>
        <m/>
      </sharedItems>
    </cacheField>
    <cacheField name="单据类型" numFmtId="0">
      <sharedItems containsBlank="1" count="3">
        <s v="信用零售销售订单"/>
        <s v="退货订单"/>
        <m/>
      </sharedItems>
    </cacheField>
    <cacheField name="单据编号" numFmtId="0">
      <sharedItems containsBlank="1" count="50">
        <s v="A20250930000884"/>
        <s v="A20250928003745"/>
        <s v="A20250927012560"/>
        <s v="A20250323006840C"/>
        <s v="A20250323006841C"/>
        <s v="A20250323006842C"/>
        <s v="A20250323006840R"/>
        <s v="A20250323006841R"/>
        <s v="A20250323006842R"/>
        <s v="A20250921005344"/>
        <s v="A20250922000730"/>
        <s v="A20250921002895"/>
        <s v="A20250921001207"/>
        <s v="A20250920003596"/>
        <s v="A20241204004161R"/>
        <s v="A20250917004452"/>
        <s v="A20250916004043"/>
        <s v="A20250916001459"/>
        <s v="A20250915000580"/>
        <s v="A20250914003371"/>
        <s v="A20250914003028"/>
        <s v="A20250914003023"/>
        <s v="A20250914003032"/>
        <s v="A20250914002750"/>
        <s v="A20250914001242"/>
        <s v="A20250913005428"/>
        <s v="A20250913005303"/>
        <s v="A20250913004607"/>
        <s v="A20250913004719"/>
        <s v="A20250916002028"/>
        <s v="A20250913003153"/>
        <s v="A20250913002355"/>
        <s v="A20250913002078"/>
        <s v="A20250913002076"/>
        <s v="A20250913001194"/>
        <s v="A20250909002178"/>
        <s v="A20250909001209"/>
        <s v="A20250908000677"/>
        <s v="A20250906002448"/>
        <s v="A20250906002444"/>
        <s v="A20250903004300"/>
        <s v="A20250829006383R"/>
        <s v="A20250808004705C"/>
        <s v="A20250808004705R"/>
        <s v="A20250812003204C"/>
        <s v="A20250812003204R"/>
        <s v="A20250902003282"/>
        <s v="A20250902002305"/>
        <s v="A20250628004125R"/>
        <m/>
      </sharedItems>
    </cacheField>
    <cacheField name="用户姓名" numFmtId="0">
      <sharedItems containsBlank="1" count="39">
        <s v="余少锡"/>
        <s v="朱永康"/>
        <s v="龚善涯"/>
        <s v="沈诗妍"/>
        <s v="施德福"/>
        <s v="周瑾"/>
        <s v="吴月珍"/>
        <s v="钱群妹"/>
        <s v="张志芳"/>
        <s v="管小燕"/>
        <s v="陆平华"/>
        <s v="化磊"/>
        <s v="吴建霞"/>
        <s v="吾伟晔"/>
        <s v="俞华耕"/>
        <s v="陈勤"/>
        <s v="宋女士"/>
        <s v="赵利"/>
        <s v="郑丽丽"/>
        <s v="林霞"/>
        <s v="邵浠怡"/>
        <s v="殷女士"/>
        <s v="潘馥"/>
        <s v="王治平"/>
        <s v="钱芳芳"/>
        <s v="殷非凡"/>
        <s v="芮先生"/>
        <s v="洪圆"/>
        <s v="郭建华"/>
        <s v="毛国群"/>
        <s v="孙顺兴"/>
        <s v="董魁富"/>
        <s v="吴"/>
        <s v="王志芳"/>
        <s v="胡"/>
        <s v="周"/>
        <s v="沈敏敏"/>
        <s v="沈苗苗"/>
        <m/>
      </sharedItems>
    </cacheField>
    <cacheField name="用户手机" numFmtId="0">
      <sharedItems containsBlank="1" count="39">
        <s v="18958857351"/>
        <s v="13705722729"/>
        <s v="13588800598"/>
        <s v="13706723157"/>
        <s v="13706729058"/>
        <s v="13506726888"/>
        <s v="13511220816"/>
        <s v="13336851645"/>
        <s v="13506720699"/>
        <s v="13567247602"/>
        <s v="13665717007"/>
        <s v="13833490969"/>
        <s v="13185269267"/>
        <s v="13867272188"/>
        <s v="13705728621"/>
        <s v="13757077919"/>
        <s v="13857292533"/>
        <s v="13511269925"/>
        <s v="15957278066"/>
        <s v="13615723240"/>
        <s v="15906729972"/>
        <s v="13819204410"/>
        <s v="13511228056"/>
        <s v="13757251368"/>
        <s v="13819205767"/>
        <s v="13575793276"/>
        <s v="18667238888"/>
        <s v="18605821186"/>
        <s v="13506721608"/>
        <s v="13705825797"/>
        <s v="13906728536"/>
        <s v="13867240388"/>
        <s v="18767206201"/>
        <s v="13567960488"/>
        <s v="13857290766"/>
        <s v="13857284252"/>
        <s v="13395821589"/>
        <s v="13735100336"/>
        <m/>
      </sharedItems>
    </cacheField>
    <cacheField name="单据状态" numFmtId="0">
      <sharedItems containsBlank="1" count="2">
        <s v="已审核"/>
        <m/>
      </sharedItems>
    </cacheField>
    <cacheField name="客户" numFmtId="0">
      <sharedItems containsBlank="1" count="2">
        <s v="湖州浙北大厦家电有限公司"/>
        <m/>
      </sharedItems>
    </cacheField>
    <cacheField name="促销员" numFmtId="0">
      <sharedItems containsBlank="1" count="6">
        <s v="管如云"/>
        <s v="戚高英"/>
        <s v="陈春艳"/>
        <s v="翁昕"/>
        <s v="刘凌"/>
        <m/>
      </sharedItems>
    </cacheField>
    <cacheField name="物料名称" numFmtId="0">
      <sharedItems containsBlank="1" count="28">
        <s v="HPA-50C1.0B分体热泵热水器（含室外机）"/>
        <s v="EWH-60HGMWi 储水式电热水器"/>
        <s v="CEWH-60D3Wi储水式热水器"/>
        <s v="APM-HC1 管线机"/>
        <s v="R1700FWi饮水机"/>
        <s v="PF-DA1前置过滤器"/>
        <s v="CEWH-80A0储水式电热水器"/>
        <s v="EWH-10B2储水式电热水器2000W"/>
        <s v="CEWH-50D0储水式电热水器"/>
        <s v="CEWH-60D1BWi储水式热水器"/>
        <s v="EWH-6B2储水式电热水器"/>
        <s v="JSQ31-HSCX燃气快速热水器"/>
        <s v="HPI-40D1.0B热泵电热水器一级能效超静音整体热泵"/>
        <s v="JSQ31-CSCWI燃气快速热水器"/>
        <s v=" CEWH-80TKWi储水电热水器"/>
        <s v="L1PB26-V3燃气采暖热水炉（配烟管5520220）"/>
        <s v="EWH-80HGAWi储水式热水器"/>
        <s v="JSQ31-TACWi燃气快速热水器"/>
        <s v="JZT-F3B1S+AI-LiNK大火力灶具"/>
        <s v="CXW-350-Q2CWi 顶侧双吸油烟机"/>
        <s v="JSQ26-CSCWI燃气快速热水器通用防冻"/>
        <s v="EWH-80DA储水式电热水器"/>
        <s v="CXW-200-Q3AWi易清洁顶侧双吸油烟机"/>
        <s v="CEWH-80D3Wi储水式热水器"/>
        <s v="CEWH-60A0储水式电热水器"/>
        <s v="JSQ31-WDJWi燃气快速热水器"/>
        <s v="JSW31-VOSWi燃气热水器（含排烟组件总成403879-079）"/>
        <m/>
      </sharedItems>
    </cacheField>
    <cacheField name="规格型号" numFmtId="0">
      <sharedItems containsBlank="1" count="28">
        <s v="HPA-50C1.0B"/>
        <s v="EWH-60HGMWi"/>
        <s v="CEWH-60D3Wi"/>
        <s v="APM-HC1"/>
        <s v="R1700FWi"/>
        <s v="PF-DA1"/>
        <s v="CEWH-80A0"/>
        <s v="EWH-10B2"/>
        <s v="CEWH-50D0"/>
        <s v="CEWH-60D1BWi"/>
        <s v="EWH-6B2"/>
        <s v="JSQ31-HSCX"/>
        <s v="HPI-40D1.0B"/>
        <s v="JSQ31-CSCWI"/>
        <s v="CEWH-80TKWi"/>
        <s v="L1PB26-V3"/>
        <s v="EWH-80HGAWi"/>
        <s v="JSQ31-TACWi"/>
        <s v="JZT-F3B1S+"/>
        <s v="CXW-350-Q2CWi"/>
        <s v="JSQ26-CSCWI"/>
        <s v="EWH-80DA"/>
        <s v="CXW-200-Q3AWi"/>
        <s v="CEWH-80D3Wi"/>
        <s v="CEWH-60A0"/>
        <s v="JSQ31-WDJWi"/>
        <s v="JSW31-VOSWi"/>
        <m/>
      </sharedItems>
    </cacheField>
    <cacheField name="销售数量" numFmtId="0">
      <sharedItems containsString="0" containsBlank="1" containsNumber="1" containsInteger="1" minValue="-1" maxValue="1" count="3">
        <n v="1"/>
        <n v="-1"/>
        <m/>
      </sharedItems>
    </cacheField>
    <cacheField name="单台" numFmtId="0">
      <sharedItems containsString="0" containsBlank="1" containsNumber="1" containsInteger="1" minValue="0" maxValue="470" count="27">
        <n v="250"/>
        <n v="135"/>
        <n v="90"/>
        <n v="75"/>
        <n v="142"/>
        <n v="22"/>
        <n v="37"/>
        <n v="13"/>
        <n v="36"/>
        <n v="78"/>
        <n v="12"/>
        <n v="150"/>
        <n v="375"/>
        <n v="134"/>
        <n v="107"/>
        <n v="470"/>
        <n v="178"/>
        <n v="119"/>
        <n v="132"/>
        <n v="223"/>
        <n v="127"/>
        <n v="112"/>
        <n v="293"/>
        <n v="99"/>
        <n v="34"/>
        <n v="160"/>
        <m/>
      </sharedItems>
    </cacheField>
    <cacheField name="提成" numFmtId="0">
      <sharedItems containsString="0" containsBlank="1" containsNumber="1" containsInteger="1" minValue="-150" maxValue="470" count="33">
        <n v="250"/>
        <n v="135"/>
        <n v="90"/>
        <n v="75"/>
        <n v="142"/>
        <n v="22"/>
        <n v="-75"/>
        <n v="-142"/>
        <n v="-22"/>
        <n v="37"/>
        <n v="13"/>
        <n v="36"/>
        <n v="78"/>
        <n v="12"/>
        <n v="-150"/>
        <n v="375"/>
        <n v="134"/>
        <n v="107"/>
        <n v="470"/>
        <n v="178"/>
        <n v="119"/>
        <n v="132"/>
        <n v="223"/>
        <n v="127"/>
        <n v="112"/>
        <n v="293"/>
        <n v="99"/>
        <n v="34"/>
        <n v="160"/>
        <n v="-78"/>
        <n v="-12"/>
        <n v="-134"/>
        <m/>
      </sharedItems>
    </cacheField>
    <cacheField name="价税合计" numFmtId="0">
      <sharedItems containsString="0" containsBlank="1" containsNumber="1" containsInteger="1" minValue="-4900" maxValue="12345" count="37">
        <n v="8167"/>
        <n v="4592"/>
        <n v="3127"/>
        <n v="2038"/>
        <n v="4078"/>
        <n v="868"/>
        <n v="-2038"/>
        <n v="-4078"/>
        <n v="-868"/>
        <n v="1970"/>
        <n v="790"/>
        <n v="2014"/>
        <n v="2551"/>
        <n v="729"/>
        <n v="-4900"/>
        <n v="12345"/>
        <n v="4361"/>
        <n v="3691"/>
        <n v="8438"/>
        <n v="5705"/>
        <n v="3882"/>
        <n v="2379"/>
        <n v="3314"/>
        <n v="4346"/>
        <n v="3616"/>
        <n v="4578"/>
        <n v="3413"/>
        <n v="1839"/>
        <n v="5185"/>
        <n v="3488"/>
        <n v="2685"/>
        <n v="4590"/>
        <n v="-2685"/>
        <n v="-729"/>
        <n v="-4590"/>
        <n v="4809"/>
        <m/>
      </sharedItems>
    </cacheField>
    <cacheField name="成交价" numFmtId="0">
      <sharedItems containsString="0" containsBlank="1" containsNumber="1" containsInteger="1" minValue="0" maxValue="12345" count="31">
        <n v="8167"/>
        <n v="4592"/>
        <n v="3127"/>
        <n v="2038"/>
        <n v="4078"/>
        <n v="868"/>
        <n v="1970"/>
        <n v="790"/>
        <n v="2014"/>
        <n v="2551"/>
        <n v="729"/>
        <n v="4900"/>
        <n v="12345"/>
        <n v="4361"/>
        <n v="3691"/>
        <n v="8438"/>
        <n v="5705"/>
        <n v="3882"/>
        <n v="2379"/>
        <n v="3314"/>
        <n v="4346"/>
        <n v="3616"/>
        <n v="4578"/>
        <n v="3413"/>
        <n v="1839"/>
        <n v="5185"/>
        <n v="3488"/>
        <n v="2685"/>
        <n v="4590"/>
        <n v="4809"/>
        <m/>
      </sharedItems>
    </cacheField>
    <cacheField name="系统定价" numFmtId="0">
      <sharedItems containsString="0" containsBlank="1" containsNumber="1" containsInteger="1" minValue="0" maxValue="12345" count="31">
        <n v="8167"/>
        <n v="4592"/>
        <n v="3127"/>
        <n v="2038"/>
        <n v="4078"/>
        <n v="868"/>
        <n v="1970"/>
        <n v="790"/>
        <n v="2014"/>
        <n v="2551"/>
        <n v="729"/>
        <n v="4900"/>
        <n v="12345"/>
        <n v="4361"/>
        <n v="3691"/>
        <n v="8438"/>
        <n v="5705"/>
        <n v="3882"/>
        <n v="2379"/>
        <n v="3314"/>
        <n v="4346"/>
        <n v="3616"/>
        <n v="4578"/>
        <n v="3413"/>
        <n v="1839"/>
        <n v="5185"/>
        <n v="3488"/>
        <n v="2685"/>
        <n v="4590"/>
        <n v="4809"/>
        <m/>
      </sharedItems>
    </cacheField>
    <cacheField name="备注" numFmtId="0">
      <sharedItems containsBlank="1" count="10">
        <m/>
        <s v="ZJDB250402027顾客拒收，改11月送货"/>
        <s v="ZJDB250402022顾客拒收，改11月送货"/>
        <s v="ZJDB250402026顾客拒收，改11月送货"/>
        <s v="拆旧"/>
        <s v="ZJDB250812045顾客嫌弃22年生产日期，要求换机，外包装完好"/>
        <s v="ZJDB250902110顾客已换货，现退机，外包装完好"/>
        <s v="空进空出（改门店）"/>
        <s v="空进空退（改门店）"/>
        <s v="空进空退（未送货，现退款）家里旧的机器已修好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1"/>
    <x v="1"/>
    <x v="1"/>
    <x v="0"/>
    <x v="1"/>
    <x v="1"/>
    <x v="1"/>
    <x v="1"/>
    <x v="1"/>
    <x v="0"/>
  </r>
  <r>
    <x v="2"/>
    <x v="0"/>
    <x v="2"/>
    <x v="2"/>
    <x v="2"/>
    <x v="0"/>
    <x v="0"/>
    <x v="0"/>
    <x v="2"/>
    <x v="2"/>
    <x v="0"/>
    <x v="2"/>
    <x v="2"/>
    <x v="2"/>
    <x v="2"/>
    <x v="2"/>
    <x v="0"/>
  </r>
  <r>
    <x v="3"/>
    <x v="0"/>
    <x v="3"/>
    <x v="3"/>
    <x v="3"/>
    <x v="0"/>
    <x v="0"/>
    <x v="0"/>
    <x v="3"/>
    <x v="3"/>
    <x v="0"/>
    <x v="3"/>
    <x v="3"/>
    <x v="3"/>
    <x v="3"/>
    <x v="3"/>
    <x v="0"/>
  </r>
  <r>
    <x v="3"/>
    <x v="0"/>
    <x v="4"/>
    <x v="3"/>
    <x v="3"/>
    <x v="0"/>
    <x v="0"/>
    <x v="0"/>
    <x v="4"/>
    <x v="4"/>
    <x v="0"/>
    <x v="4"/>
    <x v="4"/>
    <x v="4"/>
    <x v="4"/>
    <x v="4"/>
    <x v="0"/>
  </r>
  <r>
    <x v="3"/>
    <x v="0"/>
    <x v="5"/>
    <x v="3"/>
    <x v="3"/>
    <x v="0"/>
    <x v="0"/>
    <x v="0"/>
    <x v="5"/>
    <x v="5"/>
    <x v="0"/>
    <x v="5"/>
    <x v="5"/>
    <x v="5"/>
    <x v="5"/>
    <x v="5"/>
    <x v="0"/>
  </r>
  <r>
    <x v="3"/>
    <x v="1"/>
    <x v="6"/>
    <x v="3"/>
    <x v="3"/>
    <x v="0"/>
    <x v="0"/>
    <x v="0"/>
    <x v="3"/>
    <x v="3"/>
    <x v="1"/>
    <x v="3"/>
    <x v="6"/>
    <x v="6"/>
    <x v="3"/>
    <x v="3"/>
    <x v="1"/>
  </r>
  <r>
    <x v="3"/>
    <x v="1"/>
    <x v="7"/>
    <x v="3"/>
    <x v="3"/>
    <x v="0"/>
    <x v="0"/>
    <x v="0"/>
    <x v="4"/>
    <x v="4"/>
    <x v="1"/>
    <x v="4"/>
    <x v="7"/>
    <x v="7"/>
    <x v="4"/>
    <x v="4"/>
    <x v="2"/>
  </r>
  <r>
    <x v="3"/>
    <x v="1"/>
    <x v="8"/>
    <x v="3"/>
    <x v="3"/>
    <x v="0"/>
    <x v="0"/>
    <x v="0"/>
    <x v="5"/>
    <x v="5"/>
    <x v="1"/>
    <x v="5"/>
    <x v="8"/>
    <x v="8"/>
    <x v="5"/>
    <x v="5"/>
    <x v="3"/>
  </r>
  <r>
    <x v="4"/>
    <x v="0"/>
    <x v="9"/>
    <x v="4"/>
    <x v="4"/>
    <x v="0"/>
    <x v="0"/>
    <x v="0"/>
    <x v="6"/>
    <x v="6"/>
    <x v="0"/>
    <x v="6"/>
    <x v="9"/>
    <x v="9"/>
    <x v="6"/>
    <x v="6"/>
    <x v="4"/>
  </r>
  <r>
    <x v="5"/>
    <x v="0"/>
    <x v="10"/>
    <x v="5"/>
    <x v="5"/>
    <x v="0"/>
    <x v="0"/>
    <x v="2"/>
    <x v="7"/>
    <x v="7"/>
    <x v="0"/>
    <x v="7"/>
    <x v="10"/>
    <x v="10"/>
    <x v="7"/>
    <x v="7"/>
    <x v="0"/>
  </r>
  <r>
    <x v="4"/>
    <x v="0"/>
    <x v="11"/>
    <x v="6"/>
    <x v="6"/>
    <x v="0"/>
    <x v="0"/>
    <x v="1"/>
    <x v="8"/>
    <x v="8"/>
    <x v="0"/>
    <x v="8"/>
    <x v="11"/>
    <x v="11"/>
    <x v="8"/>
    <x v="8"/>
    <x v="0"/>
  </r>
  <r>
    <x v="4"/>
    <x v="0"/>
    <x v="12"/>
    <x v="7"/>
    <x v="7"/>
    <x v="0"/>
    <x v="0"/>
    <x v="0"/>
    <x v="9"/>
    <x v="9"/>
    <x v="0"/>
    <x v="9"/>
    <x v="12"/>
    <x v="12"/>
    <x v="9"/>
    <x v="9"/>
    <x v="0"/>
  </r>
  <r>
    <x v="6"/>
    <x v="0"/>
    <x v="13"/>
    <x v="8"/>
    <x v="8"/>
    <x v="0"/>
    <x v="0"/>
    <x v="0"/>
    <x v="10"/>
    <x v="10"/>
    <x v="0"/>
    <x v="10"/>
    <x v="13"/>
    <x v="13"/>
    <x v="10"/>
    <x v="10"/>
    <x v="0"/>
  </r>
  <r>
    <x v="7"/>
    <x v="1"/>
    <x v="14"/>
    <x v="9"/>
    <x v="9"/>
    <x v="0"/>
    <x v="0"/>
    <x v="0"/>
    <x v="11"/>
    <x v="11"/>
    <x v="1"/>
    <x v="11"/>
    <x v="14"/>
    <x v="14"/>
    <x v="11"/>
    <x v="11"/>
    <x v="5"/>
  </r>
  <r>
    <x v="8"/>
    <x v="0"/>
    <x v="15"/>
    <x v="10"/>
    <x v="10"/>
    <x v="0"/>
    <x v="0"/>
    <x v="0"/>
    <x v="12"/>
    <x v="12"/>
    <x v="0"/>
    <x v="12"/>
    <x v="15"/>
    <x v="15"/>
    <x v="12"/>
    <x v="12"/>
    <x v="0"/>
  </r>
  <r>
    <x v="8"/>
    <x v="0"/>
    <x v="16"/>
    <x v="11"/>
    <x v="11"/>
    <x v="0"/>
    <x v="0"/>
    <x v="1"/>
    <x v="13"/>
    <x v="13"/>
    <x v="0"/>
    <x v="13"/>
    <x v="16"/>
    <x v="16"/>
    <x v="13"/>
    <x v="13"/>
    <x v="0"/>
  </r>
  <r>
    <x v="9"/>
    <x v="0"/>
    <x v="17"/>
    <x v="12"/>
    <x v="12"/>
    <x v="0"/>
    <x v="0"/>
    <x v="0"/>
    <x v="14"/>
    <x v="14"/>
    <x v="0"/>
    <x v="14"/>
    <x v="17"/>
    <x v="17"/>
    <x v="14"/>
    <x v="14"/>
    <x v="0"/>
  </r>
  <r>
    <x v="10"/>
    <x v="0"/>
    <x v="18"/>
    <x v="13"/>
    <x v="13"/>
    <x v="0"/>
    <x v="0"/>
    <x v="3"/>
    <x v="15"/>
    <x v="15"/>
    <x v="0"/>
    <x v="15"/>
    <x v="18"/>
    <x v="18"/>
    <x v="15"/>
    <x v="15"/>
    <x v="0"/>
  </r>
  <r>
    <x v="11"/>
    <x v="0"/>
    <x v="19"/>
    <x v="14"/>
    <x v="14"/>
    <x v="0"/>
    <x v="0"/>
    <x v="0"/>
    <x v="16"/>
    <x v="16"/>
    <x v="0"/>
    <x v="16"/>
    <x v="19"/>
    <x v="19"/>
    <x v="16"/>
    <x v="16"/>
    <x v="0"/>
  </r>
  <r>
    <x v="11"/>
    <x v="0"/>
    <x v="20"/>
    <x v="15"/>
    <x v="15"/>
    <x v="0"/>
    <x v="0"/>
    <x v="0"/>
    <x v="17"/>
    <x v="17"/>
    <x v="0"/>
    <x v="17"/>
    <x v="20"/>
    <x v="20"/>
    <x v="17"/>
    <x v="17"/>
    <x v="0"/>
  </r>
  <r>
    <x v="11"/>
    <x v="0"/>
    <x v="21"/>
    <x v="15"/>
    <x v="15"/>
    <x v="0"/>
    <x v="0"/>
    <x v="0"/>
    <x v="18"/>
    <x v="18"/>
    <x v="0"/>
    <x v="18"/>
    <x v="21"/>
    <x v="21"/>
    <x v="18"/>
    <x v="18"/>
    <x v="0"/>
  </r>
  <r>
    <x v="11"/>
    <x v="0"/>
    <x v="22"/>
    <x v="15"/>
    <x v="15"/>
    <x v="0"/>
    <x v="0"/>
    <x v="0"/>
    <x v="19"/>
    <x v="19"/>
    <x v="0"/>
    <x v="19"/>
    <x v="22"/>
    <x v="22"/>
    <x v="19"/>
    <x v="19"/>
    <x v="0"/>
  </r>
  <r>
    <x v="11"/>
    <x v="0"/>
    <x v="23"/>
    <x v="16"/>
    <x v="16"/>
    <x v="0"/>
    <x v="0"/>
    <x v="0"/>
    <x v="9"/>
    <x v="9"/>
    <x v="0"/>
    <x v="9"/>
    <x v="12"/>
    <x v="12"/>
    <x v="9"/>
    <x v="9"/>
    <x v="0"/>
  </r>
  <r>
    <x v="11"/>
    <x v="0"/>
    <x v="24"/>
    <x v="17"/>
    <x v="17"/>
    <x v="0"/>
    <x v="0"/>
    <x v="4"/>
    <x v="19"/>
    <x v="19"/>
    <x v="0"/>
    <x v="19"/>
    <x v="22"/>
    <x v="22"/>
    <x v="19"/>
    <x v="19"/>
    <x v="0"/>
  </r>
  <r>
    <x v="11"/>
    <x v="0"/>
    <x v="25"/>
    <x v="18"/>
    <x v="18"/>
    <x v="0"/>
    <x v="0"/>
    <x v="0"/>
    <x v="13"/>
    <x v="13"/>
    <x v="0"/>
    <x v="13"/>
    <x v="16"/>
    <x v="16"/>
    <x v="13"/>
    <x v="13"/>
    <x v="0"/>
  </r>
  <r>
    <x v="12"/>
    <x v="0"/>
    <x v="26"/>
    <x v="19"/>
    <x v="19"/>
    <x v="0"/>
    <x v="0"/>
    <x v="1"/>
    <x v="17"/>
    <x v="17"/>
    <x v="0"/>
    <x v="17"/>
    <x v="20"/>
    <x v="20"/>
    <x v="17"/>
    <x v="17"/>
    <x v="0"/>
  </r>
  <r>
    <x v="12"/>
    <x v="0"/>
    <x v="27"/>
    <x v="20"/>
    <x v="20"/>
    <x v="0"/>
    <x v="0"/>
    <x v="0"/>
    <x v="16"/>
    <x v="16"/>
    <x v="0"/>
    <x v="16"/>
    <x v="19"/>
    <x v="19"/>
    <x v="16"/>
    <x v="16"/>
    <x v="0"/>
  </r>
  <r>
    <x v="12"/>
    <x v="0"/>
    <x v="28"/>
    <x v="21"/>
    <x v="21"/>
    <x v="0"/>
    <x v="0"/>
    <x v="0"/>
    <x v="20"/>
    <x v="20"/>
    <x v="0"/>
    <x v="20"/>
    <x v="23"/>
    <x v="23"/>
    <x v="20"/>
    <x v="20"/>
    <x v="0"/>
  </r>
  <r>
    <x v="9"/>
    <x v="0"/>
    <x v="29"/>
    <x v="22"/>
    <x v="22"/>
    <x v="0"/>
    <x v="0"/>
    <x v="4"/>
    <x v="21"/>
    <x v="21"/>
    <x v="0"/>
    <x v="21"/>
    <x v="24"/>
    <x v="24"/>
    <x v="21"/>
    <x v="21"/>
    <x v="0"/>
  </r>
  <r>
    <x v="12"/>
    <x v="0"/>
    <x v="30"/>
    <x v="23"/>
    <x v="23"/>
    <x v="0"/>
    <x v="0"/>
    <x v="4"/>
    <x v="22"/>
    <x v="22"/>
    <x v="0"/>
    <x v="22"/>
    <x v="25"/>
    <x v="25"/>
    <x v="22"/>
    <x v="22"/>
    <x v="0"/>
  </r>
  <r>
    <x v="12"/>
    <x v="0"/>
    <x v="31"/>
    <x v="24"/>
    <x v="24"/>
    <x v="0"/>
    <x v="0"/>
    <x v="1"/>
    <x v="23"/>
    <x v="23"/>
    <x v="0"/>
    <x v="23"/>
    <x v="26"/>
    <x v="26"/>
    <x v="23"/>
    <x v="23"/>
    <x v="0"/>
  </r>
  <r>
    <x v="12"/>
    <x v="0"/>
    <x v="32"/>
    <x v="25"/>
    <x v="25"/>
    <x v="0"/>
    <x v="0"/>
    <x v="4"/>
    <x v="24"/>
    <x v="24"/>
    <x v="0"/>
    <x v="24"/>
    <x v="27"/>
    <x v="27"/>
    <x v="24"/>
    <x v="24"/>
    <x v="0"/>
  </r>
  <r>
    <x v="12"/>
    <x v="0"/>
    <x v="33"/>
    <x v="25"/>
    <x v="25"/>
    <x v="0"/>
    <x v="0"/>
    <x v="4"/>
    <x v="17"/>
    <x v="17"/>
    <x v="0"/>
    <x v="17"/>
    <x v="20"/>
    <x v="20"/>
    <x v="17"/>
    <x v="17"/>
    <x v="0"/>
  </r>
  <r>
    <x v="12"/>
    <x v="0"/>
    <x v="34"/>
    <x v="26"/>
    <x v="26"/>
    <x v="0"/>
    <x v="0"/>
    <x v="0"/>
    <x v="25"/>
    <x v="25"/>
    <x v="0"/>
    <x v="25"/>
    <x v="28"/>
    <x v="28"/>
    <x v="25"/>
    <x v="25"/>
    <x v="0"/>
  </r>
  <r>
    <x v="13"/>
    <x v="0"/>
    <x v="35"/>
    <x v="27"/>
    <x v="27"/>
    <x v="0"/>
    <x v="0"/>
    <x v="4"/>
    <x v="7"/>
    <x v="7"/>
    <x v="0"/>
    <x v="7"/>
    <x v="10"/>
    <x v="10"/>
    <x v="7"/>
    <x v="7"/>
    <x v="0"/>
  </r>
  <r>
    <x v="13"/>
    <x v="0"/>
    <x v="36"/>
    <x v="28"/>
    <x v="28"/>
    <x v="0"/>
    <x v="0"/>
    <x v="1"/>
    <x v="19"/>
    <x v="19"/>
    <x v="0"/>
    <x v="19"/>
    <x v="22"/>
    <x v="29"/>
    <x v="26"/>
    <x v="26"/>
    <x v="0"/>
  </r>
  <r>
    <x v="14"/>
    <x v="0"/>
    <x v="37"/>
    <x v="29"/>
    <x v="29"/>
    <x v="0"/>
    <x v="0"/>
    <x v="4"/>
    <x v="9"/>
    <x v="9"/>
    <x v="0"/>
    <x v="9"/>
    <x v="12"/>
    <x v="30"/>
    <x v="27"/>
    <x v="27"/>
    <x v="0"/>
  </r>
  <r>
    <x v="15"/>
    <x v="0"/>
    <x v="38"/>
    <x v="30"/>
    <x v="30"/>
    <x v="0"/>
    <x v="0"/>
    <x v="0"/>
    <x v="18"/>
    <x v="18"/>
    <x v="0"/>
    <x v="18"/>
    <x v="21"/>
    <x v="21"/>
    <x v="18"/>
    <x v="18"/>
    <x v="0"/>
  </r>
  <r>
    <x v="15"/>
    <x v="0"/>
    <x v="39"/>
    <x v="30"/>
    <x v="30"/>
    <x v="0"/>
    <x v="0"/>
    <x v="0"/>
    <x v="13"/>
    <x v="13"/>
    <x v="0"/>
    <x v="13"/>
    <x v="16"/>
    <x v="31"/>
    <x v="28"/>
    <x v="28"/>
    <x v="0"/>
  </r>
  <r>
    <x v="16"/>
    <x v="0"/>
    <x v="40"/>
    <x v="31"/>
    <x v="31"/>
    <x v="0"/>
    <x v="0"/>
    <x v="0"/>
    <x v="19"/>
    <x v="19"/>
    <x v="0"/>
    <x v="19"/>
    <x v="22"/>
    <x v="29"/>
    <x v="26"/>
    <x v="26"/>
    <x v="0"/>
  </r>
  <r>
    <x v="16"/>
    <x v="1"/>
    <x v="41"/>
    <x v="32"/>
    <x v="32"/>
    <x v="0"/>
    <x v="0"/>
    <x v="0"/>
    <x v="9"/>
    <x v="9"/>
    <x v="1"/>
    <x v="9"/>
    <x v="29"/>
    <x v="32"/>
    <x v="27"/>
    <x v="27"/>
    <x v="6"/>
  </r>
  <r>
    <x v="17"/>
    <x v="0"/>
    <x v="42"/>
    <x v="33"/>
    <x v="33"/>
    <x v="0"/>
    <x v="0"/>
    <x v="4"/>
    <x v="10"/>
    <x v="10"/>
    <x v="0"/>
    <x v="10"/>
    <x v="13"/>
    <x v="13"/>
    <x v="10"/>
    <x v="10"/>
    <x v="7"/>
  </r>
  <r>
    <x v="17"/>
    <x v="1"/>
    <x v="43"/>
    <x v="33"/>
    <x v="33"/>
    <x v="0"/>
    <x v="0"/>
    <x v="4"/>
    <x v="10"/>
    <x v="10"/>
    <x v="1"/>
    <x v="10"/>
    <x v="30"/>
    <x v="33"/>
    <x v="10"/>
    <x v="10"/>
    <x v="8"/>
  </r>
  <r>
    <x v="17"/>
    <x v="0"/>
    <x v="44"/>
    <x v="34"/>
    <x v="34"/>
    <x v="0"/>
    <x v="0"/>
    <x v="0"/>
    <x v="13"/>
    <x v="13"/>
    <x v="0"/>
    <x v="13"/>
    <x v="16"/>
    <x v="31"/>
    <x v="28"/>
    <x v="28"/>
    <x v="7"/>
  </r>
  <r>
    <x v="17"/>
    <x v="1"/>
    <x v="45"/>
    <x v="34"/>
    <x v="34"/>
    <x v="0"/>
    <x v="0"/>
    <x v="0"/>
    <x v="13"/>
    <x v="13"/>
    <x v="1"/>
    <x v="13"/>
    <x v="31"/>
    <x v="34"/>
    <x v="28"/>
    <x v="28"/>
    <x v="8"/>
  </r>
  <r>
    <x v="17"/>
    <x v="0"/>
    <x v="46"/>
    <x v="35"/>
    <x v="35"/>
    <x v="0"/>
    <x v="0"/>
    <x v="4"/>
    <x v="10"/>
    <x v="10"/>
    <x v="0"/>
    <x v="10"/>
    <x v="13"/>
    <x v="13"/>
    <x v="10"/>
    <x v="10"/>
    <x v="0"/>
  </r>
  <r>
    <x v="17"/>
    <x v="0"/>
    <x v="47"/>
    <x v="36"/>
    <x v="36"/>
    <x v="0"/>
    <x v="0"/>
    <x v="1"/>
    <x v="26"/>
    <x v="26"/>
    <x v="0"/>
    <x v="4"/>
    <x v="4"/>
    <x v="35"/>
    <x v="29"/>
    <x v="29"/>
    <x v="0"/>
  </r>
  <r>
    <x v="17"/>
    <x v="1"/>
    <x v="48"/>
    <x v="37"/>
    <x v="37"/>
    <x v="0"/>
    <x v="0"/>
    <x v="0"/>
    <x v="13"/>
    <x v="13"/>
    <x v="1"/>
    <x v="13"/>
    <x v="31"/>
    <x v="34"/>
    <x v="28"/>
    <x v="28"/>
    <x v="9"/>
  </r>
  <r>
    <x v="18"/>
    <x v="2"/>
    <x v="49"/>
    <x v="38"/>
    <x v="38"/>
    <x v="1"/>
    <x v="1"/>
    <x v="5"/>
    <x v="27"/>
    <x v="27"/>
    <x v="2"/>
    <x v="26"/>
    <x v="32"/>
    <x v="36"/>
    <x v="30"/>
    <x v="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0" firstHeaderRow="0" firstDataRow="1" firstDataCol="1"/>
  <pivotFields count="17">
    <pivotField compact="0" showAll="0">
      <items count="20">
        <item x="12"/>
        <item x="11"/>
        <item x="10"/>
        <item x="9"/>
        <item x="8"/>
        <item x="7"/>
        <item x="17"/>
        <item x="6"/>
        <item x="4"/>
        <item x="5"/>
        <item x="3"/>
        <item x="2"/>
        <item x="1"/>
        <item x="16"/>
        <item x="0"/>
        <item x="15"/>
        <item x="14"/>
        <item x="13"/>
        <item x="1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1">
        <item x="14"/>
        <item x="3"/>
        <item x="6"/>
        <item x="4"/>
        <item x="7"/>
        <item x="5"/>
        <item x="8"/>
        <item x="48"/>
        <item x="42"/>
        <item x="43"/>
        <item x="44"/>
        <item x="45"/>
        <item x="41"/>
        <item x="47"/>
        <item x="46"/>
        <item x="40"/>
        <item x="39"/>
        <item x="38"/>
        <item x="37"/>
        <item x="36"/>
        <item x="35"/>
        <item x="34"/>
        <item x="33"/>
        <item x="32"/>
        <item x="31"/>
        <item x="30"/>
        <item x="27"/>
        <item x="28"/>
        <item x="26"/>
        <item x="25"/>
        <item x="24"/>
        <item x="23"/>
        <item x="21"/>
        <item x="20"/>
        <item x="22"/>
        <item x="19"/>
        <item x="18"/>
        <item x="17"/>
        <item x="29"/>
        <item x="16"/>
        <item x="15"/>
        <item x="13"/>
        <item x="12"/>
        <item x="11"/>
        <item x="9"/>
        <item x="10"/>
        <item x="2"/>
        <item x="1"/>
        <item x="0"/>
        <item x="49"/>
        <item t="default"/>
      </items>
    </pivotField>
    <pivotField compact="0" showAll="0">
      <items count="40">
        <item x="15"/>
        <item x="31"/>
        <item x="2"/>
        <item x="9"/>
        <item x="28"/>
        <item x="27"/>
        <item x="34"/>
        <item x="11"/>
        <item x="19"/>
        <item x="10"/>
        <item x="29"/>
        <item x="22"/>
        <item x="24"/>
        <item x="7"/>
        <item x="26"/>
        <item x="20"/>
        <item x="37"/>
        <item x="36"/>
        <item x="3"/>
        <item x="4"/>
        <item x="16"/>
        <item x="30"/>
        <item x="33"/>
        <item x="23"/>
        <item x="13"/>
        <item x="32"/>
        <item x="12"/>
        <item x="6"/>
        <item x="25"/>
        <item x="21"/>
        <item x="0"/>
        <item x="14"/>
        <item x="8"/>
        <item x="17"/>
        <item x="18"/>
        <item x="35"/>
        <item x="5"/>
        <item x="1"/>
        <item x="38"/>
        <item t="default"/>
      </items>
    </pivotField>
    <pivotField compact="0" showAll="0">
      <items count="40">
        <item x="12"/>
        <item x="7"/>
        <item x="36"/>
        <item x="8"/>
        <item x="28"/>
        <item x="5"/>
        <item x="6"/>
        <item x="22"/>
        <item x="17"/>
        <item x="9"/>
        <item x="33"/>
        <item x="25"/>
        <item x="2"/>
        <item x="19"/>
        <item x="10"/>
        <item x="1"/>
        <item x="14"/>
        <item x="29"/>
        <item x="3"/>
        <item x="4"/>
        <item x="37"/>
        <item x="15"/>
        <item x="23"/>
        <item x="21"/>
        <item x="24"/>
        <item x="11"/>
        <item x="35"/>
        <item x="34"/>
        <item x="16"/>
        <item x="31"/>
        <item x="13"/>
        <item x="30"/>
        <item x="20"/>
        <item x="18"/>
        <item x="27"/>
        <item x="26"/>
        <item x="32"/>
        <item x="0"/>
        <item x="3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7">
        <item x="2"/>
        <item x="0"/>
        <item x="4"/>
        <item x="1"/>
        <item x="3"/>
        <item x="5"/>
        <item t="default"/>
      </items>
    </pivotField>
    <pivotField compact="0" showAll="0">
      <items count="29">
        <item x="14"/>
        <item x="3"/>
        <item x="8"/>
        <item x="24"/>
        <item x="9"/>
        <item x="2"/>
        <item x="6"/>
        <item x="23"/>
        <item x="22"/>
        <item x="19"/>
        <item x="7"/>
        <item x="1"/>
        <item x="10"/>
        <item x="21"/>
        <item x="16"/>
        <item x="0"/>
        <item x="12"/>
        <item x="20"/>
        <item x="13"/>
        <item x="11"/>
        <item x="17"/>
        <item x="25"/>
        <item x="26"/>
        <item x="18"/>
        <item x="15"/>
        <item x="5"/>
        <item x="4"/>
        <item x="27"/>
        <item t="default"/>
      </items>
    </pivotField>
    <pivotField compact="0" showAll="0">
      <items count="29">
        <item x="3"/>
        <item x="8"/>
        <item x="24"/>
        <item x="9"/>
        <item x="2"/>
        <item x="6"/>
        <item x="23"/>
        <item x="14"/>
        <item x="22"/>
        <item x="19"/>
        <item x="7"/>
        <item x="1"/>
        <item x="10"/>
        <item x="21"/>
        <item x="16"/>
        <item x="0"/>
        <item x="12"/>
        <item x="20"/>
        <item x="13"/>
        <item x="11"/>
        <item x="17"/>
        <item x="25"/>
        <item x="26"/>
        <item x="18"/>
        <item x="15"/>
        <item x="5"/>
        <item x="4"/>
        <item x="27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compact="0" showAll="0">
      <items count="28">
        <item x="10"/>
        <item x="7"/>
        <item x="5"/>
        <item x="24"/>
        <item x="8"/>
        <item x="6"/>
        <item x="3"/>
        <item x="9"/>
        <item x="2"/>
        <item x="23"/>
        <item x="14"/>
        <item x="21"/>
        <item x="17"/>
        <item x="20"/>
        <item x="18"/>
        <item x="13"/>
        <item x="1"/>
        <item x="4"/>
        <item x="11"/>
        <item x="25"/>
        <item x="16"/>
        <item x="19"/>
        <item x="0"/>
        <item x="22"/>
        <item x="12"/>
        <item x="15"/>
        <item x="26"/>
        <item t="default"/>
      </items>
    </pivotField>
    <pivotField dataField="1" compact="0" showAll="0">
      <items count="34">
        <item x="14"/>
        <item x="7"/>
        <item x="31"/>
        <item x="29"/>
        <item x="6"/>
        <item x="8"/>
        <item x="30"/>
        <item x="13"/>
        <item x="10"/>
        <item x="5"/>
        <item x="27"/>
        <item x="11"/>
        <item x="9"/>
        <item x="3"/>
        <item x="12"/>
        <item x="2"/>
        <item x="26"/>
        <item x="17"/>
        <item x="24"/>
        <item x="20"/>
        <item x="23"/>
        <item x="21"/>
        <item x="16"/>
        <item x="1"/>
        <item x="4"/>
        <item x="28"/>
        <item x="19"/>
        <item x="22"/>
        <item x="0"/>
        <item x="25"/>
        <item x="15"/>
        <item x="18"/>
        <item x="32"/>
        <item t="default"/>
      </items>
    </pivotField>
    <pivotField compact="0" showAll="0">
      <items count="38">
        <item x="14"/>
        <item x="34"/>
        <item x="7"/>
        <item x="32"/>
        <item x="6"/>
        <item x="8"/>
        <item x="33"/>
        <item x="13"/>
        <item x="10"/>
        <item x="5"/>
        <item x="27"/>
        <item x="9"/>
        <item x="11"/>
        <item x="3"/>
        <item x="21"/>
        <item x="12"/>
        <item x="30"/>
        <item x="2"/>
        <item x="22"/>
        <item x="26"/>
        <item x="29"/>
        <item x="24"/>
        <item x="17"/>
        <item x="20"/>
        <item x="4"/>
        <item x="23"/>
        <item x="16"/>
        <item x="25"/>
        <item x="31"/>
        <item x="1"/>
        <item x="35"/>
        <item x="28"/>
        <item x="19"/>
        <item x="0"/>
        <item x="18"/>
        <item x="15"/>
        <item x="36"/>
        <item t="default"/>
      </items>
    </pivotField>
    <pivotField compact="0" showAll="0">
      <items count="32">
        <item x="10"/>
        <item x="7"/>
        <item x="5"/>
        <item x="24"/>
        <item x="6"/>
        <item x="8"/>
        <item x="3"/>
        <item x="18"/>
        <item x="9"/>
        <item x="27"/>
        <item x="2"/>
        <item x="19"/>
        <item x="23"/>
        <item x="26"/>
        <item x="21"/>
        <item x="14"/>
        <item x="17"/>
        <item x="4"/>
        <item x="20"/>
        <item x="13"/>
        <item x="22"/>
        <item x="28"/>
        <item x="1"/>
        <item x="29"/>
        <item x="11"/>
        <item x="25"/>
        <item x="16"/>
        <item x="0"/>
        <item x="15"/>
        <item x="12"/>
        <item x="30"/>
        <item t="default"/>
      </items>
    </pivotField>
    <pivotField compact="0" showAll="0">
      <items count="32">
        <item x="10"/>
        <item x="7"/>
        <item x="5"/>
        <item x="24"/>
        <item x="6"/>
        <item x="8"/>
        <item x="3"/>
        <item x="18"/>
        <item x="9"/>
        <item x="27"/>
        <item x="2"/>
        <item x="19"/>
        <item x="23"/>
        <item x="26"/>
        <item x="21"/>
        <item x="14"/>
        <item x="17"/>
        <item x="4"/>
        <item x="20"/>
        <item x="13"/>
        <item x="22"/>
        <item x="28"/>
        <item x="1"/>
        <item x="29"/>
        <item x="11"/>
        <item x="25"/>
        <item x="16"/>
        <item x="0"/>
        <item x="15"/>
        <item x="12"/>
        <item x="30"/>
        <item t="default"/>
      </items>
    </pivotField>
    <pivotField compact="0" showAll="0">
      <items count="11">
        <item x="2"/>
        <item x="3"/>
        <item x="1"/>
        <item x="5"/>
        <item x="6"/>
        <item x="4"/>
        <item x="7"/>
        <item x="8"/>
        <item x="9"/>
        <item x="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提成" fld="12" baseField="0" baseItem="0"/>
    <dataField name="求和项:销售数量" fld="10" baseField="0" baseItem="0"/>
  </dataFields>
  <formats count="15">
    <format dxfId="0">
      <pivotArea dataOnly="0" labelOnly="1" fieldPosition="0">
        <references count="1">
          <reference field="7" count="1">
            <x v="1"/>
          </reference>
        </references>
      </pivotArea>
    </format>
    <format dxfId="1">
      <pivotArea collapsedLevelsAreSubtotals="1" fieldPosition="0">
        <references count="1">
          <reference field="7" count="1" selected="0">
            <x v="1"/>
          </reference>
        </references>
      </pivotArea>
    </format>
    <format dxfId="2">
      <pivotArea dataOnly="0" labelOnly="1" fieldPosition="0">
        <references count="1">
          <reference field="7" count="1">
            <x v="3"/>
          </reference>
        </references>
      </pivotArea>
    </format>
    <format dxfId="3">
      <pivotArea dataOnly="0" labelOnly="1" fieldPosition="0">
        <references count="1">
          <reference field="7" count="1">
            <x v="4"/>
          </reference>
        </references>
      </pivotArea>
    </format>
    <format dxfId="4">
      <pivotArea collapsedLevelsAreSubtotals="1" fieldPosition="0">
        <references count="1">
          <reference field="7" count="1" selected="0">
            <x v="3"/>
          </reference>
        </references>
      </pivotArea>
    </format>
    <format dxfId="5">
      <pivotArea collapsedLevelsAreSubtotals="1" fieldPosition="0">
        <references count="1">
          <reference field="7" count="1" selected="0">
            <x v="4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collapsedLevelsAreSubtotals="1" fieldPosition="0">
        <references count="2">
          <reference field="7" count="1" selected="0">
            <x v="0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7" count="1" selected="0">
            <x v="1"/>
          </reference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2">
          <reference field="7" count="1" selected="0">
            <x v="2"/>
          </reference>
          <reference field="4294967294" count="1" selected="0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2">
          <reference field="7" count="1" selected="0">
            <x v="0"/>
          </reference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2">
          <reference field="7" count="1" selected="0">
            <x v="1"/>
          </reference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2">
          <reference field="7" count="1" selected="0">
            <x v="2"/>
          </reference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2">
          <reference field="7" count="1" selected="0">
            <x v="3"/>
          </reference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opLeftCell="F1" workbookViewId="0">
      <selection activeCell="H8" sqref="H8"/>
    </sheetView>
  </sheetViews>
  <sheetFormatPr defaultColWidth="8.72727272727273" defaultRowHeight="14"/>
  <cols>
    <col min="1" max="1" width="10.6363636363636" customWidth="1"/>
    <col min="2" max="3" width="18.5454545454545" customWidth="1"/>
    <col min="4" max="4" width="9.54545454545454" customWidth="1"/>
    <col min="5" max="5" width="12.9090909090909" customWidth="1"/>
    <col min="6" max="6" width="9.54545454545454" customWidth="1"/>
    <col min="7" max="7" width="27.5454545454545" customWidth="1"/>
    <col min="8" max="8" width="7.54545454545455" customWidth="1"/>
    <col min="9" max="9" width="55.6363636363636" customWidth="1"/>
    <col min="10" max="10" width="15.1818181818182" customWidth="1"/>
    <col min="11" max="12" width="9.54545454545454" customWidth="1"/>
    <col min="13" max="13" width="7.54545454545455" customWidth="1"/>
    <col min="14" max="14" width="9.5454545454545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>
        <v>8167</v>
      </c>
      <c r="M2">
        <v>8167</v>
      </c>
      <c r="N2">
        <v>8167</v>
      </c>
    </row>
    <row r="3" spans="1:14">
      <c r="A3" t="s">
        <v>25</v>
      </c>
      <c r="B3" t="s">
        <v>16</v>
      </c>
      <c r="C3" t="s">
        <v>26</v>
      </c>
      <c r="D3" t="s">
        <v>27</v>
      </c>
      <c r="E3" t="s">
        <v>28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>
        <v>1</v>
      </c>
      <c r="L3">
        <v>4592</v>
      </c>
      <c r="M3">
        <v>4592</v>
      </c>
      <c r="N3">
        <v>4592</v>
      </c>
    </row>
    <row r="4" spans="1:14">
      <c r="A4" t="s">
        <v>32</v>
      </c>
      <c r="B4" t="s">
        <v>16</v>
      </c>
      <c r="C4" t="s">
        <v>33</v>
      </c>
      <c r="D4" t="s">
        <v>34</v>
      </c>
      <c r="E4" t="s">
        <v>35</v>
      </c>
      <c r="F4" t="s">
        <v>20</v>
      </c>
      <c r="G4" t="s">
        <v>21</v>
      </c>
      <c r="H4" t="s">
        <v>22</v>
      </c>
      <c r="I4" t="s">
        <v>36</v>
      </c>
      <c r="J4" t="s">
        <v>37</v>
      </c>
      <c r="K4">
        <v>1</v>
      </c>
      <c r="L4">
        <v>3127</v>
      </c>
      <c r="M4">
        <v>3127</v>
      </c>
      <c r="N4">
        <v>3127</v>
      </c>
    </row>
    <row r="5" spans="1:14">
      <c r="A5" t="s">
        <v>38</v>
      </c>
      <c r="B5" t="s">
        <v>16</v>
      </c>
      <c r="C5" t="s">
        <v>39</v>
      </c>
      <c r="D5" t="s">
        <v>40</v>
      </c>
      <c r="E5" t="s">
        <v>41</v>
      </c>
      <c r="F5" t="s">
        <v>20</v>
      </c>
      <c r="G5" t="s">
        <v>21</v>
      </c>
      <c r="H5" t="s">
        <v>22</v>
      </c>
      <c r="I5" t="s">
        <v>42</v>
      </c>
      <c r="J5" t="s">
        <v>43</v>
      </c>
      <c r="K5">
        <v>1</v>
      </c>
      <c r="L5">
        <v>2038</v>
      </c>
      <c r="M5">
        <v>2038</v>
      </c>
      <c r="N5">
        <v>2038</v>
      </c>
    </row>
    <row r="6" spans="1:14">
      <c r="A6" t="s">
        <v>38</v>
      </c>
      <c r="B6" t="s">
        <v>16</v>
      </c>
      <c r="C6" t="s">
        <v>44</v>
      </c>
      <c r="D6" t="s">
        <v>40</v>
      </c>
      <c r="E6" t="s">
        <v>41</v>
      </c>
      <c r="F6" t="s">
        <v>20</v>
      </c>
      <c r="G6" t="s">
        <v>21</v>
      </c>
      <c r="H6" t="s">
        <v>22</v>
      </c>
      <c r="I6" t="s">
        <v>45</v>
      </c>
      <c r="J6" t="s">
        <v>46</v>
      </c>
      <c r="K6">
        <v>1</v>
      </c>
      <c r="L6">
        <v>4078</v>
      </c>
      <c r="M6">
        <v>4078</v>
      </c>
      <c r="N6">
        <v>4078</v>
      </c>
    </row>
    <row r="7" spans="1:14">
      <c r="A7" t="s">
        <v>38</v>
      </c>
      <c r="B7" t="s">
        <v>16</v>
      </c>
      <c r="C7" t="s">
        <v>47</v>
      </c>
      <c r="D7" t="s">
        <v>40</v>
      </c>
      <c r="E7" t="s">
        <v>41</v>
      </c>
      <c r="F7" t="s">
        <v>20</v>
      </c>
      <c r="G7" t="s">
        <v>21</v>
      </c>
      <c r="H7" t="s">
        <v>22</v>
      </c>
      <c r="I7" t="s">
        <v>48</v>
      </c>
      <c r="J7" t="s">
        <v>49</v>
      </c>
      <c r="K7">
        <v>1</v>
      </c>
      <c r="L7">
        <v>868</v>
      </c>
      <c r="M7">
        <v>868</v>
      </c>
      <c r="N7">
        <v>868</v>
      </c>
    </row>
    <row r="8" spans="1:15">
      <c r="A8" t="s">
        <v>38</v>
      </c>
      <c r="B8" t="s">
        <v>50</v>
      </c>
      <c r="C8" t="s">
        <v>51</v>
      </c>
      <c r="D8" t="s">
        <v>40</v>
      </c>
      <c r="E8" t="s">
        <v>41</v>
      </c>
      <c r="F8" t="s">
        <v>20</v>
      </c>
      <c r="G8" t="s">
        <v>21</v>
      </c>
      <c r="H8" t="s">
        <v>22</v>
      </c>
      <c r="I8" t="s">
        <v>42</v>
      </c>
      <c r="J8" t="s">
        <v>43</v>
      </c>
      <c r="K8">
        <v>-1</v>
      </c>
      <c r="L8">
        <v>-2038</v>
      </c>
      <c r="M8">
        <v>2038</v>
      </c>
      <c r="N8">
        <v>2038</v>
      </c>
      <c r="O8" t="s">
        <v>52</v>
      </c>
    </row>
    <row r="9" spans="1:15">
      <c r="A9" t="s">
        <v>38</v>
      </c>
      <c r="B9" t="s">
        <v>50</v>
      </c>
      <c r="C9" t="s">
        <v>53</v>
      </c>
      <c r="D9" t="s">
        <v>40</v>
      </c>
      <c r="E9" t="s">
        <v>41</v>
      </c>
      <c r="F9" t="s">
        <v>20</v>
      </c>
      <c r="G9" t="s">
        <v>21</v>
      </c>
      <c r="H9" t="s">
        <v>22</v>
      </c>
      <c r="I9" t="s">
        <v>45</v>
      </c>
      <c r="J9" t="s">
        <v>46</v>
      </c>
      <c r="K9">
        <v>-1</v>
      </c>
      <c r="L9">
        <v>-4078</v>
      </c>
      <c r="M9">
        <v>4078</v>
      </c>
      <c r="N9">
        <v>4078</v>
      </c>
      <c r="O9" t="s">
        <v>54</v>
      </c>
    </row>
    <row r="10" spans="1:15">
      <c r="A10" t="s">
        <v>38</v>
      </c>
      <c r="B10" t="s">
        <v>50</v>
      </c>
      <c r="C10" t="s">
        <v>55</v>
      </c>
      <c r="D10" t="s">
        <v>40</v>
      </c>
      <c r="E10" t="s">
        <v>41</v>
      </c>
      <c r="F10" t="s">
        <v>20</v>
      </c>
      <c r="G10" t="s">
        <v>21</v>
      </c>
      <c r="H10" t="s">
        <v>22</v>
      </c>
      <c r="I10" t="s">
        <v>48</v>
      </c>
      <c r="J10" t="s">
        <v>49</v>
      </c>
      <c r="K10">
        <v>-1</v>
      </c>
      <c r="L10">
        <v>-868</v>
      </c>
      <c r="M10">
        <v>868</v>
      </c>
      <c r="N10">
        <v>868</v>
      </c>
      <c r="O10" t="s">
        <v>56</v>
      </c>
    </row>
    <row r="11" spans="1:15">
      <c r="A11" t="s">
        <v>57</v>
      </c>
      <c r="B11" t="s">
        <v>16</v>
      </c>
      <c r="C11" t="s">
        <v>58</v>
      </c>
      <c r="D11" t="s">
        <v>59</v>
      </c>
      <c r="E11" t="s">
        <v>60</v>
      </c>
      <c r="F11" t="s">
        <v>20</v>
      </c>
      <c r="G11" t="s">
        <v>21</v>
      </c>
      <c r="H11" t="s">
        <v>22</v>
      </c>
      <c r="I11" t="s">
        <v>61</v>
      </c>
      <c r="J11" t="s">
        <v>62</v>
      </c>
      <c r="K11">
        <v>1</v>
      </c>
      <c r="L11">
        <v>1970</v>
      </c>
      <c r="M11">
        <v>1970</v>
      </c>
      <c r="N11">
        <v>1970</v>
      </c>
      <c r="O11" t="s">
        <v>63</v>
      </c>
    </row>
    <row r="12" spans="1:14">
      <c r="A12" t="s">
        <v>64</v>
      </c>
      <c r="B12" t="s">
        <v>16</v>
      </c>
      <c r="C12" t="s">
        <v>65</v>
      </c>
      <c r="D12" t="s">
        <v>66</v>
      </c>
      <c r="E12" t="s">
        <v>67</v>
      </c>
      <c r="F12" t="s">
        <v>20</v>
      </c>
      <c r="G12" t="s">
        <v>21</v>
      </c>
      <c r="H12" t="s">
        <v>68</v>
      </c>
      <c r="I12" t="s">
        <v>69</v>
      </c>
      <c r="J12" t="s">
        <v>70</v>
      </c>
      <c r="K12">
        <v>1</v>
      </c>
      <c r="L12">
        <v>790</v>
      </c>
      <c r="M12">
        <v>790</v>
      </c>
      <c r="N12">
        <v>790</v>
      </c>
    </row>
    <row r="13" spans="1:14">
      <c r="A13" t="s">
        <v>57</v>
      </c>
      <c r="B13" t="s">
        <v>16</v>
      </c>
      <c r="C13" t="s">
        <v>71</v>
      </c>
      <c r="D13" t="s">
        <v>72</v>
      </c>
      <c r="E13" t="s">
        <v>73</v>
      </c>
      <c r="F13" t="s">
        <v>20</v>
      </c>
      <c r="G13" t="s">
        <v>21</v>
      </c>
      <c r="H13" t="s">
        <v>29</v>
      </c>
      <c r="I13" t="s">
        <v>74</v>
      </c>
      <c r="J13" t="s">
        <v>75</v>
      </c>
      <c r="K13">
        <v>1</v>
      </c>
      <c r="L13">
        <v>2014</v>
      </c>
      <c r="M13">
        <v>2014</v>
      </c>
      <c r="N13">
        <v>2014</v>
      </c>
    </row>
    <row r="14" spans="1:14">
      <c r="A14" t="s">
        <v>57</v>
      </c>
      <c r="B14" t="s">
        <v>16</v>
      </c>
      <c r="C14" t="s">
        <v>76</v>
      </c>
      <c r="D14" t="s">
        <v>77</v>
      </c>
      <c r="E14" t="s">
        <v>78</v>
      </c>
      <c r="F14" t="s">
        <v>20</v>
      </c>
      <c r="G14" t="s">
        <v>21</v>
      </c>
      <c r="H14" t="s">
        <v>22</v>
      </c>
      <c r="I14" t="s">
        <v>79</v>
      </c>
      <c r="J14" t="s">
        <v>80</v>
      </c>
      <c r="K14">
        <v>1</v>
      </c>
      <c r="L14">
        <v>2551</v>
      </c>
      <c r="M14">
        <v>2551</v>
      </c>
      <c r="N14">
        <v>2551</v>
      </c>
    </row>
    <row r="15" spans="1:14">
      <c r="A15" t="s">
        <v>81</v>
      </c>
      <c r="B15" t="s">
        <v>16</v>
      </c>
      <c r="C15" t="s">
        <v>82</v>
      </c>
      <c r="D15" t="s">
        <v>83</v>
      </c>
      <c r="E15" t="s">
        <v>84</v>
      </c>
      <c r="F15" t="s">
        <v>20</v>
      </c>
      <c r="G15" t="s">
        <v>21</v>
      </c>
      <c r="H15" t="s">
        <v>22</v>
      </c>
      <c r="I15" t="s">
        <v>85</v>
      </c>
      <c r="J15" t="s">
        <v>86</v>
      </c>
      <c r="K15">
        <v>1</v>
      </c>
      <c r="L15">
        <v>729</v>
      </c>
      <c r="M15">
        <v>729</v>
      </c>
      <c r="N15">
        <v>729</v>
      </c>
    </row>
    <row r="16" spans="1:15">
      <c r="A16" t="s">
        <v>87</v>
      </c>
      <c r="B16" t="s">
        <v>50</v>
      </c>
      <c r="C16" t="s">
        <v>88</v>
      </c>
      <c r="D16" t="s">
        <v>89</v>
      </c>
      <c r="E16" t="s">
        <v>90</v>
      </c>
      <c r="F16" t="s">
        <v>20</v>
      </c>
      <c r="G16" t="s">
        <v>21</v>
      </c>
      <c r="H16" t="s">
        <v>22</v>
      </c>
      <c r="I16" t="s">
        <v>91</v>
      </c>
      <c r="J16" t="s">
        <v>92</v>
      </c>
      <c r="K16">
        <v>-1</v>
      </c>
      <c r="L16">
        <v>-4900</v>
      </c>
      <c r="M16">
        <v>4900</v>
      </c>
      <c r="N16">
        <v>4900</v>
      </c>
      <c r="O16" t="s">
        <v>93</v>
      </c>
    </row>
    <row r="17" spans="1:14">
      <c r="A17" t="s">
        <v>94</v>
      </c>
      <c r="B17" t="s">
        <v>16</v>
      </c>
      <c r="C17" t="s">
        <v>95</v>
      </c>
      <c r="D17" t="s">
        <v>96</v>
      </c>
      <c r="E17" t="s">
        <v>97</v>
      </c>
      <c r="F17" t="s">
        <v>20</v>
      </c>
      <c r="G17" t="s">
        <v>21</v>
      </c>
      <c r="H17" t="s">
        <v>22</v>
      </c>
      <c r="I17" t="s">
        <v>98</v>
      </c>
      <c r="J17" t="s">
        <v>99</v>
      </c>
      <c r="K17">
        <v>1</v>
      </c>
      <c r="L17">
        <v>12345</v>
      </c>
      <c r="M17">
        <v>12345</v>
      </c>
      <c r="N17">
        <v>12345</v>
      </c>
    </row>
    <row r="18" spans="1:14">
      <c r="A18" t="s">
        <v>94</v>
      </c>
      <c r="B18" t="s">
        <v>16</v>
      </c>
      <c r="C18" t="s">
        <v>100</v>
      </c>
      <c r="D18" t="s">
        <v>101</v>
      </c>
      <c r="E18" t="s">
        <v>102</v>
      </c>
      <c r="F18" t="s">
        <v>20</v>
      </c>
      <c r="G18" t="s">
        <v>21</v>
      </c>
      <c r="H18" t="s">
        <v>29</v>
      </c>
      <c r="I18" t="s">
        <v>103</v>
      </c>
      <c r="J18" t="s">
        <v>104</v>
      </c>
      <c r="K18">
        <v>1</v>
      </c>
      <c r="L18">
        <v>4361</v>
      </c>
      <c r="M18">
        <v>4361</v>
      </c>
      <c r="N18">
        <v>4361</v>
      </c>
    </row>
    <row r="19" spans="1:14">
      <c r="A19" t="s">
        <v>105</v>
      </c>
      <c r="B19" t="s">
        <v>16</v>
      </c>
      <c r="C19" t="s">
        <v>106</v>
      </c>
      <c r="D19" t="s">
        <v>107</v>
      </c>
      <c r="E19" t="s">
        <v>108</v>
      </c>
      <c r="F19" t="s">
        <v>20</v>
      </c>
      <c r="G19" t="s">
        <v>21</v>
      </c>
      <c r="H19" t="s">
        <v>22</v>
      </c>
      <c r="I19" t="s">
        <v>109</v>
      </c>
      <c r="J19" t="s">
        <v>110</v>
      </c>
      <c r="K19">
        <v>1</v>
      </c>
      <c r="L19">
        <v>3691</v>
      </c>
      <c r="M19">
        <v>3691</v>
      </c>
      <c r="N19">
        <v>3691</v>
      </c>
    </row>
    <row r="20" spans="1:14">
      <c r="A20" t="s">
        <v>111</v>
      </c>
      <c r="B20" t="s">
        <v>16</v>
      </c>
      <c r="C20" t="s">
        <v>112</v>
      </c>
      <c r="D20" t="s">
        <v>113</v>
      </c>
      <c r="E20" t="s">
        <v>114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>
        <v>1</v>
      </c>
      <c r="L20">
        <v>8438</v>
      </c>
      <c r="M20">
        <v>8438</v>
      </c>
      <c r="N20">
        <v>8438</v>
      </c>
    </row>
    <row r="21" spans="1:14">
      <c r="A21" t="s">
        <v>118</v>
      </c>
      <c r="B21" t="s">
        <v>16</v>
      </c>
      <c r="C21" t="s">
        <v>119</v>
      </c>
      <c r="D21" t="s">
        <v>120</v>
      </c>
      <c r="E21" t="s">
        <v>121</v>
      </c>
      <c r="F21" t="s">
        <v>20</v>
      </c>
      <c r="G21" t="s">
        <v>21</v>
      </c>
      <c r="H21" t="s">
        <v>22</v>
      </c>
      <c r="I21" t="s">
        <v>122</v>
      </c>
      <c r="J21" t="s">
        <v>123</v>
      </c>
      <c r="K21">
        <v>1</v>
      </c>
      <c r="L21">
        <v>5705</v>
      </c>
      <c r="M21">
        <v>5705</v>
      </c>
      <c r="N21">
        <v>5705</v>
      </c>
    </row>
    <row r="22" spans="1:14">
      <c r="A22" t="s">
        <v>118</v>
      </c>
      <c r="B22" t="s">
        <v>16</v>
      </c>
      <c r="C22" t="s">
        <v>124</v>
      </c>
      <c r="D22" t="s">
        <v>125</v>
      </c>
      <c r="E22" t="s">
        <v>126</v>
      </c>
      <c r="F22" t="s">
        <v>20</v>
      </c>
      <c r="G22" t="s">
        <v>21</v>
      </c>
      <c r="H22" t="s">
        <v>22</v>
      </c>
      <c r="I22" t="s">
        <v>127</v>
      </c>
      <c r="J22" t="s">
        <v>128</v>
      </c>
      <c r="K22">
        <v>1</v>
      </c>
      <c r="L22">
        <v>3882</v>
      </c>
      <c r="M22">
        <v>3882</v>
      </c>
      <c r="N22">
        <v>3882</v>
      </c>
    </row>
    <row r="23" spans="1:14">
      <c r="A23" t="s">
        <v>118</v>
      </c>
      <c r="B23" t="s">
        <v>16</v>
      </c>
      <c r="C23" t="s">
        <v>129</v>
      </c>
      <c r="D23" t="s">
        <v>125</v>
      </c>
      <c r="E23" t="s">
        <v>126</v>
      </c>
      <c r="F23" t="s">
        <v>20</v>
      </c>
      <c r="G23" t="s">
        <v>21</v>
      </c>
      <c r="H23" t="s">
        <v>22</v>
      </c>
      <c r="I23" t="s">
        <v>130</v>
      </c>
      <c r="J23" t="s">
        <v>131</v>
      </c>
      <c r="K23">
        <v>1</v>
      </c>
      <c r="L23">
        <v>2379</v>
      </c>
      <c r="M23">
        <v>2379</v>
      </c>
      <c r="N23">
        <v>2379</v>
      </c>
    </row>
    <row r="24" spans="1:14">
      <c r="A24" t="s">
        <v>118</v>
      </c>
      <c r="B24" t="s">
        <v>16</v>
      </c>
      <c r="C24" t="s">
        <v>132</v>
      </c>
      <c r="D24" t="s">
        <v>125</v>
      </c>
      <c r="E24" t="s">
        <v>126</v>
      </c>
      <c r="F24" t="s">
        <v>20</v>
      </c>
      <c r="G24" t="s">
        <v>21</v>
      </c>
      <c r="H24" t="s">
        <v>22</v>
      </c>
      <c r="I24" t="s">
        <v>133</v>
      </c>
      <c r="J24" t="s">
        <v>134</v>
      </c>
      <c r="K24">
        <v>1</v>
      </c>
      <c r="L24">
        <v>3314</v>
      </c>
      <c r="M24">
        <v>3314</v>
      </c>
      <c r="N24">
        <v>3314</v>
      </c>
    </row>
    <row r="25" spans="1:14">
      <c r="A25" t="s">
        <v>118</v>
      </c>
      <c r="B25" t="s">
        <v>16</v>
      </c>
      <c r="C25" t="s">
        <v>135</v>
      </c>
      <c r="D25" t="s">
        <v>136</v>
      </c>
      <c r="E25" t="s">
        <v>137</v>
      </c>
      <c r="F25" t="s">
        <v>20</v>
      </c>
      <c r="G25" t="s">
        <v>21</v>
      </c>
      <c r="H25" t="s">
        <v>22</v>
      </c>
      <c r="I25" t="s">
        <v>79</v>
      </c>
      <c r="J25" t="s">
        <v>80</v>
      </c>
      <c r="K25">
        <v>1</v>
      </c>
      <c r="L25">
        <v>2551</v>
      </c>
      <c r="M25">
        <v>2551</v>
      </c>
      <c r="N25">
        <v>2551</v>
      </c>
    </row>
    <row r="26" spans="1:14">
      <c r="A26" t="s">
        <v>118</v>
      </c>
      <c r="B26" t="s">
        <v>16</v>
      </c>
      <c r="C26" t="s">
        <v>138</v>
      </c>
      <c r="D26" t="s">
        <v>139</v>
      </c>
      <c r="E26" t="s">
        <v>140</v>
      </c>
      <c r="F26" t="s">
        <v>20</v>
      </c>
      <c r="G26" t="s">
        <v>21</v>
      </c>
      <c r="H26" t="s">
        <v>141</v>
      </c>
      <c r="I26" t="s">
        <v>133</v>
      </c>
      <c r="J26" t="s">
        <v>134</v>
      </c>
      <c r="K26">
        <v>1</v>
      </c>
      <c r="L26">
        <v>3314</v>
      </c>
      <c r="M26">
        <v>3314</v>
      </c>
      <c r="N26">
        <v>3314</v>
      </c>
    </row>
    <row r="27" spans="1:14">
      <c r="A27" t="s">
        <v>118</v>
      </c>
      <c r="B27" t="s">
        <v>16</v>
      </c>
      <c r="C27" t="s">
        <v>142</v>
      </c>
      <c r="D27" t="s">
        <v>143</v>
      </c>
      <c r="E27" t="s">
        <v>144</v>
      </c>
      <c r="F27" t="s">
        <v>20</v>
      </c>
      <c r="G27" t="s">
        <v>21</v>
      </c>
      <c r="H27" t="s">
        <v>22</v>
      </c>
      <c r="I27" t="s">
        <v>103</v>
      </c>
      <c r="J27" t="s">
        <v>104</v>
      </c>
      <c r="K27">
        <v>1</v>
      </c>
      <c r="L27">
        <v>4361</v>
      </c>
      <c r="M27">
        <v>4361</v>
      </c>
      <c r="N27">
        <v>4361</v>
      </c>
    </row>
    <row r="28" spans="1:14">
      <c r="A28" t="s">
        <v>145</v>
      </c>
      <c r="B28" t="s">
        <v>16</v>
      </c>
      <c r="C28" t="s">
        <v>146</v>
      </c>
      <c r="D28" t="s">
        <v>147</v>
      </c>
      <c r="E28" t="s">
        <v>148</v>
      </c>
      <c r="F28" t="s">
        <v>20</v>
      </c>
      <c r="G28" t="s">
        <v>21</v>
      </c>
      <c r="H28" t="s">
        <v>29</v>
      </c>
      <c r="I28" t="s">
        <v>127</v>
      </c>
      <c r="J28" t="s">
        <v>128</v>
      </c>
      <c r="K28">
        <v>1</v>
      </c>
      <c r="L28">
        <v>3882</v>
      </c>
      <c r="M28">
        <v>3882</v>
      </c>
      <c r="N28">
        <v>3882</v>
      </c>
    </row>
    <row r="29" spans="1:14">
      <c r="A29" t="s">
        <v>145</v>
      </c>
      <c r="B29" t="s">
        <v>16</v>
      </c>
      <c r="C29" t="s">
        <v>149</v>
      </c>
      <c r="D29" t="s">
        <v>150</v>
      </c>
      <c r="E29" t="s">
        <v>151</v>
      </c>
      <c r="F29" t="s">
        <v>20</v>
      </c>
      <c r="G29" t="s">
        <v>21</v>
      </c>
      <c r="H29" t="s">
        <v>22</v>
      </c>
      <c r="I29" t="s">
        <v>122</v>
      </c>
      <c r="J29" t="s">
        <v>123</v>
      </c>
      <c r="K29">
        <v>1</v>
      </c>
      <c r="L29">
        <v>5705</v>
      </c>
      <c r="M29">
        <v>5705</v>
      </c>
      <c r="N29">
        <v>5705</v>
      </c>
    </row>
    <row r="30" spans="1:14">
      <c r="A30" t="s">
        <v>145</v>
      </c>
      <c r="B30" t="s">
        <v>16</v>
      </c>
      <c r="C30" t="s">
        <v>152</v>
      </c>
      <c r="D30" t="s">
        <v>153</v>
      </c>
      <c r="E30" t="s">
        <v>154</v>
      </c>
      <c r="F30" t="s">
        <v>20</v>
      </c>
      <c r="G30" t="s">
        <v>21</v>
      </c>
      <c r="H30" t="s">
        <v>22</v>
      </c>
      <c r="I30" t="s">
        <v>155</v>
      </c>
      <c r="J30" t="s">
        <v>156</v>
      </c>
      <c r="K30">
        <v>1</v>
      </c>
      <c r="L30">
        <v>4346</v>
      </c>
      <c r="M30">
        <v>4346</v>
      </c>
      <c r="N30">
        <v>4346</v>
      </c>
    </row>
    <row r="31" spans="1:14">
      <c r="A31" t="s">
        <v>105</v>
      </c>
      <c r="B31" t="s">
        <v>16</v>
      </c>
      <c r="C31" t="s">
        <v>157</v>
      </c>
      <c r="D31" t="s">
        <v>158</v>
      </c>
      <c r="E31" t="s">
        <v>159</v>
      </c>
      <c r="F31" t="s">
        <v>20</v>
      </c>
      <c r="G31" t="s">
        <v>21</v>
      </c>
      <c r="H31" t="s">
        <v>141</v>
      </c>
      <c r="I31" t="s">
        <v>160</v>
      </c>
      <c r="J31" t="s">
        <v>161</v>
      </c>
      <c r="K31">
        <v>1</v>
      </c>
      <c r="L31">
        <v>3616</v>
      </c>
      <c r="M31">
        <v>3616</v>
      </c>
      <c r="N31">
        <v>3616</v>
      </c>
    </row>
    <row r="32" spans="1:14">
      <c r="A32" t="s">
        <v>145</v>
      </c>
      <c r="B32" t="s">
        <v>16</v>
      </c>
      <c r="C32" t="s">
        <v>162</v>
      </c>
      <c r="D32" t="s">
        <v>163</v>
      </c>
      <c r="E32" t="s">
        <v>164</v>
      </c>
      <c r="F32" t="s">
        <v>20</v>
      </c>
      <c r="G32" t="s">
        <v>21</v>
      </c>
      <c r="H32" t="s">
        <v>141</v>
      </c>
      <c r="I32" t="s">
        <v>165</v>
      </c>
      <c r="J32" t="s">
        <v>166</v>
      </c>
      <c r="K32">
        <v>1</v>
      </c>
      <c r="L32">
        <v>4578</v>
      </c>
      <c r="M32">
        <v>4578</v>
      </c>
      <c r="N32">
        <v>4578</v>
      </c>
    </row>
    <row r="33" spans="1:14">
      <c r="A33" t="s">
        <v>145</v>
      </c>
      <c r="B33" t="s">
        <v>16</v>
      </c>
      <c r="C33" t="s">
        <v>167</v>
      </c>
      <c r="D33" t="s">
        <v>168</v>
      </c>
      <c r="E33" t="s">
        <v>169</v>
      </c>
      <c r="F33" t="s">
        <v>20</v>
      </c>
      <c r="G33" t="s">
        <v>21</v>
      </c>
      <c r="H33" t="s">
        <v>29</v>
      </c>
      <c r="I33" t="s">
        <v>170</v>
      </c>
      <c r="J33" t="s">
        <v>171</v>
      </c>
      <c r="K33">
        <v>1</v>
      </c>
      <c r="L33">
        <v>3413</v>
      </c>
      <c r="M33">
        <v>3413</v>
      </c>
      <c r="N33">
        <v>3413</v>
      </c>
    </row>
    <row r="34" spans="1:14">
      <c r="A34" t="s">
        <v>145</v>
      </c>
      <c r="B34" t="s">
        <v>16</v>
      </c>
      <c r="C34" t="s">
        <v>172</v>
      </c>
      <c r="D34" t="s">
        <v>173</v>
      </c>
      <c r="E34" t="s">
        <v>174</v>
      </c>
      <c r="F34" t="s">
        <v>20</v>
      </c>
      <c r="G34" t="s">
        <v>21</v>
      </c>
      <c r="H34" t="s">
        <v>141</v>
      </c>
      <c r="I34" t="s">
        <v>175</v>
      </c>
      <c r="J34" t="s">
        <v>176</v>
      </c>
      <c r="K34">
        <v>1</v>
      </c>
      <c r="L34">
        <v>1839</v>
      </c>
      <c r="M34">
        <v>1839</v>
      </c>
      <c r="N34">
        <v>1839</v>
      </c>
    </row>
    <row r="35" spans="1:14">
      <c r="A35" t="s">
        <v>145</v>
      </c>
      <c r="B35" t="s">
        <v>16</v>
      </c>
      <c r="C35" t="s">
        <v>177</v>
      </c>
      <c r="D35" t="s">
        <v>173</v>
      </c>
      <c r="E35" t="s">
        <v>174</v>
      </c>
      <c r="F35" t="s">
        <v>20</v>
      </c>
      <c r="G35" t="s">
        <v>21</v>
      </c>
      <c r="H35" t="s">
        <v>141</v>
      </c>
      <c r="I35" t="s">
        <v>127</v>
      </c>
      <c r="J35" t="s">
        <v>128</v>
      </c>
      <c r="K35">
        <v>1</v>
      </c>
      <c r="L35">
        <v>3882</v>
      </c>
      <c r="M35">
        <v>3882</v>
      </c>
      <c r="N35">
        <v>3882</v>
      </c>
    </row>
    <row r="36" spans="1:14">
      <c r="A36" t="s">
        <v>145</v>
      </c>
      <c r="B36" t="s">
        <v>16</v>
      </c>
      <c r="C36" t="s">
        <v>178</v>
      </c>
      <c r="D36" t="s">
        <v>179</v>
      </c>
      <c r="E36" t="s">
        <v>180</v>
      </c>
      <c r="F36" t="s">
        <v>20</v>
      </c>
      <c r="G36" t="s">
        <v>21</v>
      </c>
      <c r="H36" t="s">
        <v>22</v>
      </c>
      <c r="I36" t="s">
        <v>181</v>
      </c>
      <c r="J36" t="s">
        <v>182</v>
      </c>
      <c r="K36">
        <v>1</v>
      </c>
      <c r="L36">
        <v>5185</v>
      </c>
      <c r="M36">
        <v>5185</v>
      </c>
      <c r="N36">
        <v>5185</v>
      </c>
    </row>
    <row r="37" spans="1:14">
      <c r="A37" t="s">
        <v>183</v>
      </c>
      <c r="B37" t="s">
        <v>16</v>
      </c>
      <c r="C37" t="s">
        <v>184</v>
      </c>
      <c r="D37" t="s">
        <v>185</v>
      </c>
      <c r="E37" t="s">
        <v>186</v>
      </c>
      <c r="F37" t="s">
        <v>20</v>
      </c>
      <c r="G37" t="s">
        <v>21</v>
      </c>
      <c r="H37" t="s">
        <v>141</v>
      </c>
      <c r="I37" t="s">
        <v>69</v>
      </c>
      <c r="J37" t="s">
        <v>70</v>
      </c>
      <c r="K37">
        <v>1</v>
      </c>
      <c r="L37">
        <v>790</v>
      </c>
      <c r="M37">
        <v>790</v>
      </c>
      <c r="N37">
        <v>790</v>
      </c>
    </row>
    <row r="38" spans="1:14">
      <c r="A38" t="s">
        <v>183</v>
      </c>
      <c r="B38" t="s">
        <v>16</v>
      </c>
      <c r="C38" t="s">
        <v>187</v>
      </c>
      <c r="D38" t="s">
        <v>188</v>
      </c>
      <c r="E38" t="s">
        <v>189</v>
      </c>
      <c r="F38" t="s">
        <v>20</v>
      </c>
      <c r="G38" t="s">
        <v>21</v>
      </c>
      <c r="H38" t="s">
        <v>29</v>
      </c>
      <c r="I38" t="s">
        <v>133</v>
      </c>
      <c r="J38" t="s">
        <v>134</v>
      </c>
      <c r="K38">
        <v>1</v>
      </c>
      <c r="L38">
        <v>3488</v>
      </c>
      <c r="M38">
        <v>3488</v>
      </c>
      <c r="N38">
        <v>3488</v>
      </c>
    </row>
    <row r="39" spans="1:14">
      <c r="A39" t="s">
        <v>190</v>
      </c>
      <c r="B39" t="s">
        <v>16</v>
      </c>
      <c r="C39" t="s">
        <v>191</v>
      </c>
      <c r="D39" t="s">
        <v>192</v>
      </c>
      <c r="E39" t="s">
        <v>193</v>
      </c>
      <c r="F39" t="s">
        <v>20</v>
      </c>
      <c r="G39" t="s">
        <v>21</v>
      </c>
      <c r="H39" t="s">
        <v>141</v>
      </c>
      <c r="I39" t="s">
        <v>79</v>
      </c>
      <c r="J39" t="s">
        <v>80</v>
      </c>
      <c r="K39">
        <v>1</v>
      </c>
      <c r="L39">
        <v>2685</v>
      </c>
      <c r="M39">
        <v>2685</v>
      </c>
      <c r="N39">
        <v>2685</v>
      </c>
    </row>
    <row r="40" spans="1:14">
      <c r="A40" t="s">
        <v>194</v>
      </c>
      <c r="B40" t="s">
        <v>16</v>
      </c>
      <c r="C40" t="s">
        <v>195</v>
      </c>
      <c r="D40" t="s">
        <v>196</v>
      </c>
      <c r="E40" t="s">
        <v>197</v>
      </c>
      <c r="F40" t="s">
        <v>20</v>
      </c>
      <c r="G40" t="s">
        <v>21</v>
      </c>
      <c r="H40" t="s">
        <v>22</v>
      </c>
      <c r="I40" t="s">
        <v>130</v>
      </c>
      <c r="J40" t="s">
        <v>131</v>
      </c>
      <c r="K40">
        <v>1</v>
      </c>
      <c r="L40">
        <v>2379</v>
      </c>
      <c r="M40">
        <v>2379</v>
      </c>
      <c r="N40">
        <v>2379</v>
      </c>
    </row>
    <row r="41" spans="1:14">
      <c r="A41" t="s">
        <v>194</v>
      </c>
      <c r="B41" t="s">
        <v>16</v>
      </c>
      <c r="C41" t="s">
        <v>198</v>
      </c>
      <c r="D41" t="s">
        <v>196</v>
      </c>
      <c r="E41" t="s">
        <v>197</v>
      </c>
      <c r="F41" t="s">
        <v>20</v>
      </c>
      <c r="G41" t="s">
        <v>21</v>
      </c>
      <c r="H41" t="s">
        <v>22</v>
      </c>
      <c r="I41" t="s">
        <v>103</v>
      </c>
      <c r="J41" t="s">
        <v>104</v>
      </c>
      <c r="K41">
        <v>1</v>
      </c>
      <c r="L41">
        <v>4590</v>
      </c>
      <c r="M41">
        <v>4590</v>
      </c>
      <c r="N41">
        <v>4590</v>
      </c>
    </row>
    <row r="42" spans="1:14">
      <c r="A42" t="s">
        <v>199</v>
      </c>
      <c r="B42" t="s">
        <v>16</v>
      </c>
      <c r="C42" t="s">
        <v>200</v>
      </c>
      <c r="D42" t="s">
        <v>201</v>
      </c>
      <c r="E42" t="s">
        <v>202</v>
      </c>
      <c r="F42" t="s">
        <v>20</v>
      </c>
      <c r="G42" t="s">
        <v>21</v>
      </c>
      <c r="H42" t="s">
        <v>22</v>
      </c>
      <c r="I42" t="s">
        <v>133</v>
      </c>
      <c r="J42" t="s">
        <v>134</v>
      </c>
      <c r="K42">
        <v>1</v>
      </c>
      <c r="L42">
        <v>3488</v>
      </c>
      <c r="M42">
        <v>3488</v>
      </c>
      <c r="N42">
        <v>3488</v>
      </c>
    </row>
    <row r="43" spans="1:15">
      <c r="A43" t="s">
        <v>199</v>
      </c>
      <c r="B43" t="s">
        <v>50</v>
      </c>
      <c r="C43" t="s">
        <v>203</v>
      </c>
      <c r="D43" t="s">
        <v>204</v>
      </c>
      <c r="E43" t="s">
        <v>205</v>
      </c>
      <c r="F43" t="s">
        <v>20</v>
      </c>
      <c r="G43" t="s">
        <v>21</v>
      </c>
      <c r="H43" t="s">
        <v>22</v>
      </c>
      <c r="I43" t="s">
        <v>79</v>
      </c>
      <c r="J43" t="s">
        <v>80</v>
      </c>
      <c r="K43">
        <v>-1</v>
      </c>
      <c r="L43">
        <v>-2685</v>
      </c>
      <c r="M43">
        <v>2685</v>
      </c>
      <c r="N43">
        <v>2685</v>
      </c>
      <c r="O43" t="s">
        <v>206</v>
      </c>
    </row>
    <row r="44" spans="1:15">
      <c r="A44" t="s">
        <v>207</v>
      </c>
      <c r="B44" t="s">
        <v>16</v>
      </c>
      <c r="C44" t="s">
        <v>208</v>
      </c>
      <c r="D44" t="s">
        <v>209</v>
      </c>
      <c r="E44" t="s">
        <v>210</v>
      </c>
      <c r="F44" t="s">
        <v>20</v>
      </c>
      <c r="G44" t="s">
        <v>21</v>
      </c>
      <c r="H44" t="s">
        <v>141</v>
      </c>
      <c r="I44" t="s">
        <v>85</v>
      </c>
      <c r="J44" t="s">
        <v>86</v>
      </c>
      <c r="K44">
        <v>1</v>
      </c>
      <c r="L44">
        <v>729</v>
      </c>
      <c r="M44">
        <v>729</v>
      </c>
      <c r="N44">
        <v>729</v>
      </c>
      <c r="O44" t="s">
        <v>211</v>
      </c>
    </row>
    <row r="45" spans="1:15">
      <c r="A45" t="s">
        <v>207</v>
      </c>
      <c r="B45" t="s">
        <v>50</v>
      </c>
      <c r="C45" t="s">
        <v>212</v>
      </c>
      <c r="D45" t="s">
        <v>209</v>
      </c>
      <c r="E45" t="s">
        <v>210</v>
      </c>
      <c r="F45" t="s">
        <v>20</v>
      </c>
      <c r="G45" t="s">
        <v>21</v>
      </c>
      <c r="H45" t="s">
        <v>141</v>
      </c>
      <c r="I45" t="s">
        <v>85</v>
      </c>
      <c r="J45" t="s">
        <v>86</v>
      </c>
      <c r="K45">
        <v>-1</v>
      </c>
      <c r="L45">
        <v>-729</v>
      </c>
      <c r="M45">
        <v>729</v>
      </c>
      <c r="N45">
        <v>729</v>
      </c>
      <c r="O45" t="s">
        <v>213</v>
      </c>
    </row>
    <row r="46" spans="1:15">
      <c r="A46" t="s">
        <v>207</v>
      </c>
      <c r="B46" t="s">
        <v>16</v>
      </c>
      <c r="C46" t="s">
        <v>214</v>
      </c>
      <c r="D46" t="s">
        <v>215</v>
      </c>
      <c r="E46" t="s">
        <v>216</v>
      </c>
      <c r="F46" t="s">
        <v>20</v>
      </c>
      <c r="G46" t="s">
        <v>21</v>
      </c>
      <c r="H46" t="s">
        <v>22</v>
      </c>
      <c r="I46" t="s">
        <v>103</v>
      </c>
      <c r="J46" t="s">
        <v>104</v>
      </c>
      <c r="K46">
        <v>1</v>
      </c>
      <c r="L46">
        <v>4590</v>
      </c>
      <c r="M46">
        <v>4590</v>
      </c>
      <c r="N46">
        <v>4590</v>
      </c>
      <c r="O46" t="s">
        <v>211</v>
      </c>
    </row>
    <row r="47" spans="1:15">
      <c r="A47" t="s">
        <v>207</v>
      </c>
      <c r="B47" t="s">
        <v>50</v>
      </c>
      <c r="C47" t="s">
        <v>217</v>
      </c>
      <c r="D47" t="s">
        <v>215</v>
      </c>
      <c r="E47" t="s">
        <v>216</v>
      </c>
      <c r="F47" t="s">
        <v>20</v>
      </c>
      <c r="G47" t="s">
        <v>21</v>
      </c>
      <c r="H47" t="s">
        <v>22</v>
      </c>
      <c r="I47" t="s">
        <v>103</v>
      </c>
      <c r="J47" t="s">
        <v>104</v>
      </c>
      <c r="K47">
        <v>-1</v>
      </c>
      <c r="L47">
        <v>-4590</v>
      </c>
      <c r="M47">
        <v>4590</v>
      </c>
      <c r="N47">
        <v>4590</v>
      </c>
      <c r="O47" t="s">
        <v>213</v>
      </c>
    </row>
    <row r="48" spans="1:14">
      <c r="A48" t="s">
        <v>207</v>
      </c>
      <c r="B48" t="s">
        <v>16</v>
      </c>
      <c r="C48" t="s">
        <v>218</v>
      </c>
      <c r="D48" t="s">
        <v>219</v>
      </c>
      <c r="E48" t="s">
        <v>220</v>
      </c>
      <c r="F48" t="s">
        <v>20</v>
      </c>
      <c r="G48" t="s">
        <v>21</v>
      </c>
      <c r="H48" t="s">
        <v>141</v>
      </c>
      <c r="I48" t="s">
        <v>85</v>
      </c>
      <c r="J48" t="s">
        <v>86</v>
      </c>
      <c r="K48">
        <v>1</v>
      </c>
      <c r="L48">
        <v>729</v>
      </c>
      <c r="M48">
        <v>729</v>
      </c>
      <c r="N48">
        <v>729</v>
      </c>
    </row>
    <row r="49" spans="1:14">
      <c r="A49" t="s">
        <v>207</v>
      </c>
      <c r="B49" t="s">
        <v>16</v>
      </c>
      <c r="C49" t="s">
        <v>221</v>
      </c>
      <c r="D49" t="s">
        <v>222</v>
      </c>
      <c r="E49" t="s">
        <v>223</v>
      </c>
      <c r="F49" t="s">
        <v>20</v>
      </c>
      <c r="G49" t="s">
        <v>21</v>
      </c>
      <c r="H49" t="s">
        <v>29</v>
      </c>
      <c r="I49" t="s">
        <v>224</v>
      </c>
      <c r="J49" t="s">
        <v>225</v>
      </c>
      <c r="K49">
        <v>1</v>
      </c>
      <c r="L49">
        <v>4809</v>
      </c>
      <c r="M49">
        <v>4809</v>
      </c>
      <c r="N49">
        <v>4809</v>
      </c>
    </row>
    <row r="50" spans="1:15">
      <c r="A50" t="s">
        <v>207</v>
      </c>
      <c r="B50" t="s">
        <v>50</v>
      </c>
      <c r="C50" t="s">
        <v>226</v>
      </c>
      <c r="D50" t="s">
        <v>227</v>
      </c>
      <c r="E50" t="s">
        <v>228</v>
      </c>
      <c r="F50" t="s">
        <v>20</v>
      </c>
      <c r="G50" t="s">
        <v>21</v>
      </c>
      <c r="H50" t="s">
        <v>22</v>
      </c>
      <c r="I50" t="s">
        <v>103</v>
      </c>
      <c r="J50" t="s">
        <v>104</v>
      </c>
      <c r="K50">
        <v>-1</v>
      </c>
      <c r="L50">
        <v>-4590</v>
      </c>
      <c r="M50">
        <v>4590</v>
      </c>
      <c r="N50">
        <v>4590</v>
      </c>
      <c r="O50" t="s">
        <v>229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0"/>
  <sheetViews>
    <sheetView tabSelected="1" workbookViewId="0">
      <selection activeCell="F6" sqref="F6:G6"/>
    </sheetView>
  </sheetViews>
  <sheetFormatPr defaultColWidth="8.72727272727273" defaultRowHeight="14" outlineLevelCol="7"/>
  <cols>
    <col min="1" max="1" width="9.81818181818182"/>
    <col min="2" max="3" width="17.3636363636364"/>
    <col min="4" max="5" width="12.6363636363636" customWidth="1"/>
    <col min="8" max="8" width="16.9090909090909" customWidth="1"/>
  </cols>
  <sheetData>
    <row r="3" spans="1:8">
      <c r="A3" t="s">
        <v>7</v>
      </c>
      <c r="B3" t="s">
        <v>230</v>
      </c>
      <c r="C3" t="s">
        <v>231</v>
      </c>
      <c r="D3" s="4" t="s">
        <v>232</v>
      </c>
      <c r="E3" s="4" t="s">
        <v>233</v>
      </c>
      <c r="F3" s="4" t="s">
        <v>234</v>
      </c>
      <c r="G3" s="4" t="s">
        <v>235</v>
      </c>
      <c r="H3" s="4" t="s">
        <v>14</v>
      </c>
    </row>
    <row r="4" spans="1:8">
      <c r="A4" t="s">
        <v>68</v>
      </c>
      <c r="B4">
        <v>13</v>
      </c>
      <c r="C4">
        <v>1</v>
      </c>
      <c r="D4" s="4" t="s">
        <v>236</v>
      </c>
      <c r="E4" s="4" t="s">
        <v>22</v>
      </c>
      <c r="F4" s="4">
        <v>12</v>
      </c>
      <c r="G4" s="4">
        <f>3763/2</f>
        <v>1881.5</v>
      </c>
      <c r="H4" s="4"/>
    </row>
    <row r="5" spans="1:8">
      <c r="A5" s="5" t="s">
        <v>22</v>
      </c>
      <c r="B5" s="5">
        <v>2405</v>
      </c>
      <c r="C5" s="5">
        <v>16</v>
      </c>
      <c r="D5" s="4"/>
      <c r="E5" s="4" t="s">
        <v>29</v>
      </c>
      <c r="F5" s="4">
        <v>12</v>
      </c>
      <c r="G5" s="4">
        <f>3763/2</f>
        <v>1881.5</v>
      </c>
      <c r="H5" s="4"/>
    </row>
    <row r="6" spans="1:8">
      <c r="A6" t="s">
        <v>141</v>
      </c>
      <c r="B6">
        <v>884</v>
      </c>
      <c r="C6">
        <v>8</v>
      </c>
      <c r="D6" s="4" t="s">
        <v>237</v>
      </c>
      <c r="E6" s="4" t="s">
        <v>238</v>
      </c>
      <c r="F6" s="4">
        <v>9</v>
      </c>
      <c r="G6" s="4">
        <v>897</v>
      </c>
      <c r="H6" s="4"/>
    </row>
    <row r="7" spans="1:8">
      <c r="A7" s="5" t="s">
        <v>29</v>
      </c>
      <c r="B7" s="5">
        <v>888</v>
      </c>
      <c r="C7" s="5">
        <v>7</v>
      </c>
      <c r="D7" s="4" t="s">
        <v>239</v>
      </c>
      <c r="E7" s="4"/>
      <c r="F7" s="4">
        <f>SUM(F4:F6)</f>
        <v>33</v>
      </c>
      <c r="G7" s="4">
        <f>SUM(G4:G6)</f>
        <v>4660</v>
      </c>
      <c r="H7" s="4"/>
    </row>
    <row r="8" spans="1:3">
      <c r="A8" s="5" t="s">
        <v>115</v>
      </c>
      <c r="B8" s="5">
        <v>470</v>
      </c>
      <c r="C8" s="5">
        <v>1</v>
      </c>
    </row>
    <row r="9" spans="1:1">
      <c r="A9" t="s">
        <v>240</v>
      </c>
    </row>
    <row r="10" spans="1:3">
      <c r="A10" t="s">
        <v>241</v>
      </c>
      <c r="B10">
        <v>4660</v>
      </c>
      <c r="C10">
        <v>33</v>
      </c>
    </row>
  </sheetData>
  <mergeCells count="3">
    <mergeCell ref="D7:E7"/>
    <mergeCell ref="D4:D5"/>
    <mergeCell ref="H4:H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0"/>
  <sheetViews>
    <sheetView topLeftCell="E1" workbookViewId="0">
      <selection activeCell="G66" sqref="G66"/>
    </sheetView>
  </sheetViews>
  <sheetFormatPr defaultColWidth="8.72727272727273" defaultRowHeight="14"/>
  <cols>
    <col min="1" max="1" width="10.6363636363636" style="1" customWidth="1"/>
    <col min="2" max="3" width="18.5454545454545" style="1" customWidth="1"/>
    <col min="4" max="4" width="9.54545454545454" style="1" customWidth="1"/>
    <col min="5" max="5" width="12.9090909090909" style="1" customWidth="1"/>
    <col min="6" max="6" width="9.54545454545454" style="1" customWidth="1"/>
    <col min="7" max="7" width="27.5454545454545" style="1" customWidth="1"/>
    <col min="8" max="8" width="7.54545454545455" style="1" customWidth="1"/>
    <col min="9" max="9" width="34.7272727272727" style="2" customWidth="1"/>
    <col min="10" max="10" width="15.1818181818182" style="1" customWidth="1"/>
    <col min="11" max="12" width="9.54545454545454" style="1" customWidth="1"/>
    <col min="13" max="13" width="9.54545454545454" style="3" customWidth="1"/>
    <col min="14" max="14" width="9.54545454545454" style="1" customWidth="1"/>
    <col min="15" max="15" width="7.54545454545455" style="1" customWidth="1"/>
    <col min="16" max="16" width="9.54545454545454" style="1" customWidth="1"/>
    <col min="17" max="16384" width="8.72727272727273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242</v>
      </c>
      <c r="M1" s="3" t="s">
        <v>235</v>
      </c>
      <c r="N1" s="1" t="s">
        <v>11</v>
      </c>
      <c r="O1" s="1" t="s">
        <v>12</v>
      </c>
      <c r="P1" s="1" t="s">
        <v>13</v>
      </c>
      <c r="Q1" s="1" t="s">
        <v>14</v>
      </c>
    </row>
    <row r="2" hidden="1" spans="1:16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  <c r="K2" s="1">
        <v>1</v>
      </c>
      <c r="L2" s="1">
        <f>VLOOKUP(J2,'[1]2025年5.5新价格提成表 '!$B:$K,10,0)</f>
        <v>250</v>
      </c>
      <c r="M2" s="3">
        <f>L2*K2</f>
        <v>250</v>
      </c>
      <c r="N2" s="1">
        <v>8167</v>
      </c>
      <c r="O2" s="1">
        <v>8167</v>
      </c>
      <c r="P2" s="1">
        <v>8167</v>
      </c>
    </row>
    <row r="3" hidden="1" spans="1:16">
      <c r="A3" s="1" t="s">
        <v>25</v>
      </c>
      <c r="B3" s="1" t="s">
        <v>16</v>
      </c>
      <c r="C3" s="1" t="s">
        <v>26</v>
      </c>
      <c r="D3" s="1" t="s">
        <v>27</v>
      </c>
      <c r="E3" s="1" t="s">
        <v>28</v>
      </c>
      <c r="F3" s="1" t="s">
        <v>20</v>
      </c>
      <c r="G3" s="1" t="s">
        <v>21</v>
      </c>
      <c r="H3" s="1" t="s">
        <v>29</v>
      </c>
      <c r="I3" s="2" t="s">
        <v>30</v>
      </c>
      <c r="J3" s="1" t="s">
        <v>31</v>
      </c>
      <c r="K3" s="1">
        <v>1</v>
      </c>
      <c r="L3" s="1">
        <f>VLOOKUP(J3,'[1]2025年5.5新价格提成表 '!$B:$K,10,0)</f>
        <v>135</v>
      </c>
      <c r="M3" s="3">
        <f t="shared" ref="M3:M50" si="0">L3*K3</f>
        <v>135</v>
      </c>
      <c r="N3" s="1">
        <v>4592</v>
      </c>
      <c r="O3" s="1">
        <v>4592</v>
      </c>
      <c r="P3" s="1">
        <v>4592</v>
      </c>
    </row>
    <row r="4" hidden="1" spans="1:16">
      <c r="A4" s="1" t="s">
        <v>32</v>
      </c>
      <c r="B4" s="1" t="s">
        <v>16</v>
      </c>
      <c r="C4" s="1" t="s">
        <v>33</v>
      </c>
      <c r="D4" s="1" t="s">
        <v>34</v>
      </c>
      <c r="E4" s="1" t="s">
        <v>35</v>
      </c>
      <c r="F4" s="1" t="s">
        <v>20</v>
      </c>
      <c r="G4" s="1" t="s">
        <v>21</v>
      </c>
      <c r="H4" s="1" t="s">
        <v>22</v>
      </c>
      <c r="I4" s="2" t="s">
        <v>36</v>
      </c>
      <c r="J4" s="1" t="s">
        <v>37</v>
      </c>
      <c r="K4" s="1">
        <v>1</v>
      </c>
      <c r="L4" s="1">
        <f>VLOOKUP(J4,'[1]2025年5.5新价格提成表 '!$B:$K,10,0)</f>
        <v>90</v>
      </c>
      <c r="M4" s="3">
        <f t="shared" si="0"/>
        <v>90</v>
      </c>
      <c r="N4" s="1">
        <v>3127</v>
      </c>
      <c r="O4" s="1">
        <v>3127</v>
      </c>
      <c r="P4" s="1">
        <v>3127</v>
      </c>
    </row>
    <row r="5" hidden="1" spans="1:16">
      <c r="A5" s="1" t="s">
        <v>38</v>
      </c>
      <c r="B5" s="1" t="s">
        <v>16</v>
      </c>
      <c r="C5" s="1" t="s">
        <v>39</v>
      </c>
      <c r="D5" s="1" t="s">
        <v>40</v>
      </c>
      <c r="E5" s="1" t="s">
        <v>41</v>
      </c>
      <c r="F5" s="1" t="s">
        <v>20</v>
      </c>
      <c r="G5" s="1" t="s">
        <v>21</v>
      </c>
      <c r="H5" s="1" t="s">
        <v>22</v>
      </c>
      <c r="I5" s="2" t="s">
        <v>42</v>
      </c>
      <c r="J5" s="1" t="s">
        <v>43</v>
      </c>
      <c r="K5" s="1">
        <v>1</v>
      </c>
      <c r="L5" s="1">
        <f>VLOOKUP(J5,'[1]2025年5.5新价格提成表 '!$B:$K,10,0)</f>
        <v>75</v>
      </c>
      <c r="M5" s="3">
        <f t="shared" si="0"/>
        <v>75</v>
      </c>
      <c r="N5" s="1">
        <v>2038</v>
      </c>
      <c r="O5" s="1">
        <v>2038</v>
      </c>
      <c r="P5" s="1">
        <v>2038</v>
      </c>
    </row>
    <row r="6" hidden="1" spans="1:16">
      <c r="A6" s="1" t="s">
        <v>38</v>
      </c>
      <c r="B6" s="1" t="s">
        <v>16</v>
      </c>
      <c r="C6" s="1" t="s">
        <v>44</v>
      </c>
      <c r="D6" s="1" t="s">
        <v>40</v>
      </c>
      <c r="E6" s="1" t="s">
        <v>41</v>
      </c>
      <c r="F6" s="1" t="s">
        <v>20</v>
      </c>
      <c r="G6" s="1" t="s">
        <v>21</v>
      </c>
      <c r="H6" s="1" t="s">
        <v>22</v>
      </c>
      <c r="I6" s="2" t="s">
        <v>45</v>
      </c>
      <c r="J6" s="1" t="s">
        <v>46</v>
      </c>
      <c r="K6" s="1">
        <v>1</v>
      </c>
      <c r="L6" s="1">
        <f>VLOOKUP(J6,'[1]2025年5.5新价格提成表 '!$B:$K,10,0)</f>
        <v>142</v>
      </c>
      <c r="M6" s="3">
        <f t="shared" si="0"/>
        <v>142</v>
      </c>
      <c r="N6" s="1">
        <v>4078</v>
      </c>
      <c r="O6" s="1">
        <v>4078</v>
      </c>
      <c r="P6" s="1">
        <v>4078</v>
      </c>
    </row>
    <row r="7" hidden="1" spans="1:16">
      <c r="A7" s="1" t="s">
        <v>38</v>
      </c>
      <c r="B7" s="1" t="s">
        <v>16</v>
      </c>
      <c r="C7" s="1" t="s">
        <v>47</v>
      </c>
      <c r="D7" s="1" t="s">
        <v>40</v>
      </c>
      <c r="E7" s="1" t="s">
        <v>41</v>
      </c>
      <c r="F7" s="1" t="s">
        <v>20</v>
      </c>
      <c r="G7" s="1" t="s">
        <v>21</v>
      </c>
      <c r="H7" s="1" t="s">
        <v>22</v>
      </c>
      <c r="I7" s="2" t="s">
        <v>48</v>
      </c>
      <c r="J7" s="1" t="s">
        <v>49</v>
      </c>
      <c r="K7" s="1">
        <v>1</v>
      </c>
      <c r="L7" s="1">
        <f>VLOOKUP(J7,'[1]2025年5.5新价格提成表 '!$B:$K,10,0)</f>
        <v>22</v>
      </c>
      <c r="M7" s="3">
        <f t="shared" si="0"/>
        <v>22</v>
      </c>
      <c r="N7" s="1">
        <v>868</v>
      </c>
      <c r="O7" s="1">
        <v>868</v>
      </c>
      <c r="P7" s="1">
        <v>868</v>
      </c>
    </row>
    <row r="8" hidden="1" spans="1:17">
      <c r="A8" s="1" t="s">
        <v>38</v>
      </c>
      <c r="B8" s="1" t="s">
        <v>50</v>
      </c>
      <c r="C8" s="1" t="s">
        <v>51</v>
      </c>
      <c r="D8" s="1" t="s">
        <v>40</v>
      </c>
      <c r="E8" s="1" t="s">
        <v>41</v>
      </c>
      <c r="F8" s="1" t="s">
        <v>20</v>
      </c>
      <c r="G8" s="1" t="s">
        <v>21</v>
      </c>
      <c r="H8" s="1" t="s">
        <v>22</v>
      </c>
      <c r="I8" s="2" t="s">
        <v>42</v>
      </c>
      <c r="J8" s="1" t="s">
        <v>43</v>
      </c>
      <c r="K8" s="1">
        <v>-1</v>
      </c>
      <c r="L8" s="1">
        <f>VLOOKUP(J8,'[1]2025年5.5新价格提成表 '!$B:$K,10,0)</f>
        <v>75</v>
      </c>
      <c r="M8" s="3">
        <f t="shared" si="0"/>
        <v>-75</v>
      </c>
      <c r="N8" s="1">
        <v>-2038</v>
      </c>
      <c r="O8" s="1">
        <v>2038</v>
      </c>
      <c r="P8" s="1">
        <v>2038</v>
      </c>
      <c r="Q8" s="1" t="s">
        <v>52</v>
      </c>
    </row>
    <row r="9" hidden="1" spans="1:17">
      <c r="A9" s="1" t="s">
        <v>38</v>
      </c>
      <c r="B9" s="1" t="s">
        <v>50</v>
      </c>
      <c r="C9" s="1" t="s">
        <v>53</v>
      </c>
      <c r="D9" s="1" t="s">
        <v>40</v>
      </c>
      <c r="E9" s="1" t="s">
        <v>41</v>
      </c>
      <c r="F9" s="1" t="s">
        <v>20</v>
      </c>
      <c r="G9" s="1" t="s">
        <v>21</v>
      </c>
      <c r="H9" s="1" t="s">
        <v>22</v>
      </c>
      <c r="I9" s="2" t="s">
        <v>45</v>
      </c>
      <c r="J9" s="1" t="s">
        <v>46</v>
      </c>
      <c r="K9" s="1">
        <v>-1</v>
      </c>
      <c r="L9" s="1">
        <f>VLOOKUP(J9,'[1]2025年5.5新价格提成表 '!$B:$K,10,0)</f>
        <v>142</v>
      </c>
      <c r="M9" s="3">
        <f t="shared" si="0"/>
        <v>-142</v>
      </c>
      <c r="N9" s="1">
        <v>-4078</v>
      </c>
      <c r="O9" s="1">
        <v>4078</v>
      </c>
      <c r="P9" s="1">
        <v>4078</v>
      </c>
      <c r="Q9" s="1" t="s">
        <v>54</v>
      </c>
    </row>
    <row r="10" hidden="1" spans="1:17">
      <c r="A10" s="1" t="s">
        <v>38</v>
      </c>
      <c r="B10" s="1" t="s">
        <v>50</v>
      </c>
      <c r="C10" s="1" t="s">
        <v>55</v>
      </c>
      <c r="D10" s="1" t="s">
        <v>40</v>
      </c>
      <c r="E10" s="1" t="s">
        <v>41</v>
      </c>
      <c r="F10" s="1" t="s">
        <v>20</v>
      </c>
      <c r="G10" s="1" t="s">
        <v>21</v>
      </c>
      <c r="H10" s="1" t="s">
        <v>22</v>
      </c>
      <c r="I10" s="2" t="s">
        <v>48</v>
      </c>
      <c r="J10" s="1" t="s">
        <v>49</v>
      </c>
      <c r="K10" s="1">
        <v>-1</v>
      </c>
      <c r="L10" s="1">
        <f>VLOOKUP(J10,'[1]2025年5.5新价格提成表 '!$B:$K,10,0)</f>
        <v>22</v>
      </c>
      <c r="M10" s="3">
        <f t="shared" si="0"/>
        <v>-22</v>
      </c>
      <c r="N10" s="1">
        <v>-868</v>
      </c>
      <c r="O10" s="1">
        <v>868</v>
      </c>
      <c r="P10" s="1">
        <v>868</v>
      </c>
      <c r="Q10" s="1" t="s">
        <v>56</v>
      </c>
    </row>
    <row r="11" hidden="1" spans="1:17">
      <c r="A11" s="1" t="s">
        <v>57</v>
      </c>
      <c r="B11" s="1" t="s">
        <v>16</v>
      </c>
      <c r="C11" s="1" t="s">
        <v>58</v>
      </c>
      <c r="D11" s="1" t="s">
        <v>59</v>
      </c>
      <c r="E11" s="1" t="s">
        <v>60</v>
      </c>
      <c r="F11" s="1" t="s">
        <v>20</v>
      </c>
      <c r="G11" s="1" t="s">
        <v>21</v>
      </c>
      <c r="H11" s="1" t="s">
        <v>22</v>
      </c>
      <c r="I11" s="2" t="s">
        <v>61</v>
      </c>
      <c r="J11" s="1" t="s">
        <v>62</v>
      </c>
      <c r="K11" s="1">
        <v>1</v>
      </c>
      <c r="L11" s="1">
        <f>VLOOKUP(J11,'[1]2025年5.5新价格提成表 '!$B:$K,10,0)</f>
        <v>37</v>
      </c>
      <c r="M11" s="3">
        <f t="shared" si="0"/>
        <v>37</v>
      </c>
      <c r="N11" s="1">
        <v>1970</v>
      </c>
      <c r="O11" s="1">
        <v>1970</v>
      </c>
      <c r="P11" s="1">
        <v>1970</v>
      </c>
      <c r="Q11" s="1" t="s">
        <v>63</v>
      </c>
    </row>
    <row r="12" hidden="1" spans="1:16">
      <c r="A12" s="1" t="s">
        <v>64</v>
      </c>
      <c r="B12" s="1" t="s">
        <v>16</v>
      </c>
      <c r="C12" s="1" t="s">
        <v>65</v>
      </c>
      <c r="D12" s="1" t="s">
        <v>66</v>
      </c>
      <c r="E12" s="1" t="s">
        <v>67</v>
      </c>
      <c r="F12" s="1" t="s">
        <v>20</v>
      </c>
      <c r="G12" s="1" t="s">
        <v>21</v>
      </c>
      <c r="H12" s="1" t="s">
        <v>68</v>
      </c>
      <c r="I12" s="2" t="s">
        <v>69</v>
      </c>
      <c r="J12" s="1" t="s">
        <v>70</v>
      </c>
      <c r="K12" s="1">
        <v>1</v>
      </c>
      <c r="L12" s="1">
        <f>VLOOKUP(J12,'[1]2025年5.5新价格提成表 '!$B:$K,10,0)</f>
        <v>13</v>
      </c>
      <c r="M12" s="3">
        <f t="shared" si="0"/>
        <v>13</v>
      </c>
      <c r="N12" s="1">
        <v>790</v>
      </c>
      <c r="O12" s="1">
        <v>790</v>
      </c>
      <c r="P12" s="1">
        <v>790</v>
      </c>
    </row>
    <row r="13" hidden="1" spans="1:16">
      <c r="A13" s="1" t="s">
        <v>57</v>
      </c>
      <c r="B13" s="1" t="s">
        <v>16</v>
      </c>
      <c r="C13" s="1" t="s">
        <v>71</v>
      </c>
      <c r="D13" s="1" t="s">
        <v>72</v>
      </c>
      <c r="E13" s="1" t="s">
        <v>73</v>
      </c>
      <c r="F13" s="1" t="s">
        <v>20</v>
      </c>
      <c r="G13" s="1" t="s">
        <v>21</v>
      </c>
      <c r="H13" s="1" t="s">
        <v>29</v>
      </c>
      <c r="I13" s="2" t="s">
        <v>74</v>
      </c>
      <c r="J13" s="1" t="s">
        <v>75</v>
      </c>
      <c r="K13" s="1">
        <v>1</v>
      </c>
      <c r="L13" s="1">
        <f>VLOOKUP(J13,'[1]2025年5.5新价格提成表 '!$B:$K,10,0)</f>
        <v>36</v>
      </c>
      <c r="M13" s="3">
        <f t="shared" si="0"/>
        <v>36</v>
      </c>
      <c r="N13" s="1">
        <v>2014</v>
      </c>
      <c r="O13" s="1">
        <v>2014</v>
      </c>
      <c r="P13" s="1">
        <v>2014</v>
      </c>
    </row>
    <row r="14" hidden="1" spans="1:16">
      <c r="A14" s="1" t="s">
        <v>57</v>
      </c>
      <c r="B14" s="1" t="s">
        <v>16</v>
      </c>
      <c r="C14" s="1" t="s">
        <v>76</v>
      </c>
      <c r="D14" s="1" t="s">
        <v>77</v>
      </c>
      <c r="E14" s="1" t="s">
        <v>78</v>
      </c>
      <c r="F14" s="1" t="s">
        <v>20</v>
      </c>
      <c r="G14" s="1" t="s">
        <v>21</v>
      </c>
      <c r="H14" s="1" t="s">
        <v>22</v>
      </c>
      <c r="I14" s="2" t="s">
        <v>79</v>
      </c>
      <c r="J14" s="1" t="s">
        <v>80</v>
      </c>
      <c r="K14" s="1">
        <v>1</v>
      </c>
      <c r="L14" s="1">
        <f>VLOOKUP(J14,'[1]2025年5.5新价格提成表 '!$B:$K,10,0)</f>
        <v>78</v>
      </c>
      <c r="M14" s="3">
        <f t="shared" si="0"/>
        <v>78</v>
      </c>
      <c r="N14" s="1">
        <v>2551</v>
      </c>
      <c r="O14" s="1">
        <v>2551</v>
      </c>
      <c r="P14" s="1">
        <v>2551</v>
      </c>
    </row>
    <row r="15" hidden="1" spans="1:16">
      <c r="A15" s="1" t="s">
        <v>81</v>
      </c>
      <c r="B15" s="1" t="s">
        <v>16</v>
      </c>
      <c r="C15" s="1" t="s">
        <v>82</v>
      </c>
      <c r="D15" s="1" t="s">
        <v>83</v>
      </c>
      <c r="E15" s="1" t="s">
        <v>84</v>
      </c>
      <c r="F15" s="1" t="s">
        <v>20</v>
      </c>
      <c r="G15" s="1" t="s">
        <v>21</v>
      </c>
      <c r="H15" s="1" t="s">
        <v>22</v>
      </c>
      <c r="I15" s="2" t="s">
        <v>85</v>
      </c>
      <c r="J15" s="1" t="s">
        <v>86</v>
      </c>
      <c r="K15" s="1">
        <v>1</v>
      </c>
      <c r="L15" s="1">
        <f>VLOOKUP(J15,'[1]2025年5.5新价格提成表 '!$B:$K,10,0)</f>
        <v>12</v>
      </c>
      <c r="M15" s="3">
        <f t="shared" si="0"/>
        <v>12</v>
      </c>
      <c r="N15" s="1">
        <v>729</v>
      </c>
      <c r="O15" s="1">
        <v>729</v>
      </c>
      <c r="P15" s="1">
        <v>729</v>
      </c>
    </row>
    <row r="16" hidden="1" spans="1:17">
      <c r="A16" s="1" t="s">
        <v>87</v>
      </c>
      <c r="B16" s="1" t="s">
        <v>50</v>
      </c>
      <c r="C16" s="1" t="s">
        <v>88</v>
      </c>
      <c r="D16" s="1" t="s">
        <v>89</v>
      </c>
      <c r="E16" s="1" t="s">
        <v>90</v>
      </c>
      <c r="F16" s="1" t="s">
        <v>20</v>
      </c>
      <c r="G16" s="1" t="s">
        <v>21</v>
      </c>
      <c r="H16" s="1" t="s">
        <v>22</v>
      </c>
      <c r="I16" s="2" t="s">
        <v>91</v>
      </c>
      <c r="J16" s="1" t="s">
        <v>92</v>
      </c>
      <c r="K16" s="1">
        <v>-1</v>
      </c>
      <c r="L16" s="1">
        <f>VLOOKUP(J16,'[1]2025年5.5新价格提成表 '!$B:$K,10,0)</f>
        <v>150</v>
      </c>
      <c r="M16" s="3">
        <f t="shared" si="0"/>
        <v>-150</v>
      </c>
      <c r="N16" s="1">
        <v>-4900</v>
      </c>
      <c r="O16" s="1">
        <v>4900</v>
      </c>
      <c r="P16" s="1">
        <v>4900</v>
      </c>
      <c r="Q16" s="1" t="s">
        <v>93</v>
      </c>
    </row>
    <row r="17" hidden="1" spans="1:16">
      <c r="A17" s="1" t="s">
        <v>94</v>
      </c>
      <c r="B17" s="1" t="s">
        <v>16</v>
      </c>
      <c r="C17" s="1" t="s">
        <v>95</v>
      </c>
      <c r="D17" s="1" t="s">
        <v>96</v>
      </c>
      <c r="E17" s="1" t="s">
        <v>97</v>
      </c>
      <c r="F17" s="1" t="s">
        <v>20</v>
      </c>
      <c r="G17" s="1" t="s">
        <v>21</v>
      </c>
      <c r="H17" s="1" t="s">
        <v>22</v>
      </c>
      <c r="I17" s="2" t="s">
        <v>98</v>
      </c>
      <c r="J17" s="1" t="s">
        <v>99</v>
      </c>
      <c r="K17" s="1">
        <v>1</v>
      </c>
      <c r="L17" s="1">
        <f>VLOOKUP(J17,'[1]2025年5.5新价格提成表 '!$B:$K,10,0)</f>
        <v>375</v>
      </c>
      <c r="M17" s="3">
        <f t="shared" si="0"/>
        <v>375</v>
      </c>
      <c r="N17" s="1">
        <v>12345</v>
      </c>
      <c r="O17" s="1">
        <v>12345</v>
      </c>
      <c r="P17" s="1">
        <v>12345</v>
      </c>
    </row>
    <row r="18" hidden="1" spans="1:16">
      <c r="A18" s="1" t="s">
        <v>94</v>
      </c>
      <c r="B18" s="1" t="s">
        <v>16</v>
      </c>
      <c r="C18" s="1" t="s">
        <v>100</v>
      </c>
      <c r="D18" s="1" t="s">
        <v>101</v>
      </c>
      <c r="E18" s="1" t="s">
        <v>102</v>
      </c>
      <c r="F18" s="1" t="s">
        <v>20</v>
      </c>
      <c r="G18" s="1" t="s">
        <v>21</v>
      </c>
      <c r="H18" s="1" t="s">
        <v>29</v>
      </c>
      <c r="I18" s="2" t="s">
        <v>103</v>
      </c>
      <c r="J18" s="1" t="s">
        <v>104</v>
      </c>
      <c r="K18" s="1">
        <v>1</v>
      </c>
      <c r="L18" s="1">
        <f>VLOOKUP(J18,'[1]2025年5.5新价格提成表 '!$B:$K,10,0)</f>
        <v>134</v>
      </c>
      <c r="M18" s="3">
        <f t="shared" si="0"/>
        <v>134</v>
      </c>
      <c r="N18" s="1">
        <v>4361</v>
      </c>
      <c r="O18" s="1">
        <v>4361</v>
      </c>
      <c r="P18" s="1">
        <v>4361</v>
      </c>
    </row>
    <row r="19" hidden="1" spans="1:16">
      <c r="A19" s="1" t="s">
        <v>105</v>
      </c>
      <c r="B19" s="1" t="s">
        <v>16</v>
      </c>
      <c r="C19" s="1" t="s">
        <v>106</v>
      </c>
      <c r="D19" s="1" t="s">
        <v>107</v>
      </c>
      <c r="E19" s="1" t="s">
        <v>108</v>
      </c>
      <c r="F19" s="1" t="s">
        <v>20</v>
      </c>
      <c r="G19" s="1" t="s">
        <v>21</v>
      </c>
      <c r="H19" s="1" t="s">
        <v>22</v>
      </c>
      <c r="I19" s="2" t="s">
        <v>109</v>
      </c>
      <c r="J19" s="1" t="s">
        <v>110</v>
      </c>
      <c r="K19" s="1">
        <v>1</v>
      </c>
      <c r="L19" s="1">
        <f>VLOOKUP(J19,'[1]2025年5.5新价格提成表 '!$B:$K,10,0)</f>
        <v>107</v>
      </c>
      <c r="M19" s="3">
        <f t="shared" si="0"/>
        <v>107</v>
      </c>
      <c r="N19" s="1">
        <v>3691</v>
      </c>
      <c r="O19" s="1">
        <v>3691</v>
      </c>
      <c r="P19" s="1">
        <v>3691</v>
      </c>
    </row>
    <row r="20" spans="1:16">
      <c r="A20" s="1" t="s">
        <v>111</v>
      </c>
      <c r="B20" s="1" t="s">
        <v>16</v>
      </c>
      <c r="C20" s="1" t="s">
        <v>112</v>
      </c>
      <c r="D20" s="1" t="s">
        <v>113</v>
      </c>
      <c r="E20" s="1" t="s">
        <v>114</v>
      </c>
      <c r="F20" s="1" t="s">
        <v>20</v>
      </c>
      <c r="G20" s="1" t="s">
        <v>21</v>
      </c>
      <c r="H20" s="1" t="s">
        <v>115</v>
      </c>
      <c r="I20" s="2" t="s">
        <v>116</v>
      </c>
      <c r="J20" s="1" t="s">
        <v>117</v>
      </c>
      <c r="K20" s="1">
        <v>1</v>
      </c>
      <c r="L20" s="1">
        <f>VLOOKUP(J20,'[1]2025年5.5新价格提成表 '!$B:$K,10,0)</f>
        <v>470</v>
      </c>
      <c r="M20" s="3">
        <f t="shared" si="0"/>
        <v>470</v>
      </c>
      <c r="N20" s="1">
        <v>8438</v>
      </c>
      <c r="O20" s="1">
        <v>8438</v>
      </c>
      <c r="P20" s="1">
        <v>8438</v>
      </c>
    </row>
    <row r="21" hidden="1" spans="1:16">
      <c r="A21" s="1" t="s">
        <v>118</v>
      </c>
      <c r="B21" s="1" t="s">
        <v>16</v>
      </c>
      <c r="C21" s="1" t="s">
        <v>119</v>
      </c>
      <c r="D21" s="1" t="s">
        <v>120</v>
      </c>
      <c r="E21" s="1" t="s">
        <v>121</v>
      </c>
      <c r="F21" s="1" t="s">
        <v>20</v>
      </c>
      <c r="G21" s="1" t="s">
        <v>21</v>
      </c>
      <c r="H21" s="1" t="s">
        <v>22</v>
      </c>
      <c r="I21" s="2" t="s">
        <v>122</v>
      </c>
      <c r="J21" s="1" t="s">
        <v>123</v>
      </c>
      <c r="K21" s="1">
        <v>1</v>
      </c>
      <c r="L21" s="1">
        <f>VLOOKUP(J21,'[1]2025年5.5新价格提成表 '!$B:$K,10,0)</f>
        <v>178</v>
      </c>
      <c r="M21" s="3">
        <f t="shared" si="0"/>
        <v>178</v>
      </c>
      <c r="N21" s="1">
        <v>5705</v>
      </c>
      <c r="O21" s="1">
        <v>5705</v>
      </c>
      <c r="P21" s="1">
        <v>5705</v>
      </c>
    </row>
    <row r="22" hidden="1" spans="1:16">
      <c r="A22" s="1" t="s">
        <v>118</v>
      </c>
      <c r="B22" s="1" t="s">
        <v>16</v>
      </c>
      <c r="C22" s="1" t="s">
        <v>124</v>
      </c>
      <c r="D22" s="1" t="s">
        <v>125</v>
      </c>
      <c r="E22" s="1" t="s">
        <v>126</v>
      </c>
      <c r="F22" s="1" t="s">
        <v>20</v>
      </c>
      <c r="G22" s="1" t="s">
        <v>21</v>
      </c>
      <c r="H22" s="1" t="s">
        <v>22</v>
      </c>
      <c r="I22" s="2" t="s">
        <v>127</v>
      </c>
      <c r="J22" s="1" t="s">
        <v>128</v>
      </c>
      <c r="K22" s="1">
        <v>1</v>
      </c>
      <c r="L22" s="1">
        <f>VLOOKUP(J22,'[1]2025年5.5新价格提成表 '!$B:$K,10,0)</f>
        <v>119</v>
      </c>
      <c r="M22" s="3">
        <f t="shared" si="0"/>
        <v>119</v>
      </c>
      <c r="N22" s="1">
        <v>3882</v>
      </c>
      <c r="O22" s="1">
        <v>3882</v>
      </c>
      <c r="P22" s="1">
        <v>3882</v>
      </c>
    </row>
    <row r="23" hidden="1" spans="1:16">
      <c r="A23" s="1" t="s">
        <v>118</v>
      </c>
      <c r="B23" s="1" t="s">
        <v>16</v>
      </c>
      <c r="C23" s="1" t="s">
        <v>129</v>
      </c>
      <c r="D23" s="1" t="s">
        <v>125</v>
      </c>
      <c r="E23" s="1" t="s">
        <v>126</v>
      </c>
      <c r="F23" s="1" t="s">
        <v>20</v>
      </c>
      <c r="G23" s="1" t="s">
        <v>21</v>
      </c>
      <c r="H23" s="1" t="s">
        <v>22</v>
      </c>
      <c r="I23" s="2" t="s">
        <v>130</v>
      </c>
      <c r="J23" s="1" t="s">
        <v>131</v>
      </c>
      <c r="K23" s="1">
        <v>1</v>
      </c>
      <c r="L23" s="1">
        <f>VLOOKUP(J23,'[1]2025年5.5新价格提成表 '!$B:$K,10,0)</f>
        <v>132</v>
      </c>
      <c r="M23" s="3">
        <f t="shared" si="0"/>
        <v>132</v>
      </c>
      <c r="N23" s="1">
        <v>2379</v>
      </c>
      <c r="O23" s="1">
        <v>2379</v>
      </c>
      <c r="P23" s="1">
        <v>2379</v>
      </c>
    </row>
    <row r="24" hidden="1" spans="1:16">
      <c r="A24" s="1" t="s">
        <v>118</v>
      </c>
      <c r="B24" s="1" t="s">
        <v>16</v>
      </c>
      <c r="C24" s="1" t="s">
        <v>132</v>
      </c>
      <c r="D24" s="1" t="s">
        <v>125</v>
      </c>
      <c r="E24" s="1" t="s">
        <v>126</v>
      </c>
      <c r="F24" s="1" t="s">
        <v>20</v>
      </c>
      <c r="G24" s="1" t="s">
        <v>21</v>
      </c>
      <c r="H24" s="1" t="s">
        <v>22</v>
      </c>
      <c r="I24" s="2" t="s">
        <v>133</v>
      </c>
      <c r="J24" s="1" t="s">
        <v>134</v>
      </c>
      <c r="K24" s="1">
        <v>1</v>
      </c>
      <c r="L24" s="1">
        <f>VLOOKUP(J24,'[1]2025年5.5新价格提成表 '!$B:$K,10,0)</f>
        <v>223</v>
      </c>
      <c r="M24" s="3">
        <f t="shared" si="0"/>
        <v>223</v>
      </c>
      <c r="N24" s="1">
        <v>3314</v>
      </c>
      <c r="O24" s="1">
        <v>3314</v>
      </c>
      <c r="P24" s="1">
        <v>3314</v>
      </c>
    </row>
    <row r="25" hidden="1" spans="1:16">
      <c r="A25" s="1" t="s">
        <v>118</v>
      </c>
      <c r="B25" s="1" t="s">
        <v>16</v>
      </c>
      <c r="C25" s="1" t="s">
        <v>135</v>
      </c>
      <c r="D25" s="1" t="s">
        <v>136</v>
      </c>
      <c r="E25" s="1" t="s">
        <v>137</v>
      </c>
      <c r="F25" s="1" t="s">
        <v>20</v>
      </c>
      <c r="G25" s="1" t="s">
        <v>21</v>
      </c>
      <c r="H25" s="1" t="s">
        <v>22</v>
      </c>
      <c r="I25" s="2" t="s">
        <v>79</v>
      </c>
      <c r="J25" s="1" t="s">
        <v>80</v>
      </c>
      <c r="K25" s="1">
        <v>1</v>
      </c>
      <c r="L25" s="1">
        <f>VLOOKUP(J25,'[1]2025年5.5新价格提成表 '!$B:$K,10,0)</f>
        <v>78</v>
      </c>
      <c r="M25" s="3">
        <f t="shared" si="0"/>
        <v>78</v>
      </c>
      <c r="N25" s="1">
        <v>2551</v>
      </c>
      <c r="O25" s="1">
        <v>2551</v>
      </c>
      <c r="P25" s="1">
        <v>2551</v>
      </c>
    </row>
    <row r="26" hidden="1" spans="1:16">
      <c r="A26" s="1" t="s">
        <v>118</v>
      </c>
      <c r="B26" s="1" t="s">
        <v>16</v>
      </c>
      <c r="C26" s="1" t="s">
        <v>138</v>
      </c>
      <c r="D26" s="1" t="s">
        <v>139</v>
      </c>
      <c r="E26" s="1" t="s">
        <v>140</v>
      </c>
      <c r="F26" s="1" t="s">
        <v>20</v>
      </c>
      <c r="G26" s="1" t="s">
        <v>21</v>
      </c>
      <c r="H26" s="1" t="s">
        <v>141</v>
      </c>
      <c r="I26" s="2" t="s">
        <v>133</v>
      </c>
      <c r="J26" s="1" t="s">
        <v>134</v>
      </c>
      <c r="K26" s="1">
        <v>1</v>
      </c>
      <c r="L26" s="1">
        <f>VLOOKUP(J26,'[1]2025年5.5新价格提成表 '!$B:$K,10,0)</f>
        <v>223</v>
      </c>
      <c r="M26" s="3">
        <f t="shared" si="0"/>
        <v>223</v>
      </c>
      <c r="N26" s="1">
        <v>3314</v>
      </c>
      <c r="O26" s="1">
        <v>3314</v>
      </c>
      <c r="P26" s="1">
        <v>3314</v>
      </c>
    </row>
    <row r="27" hidden="1" spans="1:16">
      <c r="A27" s="1" t="s">
        <v>118</v>
      </c>
      <c r="B27" s="1" t="s">
        <v>16</v>
      </c>
      <c r="C27" s="1" t="s">
        <v>142</v>
      </c>
      <c r="D27" s="1" t="s">
        <v>143</v>
      </c>
      <c r="E27" s="1" t="s">
        <v>144</v>
      </c>
      <c r="F27" s="1" t="s">
        <v>20</v>
      </c>
      <c r="G27" s="1" t="s">
        <v>21</v>
      </c>
      <c r="H27" s="1" t="s">
        <v>22</v>
      </c>
      <c r="I27" s="2" t="s">
        <v>103</v>
      </c>
      <c r="J27" s="1" t="s">
        <v>104</v>
      </c>
      <c r="K27" s="1">
        <v>1</v>
      </c>
      <c r="L27" s="1">
        <f>VLOOKUP(J27,'[1]2025年5.5新价格提成表 '!$B:$K,10,0)</f>
        <v>134</v>
      </c>
      <c r="M27" s="3">
        <f t="shared" si="0"/>
        <v>134</v>
      </c>
      <c r="N27" s="1">
        <v>4361</v>
      </c>
      <c r="O27" s="1">
        <v>4361</v>
      </c>
      <c r="P27" s="1">
        <v>4361</v>
      </c>
    </row>
    <row r="28" hidden="1" spans="1:16">
      <c r="A28" s="1" t="s">
        <v>145</v>
      </c>
      <c r="B28" s="1" t="s">
        <v>16</v>
      </c>
      <c r="C28" s="1" t="s">
        <v>146</v>
      </c>
      <c r="D28" s="1" t="s">
        <v>147</v>
      </c>
      <c r="E28" s="1" t="s">
        <v>148</v>
      </c>
      <c r="F28" s="1" t="s">
        <v>20</v>
      </c>
      <c r="G28" s="1" t="s">
        <v>21</v>
      </c>
      <c r="H28" s="1" t="s">
        <v>29</v>
      </c>
      <c r="I28" s="2" t="s">
        <v>127</v>
      </c>
      <c r="J28" s="1" t="s">
        <v>128</v>
      </c>
      <c r="K28" s="1">
        <v>1</v>
      </c>
      <c r="L28" s="1">
        <f>VLOOKUP(J28,'[1]2025年5.5新价格提成表 '!$B:$K,10,0)</f>
        <v>119</v>
      </c>
      <c r="M28" s="3">
        <f t="shared" si="0"/>
        <v>119</v>
      </c>
      <c r="N28" s="1">
        <v>3882</v>
      </c>
      <c r="O28" s="1">
        <v>3882</v>
      </c>
      <c r="P28" s="1">
        <v>3882</v>
      </c>
    </row>
    <row r="29" hidden="1" spans="1:16">
      <c r="A29" s="1" t="s">
        <v>145</v>
      </c>
      <c r="B29" s="1" t="s">
        <v>16</v>
      </c>
      <c r="C29" s="1" t="s">
        <v>149</v>
      </c>
      <c r="D29" s="1" t="s">
        <v>150</v>
      </c>
      <c r="E29" s="1" t="s">
        <v>151</v>
      </c>
      <c r="F29" s="1" t="s">
        <v>20</v>
      </c>
      <c r="G29" s="1" t="s">
        <v>21</v>
      </c>
      <c r="H29" s="1" t="s">
        <v>22</v>
      </c>
      <c r="I29" s="2" t="s">
        <v>122</v>
      </c>
      <c r="J29" s="1" t="s">
        <v>123</v>
      </c>
      <c r="K29" s="1">
        <v>1</v>
      </c>
      <c r="L29" s="1">
        <f>VLOOKUP(J29,'[1]2025年5.5新价格提成表 '!$B:$K,10,0)</f>
        <v>178</v>
      </c>
      <c r="M29" s="3">
        <f t="shared" si="0"/>
        <v>178</v>
      </c>
      <c r="N29" s="1">
        <v>5705</v>
      </c>
      <c r="O29" s="1">
        <v>5705</v>
      </c>
      <c r="P29" s="1">
        <v>5705</v>
      </c>
    </row>
    <row r="30" hidden="1" spans="1:16">
      <c r="A30" s="1" t="s">
        <v>145</v>
      </c>
      <c r="B30" s="1" t="s">
        <v>16</v>
      </c>
      <c r="C30" s="1" t="s">
        <v>152</v>
      </c>
      <c r="D30" s="1" t="s">
        <v>153</v>
      </c>
      <c r="E30" s="1" t="s">
        <v>154</v>
      </c>
      <c r="F30" s="1" t="s">
        <v>20</v>
      </c>
      <c r="G30" s="1" t="s">
        <v>21</v>
      </c>
      <c r="H30" s="1" t="s">
        <v>22</v>
      </c>
      <c r="I30" s="2" t="s">
        <v>155</v>
      </c>
      <c r="J30" s="1" t="s">
        <v>156</v>
      </c>
      <c r="K30" s="1">
        <v>1</v>
      </c>
      <c r="L30" s="1">
        <f>VLOOKUP(J30,'[1]2025年5.5新价格提成表 '!$B:$K,10,0)</f>
        <v>127</v>
      </c>
      <c r="M30" s="3">
        <f t="shared" si="0"/>
        <v>127</v>
      </c>
      <c r="N30" s="1">
        <v>4346</v>
      </c>
      <c r="O30" s="1">
        <v>4346</v>
      </c>
      <c r="P30" s="1">
        <v>4346</v>
      </c>
    </row>
    <row r="31" hidden="1" spans="1:16">
      <c r="A31" s="1" t="s">
        <v>105</v>
      </c>
      <c r="B31" s="1" t="s">
        <v>16</v>
      </c>
      <c r="C31" s="1" t="s">
        <v>157</v>
      </c>
      <c r="D31" s="1" t="s">
        <v>158</v>
      </c>
      <c r="E31" s="1" t="s">
        <v>159</v>
      </c>
      <c r="F31" s="1" t="s">
        <v>20</v>
      </c>
      <c r="G31" s="1" t="s">
        <v>21</v>
      </c>
      <c r="H31" s="1" t="s">
        <v>141</v>
      </c>
      <c r="I31" s="2" t="s">
        <v>160</v>
      </c>
      <c r="J31" s="1" t="s">
        <v>161</v>
      </c>
      <c r="K31" s="1">
        <v>1</v>
      </c>
      <c r="L31" s="1">
        <f>VLOOKUP(J31,'[1]2025年5.5新价格提成表 '!$B:$K,10,0)</f>
        <v>112</v>
      </c>
      <c r="M31" s="3">
        <f t="shared" si="0"/>
        <v>112</v>
      </c>
      <c r="N31" s="1">
        <v>3616</v>
      </c>
      <c r="O31" s="1">
        <v>3616</v>
      </c>
      <c r="P31" s="1">
        <v>3616</v>
      </c>
    </row>
    <row r="32" hidden="1" spans="1:16">
      <c r="A32" s="1" t="s">
        <v>145</v>
      </c>
      <c r="B32" s="1" t="s">
        <v>16</v>
      </c>
      <c r="C32" s="1" t="s">
        <v>162</v>
      </c>
      <c r="D32" s="1" t="s">
        <v>163</v>
      </c>
      <c r="E32" s="1" t="s">
        <v>164</v>
      </c>
      <c r="F32" s="1" t="s">
        <v>20</v>
      </c>
      <c r="G32" s="1" t="s">
        <v>21</v>
      </c>
      <c r="H32" s="1" t="s">
        <v>141</v>
      </c>
      <c r="I32" s="2" t="s">
        <v>165</v>
      </c>
      <c r="J32" s="1" t="s">
        <v>166</v>
      </c>
      <c r="K32" s="1">
        <v>1</v>
      </c>
      <c r="L32" s="1">
        <f>VLOOKUP(J32,'[1]2025年5.5新价格提成表 '!$B:$K,10,0)</f>
        <v>293</v>
      </c>
      <c r="M32" s="3">
        <f t="shared" si="0"/>
        <v>293</v>
      </c>
      <c r="N32" s="1">
        <v>4578</v>
      </c>
      <c r="O32" s="1">
        <v>4578</v>
      </c>
      <c r="P32" s="1">
        <v>4578</v>
      </c>
    </row>
    <row r="33" hidden="1" spans="1:16">
      <c r="A33" s="1" t="s">
        <v>145</v>
      </c>
      <c r="B33" s="1" t="s">
        <v>16</v>
      </c>
      <c r="C33" s="1" t="s">
        <v>167</v>
      </c>
      <c r="D33" s="1" t="s">
        <v>168</v>
      </c>
      <c r="E33" s="1" t="s">
        <v>169</v>
      </c>
      <c r="F33" s="1" t="s">
        <v>20</v>
      </c>
      <c r="G33" s="1" t="s">
        <v>21</v>
      </c>
      <c r="H33" s="1" t="s">
        <v>29</v>
      </c>
      <c r="I33" s="2" t="s">
        <v>170</v>
      </c>
      <c r="J33" s="1" t="s">
        <v>171</v>
      </c>
      <c r="K33" s="1">
        <v>1</v>
      </c>
      <c r="L33" s="1">
        <f>VLOOKUP(J33,'[1]2025年5.5新价格提成表 '!$B:$K,10,0)</f>
        <v>99</v>
      </c>
      <c r="M33" s="3">
        <f t="shared" si="0"/>
        <v>99</v>
      </c>
      <c r="N33" s="1">
        <v>3413</v>
      </c>
      <c r="O33" s="1">
        <v>3413</v>
      </c>
      <c r="P33" s="1">
        <v>3413</v>
      </c>
    </row>
    <row r="34" hidden="1" spans="1:16">
      <c r="A34" s="1" t="s">
        <v>145</v>
      </c>
      <c r="B34" s="1" t="s">
        <v>16</v>
      </c>
      <c r="C34" s="1" t="s">
        <v>172</v>
      </c>
      <c r="D34" s="1" t="s">
        <v>173</v>
      </c>
      <c r="E34" s="1" t="s">
        <v>174</v>
      </c>
      <c r="F34" s="1" t="s">
        <v>20</v>
      </c>
      <c r="G34" s="1" t="s">
        <v>21</v>
      </c>
      <c r="H34" s="1" t="s">
        <v>141</v>
      </c>
      <c r="I34" s="2" t="s">
        <v>175</v>
      </c>
      <c r="J34" s="1" t="s">
        <v>176</v>
      </c>
      <c r="K34" s="1">
        <v>1</v>
      </c>
      <c r="L34" s="1">
        <f>VLOOKUP(J34,'[1]2025年5.5新价格提成表 '!$B:$K,10,0)</f>
        <v>34</v>
      </c>
      <c r="M34" s="3">
        <f t="shared" si="0"/>
        <v>34</v>
      </c>
      <c r="N34" s="1">
        <v>1839</v>
      </c>
      <c r="O34" s="1">
        <v>1839</v>
      </c>
      <c r="P34" s="1">
        <v>1839</v>
      </c>
    </row>
    <row r="35" hidden="1" spans="1:16">
      <c r="A35" s="1" t="s">
        <v>145</v>
      </c>
      <c r="B35" s="1" t="s">
        <v>16</v>
      </c>
      <c r="C35" s="1" t="s">
        <v>177</v>
      </c>
      <c r="D35" s="1" t="s">
        <v>173</v>
      </c>
      <c r="E35" s="1" t="s">
        <v>174</v>
      </c>
      <c r="F35" s="1" t="s">
        <v>20</v>
      </c>
      <c r="G35" s="1" t="s">
        <v>21</v>
      </c>
      <c r="H35" s="1" t="s">
        <v>141</v>
      </c>
      <c r="I35" s="2" t="s">
        <v>127</v>
      </c>
      <c r="J35" s="1" t="s">
        <v>128</v>
      </c>
      <c r="K35" s="1">
        <v>1</v>
      </c>
      <c r="L35" s="1">
        <f>VLOOKUP(J35,'[1]2025年5.5新价格提成表 '!$B:$K,10,0)</f>
        <v>119</v>
      </c>
      <c r="M35" s="3">
        <f t="shared" si="0"/>
        <v>119</v>
      </c>
      <c r="N35" s="1">
        <v>3882</v>
      </c>
      <c r="O35" s="1">
        <v>3882</v>
      </c>
      <c r="P35" s="1">
        <v>3882</v>
      </c>
    </row>
    <row r="36" hidden="1" spans="1:16">
      <c r="A36" s="1" t="s">
        <v>145</v>
      </c>
      <c r="B36" s="1" t="s">
        <v>16</v>
      </c>
      <c r="C36" s="1" t="s">
        <v>178</v>
      </c>
      <c r="D36" s="1" t="s">
        <v>179</v>
      </c>
      <c r="E36" s="1" t="s">
        <v>180</v>
      </c>
      <c r="F36" s="1" t="s">
        <v>20</v>
      </c>
      <c r="G36" s="1" t="s">
        <v>21</v>
      </c>
      <c r="H36" s="1" t="s">
        <v>22</v>
      </c>
      <c r="I36" s="2" t="s">
        <v>181</v>
      </c>
      <c r="J36" s="1" t="s">
        <v>182</v>
      </c>
      <c r="K36" s="1">
        <v>1</v>
      </c>
      <c r="L36" s="1">
        <f>VLOOKUP(J36,'[1]2025年5.5新价格提成表 '!$B:$K,10,0)</f>
        <v>160</v>
      </c>
      <c r="M36" s="3">
        <f t="shared" si="0"/>
        <v>160</v>
      </c>
      <c r="N36" s="1">
        <v>5185</v>
      </c>
      <c r="O36" s="1">
        <v>5185</v>
      </c>
      <c r="P36" s="1">
        <v>5185</v>
      </c>
    </row>
    <row r="37" hidden="1" spans="1:16">
      <c r="A37" s="1" t="s">
        <v>183</v>
      </c>
      <c r="B37" s="1" t="s">
        <v>16</v>
      </c>
      <c r="C37" s="1" t="s">
        <v>184</v>
      </c>
      <c r="D37" s="1" t="s">
        <v>185</v>
      </c>
      <c r="E37" s="1" t="s">
        <v>186</v>
      </c>
      <c r="F37" s="1" t="s">
        <v>20</v>
      </c>
      <c r="G37" s="1" t="s">
        <v>21</v>
      </c>
      <c r="H37" s="1" t="s">
        <v>141</v>
      </c>
      <c r="I37" s="2" t="s">
        <v>69</v>
      </c>
      <c r="J37" s="1" t="s">
        <v>70</v>
      </c>
      <c r="K37" s="1">
        <v>1</v>
      </c>
      <c r="L37" s="1">
        <f>VLOOKUP(J37,'[1]2025年5.5新价格提成表 '!$B:$K,10,0)</f>
        <v>13</v>
      </c>
      <c r="M37" s="3">
        <f t="shared" si="0"/>
        <v>13</v>
      </c>
      <c r="N37" s="1">
        <v>790</v>
      </c>
      <c r="O37" s="1">
        <v>790</v>
      </c>
      <c r="P37" s="1">
        <v>790</v>
      </c>
    </row>
    <row r="38" hidden="1" spans="1:16">
      <c r="A38" s="1" t="s">
        <v>183</v>
      </c>
      <c r="B38" s="1" t="s">
        <v>16</v>
      </c>
      <c r="C38" s="1" t="s">
        <v>187</v>
      </c>
      <c r="D38" s="1" t="s">
        <v>188</v>
      </c>
      <c r="E38" s="1" t="s">
        <v>189</v>
      </c>
      <c r="F38" s="1" t="s">
        <v>20</v>
      </c>
      <c r="G38" s="1" t="s">
        <v>21</v>
      </c>
      <c r="H38" s="1" t="s">
        <v>29</v>
      </c>
      <c r="I38" s="2" t="s">
        <v>133</v>
      </c>
      <c r="J38" s="1" t="s">
        <v>134</v>
      </c>
      <c r="K38" s="1">
        <v>1</v>
      </c>
      <c r="L38" s="1">
        <f>VLOOKUP(J38,'[1]2025年5.5新价格提成表 '!$B:$K,10,0)</f>
        <v>223</v>
      </c>
      <c r="M38" s="3">
        <f t="shared" si="0"/>
        <v>223</v>
      </c>
      <c r="N38" s="1">
        <v>3488</v>
      </c>
      <c r="O38" s="1">
        <v>3488</v>
      </c>
      <c r="P38" s="1">
        <v>3488</v>
      </c>
    </row>
    <row r="39" hidden="1" spans="1:16">
      <c r="A39" s="1" t="s">
        <v>190</v>
      </c>
      <c r="B39" s="1" t="s">
        <v>16</v>
      </c>
      <c r="C39" s="1" t="s">
        <v>191</v>
      </c>
      <c r="D39" s="1" t="s">
        <v>192</v>
      </c>
      <c r="E39" s="1" t="s">
        <v>193</v>
      </c>
      <c r="F39" s="1" t="s">
        <v>20</v>
      </c>
      <c r="G39" s="1" t="s">
        <v>21</v>
      </c>
      <c r="H39" s="1" t="s">
        <v>141</v>
      </c>
      <c r="I39" s="2" t="s">
        <v>79</v>
      </c>
      <c r="J39" s="1" t="s">
        <v>80</v>
      </c>
      <c r="K39" s="1">
        <v>1</v>
      </c>
      <c r="L39" s="1">
        <f>VLOOKUP(J39,'[1]2025年5.5新价格提成表 '!$B:$K,10,0)</f>
        <v>78</v>
      </c>
      <c r="M39" s="3">
        <f t="shared" si="0"/>
        <v>78</v>
      </c>
      <c r="N39" s="1">
        <v>2685</v>
      </c>
      <c r="O39" s="1">
        <v>2685</v>
      </c>
      <c r="P39" s="1">
        <v>2685</v>
      </c>
    </row>
    <row r="40" hidden="1" spans="1:16">
      <c r="A40" s="1" t="s">
        <v>194</v>
      </c>
      <c r="B40" s="1" t="s">
        <v>16</v>
      </c>
      <c r="C40" s="1" t="s">
        <v>195</v>
      </c>
      <c r="D40" s="1" t="s">
        <v>196</v>
      </c>
      <c r="E40" s="1" t="s">
        <v>197</v>
      </c>
      <c r="F40" s="1" t="s">
        <v>20</v>
      </c>
      <c r="G40" s="1" t="s">
        <v>21</v>
      </c>
      <c r="H40" s="1" t="s">
        <v>22</v>
      </c>
      <c r="I40" s="2" t="s">
        <v>130</v>
      </c>
      <c r="J40" s="1" t="s">
        <v>131</v>
      </c>
      <c r="K40" s="1">
        <v>1</v>
      </c>
      <c r="L40" s="1">
        <f>VLOOKUP(J40,'[1]2025年5.5新价格提成表 '!$B:$K,10,0)</f>
        <v>132</v>
      </c>
      <c r="M40" s="3">
        <f t="shared" si="0"/>
        <v>132</v>
      </c>
      <c r="N40" s="1">
        <v>2379</v>
      </c>
      <c r="O40" s="1">
        <v>2379</v>
      </c>
      <c r="P40" s="1">
        <v>2379</v>
      </c>
    </row>
    <row r="41" hidden="1" spans="1:16">
      <c r="A41" s="1" t="s">
        <v>194</v>
      </c>
      <c r="B41" s="1" t="s">
        <v>16</v>
      </c>
      <c r="C41" s="1" t="s">
        <v>198</v>
      </c>
      <c r="D41" s="1" t="s">
        <v>196</v>
      </c>
      <c r="E41" s="1" t="s">
        <v>197</v>
      </c>
      <c r="F41" s="1" t="s">
        <v>20</v>
      </c>
      <c r="G41" s="1" t="s">
        <v>21</v>
      </c>
      <c r="H41" s="1" t="s">
        <v>22</v>
      </c>
      <c r="I41" s="2" t="s">
        <v>103</v>
      </c>
      <c r="J41" s="1" t="s">
        <v>104</v>
      </c>
      <c r="K41" s="1">
        <v>1</v>
      </c>
      <c r="L41" s="1">
        <f>VLOOKUP(J41,'[1]2025年5.5新价格提成表 '!$B:$K,10,0)</f>
        <v>134</v>
      </c>
      <c r="M41" s="3">
        <f t="shared" si="0"/>
        <v>134</v>
      </c>
      <c r="N41" s="1">
        <v>4590</v>
      </c>
      <c r="O41" s="1">
        <v>4590</v>
      </c>
      <c r="P41" s="1">
        <v>4590</v>
      </c>
    </row>
    <row r="42" hidden="1" spans="1:16">
      <c r="A42" s="1" t="s">
        <v>199</v>
      </c>
      <c r="B42" s="1" t="s">
        <v>16</v>
      </c>
      <c r="C42" s="1" t="s">
        <v>200</v>
      </c>
      <c r="D42" s="1" t="s">
        <v>201</v>
      </c>
      <c r="E42" s="1" t="s">
        <v>202</v>
      </c>
      <c r="F42" s="1" t="s">
        <v>20</v>
      </c>
      <c r="G42" s="1" t="s">
        <v>21</v>
      </c>
      <c r="H42" s="1" t="s">
        <v>22</v>
      </c>
      <c r="I42" s="2" t="s">
        <v>133</v>
      </c>
      <c r="J42" s="1" t="s">
        <v>134</v>
      </c>
      <c r="K42" s="1">
        <v>1</v>
      </c>
      <c r="L42" s="1">
        <f>VLOOKUP(J42,'[1]2025年5.5新价格提成表 '!$B:$K,10,0)</f>
        <v>223</v>
      </c>
      <c r="M42" s="3">
        <f t="shared" si="0"/>
        <v>223</v>
      </c>
      <c r="N42" s="1">
        <v>3488</v>
      </c>
      <c r="O42" s="1">
        <v>3488</v>
      </c>
      <c r="P42" s="1">
        <v>3488</v>
      </c>
    </row>
    <row r="43" hidden="1" spans="1:17">
      <c r="A43" s="1" t="s">
        <v>199</v>
      </c>
      <c r="B43" s="1" t="s">
        <v>50</v>
      </c>
      <c r="C43" s="1" t="s">
        <v>203</v>
      </c>
      <c r="D43" s="1" t="s">
        <v>204</v>
      </c>
      <c r="E43" s="1" t="s">
        <v>205</v>
      </c>
      <c r="F43" s="1" t="s">
        <v>20</v>
      </c>
      <c r="G43" s="1" t="s">
        <v>21</v>
      </c>
      <c r="H43" s="1" t="s">
        <v>22</v>
      </c>
      <c r="I43" s="2" t="s">
        <v>79</v>
      </c>
      <c r="J43" s="1" t="s">
        <v>80</v>
      </c>
      <c r="K43" s="1">
        <v>-1</v>
      </c>
      <c r="L43" s="1">
        <f>VLOOKUP(J43,'[1]2025年5.5新价格提成表 '!$B:$K,10,0)</f>
        <v>78</v>
      </c>
      <c r="M43" s="3">
        <f t="shared" si="0"/>
        <v>-78</v>
      </c>
      <c r="N43" s="1">
        <v>-2685</v>
      </c>
      <c r="O43" s="1">
        <v>2685</v>
      </c>
      <c r="P43" s="1">
        <v>2685</v>
      </c>
      <c r="Q43" s="1" t="s">
        <v>206</v>
      </c>
    </row>
    <row r="44" hidden="1" spans="1:17">
      <c r="A44" s="1" t="s">
        <v>207</v>
      </c>
      <c r="B44" s="1" t="s">
        <v>16</v>
      </c>
      <c r="C44" s="1" t="s">
        <v>208</v>
      </c>
      <c r="D44" s="1" t="s">
        <v>209</v>
      </c>
      <c r="E44" s="1" t="s">
        <v>210</v>
      </c>
      <c r="F44" s="1" t="s">
        <v>20</v>
      </c>
      <c r="G44" s="1" t="s">
        <v>21</v>
      </c>
      <c r="H44" s="1" t="s">
        <v>141</v>
      </c>
      <c r="I44" s="2" t="s">
        <v>85</v>
      </c>
      <c r="J44" s="1" t="s">
        <v>86</v>
      </c>
      <c r="K44" s="1">
        <v>1</v>
      </c>
      <c r="L44" s="1">
        <f>VLOOKUP(J44,'[1]2025年5.5新价格提成表 '!$B:$K,10,0)</f>
        <v>12</v>
      </c>
      <c r="M44" s="3">
        <f t="shared" si="0"/>
        <v>12</v>
      </c>
      <c r="N44" s="1">
        <v>729</v>
      </c>
      <c r="O44" s="1">
        <v>729</v>
      </c>
      <c r="P44" s="1">
        <v>729</v>
      </c>
      <c r="Q44" s="1" t="s">
        <v>211</v>
      </c>
    </row>
    <row r="45" hidden="1" spans="1:17">
      <c r="A45" s="1" t="s">
        <v>207</v>
      </c>
      <c r="B45" s="1" t="s">
        <v>50</v>
      </c>
      <c r="C45" s="1" t="s">
        <v>212</v>
      </c>
      <c r="D45" s="1" t="s">
        <v>209</v>
      </c>
      <c r="E45" s="1" t="s">
        <v>210</v>
      </c>
      <c r="F45" s="1" t="s">
        <v>20</v>
      </c>
      <c r="G45" s="1" t="s">
        <v>21</v>
      </c>
      <c r="H45" s="1" t="s">
        <v>141</v>
      </c>
      <c r="I45" s="2" t="s">
        <v>85</v>
      </c>
      <c r="J45" s="1" t="s">
        <v>86</v>
      </c>
      <c r="K45" s="1">
        <v>-1</v>
      </c>
      <c r="L45" s="1">
        <f>VLOOKUP(J45,'[1]2025年5.5新价格提成表 '!$B:$K,10,0)</f>
        <v>12</v>
      </c>
      <c r="M45" s="3">
        <f t="shared" si="0"/>
        <v>-12</v>
      </c>
      <c r="N45" s="1">
        <v>-729</v>
      </c>
      <c r="O45" s="1">
        <v>729</v>
      </c>
      <c r="P45" s="1">
        <v>729</v>
      </c>
      <c r="Q45" s="1" t="s">
        <v>213</v>
      </c>
    </row>
    <row r="46" hidden="1" spans="1:17">
      <c r="A46" s="1" t="s">
        <v>207</v>
      </c>
      <c r="B46" s="1" t="s">
        <v>16</v>
      </c>
      <c r="C46" s="1" t="s">
        <v>214</v>
      </c>
      <c r="D46" s="1" t="s">
        <v>215</v>
      </c>
      <c r="E46" s="1" t="s">
        <v>216</v>
      </c>
      <c r="F46" s="1" t="s">
        <v>20</v>
      </c>
      <c r="G46" s="1" t="s">
        <v>21</v>
      </c>
      <c r="H46" s="1" t="s">
        <v>22</v>
      </c>
      <c r="I46" s="2" t="s">
        <v>103</v>
      </c>
      <c r="J46" s="1" t="s">
        <v>104</v>
      </c>
      <c r="K46" s="1">
        <v>1</v>
      </c>
      <c r="L46" s="1">
        <f>VLOOKUP(J46,'[1]2025年5.5新价格提成表 '!$B:$K,10,0)</f>
        <v>134</v>
      </c>
      <c r="M46" s="3">
        <f t="shared" si="0"/>
        <v>134</v>
      </c>
      <c r="N46" s="1">
        <v>4590</v>
      </c>
      <c r="O46" s="1">
        <v>4590</v>
      </c>
      <c r="P46" s="1">
        <v>4590</v>
      </c>
      <c r="Q46" s="1" t="s">
        <v>211</v>
      </c>
    </row>
    <row r="47" hidden="1" spans="1:17">
      <c r="A47" s="1" t="s">
        <v>207</v>
      </c>
      <c r="B47" s="1" t="s">
        <v>50</v>
      </c>
      <c r="C47" s="1" t="s">
        <v>217</v>
      </c>
      <c r="D47" s="1" t="s">
        <v>215</v>
      </c>
      <c r="E47" s="1" t="s">
        <v>216</v>
      </c>
      <c r="F47" s="1" t="s">
        <v>20</v>
      </c>
      <c r="G47" s="1" t="s">
        <v>21</v>
      </c>
      <c r="H47" s="1" t="s">
        <v>22</v>
      </c>
      <c r="I47" s="2" t="s">
        <v>103</v>
      </c>
      <c r="J47" s="1" t="s">
        <v>104</v>
      </c>
      <c r="K47" s="1">
        <v>-1</v>
      </c>
      <c r="L47" s="1">
        <f>VLOOKUP(J47,'[1]2025年5.5新价格提成表 '!$B:$K,10,0)</f>
        <v>134</v>
      </c>
      <c r="M47" s="3">
        <f t="shared" si="0"/>
        <v>-134</v>
      </c>
      <c r="N47" s="1">
        <v>-4590</v>
      </c>
      <c r="O47" s="1">
        <v>4590</v>
      </c>
      <c r="P47" s="1">
        <v>4590</v>
      </c>
      <c r="Q47" s="1" t="s">
        <v>213</v>
      </c>
    </row>
    <row r="48" hidden="1" spans="1:16">
      <c r="A48" s="1" t="s">
        <v>207</v>
      </c>
      <c r="B48" s="1" t="s">
        <v>16</v>
      </c>
      <c r="C48" s="1" t="s">
        <v>218</v>
      </c>
      <c r="D48" s="1" t="s">
        <v>219</v>
      </c>
      <c r="E48" s="1" t="s">
        <v>220</v>
      </c>
      <c r="F48" s="1" t="s">
        <v>20</v>
      </c>
      <c r="G48" s="1" t="s">
        <v>21</v>
      </c>
      <c r="H48" s="1" t="s">
        <v>141</v>
      </c>
      <c r="I48" s="2" t="s">
        <v>85</v>
      </c>
      <c r="J48" s="1" t="s">
        <v>86</v>
      </c>
      <c r="K48" s="1">
        <v>1</v>
      </c>
      <c r="L48" s="1">
        <f>VLOOKUP(J48,'[1]2025年5.5新价格提成表 '!$B:$K,10,0)</f>
        <v>12</v>
      </c>
      <c r="M48" s="3">
        <f t="shared" si="0"/>
        <v>12</v>
      </c>
      <c r="N48" s="1">
        <v>729</v>
      </c>
      <c r="O48" s="1">
        <v>729</v>
      </c>
      <c r="P48" s="1">
        <v>729</v>
      </c>
    </row>
    <row r="49" hidden="1" spans="1:16">
      <c r="A49" s="1" t="s">
        <v>207</v>
      </c>
      <c r="B49" s="1" t="s">
        <v>16</v>
      </c>
      <c r="C49" s="1" t="s">
        <v>221</v>
      </c>
      <c r="D49" s="1" t="s">
        <v>222</v>
      </c>
      <c r="E49" s="1" t="s">
        <v>223</v>
      </c>
      <c r="F49" s="1" t="s">
        <v>20</v>
      </c>
      <c r="G49" s="1" t="s">
        <v>21</v>
      </c>
      <c r="H49" s="1" t="s">
        <v>29</v>
      </c>
      <c r="I49" s="2" t="s">
        <v>224</v>
      </c>
      <c r="J49" s="1" t="s">
        <v>225</v>
      </c>
      <c r="K49" s="1">
        <v>1</v>
      </c>
      <c r="L49" s="1">
        <f>VLOOKUP(J49,'[1]2025年5.5新价格提成表 '!$B:$K,10,0)</f>
        <v>142</v>
      </c>
      <c r="M49" s="3">
        <f t="shared" si="0"/>
        <v>142</v>
      </c>
      <c r="N49" s="1">
        <v>4809</v>
      </c>
      <c r="O49" s="1">
        <v>4809</v>
      </c>
      <c r="P49" s="1">
        <v>4809</v>
      </c>
    </row>
    <row r="50" hidden="1" spans="1:17">
      <c r="A50" s="1" t="s">
        <v>207</v>
      </c>
      <c r="B50" s="1" t="s">
        <v>50</v>
      </c>
      <c r="C50" s="1" t="s">
        <v>226</v>
      </c>
      <c r="D50" s="1" t="s">
        <v>227</v>
      </c>
      <c r="E50" s="1" t="s">
        <v>228</v>
      </c>
      <c r="F50" s="1" t="s">
        <v>20</v>
      </c>
      <c r="G50" s="1" t="s">
        <v>21</v>
      </c>
      <c r="H50" s="1" t="s">
        <v>22</v>
      </c>
      <c r="I50" s="2" t="s">
        <v>103</v>
      </c>
      <c r="J50" s="1" t="s">
        <v>104</v>
      </c>
      <c r="K50" s="1">
        <v>-1</v>
      </c>
      <c r="L50" s="1">
        <f>VLOOKUP(J50,'[1]2025年5.5新价格提成表 '!$B:$K,10,0)</f>
        <v>134</v>
      </c>
      <c r="M50" s="3">
        <f t="shared" si="0"/>
        <v>-134</v>
      </c>
      <c r="N50" s="1">
        <v>-4590</v>
      </c>
      <c r="O50" s="1">
        <v>4590</v>
      </c>
      <c r="P50" s="1">
        <v>4590</v>
      </c>
      <c r="Q50" s="1" t="s">
        <v>229</v>
      </c>
    </row>
  </sheetData>
  <autoFilter xmlns:etc="http://www.wps.cn/officeDocument/2017/etCustomData" ref="A1:Q50" etc:filterBottomFollowUsedRange="0">
    <filterColumn colId="7">
      <customFilters>
        <customFilter operator="equal" val="翁昕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汇总</vt:lpstr>
      <vt:lpstr>提成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17108</dc:creator>
  <cp:lastModifiedBy>两两</cp:lastModifiedBy>
  <dcterms:created xsi:type="dcterms:W3CDTF">2025-10-08T05:26:00Z</dcterms:created>
  <dcterms:modified xsi:type="dcterms:W3CDTF">2025-10-08T05:37:37Z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A35DA933F8D94ADB9A98BF00D98C9E85_11</vt:lpwstr>
  </property>
  <property fmtid="{D5CDD505-2E9C-101B-9397-08002B2CF9AE}" pid="3" name="KSOProductBuildVer">
    <vt:lpwstr>2052-12.1.0.22529</vt:lpwstr>
  </property>
</Properties>
</file>