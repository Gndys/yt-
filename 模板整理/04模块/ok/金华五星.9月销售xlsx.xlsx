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50" windowHeight="6880" activeTab="3"/>
  </bookViews>
  <sheets>
    <sheet name="9月销售" sheetId="1" r:id="rId1"/>
    <sheet name="提成" sheetId="2" r:id="rId2"/>
    <sheet name="复核明细" sheetId="5" r:id="rId3"/>
    <sheet name="提成汇总复核" sheetId="8" r:id="rId4"/>
    <sheet name="提成汇总" sheetId="4" r:id="rId5"/>
  </sheets>
  <externalReferences>
    <externalReference r:id="rId7"/>
  </externalReferences>
  <definedNames>
    <definedName name="_xlnm._FilterDatabase" localSheetId="0" hidden="1">'9月销售'!$A$1:$Q$159</definedName>
    <definedName name="_xlnm._FilterDatabase" localSheetId="1" hidden="1">提成!$A$1:$M$406</definedName>
    <definedName name="_xlnm._FilterDatabase" localSheetId="2" hidden="1">复核明细!$A$1:$P$406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加盟商、经销商无自主返利</t>
        </r>
      </text>
    </comment>
    <comment ref="L2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2022.7.2标价上涨（6.25工厂）</t>
        </r>
      </text>
    </comment>
    <comment ref="L3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O1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加盟商、经销商无自主返利</t>
        </r>
      </text>
    </comment>
    <comment ref="O2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2022.7.2标价上涨（6.25工厂）</t>
        </r>
      </text>
    </comment>
    <comment ref="O3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sharedStrings.xml><?xml version="1.0" encoding="utf-8"?>
<sst xmlns="http://schemas.openxmlformats.org/spreadsheetml/2006/main" count="4319" uniqueCount="719">
  <si>
    <t>日期</t>
  </si>
  <si>
    <t>正逆向订单标识</t>
  </si>
  <si>
    <t>商品名称</t>
  </si>
  <si>
    <t>商品ID</t>
  </si>
  <si>
    <t>销售父单号</t>
  </si>
  <si>
    <t>销售子单号</t>
  </si>
  <si>
    <t>分部</t>
  </si>
  <si>
    <t>门店</t>
  </si>
  <si>
    <t>五星经营部门</t>
  </si>
  <si>
    <t>一级类目</t>
  </si>
  <si>
    <t>二级类目</t>
  </si>
  <si>
    <t>三级类目</t>
  </si>
  <si>
    <t>子品牌</t>
  </si>
  <si>
    <t>供应商</t>
  </si>
  <si>
    <t>采购主体</t>
  </si>
  <si>
    <t>含税含券销售额</t>
  </si>
  <si>
    <t>销售商品数量</t>
  </si>
  <si>
    <t>2025-09-30</t>
  </si>
  <si>
    <t>100</t>
  </si>
  <si>
    <t>史密斯（A.O.SMITH）燃气热水器JSQ31-WVJWi</t>
  </si>
  <si>
    <t>100120483986</t>
  </si>
  <si>
    <t>323360044919</t>
  </si>
  <si>
    <t>杭州分部</t>
  </si>
  <si>
    <t>京东五星电器金华店</t>
  </si>
  <si>
    <t>厨卫</t>
  </si>
  <si>
    <t>家用电器</t>
  </si>
  <si>
    <t>厨卫大电</t>
  </si>
  <si>
    <t>燃气热水器</t>
  </si>
  <si>
    <t>史密斯（A.O.SMITH）</t>
  </si>
  <si>
    <t>杭州中冠电器有限公司</t>
  </si>
  <si>
    <t>23830</t>
  </si>
  <si>
    <t>史密斯（A.O.SMITH）电热水器EWH-60WHCWi</t>
  </si>
  <si>
    <t>100212815470</t>
  </si>
  <si>
    <t>323525585395</t>
  </si>
  <si>
    <t>京东电器城市旗舰店金华商城店</t>
  </si>
  <si>
    <t>电热水器</t>
  </si>
  <si>
    <t>史密斯（A.O.Smith）电热水器EWH-80DA</t>
  </si>
  <si>
    <t>100091506229</t>
  </si>
  <si>
    <t>323466012319</t>
  </si>
  <si>
    <t>京东五星电器杭州佳源银座店</t>
  </si>
  <si>
    <t>2025-09-29</t>
  </si>
  <si>
    <t>史密斯（A.O.Smith）净水机R1700FWI</t>
  </si>
  <si>
    <t>100096625839</t>
  </si>
  <si>
    <t>323426433821</t>
  </si>
  <si>
    <t>京东五星电器杭州元茂店</t>
  </si>
  <si>
    <t>生活电器</t>
  </si>
  <si>
    <t>净水器</t>
  </si>
  <si>
    <t>史密斯（A.O.SMITH）燃气热水器JSQ31-WACWi</t>
  </si>
  <si>
    <t>100164475529</t>
  </si>
  <si>
    <t>338481220842</t>
  </si>
  <si>
    <t>101</t>
  </si>
  <si>
    <t>史密斯（A.O.SMITH）净水器DR1600FS1</t>
  </si>
  <si>
    <t>100127048011</t>
  </si>
  <si>
    <t>336528754188</t>
  </si>
  <si>
    <t>京东五星电器金华时代广场店</t>
  </si>
  <si>
    <t>史密斯（A.O.SMITH）油烟机CXW-400-S5CHWi</t>
  </si>
  <si>
    <t>100153232249</t>
  </si>
  <si>
    <t>322376426961</t>
  </si>
  <si>
    <t>油烟机</t>
  </si>
  <si>
    <t>2025-09-28</t>
  </si>
  <si>
    <t>史密斯（A.O.SMITH）燃气热水器JSQ48-MJSWi</t>
  </si>
  <si>
    <t>100126019471</t>
  </si>
  <si>
    <t>338307096878</t>
  </si>
  <si>
    <t>338369739496</t>
  </si>
  <si>
    <t>338417351142</t>
  </si>
  <si>
    <t>338303172748</t>
  </si>
  <si>
    <t>史密斯（A.O.SMITH）电热水器CEWH-60D3Wi</t>
  </si>
  <si>
    <t>100113859865</t>
  </si>
  <si>
    <t>323398857843</t>
  </si>
  <si>
    <t>京东五星电器杭州秋涛路店</t>
  </si>
  <si>
    <t>2025-09-27</t>
  </si>
  <si>
    <t>史密斯（A.O.SMITH）燃气热水器JSLQ28-AJEWi</t>
  </si>
  <si>
    <t>100122138134</t>
  </si>
  <si>
    <t>323201701494</t>
  </si>
  <si>
    <t>338268872578</t>
  </si>
  <si>
    <t>史密斯（A.O.Smith）电热水器EWH-60HGCWI</t>
  </si>
  <si>
    <t>100102708980</t>
  </si>
  <si>
    <t>338225236782</t>
  </si>
  <si>
    <t>史密斯（A.O.SMITH）电热水器CEWH-60WKBWi</t>
  </si>
  <si>
    <t>100105213057</t>
  </si>
  <si>
    <t>338224600268</t>
  </si>
  <si>
    <t>323347167442</t>
  </si>
  <si>
    <t>京东五星电器杭州九堡店</t>
  </si>
  <si>
    <t>2025-09-26</t>
  </si>
  <si>
    <t>史密斯（A.O.SMITH）油烟机CXW-400-Z3AWi</t>
  </si>
  <si>
    <t>100234363684</t>
  </si>
  <si>
    <t>323132719412</t>
  </si>
  <si>
    <t>史密斯（A.O.SMITH）燃气热水器JSQ31-DJAWi</t>
  </si>
  <si>
    <t>100199660377</t>
  </si>
  <si>
    <t>323151322549</t>
  </si>
  <si>
    <t>史密斯（A.O.Smith）油烟机CXW-350-Q2CWI</t>
  </si>
  <si>
    <t>100102708922</t>
  </si>
  <si>
    <t>323294233360</t>
  </si>
  <si>
    <t>京东电器城市旗舰店义乌店</t>
  </si>
  <si>
    <t>史密斯（A.O.SMITH）净水器R1800SWi</t>
  </si>
  <si>
    <t>100153232239</t>
  </si>
  <si>
    <t>323240374844</t>
  </si>
  <si>
    <t>史密斯（A.O.SMITH）油烟机CXW-350-V3Wi</t>
  </si>
  <si>
    <t>100135100772</t>
  </si>
  <si>
    <t>338145346382</t>
  </si>
  <si>
    <t>323248748444</t>
  </si>
  <si>
    <t>323287581267</t>
  </si>
  <si>
    <t>323141913526</t>
  </si>
  <si>
    <t>338203591977</t>
  </si>
  <si>
    <t>323289157912</t>
  </si>
  <si>
    <t>史密斯（A.O.SMITH）灶具JZT-F5B1</t>
  </si>
  <si>
    <t>100240476506</t>
  </si>
  <si>
    <t>323129291511</t>
  </si>
  <si>
    <t>灶具</t>
  </si>
  <si>
    <t>史密斯（A.O.Smith）电热水器CEWH-60PA</t>
  </si>
  <si>
    <t>100091505805</t>
  </si>
  <si>
    <t>323283271921</t>
  </si>
  <si>
    <t>京东电器城市旗舰店嘉兴江南年华店</t>
  </si>
  <si>
    <t>338119688655</t>
  </si>
  <si>
    <t>史密斯（A.O.Smith）灶具JZT-V2B1S</t>
  </si>
  <si>
    <t>100102708912</t>
  </si>
  <si>
    <t>323244348219</t>
  </si>
  <si>
    <t>323301264817</t>
  </si>
  <si>
    <t>2025-09-24</t>
  </si>
  <si>
    <t>史密斯（A.O.Smith）燃气热水器JSQ31-CLD</t>
  </si>
  <si>
    <t>100049355936</t>
  </si>
  <si>
    <t>322804133717</t>
  </si>
  <si>
    <t>史密斯（A.O.Smith）电热水器EWH-60DA</t>
  </si>
  <si>
    <t>100101598918</t>
  </si>
  <si>
    <t>337740790157</t>
  </si>
  <si>
    <t>322966523537</t>
  </si>
  <si>
    <t>2025-09-23</t>
  </si>
  <si>
    <t>史密斯（A.O.SMITH）燃气热水器JSLQ28-ACEWi</t>
  </si>
  <si>
    <t>100122138168</t>
  </si>
  <si>
    <t>322878817274</t>
  </si>
  <si>
    <t>2025-09-22</t>
  </si>
  <si>
    <t>322712898837</t>
  </si>
  <si>
    <t>京东电器城市旗舰店杭州西溪乐天城店</t>
  </si>
  <si>
    <t>史密斯（A.O.SMITH）燃气热水器JSQ31-CSCWi</t>
  </si>
  <si>
    <t>100145536602</t>
  </si>
  <si>
    <t>322813662873</t>
  </si>
  <si>
    <t>322785491513</t>
  </si>
  <si>
    <t>102</t>
  </si>
  <si>
    <t>2025-09-21</t>
  </si>
  <si>
    <t>322755627356</t>
  </si>
  <si>
    <t>322755046620</t>
  </si>
  <si>
    <t>史密斯（A.O.Smith）燃气热水器JSQ31-ESCWi</t>
  </si>
  <si>
    <t>100212815468</t>
  </si>
  <si>
    <t>322641904500</t>
  </si>
  <si>
    <t>322648805526</t>
  </si>
  <si>
    <t>322732997951</t>
  </si>
  <si>
    <t>2025-09-20</t>
  </si>
  <si>
    <t>337479111755</t>
  </si>
  <si>
    <t>史密斯（A.O.SMITH）燃气热水器JSW31-VOSWi</t>
  </si>
  <si>
    <t>100212815418</t>
  </si>
  <si>
    <t>337437503821</t>
  </si>
  <si>
    <t>322706415450</t>
  </si>
  <si>
    <t>史密斯（A.O.SMITH）燃气热水器JSQ26-CSCWi</t>
  </si>
  <si>
    <t>100149118688</t>
  </si>
  <si>
    <t>322746891184</t>
  </si>
  <si>
    <t>322681953982</t>
  </si>
  <si>
    <t>322738764403</t>
  </si>
  <si>
    <t>322698749181</t>
  </si>
  <si>
    <t>史密斯（A.O.SMITH）电热水器CEWH-80WKWi</t>
  </si>
  <si>
    <t>100122138166</t>
  </si>
  <si>
    <t>322594398263</t>
  </si>
  <si>
    <t>322566385686</t>
  </si>
  <si>
    <t>史密斯（A.O.SMITH）管线机APM-HC1</t>
  </si>
  <si>
    <t>100166177866</t>
  </si>
  <si>
    <t>322692191646</t>
  </si>
  <si>
    <t>337485820811</t>
  </si>
  <si>
    <t>2025-09-19</t>
  </si>
  <si>
    <t>337417320263</t>
  </si>
  <si>
    <t>2025-09-18</t>
  </si>
  <si>
    <t>337292861738</t>
  </si>
  <si>
    <t>2025-09-17</t>
  </si>
  <si>
    <t>322391292183</t>
  </si>
  <si>
    <t>史密斯（A.O.SMITH）燃气热水器JSQ31-WDJWi</t>
  </si>
  <si>
    <t>100140439470</t>
  </si>
  <si>
    <t>337208985446</t>
  </si>
  <si>
    <t>322463641119</t>
  </si>
  <si>
    <t>322521550546</t>
  </si>
  <si>
    <t>2025-09-16</t>
  </si>
  <si>
    <t>337156898273</t>
  </si>
  <si>
    <t>337156625120</t>
  </si>
  <si>
    <t>2025-09-15</t>
  </si>
  <si>
    <t>史密斯（A.O.SMITH）空气能热水器HPA-50D1.0Q</t>
  </si>
  <si>
    <t>100153336390</t>
  </si>
  <si>
    <t>322391475770</t>
  </si>
  <si>
    <t>空气能热水器</t>
  </si>
  <si>
    <t>322354449819</t>
  </si>
  <si>
    <t>100122138164</t>
  </si>
  <si>
    <t>322363192253</t>
  </si>
  <si>
    <t>322376109211</t>
  </si>
  <si>
    <t>337065670378</t>
  </si>
  <si>
    <t>322357826780</t>
  </si>
  <si>
    <t>2025-09-14</t>
  </si>
  <si>
    <t>337030082571</t>
  </si>
  <si>
    <t>2025-09-13</t>
  </si>
  <si>
    <t>336932179557</t>
  </si>
  <si>
    <t>322253704219</t>
  </si>
  <si>
    <t>336949123818</t>
  </si>
  <si>
    <t>322163551541</t>
  </si>
  <si>
    <t>336921406603</t>
  </si>
  <si>
    <t>336950696804</t>
  </si>
  <si>
    <t>336940920516</t>
  </si>
  <si>
    <t>321108726364</t>
  </si>
  <si>
    <t>2025-09-12</t>
  </si>
  <si>
    <t>史密斯（A.O.Smith）燃气热水器JSLQ28-ACEWi</t>
  </si>
  <si>
    <t>100165652271</t>
  </si>
  <si>
    <t>336857379115</t>
  </si>
  <si>
    <t>322241017266</t>
  </si>
  <si>
    <t>336863101768</t>
  </si>
  <si>
    <t>2025-09-11</t>
  </si>
  <si>
    <t>317388452816</t>
  </si>
  <si>
    <t>2025-09-10</t>
  </si>
  <si>
    <t>322136739376</t>
  </si>
  <si>
    <t>322102167260</t>
  </si>
  <si>
    <t>2025-09-09</t>
  </si>
  <si>
    <t>321941351317</t>
  </si>
  <si>
    <t>336525147148</t>
  </si>
  <si>
    <t>322071323352</t>
  </si>
  <si>
    <t>336646286634</t>
  </si>
  <si>
    <t>335901811917</t>
  </si>
  <si>
    <t>2025-09-08</t>
  </si>
  <si>
    <t>322025633016</t>
  </si>
  <si>
    <t>336595994850</t>
  </si>
  <si>
    <t>史密斯（A.O.Smith）反渗透净水机R3000AB1（WI）</t>
  </si>
  <si>
    <t>100104032048</t>
  </si>
  <si>
    <t>321904179446</t>
  </si>
  <si>
    <t>322004329560</t>
  </si>
  <si>
    <t>321984568063</t>
  </si>
  <si>
    <t>322052274481</t>
  </si>
  <si>
    <t>336610822347</t>
  </si>
  <si>
    <t>336432936461</t>
  </si>
  <si>
    <t>史密斯（A.O.Smith）燃气热水器JSQ31-LN</t>
  </si>
  <si>
    <t>100046065066</t>
  </si>
  <si>
    <t>336596089611</t>
  </si>
  <si>
    <t>321993734715</t>
  </si>
  <si>
    <t>336602367943</t>
  </si>
  <si>
    <t>336603302153</t>
  </si>
  <si>
    <t>史密斯（A.O.Smith）燃气热水器JSQ26-ESCWi</t>
  </si>
  <si>
    <t>100102708930</t>
  </si>
  <si>
    <t>322003600826</t>
  </si>
  <si>
    <t>336512657871</t>
  </si>
  <si>
    <t>322027253106</t>
  </si>
  <si>
    <t>321987715295</t>
  </si>
  <si>
    <t>322041088818</t>
  </si>
  <si>
    <t>336606857547</t>
  </si>
  <si>
    <t>336615529190</t>
  </si>
  <si>
    <t>321879309750</t>
  </si>
  <si>
    <t>321990186525</t>
  </si>
  <si>
    <t>321990425660</t>
  </si>
  <si>
    <t>336583674187</t>
  </si>
  <si>
    <t>322002404735</t>
  </si>
  <si>
    <t>336608850566</t>
  </si>
  <si>
    <t>322028438194</t>
  </si>
  <si>
    <t>322044557715</t>
  </si>
  <si>
    <t>336585688513</t>
  </si>
  <si>
    <t>336603844832</t>
  </si>
  <si>
    <t>336537188301</t>
  </si>
  <si>
    <t>321997998303</t>
  </si>
  <si>
    <t>336180192967</t>
  </si>
  <si>
    <t>317579453471</t>
  </si>
  <si>
    <t>2025-09-06</t>
  </si>
  <si>
    <t>336268248868</t>
  </si>
  <si>
    <t>321883287068</t>
  </si>
  <si>
    <t>336286141638</t>
  </si>
  <si>
    <t>321787051572</t>
  </si>
  <si>
    <t>336327213603</t>
  </si>
  <si>
    <t>336334467017</t>
  </si>
  <si>
    <t>336337181256</t>
  </si>
  <si>
    <t>2025-09-05</t>
  </si>
  <si>
    <t>史密斯史密斯（A.O.Smith）燃气热水器JSQ40-MJSWi</t>
  </si>
  <si>
    <t>100100760121</t>
  </si>
  <si>
    <t>321853043290</t>
  </si>
  <si>
    <t>336188300134</t>
  </si>
  <si>
    <t>336111478606</t>
  </si>
  <si>
    <t>史密斯（A.O.Smith）燃气室外机JSW33-VOSX</t>
  </si>
  <si>
    <t>100102708914</t>
  </si>
  <si>
    <t>336160622658</t>
  </si>
  <si>
    <t>336171806922</t>
  </si>
  <si>
    <t>321841923579</t>
  </si>
  <si>
    <t>321846159994</t>
  </si>
  <si>
    <t>321857021553</t>
  </si>
  <si>
    <t>321851490520</t>
  </si>
  <si>
    <t>336160823649</t>
  </si>
  <si>
    <t>321867266584</t>
  </si>
  <si>
    <t>321833445307</t>
  </si>
  <si>
    <t>321827287034</t>
  </si>
  <si>
    <t>336157065413</t>
  </si>
  <si>
    <t>310477080533</t>
  </si>
  <si>
    <t>2025-09-04</t>
  </si>
  <si>
    <t>321785719998</t>
  </si>
  <si>
    <t>336105689833</t>
  </si>
  <si>
    <t>2025-09-03</t>
  </si>
  <si>
    <t>335969185614</t>
  </si>
  <si>
    <t>336030615306</t>
  </si>
  <si>
    <t>336036614826</t>
  </si>
  <si>
    <t>2025-09-02</t>
  </si>
  <si>
    <t>销售提成</t>
  </si>
  <si>
    <t>型号</t>
  </si>
  <si>
    <t>提成</t>
  </si>
  <si>
    <t>JSQ31-WVJWi</t>
  </si>
  <si>
    <t>EWH-6B2</t>
  </si>
  <si>
    <t>EWH-60WHCWi</t>
  </si>
  <si>
    <t>EWH-10A2</t>
  </si>
  <si>
    <t>DR1600FS1</t>
  </si>
  <si>
    <t>EWH-10B2</t>
  </si>
  <si>
    <t>JSQ48-MJSWi</t>
  </si>
  <si>
    <t>EWH-6C2</t>
  </si>
  <si>
    <t>CEWH-60A0</t>
  </si>
  <si>
    <t>R1700FWI</t>
  </si>
  <si>
    <t>CEWH-80A0</t>
  </si>
  <si>
    <t>CXW-350-Q2CWI</t>
  </si>
  <si>
    <t>CEWH-60BS-B</t>
  </si>
  <si>
    <t>CXW-350-V3Wi</t>
  </si>
  <si>
    <t>CEWH-50D0</t>
  </si>
  <si>
    <t>CEWH-60D0</t>
  </si>
  <si>
    <t>CEWH-60D0B</t>
  </si>
  <si>
    <t>JSQ31-WACWi</t>
  </si>
  <si>
    <t>CEWH-80D0</t>
  </si>
  <si>
    <t>CEWH-60D1BWi</t>
  </si>
  <si>
    <t>JZT-V2B1S</t>
  </si>
  <si>
    <t>CEWH-60D1Wi</t>
  </si>
  <si>
    <t>CEWH-80D1Wi</t>
  </si>
  <si>
    <t>EWH-60DA</t>
  </si>
  <si>
    <t>CEWH-50AS</t>
  </si>
  <si>
    <t>JSQ31-CSCWi</t>
  </si>
  <si>
    <t>CEWH-60AS</t>
  </si>
  <si>
    <t>CEWH-60D3Wi</t>
  </si>
  <si>
    <t>CEWH-80AS</t>
  </si>
  <si>
    <t>CEWH-60PB</t>
  </si>
  <si>
    <t>CEWH-60PA</t>
  </si>
  <si>
    <t>JSQ31-ESCWi</t>
  </si>
  <si>
    <t>CEWH-80PA</t>
  </si>
  <si>
    <t>CEWH-50D3Wi</t>
  </si>
  <si>
    <t>CEWH-60D3BWi</t>
  </si>
  <si>
    <t>JSW31-VOSWi</t>
  </si>
  <si>
    <t>CEWH-80D3Wi</t>
  </si>
  <si>
    <t>EWH-50DA</t>
  </si>
  <si>
    <t>JSQ26-CSCWi</t>
  </si>
  <si>
    <t>EWH-80DA</t>
  </si>
  <si>
    <t>CEWH-60G</t>
  </si>
  <si>
    <t>CEWH-60GA</t>
  </si>
  <si>
    <t>CEWH-80WKWi</t>
  </si>
  <si>
    <t>CEWH-80GA</t>
  </si>
  <si>
    <t>CEWH-60GWi</t>
  </si>
  <si>
    <t>APM-HC1</t>
  </si>
  <si>
    <t>CEWH-80GWi</t>
  </si>
  <si>
    <t>CEWH-80K</t>
  </si>
  <si>
    <t>CEWH-100K</t>
  </si>
  <si>
    <t>CEWH-60KBWi</t>
  </si>
  <si>
    <t>JSLQ28-AJEWi</t>
  </si>
  <si>
    <t>CEWH-60KWi</t>
  </si>
  <si>
    <t>CEWH-80KWi</t>
  </si>
  <si>
    <t>CEWH-100KWi</t>
  </si>
  <si>
    <t>CEWH-50D5Wi</t>
  </si>
  <si>
    <t>EWH-60HGCWI</t>
  </si>
  <si>
    <t>CEWH-60D5Wi</t>
  </si>
  <si>
    <t>CEWH-60D5BWi</t>
  </si>
  <si>
    <t>CEWH-80D5Wi</t>
  </si>
  <si>
    <t>CEWH-60TKBWi</t>
  </si>
  <si>
    <t>CEWH-60TKWi</t>
  </si>
  <si>
    <t>CEWH-80TKWi</t>
  </si>
  <si>
    <t>CEWH-60WKWi</t>
  </si>
  <si>
    <t>CEWH-60WKBWi</t>
  </si>
  <si>
    <t>JSQ31-WDJWi</t>
  </si>
  <si>
    <t>EWH-60HG</t>
  </si>
  <si>
    <t>EWH-80HG</t>
  </si>
  <si>
    <t>EWH-60HGM</t>
  </si>
  <si>
    <t>EWH-80HGM</t>
  </si>
  <si>
    <t>EWH-60HGMAi</t>
  </si>
  <si>
    <t>EWH-80HGMAi</t>
  </si>
  <si>
    <t>EWH-60HGMWi</t>
  </si>
  <si>
    <t>JSQ31-LN</t>
  </si>
  <si>
    <t>EWH-80HGMWi</t>
  </si>
  <si>
    <t>EWH-60HGC</t>
  </si>
  <si>
    <t>JSQ26-ESCWi</t>
  </si>
  <si>
    <t>EWH-80HGC</t>
  </si>
  <si>
    <t>EWH-60THCWi</t>
  </si>
  <si>
    <t>EWH-80THCWi</t>
  </si>
  <si>
    <t>EWH-80WHCWi</t>
  </si>
  <si>
    <t>EWH-60HGCAi</t>
  </si>
  <si>
    <t>EWH-80HGCAi</t>
  </si>
  <si>
    <t>EWH-60HGCWi</t>
  </si>
  <si>
    <t>EWH-80HGCWi</t>
  </si>
  <si>
    <t>EWH-60HGA</t>
  </si>
  <si>
    <t>EWH-80HGA</t>
  </si>
  <si>
    <t>EWH-60HGAWi</t>
  </si>
  <si>
    <t>EWH-80HGAWi</t>
  </si>
  <si>
    <t>EWH-60HGKWi</t>
  </si>
  <si>
    <t>EWH-80HGKWi</t>
  </si>
  <si>
    <t>EWH-60HGKAi</t>
  </si>
  <si>
    <t>EWH-80HGKAi</t>
  </si>
  <si>
    <t>CEWH-40R1S</t>
  </si>
  <si>
    <t>CEWH-50R1S</t>
  </si>
  <si>
    <t>CEWH-60R1S</t>
  </si>
  <si>
    <t>CEWHR-50PE8</t>
  </si>
  <si>
    <t>CEWHR-60PE8</t>
  </si>
  <si>
    <t>CEWHR-80PE8</t>
  </si>
  <si>
    <t>CEWHR-40PEWi</t>
  </si>
  <si>
    <t>CEWHR-50PEWi</t>
  </si>
  <si>
    <t>CEWHR-60PEWi</t>
  </si>
  <si>
    <t>CEWHR-80PEWi</t>
  </si>
  <si>
    <t>EWH-40MINIWi</t>
  </si>
  <si>
    <t>E50VDS</t>
  </si>
  <si>
    <t>E60VDS</t>
  </si>
  <si>
    <t>E80VDS</t>
  </si>
  <si>
    <t>E60VC0</t>
  </si>
  <si>
    <t>E60VC0-B</t>
  </si>
  <si>
    <t>E80VC0</t>
  </si>
  <si>
    <t>EESR-20C8</t>
  </si>
  <si>
    <t>EESR-25C8</t>
  </si>
  <si>
    <t>EES-50-6(6KW）</t>
  </si>
  <si>
    <t>EES-80-6(6KW）</t>
  </si>
  <si>
    <t>EES-120-6(6KW）</t>
  </si>
  <si>
    <t>EES-30D</t>
  </si>
  <si>
    <t>EES-40D</t>
  </si>
  <si>
    <t>EES-50D</t>
  </si>
  <si>
    <t>EES-80D</t>
  </si>
  <si>
    <t>ACWP-15AE1</t>
  </si>
  <si>
    <t>ACWP-20AE1</t>
  </si>
  <si>
    <t>S05T-A1</t>
  </si>
  <si>
    <t>S05T-A2</t>
  </si>
  <si>
    <t>S12A1</t>
  </si>
  <si>
    <t>S12K1</t>
  </si>
  <si>
    <t>S25K1</t>
  </si>
  <si>
    <t>PF25C1</t>
  </si>
  <si>
    <t>PF-B1</t>
  </si>
  <si>
    <t>PF-DA1</t>
  </si>
  <si>
    <t>R1200CD1</t>
  </si>
  <si>
    <t>R1200BG1</t>
  </si>
  <si>
    <t>R1200HWi-E</t>
  </si>
  <si>
    <t>R1600HX1</t>
  </si>
  <si>
    <t>R1400XF2</t>
  </si>
  <si>
    <t>R1400F</t>
  </si>
  <si>
    <t>R1700FWi</t>
  </si>
  <si>
    <t>R1700FWi-E</t>
  </si>
  <si>
    <t>R1600SWi</t>
  </si>
  <si>
    <t>R1800SWi</t>
  </si>
  <si>
    <t>R2000FWi</t>
  </si>
  <si>
    <t>R1800RC9</t>
  </si>
  <si>
    <t>R2500RC3</t>
  </si>
  <si>
    <t>R2000RC9</t>
  </si>
  <si>
    <t>R2300RC9</t>
  </si>
  <si>
    <t>R2000AB2</t>
  </si>
  <si>
    <t>R1600AB2</t>
  </si>
  <si>
    <t>R2500AB1Ai</t>
  </si>
  <si>
    <t>R4000AB1Ai</t>
  </si>
  <si>
    <t>R3000AB1Wi</t>
  </si>
  <si>
    <t>R1600DWWi</t>
  </si>
  <si>
    <t>R2000DWWi</t>
  </si>
  <si>
    <t>R2500DWAi</t>
  </si>
  <si>
    <t>DR1600HB7</t>
  </si>
  <si>
    <t>DR1600FS</t>
  </si>
  <si>
    <t>DR1600FS-W</t>
  </si>
  <si>
    <t>DR2000HF1</t>
  </si>
  <si>
    <t>DR2000HF2</t>
  </si>
  <si>
    <t>DR1600HF2</t>
  </si>
  <si>
    <t>DR1800HF2</t>
  </si>
  <si>
    <t>DR1600HF1</t>
  </si>
  <si>
    <t>DR1800HF1</t>
  </si>
  <si>
    <t>DR1600FAi</t>
  </si>
  <si>
    <t>DR1800FAi</t>
  </si>
  <si>
    <t>DR2000FAi</t>
  </si>
  <si>
    <t>DR1600FWi</t>
  </si>
  <si>
    <t>DR1800FWi</t>
  </si>
  <si>
    <t>DR1800SWi</t>
  </si>
  <si>
    <t>DR2000FWi</t>
  </si>
  <si>
    <t>DR2000DC2</t>
  </si>
  <si>
    <t>DR2000DC1</t>
  </si>
  <si>
    <t>DR2500DC1</t>
  </si>
  <si>
    <t>DR4000DC1</t>
  </si>
  <si>
    <t>DR2000DWWi</t>
  </si>
  <si>
    <t>DR2500DWAi</t>
  </si>
  <si>
    <t>ER1600BWI</t>
  </si>
  <si>
    <t>KJ455F-C15-F+</t>
  </si>
  <si>
    <t>KJ800F-C15-PF+</t>
  </si>
  <si>
    <t>KJ455F-C15-PFWi</t>
  </si>
  <si>
    <t>KJ800F-C15-PFWi</t>
  </si>
  <si>
    <t>JSQ26-CLAX</t>
  </si>
  <si>
    <t>JSQ31-CLAX</t>
  </si>
  <si>
    <t>JSQ31-MN5</t>
  </si>
  <si>
    <t>JSQ26-CLD</t>
  </si>
  <si>
    <t>JSQ31-CLD</t>
  </si>
  <si>
    <t>JSQ26-TACWi</t>
  </si>
  <si>
    <t>JSQ31-TACWi</t>
  </si>
  <si>
    <t>JSQ26-ASCWi</t>
  </si>
  <si>
    <t>JSQ31-ASCWi</t>
  </si>
  <si>
    <t>JSQ26-WACWi</t>
  </si>
  <si>
    <t>JSQ26-CSCX</t>
  </si>
  <si>
    <t>JSQ31-CSCX</t>
  </si>
  <si>
    <t>JSQ31-CSCAi</t>
  </si>
  <si>
    <t>JSLQ28-ACEWi</t>
  </si>
  <si>
    <t>JSQ26-DSCX</t>
  </si>
  <si>
    <t>JSQ31-DSCX</t>
  </si>
  <si>
    <t>JSQ26-DSCWi</t>
  </si>
  <si>
    <t>JSQ31-DSCWi</t>
  </si>
  <si>
    <t>JSQ26-ESCX</t>
  </si>
  <si>
    <t>JSQ31-ESCX</t>
  </si>
  <si>
    <t>JSQ26-ESCAi</t>
  </si>
  <si>
    <t>JSQ31-ESCAi</t>
  </si>
  <si>
    <t>JSQ31-HSCX</t>
  </si>
  <si>
    <t>JSQ31-LNWi</t>
  </si>
  <si>
    <t>JSW26-OSX</t>
  </si>
  <si>
    <t>JSW33-OSX</t>
  </si>
  <si>
    <t>JSW26-VOSX</t>
  </si>
  <si>
    <t>JSW33-VOSX</t>
  </si>
  <si>
    <t>JSQ26-AJSX</t>
  </si>
  <si>
    <t>JSQ31-AJSX</t>
  </si>
  <si>
    <t>JSQ31-BJS</t>
  </si>
  <si>
    <t>JSQ31-BJSWi</t>
  </si>
  <si>
    <t>JSQ31-DJSWi</t>
  </si>
  <si>
    <t>JSQ26-VJSX</t>
  </si>
  <si>
    <t>JSQ31-TVJWi</t>
  </si>
  <si>
    <t>JSQ31-VJSWi</t>
  </si>
  <si>
    <t>JSQ31-VJSAi</t>
  </si>
  <si>
    <t>JSQ31-UJSWi</t>
  </si>
  <si>
    <t>JSQ33-JSX</t>
  </si>
  <si>
    <t>JSQ33-MJSX</t>
  </si>
  <si>
    <t>JSQ40-MJSX</t>
  </si>
  <si>
    <t>JSQ48-MJSX</t>
  </si>
  <si>
    <t>JSQ40-MJSAi</t>
  </si>
  <si>
    <t>JSQ48-MJSAi</t>
  </si>
  <si>
    <t>JSQ40-MJSWi</t>
  </si>
  <si>
    <t>JSLQ34-LJEWi</t>
  </si>
  <si>
    <t>JSQ40-SJSX</t>
  </si>
  <si>
    <t>JSQ40-SJSAi</t>
  </si>
  <si>
    <t>JSQ48-SJSAi</t>
  </si>
  <si>
    <t>JSQ31-QJS</t>
  </si>
  <si>
    <t>JSQ31-QJSAi</t>
  </si>
  <si>
    <t>JSQ31-RSC</t>
  </si>
  <si>
    <t>JSQ31-RJS</t>
  </si>
  <si>
    <t>JSQ31-RJSAi</t>
  </si>
  <si>
    <t>JSQ36-RJSAi</t>
  </si>
  <si>
    <t>EMGP-50C</t>
  </si>
  <si>
    <t>EMGP-75C</t>
  </si>
  <si>
    <t>EMGO-50C</t>
  </si>
  <si>
    <t>EMGO-75C</t>
  </si>
  <si>
    <t>HPW-60A3</t>
  </si>
  <si>
    <t>HPW-80A3</t>
  </si>
  <si>
    <t>HPI-40C1.0A</t>
  </si>
  <si>
    <t>HPI-40D1.0B</t>
  </si>
  <si>
    <t>HPI-50D1.0B</t>
  </si>
  <si>
    <t>HPI-50G1.5AWi</t>
  </si>
  <si>
    <t>HPI-40C1.0B</t>
  </si>
  <si>
    <t>HPI-50C1.0B</t>
  </si>
  <si>
    <t>HPA-40D1.0Q</t>
  </si>
  <si>
    <t>HPA-50D1.0Q</t>
  </si>
  <si>
    <t>HPA-50G1.5AWi</t>
  </si>
  <si>
    <t>HPA-80D2.0A</t>
  </si>
  <si>
    <t>HPA-120D2.0A</t>
  </si>
  <si>
    <t>CAHP1.5D-80-6-W</t>
  </si>
  <si>
    <t>CAHP1.5D-80-12-W</t>
  </si>
  <si>
    <t>CAHP1.5D-120-6-W</t>
  </si>
  <si>
    <t>CAHP1.5D-120-12-W</t>
  </si>
  <si>
    <t>CAHP2.0C-80-6-W</t>
  </si>
  <si>
    <t>CAHP2.0C-80-6S-W</t>
  </si>
  <si>
    <t>CAHP2.0C-120-6-W</t>
  </si>
  <si>
    <t>CAHP2.0C-120-6S-W</t>
  </si>
  <si>
    <t>CAHP2.0-80-6</t>
  </si>
  <si>
    <t>CAHP2.0-80-12</t>
  </si>
  <si>
    <t>CAHP2.0-120-6</t>
  </si>
  <si>
    <t>CAHP2.0-120-12</t>
  </si>
  <si>
    <t>HPA-50E1.5Z</t>
  </si>
  <si>
    <t>HPA-80E1.5Z</t>
  </si>
  <si>
    <t>HPA-80D1.5Z</t>
  </si>
  <si>
    <t>HPA-50D1.5ZWi</t>
  </si>
  <si>
    <t>HPA-80D1.5ZWi</t>
  </si>
  <si>
    <t>HPA-50E1.5ZWi</t>
  </si>
  <si>
    <t>HPA-80E1.5ZWi</t>
  </si>
  <si>
    <t>CAHP120C06</t>
  </si>
  <si>
    <t>HPA-50D1.5A</t>
  </si>
  <si>
    <t>HPA-50C1.5B</t>
  </si>
  <si>
    <t>HPA-40C1.0B</t>
  </si>
  <si>
    <t>HPA-50C1.0B</t>
  </si>
  <si>
    <t>FS-01A</t>
  </si>
  <si>
    <t>特殊商品销售提成待确认</t>
  </si>
  <si>
    <t>FS-54A</t>
  </si>
  <si>
    <t>FS-02E</t>
  </si>
  <si>
    <t>FS-02C</t>
  </si>
  <si>
    <t>FS-02G</t>
  </si>
  <si>
    <t>HWM-15F</t>
  </si>
  <si>
    <t>HWM-18F</t>
  </si>
  <si>
    <t>CXW-200-Q1</t>
  </si>
  <si>
    <t>CXW-200-Q2</t>
  </si>
  <si>
    <t>CXW-200-T5B+</t>
  </si>
  <si>
    <t>CXW-200-Q3S+</t>
  </si>
  <si>
    <t>CXW-200-Q5S+</t>
  </si>
  <si>
    <t>CXW-200-S2</t>
  </si>
  <si>
    <t>CXW-200-S3</t>
  </si>
  <si>
    <t>CXW-200-S5</t>
  </si>
  <si>
    <t>CXW-200-S7</t>
  </si>
  <si>
    <t>CXW-200-S9</t>
  </si>
  <si>
    <t>CXW-200-Q5SAi</t>
  </si>
  <si>
    <t>CXW-200-S3Ai</t>
  </si>
  <si>
    <t>CXW-200-Q3AWi</t>
  </si>
  <si>
    <t>CXW-200-Q5AWi</t>
  </si>
  <si>
    <t>CXW-350-Q2AWi</t>
  </si>
  <si>
    <t>CXW-350-Q2CWi</t>
  </si>
  <si>
    <t>CXW-200-S5CWi</t>
  </si>
  <si>
    <t>CXW-200-S5AWi</t>
  </si>
  <si>
    <t>CXW-400-S5CHWi</t>
  </si>
  <si>
    <t>CXW-400-S5VWi</t>
  </si>
  <si>
    <t>CXW-400-S5AHWi</t>
  </si>
  <si>
    <t>JZT-F5B2</t>
  </si>
  <si>
    <t>JZT-K5G1</t>
  </si>
  <si>
    <t>JZT-V2B1</t>
  </si>
  <si>
    <t>JZT-F3B1</t>
  </si>
  <si>
    <t>JZY-F3B1S</t>
  </si>
  <si>
    <t>JZT-F3B1S</t>
  </si>
  <si>
    <t>JZT-F3B1S+</t>
  </si>
  <si>
    <t>JZY-F3B1S+</t>
  </si>
  <si>
    <t>JZT-F3B2</t>
  </si>
  <si>
    <t>JZT-F3B2S</t>
  </si>
  <si>
    <t>JZT-F3B2S+</t>
  </si>
  <si>
    <t>JZT-F3G1</t>
  </si>
  <si>
    <t>JZT-V2B2S</t>
  </si>
  <si>
    <t>JZT-F5B1</t>
  </si>
  <si>
    <t>JCF-11</t>
  </si>
  <si>
    <t>J13AKR10X</t>
  </si>
  <si>
    <t>J27FQ10A</t>
  </si>
  <si>
    <t>XQG100-XE0WI</t>
  </si>
  <si>
    <t>NH-XAR0WI</t>
  </si>
  <si>
    <t>Y3000FVSBKT</t>
  </si>
  <si>
    <t>Y3000FVSBKB</t>
  </si>
  <si>
    <t>APLC-SK</t>
  </si>
  <si>
    <t>BBJYM-I2</t>
  </si>
  <si>
    <t>KZQ45-M1Wi</t>
  </si>
  <si>
    <t>KZQ45-M1HWi</t>
  </si>
  <si>
    <t>KZQ45-M5Wi</t>
  </si>
  <si>
    <t>KZQ45-M3Wi</t>
  </si>
  <si>
    <t>DWQ10-SR3Wi</t>
  </si>
  <si>
    <t>DWQ10-SR3HWi</t>
  </si>
  <si>
    <t>DWQ12-SR5Wi</t>
  </si>
  <si>
    <t>DWQ15-R3Wi</t>
  </si>
  <si>
    <t>DWQ15-R3HWi</t>
  </si>
  <si>
    <t>DWQ17-R5Wi</t>
  </si>
  <si>
    <t>DWQ15-MR1AWi</t>
  </si>
  <si>
    <t>CWT-EP-C01</t>
  </si>
  <si>
    <t>XW-K30</t>
  </si>
  <si>
    <t>AQD-AFW</t>
  </si>
  <si>
    <t>AJCC-CIP</t>
  </si>
  <si>
    <t>APLC-CC3</t>
  </si>
  <si>
    <t>AJCC-CIPD</t>
  </si>
  <si>
    <t>CTE-60M1</t>
  </si>
  <si>
    <t>以渠道备案提成为准</t>
  </si>
  <si>
    <t>CTE-60E1</t>
  </si>
  <si>
    <t>CTE-80E1</t>
  </si>
  <si>
    <t>CTE-50J1</t>
  </si>
  <si>
    <t>CTE-60J1</t>
  </si>
  <si>
    <t>CTE-80J1</t>
  </si>
  <si>
    <t>JSQ31-T2C</t>
  </si>
  <si>
    <t>JSQ26-T2C</t>
  </si>
  <si>
    <t>JSQ31-TEC</t>
  </si>
  <si>
    <t>CTE-60AS</t>
  </si>
  <si>
    <t>CTE-80AS</t>
  </si>
  <si>
    <t>CTE-60BS</t>
  </si>
  <si>
    <t>CTE-80BS</t>
  </si>
  <si>
    <t>CEWH-60B6A</t>
  </si>
  <si>
    <t>JSQ31-C3CX</t>
  </si>
  <si>
    <t>R1600H</t>
  </si>
  <si>
    <t>JSQ31-TDJWi</t>
  </si>
  <si>
    <t>L1PBQ20-A5</t>
  </si>
  <si>
    <t>L1PBQ26-A5</t>
  </si>
  <si>
    <t>L1PB20-V3</t>
  </si>
  <si>
    <t>L1PB26-V3</t>
  </si>
  <si>
    <t>L1PB33-V3</t>
  </si>
  <si>
    <t>L1PB26-V9</t>
  </si>
  <si>
    <t>L1PB33-V9</t>
  </si>
  <si>
    <t>L1PB37-V9</t>
  </si>
  <si>
    <t>LL1GBQ24-V10</t>
  </si>
  <si>
    <t>LL1GBQ33-V10</t>
  </si>
  <si>
    <t>LL1GBQ24-V11</t>
  </si>
  <si>
    <t>LL1GBQ33-V11</t>
  </si>
  <si>
    <t>L1PB26-CA</t>
  </si>
  <si>
    <t>L1PB33-CA</t>
  </si>
  <si>
    <t>L1PB37-CA</t>
  </si>
  <si>
    <t>L1PB20-A1</t>
  </si>
  <si>
    <t>L1PB26-A1</t>
  </si>
  <si>
    <t>L1PB26-S9</t>
  </si>
  <si>
    <t>L1PB33-S9</t>
  </si>
  <si>
    <t>L1PB37-S9</t>
  </si>
  <si>
    <t>LN1GBQ26-N10</t>
  </si>
  <si>
    <t>LN1GBQ35-N10</t>
  </si>
  <si>
    <t>LL1GBQ24-S10</t>
  </si>
  <si>
    <t>LL1GBQ33-S10</t>
  </si>
  <si>
    <t>LL1GBQ24-S11</t>
  </si>
  <si>
    <t>LL1GBQ33-S11</t>
  </si>
  <si>
    <t>LL1GBQ24-E10</t>
  </si>
  <si>
    <t>LL1GBQ33-E10</t>
  </si>
  <si>
    <t>LL1GBQ24-E10Ai</t>
  </si>
  <si>
    <t>LL1GBQ33-E10Ai</t>
  </si>
  <si>
    <t>LL1GBQ24-E11</t>
  </si>
  <si>
    <t>LL1GBQ33-E11</t>
  </si>
  <si>
    <t>LL1GBQ24-E11Ai</t>
  </si>
  <si>
    <t>LL1GBQ33-E11Ai</t>
  </si>
  <si>
    <t>LL1GBQ24-SG2</t>
  </si>
  <si>
    <t>LL1GBQ33-SG2</t>
  </si>
  <si>
    <t>LN1GBQ52-S15</t>
  </si>
  <si>
    <t>LN1GBQ65-S15</t>
  </si>
  <si>
    <t>CHET-200SC</t>
  </si>
  <si>
    <t>CHET-300SC</t>
  </si>
  <si>
    <t>R2500SWi</t>
  </si>
  <si>
    <t>R3000AB2</t>
  </si>
  <si>
    <t>DR1600SWi</t>
  </si>
  <si>
    <t>DR2500SWi</t>
  </si>
  <si>
    <t>JSQ31-CLB</t>
  </si>
  <si>
    <t>CXW-350-E3AWi</t>
  </si>
  <si>
    <t>CXW-400-Z3AWi</t>
  </si>
  <si>
    <t>DWQ15-RJ100Wi</t>
  </si>
  <si>
    <t>R1800AB1</t>
  </si>
  <si>
    <t>单台</t>
  </si>
  <si>
    <t>复核提成</t>
  </si>
  <si>
    <t>差额</t>
  </si>
  <si>
    <t>求和项:销售商品数量</t>
  </si>
  <si>
    <t>求和项:复核提成</t>
  </si>
  <si>
    <t>求和项:含税含券销售额</t>
  </si>
  <si>
    <t>叶黄鹤</t>
  </si>
  <si>
    <t>阮少娜</t>
  </si>
  <si>
    <t>赵卫仙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</si>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</sst>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_);[Red]\(0\)"/>
  </numFmts>
  <fonts count="28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/>
    <xf numFmtId="0" fontId="0" fillId="0" borderId="0"/>
    <xf numFmtId="0" fontId="0" fillId="0" borderId="0">
      <alignment vertical="center"/>
    </xf>
  </cellStyleXfs>
  <cellXfs count="38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52" applyFont="1" applyFill="1" applyBorder="1" applyAlignment="1">
      <alignment horizontal="center" vertical="center" wrapText="1"/>
    </xf>
    <xf numFmtId="0" fontId="3" fillId="0" borderId="1" xfId="53" applyFont="1" applyFill="1" applyBorder="1" applyAlignment="1">
      <alignment horizontal="center" vertical="center" wrapText="1"/>
    </xf>
    <xf numFmtId="0" fontId="1" fillId="0" borderId="1" xfId="54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 wrapText="1"/>
    </xf>
    <xf numFmtId="0" fontId="3" fillId="0" borderId="1" xfId="55" applyFont="1" applyFill="1" applyBorder="1" applyAlignment="1">
      <alignment horizontal="center" vertical="center" wrapText="1"/>
    </xf>
    <xf numFmtId="0" fontId="1" fillId="0" borderId="1" xfId="56" applyFont="1" applyFill="1" applyBorder="1" applyAlignment="1">
      <alignment horizontal="center" vertical="center" wrapText="1"/>
    </xf>
    <xf numFmtId="177" fontId="3" fillId="0" borderId="1" xfId="49" applyNumberFormat="1" applyFont="1" applyFill="1" applyBorder="1" applyAlignment="1">
      <alignment horizontal="center" vertical="center" wrapText="1"/>
    </xf>
    <xf numFmtId="0" fontId="3" fillId="0" borderId="1" xfId="57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8" fontId="3" fillId="0" borderId="1" xfId="49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59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15" xfId="50"/>
    <cellStyle name="常规 11 2 2" xfId="51"/>
    <cellStyle name="常规 2" xfId="52"/>
    <cellStyle name="常规 2 2" xfId="53"/>
    <cellStyle name="常规 11 2" xfId="54"/>
    <cellStyle name="常规 4 29 3" xfId="55"/>
    <cellStyle name="常规 29" xfId="56"/>
    <cellStyle name="常规 12 2" xfId="57"/>
    <cellStyle name="常规 10 2 2" xfId="58"/>
    <cellStyle name="常规 27" xfId="59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7108\Desktop\&#20013;&#20896;\&#20154;&#21147;\1&#20013;&#20896;&#34218;&#36164;\&#25552;&#25104;&#25919;&#31574;\2025\&#28192;&#36947;2025&#24180;&#25552;&#25104;&#34920;&#12289;&#25919;&#31574;5.5&#35843;&#25972;&#37096;&#20998;&#20215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年3.1价格"/>
      <sheetName val="2025年3.1新价格提成表"/>
      <sheetName val="2025年2025.5.5价格"/>
      <sheetName val="2025年5.5新价格提成表 "/>
      <sheetName val="25年政策"/>
      <sheetName val="Sheet3"/>
    </sheetNames>
    <sheetDataSet>
      <sheetData sheetId="0"/>
      <sheetData sheetId="1"/>
      <sheetData sheetId="2"/>
      <sheetData sheetId="3">
        <row r="1">
          <cell r="B1" t="str">
            <v>型号</v>
          </cell>
          <cell r="C1" t="str">
            <v>是否绑定会员卡</v>
          </cell>
          <cell r="D1" t="str">
            <v>升位</v>
          </cell>
          <cell r="E1" t="str">
            <v>是否在销</v>
          </cell>
          <cell r="F1" t="str">
            <v>机型</v>
          </cell>
          <cell r="G1" t="str">
            <v>新标价</v>
          </cell>
          <cell r="H1" t="str">
            <v>自主定价</v>
          </cell>
          <cell r="I1" t="str">
            <v>产品零售标价</v>
          </cell>
          <cell r="J1" t="str">
            <v>点位</v>
          </cell>
          <cell r="K1" t="str">
            <v>提成</v>
          </cell>
        </row>
        <row r="2">
          <cell r="B2" t="str">
            <v>EWH-6B2</v>
          </cell>
          <cell r="C2" t="str">
            <v>否</v>
          </cell>
          <cell r="D2">
            <v>6</v>
          </cell>
          <cell r="E2" t="str">
            <v>在销</v>
          </cell>
          <cell r="F2" t="str">
            <v>特价</v>
          </cell>
          <cell r="G2">
            <v>828</v>
          </cell>
        </row>
        <row r="2">
          <cell r="I2">
            <v>828</v>
          </cell>
          <cell r="J2">
            <v>0.015</v>
          </cell>
          <cell r="K2">
            <v>12</v>
          </cell>
        </row>
        <row r="3">
          <cell r="B3" t="str">
            <v>EWH-10A2</v>
          </cell>
          <cell r="C3" t="str">
            <v>否</v>
          </cell>
          <cell r="D3">
            <v>10</v>
          </cell>
          <cell r="E3" t="str">
            <v>在销</v>
          </cell>
          <cell r="F3" t="str">
            <v>特价</v>
          </cell>
          <cell r="G3">
            <v>898</v>
          </cell>
        </row>
        <row r="3">
          <cell r="I3">
            <v>898</v>
          </cell>
          <cell r="J3">
            <v>0.015</v>
          </cell>
          <cell r="K3">
            <v>13</v>
          </cell>
        </row>
        <row r="4">
          <cell r="B4" t="str">
            <v>EWH-10B2</v>
          </cell>
          <cell r="C4" t="str">
            <v>否</v>
          </cell>
          <cell r="D4">
            <v>10</v>
          </cell>
          <cell r="E4" t="str">
            <v>在销</v>
          </cell>
          <cell r="F4" t="str">
            <v>特价</v>
          </cell>
          <cell r="G4">
            <v>898</v>
          </cell>
        </row>
        <row r="4">
          <cell r="I4">
            <v>898</v>
          </cell>
          <cell r="J4">
            <v>0.015</v>
          </cell>
          <cell r="K4">
            <v>13</v>
          </cell>
        </row>
        <row r="5">
          <cell r="B5" t="str">
            <v>EWH-6C2</v>
          </cell>
          <cell r="C5" t="str">
            <v>否</v>
          </cell>
          <cell r="D5">
            <v>6</v>
          </cell>
          <cell r="E5" t="str">
            <v>/</v>
          </cell>
          <cell r="F5" t="str">
            <v>特价</v>
          </cell>
          <cell r="G5">
            <v>998</v>
          </cell>
        </row>
        <row r="5">
          <cell r="I5">
            <v>998</v>
          </cell>
          <cell r="J5">
            <v>0.015</v>
          </cell>
          <cell r="K5">
            <v>15</v>
          </cell>
        </row>
        <row r="6">
          <cell r="B6" t="str">
            <v>CEWH-60A0</v>
          </cell>
          <cell r="C6" t="str">
            <v>是</v>
          </cell>
          <cell r="D6">
            <v>60</v>
          </cell>
          <cell r="E6" t="str">
            <v>在销</v>
          </cell>
          <cell r="F6" t="str">
            <v>特价</v>
          </cell>
          <cell r="G6">
            <v>2388</v>
          </cell>
        </row>
        <row r="6">
          <cell r="I6">
            <v>2288</v>
          </cell>
          <cell r="J6">
            <v>0.015</v>
          </cell>
          <cell r="K6">
            <v>34</v>
          </cell>
        </row>
        <row r="7">
          <cell r="B7" t="str">
            <v>CEWH-80A0</v>
          </cell>
          <cell r="C7" t="str">
            <v>是</v>
          </cell>
          <cell r="D7">
            <v>80</v>
          </cell>
          <cell r="E7" t="str">
            <v>在销</v>
          </cell>
          <cell r="F7" t="str">
            <v>特价</v>
          </cell>
          <cell r="G7">
            <v>2558</v>
          </cell>
        </row>
        <row r="7">
          <cell r="I7">
            <v>2458</v>
          </cell>
          <cell r="J7">
            <v>0.015</v>
          </cell>
          <cell r="K7">
            <v>37</v>
          </cell>
        </row>
        <row r="8">
          <cell r="B8" t="str">
            <v>CEWH-60BS-B</v>
          </cell>
          <cell r="C8" t="str">
            <v>是</v>
          </cell>
          <cell r="D8">
            <v>60</v>
          </cell>
          <cell r="E8" t="str">
            <v>下市</v>
          </cell>
          <cell r="F8" t="str">
            <v>特价</v>
          </cell>
          <cell r="G8">
            <v>3098</v>
          </cell>
        </row>
        <row r="8">
          <cell r="I8">
            <v>2998</v>
          </cell>
          <cell r="J8">
            <v>0.015</v>
          </cell>
          <cell r="K8">
            <v>45</v>
          </cell>
        </row>
        <row r="9">
          <cell r="B9" t="str">
            <v>CEWH-50D0</v>
          </cell>
          <cell r="C9" t="str">
            <v>是</v>
          </cell>
          <cell r="D9">
            <v>50</v>
          </cell>
          <cell r="E9" t="str">
            <v>是</v>
          </cell>
          <cell r="F9" t="str">
            <v>特价</v>
          </cell>
          <cell r="G9">
            <v>2518</v>
          </cell>
        </row>
        <row r="9">
          <cell r="I9">
            <v>2418</v>
          </cell>
          <cell r="J9">
            <v>0.015</v>
          </cell>
          <cell r="K9">
            <v>36</v>
          </cell>
        </row>
        <row r="10">
          <cell r="B10" t="str">
            <v>CEWH-60D0</v>
          </cell>
          <cell r="C10" t="str">
            <v>是</v>
          </cell>
          <cell r="D10">
            <v>60</v>
          </cell>
          <cell r="E10" t="str">
            <v>是</v>
          </cell>
          <cell r="F10" t="str">
            <v>特价</v>
          </cell>
          <cell r="G10">
            <v>2618</v>
          </cell>
        </row>
        <row r="10">
          <cell r="I10">
            <v>2518</v>
          </cell>
          <cell r="J10">
            <v>0.015</v>
          </cell>
          <cell r="K10">
            <v>38</v>
          </cell>
        </row>
        <row r="11">
          <cell r="B11" t="str">
            <v>CEWH-60D0B</v>
          </cell>
          <cell r="C11" t="str">
            <v>是</v>
          </cell>
          <cell r="D11">
            <v>60</v>
          </cell>
          <cell r="E11" t="str">
            <v>是</v>
          </cell>
          <cell r="F11" t="str">
            <v>特价</v>
          </cell>
          <cell r="G11">
            <v>2618</v>
          </cell>
        </row>
        <row r="11">
          <cell r="I11">
            <v>2518</v>
          </cell>
          <cell r="J11">
            <v>0.015</v>
          </cell>
          <cell r="K11">
            <v>38</v>
          </cell>
        </row>
        <row r="12">
          <cell r="B12" t="str">
            <v>CEWH-80D0</v>
          </cell>
          <cell r="C12" t="str">
            <v>是</v>
          </cell>
          <cell r="D12">
            <v>80</v>
          </cell>
          <cell r="E12" t="str">
            <v>是</v>
          </cell>
          <cell r="F12" t="str">
            <v>特价</v>
          </cell>
          <cell r="G12">
            <v>2818</v>
          </cell>
        </row>
        <row r="12">
          <cell r="I12">
            <v>2718</v>
          </cell>
          <cell r="J12">
            <v>0.015</v>
          </cell>
          <cell r="K12">
            <v>41</v>
          </cell>
        </row>
        <row r="13">
          <cell r="B13" t="str">
            <v>CEWH-60D1BWi</v>
          </cell>
          <cell r="C13" t="str">
            <v>是</v>
          </cell>
          <cell r="D13">
            <v>60</v>
          </cell>
          <cell r="E13" t="str">
            <v>在销</v>
          </cell>
          <cell r="F13" t="str">
            <v>常规</v>
          </cell>
          <cell r="G13">
            <v>3238</v>
          </cell>
        </row>
        <row r="13">
          <cell r="I13">
            <v>3138</v>
          </cell>
          <cell r="J13">
            <v>0.025</v>
          </cell>
          <cell r="K13">
            <v>78</v>
          </cell>
        </row>
        <row r="14">
          <cell r="B14" t="str">
            <v>CEWH-60D1Wi</v>
          </cell>
          <cell r="C14" t="str">
            <v>是</v>
          </cell>
          <cell r="D14">
            <v>60</v>
          </cell>
          <cell r="E14" t="str">
            <v>在销</v>
          </cell>
          <cell r="F14" t="str">
            <v>常规</v>
          </cell>
          <cell r="G14">
            <v>3238</v>
          </cell>
        </row>
        <row r="14">
          <cell r="I14">
            <v>3138</v>
          </cell>
          <cell r="J14">
            <v>0.025</v>
          </cell>
          <cell r="K14">
            <v>78</v>
          </cell>
        </row>
        <row r="15">
          <cell r="B15" t="str">
            <v>CEWH-80D1Wi</v>
          </cell>
          <cell r="C15" t="str">
            <v>是</v>
          </cell>
          <cell r="D15">
            <v>80</v>
          </cell>
          <cell r="E15" t="str">
            <v>在销</v>
          </cell>
          <cell r="F15" t="str">
            <v>常规</v>
          </cell>
          <cell r="G15">
            <v>3528</v>
          </cell>
        </row>
        <row r="15">
          <cell r="I15">
            <v>3428</v>
          </cell>
          <cell r="J15">
            <v>0.025</v>
          </cell>
          <cell r="K15">
            <v>86</v>
          </cell>
        </row>
        <row r="16">
          <cell r="B16" t="str">
            <v>CEWH-50AS</v>
          </cell>
          <cell r="C16" t="str">
            <v>是</v>
          </cell>
          <cell r="D16">
            <v>50</v>
          </cell>
          <cell r="E16" t="str">
            <v>在销</v>
          </cell>
          <cell r="F16" t="str">
            <v>特价</v>
          </cell>
          <cell r="G16">
            <v>2598</v>
          </cell>
        </row>
        <row r="16">
          <cell r="I16">
            <v>2498</v>
          </cell>
          <cell r="J16">
            <v>0.015</v>
          </cell>
          <cell r="K16">
            <v>37</v>
          </cell>
        </row>
        <row r="17">
          <cell r="B17" t="str">
            <v>CEWH-60AS</v>
          </cell>
          <cell r="C17" t="str">
            <v>是</v>
          </cell>
          <cell r="D17">
            <v>60</v>
          </cell>
          <cell r="E17" t="str">
            <v>在销</v>
          </cell>
          <cell r="F17" t="str">
            <v>特价</v>
          </cell>
          <cell r="G17">
            <v>2698</v>
          </cell>
        </row>
        <row r="17">
          <cell r="I17">
            <v>2598</v>
          </cell>
          <cell r="J17">
            <v>0.015</v>
          </cell>
          <cell r="K17">
            <v>39</v>
          </cell>
        </row>
        <row r="18">
          <cell r="B18" t="str">
            <v>CEWH-80AS</v>
          </cell>
          <cell r="C18" t="str">
            <v>是</v>
          </cell>
          <cell r="D18">
            <v>80</v>
          </cell>
          <cell r="E18" t="str">
            <v>在销</v>
          </cell>
          <cell r="F18" t="str">
            <v>特价</v>
          </cell>
          <cell r="G18">
            <v>2898</v>
          </cell>
        </row>
        <row r="18">
          <cell r="I18">
            <v>2798</v>
          </cell>
          <cell r="J18">
            <v>0.015</v>
          </cell>
          <cell r="K18">
            <v>42</v>
          </cell>
        </row>
        <row r="19">
          <cell r="B19" t="str">
            <v>CEWH-60PB</v>
          </cell>
          <cell r="C19" t="str">
            <v>是</v>
          </cell>
          <cell r="D19">
            <v>60</v>
          </cell>
          <cell r="E19" t="str">
            <v>下市</v>
          </cell>
          <cell r="F19" t="str">
            <v>常规</v>
          </cell>
          <cell r="G19">
            <v>3698</v>
          </cell>
        </row>
        <row r="19">
          <cell r="I19">
            <v>3598</v>
          </cell>
          <cell r="J19">
            <v>0.025</v>
          </cell>
          <cell r="K19">
            <v>90</v>
          </cell>
        </row>
        <row r="20">
          <cell r="B20" t="str">
            <v>CEWH-60PA</v>
          </cell>
          <cell r="C20" t="str">
            <v>是</v>
          </cell>
          <cell r="D20">
            <v>60</v>
          </cell>
          <cell r="E20" t="str">
            <v>下市</v>
          </cell>
          <cell r="F20" t="str">
            <v>常规</v>
          </cell>
          <cell r="G20">
            <v>3588</v>
          </cell>
        </row>
        <row r="20">
          <cell r="I20">
            <v>3488</v>
          </cell>
          <cell r="J20">
            <v>0.025</v>
          </cell>
          <cell r="K20">
            <v>87</v>
          </cell>
        </row>
        <row r="21">
          <cell r="B21" t="str">
            <v>CEWH-80PA</v>
          </cell>
          <cell r="C21" t="str">
            <v>是</v>
          </cell>
          <cell r="D21">
            <v>80</v>
          </cell>
          <cell r="E21" t="str">
            <v>下市</v>
          </cell>
          <cell r="F21" t="str">
            <v>常规</v>
          </cell>
          <cell r="G21">
            <v>3888</v>
          </cell>
        </row>
        <row r="21">
          <cell r="I21">
            <v>3788</v>
          </cell>
          <cell r="J21">
            <v>0.025</v>
          </cell>
          <cell r="K21">
            <v>95</v>
          </cell>
        </row>
        <row r="22">
          <cell r="B22" t="str">
            <v>CEWH-50D3Wi</v>
          </cell>
          <cell r="C22" t="str">
            <v>是</v>
          </cell>
          <cell r="D22">
            <v>50</v>
          </cell>
          <cell r="E22" t="str">
            <v>在销</v>
          </cell>
          <cell r="F22" t="str">
            <v>常规</v>
          </cell>
          <cell r="G22">
            <v>3458</v>
          </cell>
        </row>
        <row r="22">
          <cell r="I22">
            <v>3358</v>
          </cell>
          <cell r="J22">
            <v>0.025</v>
          </cell>
          <cell r="K22">
            <v>84</v>
          </cell>
        </row>
        <row r="23">
          <cell r="B23" t="str">
            <v>CEWH-60D3Wi</v>
          </cell>
          <cell r="C23" t="str">
            <v>是</v>
          </cell>
          <cell r="D23">
            <v>60</v>
          </cell>
          <cell r="E23" t="str">
            <v>在销</v>
          </cell>
          <cell r="F23" t="str">
            <v>常规</v>
          </cell>
          <cell r="G23">
            <v>3718</v>
          </cell>
        </row>
        <row r="23">
          <cell r="I23">
            <v>3618</v>
          </cell>
          <cell r="J23">
            <v>0.025</v>
          </cell>
          <cell r="K23">
            <v>90</v>
          </cell>
        </row>
        <row r="24">
          <cell r="B24" t="str">
            <v>CEWH-60D3BWi</v>
          </cell>
          <cell r="C24" t="str">
            <v>是</v>
          </cell>
          <cell r="D24">
            <v>60</v>
          </cell>
          <cell r="E24" t="str">
            <v>在销</v>
          </cell>
          <cell r="F24" t="str">
            <v>常规</v>
          </cell>
          <cell r="G24">
            <v>3718</v>
          </cell>
        </row>
        <row r="24">
          <cell r="I24">
            <v>3618</v>
          </cell>
          <cell r="J24">
            <v>0.025</v>
          </cell>
          <cell r="K24">
            <v>90</v>
          </cell>
        </row>
        <row r="25">
          <cell r="B25" t="str">
            <v>CEWH-80D3Wi</v>
          </cell>
          <cell r="C25" t="str">
            <v>是</v>
          </cell>
          <cell r="D25">
            <v>80</v>
          </cell>
          <cell r="E25" t="str">
            <v>在销</v>
          </cell>
          <cell r="F25" t="str">
            <v>常规</v>
          </cell>
          <cell r="G25">
            <v>4058</v>
          </cell>
        </row>
        <row r="25">
          <cell r="I25">
            <v>3958</v>
          </cell>
          <cell r="J25">
            <v>0.025</v>
          </cell>
          <cell r="K25">
            <v>99</v>
          </cell>
        </row>
        <row r="26">
          <cell r="B26" t="str">
            <v>EWH-50DA</v>
          </cell>
          <cell r="C26" t="str">
            <v>是</v>
          </cell>
          <cell r="D26">
            <v>50</v>
          </cell>
          <cell r="E26" t="str">
            <v>在销</v>
          </cell>
          <cell r="F26" t="str">
            <v>常规</v>
          </cell>
          <cell r="G26">
            <v>4098</v>
          </cell>
        </row>
        <row r="26">
          <cell r="I26">
            <v>3998</v>
          </cell>
          <cell r="J26">
            <v>0.025</v>
          </cell>
          <cell r="K26">
            <v>100</v>
          </cell>
        </row>
        <row r="27">
          <cell r="B27" t="str">
            <v>EWH-60DA</v>
          </cell>
          <cell r="C27" t="str">
            <v>是</v>
          </cell>
          <cell r="D27">
            <v>60</v>
          </cell>
          <cell r="E27" t="str">
            <v>在销</v>
          </cell>
          <cell r="F27" t="str">
            <v>常规</v>
          </cell>
          <cell r="G27">
            <v>4298</v>
          </cell>
        </row>
        <row r="27">
          <cell r="I27">
            <v>4198</v>
          </cell>
          <cell r="J27">
            <v>0.025</v>
          </cell>
          <cell r="K27">
            <v>105</v>
          </cell>
        </row>
        <row r="28">
          <cell r="B28" t="str">
            <v>EWH-80DA</v>
          </cell>
          <cell r="C28" t="str">
            <v>是</v>
          </cell>
          <cell r="D28">
            <v>80</v>
          </cell>
          <cell r="E28" t="str">
            <v>在销</v>
          </cell>
          <cell r="F28" t="str">
            <v>常规</v>
          </cell>
          <cell r="G28">
            <v>4598</v>
          </cell>
        </row>
        <row r="28">
          <cell r="I28">
            <v>4498</v>
          </cell>
          <cell r="J28">
            <v>0.025</v>
          </cell>
          <cell r="K28">
            <v>112</v>
          </cell>
        </row>
        <row r="29">
          <cell r="B29" t="str">
            <v>CEWH-60G</v>
          </cell>
          <cell r="C29" t="str">
            <v>是</v>
          </cell>
          <cell r="D29">
            <v>60</v>
          </cell>
          <cell r="E29" t="str">
            <v>下市</v>
          </cell>
          <cell r="F29" t="str">
            <v>常规</v>
          </cell>
          <cell r="G29">
            <v>4498</v>
          </cell>
        </row>
        <row r="29">
          <cell r="I29">
            <v>4398</v>
          </cell>
          <cell r="J29">
            <v>0.025</v>
          </cell>
          <cell r="K29">
            <v>110</v>
          </cell>
        </row>
        <row r="30">
          <cell r="B30" t="str">
            <v>CEWH-60GA</v>
          </cell>
          <cell r="C30" t="str">
            <v>是</v>
          </cell>
          <cell r="D30">
            <v>60</v>
          </cell>
          <cell r="E30" t="str">
            <v>在销</v>
          </cell>
          <cell r="F30" t="str">
            <v>常规</v>
          </cell>
          <cell r="G30">
            <v>4698</v>
          </cell>
        </row>
        <row r="30">
          <cell r="I30">
            <v>4598</v>
          </cell>
          <cell r="J30">
            <v>0.025</v>
          </cell>
          <cell r="K30">
            <v>115</v>
          </cell>
        </row>
        <row r="31">
          <cell r="B31" t="str">
            <v>CEWH-80GA</v>
          </cell>
          <cell r="C31" t="str">
            <v>是</v>
          </cell>
          <cell r="D31">
            <v>80</v>
          </cell>
          <cell r="E31" t="str">
            <v>在销</v>
          </cell>
          <cell r="F31" t="str">
            <v>常规</v>
          </cell>
          <cell r="G31">
            <v>4998</v>
          </cell>
        </row>
        <row r="31">
          <cell r="I31">
            <v>4898</v>
          </cell>
          <cell r="J31">
            <v>0.025</v>
          </cell>
          <cell r="K31">
            <v>122</v>
          </cell>
        </row>
        <row r="32">
          <cell r="B32" t="str">
            <v>CEWH-60GWi</v>
          </cell>
          <cell r="C32" t="str">
            <v>是</v>
          </cell>
          <cell r="D32">
            <v>60</v>
          </cell>
          <cell r="E32" t="str">
            <v>在销</v>
          </cell>
          <cell r="F32" t="str">
            <v>常规</v>
          </cell>
          <cell r="G32">
            <v>4498</v>
          </cell>
        </row>
        <row r="32">
          <cell r="I32">
            <v>4398</v>
          </cell>
          <cell r="J32">
            <v>0.025</v>
          </cell>
          <cell r="K32">
            <v>110</v>
          </cell>
        </row>
        <row r="33">
          <cell r="B33" t="str">
            <v>CEWH-80GWi</v>
          </cell>
          <cell r="C33" t="str">
            <v>是</v>
          </cell>
          <cell r="D33">
            <v>80</v>
          </cell>
          <cell r="E33" t="str">
            <v>在销</v>
          </cell>
          <cell r="F33" t="str">
            <v>常规</v>
          </cell>
          <cell r="G33">
            <v>4798</v>
          </cell>
        </row>
        <row r="33">
          <cell r="I33">
            <v>4698</v>
          </cell>
          <cell r="J33">
            <v>0.025</v>
          </cell>
          <cell r="K33">
            <v>117</v>
          </cell>
        </row>
        <row r="34">
          <cell r="B34" t="str">
            <v>CEWH-80K</v>
          </cell>
          <cell r="C34" t="str">
            <v>是</v>
          </cell>
          <cell r="D34">
            <v>80</v>
          </cell>
          <cell r="E34" t="str">
            <v>下市</v>
          </cell>
          <cell r="F34" t="str">
            <v>常规</v>
          </cell>
          <cell r="G34">
            <v>4198</v>
          </cell>
        </row>
        <row r="34">
          <cell r="I34">
            <v>4098</v>
          </cell>
          <cell r="J34">
            <v>0.025</v>
          </cell>
          <cell r="K34">
            <v>102</v>
          </cell>
        </row>
        <row r="35">
          <cell r="B35" t="str">
            <v>CEWH-100K</v>
          </cell>
          <cell r="C35" t="str">
            <v>是</v>
          </cell>
          <cell r="D35">
            <v>100</v>
          </cell>
          <cell r="E35" t="str">
            <v>下市</v>
          </cell>
          <cell r="F35" t="str">
            <v>常规</v>
          </cell>
          <cell r="G35">
            <v>4798</v>
          </cell>
        </row>
        <row r="35">
          <cell r="I35">
            <v>4698</v>
          </cell>
          <cell r="J35">
            <v>0.025</v>
          </cell>
          <cell r="K35">
            <v>117</v>
          </cell>
        </row>
        <row r="36">
          <cell r="B36" t="str">
            <v>CEWH-60KBWi</v>
          </cell>
          <cell r="C36" t="str">
            <v>是</v>
          </cell>
          <cell r="D36">
            <v>60</v>
          </cell>
          <cell r="E36" t="str">
            <v>在销</v>
          </cell>
          <cell r="F36" t="str">
            <v>常规</v>
          </cell>
          <cell r="G36">
            <v>3898</v>
          </cell>
        </row>
        <row r="36">
          <cell r="I36">
            <v>3798</v>
          </cell>
          <cell r="J36">
            <v>0.025</v>
          </cell>
          <cell r="K36">
            <v>95</v>
          </cell>
        </row>
        <row r="37">
          <cell r="B37" t="str">
            <v>CEWH-60KWi</v>
          </cell>
          <cell r="C37" t="str">
            <v>是</v>
          </cell>
          <cell r="D37">
            <v>60</v>
          </cell>
          <cell r="E37" t="str">
            <v>在销</v>
          </cell>
          <cell r="F37" t="str">
            <v>常规</v>
          </cell>
          <cell r="G37">
            <v>3898</v>
          </cell>
        </row>
        <row r="37">
          <cell r="I37">
            <v>3798</v>
          </cell>
          <cell r="J37">
            <v>0.025</v>
          </cell>
          <cell r="K37">
            <v>95</v>
          </cell>
        </row>
        <row r="38">
          <cell r="B38" t="str">
            <v>CEWH-80KWi</v>
          </cell>
          <cell r="C38" t="str">
            <v>是</v>
          </cell>
          <cell r="D38">
            <v>80</v>
          </cell>
          <cell r="E38" t="str">
            <v>在销</v>
          </cell>
          <cell r="F38" t="str">
            <v>常规</v>
          </cell>
          <cell r="G38">
            <v>4198</v>
          </cell>
        </row>
        <row r="38">
          <cell r="I38">
            <v>4098</v>
          </cell>
          <cell r="J38">
            <v>0.025</v>
          </cell>
          <cell r="K38">
            <v>102</v>
          </cell>
        </row>
        <row r="39">
          <cell r="B39" t="str">
            <v>CEWH-100KWi</v>
          </cell>
          <cell r="C39" t="str">
            <v>是</v>
          </cell>
          <cell r="D39">
            <v>100</v>
          </cell>
          <cell r="E39" t="str">
            <v>在销</v>
          </cell>
          <cell r="F39" t="str">
            <v>常规</v>
          </cell>
          <cell r="G39">
            <v>4798</v>
          </cell>
        </row>
        <row r="39">
          <cell r="I39">
            <v>4698</v>
          </cell>
          <cell r="J39">
            <v>0.025</v>
          </cell>
          <cell r="K39">
            <v>117</v>
          </cell>
        </row>
        <row r="40">
          <cell r="B40" t="str">
            <v>CEWH-50D5Wi</v>
          </cell>
          <cell r="C40" t="str">
            <v>是</v>
          </cell>
          <cell r="D40">
            <v>50</v>
          </cell>
          <cell r="E40" t="str">
            <v>在销</v>
          </cell>
          <cell r="F40" t="str">
            <v>常规</v>
          </cell>
          <cell r="G40">
            <v>3798</v>
          </cell>
        </row>
        <row r="40">
          <cell r="I40">
            <v>3698</v>
          </cell>
          <cell r="J40">
            <v>0.025</v>
          </cell>
          <cell r="K40">
            <v>92</v>
          </cell>
        </row>
        <row r="41">
          <cell r="B41" t="str">
            <v>CEWH-60D5Wi</v>
          </cell>
          <cell r="C41" t="str">
            <v>是</v>
          </cell>
          <cell r="D41">
            <v>60</v>
          </cell>
          <cell r="E41" t="str">
            <v>在销</v>
          </cell>
          <cell r="F41" t="str">
            <v>常规</v>
          </cell>
          <cell r="G41">
            <v>4098</v>
          </cell>
        </row>
        <row r="41">
          <cell r="I41">
            <v>3998</v>
          </cell>
          <cell r="J41">
            <v>0.025</v>
          </cell>
          <cell r="K41">
            <v>100</v>
          </cell>
        </row>
        <row r="42">
          <cell r="B42" t="str">
            <v>CEWH-60D5BWi</v>
          </cell>
          <cell r="C42" t="str">
            <v>是</v>
          </cell>
          <cell r="D42">
            <v>60</v>
          </cell>
          <cell r="E42" t="str">
            <v>在销</v>
          </cell>
          <cell r="F42" t="str">
            <v>常规</v>
          </cell>
          <cell r="G42">
            <v>4098</v>
          </cell>
        </row>
        <row r="42">
          <cell r="I42">
            <v>3998</v>
          </cell>
          <cell r="J42">
            <v>0.025</v>
          </cell>
          <cell r="K42">
            <v>100</v>
          </cell>
        </row>
        <row r="43">
          <cell r="B43" t="str">
            <v>CEWH-80D5Wi</v>
          </cell>
          <cell r="C43" t="str">
            <v>是</v>
          </cell>
          <cell r="D43">
            <v>80</v>
          </cell>
          <cell r="E43" t="str">
            <v>在销</v>
          </cell>
          <cell r="F43" t="str">
            <v>常规</v>
          </cell>
          <cell r="G43">
            <v>4398</v>
          </cell>
        </row>
        <row r="43">
          <cell r="I43">
            <v>4298</v>
          </cell>
          <cell r="J43">
            <v>0.025</v>
          </cell>
          <cell r="K43">
            <v>107</v>
          </cell>
        </row>
        <row r="44">
          <cell r="B44" t="str">
            <v>CEWH-60TKBWi</v>
          </cell>
          <cell r="C44" t="str">
            <v>是</v>
          </cell>
          <cell r="D44">
            <v>60</v>
          </cell>
          <cell r="E44" t="str">
            <v>在销</v>
          </cell>
          <cell r="F44" t="str">
            <v>常规</v>
          </cell>
          <cell r="G44">
            <v>4088</v>
          </cell>
        </row>
        <row r="44">
          <cell r="I44">
            <v>3988</v>
          </cell>
          <cell r="J44">
            <v>0.025</v>
          </cell>
          <cell r="K44">
            <v>100</v>
          </cell>
        </row>
        <row r="45">
          <cell r="B45" t="str">
            <v>CEWH-60TKWi</v>
          </cell>
          <cell r="C45" t="str">
            <v>是</v>
          </cell>
          <cell r="D45">
            <v>60</v>
          </cell>
          <cell r="E45" t="str">
            <v>在销</v>
          </cell>
          <cell r="F45" t="str">
            <v>常规</v>
          </cell>
          <cell r="G45">
            <v>4088</v>
          </cell>
        </row>
        <row r="45">
          <cell r="I45">
            <v>3988</v>
          </cell>
          <cell r="J45">
            <v>0.025</v>
          </cell>
          <cell r="K45">
            <v>100</v>
          </cell>
        </row>
        <row r="46">
          <cell r="B46" t="str">
            <v>CEWH-80TKWi</v>
          </cell>
          <cell r="C46" t="str">
            <v>是</v>
          </cell>
          <cell r="D46">
            <v>80</v>
          </cell>
          <cell r="E46" t="str">
            <v>在销</v>
          </cell>
          <cell r="F46" t="str">
            <v>常规</v>
          </cell>
          <cell r="G46">
            <v>4388</v>
          </cell>
        </row>
        <row r="46">
          <cell r="I46">
            <v>4288</v>
          </cell>
          <cell r="J46">
            <v>0.025</v>
          </cell>
          <cell r="K46">
            <v>107</v>
          </cell>
        </row>
        <row r="47">
          <cell r="B47" t="str">
            <v>CEWH-60WKWi</v>
          </cell>
          <cell r="C47" t="str">
            <v>是</v>
          </cell>
          <cell r="D47">
            <v>60</v>
          </cell>
          <cell r="E47" t="str">
            <v>在销</v>
          </cell>
          <cell r="F47" t="str">
            <v>常规</v>
          </cell>
          <cell r="G47">
            <v>3998</v>
          </cell>
        </row>
        <row r="47">
          <cell r="I47">
            <v>3898</v>
          </cell>
          <cell r="J47">
            <v>0.025</v>
          </cell>
          <cell r="K47">
            <v>97</v>
          </cell>
        </row>
        <row r="48">
          <cell r="B48" t="str">
            <v>CEWH-80WKWi</v>
          </cell>
          <cell r="C48" t="str">
            <v>是</v>
          </cell>
          <cell r="D48">
            <v>80</v>
          </cell>
          <cell r="E48" t="str">
            <v>在销</v>
          </cell>
          <cell r="F48" t="str">
            <v>常规</v>
          </cell>
          <cell r="G48">
            <v>4298</v>
          </cell>
        </row>
        <row r="48">
          <cell r="I48">
            <v>4198</v>
          </cell>
          <cell r="J48">
            <v>0.025</v>
          </cell>
          <cell r="K48">
            <v>105</v>
          </cell>
        </row>
        <row r="49">
          <cell r="B49" t="str">
            <v>CEWH-60WKBWi</v>
          </cell>
          <cell r="C49" t="str">
            <v>是</v>
          </cell>
          <cell r="D49">
            <v>60</v>
          </cell>
          <cell r="E49" t="str">
            <v>在销</v>
          </cell>
          <cell r="F49" t="str">
            <v>常规</v>
          </cell>
          <cell r="G49">
            <v>3998</v>
          </cell>
        </row>
        <row r="49">
          <cell r="I49">
            <v>3898</v>
          </cell>
          <cell r="J49">
            <v>0.025</v>
          </cell>
          <cell r="K49">
            <v>97</v>
          </cell>
        </row>
        <row r="50">
          <cell r="B50" t="str">
            <v>EWH-60HG</v>
          </cell>
          <cell r="C50" t="str">
            <v>是</v>
          </cell>
          <cell r="D50">
            <v>60</v>
          </cell>
          <cell r="E50" t="str">
            <v>下市</v>
          </cell>
          <cell r="F50" t="str">
            <v>常规</v>
          </cell>
          <cell r="G50">
            <v>5678</v>
          </cell>
        </row>
        <row r="50">
          <cell r="I50">
            <v>5578</v>
          </cell>
          <cell r="J50">
            <v>0.025</v>
          </cell>
          <cell r="K50">
            <v>139</v>
          </cell>
        </row>
        <row r="51">
          <cell r="B51" t="str">
            <v>EWH-80HG</v>
          </cell>
          <cell r="C51" t="str">
            <v>是</v>
          </cell>
          <cell r="D51">
            <v>80</v>
          </cell>
          <cell r="E51" t="str">
            <v>下市</v>
          </cell>
          <cell r="F51" t="str">
            <v>常规</v>
          </cell>
          <cell r="G51">
            <v>6078</v>
          </cell>
        </row>
        <row r="51">
          <cell r="I51">
            <v>5978</v>
          </cell>
          <cell r="J51">
            <v>0.025</v>
          </cell>
          <cell r="K51">
            <v>149</v>
          </cell>
        </row>
        <row r="52">
          <cell r="B52" t="str">
            <v>EWH-60HGM</v>
          </cell>
          <cell r="C52" t="str">
            <v>是</v>
          </cell>
          <cell r="D52">
            <v>60</v>
          </cell>
          <cell r="E52" t="str">
            <v>在销</v>
          </cell>
          <cell r="F52" t="str">
            <v>常规</v>
          </cell>
          <cell r="G52">
            <v>4798</v>
          </cell>
        </row>
        <row r="52">
          <cell r="I52">
            <v>4698</v>
          </cell>
          <cell r="J52">
            <v>0.025</v>
          </cell>
          <cell r="K52">
            <v>117</v>
          </cell>
        </row>
        <row r="53">
          <cell r="B53" t="str">
            <v>EWH-80HGM</v>
          </cell>
          <cell r="C53" t="str">
            <v>是</v>
          </cell>
          <cell r="D53">
            <v>80</v>
          </cell>
          <cell r="E53" t="str">
            <v>在销</v>
          </cell>
          <cell r="F53" t="str">
            <v>常规</v>
          </cell>
          <cell r="G53">
            <v>5198</v>
          </cell>
        </row>
        <row r="53">
          <cell r="I53">
            <v>5098</v>
          </cell>
          <cell r="J53">
            <v>0.025</v>
          </cell>
          <cell r="K53">
            <v>127</v>
          </cell>
        </row>
        <row r="54">
          <cell r="B54" t="str">
            <v>EWH-60HGMAi</v>
          </cell>
          <cell r="C54" t="str">
            <v>是</v>
          </cell>
          <cell r="D54">
            <v>60</v>
          </cell>
          <cell r="E54" t="str">
            <v>在销</v>
          </cell>
          <cell r="F54" t="str">
            <v>常规</v>
          </cell>
          <cell r="G54">
            <v>5688</v>
          </cell>
        </row>
        <row r="54">
          <cell r="I54">
            <v>5588</v>
          </cell>
          <cell r="J54">
            <v>0.025</v>
          </cell>
          <cell r="K54">
            <v>140</v>
          </cell>
        </row>
        <row r="55">
          <cell r="B55" t="str">
            <v>EWH-80HGMAi</v>
          </cell>
          <cell r="C55" t="str">
            <v>是</v>
          </cell>
          <cell r="D55">
            <v>80</v>
          </cell>
          <cell r="E55" t="str">
            <v>在销</v>
          </cell>
          <cell r="F55" t="str">
            <v>常规</v>
          </cell>
          <cell r="G55">
            <v>6088</v>
          </cell>
        </row>
        <row r="55">
          <cell r="I55">
            <v>5988</v>
          </cell>
          <cell r="J55">
            <v>0.025</v>
          </cell>
          <cell r="K55">
            <v>150</v>
          </cell>
        </row>
        <row r="56">
          <cell r="B56" t="str">
            <v>EWH-60HGMWi</v>
          </cell>
          <cell r="C56" t="str">
            <v>是</v>
          </cell>
          <cell r="D56">
            <v>60</v>
          </cell>
          <cell r="E56" t="str">
            <v>在销</v>
          </cell>
          <cell r="F56" t="str">
            <v>常规</v>
          </cell>
          <cell r="G56">
            <v>5498</v>
          </cell>
        </row>
        <row r="56">
          <cell r="I56">
            <v>5398</v>
          </cell>
          <cell r="J56">
            <v>0.025</v>
          </cell>
          <cell r="K56">
            <v>135</v>
          </cell>
        </row>
        <row r="57">
          <cell r="B57" t="str">
            <v>EWH-80HGMWi</v>
          </cell>
          <cell r="C57" t="str">
            <v>是</v>
          </cell>
          <cell r="D57">
            <v>80</v>
          </cell>
          <cell r="E57" t="str">
            <v>在销</v>
          </cell>
          <cell r="F57" t="str">
            <v>常规</v>
          </cell>
          <cell r="G57">
            <v>5898</v>
          </cell>
        </row>
        <row r="57">
          <cell r="I57">
            <v>5798</v>
          </cell>
          <cell r="J57">
            <v>0.025</v>
          </cell>
          <cell r="K57">
            <v>145</v>
          </cell>
        </row>
        <row r="58">
          <cell r="B58" t="str">
            <v>EWH-60HGC</v>
          </cell>
          <cell r="C58" t="str">
            <v>是</v>
          </cell>
          <cell r="D58">
            <v>60</v>
          </cell>
          <cell r="E58" t="str">
            <v>在销</v>
          </cell>
          <cell r="F58" t="str">
            <v>常规</v>
          </cell>
          <cell r="G58">
            <v>5198</v>
          </cell>
        </row>
        <row r="58">
          <cell r="I58">
            <v>5098</v>
          </cell>
          <cell r="J58">
            <v>0.025</v>
          </cell>
          <cell r="K58">
            <v>127</v>
          </cell>
        </row>
        <row r="59">
          <cell r="B59" t="str">
            <v>EWH-80HGC</v>
          </cell>
          <cell r="C59" t="str">
            <v>是</v>
          </cell>
          <cell r="D59">
            <v>80</v>
          </cell>
          <cell r="E59" t="str">
            <v>在销</v>
          </cell>
          <cell r="F59" t="str">
            <v>常规</v>
          </cell>
          <cell r="G59">
            <v>5598</v>
          </cell>
        </row>
        <row r="59">
          <cell r="I59">
            <v>5498</v>
          </cell>
          <cell r="J59">
            <v>0.025</v>
          </cell>
          <cell r="K59">
            <v>137</v>
          </cell>
        </row>
        <row r="60">
          <cell r="B60" t="str">
            <v>EWH-60THCWi</v>
          </cell>
          <cell r="C60" t="str">
            <v>是</v>
          </cell>
          <cell r="D60">
            <v>60</v>
          </cell>
          <cell r="E60" t="str">
            <v>在销</v>
          </cell>
          <cell r="F60" t="str">
            <v>常规</v>
          </cell>
          <cell r="G60">
            <v>5698</v>
          </cell>
        </row>
        <row r="60">
          <cell r="I60">
            <v>5598</v>
          </cell>
          <cell r="J60">
            <v>0.025</v>
          </cell>
          <cell r="K60">
            <v>140</v>
          </cell>
        </row>
        <row r="61">
          <cell r="B61" t="str">
            <v>EWH-80THCWi</v>
          </cell>
          <cell r="C61" t="str">
            <v>是</v>
          </cell>
          <cell r="D61">
            <v>80</v>
          </cell>
          <cell r="E61" t="str">
            <v>在销</v>
          </cell>
          <cell r="F61" t="str">
            <v>常规</v>
          </cell>
          <cell r="G61">
            <v>6098</v>
          </cell>
        </row>
        <row r="61">
          <cell r="I61">
            <v>5998</v>
          </cell>
          <cell r="J61">
            <v>0.025</v>
          </cell>
          <cell r="K61">
            <v>150</v>
          </cell>
        </row>
        <row r="62">
          <cell r="B62" t="str">
            <v>EWH-60WHCWi</v>
          </cell>
          <cell r="C62" t="str">
            <v>是</v>
          </cell>
          <cell r="D62">
            <v>60</v>
          </cell>
          <cell r="E62" t="str">
            <v>在销</v>
          </cell>
          <cell r="F62" t="str">
            <v>常规</v>
          </cell>
          <cell r="G62">
            <v>5598</v>
          </cell>
        </row>
        <row r="62">
          <cell r="I62">
            <v>5498</v>
          </cell>
          <cell r="J62">
            <v>0.025</v>
          </cell>
          <cell r="K62">
            <v>137</v>
          </cell>
        </row>
        <row r="63">
          <cell r="B63" t="str">
            <v>EWH-80WHCWi</v>
          </cell>
          <cell r="C63" t="str">
            <v>是</v>
          </cell>
          <cell r="D63">
            <v>80</v>
          </cell>
          <cell r="E63" t="str">
            <v>在销</v>
          </cell>
          <cell r="F63" t="str">
            <v>常规</v>
          </cell>
          <cell r="G63">
            <v>5998</v>
          </cell>
        </row>
        <row r="63">
          <cell r="I63">
            <v>5898</v>
          </cell>
          <cell r="J63">
            <v>0.025</v>
          </cell>
          <cell r="K63">
            <v>147</v>
          </cell>
        </row>
        <row r="64">
          <cell r="B64" t="str">
            <v>EWH-60HGCAi</v>
          </cell>
          <cell r="C64" t="str">
            <v>是</v>
          </cell>
          <cell r="D64">
            <v>60</v>
          </cell>
          <cell r="E64" t="str">
            <v>在销</v>
          </cell>
          <cell r="F64" t="str">
            <v>常规</v>
          </cell>
          <cell r="G64">
            <v>5688</v>
          </cell>
        </row>
        <row r="64">
          <cell r="I64">
            <v>5588</v>
          </cell>
          <cell r="J64">
            <v>0.025</v>
          </cell>
          <cell r="K64">
            <v>140</v>
          </cell>
        </row>
        <row r="65">
          <cell r="B65" t="str">
            <v>EWH-80HGCAi</v>
          </cell>
          <cell r="C65" t="str">
            <v>是</v>
          </cell>
          <cell r="D65">
            <v>80</v>
          </cell>
          <cell r="E65" t="str">
            <v>在销</v>
          </cell>
          <cell r="F65" t="str">
            <v>常规</v>
          </cell>
          <cell r="G65">
            <v>6088</v>
          </cell>
        </row>
        <row r="65">
          <cell r="I65">
            <v>5988</v>
          </cell>
          <cell r="J65">
            <v>0.025</v>
          </cell>
          <cell r="K65">
            <v>150</v>
          </cell>
        </row>
        <row r="66">
          <cell r="B66" t="str">
            <v>EWH-60HGCWi</v>
          </cell>
          <cell r="C66" t="str">
            <v>是</v>
          </cell>
          <cell r="D66">
            <v>60</v>
          </cell>
          <cell r="E66" t="str">
            <v>在销</v>
          </cell>
          <cell r="F66" t="str">
            <v>常规</v>
          </cell>
          <cell r="G66">
            <v>5498</v>
          </cell>
        </row>
        <row r="66">
          <cell r="I66">
            <v>5398</v>
          </cell>
          <cell r="J66">
            <v>0.025</v>
          </cell>
          <cell r="K66">
            <v>135</v>
          </cell>
        </row>
        <row r="67">
          <cell r="B67" t="str">
            <v>EWH-80HGCWi</v>
          </cell>
          <cell r="C67" t="str">
            <v>是</v>
          </cell>
          <cell r="D67">
            <v>80</v>
          </cell>
          <cell r="E67" t="str">
            <v>在销</v>
          </cell>
          <cell r="F67" t="str">
            <v>常规</v>
          </cell>
          <cell r="G67">
            <v>5898</v>
          </cell>
        </row>
        <row r="67">
          <cell r="I67">
            <v>5798</v>
          </cell>
          <cell r="J67">
            <v>0.025</v>
          </cell>
          <cell r="K67">
            <v>145</v>
          </cell>
        </row>
        <row r="68">
          <cell r="B68" t="str">
            <v>EWH-60HGA</v>
          </cell>
          <cell r="C68" t="str">
            <v>是</v>
          </cell>
          <cell r="D68">
            <v>60</v>
          </cell>
          <cell r="E68" t="str">
            <v>下市</v>
          </cell>
          <cell r="F68" t="str">
            <v>常规</v>
          </cell>
          <cell r="G68">
            <v>6598</v>
          </cell>
        </row>
        <row r="68">
          <cell r="I68">
            <v>6498</v>
          </cell>
          <cell r="J68">
            <v>0.025</v>
          </cell>
          <cell r="K68">
            <v>162</v>
          </cell>
        </row>
        <row r="69">
          <cell r="B69" t="str">
            <v>EWH-80HGA</v>
          </cell>
          <cell r="C69" t="str">
            <v>是</v>
          </cell>
          <cell r="D69">
            <v>80</v>
          </cell>
          <cell r="E69" t="str">
            <v>下市</v>
          </cell>
          <cell r="F69" t="str">
            <v>常规</v>
          </cell>
          <cell r="G69">
            <v>6998</v>
          </cell>
        </row>
        <row r="69">
          <cell r="I69">
            <v>6898</v>
          </cell>
          <cell r="J69">
            <v>0.025</v>
          </cell>
          <cell r="K69">
            <v>172</v>
          </cell>
        </row>
        <row r="70">
          <cell r="B70" t="str">
            <v>EWH-60HGAWi</v>
          </cell>
          <cell r="C70" t="str">
            <v>是</v>
          </cell>
          <cell r="D70">
            <v>60</v>
          </cell>
          <cell r="E70" t="str">
            <v>在销</v>
          </cell>
          <cell r="F70" t="str">
            <v>常规</v>
          </cell>
          <cell r="G70">
            <v>6828</v>
          </cell>
        </row>
        <row r="70">
          <cell r="I70">
            <v>6728</v>
          </cell>
          <cell r="J70">
            <v>0.025</v>
          </cell>
          <cell r="K70">
            <v>168</v>
          </cell>
        </row>
        <row r="71">
          <cell r="B71" t="str">
            <v>EWH-80HGAWi</v>
          </cell>
          <cell r="C71" t="str">
            <v>是</v>
          </cell>
          <cell r="D71">
            <v>80</v>
          </cell>
          <cell r="E71" t="str">
            <v>在销</v>
          </cell>
          <cell r="F71" t="str">
            <v>常规</v>
          </cell>
          <cell r="G71">
            <v>7238</v>
          </cell>
        </row>
        <row r="71">
          <cell r="I71">
            <v>7138</v>
          </cell>
          <cell r="J71">
            <v>0.025</v>
          </cell>
          <cell r="K71">
            <v>178</v>
          </cell>
        </row>
        <row r="72">
          <cell r="B72" t="str">
            <v>EWH-60HGKWi</v>
          </cell>
          <cell r="C72" t="str">
            <v>是</v>
          </cell>
          <cell r="D72">
            <v>60</v>
          </cell>
          <cell r="E72" t="str">
            <v>在销</v>
          </cell>
          <cell r="F72" t="str">
            <v>常规</v>
          </cell>
          <cell r="G72">
            <v>5918</v>
          </cell>
        </row>
        <row r="72">
          <cell r="I72">
            <v>5818</v>
          </cell>
          <cell r="J72">
            <v>0.025</v>
          </cell>
          <cell r="K72">
            <v>145</v>
          </cell>
        </row>
        <row r="73">
          <cell r="B73" t="str">
            <v>EWH-80HGKWi</v>
          </cell>
          <cell r="C73" t="str">
            <v>是</v>
          </cell>
          <cell r="D73">
            <v>80</v>
          </cell>
          <cell r="E73" t="str">
            <v>在销</v>
          </cell>
          <cell r="F73" t="str">
            <v>常规</v>
          </cell>
          <cell r="G73">
            <v>6318</v>
          </cell>
        </row>
        <row r="73">
          <cell r="I73">
            <v>6218</v>
          </cell>
          <cell r="J73">
            <v>0.025</v>
          </cell>
          <cell r="K73">
            <v>155</v>
          </cell>
        </row>
        <row r="74">
          <cell r="B74" t="str">
            <v>EWH-60HGKAi</v>
          </cell>
          <cell r="C74" t="str">
            <v>是</v>
          </cell>
          <cell r="D74">
            <v>60</v>
          </cell>
          <cell r="E74" t="str">
            <v>在销</v>
          </cell>
          <cell r="F74" t="str">
            <v>常规</v>
          </cell>
          <cell r="G74">
            <v>6028</v>
          </cell>
        </row>
        <row r="74">
          <cell r="I74">
            <v>5928</v>
          </cell>
          <cell r="J74">
            <v>0.025</v>
          </cell>
          <cell r="K74">
            <v>148</v>
          </cell>
        </row>
        <row r="75">
          <cell r="B75" t="str">
            <v>EWH-80HGKAi</v>
          </cell>
          <cell r="C75" t="str">
            <v>是</v>
          </cell>
          <cell r="D75">
            <v>80</v>
          </cell>
          <cell r="E75" t="str">
            <v>在销</v>
          </cell>
          <cell r="F75" t="str">
            <v>常规</v>
          </cell>
          <cell r="G75">
            <v>6428</v>
          </cell>
        </row>
        <row r="75">
          <cell r="I75">
            <v>6328</v>
          </cell>
          <cell r="J75">
            <v>0.025</v>
          </cell>
          <cell r="K75">
            <v>158</v>
          </cell>
        </row>
        <row r="76">
          <cell r="B76" t="str">
            <v>CEWH-40R1S</v>
          </cell>
          <cell r="C76" t="str">
            <v>是</v>
          </cell>
          <cell r="D76">
            <v>40</v>
          </cell>
          <cell r="E76" t="str">
            <v>在销</v>
          </cell>
          <cell r="F76" t="str">
            <v>常规</v>
          </cell>
          <cell r="G76">
            <v>2598</v>
          </cell>
        </row>
        <row r="76">
          <cell r="I76">
            <v>2498</v>
          </cell>
          <cell r="J76">
            <v>0.025</v>
          </cell>
          <cell r="K76">
            <v>62</v>
          </cell>
        </row>
        <row r="77">
          <cell r="B77" t="str">
            <v>CEWH-50R1S</v>
          </cell>
          <cell r="C77" t="str">
            <v>是</v>
          </cell>
          <cell r="D77">
            <v>50</v>
          </cell>
          <cell r="E77" t="str">
            <v>在销</v>
          </cell>
          <cell r="F77" t="str">
            <v>常规</v>
          </cell>
          <cell r="G77">
            <v>2698</v>
          </cell>
        </row>
        <row r="77">
          <cell r="I77">
            <v>2598</v>
          </cell>
          <cell r="J77">
            <v>0.025</v>
          </cell>
          <cell r="K77">
            <v>65</v>
          </cell>
        </row>
        <row r="78">
          <cell r="B78" t="str">
            <v>CEWH-60R1S</v>
          </cell>
          <cell r="C78" t="str">
            <v>是</v>
          </cell>
          <cell r="D78">
            <v>60</v>
          </cell>
          <cell r="E78" t="str">
            <v>在销</v>
          </cell>
          <cell r="F78" t="str">
            <v>常规</v>
          </cell>
          <cell r="G78">
            <v>2778</v>
          </cell>
        </row>
        <row r="78">
          <cell r="I78">
            <v>2678</v>
          </cell>
          <cell r="J78">
            <v>0.025</v>
          </cell>
          <cell r="K78">
            <v>67</v>
          </cell>
        </row>
        <row r="79">
          <cell r="B79" t="str">
            <v>CEWHR-50PE8</v>
          </cell>
          <cell r="C79" t="str">
            <v>是</v>
          </cell>
          <cell r="D79">
            <v>50</v>
          </cell>
          <cell r="E79" t="str">
            <v>下市</v>
          </cell>
          <cell r="F79" t="str">
            <v>常规</v>
          </cell>
          <cell r="G79">
            <v>3258</v>
          </cell>
        </row>
        <row r="79">
          <cell r="I79">
            <v>3158</v>
          </cell>
          <cell r="J79">
            <v>0.025</v>
          </cell>
          <cell r="K79">
            <v>79</v>
          </cell>
        </row>
        <row r="80">
          <cell r="B80" t="str">
            <v>CEWHR-60PE8</v>
          </cell>
          <cell r="C80" t="str">
            <v>是</v>
          </cell>
          <cell r="D80">
            <v>60</v>
          </cell>
          <cell r="E80" t="str">
            <v>下市</v>
          </cell>
          <cell r="F80" t="str">
            <v>常规</v>
          </cell>
          <cell r="G80">
            <v>3518</v>
          </cell>
        </row>
        <row r="80">
          <cell r="I80">
            <v>3418</v>
          </cell>
          <cell r="J80">
            <v>0.025</v>
          </cell>
          <cell r="K80">
            <v>85</v>
          </cell>
        </row>
        <row r="81">
          <cell r="B81" t="str">
            <v>CEWHR-80PE8</v>
          </cell>
          <cell r="C81" t="str">
            <v>是</v>
          </cell>
          <cell r="D81">
            <v>80</v>
          </cell>
          <cell r="E81" t="str">
            <v>下市</v>
          </cell>
          <cell r="F81" t="str">
            <v>常规</v>
          </cell>
          <cell r="G81">
            <v>3918</v>
          </cell>
        </row>
        <row r="81">
          <cell r="I81">
            <v>3818</v>
          </cell>
          <cell r="J81">
            <v>0.025</v>
          </cell>
          <cell r="K81">
            <v>95</v>
          </cell>
        </row>
        <row r="82">
          <cell r="B82" t="str">
            <v>CEWHR-40PEWi</v>
          </cell>
          <cell r="C82" t="str">
            <v>是</v>
          </cell>
          <cell r="D82">
            <v>40</v>
          </cell>
          <cell r="E82" t="str">
            <v>在销</v>
          </cell>
          <cell r="F82" t="str">
            <v>常规</v>
          </cell>
          <cell r="G82">
            <v>3168</v>
          </cell>
        </row>
        <row r="82">
          <cell r="I82">
            <v>3068</v>
          </cell>
          <cell r="J82">
            <v>0.025</v>
          </cell>
          <cell r="K82">
            <v>77</v>
          </cell>
        </row>
        <row r="83">
          <cell r="B83" t="str">
            <v>CEWHR-50PEWi</v>
          </cell>
          <cell r="C83" t="str">
            <v>是</v>
          </cell>
          <cell r="D83">
            <v>50</v>
          </cell>
          <cell r="E83" t="str">
            <v>在销</v>
          </cell>
          <cell r="F83" t="str">
            <v>常规</v>
          </cell>
          <cell r="G83">
            <v>3428</v>
          </cell>
        </row>
        <row r="83">
          <cell r="I83">
            <v>3328</v>
          </cell>
          <cell r="J83">
            <v>0.025</v>
          </cell>
          <cell r="K83">
            <v>83</v>
          </cell>
        </row>
        <row r="84">
          <cell r="B84" t="str">
            <v>CEWHR-60PEWi</v>
          </cell>
          <cell r="C84" t="str">
            <v>是</v>
          </cell>
          <cell r="D84">
            <v>60</v>
          </cell>
          <cell r="E84" t="str">
            <v>在销</v>
          </cell>
          <cell r="F84" t="str">
            <v>常规</v>
          </cell>
          <cell r="G84">
            <v>3688</v>
          </cell>
        </row>
        <row r="84">
          <cell r="I84">
            <v>3588</v>
          </cell>
          <cell r="J84">
            <v>0.025</v>
          </cell>
          <cell r="K84">
            <v>90</v>
          </cell>
        </row>
        <row r="85">
          <cell r="B85" t="str">
            <v>CEWHR-80PEWi</v>
          </cell>
          <cell r="C85" t="str">
            <v>是</v>
          </cell>
          <cell r="D85">
            <v>80</v>
          </cell>
          <cell r="E85" t="str">
            <v>在销</v>
          </cell>
          <cell r="F85" t="str">
            <v>常规</v>
          </cell>
          <cell r="G85">
            <v>4088</v>
          </cell>
        </row>
        <row r="85">
          <cell r="I85">
            <v>3988</v>
          </cell>
          <cell r="J85">
            <v>0.025</v>
          </cell>
          <cell r="K85">
            <v>100</v>
          </cell>
        </row>
        <row r="86">
          <cell r="B86" t="str">
            <v>EWH-40MINIWi</v>
          </cell>
          <cell r="C86" t="str">
            <v>是</v>
          </cell>
          <cell r="D86">
            <v>40</v>
          </cell>
          <cell r="E86" t="str">
            <v>在销</v>
          </cell>
          <cell r="F86" t="str">
            <v>常规</v>
          </cell>
          <cell r="G86">
            <v>6458</v>
          </cell>
        </row>
        <row r="86">
          <cell r="I86">
            <v>6358</v>
          </cell>
          <cell r="J86">
            <v>0.025</v>
          </cell>
          <cell r="K86">
            <v>159</v>
          </cell>
        </row>
        <row r="87">
          <cell r="B87" t="str">
            <v>E50VDS</v>
          </cell>
          <cell r="C87" t="str">
            <v>是</v>
          </cell>
          <cell r="D87">
            <v>50</v>
          </cell>
          <cell r="E87" t="str">
            <v>在销</v>
          </cell>
          <cell r="F87" t="str">
            <v>特价</v>
          </cell>
          <cell r="G87">
            <v>2788</v>
          </cell>
        </row>
        <row r="87">
          <cell r="I87">
            <v>2688</v>
          </cell>
          <cell r="J87">
            <v>0.015</v>
          </cell>
          <cell r="K87">
            <v>40</v>
          </cell>
        </row>
        <row r="88">
          <cell r="B88" t="str">
            <v>E60VDS</v>
          </cell>
          <cell r="C88" t="str">
            <v>是</v>
          </cell>
          <cell r="D88">
            <v>60</v>
          </cell>
          <cell r="E88" t="str">
            <v>在销</v>
          </cell>
          <cell r="F88" t="str">
            <v>特价</v>
          </cell>
          <cell r="G88">
            <v>2888</v>
          </cell>
        </row>
        <row r="88">
          <cell r="I88">
            <v>2788</v>
          </cell>
          <cell r="J88">
            <v>0.015</v>
          </cell>
          <cell r="K88">
            <v>42</v>
          </cell>
        </row>
        <row r="89">
          <cell r="B89" t="str">
            <v>E80VDS</v>
          </cell>
          <cell r="C89" t="str">
            <v>是</v>
          </cell>
          <cell r="D89">
            <v>80</v>
          </cell>
          <cell r="E89" t="str">
            <v>在销</v>
          </cell>
          <cell r="F89" t="str">
            <v>特价</v>
          </cell>
          <cell r="G89">
            <v>3088</v>
          </cell>
        </row>
        <row r="89">
          <cell r="I89">
            <v>2988</v>
          </cell>
          <cell r="J89">
            <v>0.015</v>
          </cell>
          <cell r="K89">
            <v>45</v>
          </cell>
        </row>
        <row r="90">
          <cell r="B90" t="str">
            <v>E60VC0</v>
          </cell>
          <cell r="C90" t="str">
            <v>是</v>
          </cell>
          <cell r="D90">
            <v>60</v>
          </cell>
          <cell r="E90" t="str">
            <v>在销</v>
          </cell>
          <cell r="F90" t="str">
            <v>特价</v>
          </cell>
          <cell r="G90">
            <v>2758</v>
          </cell>
        </row>
        <row r="90">
          <cell r="I90">
            <v>2658</v>
          </cell>
          <cell r="J90">
            <v>0.015</v>
          </cell>
          <cell r="K90">
            <v>40</v>
          </cell>
        </row>
        <row r="91">
          <cell r="B91" t="str">
            <v>E60VC0-B</v>
          </cell>
          <cell r="C91" t="str">
            <v>是</v>
          </cell>
          <cell r="D91">
            <v>60</v>
          </cell>
          <cell r="E91" t="str">
            <v>在销</v>
          </cell>
          <cell r="F91" t="str">
            <v>特价</v>
          </cell>
          <cell r="G91">
            <v>2758</v>
          </cell>
        </row>
        <row r="91">
          <cell r="I91">
            <v>2658</v>
          </cell>
          <cell r="J91">
            <v>0.015</v>
          </cell>
          <cell r="K91">
            <v>40</v>
          </cell>
        </row>
        <row r="92">
          <cell r="B92" t="str">
            <v>E80VC0</v>
          </cell>
          <cell r="C92" t="str">
            <v>是</v>
          </cell>
          <cell r="D92">
            <v>80</v>
          </cell>
          <cell r="E92" t="str">
            <v>在销</v>
          </cell>
          <cell r="F92" t="str">
            <v>特价</v>
          </cell>
          <cell r="G92">
            <v>2958</v>
          </cell>
        </row>
        <row r="92">
          <cell r="I92">
            <v>2858</v>
          </cell>
          <cell r="J92">
            <v>0.015</v>
          </cell>
          <cell r="K92">
            <v>43</v>
          </cell>
        </row>
        <row r="93">
          <cell r="B93" t="str">
            <v>EESR-20C8</v>
          </cell>
          <cell r="C93" t="str">
            <v>是</v>
          </cell>
          <cell r="D93">
            <v>75</v>
          </cell>
          <cell r="E93" t="str">
            <v>在销</v>
          </cell>
          <cell r="F93" t="str">
            <v>常规</v>
          </cell>
          <cell r="G93">
            <v>4268</v>
          </cell>
        </row>
        <row r="93">
          <cell r="I93">
            <v>4168</v>
          </cell>
          <cell r="J93">
            <v>0.025</v>
          </cell>
          <cell r="K93">
            <v>104</v>
          </cell>
        </row>
        <row r="94">
          <cell r="B94" t="str">
            <v>EESR-25C8</v>
          </cell>
          <cell r="C94" t="str">
            <v>是</v>
          </cell>
          <cell r="D94">
            <v>100</v>
          </cell>
          <cell r="E94" t="str">
            <v>在销</v>
          </cell>
          <cell r="F94" t="str">
            <v>常规</v>
          </cell>
          <cell r="G94">
            <v>4818</v>
          </cell>
        </row>
        <row r="94">
          <cell r="I94">
            <v>4718</v>
          </cell>
          <cell r="J94">
            <v>0.025</v>
          </cell>
          <cell r="K94">
            <v>118</v>
          </cell>
        </row>
        <row r="95">
          <cell r="B95" t="str">
            <v>EES-50-6(6KW）</v>
          </cell>
          <cell r="C95" t="str">
            <v>是</v>
          </cell>
          <cell r="D95">
            <v>190</v>
          </cell>
          <cell r="E95" t="str">
            <v>在销</v>
          </cell>
          <cell r="F95" t="str">
            <v>常规</v>
          </cell>
          <cell r="G95">
            <v>8668</v>
          </cell>
        </row>
        <row r="95">
          <cell r="I95">
            <v>8568</v>
          </cell>
          <cell r="J95">
            <v>0.025</v>
          </cell>
          <cell r="K95">
            <v>214</v>
          </cell>
        </row>
        <row r="96">
          <cell r="B96" t="str">
            <v>EES-80-6(6KW）</v>
          </cell>
          <cell r="C96" t="str">
            <v>是</v>
          </cell>
          <cell r="D96">
            <v>300</v>
          </cell>
          <cell r="E96" t="str">
            <v>在销</v>
          </cell>
          <cell r="F96" t="str">
            <v>常规</v>
          </cell>
          <cell r="G96">
            <v>13408</v>
          </cell>
        </row>
        <row r="96">
          <cell r="I96">
            <v>13308</v>
          </cell>
          <cell r="J96">
            <v>0.025</v>
          </cell>
          <cell r="K96">
            <v>333</v>
          </cell>
        </row>
        <row r="97">
          <cell r="B97" t="str">
            <v>EES-120-6(6KW）</v>
          </cell>
          <cell r="C97" t="str">
            <v>是</v>
          </cell>
          <cell r="D97">
            <v>455</v>
          </cell>
          <cell r="E97" t="str">
            <v>在销</v>
          </cell>
          <cell r="F97" t="str">
            <v>常规</v>
          </cell>
          <cell r="G97">
            <v>21858</v>
          </cell>
        </row>
        <row r="97">
          <cell r="I97">
            <v>21758</v>
          </cell>
          <cell r="J97">
            <v>0.025</v>
          </cell>
          <cell r="K97">
            <v>544</v>
          </cell>
        </row>
        <row r="98">
          <cell r="B98" t="str">
            <v>EES-30D</v>
          </cell>
          <cell r="C98" t="str">
            <v>是</v>
          </cell>
          <cell r="D98">
            <v>120</v>
          </cell>
          <cell r="E98" t="str">
            <v>在销</v>
          </cell>
          <cell r="F98" t="str">
            <v>常规</v>
          </cell>
          <cell r="G98">
            <v>7688</v>
          </cell>
        </row>
        <row r="98">
          <cell r="I98">
            <v>7588</v>
          </cell>
          <cell r="J98">
            <v>0.025</v>
          </cell>
          <cell r="K98">
            <v>190</v>
          </cell>
        </row>
        <row r="99">
          <cell r="B99" t="str">
            <v>EES-40D</v>
          </cell>
          <cell r="C99" t="str">
            <v>是</v>
          </cell>
          <cell r="D99">
            <v>150</v>
          </cell>
          <cell r="E99" t="str">
            <v>在销</v>
          </cell>
          <cell r="F99" t="str">
            <v>常规</v>
          </cell>
          <cell r="G99">
            <v>9198</v>
          </cell>
        </row>
        <row r="99">
          <cell r="I99">
            <v>9098</v>
          </cell>
          <cell r="J99">
            <v>0.025</v>
          </cell>
          <cell r="K99">
            <v>227</v>
          </cell>
        </row>
        <row r="100">
          <cell r="B100" t="str">
            <v>EES-50D</v>
          </cell>
          <cell r="C100" t="str">
            <v>是</v>
          </cell>
          <cell r="D100">
            <v>190</v>
          </cell>
          <cell r="E100" t="str">
            <v>在销</v>
          </cell>
          <cell r="F100" t="str">
            <v>常规</v>
          </cell>
          <cell r="G100">
            <v>10778</v>
          </cell>
        </row>
        <row r="100">
          <cell r="I100">
            <v>10678</v>
          </cell>
          <cell r="J100">
            <v>0.025</v>
          </cell>
          <cell r="K100">
            <v>267</v>
          </cell>
        </row>
        <row r="101">
          <cell r="B101" t="str">
            <v>EES-80D</v>
          </cell>
          <cell r="C101" t="str">
            <v>是</v>
          </cell>
          <cell r="D101">
            <v>300</v>
          </cell>
          <cell r="E101" t="str">
            <v>在销</v>
          </cell>
          <cell r="F101" t="str">
            <v>常规</v>
          </cell>
          <cell r="G101">
            <v>15538</v>
          </cell>
        </row>
        <row r="101">
          <cell r="I101">
            <v>15438</v>
          </cell>
          <cell r="J101">
            <v>0.025</v>
          </cell>
          <cell r="K101">
            <v>386</v>
          </cell>
        </row>
        <row r="102">
          <cell r="B102" t="str">
            <v>ACWP-15AE1</v>
          </cell>
          <cell r="C102" t="str">
            <v>是</v>
          </cell>
          <cell r="D102" t="str">
            <v>/</v>
          </cell>
          <cell r="E102" t="str">
            <v>在销</v>
          </cell>
          <cell r="F102" t="str">
            <v>常规</v>
          </cell>
          <cell r="G102">
            <v>12258</v>
          </cell>
        </row>
        <row r="102">
          <cell r="I102">
            <v>12158</v>
          </cell>
          <cell r="J102">
            <v>0.03</v>
          </cell>
          <cell r="K102">
            <v>365</v>
          </cell>
        </row>
        <row r="103">
          <cell r="B103" t="str">
            <v>ACWP-20AE1</v>
          </cell>
          <cell r="C103" t="str">
            <v>是</v>
          </cell>
          <cell r="D103" t="str">
            <v>/</v>
          </cell>
          <cell r="E103" t="str">
            <v>在销</v>
          </cell>
          <cell r="F103" t="str">
            <v>常规</v>
          </cell>
          <cell r="G103">
            <v>16078</v>
          </cell>
        </row>
        <row r="103">
          <cell r="I103">
            <v>15978</v>
          </cell>
          <cell r="J103">
            <v>0.03</v>
          </cell>
          <cell r="K103">
            <v>479</v>
          </cell>
        </row>
        <row r="104">
          <cell r="B104" t="str">
            <v>S05T-A1</v>
          </cell>
          <cell r="C104" t="str">
            <v>是</v>
          </cell>
          <cell r="D104" t="str">
            <v>/</v>
          </cell>
          <cell r="E104" t="str">
            <v>下市</v>
          </cell>
          <cell r="F104" t="str">
            <v>特价</v>
          </cell>
          <cell r="G104">
            <v>6078</v>
          </cell>
        </row>
        <row r="104">
          <cell r="I104">
            <v>5978</v>
          </cell>
          <cell r="J104">
            <v>0.015</v>
          </cell>
          <cell r="K104">
            <v>90</v>
          </cell>
        </row>
        <row r="105">
          <cell r="B105" t="str">
            <v>S05T-A2</v>
          </cell>
          <cell r="C105" t="str">
            <v>是</v>
          </cell>
          <cell r="D105" t="str">
            <v>/</v>
          </cell>
          <cell r="E105" t="str">
            <v>在销</v>
          </cell>
          <cell r="F105" t="str">
            <v>常规</v>
          </cell>
          <cell r="G105">
            <v>6598</v>
          </cell>
        </row>
        <row r="105">
          <cell r="I105">
            <v>6498</v>
          </cell>
          <cell r="J105">
            <v>0.03</v>
          </cell>
          <cell r="K105">
            <v>195</v>
          </cell>
        </row>
        <row r="106">
          <cell r="B106" t="str">
            <v>S12A1</v>
          </cell>
          <cell r="C106" t="str">
            <v>是</v>
          </cell>
          <cell r="D106" t="str">
            <v>/</v>
          </cell>
          <cell r="E106" t="str">
            <v>下市</v>
          </cell>
          <cell r="F106" t="str">
            <v>常规</v>
          </cell>
          <cell r="G106">
            <v>13288</v>
          </cell>
        </row>
        <row r="106">
          <cell r="I106">
            <v>13188</v>
          </cell>
          <cell r="J106">
            <v>0.03</v>
          </cell>
          <cell r="K106">
            <v>396</v>
          </cell>
        </row>
        <row r="107">
          <cell r="B107" t="str">
            <v>S12K1</v>
          </cell>
          <cell r="C107" t="str">
            <v>是</v>
          </cell>
          <cell r="D107" t="str">
            <v>/</v>
          </cell>
          <cell r="E107" t="str">
            <v>在销</v>
          </cell>
          <cell r="F107" t="str">
            <v>常规</v>
          </cell>
          <cell r="G107">
            <v>13288</v>
          </cell>
        </row>
        <row r="107">
          <cell r="I107">
            <v>13188</v>
          </cell>
          <cell r="J107">
            <v>0.03</v>
          </cell>
          <cell r="K107">
            <v>396</v>
          </cell>
        </row>
        <row r="108">
          <cell r="B108" t="str">
            <v>S25K1</v>
          </cell>
          <cell r="C108" t="str">
            <v>是</v>
          </cell>
          <cell r="D108" t="str">
            <v>/</v>
          </cell>
          <cell r="E108" t="str">
            <v>在销</v>
          </cell>
          <cell r="F108" t="str">
            <v>常规</v>
          </cell>
          <cell r="G108">
            <v>20148</v>
          </cell>
        </row>
        <row r="108">
          <cell r="I108">
            <v>20048</v>
          </cell>
          <cell r="J108">
            <v>0.03</v>
          </cell>
          <cell r="K108">
            <v>601</v>
          </cell>
        </row>
        <row r="109">
          <cell r="B109" t="str">
            <v>PF25C1</v>
          </cell>
          <cell r="C109" t="str">
            <v>否</v>
          </cell>
          <cell r="D109" t="str">
            <v>/</v>
          </cell>
          <cell r="E109" t="str">
            <v>在销</v>
          </cell>
          <cell r="F109" t="str">
            <v>特价</v>
          </cell>
          <cell r="G109">
            <v>828</v>
          </cell>
        </row>
        <row r="109">
          <cell r="I109">
            <v>828</v>
          </cell>
          <cell r="J109">
            <v>0.015</v>
          </cell>
          <cell r="K109">
            <v>12</v>
          </cell>
        </row>
        <row r="110">
          <cell r="B110" t="str">
            <v>PF-B1</v>
          </cell>
          <cell r="C110" t="str">
            <v>是</v>
          </cell>
          <cell r="D110" t="str">
            <v>/</v>
          </cell>
          <cell r="E110" t="str">
            <v>在销</v>
          </cell>
          <cell r="F110" t="str">
            <v>常规</v>
          </cell>
          <cell r="G110">
            <v>4198</v>
          </cell>
        </row>
        <row r="110">
          <cell r="I110">
            <v>4098</v>
          </cell>
          <cell r="J110">
            <v>0.03</v>
          </cell>
          <cell r="K110">
            <v>123</v>
          </cell>
        </row>
        <row r="111">
          <cell r="B111" t="str">
            <v>PF-DA1</v>
          </cell>
          <cell r="C111" t="str">
            <v>否</v>
          </cell>
        </row>
        <row r="111">
          <cell r="E111" t="str">
            <v>是</v>
          </cell>
          <cell r="F111" t="str">
            <v>特价</v>
          </cell>
          <cell r="G111">
            <v>1488</v>
          </cell>
        </row>
        <row r="111">
          <cell r="I111">
            <v>1488</v>
          </cell>
          <cell r="J111">
            <v>0.015</v>
          </cell>
          <cell r="K111">
            <v>22</v>
          </cell>
        </row>
        <row r="112">
          <cell r="B112" t="str">
            <v>APM-HC1</v>
          </cell>
          <cell r="C112" t="str">
            <v>是</v>
          </cell>
        </row>
        <row r="112">
          <cell r="E112" t="str">
            <v>在销</v>
          </cell>
          <cell r="F112" t="str">
            <v>常规</v>
          </cell>
          <cell r="G112">
            <v>2588</v>
          </cell>
        </row>
        <row r="112">
          <cell r="I112">
            <v>2488</v>
          </cell>
          <cell r="J112">
            <v>0.03</v>
          </cell>
          <cell r="K112">
            <v>75</v>
          </cell>
        </row>
        <row r="113">
          <cell r="B113" t="str">
            <v>R1200CD1</v>
          </cell>
          <cell r="C113" t="str">
            <v>是</v>
          </cell>
          <cell r="D113" t="str">
            <v>/</v>
          </cell>
          <cell r="E113" t="str">
            <v>下市</v>
          </cell>
          <cell r="F113" t="str">
            <v>常规</v>
          </cell>
          <cell r="G113">
            <v>3628</v>
          </cell>
        </row>
        <row r="113">
          <cell r="I113">
            <v>3528</v>
          </cell>
          <cell r="J113">
            <v>0.03</v>
          </cell>
          <cell r="K113">
            <v>106</v>
          </cell>
        </row>
        <row r="114">
          <cell r="B114" t="str">
            <v>R1200BG1</v>
          </cell>
          <cell r="C114" t="str">
            <v>是</v>
          </cell>
        </row>
        <row r="114">
          <cell r="E114" t="str">
            <v>下市</v>
          </cell>
          <cell r="F114" t="str">
            <v>特价</v>
          </cell>
          <cell r="G114">
            <v>3188</v>
          </cell>
        </row>
        <row r="114">
          <cell r="I114">
            <v>3088</v>
          </cell>
          <cell r="J114">
            <v>0.015</v>
          </cell>
          <cell r="K114">
            <v>46</v>
          </cell>
        </row>
        <row r="115">
          <cell r="B115" t="str">
            <v>R1200HWi-E</v>
          </cell>
          <cell r="C115" t="str">
            <v>是</v>
          </cell>
          <cell r="D115" t="str">
            <v>1.2L/min</v>
          </cell>
          <cell r="E115" t="str">
            <v>在销</v>
          </cell>
          <cell r="F115" t="str">
            <v>特价</v>
          </cell>
          <cell r="G115">
            <v>3188</v>
          </cell>
        </row>
        <row r="115">
          <cell r="I115">
            <v>3088</v>
          </cell>
          <cell r="J115">
            <v>0.015</v>
          </cell>
          <cell r="K115">
            <v>46</v>
          </cell>
        </row>
        <row r="116">
          <cell r="B116" t="str">
            <v>R1600HX1</v>
          </cell>
          <cell r="C116" t="str">
            <v>是</v>
          </cell>
        </row>
        <row r="116">
          <cell r="E116" t="str">
            <v>在销</v>
          </cell>
          <cell r="F116" t="str">
            <v>特价</v>
          </cell>
          <cell r="G116">
            <v>4758</v>
          </cell>
        </row>
        <row r="116">
          <cell r="I116">
            <v>4658</v>
          </cell>
          <cell r="J116">
            <v>0.015</v>
          </cell>
          <cell r="K116">
            <v>70</v>
          </cell>
        </row>
        <row r="117">
          <cell r="B117" t="str">
            <v>R1400XF2</v>
          </cell>
          <cell r="C117" t="str">
            <v>是</v>
          </cell>
          <cell r="D117" t="str">
            <v>/</v>
          </cell>
          <cell r="E117" t="str">
            <v>下市</v>
          </cell>
          <cell r="F117" t="str">
            <v>常规</v>
          </cell>
          <cell r="G117">
            <v>4088</v>
          </cell>
        </row>
        <row r="117">
          <cell r="I117">
            <v>3988</v>
          </cell>
          <cell r="J117">
            <v>0.03</v>
          </cell>
          <cell r="K117">
            <v>120</v>
          </cell>
        </row>
        <row r="118">
          <cell r="B118" t="str">
            <v>R1400F</v>
          </cell>
          <cell r="C118" t="str">
            <v>是</v>
          </cell>
        </row>
        <row r="118">
          <cell r="E118" t="str">
            <v>在销</v>
          </cell>
          <cell r="F118" t="str">
            <v>常规</v>
          </cell>
          <cell r="G118">
            <v>4258</v>
          </cell>
        </row>
        <row r="118">
          <cell r="I118">
            <v>4158</v>
          </cell>
          <cell r="J118">
            <v>0.03</v>
          </cell>
          <cell r="K118">
            <v>125</v>
          </cell>
        </row>
        <row r="119">
          <cell r="B119" t="str">
            <v>R1700FWi</v>
          </cell>
          <cell r="C119" t="str">
            <v>是</v>
          </cell>
        </row>
        <row r="119">
          <cell r="E119" t="str">
            <v>下市</v>
          </cell>
          <cell r="F119" t="str">
            <v>常规</v>
          </cell>
          <cell r="G119">
            <v>4848</v>
          </cell>
        </row>
        <row r="119">
          <cell r="I119">
            <v>4748</v>
          </cell>
          <cell r="J119">
            <v>0.03</v>
          </cell>
          <cell r="K119">
            <v>142</v>
          </cell>
        </row>
        <row r="120">
          <cell r="B120" t="str">
            <v>R1700FWi-E</v>
          </cell>
          <cell r="C120" t="str">
            <v>是</v>
          </cell>
        </row>
        <row r="120">
          <cell r="E120" t="str">
            <v>在销</v>
          </cell>
          <cell r="F120" t="str">
            <v>常规</v>
          </cell>
          <cell r="G120">
            <v>4988</v>
          </cell>
        </row>
        <row r="120">
          <cell r="I120">
            <v>4888</v>
          </cell>
          <cell r="J120">
            <v>0.03</v>
          </cell>
          <cell r="K120">
            <v>147</v>
          </cell>
        </row>
        <row r="121">
          <cell r="B121" t="str">
            <v>R1600SWi</v>
          </cell>
          <cell r="C121" t="str">
            <v>是</v>
          </cell>
          <cell r="D121" t="str">
            <v>1.6L/min</v>
          </cell>
          <cell r="E121" t="str">
            <v>在销</v>
          </cell>
          <cell r="F121" t="str">
            <v>常规</v>
          </cell>
          <cell r="G121">
            <v>4588</v>
          </cell>
        </row>
        <row r="121">
          <cell r="I121">
            <v>4488</v>
          </cell>
          <cell r="J121">
            <v>0.03</v>
          </cell>
          <cell r="K121">
            <v>135</v>
          </cell>
        </row>
        <row r="122">
          <cell r="B122" t="str">
            <v>R1800SWi</v>
          </cell>
          <cell r="C122" t="str">
            <v>是</v>
          </cell>
          <cell r="D122" t="str">
            <v>1.8L/min</v>
          </cell>
          <cell r="E122" t="str">
            <v>在销</v>
          </cell>
          <cell r="F122" t="str">
            <v>常规</v>
          </cell>
          <cell r="G122">
            <v>5068</v>
          </cell>
        </row>
        <row r="122">
          <cell r="I122">
            <v>4968</v>
          </cell>
          <cell r="J122">
            <v>0.03</v>
          </cell>
          <cell r="K122">
            <v>149</v>
          </cell>
        </row>
        <row r="123">
          <cell r="B123" t="str">
            <v>R2000FWi</v>
          </cell>
          <cell r="C123" t="str">
            <v>是</v>
          </cell>
        </row>
        <row r="123">
          <cell r="E123" t="str">
            <v>在销</v>
          </cell>
          <cell r="F123" t="str">
            <v>常规</v>
          </cell>
          <cell r="G123">
            <v>5808</v>
          </cell>
        </row>
        <row r="123">
          <cell r="I123">
            <v>5708</v>
          </cell>
          <cell r="J123">
            <v>0.03</v>
          </cell>
          <cell r="K123">
            <v>171</v>
          </cell>
        </row>
        <row r="124">
          <cell r="B124" t="str">
            <v>R1800RC9</v>
          </cell>
          <cell r="C124" t="str">
            <v>是</v>
          </cell>
          <cell r="D124" t="str">
            <v>/</v>
          </cell>
          <cell r="E124" t="str">
            <v>下市</v>
          </cell>
          <cell r="F124" t="str">
            <v>常规</v>
          </cell>
          <cell r="G124">
            <v>6788</v>
          </cell>
        </row>
        <row r="124">
          <cell r="I124">
            <v>6688</v>
          </cell>
          <cell r="J124">
            <v>0.03</v>
          </cell>
          <cell r="K124">
            <v>201</v>
          </cell>
        </row>
        <row r="125">
          <cell r="B125" t="str">
            <v>R2500RC3</v>
          </cell>
          <cell r="C125" t="str">
            <v>是</v>
          </cell>
          <cell r="D125" t="str">
            <v>/</v>
          </cell>
          <cell r="E125" t="str">
            <v>下市</v>
          </cell>
          <cell r="F125" t="str">
            <v>常规</v>
          </cell>
          <cell r="G125">
            <v>7988</v>
          </cell>
        </row>
        <row r="125">
          <cell r="I125">
            <v>7888</v>
          </cell>
          <cell r="J125">
            <v>0.03</v>
          </cell>
          <cell r="K125">
            <v>237</v>
          </cell>
        </row>
        <row r="126">
          <cell r="B126" t="str">
            <v>R2000RC9</v>
          </cell>
          <cell r="C126" t="str">
            <v>是</v>
          </cell>
          <cell r="D126" t="str">
            <v>/</v>
          </cell>
          <cell r="E126" t="str">
            <v>在销</v>
          </cell>
          <cell r="F126" t="str">
            <v>常规</v>
          </cell>
          <cell r="G126">
            <v>7288</v>
          </cell>
        </row>
        <row r="126">
          <cell r="I126">
            <v>7188</v>
          </cell>
          <cell r="J126">
            <v>0.03</v>
          </cell>
          <cell r="K126">
            <v>216</v>
          </cell>
        </row>
        <row r="127">
          <cell r="B127" t="str">
            <v>R2300RC9</v>
          </cell>
          <cell r="C127" t="str">
            <v>是</v>
          </cell>
          <cell r="D127" t="str">
            <v>/</v>
          </cell>
          <cell r="E127" t="str">
            <v>下市</v>
          </cell>
          <cell r="F127" t="str">
            <v>常规</v>
          </cell>
          <cell r="G127">
            <v>7618</v>
          </cell>
        </row>
        <row r="127">
          <cell r="I127">
            <v>7518</v>
          </cell>
          <cell r="J127">
            <v>0.03</v>
          </cell>
          <cell r="K127">
            <v>226</v>
          </cell>
        </row>
        <row r="128">
          <cell r="B128" t="str">
            <v>R2000AB2</v>
          </cell>
          <cell r="C128" t="str">
            <v>是</v>
          </cell>
          <cell r="D128" t="str">
            <v>/</v>
          </cell>
          <cell r="E128" t="str">
            <v>下市</v>
          </cell>
          <cell r="F128" t="str">
            <v>常规</v>
          </cell>
          <cell r="G128">
            <v>6788</v>
          </cell>
        </row>
        <row r="128">
          <cell r="I128">
            <v>6688</v>
          </cell>
          <cell r="J128">
            <v>0.03</v>
          </cell>
          <cell r="K128">
            <v>201</v>
          </cell>
        </row>
        <row r="129">
          <cell r="B129" t="str">
            <v>R1600AB2</v>
          </cell>
          <cell r="C129" t="str">
            <v>是</v>
          </cell>
          <cell r="D129" t="str">
            <v>/</v>
          </cell>
          <cell r="E129" t="str">
            <v>下市</v>
          </cell>
          <cell r="F129" t="str">
            <v>常规</v>
          </cell>
          <cell r="G129">
            <v>6088</v>
          </cell>
        </row>
        <row r="129">
          <cell r="I129">
            <v>5988</v>
          </cell>
          <cell r="J129">
            <v>0.03</v>
          </cell>
          <cell r="K129">
            <v>180</v>
          </cell>
        </row>
        <row r="130">
          <cell r="B130" t="str">
            <v>R2500AB1Ai</v>
          </cell>
          <cell r="C130" t="str">
            <v>是</v>
          </cell>
        </row>
        <row r="130">
          <cell r="E130" t="str">
            <v>下市</v>
          </cell>
          <cell r="F130" t="str">
            <v>常规</v>
          </cell>
          <cell r="G130">
            <v>7688</v>
          </cell>
        </row>
        <row r="130">
          <cell r="I130">
            <v>7588</v>
          </cell>
          <cell r="J130">
            <v>0.03</v>
          </cell>
          <cell r="K130">
            <v>228</v>
          </cell>
        </row>
        <row r="131">
          <cell r="B131" t="str">
            <v>R4000AB1Ai</v>
          </cell>
          <cell r="C131" t="str">
            <v>是</v>
          </cell>
        </row>
        <row r="131">
          <cell r="E131" t="str">
            <v>在销</v>
          </cell>
          <cell r="F131" t="str">
            <v>常规</v>
          </cell>
          <cell r="G131">
            <v>9988</v>
          </cell>
        </row>
        <row r="131">
          <cell r="I131">
            <v>9888</v>
          </cell>
          <cell r="J131">
            <v>0.03</v>
          </cell>
          <cell r="K131">
            <v>297</v>
          </cell>
        </row>
        <row r="132">
          <cell r="B132" t="str">
            <v>R3000AB1Wi</v>
          </cell>
          <cell r="C132" t="str">
            <v>是</v>
          </cell>
        </row>
        <row r="132">
          <cell r="E132" t="str">
            <v>在销</v>
          </cell>
          <cell r="F132" t="str">
            <v>常规</v>
          </cell>
          <cell r="G132">
            <v>8088</v>
          </cell>
        </row>
        <row r="132">
          <cell r="I132">
            <v>7988</v>
          </cell>
          <cell r="J132">
            <v>0.03</v>
          </cell>
          <cell r="K132">
            <v>240</v>
          </cell>
        </row>
        <row r="133">
          <cell r="B133" t="str">
            <v>R1600DWWi</v>
          </cell>
          <cell r="C133" t="str">
            <v>是</v>
          </cell>
        </row>
        <row r="133">
          <cell r="E133" t="str">
            <v>在销</v>
          </cell>
          <cell r="F133" t="str">
            <v>常规</v>
          </cell>
          <cell r="G133">
            <v>5988</v>
          </cell>
        </row>
        <row r="133">
          <cell r="I133">
            <v>5888</v>
          </cell>
          <cell r="J133">
            <v>0.03</v>
          </cell>
          <cell r="K133">
            <v>177</v>
          </cell>
        </row>
        <row r="134">
          <cell r="B134" t="str">
            <v>R2000DWWi</v>
          </cell>
          <cell r="C134" t="str">
            <v>是</v>
          </cell>
        </row>
        <row r="134">
          <cell r="E134" t="str">
            <v>在销</v>
          </cell>
          <cell r="F134" t="str">
            <v>常规</v>
          </cell>
          <cell r="G134">
            <v>6658</v>
          </cell>
        </row>
        <row r="134">
          <cell r="I134">
            <v>6558</v>
          </cell>
          <cell r="J134">
            <v>0.03</v>
          </cell>
          <cell r="K134">
            <v>197</v>
          </cell>
        </row>
        <row r="135">
          <cell r="B135" t="str">
            <v>R2500DWAi</v>
          </cell>
          <cell r="C135" t="str">
            <v>是</v>
          </cell>
        </row>
        <row r="135">
          <cell r="E135" t="str">
            <v>在销</v>
          </cell>
          <cell r="F135" t="str">
            <v>常规</v>
          </cell>
          <cell r="G135">
            <v>7288</v>
          </cell>
        </row>
        <row r="135">
          <cell r="I135">
            <v>7188</v>
          </cell>
          <cell r="J135">
            <v>0.03</v>
          </cell>
          <cell r="K135">
            <v>216</v>
          </cell>
        </row>
        <row r="136">
          <cell r="B136" t="str">
            <v>DR1600HB7</v>
          </cell>
          <cell r="C136" t="str">
            <v>是</v>
          </cell>
          <cell r="D136" t="str">
            <v>/</v>
          </cell>
          <cell r="E136" t="str">
            <v>下市</v>
          </cell>
          <cell r="F136" t="str">
            <v>特殊</v>
          </cell>
          <cell r="G136">
            <v>6388</v>
          </cell>
        </row>
        <row r="136">
          <cell r="I136">
            <v>6288</v>
          </cell>
          <cell r="J136">
            <v>0.015</v>
          </cell>
          <cell r="K136">
            <v>94</v>
          </cell>
        </row>
        <row r="137">
          <cell r="B137" t="str">
            <v>DR1600FS1</v>
          </cell>
          <cell r="C137" t="str">
            <v>是</v>
          </cell>
        </row>
        <row r="137">
          <cell r="E137" t="str">
            <v>在销</v>
          </cell>
          <cell r="F137" t="str">
            <v>常规</v>
          </cell>
          <cell r="G137">
            <v>7558</v>
          </cell>
        </row>
        <row r="137">
          <cell r="I137">
            <v>7458</v>
          </cell>
          <cell r="J137">
            <v>0.03</v>
          </cell>
          <cell r="K137">
            <v>224</v>
          </cell>
        </row>
        <row r="138">
          <cell r="B138" t="str">
            <v>DR1600FS</v>
          </cell>
          <cell r="C138" t="str">
            <v>是</v>
          </cell>
        </row>
        <row r="138">
          <cell r="E138" t="str">
            <v>在销</v>
          </cell>
          <cell r="F138" t="str">
            <v>常规</v>
          </cell>
          <cell r="G138">
            <v>7188</v>
          </cell>
        </row>
        <row r="138">
          <cell r="I138">
            <v>7088</v>
          </cell>
          <cell r="J138">
            <v>0.03</v>
          </cell>
          <cell r="K138">
            <v>213</v>
          </cell>
        </row>
        <row r="139">
          <cell r="B139" t="str">
            <v>DR1600FS-W</v>
          </cell>
          <cell r="C139" t="str">
            <v>是</v>
          </cell>
        </row>
        <row r="139">
          <cell r="E139" t="str">
            <v>在销</v>
          </cell>
          <cell r="F139" t="str">
            <v>特价</v>
          </cell>
          <cell r="G139">
            <v>6688</v>
          </cell>
        </row>
        <row r="139">
          <cell r="I139">
            <v>6588</v>
          </cell>
          <cell r="J139">
            <v>0.015</v>
          </cell>
          <cell r="K139">
            <v>99</v>
          </cell>
        </row>
        <row r="140">
          <cell r="B140" t="str">
            <v>DR2000HF1</v>
          </cell>
          <cell r="C140" t="str">
            <v>是</v>
          </cell>
          <cell r="D140" t="str">
            <v>/</v>
          </cell>
          <cell r="E140" t="str">
            <v>下市</v>
          </cell>
          <cell r="F140" t="str">
            <v>常规</v>
          </cell>
          <cell r="G140">
            <v>9288</v>
          </cell>
        </row>
        <row r="140">
          <cell r="I140">
            <v>9188</v>
          </cell>
          <cell r="J140">
            <v>0.03</v>
          </cell>
          <cell r="K140">
            <v>276</v>
          </cell>
        </row>
        <row r="141">
          <cell r="B141" t="str">
            <v>DR2000HF2</v>
          </cell>
          <cell r="C141" t="str">
            <v>是</v>
          </cell>
          <cell r="D141" t="str">
            <v>/</v>
          </cell>
          <cell r="E141" t="str">
            <v>下市</v>
          </cell>
          <cell r="F141" t="str">
            <v>常规</v>
          </cell>
          <cell r="G141">
            <v>9288</v>
          </cell>
        </row>
        <row r="141">
          <cell r="I141">
            <v>9188</v>
          </cell>
          <cell r="J141">
            <v>0.03</v>
          </cell>
          <cell r="K141">
            <v>276</v>
          </cell>
        </row>
        <row r="142">
          <cell r="B142" t="str">
            <v>DR1600HF2</v>
          </cell>
          <cell r="C142" t="str">
            <v>是</v>
          </cell>
          <cell r="D142" t="str">
            <v>/</v>
          </cell>
          <cell r="E142" t="str">
            <v>下市</v>
          </cell>
          <cell r="F142" t="str">
            <v>常规</v>
          </cell>
          <cell r="G142">
            <v>8388</v>
          </cell>
        </row>
        <row r="142">
          <cell r="I142">
            <v>8288</v>
          </cell>
          <cell r="J142">
            <v>0.03</v>
          </cell>
          <cell r="K142">
            <v>249</v>
          </cell>
        </row>
        <row r="143">
          <cell r="B143" t="str">
            <v>DR1800HF2</v>
          </cell>
          <cell r="C143" t="str">
            <v>是</v>
          </cell>
          <cell r="D143" t="str">
            <v>/</v>
          </cell>
          <cell r="E143" t="str">
            <v>下市</v>
          </cell>
          <cell r="F143" t="str">
            <v>常规</v>
          </cell>
          <cell r="G143">
            <v>9088</v>
          </cell>
        </row>
        <row r="143">
          <cell r="I143">
            <v>8988</v>
          </cell>
          <cell r="J143">
            <v>0.03</v>
          </cell>
          <cell r="K143">
            <v>270</v>
          </cell>
        </row>
        <row r="144">
          <cell r="B144" t="str">
            <v>DR1600HF1</v>
          </cell>
          <cell r="C144" t="str">
            <v>是</v>
          </cell>
          <cell r="D144" t="str">
            <v>/</v>
          </cell>
          <cell r="E144" t="str">
            <v>下市</v>
          </cell>
          <cell r="F144" t="str">
            <v>常规</v>
          </cell>
          <cell r="G144">
            <v>7988</v>
          </cell>
        </row>
        <row r="144">
          <cell r="I144">
            <v>7888</v>
          </cell>
          <cell r="J144">
            <v>0.03</v>
          </cell>
          <cell r="K144">
            <v>237</v>
          </cell>
        </row>
        <row r="145">
          <cell r="B145" t="str">
            <v>DR1800HF1</v>
          </cell>
          <cell r="C145" t="str">
            <v>是</v>
          </cell>
          <cell r="D145" t="str">
            <v>/</v>
          </cell>
          <cell r="E145" t="str">
            <v>下市</v>
          </cell>
          <cell r="F145" t="str">
            <v>常规</v>
          </cell>
          <cell r="G145">
            <v>8688</v>
          </cell>
        </row>
        <row r="145">
          <cell r="I145">
            <v>8588</v>
          </cell>
          <cell r="J145">
            <v>0.03</v>
          </cell>
          <cell r="K145">
            <v>258</v>
          </cell>
        </row>
        <row r="146">
          <cell r="B146" t="str">
            <v>DR1600FAi</v>
          </cell>
          <cell r="C146" t="str">
            <v>是</v>
          </cell>
        </row>
        <row r="146">
          <cell r="E146" t="str">
            <v>在销</v>
          </cell>
          <cell r="F146" t="str">
            <v>常规</v>
          </cell>
          <cell r="G146">
            <v>8388</v>
          </cell>
        </row>
        <row r="146">
          <cell r="I146">
            <v>8288</v>
          </cell>
          <cell r="J146">
            <v>0.03</v>
          </cell>
          <cell r="K146">
            <v>249</v>
          </cell>
        </row>
        <row r="147">
          <cell r="B147" t="str">
            <v>DR1800FAi</v>
          </cell>
          <cell r="C147" t="str">
            <v>是</v>
          </cell>
        </row>
        <row r="147">
          <cell r="E147" t="str">
            <v>在销</v>
          </cell>
          <cell r="F147" t="str">
            <v>常规</v>
          </cell>
          <cell r="G147">
            <v>9088</v>
          </cell>
        </row>
        <row r="147">
          <cell r="I147">
            <v>8988</v>
          </cell>
          <cell r="J147">
            <v>0.03</v>
          </cell>
          <cell r="K147">
            <v>270</v>
          </cell>
        </row>
        <row r="148">
          <cell r="B148" t="str">
            <v>DR2000FAi</v>
          </cell>
          <cell r="C148" t="str">
            <v>是</v>
          </cell>
        </row>
        <row r="148">
          <cell r="E148" t="str">
            <v>在销</v>
          </cell>
          <cell r="F148" t="str">
            <v>常规</v>
          </cell>
          <cell r="G148">
            <v>9658</v>
          </cell>
        </row>
        <row r="148">
          <cell r="I148">
            <v>9558</v>
          </cell>
          <cell r="J148">
            <v>0.03</v>
          </cell>
          <cell r="K148">
            <v>287</v>
          </cell>
        </row>
        <row r="149">
          <cell r="B149" t="str">
            <v>DR1600FWi</v>
          </cell>
          <cell r="C149" t="str">
            <v>是</v>
          </cell>
        </row>
        <row r="149">
          <cell r="E149" t="str">
            <v>在销</v>
          </cell>
          <cell r="F149" t="str">
            <v>常规</v>
          </cell>
          <cell r="G149">
            <v>8288</v>
          </cell>
        </row>
        <row r="149">
          <cell r="I149">
            <v>8188</v>
          </cell>
          <cell r="J149">
            <v>0.03</v>
          </cell>
          <cell r="K149">
            <v>246</v>
          </cell>
        </row>
        <row r="150">
          <cell r="B150" t="str">
            <v>DR1800FWi</v>
          </cell>
          <cell r="C150" t="str">
            <v>是</v>
          </cell>
        </row>
        <row r="150">
          <cell r="E150" t="str">
            <v>下市</v>
          </cell>
          <cell r="F150" t="str">
            <v>常规</v>
          </cell>
          <cell r="G150">
            <v>8688</v>
          </cell>
        </row>
        <row r="150">
          <cell r="I150">
            <v>8588</v>
          </cell>
          <cell r="J150">
            <v>0.03</v>
          </cell>
          <cell r="K150">
            <v>258</v>
          </cell>
        </row>
        <row r="151">
          <cell r="B151" t="str">
            <v>DR1800SWi</v>
          </cell>
          <cell r="C151" t="str">
            <v>是</v>
          </cell>
          <cell r="D151" t="str">
            <v>1.8L/min</v>
          </cell>
          <cell r="E151" t="str">
            <v>在销</v>
          </cell>
          <cell r="F151" t="str">
            <v>常规</v>
          </cell>
          <cell r="G151">
            <v>9188</v>
          </cell>
        </row>
        <row r="151">
          <cell r="I151">
            <v>9088</v>
          </cell>
          <cell r="J151">
            <v>0.03</v>
          </cell>
          <cell r="K151">
            <v>273</v>
          </cell>
        </row>
        <row r="152">
          <cell r="B152" t="str">
            <v>DR2000FWi</v>
          </cell>
          <cell r="C152" t="str">
            <v>是</v>
          </cell>
        </row>
        <row r="152">
          <cell r="E152" t="str">
            <v>在销</v>
          </cell>
          <cell r="F152" t="str">
            <v>常规</v>
          </cell>
          <cell r="G152">
            <v>9288</v>
          </cell>
        </row>
        <row r="152">
          <cell r="I152">
            <v>9188</v>
          </cell>
          <cell r="J152">
            <v>0.03</v>
          </cell>
          <cell r="K152">
            <v>276</v>
          </cell>
        </row>
        <row r="153">
          <cell r="B153" t="str">
            <v>DR2000DC2</v>
          </cell>
          <cell r="C153" t="str">
            <v>是</v>
          </cell>
        </row>
        <row r="153">
          <cell r="E153" t="str">
            <v>在销</v>
          </cell>
          <cell r="F153" t="str">
            <v>常规</v>
          </cell>
          <cell r="G153">
            <v>10788</v>
          </cell>
        </row>
        <row r="153">
          <cell r="I153">
            <v>10688</v>
          </cell>
          <cell r="J153">
            <v>0.03</v>
          </cell>
          <cell r="K153">
            <v>321</v>
          </cell>
        </row>
        <row r="154">
          <cell r="B154" t="str">
            <v>DR2000DC1</v>
          </cell>
          <cell r="C154" t="str">
            <v>是</v>
          </cell>
        </row>
        <row r="154">
          <cell r="E154" t="str">
            <v>在销</v>
          </cell>
          <cell r="F154" t="str">
            <v>常规</v>
          </cell>
          <cell r="G154">
            <v>11188</v>
          </cell>
        </row>
        <row r="154">
          <cell r="I154">
            <v>11088</v>
          </cell>
          <cell r="J154">
            <v>0.03</v>
          </cell>
          <cell r="K154">
            <v>333</v>
          </cell>
        </row>
        <row r="155">
          <cell r="B155" t="str">
            <v>DR2500DC1</v>
          </cell>
          <cell r="C155" t="str">
            <v>是</v>
          </cell>
        </row>
        <row r="155">
          <cell r="E155" t="str">
            <v>在销</v>
          </cell>
          <cell r="F155" t="str">
            <v>常规</v>
          </cell>
          <cell r="G155">
            <v>11588</v>
          </cell>
        </row>
        <row r="155">
          <cell r="I155">
            <v>11488</v>
          </cell>
          <cell r="J155">
            <v>0.03</v>
          </cell>
          <cell r="K155">
            <v>345</v>
          </cell>
        </row>
        <row r="156">
          <cell r="B156" t="str">
            <v>DR4000DC1</v>
          </cell>
          <cell r="C156" t="str">
            <v>是</v>
          </cell>
        </row>
        <row r="156">
          <cell r="E156" t="str">
            <v>在销</v>
          </cell>
          <cell r="F156" t="str">
            <v>常规</v>
          </cell>
          <cell r="G156">
            <v>15518</v>
          </cell>
        </row>
        <row r="156">
          <cell r="I156">
            <v>15418</v>
          </cell>
          <cell r="J156">
            <v>0.03</v>
          </cell>
          <cell r="K156">
            <v>463</v>
          </cell>
        </row>
        <row r="157">
          <cell r="B157" t="str">
            <v>DR2000DWWi</v>
          </cell>
          <cell r="C157" t="str">
            <v>是</v>
          </cell>
        </row>
        <row r="157">
          <cell r="E157" t="str">
            <v>在销</v>
          </cell>
          <cell r="F157" t="str">
            <v>常规</v>
          </cell>
          <cell r="G157">
            <v>11298</v>
          </cell>
        </row>
        <row r="157">
          <cell r="I157">
            <v>11198</v>
          </cell>
          <cell r="J157">
            <v>0.03</v>
          </cell>
          <cell r="K157">
            <v>336</v>
          </cell>
        </row>
        <row r="158">
          <cell r="B158" t="str">
            <v>DR2500DWAi</v>
          </cell>
          <cell r="C158" t="str">
            <v>是</v>
          </cell>
        </row>
        <row r="158">
          <cell r="E158" t="str">
            <v>在销</v>
          </cell>
          <cell r="F158" t="str">
            <v>常规</v>
          </cell>
          <cell r="G158">
            <v>11688</v>
          </cell>
        </row>
        <row r="158">
          <cell r="I158">
            <v>11588</v>
          </cell>
          <cell r="J158">
            <v>0.03</v>
          </cell>
          <cell r="K158">
            <v>348</v>
          </cell>
        </row>
        <row r="159">
          <cell r="B159" t="str">
            <v>ER1600BWI</v>
          </cell>
          <cell r="C159" t="str">
            <v>是</v>
          </cell>
        </row>
        <row r="159">
          <cell r="E159" t="str">
            <v>在销</v>
          </cell>
          <cell r="F159" t="str">
            <v>常规</v>
          </cell>
          <cell r="G159">
            <v>11988</v>
          </cell>
        </row>
        <row r="159">
          <cell r="I159">
            <v>11888</v>
          </cell>
          <cell r="J159">
            <v>0.03</v>
          </cell>
          <cell r="K159">
            <v>357</v>
          </cell>
        </row>
        <row r="160">
          <cell r="B160" t="str">
            <v>KJ455F-C15-F+</v>
          </cell>
          <cell r="C160" t="str">
            <v>是</v>
          </cell>
          <cell r="D160" t="str">
            <v>/</v>
          </cell>
          <cell r="E160" t="str">
            <v>下市</v>
          </cell>
          <cell r="F160" t="str">
            <v>常规</v>
          </cell>
          <cell r="G160">
            <v>6088</v>
          </cell>
        </row>
        <row r="160">
          <cell r="I160">
            <v>5988</v>
          </cell>
          <cell r="J160">
            <v>0.025</v>
          </cell>
          <cell r="K160">
            <v>150</v>
          </cell>
        </row>
        <row r="161">
          <cell r="B161" t="str">
            <v>KJ800F-C15-PF+</v>
          </cell>
          <cell r="C161" t="str">
            <v>是</v>
          </cell>
          <cell r="D161" t="str">
            <v>/</v>
          </cell>
          <cell r="E161" t="str">
            <v>下市</v>
          </cell>
          <cell r="F161" t="str">
            <v>常规</v>
          </cell>
          <cell r="G161">
            <v>9088</v>
          </cell>
        </row>
        <row r="161">
          <cell r="I161">
            <v>8988</v>
          </cell>
          <cell r="J161">
            <v>0.025</v>
          </cell>
          <cell r="K161">
            <v>225</v>
          </cell>
        </row>
        <row r="162">
          <cell r="B162" t="str">
            <v>KJ455F-C15-PFWi</v>
          </cell>
          <cell r="C162" t="str">
            <v>是</v>
          </cell>
        </row>
        <row r="162">
          <cell r="E162" t="str">
            <v>在销</v>
          </cell>
          <cell r="F162" t="str">
            <v>常规</v>
          </cell>
          <cell r="G162">
            <v>6158</v>
          </cell>
        </row>
        <row r="162">
          <cell r="I162">
            <v>6058</v>
          </cell>
          <cell r="J162">
            <v>0.025</v>
          </cell>
          <cell r="K162">
            <v>151</v>
          </cell>
        </row>
        <row r="163">
          <cell r="B163" t="str">
            <v>KJ800F-C15-PFWi</v>
          </cell>
          <cell r="C163" t="str">
            <v>是</v>
          </cell>
        </row>
        <row r="163">
          <cell r="E163" t="str">
            <v>在销</v>
          </cell>
          <cell r="F163" t="str">
            <v>常规</v>
          </cell>
          <cell r="G163">
            <v>9168</v>
          </cell>
        </row>
        <row r="163">
          <cell r="I163">
            <v>9068</v>
          </cell>
          <cell r="J163">
            <v>0.025</v>
          </cell>
          <cell r="K163">
            <v>227</v>
          </cell>
        </row>
        <row r="164">
          <cell r="B164" t="str">
            <v>JSQ26-CLAX</v>
          </cell>
          <cell r="C164" t="str">
            <v>是</v>
          </cell>
          <cell r="D164">
            <v>13</v>
          </cell>
          <cell r="E164" t="str">
            <v>在销</v>
          </cell>
          <cell r="F164" t="str">
            <v>特价</v>
          </cell>
          <cell r="G164">
            <v>3298</v>
          </cell>
        </row>
        <row r="164">
          <cell r="I164">
            <v>3198</v>
          </cell>
          <cell r="J164">
            <v>0.015</v>
          </cell>
          <cell r="K164">
            <v>48</v>
          </cell>
        </row>
        <row r="165">
          <cell r="B165" t="str">
            <v>JSQ31-CLAX</v>
          </cell>
          <cell r="C165" t="str">
            <v>是</v>
          </cell>
          <cell r="D165">
            <v>16</v>
          </cell>
          <cell r="E165" t="str">
            <v>在销</v>
          </cell>
          <cell r="F165" t="str">
            <v>特价</v>
          </cell>
          <cell r="G165">
            <v>3598</v>
          </cell>
        </row>
        <row r="165">
          <cell r="I165">
            <v>3498</v>
          </cell>
          <cell r="J165">
            <v>0.015</v>
          </cell>
          <cell r="K165">
            <v>52</v>
          </cell>
        </row>
        <row r="166">
          <cell r="B166" t="str">
            <v>JSQ31-MN5</v>
          </cell>
          <cell r="C166" t="str">
            <v>是</v>
          </cell>
          <cell r="D166">
            <v>16</v>
          </cell>
          <cell r="E166" t="str">
            <v>在销</v>
          </cell>
          <cell r="F166" t="str">
            <v>特价</v>
          </cell>
          <cell r="G166">
            <v>3768</v>
          </cell>
        </row>
        <row r="166">
          <cell r="I166">
            <v>3668</v>
          </cell>
          <cell r="J166">
            <v>0.015</v>
          </cell>
          <cell r="K166">
            <v>55</v>
          </cell>
        </row>
        <row r="167">
          <cell r="B167" t="str">
            <v>JSQ26-CLD</v>
          </cell>
          <cell r="C167" t="str">
            <v>是</v>
          </cell>
          <cell r="D167">
            <v>13</v>
          </cell>
          <cell r="E167" t="str">
            <v>在销</v>
          </cell>
          <cell r="F167" t="str">
            <v>特价</v>
          </cell>
          <cell r="G167">
            <v>3798</v>
          </cell>
        </row>
        <row r="167">
          <cell r="I167">
            <v>3698</v>
          </cell>
          <cell r="J167">
            <v>0.015</v>
          </cell>
          <cell r="K167">
            <v>55</v>
          </cell>
        </row>
        <row r="168">
          <cell r="B168" t="str">
            <v>JSQ31-CLD</v>
          </cell>
          <cell r="C168" t="str">
            <v>是</v>
          </cell>
          <cell r="D168">
            <v>16</v>
          </cell>
          <cell r="E168" t="str">
            <v>在销</v>
          </cell>
          <cell r="F168" t="str">
            <v>常规</v>
          </cell>
          <cell r="G168">
            <v>4198</v>
          </cell>
        </row>
        <row r="168">
          <cell r="I168">
            <v>4098</v>
          </cell>
          <cell r="J168">
            <v>0.025</v>
          </cell>
          <cell r="K168">
            <v>102</v>
          </cell>
        </row>
        <row r="169">
          <cell r="B169" t="str">
            <v>JSQ26-TACWi</v>
          </cell>
          <cell r="C169" t="str">
            <v>是</v>
          </cell>
          <cell r="D169">
            <v>13</v>
          </cell>
          <cell r="E169" t="str">
            <v>在销</v>
          </cell>
          <cell r="F169" t="str">
            <v>常规</v>
          </cell>
          <cell r="G169">
            <v>4558</v>
          </cell>
        </row>
        <row r="169">
          <cell r="I169">
            <v>4458</v>
          </cell>
          <cell r="J169">
            <v>0.025</v>
          </cell>
          <cell r="K169">
            <v>111</v>
          </cell>
        </row>
        <row r="170">
          <cell r="B170" t="str">
            <v>JSQ31-TACWi</v>
          </cell>
          <cell r="C170" t="str">
            <v>是</v>
          </cell>
          <cell r="D170">
            <v>16</v>
          </cell>
          <cell r="E170" t="str">
            <v>在销</v>
          </cell>
          <cell r="F170" t="str">
            <v>常规</v>
          </cell>
          <cell r="G170">
            <v>4858</v>
          </cell>
        </row>
        <row r="170">
          <cell r="I170">
            <v>4758</v>
          </cell>
          <cell r="J170">
            <v>0.025</v>
          </cell>
          <cell r="K170">
            <v>119</v>
          </cell>
        </row>
        <row r="171">
          <cell r="B171" t="str">
            <v>JSQ26-ASCWi</v>
          </cell>
          <cell r="C171" t="str">
            <v>是</v>
          </cell>
          <cell r="D171">
            <v>13</v>
          </cell>
          <cell r="E171" t="str">
            <v>在销</v>
          </cell>
          <cell r="F171" t="str">
            <v>常规</v>
          </cell>
          <cell r="G171">
            <v>4558</v>
          </cell>
        </row>
        <row r="171">
          <cell r="I171">
            <v>4458</v>
          </cell>
          <cell r="J171">
            <v>0.025</v>
          </cell>
          <cell r="K171">
            <v>111</v>
          </cell>
        </row>
        <row r="172">
          <cell r="B172" t="str">
            <v>JSQ31-ASCWi</v>
          </cell>
          <cell r="C172" t="str">
            <v>是</v>
          </cell>
          <cell r="D172">
            <v>16</v>
          </cell>
          <cell r="E172" t="str">
            <v>在销</v>
          </cell>
          <cell r="F172" t="str">
            <v>常规</v>
          </cell>
          <cell r="G172">
            <v>4858</v>
          </cell>
        </row>
        <row r="172">
          <cell r="I172">
            <v>4758</v>
          </cell>
          <cell r="J172">
            <v>0.025</v>
          </cell>
          <cell r="K172">
            <v>119</v>
          </cell>
        </row>
        <row r="173">
          <cell r="B173" t="str">
            <v>JSQ26-WACWi</v>
          </cell>
          <cell r="C173" t="str">
            <v>是</v>
          </cell>
          <cell r="D173">
            <v>13</v>
          </cell>
          <cell r="E173" t="str">
            <v>在销</v>
          </cell>
          <cell r="F173" t="str">
            <v>常规</v>
          </cell>
          <cell r="G173">
            <v>4558</v>
          </cell>
        </row>
        <row r="173">
          <cell r="I173">
            <v>4458</v>
          </cell>
          <cell r="J173">
            <v>0.025</v>
          </cell>
          <cell r="K173">
            <v>111</v>
          </cell>
        </row>
        <row r="174">
          <cell r="B174" t="str">
            <v>JSQ31-WACWi</v>
          </cell>
          <cell r="C174" t="str">
            <v>是</v>
          </cell>
          <cell r="D174">
            <v>16</v>
          </cell>
          <cell r="E174" t="str">
            <v>在销</v>
          </cell>
          <cell r="F174" t="str">
            <v>常规</v>
          </cell>
          <cell r="G174">
            <v>4858</v>
          </cell>
        </row>
        <row r="174">
          <cell r="I174">
            <v>4758</v>
          </cell>
          <cell r="J174">
            <v>0.025</v>
          </cell>
          <cell r="K174">
            <v>119</v>
          </cell>
        </row>
        <row r="175">
          <cell r="B175" t="str">
            <v>JSQ26-CSCX</v>
          </cell>
          <cell r="C175" t="str">
            <v>是</v>
          </cell>
          <cell r="D175">
            <v>13</v>
          </cell>
          <cell r="E175" t="str">
            <v>在销</v>
          </cell>
          <cell r="F175" t="str">
            <v>常规</v>
          </cell>
          <cell r="G175">
            <v>4898</v>
          </cell>
        </row>
        <row r="175">
          <cell r="I175">
            <v>4798</v>
          </cell>
          <cell r="J175">
            <v>0.025</v>
          </cell>
          <cell r="K175">
            <v>120</v>
          </cell>
        </row>
        <row r="176">
          <cell r="B176" t="str">
            <v>JSQ31-CSCX</v>
          </cell>
          <cell r="C176" t="str">
            <v>是</v>
          </cell>
          <cell r="D176">
            <v>16</v>
          </cell>
          <cell r="E176" t="str">
            <v>在销</v>
          </cell>
          <cell r="F176" t="str">
            <v>常规</v>
          </cell>
          <cell r="G176">
            <v>5198</v>
          </cell>
        </row>
        <row r="176">
          <cell r="I176">
            <v>5098</v>
          </cell>
          <cell r="J176">
            <v>0.025</v>
          </cell>
          <cell r="K176">
            <v>127</v>
          </cell>
        </row>
        <row r="177">
          <cell r="B177" t="str">
            <v>JSQ31-CSCAi</v>
          </cell>
          <cell r="C177" t="str">
            <v>是</v>
          </cell>
          <cell r="D177">
            <v>16</v>
          </cell>
          <cell r="E177" t="str">
            <v>在销</v>
          </cell>
          <cell r="F177" t="str">
            <v>常规</v>
          </cell>
          <cell r="G177">
            <v>5718</v>
          </cell>
        </row>
        <row r="177">
          <cell r="I177">
            <v>5618</v>
          </cell>
          <cell r="J177">
            <v>0.025</v>
          </cell>
          <cell r="K177">
            <v>140</v>
          </cell>
        </row>
        <row r="178">
          <cell r="B178" t="str">
            <v>JSQ26-CSCWi</v>
          </cell>
          <cell r="C178" t="str">
            <v>是</v>
          </cell>
          <cell r="D178">
            <v>13</v>
          </cell>
          <cell r="E178" t="str">
            <v>在销</v>
          </cell>
          <cell r="F178" t="str">
            <v>常规</v>
          </cell>
          <cell r="G178">
            <v>5168</v>
          </cell>
        </row>
        <row r="178">
          <cell r="I178">
            <v>5068</v>
          </cell>
          <cell r="J178">
            <v>0.025</v>
          </cell>
          <cell r="K178">
            <v>127</v>
          </cell>
        </row>
        <row r="179">
          <cell r="B179" t="str">
            <v>JSQ31-CSCWi</v>
          </cell>
          <cell r="C179" t="str">
            <v>是</v>
          </cell>
          <cell r="D179">
            <v>16</v>
          </cell>
          <cell r="E179" t="str">
            <v>在销</v>
          </cell>
          <cell r="F179" t="str">
            <v>常规</v>
          </cell>
          <cell r="G179">
            <v>5458</v>
          </cell>
        </row>
        <row r="179">
          <cell r="I179">
            <v>5358</v>
          </cell>
          <cell r="J179">
            <v>0.025</v>
          </cell>
          <cell r="K179">
            <v>134</v>
          </cell>
        </row>
        <row r="180">
          <cell r="B180" t="str">
            <v>JSLQ28-ACEWi</v>
          </cell>
          <cell r="C180" t="str">
            <v>是</v>
          </cell>
          <cell r="D180">
            <v>16</v>
          </cell>
          <cell r="E180" t="str">
            <v>在销</v>
          </cell>
          <cell r="F180" t="str">
            <v>常规</v>
          </cell>
          <cell r="G180">
            <v>5368</v>
          </cell>
        </row>
        <row r="180">
          <cell r="I180">
            <v>5268</v>
          </cell>
          <cell r="J180">
            <v>0.025</v>
          </cell>
          <cell r="K180">
            <v>132</v>
          </cell>
        </row>
        <row r="181">
          <cell r="B181" t="str">
            <v>JSLQ28-AJEWi</v>
          </cell>
          <cell r="C181" t="str">
            <v>是</v>
          </cell>
          <cell r="D181">
            <v>16</v>
          </cell>
          <cell r="E181" t="str">
            <v>在销</v>
          </cell>
          <cell r="F181" t="str">
            <v>常规</v>
          </cell>
          <cell r="G181">
            <v>7688</v>
          </cell>
        </row>
        <row r="181">
          <cell r="I181">
            <v>7588</v>
          </cell>
          <cell r="J181">
            <v>0.025</v>
          </cell>
          <cell r="K181">
            <v>190</v>
          </cell>
        </row>
        <row r="182">
          <cell r="B182" t="str">
            <v>JSQ26-DSCX</v>
          </cell>
          <cell r="C182" t="str">
            <v>是</v>
          </cell>
          <cell r="D182">
            <v>13</v>
          </cell>
          <cell r="E182" t="str">
            <v>下市</v>
          </cell>
          <cell r="F182" t="str">
            <v>常规</v>
          </cell>
          <cell r="G182">
            <v>5158</v>
          </cell>
        </row>
        <row r="182">
          <cell r="I182">
            <v>5058</v>
          </cell>
          <cell r="J182">
            <v>0.025</v>
          </cell>
          <cell r="K182">
            <v>126</v>
          </cell>
        </row>
        <row r="183">
          <cell r="B183" t="str">
            <v>JSQ31-DSCX</v>
          </cell>
          <cell r="C183" t="str">
            <v>是</v>
          </cell>
          <cell r="D183">
            <v>16</v>
          </cell>
          <cell r="E183" t="str">
            <v>下市</v>
          </cell>
          <cell r="F183" t="str">
            <v>常规</v>
          </cell>
          <cell r="G183">
            <v>5708</v>
          </cell>
        </row>
        <row r="183">
          <cell r="I183">
            <v>5608</v>
          </cell>
          <cell r="J183">
            <v>0.025</v>
          </cell>
          <cell r="K183">
            <v>140</v>
          </cell>
        </row>
        <row r="184">
          <cell r="B184" t="str">
            <v>JSQ26-DSCWi</v>
          </cell>
          <cell r="C184" t="str">
            <v>是</v>
          </cell>
          <cell r="D184">
            <v>13</v>
          </cell>
          <cell r="E184" t="str">
            <v>在销</v>
          </cell>
          <cell r="F184" t="str">
            <v>常规</v>
          </cell>
          <cell r="G184">
            <v>5868</v>
          </cell>
        </row>
        <row r="184">
          <cell r="I184">
            <v>5768</v>
          </cell>
          <cell r="J184">
            <v>0.025</v>
          </cell>
          <cell r="K184">
            <v>144</v>
          </cell>
        </row>
        <row r="185">
          <cell r="B185" t="str">
            <v>JSQ31-DSCWi</v>
          </cell>
          <cell r="C185" t="str">
            <v>是</v>
          </cell>
          <cell r="D185">
            <v>16</v>
          </cell>
          <cell r="E185" t="str">
            <v>在销</v>
          </cell>
          <cell r="F185" t="str">
            <v>常规</v>
          </cell>
          <cell r="G185">
            <v>6168</v>
          </cell>
        </row>
        <row r="185">
          <cell r="I185">
            <v>6068</v>
          </cell>
          <cell r="J185">
            <v>0.025</v>
          </cell>
          <cell r="K185">
            <v>152</v>
          </cell>
        </row>
        <row r="186">
          <cell r="B186" t="str">
            <v>JSQ26-ESCX</v>
          </cell>
          <cell r="C186" t="str">
            <v>是</v>
          </cell>
          <cell r="D186">
            <v>13</v>
          </cell>
          <cell r="E186" t="str">
            <v>下市</v>
          </cell>
          <cell r="F186" t="str">
            <v>常规</v>
          </cell>
          <cell r="G186">
            <v>5698</v>
          </cell>
        </row>
        <row r="186">
          <cell r="I186">
            <v>5598</v>
          </cell>
          <cell r="J186">
            <v>0.025</v>
          </cell>
          <cell r="K186">
            <v>140</v>
          </cell>
        </row>
        <row r="187">
          <cell r="B187" t="str">
            <v>JSQ31-ESCX</v>
          </cell>
          <cell r="C187" t="str">
            <v>是</v>
          </cell>
          <cell r="D187">
            <v>16</v>
          </cell>
          <cell r="E187" t="str">
            <v>下市</v>
          </cell>
          <cell r="F187" t="str">
            <v>常规</v>
          </cell>
          <cell r="G187">
            <v>6098</v>
          </cell>
        </row>
        <row r="187">
          <cell r="I187">
            <v>5998</v>
          </cell>
          <cell r="J187">
            <v>0.025</v>
          </cell>
          <cell r="K187">
            <v>150</v>
          </cell>
        </row>
        <row r="188">
          <cell r="B188" t="str">
            <v>JSQ26-ESCAi</v>
          </cell>
          <cell r="C188" t="str">
            <v>是</v>
          </cell>
          <cell r="D188">
            <v>13</v>
          </cell>
          <cell r="E188" t="str">
            <v>在销</v>
          </cell>
          <cell r="F188" t="str">
            <v>常规</v>
          </cell>
          <cell r="G188">
            <v>6418</v>
          </cell>
        </row>
        <row r="188">
          <cell r="I188">
            <v>6318</v>
          </cell>
          <cell r="J188">
            <v>0.025</v>
          </cell>
          <cell r="K188">
            <v>158</v>
          </cell>
        </row>
        <row r="189">
          <cell r="B189" t="str">
            <v>JSQ31-ESCAi</v>
          </cell>
          <cell r="C189" t="str">
            <v>是</v>
          </cell>
          <cell r="D189">
            <v>16</v>
          </cell>
          <cell r="E189" t="str">
            <v>在销</v>
          </cell>
          <cell r="F189" t="str">
            <v>常规</v>
          </cell>
          <cell r="G189">
            <v>6718</v>
          </cell>
        </row>
        <row r="189">
          <cell r="I189">
            <v>6618</v>
          </cell>
          <cell r="J189">
            <v>0.025</v>
          </cell>
          <cell r="K189">
            <v>165</v>
          </cell>
        </row>
        <row r="190">
          <cell r="B190" t="str">
            <v>JSQ26-ESCWi</v>
          </cell>
          <cell r="C190" t="str">
            <v>是</v>
          </cell>
          <cell r="D190">
            <v>13</v>
          </cell>
          <cell r="E190" t="str">
            <v>在销</v>
          </cell>
          <cell r="F190" t="str">
            <v>常规</v>
          </cell>
          <cell r="G190">
            <v>6308</v>
          </cell>
        </row>
        <row r="190">
          <cell r="I190">
            <v>6208</v>
          </cell>
          <cell r="J190">
            <v>0.025</v>
          </cell>
          <cell r="K190">
            <v>155</v>
          </cell>
        </row>
        <row r="191">
          <cell r="B191" t="str">
            <v>JSQ31-ESCWi</v>
          </cell>
          <cell r="C191" t="str">
            <v>是</v>
          </cell>
          <cell r="D191">
            <v>16</v>
          </cell>
          <cell r="E191" t="str">
            <v>在销</v>
          </cell>
          <cell r="F191" t="str">
            <v>常规</v>
          </cell>
          <cell r="G191">
            <v>6608</v>
          </cell>
        </row>
        <row r="191">
          <cell r="I191">
            <v>6508</v>
          </cell>
          <cell r="J191">
            <v>0.025</v>
          </cell>
          <cell r="K191">
            <v>163</v>
          </cell>
        </row>
        <row r="192">
          <cell r="B192" t="str">
            <v>JSQ31-HSCX</v>
          </cell>
          <cell r="C192" t="str">
            <v>是</v>
          </cell>
          <cell r="D192">
            <v>16</v>
          </cell>
          <cell r="E192" t="str">
            <v>下市</v>
          </cell>
          <cell r="F192" t="str">
            <v>常规</v>
          </cell>
          <cell r="G192">
            <v>6088</v>
          </cell>
        </row>
        <row r="192">
          <cell r="I192">
            <v>5988</v>
          </cell>
          <cell r="J192">
            <v>0.025</v>
          </cell>
          <cell r="K192">
            <v>150</v>
          </cell>
        </row>
        <row r="193">
          <cell r="B193" t="str">
            <v>JSQ31-LN</v>
          </cell>
          <cell r="C193" t="str">
            <v>是</v>
          </cell>
          <cell r="D193">
            <v>16</v>
          </cell>
          <cell r="E193" t="str">
            <v>下市</v>
          </cell>
          <cell r="F193" t="str">
            <v>常规</v>
          </cell>
          <cell r="G193">
            <v>6398</v>
          </cell>
        </row>
        <row r="193">
          <cell r="I193">
            <v>6298</v>
          </cell>
          <cell r="J193">
            <v>0.025</v>
          </cell>
          <cell r="K193">
            <v>157</v>
          </cell>
        </row>
        <row r="194">
          <cell r="B194" t="str">
            <v>JSQ31-LNWi</v>
          </cell>
          <cell r="C194" t="str">
            <v>是</v>
          </cell>
          <cell r="D194">
            <v>16</v>
          </cell>
          <cell r="E194" t="str">
            <v>在销</v>
          </cell>
          <cell r="F194" t="str">
            <v>常规</v>
          </cell>
          <cell r="G194">
            <v>6698</v>
          </cell>
        </row>
        <row r="194">
          <cell r="I194">
            <v>6598</v>
          </cell>
          <cell r="J194">
            <v>0.025</v>
          </cell>
          <cell r="K194">
            <v>165</v>
          </cell>
        </row>
        <row r="195">
          <cell r="B195" t="str">
            <v>JSW26-OSX</v>
          </cell>
          <cell r="C195" t="str">
            <v>是</v>
          </cell>
          <cell r="D195">
            <v>13</v>
          </cell>
          <cell r="E195" t="str">
            <v>下市</v>
          </cell>
          <cell r="F195" t="str">
            <v>特价</v>
          </cell>
          <cell r="G195">
            <v>12598</v>
          </cell>
        </row>
        <row r="195">
          <cell r="I195">
            <v>12498</v>
          </cell>
          <cell r="J195">
            <v>0.015</v>
          </cell>
          <cell r="K195">
            <v>187</v>
          </cell>
        </row>
        <row r="196">
          <cell r="B196" t="str">
            <v>JSW33-OSX</v>
          </cell>
          <cell r="C196" t="str">
            <v>是</v>
          </cell>
          <cell r="D196">
            <v>16</v>
          </cell>
          <cell r="E196" t="str">
            <v>下市</v>
          </cell>
          <cell r="F196" t="str">
            <v>特价</v>
          </cell>
          <cell r="G196">
            <v>13368</v>
          </cell>
        </row>
        <row r="196">
          <cell r="I196">
            <v>13268</v>
          </cell>
          <cell r="J196">
            <v>0.015</v>
          </cell>
          <cell r="K196">
            <v>199</v>
          </cell>
        </row>
        <row r="197">
          <cell r="B197" t="str">
            <v>JSW26-VOSX</v>
          </cell>
          <cell r="C197" t="str">
            <v>是</v>
          </cell>
          <cell r="D197">
            <v>13</v>
          </cell>
          <cell r="E197" t="str">
            <v>下市</v>
          </cell>
          <cell r="F197" t="str">
            <v>特价</v>
          </cell>
          <cell r="G197">
            <v>6368</v>
          </cell>
        </row>
        <row r="197">
          <cell r="I197">
            <v>6268</v>
          </cell>
          <cell r="J197">
            <v>0.015</v>
          </cell>
          <cell r="K197">
            <v>94</v>
          </cell>
        </row>
        <row r="198">
          <cell r="B198" t="str">
            <v>JSW33-VOSX</v>
          </cell>
          <cell r="C198" t="str">
            <v>是</v>
          </cell>
          <cell r="D198">
            <v>16</v>
          </cell>
          <cell r="E198" t="str">
            <v>下市</v>
          </cell>
          <cell r="F198" t="str">
            <v>常规</v>
          </cell>
          <cell r="G198">
            <v>7458</v>
          </cell>
        </row>
        <row r="198">
          <cell r="I198">
            <v>7358</v>
          </cell>
          <cell r="J198">
            <v>0.025</v>
          </cell>
          <cell r="K198">
            <v>184</v>
          </cell>
        </row>
        <row r="199">
          <cell r="B199" t="str">
            <v>JSW31-VOSWi</v>
          </cell>
          <cell r="C199" t="str">
            <v>是</v>
          </cell>
        </row>
        <row r="199">
          <cell r="E199" t="str">
            <v>在销</v>
          </cell>
          <cell r="F199" t="str">
            <v>常规</v>
          </cell>
          <cell r="G199">
            <v>5798</v>
          </cell>
        </row>
        <row r="199">
          <cell r="I199">
            <v>5698</v>
          </cell>
          <cell r="J199">
            <v>0.025</v>
          </cell>
          <cell r="K199">
            <v>142</v>
          </cell>
        </row>
        <row r="200">
          <cell r="B200" t="str">
            <v>JSQ26-AJSX</v>
          </cell>
          <cell r="C200" t="str">
            <v>是</v>
          </cell>
          <cell r="D200">
            <v>13</v>
          </cell>
          <cell r="E200" t="str">
            <v>下市</v>
          </cell>
          <cell r="F200" t="str">
            <v>常规</v>
          </cell>
          <cell r="G200">
            <v>5898</v>
          </cell>
        </row>
        <row r="200">
          <cell r="I200">
            <v>5798</v>
          </cell>
          <cell r="J200">
            <v>0.025</v>
          </cell>
          <cell r="K200">
            <v>145</v>
          </cell>
        </row>
        <row r="201">
          <cell r="B201" t="str">
            <v>JSQ31-AJSX</v>
          </cell>
          <cell r="C201" t="str">
            <v>是</v>
          </cell>
          <cell r="D201">
            <v>16</v>
          </cell>
          <cell r="E201" t="str">
            <v>下市</v>
          </cell>
          <cell r="F201" t="str">
            <v>常规</v>
          </cell>
          <cell r="G201">
            <v>6558</v>
          </cell>
        </row>
        <row r="201">
          <cell r="I201">
            <v>6458</v>
          </cell>
          <cell r="J201">
            <v>0.025</v>
          </cell>
          <cell r="K201">
            <v>161</v>
          </cell>
        </row>
        <row r="202">
          <cell r="B202" t="str">
            <v>JSQ31-BJS</v>
          </cell>
          <cell r="C202" t="str">
            <v>是</v>
          </cell>
          <cell r="D202">
            <v>16</v>
          </cell>
          <cell r="E202" t="str">
            <v>下市</v>
          </cell>
          <cell r="F202" t="str">
            <v>常规</v>
          </cell>
          <cell r="G202">
            <v>6688</v>
          </cell>
        </row>
        <row r="202">
          <cell r="I202">
            <v>6588</v>
          </cell>
          <cell r="J202">
            <v>0.025</v>
          </cell>
          <cell r="K202">
            <v>165</v>
          </cell>
        </row>
        <row r="203">
          <cell r="B203" t="str">
            <v>JSQ31-BJSWi</v>
          </cell>
          <cell r="C203" t="str">
            <v>是</v>
          </cell>
          <cell r="D203">
            <v>16</v>
          </cell>
          <cell r="E203" t="str">
            <v>下市</v>
          </cell>
          <cell r="F203" t="str">
            <v>常规</v>
          </cell>
          <cell r="G203">
            <v>7358</v>
          </cell>
        </row>
        <row r="203">
          <cell r="I203">
            <v>7258</v>
          </cell>
          <cell r="J203">
            <v>0.025</v>
          </cell>
          <cell r="K203">
            <v>181</v>
          </cell>
        </row>
        <row r="204">
          <cell r="B204" t="str">
            <v>JSQ31-DJSWi</v>
          </cell>
          <cell r="C204" t="str">
            <v>是</v>
          </cell>
          <cell r="D204">
            <v>16</v>
          </cell>
          <cell r="E204" t="str">
            <v>在销</v>
          </cell>
          <cell r="F204" t="str">
            <v>常规</v>
          </cell>
          <cell r="G204">
            <v>6488</v>
          </cell>
        </row>
        <row r="204">
          <cell r="I204">
            <v>6388</v>
          </cell>
          <cell r="J204">
            <v>0.025</v>
          </cell>
          <cell r="K204">
            <v>160</v>
          </cell>
        </row>
        <row r="205">
          <cell r="B205" t="str">
            <v>JSQ31-WDJWi</v>
          </cell>
          <cell r="C205" t="str">
            <v>是</v>
          </cell>
          <cell r="D205">
            <v>16</v>
          </cell>
          <cell r="E205" t="str">
            <v>在销</v>
          </cell>
          <cell r="F205" t="str">
            <v>常规-无批发价</v>
          </cell>
          <cell r="G205">
            <v>6488</v>
          </cell>
        </row>
        <row r="205">
          <cell r="I205">
            <v>6388</v>
          </cell>
          <cell r="J205">
            <v>0.025</v>
          </cell>
          <cell r="K205">
            <v>160</v>
          </cell>
        </row>
        <row r="206">
          <cell r="B206" t="str">
            <v>JSQ26-VJSX</v>
          </cell>
          <cell r="C206" t="str">
            <v>是</v>
          </cell>
          <cell r="D206">
            <v>13</v>
          </cell>
          <cell r="E206" t="str">
            <v>下市</v>
          </cell>
          <cell r="F206" t="str">
            <v>常规</v>
          </cell>
          <cell r="G206">
            <v>6998</v>
          </cell>
        </row>
        <row r="206">
          <cell r="I206">
            <v>6898</v>
          </cell>
          <cell r="J206">
            <v>0.025</v>
          </cell>
          <cell r="K206">
            <v>172</v>
          </cell>
        </row>
        <row r="207">
          <cell r="B207" t="str">
            <v>JSQ31-WVJWi</v>
          </cell>
          <cell r="C207" t="str">
            <v>是</v>
          </cell>
          <cell r="D207">
            <v>16</v>
          </cell>
          <cell r="E207" t="str">
            <v>在销</v>
          </cell>
          <cell r="F207" t="str">
            <v>常规</v>
          </cell>
          <cell r="G207">
            <v>8088</v>
          </cell>
        </row>
        <row r="207">
          <cell r="I207">
            <v>7988</v>
          </cell>
          <cell r="J207">
            <v>0.025</v>
          </cell>
          <cell r="K207">
            <v>200</v>
          </cell>
        </row>
        <row r="208">
          <cell r="B208" t="str">
            <v>JSQ31-TVJWi</v>
          </cell>
          <cell r="C208" t="str">
            <v>是</v>
          </cell>
          <cell r="D208">
            <v>16</v>
          </cell>
          <cell r="E208" t="str">
            <v>在销</v>
          </cell>
          <cell r="F208" t="str">
            <v>常规</v>
          </cell>
          <cell r="G208">
            <v>7918</v>
          </cell>
        </row>
        <row r="208">
          <cell r="I208">
            <v>7818</v>
          </cell>
          <cell r="J208">
            <v>0.025</v>
          </cell>
          <cell r="K208">
            <v>195</v>
          </cell>
        </row>
        <row r="209">
          <cell r="B209" t="str">
            <v>JSQ31-VJSWi</v>
          </cell>
          <cell r="C209" t="str">
            <v>是</v>
          </cell>
          <cell r="D209">
            <v>16</v>
          </cell>
          <cell r="E209" t="str">
            <v>在销</v>
          </cell>
          <cell r="F209" t="str">
            <v>常规</v>
          </cell>
          <cell r="G209">
            <v>8478</v>
          </cell>
        </row>
        <row r="209">
          <cell r="I209">
            <v>8378</v>
          </cell>
          <cell r="J209">
            <v>0.025</v>
          </cell>
          <cell r="K209">
            <v>209</v>
          </cell>
        </row>
        <row r="210">
          <cell r="B210" t="str">
            <v>JSQ31-VJSAi</v>
          </cell>
          <cell r="C210" t="str">
            <v>是</v>
          </cell>
          <cell r="D210">
            <v>16</v>
          </cell>
          <cell r="E210" t="str">
            <v>在销</v>
          </cell>
          <cell r="F210" t="str">
            <v>常规</v>
          </cell>
          <cell r="G210">
            <v>8578</v>
          </cell>
        </row>
        <row r="210">
          <cell r="I210">
            <v>8478</v>
          </cell>
          <cell r="J210">
            <v>0.025</v>
          </cell>
          <cell r="K210">
            <v>212</v>
          </cell>
        </row>
        <row r="211">
          <cell r="B211" t="str">
            <v>JSQ31-UJSWi</v>
          </cell>
          <cell r="C211" t="str">
            <v>是</v>
          </cell>
          <cell r="D211">
            <v>16</v>
          </cell>
          <cell r="E211" t="str">
            <v>在销</v>
          </cell>
          <cell r="F211" t="str">
            <v>常规</v>
          </cell>
          <cell r="G211">
            <v>8088</v>
          </cell>
        </row>
        <row r="211">
          <cell r="I211">
            <v>7988</v>
          </cell>
          <cell r="J211">
            <v>0.025</v>
          </cell>
          <cell r="K211">
            <v>200</v>
          </cell>
        </row>
        <row r="212">
          <cell r="B212" t="str">
            <v>JSQ33-JSX</v>
          </cell>
          <cell r="C212" t="str">
            <v>是</v>
          </cell>
          <cell r="D212">
            <v>16</v>
          </cell>
          <cell r="E212" t="str">
            <v>下市</v>
          </cell>
          <cell r="F212" t="str">
            <v>常规</v>
          </cell>
          <cell r="G212">
            <v>11068</v>
          </cell>
        </row>
        <row r="212">
          <cell r="I212">
            <v>10968</v>
          </cell>
          <cell r="J212">
            <v>0.025</v>
          </cell>
          <cell r="K212">
            <v>274</v>
          </cell>
        </row>
        <row r="213">
          <cell r="B213" t="str">
            <v>JSQ33-MJSX</v>
          </cell>
          <cell r="C213" t="str">
            <v>是</v>
          </cell>
          <cell r="D213">
            <v>16</v>
          </cell>
          <cell r="E213" t="str">
            <v>在销</v>
          </cell>
          <cell r="F213" t="str">
            <v>常规</v>
          </cell>
          <cell r="G213">
            <v>9088</v>
          </cell>
        </row>
        <row r="213">
          <cell r="I213">
            <v>8988</v>
          </cell>
          <cell r="J213">
            <v>0.025</v>
          </cell>
          <cell r="K213">
            <v>225</v>
          </cell>
        </row>
        <row r="214">
          <cell r="B214" t="str">
            <v>JSQ40-MJSX</v>
          </cell>
          <cell r="C214" t="str">
            <v>是</v>
          </cell>
          <cell r="D214">
            <v>20</v>
          </cell>
          <cell r="E214" t="str">
            <v>在销</v>
          </cell>
          <cell r="F214" t="str">
            <v>常规</v>
          </cell>
          <cell r="G214">
            <v>11298</v>
          </cell>
        </row>
        <row r="214">
          <cell r="I214">
            <v>11198</v>
          </cell>
          <cell r="J214">
            <v>0.025</v>
          </cell>
          <cell r="K214">
            <v>280</v>
          </cell>
        </row>
        <row r="215">
          <cell r="B215" t="str">
            <v>JSQ48-MJSX</v>
          </cell>
          <cell r="C215" t="str">
            <v>是</v>
          </cell>
          <cell r="D215">
            <v>24</v>
          </cell>
          <cell r="E215" t="str">
            <v>在销</v>
          </cell>
          <cell r="F215" t="str">
            <v>常规</v>
          </cell>
          <cell r="G215">
            <v>13018</v>
          </cell>
        </row>
        <row r="215">
          <cell r="I215">
            <v>12918</v>
          </cell>
          <cell r="J215">
            <v>0.025</v>
          </cell>
          <cell r="K215">
            <v>323</v>
          </cell>
        </row>
        <row r="216">
          <cell r="B216" t="str">
            <v>JSQ40-MJSAi</v>
          </cell>
          <cell r="C216" t="str">
            <v>是</v>
          </cell>
          <cell r="D216">
            <v>20</v>
          </cell>
          <cell r="E216" t="str">
            <v>在销</v>
          </cell>
          <cell r="F216" t="str">
            <v>常规</v>
          </cell>
          <cell r="G216">
            <v>11758</v>
          </cell>
        </row>
        <row r="216">
          <cell r="I216">
            <v>11658</v>
          </cell>
          <cell r="J216">
            <v>0.025</v>
          </cell>
          <cell r="K216">
            <v>291</v>
          </cell>
        </row>
        <row r="217">
          <cell r="B217" t="str">
            <v>JSQ48-MJSAi</v>
          </cell>
          <cell r="C217" t="str">
            <v>是</v>
          </cell>
          <cell r="D217">
            <v>24</v>
          </cell>
          <cell r="E217" t="str">
            <v>在销</v>
          </cell>
          <cell r="F217" t="str">
            <v>常规</v>
          </cell>
          <cell r="G217">
            <v>13408</v>
          </cell>
        </row>
        <row r="217">
          <cell r="I217">
            <v>13308</v>
          </cell>
          <cell r="J217">
            <v>0.025</v>
          </cell>
          <cell r="K217">
            <v>333</v>
          </cell>
        </row>
        <row r="218">
          <cell r="B218" t="str">
            <v>JSQ40-MJSWi</v>
          </cell>
          <cell r="C218" t="str">
            <v>是</v>
          </cell>
          <cell r="D218">
            <v>20</v>
          </cell>
          <cell r="E218" t="str">
            <v>在销</v>
          </cell>
          <cell r="F218" t="str">
            <v>常规</v>
          </cell>
          <cell r="G218">
            <v>11658</v>
          </cell>
        </row>
        <row r="218">
          <cell r="I218">
            <v>11558</v>
          </cell>
          <cell r="J218">
            <v>0.025</v>
          </cell>
          <cell r="K218">
            <v>289</v>
          </cell>
        </row>
        <row r="219">
          <cell r="B219" t="str">
            <v>JSQ48-MJSWi</v>
          </cell>
          <cell r="C219" t="str">
            <v>是</v>
          </cell>
          <cell r="D219">
            <v>24</v>
          </cell>
          <cell r="E219" t="str">
            <v>在销</v>
          </cell>
          <cell r="F219" t="str">
            <v>常规</v>
          </cell>
          <cell r="G219">
            <v>13298</v>
          </cell>
        </row>
        <row r="219">
          <cell r="I219">
            <v>13198</v>
          </cell>
          <cell r="J219">
            <v>0.025</v>
          </cell>
          <cell r="K219">
            <v>330</v>
          </cell>
        </row>
        <row r="220">
          <cell r="B220" t="str">
            <v>JSLQ34-LJEWi</v>
          </cell>
          <cell r="C220" t="str">
            <v>是</v>
          </cell>
          <cell r="D220">
            <v>20</v>
          </cell>
          <cell r="E220" t="str">
            <v>在销</v>
          </cell>
          <cell r="F220" t="str">
            <v>常规</v>
          </cell>
          <cell r="G220">
            <v>11098</v>
          </cell>
        </row>
        <row r="220">
          <cell r="I220">
            <v>10998</v>
          </cell>
          <cell r="J220">
            <v>0.025</v>
          </cell>
          <cell r="K220">
            <v>275</v>
          </cell>
        </row>
        <row r="221">
          <cell r="B221" t="str">
            <v>JSQ40-SJSX</v>
          </cell>
          <cell r="C221" t="str">
            <v>是</v>
          </cell>
          <cell r="D221">
            <v>20</v>
          </cell>
          <cell r="E221" t="str">
            <v>下市</v>
          </cell>
          <cell r="F221" t="str">
            <v>常规</v>
          </cell>
          <cell r="G221">
            <v>15198</v>
          </cell>
        </row>
        <row r="221">
          <cell r="I221">
            <v>15098</v>
          </cell>
          <cell r="J221">
            <v>0.025</v>
          </cell>
          <cell r="K221">
            <v>377</v>
          </cell>
        </row>
        <row r="222">
          <cell r="B222" t="str">
            <v>JSQ40-SJSAi</v>
          </cell>
          <cell r="C222" t="str">
            <v>是</v>
          </cell>
          <cell r="D222">
            <v>20</v>
          </cell>
          <cell r="E222" t="str">
            <v>在销</v>
          </cell>
          <cell r="F222" t="str">
            <v>常规</v>
          </cell>
          <cell r="G222">
            <v>14798</v>
          </cell>
        </row>
        <row r="222">
          <cell r="I222">
            <v>14698</v>
          </cell>
          <cell r="J222">
            <v>0.025</v>
          </cell>
          <cell r="K222">
            <v>367</v>
          </cell>
        </row>
        <row r="223">
          <cell r="B223" t="str">
            <v>JSQ48-SJSAi</v>
          </cell>
          <cell r="C223" t="str">
            <v>是</v>
          </cell>
          <cell r="D223">
            <v>24</v>
          </cell>
          <cell r="E223" t="str">
            <v>在销</v>
          </cell>
          <cell r="F223" t="str">
            <v>常规</v>
          </cell>
          <cell r="G223">
            <v>16788</v>
          </cell>
        </row>
        <row r="223">
          <cell r="I223">
            <v>16688</v>
          </cell>
          <cell r="J223">
            <v>0.025</v>
          </cell>
          <cell r="K223">
            <v>417</v>
          </cell>
        </row>
        <row r="224">
          <cell r="B224" t="str">
            <v>JSQ31-QJS</v>
          </cell>
          <cell r="C224" t="str">
            <v>是</v>
          </cell>
          <cell r="D224">
            <v>16</v>
          </cell>
          <cell r="E224" t="str">
            <v>下市</v>
          </cell>
          <cell r="F224" t="str">
            <v>常规</v>
          </cell>
          <cell r="G224">
            <v>9098</v>
          </cell>
        </row>
        <row r="224">
          <cell r="I224">
            <v>8998</v>
          </cell>
          <cell r="J224">
            <v>0.025</v>
          </cell>
          <cell r="K224">
            <v>225</v>
          </cell>
        </row>
        <row r="225">
          <cell r="B225" t="str">
            <v>JSQ31-QJSAi</v>
          </cell>
          <cell r="C225" t="str">
            <v>是</v>
          </cell>
          <cell r="D225">
            <v>16</v>
          </cell>
          <cell r="E225" t="str">
            <v>在销</v>
          </cell>
          <cell r="F225" t="str">
            <v>常规</v>
          </cell>
          <cell r="G225">
            <v>9308</v>
          </cell>
        </row>
        <row r="225">
          <cell r="I225">
            <v>9208</v>
          </cell>
          <cell r="J225">
            <v>0.025</v>
          </cell>
          <cell r="K225">
            <v>230</v>
          </cell>
        </row>
        <row r="226">
          <cell r="B226" t="str">
            <v>JSQ31-RSC</v>
          </cell>
          <cell r="C226" t="str">
            <v>是</v>
          </cell>
          <cell r="D226">
            <v>16</v>
          </cell>
          <cell r="E226" t="str">
            <v>下市</v>
          </cell>
          <cell r="F226" t="str">
            <v>常规</v>
          </cell>
          <cell r="G226">
            <v>12188</v>
          </cell>
        </row>
        <row r="226">
          <cell r="I226">
            <v>12088</v>
          </cell>
          <cell r="J226">
            <v>0.025</v>
          </cell>
          <cell r="K226">
            <v>302</v>
          </cell>
        </row>
        <row r="227">
          <cell r="B227" t="str">
            <v>JSQ31-RJS</v>
          </cell>
          <cell r="C227" t="str">
            <v>是</v>
          </cell>
          <cell r="D227">
            <v>16</v>
          </cell>
          <cell r="E227" t="str">
            <v>下市</v>
          </cell>
          <cell r="F227" t="str">
            <v>常规</v>
          </cell>
          <cell r="G227">
            <v>16458</v>
          </cell>
        </row>
        <row r="227">
          <cell r="I227">
            <v>16358</v>
          </cell>
          <cell r="J227">
            <v>0.025</v>
          </cell>
          <cell r="K227">
            <v>409</v>
          </cell>
        </row>
        <row r="228">
          <cell r="B228" t="str">
            <v>JSQ31-RJSAi</v>
          </cell>
          <cell r="C228" t="str">
            <v>是</v>
          </cell>
          <cell r="D228">
            <v>16</v>
          </cell>
          <cell r="E228" t="str">
            <v>下市</v>
          </cell>
          <cell r="F228" t="str">
            <v>常规</v>
          </cell>
          <cell r="G228">
            <v>16988</v>
          </cell>
        </row>
        <row r="228">
          <cell r="I228">
            <v>16888</v>
          </cell>
          <cell r="J228">
            <v>0.025</v>
          </cell>
          <cell r="K228">
            <v>422</v>
          </cell>
        </row>
        <row r="229">
          <cell r="B229" t="str">
            <v>JSQ36-RJSAi</v>
          </cell>
          <cell r="C229" t="str">
            <v>是</v>
          </cell>
          <cell r="D229">
            <v>18</v>
          </cell>
          <cell r="E229" t="str">
            <v>在销</v>
          </cell>
          <cell r="F229" t="str">
            <v>常规</v>
          </cell>
          <cell r="G229">
            <v>18688</v>
          </cell>
        </row>
        <row r="229">
          <cell r="I229">
            <v>18588</v>
          </cell>
          <cell r="J229">
            <v>0.025</v>
          </cell>
          <cell r="K229">
            <v>465</v>
          </cell>
        </row>
        <row r="230">
          <cell r="B230" t="str">
            <v>EMGP-50C</v>
          </cell>
          <cell r="C230" t="str">
            <v>是</v>
          </cell>
          <cell r="D230">
            <v>190</v>
          </cell>
          <cell r="E230" t="str">
            <v>在销</v>
          </cell>
          <cell r="F230" t="str">
            <v>常规</v>
          </cell>
          <cell r="G230">
            <v>12388</v>
          </cell>
        </row>
        <row r="230">
          <cell r="I230">
            <v>12288</v>
          </cell>
          <cell r="J230">
            <v>0.025</v>
          </cell>
          <cell r="K230">
            <v>307</v>
          </cell>
        </row>
        <row r="231">
          <cell r="B231" t="str">
            <v>EMGP-75C</v>
          </cell>
          <cell r="C231" t="str">
            <v>是</v>
          </cell>
          <cell r="D231">
            <v>285</v>
          </cell>
          <cell r="E231" t="str">
            <v>在销</v>
          </cell>
          <cell r="F231" t="str">
            <v>常规</v>
          </cell>
          <cell r="G231">
            <v>19258</v>
          </cell>
        </row>
        <row r="231">
          <cell r="I231">
            <v>19158</v>
          </cell>
          <cell r="J231">
            <v>0.025</v>
          </cell>
          <cell r="K231">
            <v>479</v>
          </cell>
        </row>
        <row r="232">
          <cell r="B232" t="str">
            <v>EMGO-50C</v>
          </cell>
          <cell r="C232" t="str">
            <v>是</v>
          </cell>
          <cell r="D232">
            <v>190</v>
          </cell>
          <cell r="E232" t="str">
            <v>在销</v>
          </cell>
          <cell r="F232" t="str">
            <v>常规</v>
          </cell>
          <cell r="G232">
            <v>14158</v>
          </cell>
        </row>
        <row r="232">
          <cell r="I232">
            <v>14058</v>
          </cell>
          <cell r="J232">
            <v>0.025</v>
          </cell>
          <cell r="K232">
            <v>351</v>
          </cell>
        </row>
        <row r="233">
          <cell r="B233" t="str">
            <v>EMGO-75C</v>
          </cell>
          <cell r="C233" t="str">
            <v>是</v>
          </cell>
          <cell r="D233">
            <v>285</v>
          </cell>
          <cell r="E233" t="str">
            <v>在销</v>
          </cell>
          <cell r="F233" t="str">
            <v>常规</v>
          </cell>
          <cell r="G233">
            <v>21428</v>
          </cell>
        </row>
        <row r="233">
          <cell r="I233">
            <v>21328</v>
          </cell>
          <cell r="J233">
            <v>0.025</v>
          </cell>
          <cell r="K233">
            <v>533</v>
          </cell>
        </row>
        <row r="234">
          <cell r="B234" t="str">
            <v>HPW-60A3</v>
          </cell>
          <cell r="C234" t="str">
            <v>是</v>
          </cell>
          <cell r="D234">
            <v>60</v>
          </cell>
          <cell r="E234" t="str">
            <v>下市</v>
          </cell>
          <cell r="F234" t="str">
            <v>特价</v>
          </cell>
          <cell r="G234">
            <v>7408</v>
          </cell>
        </row>
        <row r="234">
          <cell r="I234">
            <v>7308</v>
          </cell>
          <cell r="J234">
            <v>0.025</v>
          </cell>
          <cell r="K234">
            <v>183</v>
          </cell>
        </row>
        <row r="235">
          <cell r="B235" t="str">
            <v>HPW-80A3</v>
          </cell>
          <cell r="C235" t="str">
            <v>是</v>
          </cell>
          <cell r="D235">
            <v>80</v>
          </cell>
          <cell r="E235" t="str">
            <v>下市</v>
          </cell>
          <cell r="F235" t="str">
            <v>特价</v>
          </cell>
          <cell r="G235">
            <v>7728</v>
          </cell>
        </row>
        <row r="235">
          <cell r="I235">
            <v>7628</v>
          </cell>
          <cell r="J235">
            <v>0.025</v>
          </cell>
          <cell r="K235">
            <v>191</v>
          </cell>
        </row>
        <row r="236">
          <cell r="B236" t="str">
            <v>HPI-40C1.0A</v>
          </cell>
          <cell r="C236" t="str">
            <v>是</v>
          </cell>
          <cell r="D236">
            <v>150</v>
          </cell>
          <cell r="E236" t="str">
            <v>下市</v>
          </cell>
          <cell r="F236" t="str">
            <v>特价</v>
          </cell>
          <cell r="G236">
            <v>12908</v>
          </cell>
        </row>
        <row r="236">
          <cell r="I236">
            <v>12808</v>
          </cell>
          <cell r="J236">
            <v>0.025</v>
          </cell>
          <cell r="K236">
            <v>320</v>
          </cell>
        </row>
        <row r="237">
          <cell r="B237" t="str">
            <v>HPI-40D1.0B</v>
          </cell>
          <cell r="C237" t="str">
            <v>是</v>
          </cell>
          <cell r="D237">
            <v>150</v>
          </cell>
          <cell r="E237" t="str">
            <v>在销</v>
          </cell>
          <cell r="F237" t="str">
            <v>常规</v>
          </cell>
          <cell r="G237">
            <v>15098</v>
          </cell>
        </row>
        <row r="237">
          <cell r="I237">
            <v>14998</v>
          </cell>
          <cell r="J237">
            <v>0.025</v>
          </cell>
          <cell r="K237">
            <v>375</v>
          </cell>
        </row>
        <row r="238">
          <cell r="B238" t="str">
            <v>HPI-50D1.0B</v>
          </cell>
          <cell r="C238" t="str">
            <v>是</v>
          </cell>
          <cell r="D238">
            <v>180</v>
          </cell>
          <cell r="E238" t="str">
            <v>在销</v>
          </cell>
          <cell r="F238" t="str">
            <v>常规</v>
          </cell>
          <cell r="G238">
            <v>16268</v>
          </cell>
        </row>
        <row r="238">
          <cell r="I238">
            <v>16168</v>
          </cell>
          <cell r="J238">
            <v>0.025</v>
          </cell>
          <cell r="K238">
            <v>404</v>
          </cell>
        </row>
        <row r="239">
          <cell r="B239" t="str">
            <v>HPI-50G1.5AWi</v>
          </cell>
          <cell r="C239" t="str">
            <v>是</v>
          </cell>
          <cell r="D239">
            <v>180</v>
          </cell>
          <cell r="E239" t="str">
            <v>在销</v>
          </cell>
          <cell r="F239" t="str">
            <v>常规</v>
          </cell>
          <cell r="G239">
            <v>19818</v>
          </cell>
        </row>
        <row r="239">
          <cell r="I239">
            <v>19718</v>
          </cell>
          <cell r="J239">
            <v>0.025</v>
          </cell>
          <cell r="K239">
            <v>493</v>
          </cell>
        </row>
        <row r="240">
          <cell r="B240" t="str">
            <v>HPI-40C1.0B</v>
          </cell>
          <cell r="C240" t="str">
            <v>是</v>
          </cell>
          <cell r="D240">
            <v>150</v>
          </cell>
          <cell r="E240" t="str">
            <v>在销</v>
          </cell>
          <cell r="F240" t="str">
            <v>常规</v>
          </cell>
          <cell r="G240">
            <v>9088</v>
          </cell>
        </row>
        <row r="240">
          <cell r="I240">
            <v>8988</v>
          </cell>
          <cell r="J240">
            <v>0.025</v>
          </cell>
          <cell r="K240">
            <v>225</v>
          </cell>
        </row>
        <row r="241">
          <cell r="B241" t="str">
            <v>HPI-50C1.0B</v>
          </cell>
          <cell r="C241" t="str">
            <v>是</v>
          </cell>
          <cell r="D241">
            <v>180</v>
          </cell>
          <cell r="E241" t="str">
            <v>在销</v>
          </cell>
          <cell r="F241" t="str">
            <v>常规</v>
          </cell>
          <cell r="G241">
            <v>10088</v>
          </cell>
        </row>
        <row r="241">
          <cell r="I241">
            <v>9988</v>
          </cell>
          <cell r="J241">
            <v>0.025</v>
          </cell>
          <cell r="K241">
            <v>250</v>
          </cell>
        </row>
        <row r="242">
          <cell r="B242" t="str">
            <v>HPA-40D1.0Q</v>
          </cell>
          <cell r="C242" t="str">
            <v>是</v>
          </cell>
          <cell r="D242">
            <v>150</v>
          </cell>
          <cell r="E242" t="str">
            <v>在销</v>
          </cell>
          <cell r="F242" t="str">
            <v>常规</v>
          </cell>
          <cell r="G242">
            <v>14298</v>
          </cell>
        </row>
        <row r="242">
          <cell r="I242">
            <v>14198</v>
          </cell>
          <cell r="J242">
            <v>0.025</v>
          </cell>
          <cell r="K242">
            <v>355</v>
          </cell>
        </row>
        <row r="243">
          <cell r="B243" t="str">
            <v>HPA-50D1.0Q</v>
          </cell>
          <cell r="C243" t="str">
            <v>是</v>
          </cell>
          <cell r="D243">
            <v>180</v>
          </cell>
          <cell r="E243" t="str">
            <v>在销</v>
          </cell>
          <cell r="F243" t="str">
            <v>常规</v>
          </cell>
          <cell r="G243">
            <v>16498</v>
          </cell>
        </row>
        <row r="243">
          <cell r="I243">
            <v>16398</v>
          </cell>
          <cell r="J243">
            <v>0.025</v>
          </cell>
          <cell r="K243">
            <v>410</v>
          </cell>
        </row>
        <row r="244">
          <cell r="B244" t="str">
            <v>HPA-50G1.5AWi</v>
          </cell>
          <cell r="C244" t="str">
            <v>是</v>
          </cell>
          <cell r="D244">
            <v>200</v>
          </cell>
          <cell r="E244" t="str">
            <v>在销</v>
          </cell>
          <cell r="F244" t="str">
            <v>常规</v>
          </cell>
          <cell r="G244">
            <v>20728</v>
          </cell>
        </row>
        <row r="244">
          <cell r="I244">
            <v>20628</v>
          </cell>
          <cell r="J244">
            <v>0.025</v>
          </cell>
          <cell r="K244">
            <v>516</v>
          </cell>
        </row>
        <row r="245">
          <cell r="B245" t="str">
            <v>HPA-80D2.0A</v>
          </cell>
          <cell r="C245" t="str">
            <v>是</v>
          </cell>
          <cell r="D245">
            <v>300</v>
          </cell>
          <cell r="E245" t="str">
            <v>在销</v>
          </cell>
          <cell r="F245" t="str">
            <v>常规</v>
          </cell>
          <cell r="G245">
            <v>27558</v>
          </cell>
        </row>
        <row r="245">
          <cell r="I245">
            <v>27458</v>
          </cell>
          <cell r="J245">
            <v>0.025</v>
          </cell>
          <cell r="K245">
            <v>686</v>
          </cell>
        </row>
        <row r="246">
          <cell r="B246" t="str">
            <v>HPA-120D2.0A</v>
          </cell>
          <cell r="C246" t="str">
            <v>是</v>
          </cell>
          <cell r="D246">
            <v>450</v>
          </cell>
          <cell r="E246" t="str">
            <v>在销</v>
          </cell>
          <cell r="F246" t="str">
            <v>常规</v>
          </cell>
          <cell r="G246">
            <v>32558</v>
          </cell>
        </row>
        <row r="246">
          <cell r="I246">
            <v>32458</v>
          </cell>
          <cell r="J246">
            <v>0.025</v>
          </cell>
          <cell r="K246">
            <v>811</v>
          </cell>
        </row>
        <row r="247">
          <cell r="B247" t="str">
            <v>CAHP1.5D-80-6-W</v>
          </cell>
          <cell r="C247" t="str">
            <v>是</v>
          </cell>
        </row>
        <row r="247">
          <cell r="E247" t="str">
            <v>在销</v>
          </cell>
          <cell r="F247" t="str">
            <v>常规</v>
          </cell>
          <cell r="G247">
            <v>32088</v>
          </cell>
        </row>
        <row r="247">
          <cell r="I247">
            <v>31988</v>
          </cell>
          <cell r="J247">
            <v>0.025</v>
          </cell>
          <cell r="K247">
            <v>800</v>
          </cell>
        </row>
        <row r="248">
          <cell r="B248" t="str">
            <v>CAHP1.5D-80-12-W</v>
          </cell>
          <cell r="C248" t="str">
            <v>是</v>
          </cell>
        </row>
        <row r="248">
          <cell r="E248" t="str">
            <v>在销</v>
          </cell>
          <cell r="F248" t="str">
            <v>常规</v>
          </cell>
          <cell r="G248">
            <v>33588</v>
          </cell>
        </row>
        <row r="248">
          <cell r="I248">
            <v>33488</v>
          </cell>
          <cell r="J248">
            <v>0.025</v>
          </cell>
          <cell r="K248">
            <v>837</v>
          </cell>
        </row>
        <row r="249">
          <cell r="B249" t="str">
            <v>CAHP1.5D-120-6-W</v>
          </cell>
          <cell r="C249" t="str">
            <v>是</v>
          </cell>
        </row>
        <row r="249">
          <cell r="E249" t="str">
            <v>在销</v>
          </cell>
          <cell r="F249" t="str">
            <v>常规</v>
          </cell>
          <cell r="G249">
            <v>36928</v>
          </cell>
        </row>
        <row r="249">
          <cell r="I249">
            <v>36828</v>
          </cell>
          <cell r="J249">
            <v>0.025</v>
          </cell>
          <cell r="K249">
            <v>921</v>
          </cell>
        </row>
        <row r="250">
          <cell r="B250" t="str">
            <v>CAHP1.5D-120-12-W</v>
          </cell>
          <cell r="C250" t="str">
            <v>是</v>
          </cell>
        </row>
        <row r="250">
          <cell r="E250" t="str">
            <v>在销</v>
          </cell>
          <cell r="F250" t="str">
            <v>常规</v>
          </cell>
          <cell r="G250">
            <v>38458</v>
          </cell>
        </row>
        <row r="250">
          <cell r="I250">
            <v>38358</v>
          </cell>
          <cell r="J250">
            <v>0.025</v>
          </cell>
          <cell r="K250">
            <v>959</v>
          </cell>
        </row>
        <row r="251">
          <cell r="B251" t="str">
            <v>CAHP2.0C-80-6-W</v>
          </cell>
          <cell r="C251" t="str">
            <v>是</v>
          </cell>
        </row>
        <row r="251">
          <cell r="E251" t="str">
            <v>在销</v>
          </cell>
          <cell r="F251" t="str">
            <v>常规</v>
          </cell>
          <cell r="G251">
            <v>38758</v>
          </cell>
        </row>
        <row r="251">
          <cell r="I251">
            <v>38658</v>
          </cell>
          <cell r="J251">
            <v>0.025</v>
          </cell>
          <cell r="K251">
            <v>966</v>
          </cell>
        </row>
        <row r="252">
          <cell r="B252" t="str">
            <v>CAHP2.0C-80-6S-W</v>
          </cell>
          <cell r="C252" t="str">
            <v>是</v>
          </cell>
        </row>
        <row r="252">
          <cell r="E252" t="str">
            <v>在销</v>
          </cell>
          <cell r="F252" t="str">
            <v>常规</v>
          </cell>
          <cell r="G252">
            <v>38758</v>
          </cell>
        </row>
        <row r="252">
          <cell r="I252">
            <v>38658</v>
          </cell>
          <cell r="J252">
            <v>0.025</v>
          </cell>
          <cell r="K252">
            <v>966</v>
          </cell>
        </row>
        <row r="253">
          <cell r="B253" t="str">
            <v>CAHP2.0C-120-6-W</v>
          </cell>
          <cell r="C253" t="str">
            <v>是</v>
          </cell>
        </row>
        <row r="253">
          <cell r="E253" t="str">
            <v>在销</v>
          </cell>
          <cell r="F253" t="str">
            <v>常规</v>
          </cell>
          <cell r="G253">
            <v>44178</v>
          </cell>
        </row>
        <row r="253">
          <cell r="I253">
            <v>44078</v>
          </cell>
          <cell r="J253">
            <v>0.025</v>
          </cell>
          <cell r="K253">
            <v>1102</v>
          </cell>
        </row>
        <row r="254">
          <cell r="B254" t="str">
            <v>CAHP2.0C-120-6S-W</v>
          </cell>
          <cell r="C254" t="str">
            <v>是</v>
          </cell>
        </row>
        <row r="254">
          <cell r="E254" t="str">
            <v>在销</v>
          </cell>
          <cell r="F254" t="str">
            <v>常规</v>
          </cell>
          <cell r="G254">
            <v>44178</v>
          </cell>
        </row>
        <row r="254">
          <cell r="I254">
            <v>44078</v>
          </cell>
          <cell r="J254">
            <v>0.025</v>
          </cell>
          <cell r="K254">
            <v>1102</v>
          </cell>
        </row>
        <row r="255">
          <cell r="B255" t="str">
            <v>CAHP2.0-80-6</v>
          </cell>
          <cell r="C255" t="str">
            <v>是</v>
          </cell>
        </row>
        <row r="255">
          <cell r="E255" t="str">
            <v>下市</v>
          </cell>
          <cell r="F255" t="str">
            <v>常规</v>
          </cell>
          <cell r="G255">
            <v>43668</v>
          </cell>
        </row>
        <row r="255">
          <cell r="I255">
            <v>43568</v>
          </cell>
          <cell r="J255">
            <v>0.025</v>
          </cell>
          <cell r="K255">
            <v>1089</v>
          </cell>
        </row>
        <row r="256">
          <cell r="B256" t="str">
            <v>CAHP2.0-80-12</v>
          </cell>
          <cell r="C256" t="str">
            <v>是</v>
          </cell>
        </row>
        <row r="256">
          <cell r="E256" t="str">
            <v>下市</v>
          </cell>
          <cell r="F256" t="str">
            <v>常规</v>
          </cell>
          <cell r="G256">
            <v>45628</v>
          </cell>
        </row>
        <row r="256">
          <cell r="I256">
            <v>45528</v>
          </cell>
          <cell r="J256">
            <v>0.025</v>
          </cell>
          <cell r="K256">
            <v>1138</v>
          </cell>
        </row>
        <row r="257">
          <cell r="B257" t="str">
            <v>CAHP2.0-120-6</v>
          </cell>
          <cell r="C257" t="str">
            <v>是</v>
          </cell>
        </row>
        <row r="257">
          <cell r="E257" t="str">
            <v>下市</v>
          </cell>
          <cell r="F257" t="str">
            <v>常规</v>
          </cell>
          <cell r="G257">
            <v>49848</v>
          </cell>
        </row>
        <row r="257">
          <cell r="I257">
            <v>49748</v>
          </cell>
          <cell r="J257">
            <v>0.025</v>
          </cell>
          <cell r="K257">
            <v>1244</v>
          </cell>
        </row>
        <row r="258">
          <cell r="B258" t="str">
            <v>CAHP2.0-120-12</v>
          </cell>
          <cell r="C258" t="str">
            <v>是</v>
          </cell>
        </row>
        <row r="258">
          <cell r="E258" t="str">
            <v>下市</v>
          </cell>
          <cell r="F258" t="str">
            <v>常规</v>
          </cell>
          <cell r="G258">
            <v>51768</v>
          </cell>
        </row>
        <row r="258">
          <cell r="I258">
            <v>51668</v>
          </cell>
          <cell r="J258">
            <v>0.025</v>
          </cell>
          <cell r="K258">
            <v>1292</v>
          </cell>
        </row>
        <row r="259">
          <cell r="B259" t="str">
            <v>HPA-50E1.5Z</v>
          </cell>
          <cell r="C259" t="str">
            <v>是</v>
          </cell>
          <cell r="D259">
            <v>180</v>
          </cell>
          <cell r="E259" t="str">
            <v>下市</v>
          </cell>
          <cell r="F259" t="str">
            <v>常规</v>
          </cell>
          <cell r="G259">
            <v>17198</v>
          </cell>
        </row>
        <row r="259">
          <cell r="I259">
            <v>17098</v>
          </cell>
          <cell r="J259">
            <v>0.025</v>
          </cell>
          <cell r="K259">
            <v>427</v>
          </cell>
        </row>
        <row r="260">
          <cell r="B260" t="str">
            <v>HPA-80E1.5Z</v>
          </cell>
          <cell r="C260" t="str">
            <v>是</v>
          </cell>
          <cell r="D260">
            <v>300</v>
          </cell>
          <cell r="E260" t="str">
            <v>下市</v>
          </cell>
          <cell r="F260" t="str">
            <v>常规</v>
          </cell>
          <cell r="G260">
            <v>22538</v>
          </cell>
        </row>
        <row r="260">
          <cell r="I260">
            <v>22438</v>
          </cell>
          <cell r="J260">
            <v>0.025</v>
          </cell>
          <cell r="K260">
            <v>561</v>
          </cell>
        </row>
        <row r="261">
          <cell r="B261" t="str">
            <v>HPA-80D1.5Z</v>
          </cell>
          <cell r="C261" t="str">
            <v>是</v>
          </cell>
          <cell r="D261">
            <v>300</v>
          </cell>
          <cell r="E261" t="str">
            <v>下市</v>
          </cell>
          <cell r="F261" t="str">
            <v>常规</v>
          </cell>
          <cell r="G261">
            <v>21388</v>
          </cell>
        </row>
        <row r="261">
          <cell r="I261">
            <v>21288</v>
          </cell>
          <cell r="J261">
            <v>0.025</v>
          </cell>
          <cell r="K261">
            <v>532</v>
          </cell>
        </row>
        <row r="262">
          <cell r="B262" t="str">
            <v>HPA-50D1.5ZWi</v>
          </cell>
          <cell r="C262" t="str">
            <v>是</v>
          </cell>
          <cell r="D262">
            <v>200</v>
          </cell>
          <cell r="E262" t="str">
            <v>在销</v>
          </cell>
          <cell r="F262" t="str">
            <v>常规</v>
          </cell>
          <cell r="G262">
            <v>18268</v>
          </cell>
        </row>
        <row r="262">
          <cell r="I262">
            <v>18168</v>
          </cell>
          <cell r="J262">
            <v>0.025</v>
          </cell>
          <cell r="K262">
            <v>454</v>
          </cell>
        </row>
        <row r="263">
          <cell r="B263" t="str">
            <v>HPA-80D1.5ZWi</v>
          </cell>
          <cell r="C263" t="str">
            <v>是</v>
          </cell>
          <cell r="D263">
            <v>300</v>
          </cell>
          <cell r="E263" t="str">
            <v>在销</v>
          </cell>
          <cell r="F263" t="str">
            <v>常规</v>
          </cell>
          <cell r="G263">
            <v>24428</v>
          </cell>
        </row>
        <row r="263">
          <cell r="I263">
            <v>24328</v>
          </cell>
          <cell r="J263">
            <v>0.025</v>
          </cell>
          <cell r="K263">
            <v>608</v>
          </cell>
        </row>
        <row r="264">
          <cell r="B264" t="str">
            <v>HPA-50E1.5ZWi</v>
          </cell>
          <cell r="C264" t="str">
            <v>是</v>
          </cell>
          <cell r="D264">
            <v>200</v>
          </cell>
          <cell r="E264" t="str">
            <v>在销</v>
          </cell>
          <cell r="F264" t="str">
            <v>常规</v>
          </cell>
          <cell r="G264">
            <v>19548</v>
          </cell>
        </row>
        <row r="264">
          <cell r="I264">
            <v>19448</v>
          </cell>
          <cell r="J264">
            <v>0.025</v>
          </cell>
          <cell r="K264">
            <v>486</v>
          </cell>
        </row>
        <row r="265">
          <cell r="B265" t="str">
            <v>HPA-80E1.5ZWi</v>
          </cell>
          <cell r="C265" t="str">
            <v>是</v>
          </cell>
          <cell r="D265">
            <v>300</v>
          </cell>
          <cell r="E265" t="str">
            <v>在销</v>
          </cell>
          <cell r="F265" t="str">
            <v>常规</v>
          </cell>
          <cell r="G265">
            <v>25718</v>
          </cell>
        </row>
        <row r="265">
          <cell r="I265">
            <v>25618</v>
          </cell>
          <cell r="J265">
            <v>0.025</v>
          </cell>
          <cell r="K265">
            <v>640</v>
          </cell>
        </row>
        <row r="266">
          <cell r="B266" t="str">
            <v>CAHP120C06</v>
          </cell>
          <cell r="C266" t="str">
            <v>是</v>
          </cell>
        </row>
        <row r="266">
          <cell r="E266" t="str">
            <v>下市</v>
          </cell>
          <cell r="F266" t="str">
            <v>常规</v>
          </cell>
          <cell r="G266">
            <v>54708</v>
          </cell>
        </row>
        <row r="266">
          <cell r="I266">
            <v>54608</v>
          </cell>
          <cell r="J266">
            <v>0.025</v>
          </cell>
          <cell r="K266">
            <v>1365</v>
          </cell>
        </row>
        <row r="267">
          <cell r="B267" t="str">
            <v>HPA-50D1.5A</v>
          </cell>
          <cell r="C267" t="str">
            <v>是</v>
          </cell>
          <cell r="D267">
            <v>180</v>
          </cell>
          <cell r="E267" t="str">
            <v>下市</v>
          </cell>
          <cell r="F267" t="str">
            <v>常规</v>
          </cell>
          <cell r="G267">
            <v>18948</v>
          </cell>
        </row>
        <row r="267">
          <cell r="I267">
            <v>18848</v>
          </cell>
          <cell r="J267">
            <v>0.025</v>
          </cell>
          <cell r="K267">
            <v>471</v>
          </cell>
        </row>
        <row r="268">
          <cell r="B268" t="str">
            <v>HPA-50C1.5B</v>
          </cell>
          <cell r="C268" t="str">
            <v>是</v>
          </cell>
          <cell r="D268">
            <v>180</v>
          </cell>
          <cell r="E268" t="str">
            <v>在销</v>
          </cell>
          <cell r="F268" t="str">
            <v>常规</v>
          </cell>
          <cell r="G268">
            <v>13698</v>
          </cell>
        </row>
        <row r="268">
          <cell r="I268">
            <v>13598</v>
          </cell>
          <cell r="J268">
            <v>0.025</v>
          </cell>
          <cell r="K268">
            <v>340</v>
          </cell>
        </row>
        <row r="269">
          <cell r="B269" t="str">
            <v>HPA-40C1.0B</v>
          </cell>
          <cell r="C269" t="str">
            <v>是</v>
          </cell>
          <cell r="D269">
            <v>150</v>
          </cell>
          <cell r="E269" t="str">
            <v>在销</v>
          </cell>
          <cell r="F269" t="str">
            <v>常规</v>
          </cell>
          <cell r="G269">
            <v>9088</v>
          </cell>
        </row>
        <row r="269">
          <cell r="I269">
            <v>8988</v>
          </cell>
          <cell r="J269">
            <v>0.025</v>
          </cell>
          <cell r="K269">
            <v>225</v>
          </cell>
        </row>
        <row r="270">
          <cell r="B270" t="str">
            <v>HPA-50C1.0B</v>
          </cell>
          <cell r="C270" t="str">
            <v>是</v>
          </cell>
          <cell r="D270">
            <v>180</v>
          </cell>
          <cell r="E270" t="str">
            <v>在销</v>
          </cell>
          <cell r="F270" t="str">
            <v>常规</v>
          </cell>
          <cell r="G270">
            <v>10088</v>
          </cell>
        </row>
        <row r="270">
          <cell r="I270">
            <v>9988</v>
          </cell>
          <cell r="J270">
            <v>0.025</v>
          </cell>
          <cell r="K270">
            <v>250</v>
          </cell>
        </row>
        <row r="271">
          <cell r="B271" t="str">
            <v>FS-01A</v>
          </cell>
          <cell r="C271" t="str">
            <v>否</v>
          </cell>
        </row>
        <row r="271">
          <cell r="E271" t="str">
            <v>下市</v>
          </cell>
          <cell r="F271" t="str">
            <v>特价</v>
          </cell>
          <cell r="G271">
            <v>3698</v>
          </cell>
        </row>
        <row r="271">
          <cell r="I271">
            <v>3698</v>
          </cell>
        </row>
        <row r="271">
          <cell r="K271" t="str">
            <v>特殊商品销售提成待确认</v>
          </cell>
        </row>
        <row r="272">
          <cell r="B272" t="str">
            <v>FS-54A</v>
          </cell>
          <cell r="C272" t="str">
            <v>否</v>
          </cell>
        </row>
        <row r="272">
          <cell r="E272" t="str">
            <v>在销</v>
          </cell>
          <cell r="F272" t="str">
            <v>特价</v>
          </cell>
          <cell r="G272">
            <v>378</v>
          </cell>
        </row>
        <row r="272">
          <cell r="I272">
            <v>378</v>
          </cell>
        </row>
        <row r="272">
          <cell r="K272" t="str">
            <v>特殊商品销售提成待确认</v>
          </cell>
        </row>
        <row r="273">
          <cell r="B273" t="str">
            <v>FS-02E</v>
          </cell>
          <cell r="C273" t="str">
            <v>否</v>
          </cell>
        </row>
        <row r="273">
          <cell r="E273" t="str">
            <v>在销</v>
          </cell>
          <cell r="F273" t="str">
            <v>特价</v>
          </cell>
          <cell r="G273">
            <v>1298</v>
          </cell>
        </row>
        <row r="273">
          <cell r="I273">
            <v>1298</v>
          </cell>
        </row>
        <row r="273">
          <cell r="K273" t="str">
            <v>特殊商品销售提成待确认</v>
          </cell>
        </row>
        <row r="274">
          <cell r="B274" t="str">
            <v>FS-02C</v>
          </cell>
          <cell r="C274" t="str">
            <v>否</v>
          </cell>
        </row>
        <row r="274">
          <cell r="E274" t="str">
            <v>在销</v>
          </cell>
          <cell r="F274" t="str">
            <v>特价</v>
          </cell>
          <cell r="G274">
            <v>1998</v>
          </cell>
        </row>
        <row r="274">
          <cell r="I274">
            <v>1998</v>
          </cell>
        </row>
        <row r="274">
          <cell r="K274" t="str">
            <v>特殊商品销售提成待确认</v>
          </cell>
        </row>
        <row r="275">
          <cell r="B275" t="str">
            <v>FS-02G</v>
          </cell>
          <cell r="C275" t="str">
            <v>否</v>
          </cell>
        </row>
        <row r="275">
          <cell r="E275" t="str">
            <v>在销</v>
          </cell>
          <cell r="F275" t="str">
            <v>特价</v>
          </cell>
          <cell r="G275">
            <v>998</v>
          </cell>
        </row>
        <row r="275">
          <cell r="I275">
            <v>998</v>
          </cell>
        </row>
        <row r="275">
          <cell r="K275" t="str">
            <v>特殊商品销售提成待确认</v>
          </cell>
        </row>
        <row r="276">
          <cell r="B276" t="str">
            <v>HWM-15F</v>
          </cell>
          <cell r="C276" t="str">
            <v>是</v>
          </cell>
        </row>
        <row r="276">
          <cell r="E276" t="str">
            <v>在销</v>
          </cell>
          <cell r="F276" t="str">
            <v>特价</v>
          </cell>
          <cell r="G276">
            <v>1988</v>
          </cell>
        </row>
        <row r="276">
          <cell r="I276">
            <v>1888</v>
          </cell>
          <cell r="J276">
            <v>0.025</v>
          </cell>
          <cell r="K276">
            <v>47</v>
          </cell>
        </row>
        <row r="277">
          <cell r="B277" t="str">
            <v>HWM-18F</v>
          </cell>
          <cell r="C277" t="str">
            <v>是</v>
          </cell>
        </row>
        <row r="277">
          <cell r="E277" t="str">
            <v>在销</v>
          </cell>
          <cell r="F277" t="str">
            <v>特价</v>
          </cell>
          <cell r="G277">
            <v>2188</v>
          </cell>
        </row>
        <row r="277">
          <cell r="I277">
            <v>2088</v>
          </cell>
          <cell r="J277">
            <v>0.025</v>
          </cell>
          <cell r="K277">
            <v>52</v>
          </cell>
        </row>
        <row r="278">
          <cell r="B278" t="str">
            <v>CXW-200-Q1</v>
          </cell>
          <cell r="C278" t="str">
            <v>是</v>
          </cell>
        </row>
        <row r="278">
          <cell r="E278" t="str">
            <v>在销</v>
          </cell>
          <cell r="F278" t="str">
            <v>特价</v>
          </cell>
          <cell r="G278">
            <v>4998</v>
          </cell>
        </row>
        <row r="278">
          <cell r="I278">
            <v>4898</v>
          </cell>
          <cell r="J278">
            <v>0.04</v>
          </cell>
          <cell r="K278">
            <v>196</v>
          </cell>
        </row>
        <row r="279">
          <cell r="B279" t="str">
            <v>CXW-200-Q2</v>
          </cell>
          <cell r="C279" t="str">
            <v>是</v>
          </cell>
        </row>
        <row r="279">
          <cell r="E279" t="str">
            <v>在销</v>
          </cell>
          <cell r="F279" t="str">
            <v>特价</v>
          </cell>
          <cell r="G279">
            <v>5598</v>
          </cell>
        </row>
        <row r="279">
          <cell r="I279">
            <v>5498</v>
          </cell>
          <cell r="J279">
            <v>0.04</v>
          </cell>
          <cell r="K279">
            <v>220</v>
          </cell>
        </row>
        <row r="280">
          <cell r="B280" t="str">
            <v>CXW-200-T5B+</v>
          </cell>
          <cell r="C280" t="str">
            <v>是</v>
          </cell>
        </row>
        <row r="280">
          <cell r="E280" t="str">
            <v>在销</v>
          </cell>
          <cell r="F280" t="str">
            <v>特价</v>
          </cell>
          <cell r="G280">
            <v>4308</v>
          </cell>
        </row>
        <row r="280">
          <cell r="I280">
            <v>4208</v>
          </cell>
          <cell r="J280">
            <v>0.04</v>
          </cell>
          <cell r="K280">
            <v>168</v>
          </cell>
        </row>
        <row r="281">
          <cell r="B281" t="str">
            <v>CXW-200-Q3S+</v>
          </cell>
          <cell r="C281" t="str">
            <v>是</v>
          </cell>
        </row>
        <row r="281">
          <cell r="E281" t="str">
            <v>下市</v>
          </cell>
          <cell r="F281" t="str">
            <v>特价</v>
          </cell>
          <cell r="G281">
            <v>7098</v>
          </cell>
        </row>
        <row r="281">
          <cell r="I281">
            <v>6998</v>
          </cell>
          <cell r="J281">
            <v>0.04</v>
          </cell>
          <cell r="K281">
            <v>280</v>
          </cell>
        </row>
        <row r="282">
          <cell r="B282" t="str">
            <v>CXW-200-Q5S+</v>
          </cell>
          <cell r="C282" t="str">
            <v>是</v>
          </cell>
        </row>
        <row r="282">
          <cell r="E282" t="str">
            <v>下市</v>
          </cell>
          <cell r="F282" t="str">
            <v>特价</v>
          </cell>
          <cell r="G282">
            <v>8698</v>
          </cell>
        </row>
        <row r="282">
          <cell r="I282">
            <v>8598</v>
          </cell>
          <cell r="J282">
            <v>0.04</v>
          </cell>
          <cell r="K282">
            <v>344</v>
          </cell>
        </row>
        <row r="283">
          <cell r="B283" t="str">
            <v>CXW-200-S2</v>
          </cell>
          <cell r="C283" t="str">
            <v>是</v>
          </cell>
        </row>
        <row r="283">
          <cell r="E283" t="str">
            <v>下市</v>
          </cell>
          <cell r="F283" t="str">
            <v>特价</v>
          </cell>
          <cell r="G283">
            <v>7798</v>
          </cell>
        </row>
        <row r="283">
          <cell r="I283">
            <v>7698</v>
          </cell>
          <cell r="J283">
            <v>0.04</v>
          </cell>
          <cell r="K283">
            <v>308</v>
          </cell>
        </row>
        <row r="284">
          <cell r="B284" t="str">
            <v>CXW-200-S3</v>
          </cell>
          <cell r="C284" t="str">
            <v>是</v>
          </cell>
        </row>
        <row r="284">
          <cell r="E284" t="str">
            <v>下市</v>
          </cell>
          <cell r="F284" t="str">
            <v>特价</v>
          </cell>
          <cell r="G284">
            <v>7798</v>
          </cell>
        </row>
        <row r="284">
          <cell r="I284">
            <v>7698</v>
          </cell>
          <cell r="J284">
            <v>0.04</v>
          </cell>
          <cell r="K284">
            <v>308</v>
          </cell>
        </row>
        <row r="285">
          <cell r="B285" t="str">
            <v>CXW-200-S5</v>
          </cell>
          <cell r="C285" t="str">
            <v>是</v>
          </cell>
        </row>
        <row r="285">
          <cell r="E285" t="str">
            <v>下市</v>
          </cell>
          <cell r="F285" t="str">
            <v>特价</v>
          </cell>
          <cell r="G285">
            <v>10098</v>
          </cell>
        </row>
        <row r="285">
          <cell r="I285">
            <v>9998</v>
          </cell>
          <cell r="J285">
            <v>0.04</v>
          </cell>
          <cell r="K285">
            <v>400</v>
          </cell>
        </row>
        <row r="286">
          <cell r="B286" t="str">
            <v>CXW-200-S7</v>
          </cell>
          <cell r="C286" t="str">
            <v>是</v>
          </cell>
        </row>
        <row r="286">
          <cell r="E286" t="str">
            <v>下市</v>
          </cell>
          <cell r="F286" t="str">
            <v>特价</v>
          </cell>
          <cell r="G286">
            <v>15498</v>
          </cell>
        </row>
        <row r="286">
          <cell r="I286">
            <v>15398</v>
          </cell>
          <cell r="J286">
            <v>0.04</v>
          </cell>
          <cell r="K286">
            <v>616</v>
          </cell>
        </row>
        <row r="287">
          <cell r="B287" t="str">
            <v>CXW-200-S9</v>
          </cell>
          <cell r="C287" t="str">
            <v>是</v>
          </cell>
        </row>
        <row r="287">
          <cell r="E287" t="str">
            <v>在销</v>
          </cell>
          <cell r="F287" t="str">
            <v>特价</v>
          </cell>
          <cell r="G287">
            <v>18798</v>
          </cell>
        </row>
        <row r="287">
          <cell r="I287">
            <v>18698</v>
          </cell>
          <cell r="J287">
            <v>0.04</v>
          </cell>
          <cell r="K287">
            <v>748</v>
          </cell>
        </row>
        <row r="288">
          <cell r="B288" t="str">
            <v>CXW-200-Q5SAi</v>
          </cell>
          <cell r="C288" t="str">
            <v>是</v>
          </cell>
        </row>
        <row r="288">
          <cell r="E288" t="str">
            <v>下市</v>
          </cell>
          <cell r="F288" t="str">
            <v>特价</v>
          </cell>
          <cell r="G288">
            <v>9198</v>
          </cell>
        </row>
        <row r="288">
          <cell r="I288">
            <v>9098</v>
          </cell>
          <cell r="J288">
            <v>0.04</v>
          </cell>
          <cell r="K288">
            <v>364</v>
          </cell>
        </row>
        <row r="289">
          <cell r="B289" t="str">
            <v>CXW-200-S3Ai</v>
          </cell>
          <cell r="C289" t="str">
            <v>是</v>
          </cell>
        </row>
        <row r="289">
          <cell r="E289" t="str">
            <v>在销</v>
          </cell>
          <cell r="F289" t="str">
            <v>特价</v>
          </cell>
          <cell r="G289">
            <v>8358</v>
          </cell>
        </row>
        <row r="289">
          <cell r="I289">
            <v>8258</v>
          </cell>
          <cell r="J289">
            <v>0.04</v>
          </cell>
          <cell r="K289">
            <v>330</v>
          </cell>
        </row>
        <row r="290">
          <cell r="B290" t="str">
            <v>CXW-200-Q3AWi</v>
          </cell>
          <cell r="C290" t="str">
            <v>是</v>
          </cell>
        </row>
        <row r="290">
          <cell r="E290" t="str">
            <v>在销</v>
          </cell>
          <cell r="F290" t="str">
            <v>特价</v>
          </cell>
          <cell r="G290">
            <v>7418</v>
          </cell>
        </row>
        <row r="290">
          <cell r="I290">
            <v>7318</v>
          </cell>
          <cell r="J290">
            <v>0.04</v>
          </cell>
          <cell r="K290">
            <v>293</v>
          </cell>
        </row>
        <row r="291">
          <cell r="B291" t="str">
            <v>CXW-200-Q5AWi</v>
          </cell>
          <cell r="C291" t="str">
            <v>是</v>
          </cell>
        </row>
        <row r="291">
          <cell r="E291" t="str">
            <v>在销</v>
          </cell>
          <cell r="F291" t="str">
            <v>特价</v>
          </cell>
          <cell r="G291">
            <v>9068</v>
          </cell>
        </row>
        <row r="291">
          <cell r="I291">
            <v>8968</v>
          </cell>
          <cell r="J291">
            <v>0.04</v>
          </cell>
          <cell r="K291">
            <v>359</v>
          </cell>
        </row>
        <row r="292">
          <cell r="B292" t="str">
            <v>CXW-350-Q2AWi</v>
          </cell>
          <cell r="C292" t="str">
            <v>是</v>
          </cell>
        </row>
        <row r="292">
          <cell r="E292" t="str">
            <v>在销</v>
          </cell>
          <cell r="F292" t="str">
            <v>特价</v>
          </cell>
          <cell r="G292">
            <v>5858</v>
          </cell>
        </row>
        <row r="292">
          <cell r="I292">
            <v>5758</v>
          </cell>
          <cell r="J292">
            <v>0.04</v>
          </cell>
          <cell r="K292">
            <v>230</v>
          </cell>
        </row>
        <row r="293">
          <cell r="B293" t="str">
            <v>CXW-350-Q2CWi</v>
          </cell>
          <cell r="C293" t="str">
            <v>是</v>
          </cell>
        </row>
        <row r="293">
          <cell r="E293" t="str">
            <v>在销</v>
          </cell>
          <cell r="F293" t="str">
            <v>特价</v>
          </cell>
          <cell r="G293">
            <v>5678</v>
          </cell>
        </row>
        <row r="293">
          <cell r="I293">
            <v>5578</v>
          </cell>
          <cell r="J293">
            <v>0.04</v>
          </cell>
          <cell r="K293">
            <v>223</v>
          </cell>
        </row>
        <row r="294">
          <cell r="B294" t="str">
            <v>CXW-350-V3Wi</v>
          </cell>
          <cell r="C294" t="str">
            <v>是</v>
          </cell>
        </row>
        <row r="294">
          <cell r="E294" t="str">
            <v>在销</v>
          </cell>
          <cell r="F294" t="str">
            <v>特价</v>
          </cell>
          <cell r="G294">
            <v>5158</v>
          </cell>
        </row>
        <row r="294">
          <cell r="I294">
            <v>5058</v>
          </cell>
          <cell r="J294">
            <v>0.04</v>
          </cell>
          <cell r="K294">
            <v>202</v>
          </cell>
        </row>
        <row r="295">
          <cell r="B295" t="str">
            <v>CXW-200-S5CWi</v>
          </cell>
          <cell r="C295" t="str">
            <v>是</v>
          </cell>
        </row>
        <row r="295">
          <cell r="E295" t="str">
            <v>下市</v>
          </cell>
          <cell r="F295" t="str">
            <v>特价</v>
          </cell>
          <cell r="G295">
            <v>8568</v>
          </cell>
        </row>
        <row r="295">
          <cell r="I295">
            <v>8468</v>
          </cell>
          <cell r="J295">
            <v>0.04</v>
          </cell>
          <cell r="K295">
            <v>339</v>
          </cell>
        </row>
        <row r="296">
          <cell r="B296" t="str">
            <v>CXW-200-S5AWi</v>
          </cell>
          <cell r="C296" t="str">
            <v>是</v>
          </cell>
        </row>
        <row r="296">
          <cell r="E296" t="str">
            <v>下市</v>
          </cell>
          <cell r="F296" t="str">
            <v>特价</v>
          </cell>
          <cell r="G296">
            <v>10098</v>
          </cell>
        </row>
        <row r="296">
          <cell r="I296">
            <v>9998</v>
          </cell>
          <cell r="J296">
            <v>0.04</v>
          </cell>
          <cell r="K296">
            <v>400</v>
          </cell>
        </row>
        <row r="297">
          <cell r="B297" t="str">
            <v>CXW-400-S5CHWi</v>
          </cell>
          <cell r="C297" t="str">
            <v>是</v>
          </cell>
        </row>
        <row r="297">
          <cell r="E297" t="str">
            <v>在销</v>
          </cell>
          <cell r="F297" t="str">
            <v>特价</v>
          </cell>
          <cell r="G297">
            <v>8568</v>
          </cell>
        </row>
        <row r="297">
          <cell r="I297">
            <v>8468</v>
          </cell>
          <cell r="J297">
            <v>0.04</v>
          </cell>
          <cell r="K297">
            <v>339</v>
          </cell>
        </row>
        <row r="298">
          <cell r="B298" t="str">
            <v>CXW-400-S5VWi</v>
          </cell>
          <cell r="C298" t="str">
            <v>是</v>
          </cell>
        </row>
        <row r="298">
          <cell r="E298" t="str">
            <v>在销</v>
          </cell>
          <cell r="F298" t="str">
            <v>特价</v>
          </cell>
          <cell r="G298">
            <v>7328</v>
          </cell>
        </row>
        <row r="298">
          <cell r="I298">
            <v>7228</v>
          </cell>
          <cell r="J298">
            <v>0.04</v>
          </cell>
          <cell r="K298">
            <v>289</v>
          </cell>
        </row>
        <row r="299">
          <cell r="B299" t="str">
            <v>CXW-400-S5AHWi</v>
          </cell>
          <cell r="C299" t="str">
            <v>是</v>
          </cell>
        </row>
        <row r="299">
          <cell r="E299" t="str">
            <v>是</v>
          </cell>
          <cell r="F299" t="str">
            <v>特价</v>
          </cell>
          <cell r="G299">
            <v>10098</v>
          </cell>
        </row>
        <row r="299">
          <cell r="I299">
            <v>9998</v>
          </cell>
          <cell r="J299">
            <v>0.04</v>
          </cell>
          <cell r="K299">
            <v>400</v>
          </cell>
        </row>
        <row r="300">
          <cell r="B300" t="str">
            <v>JZT-F5B2</v>
          </cell>
          <cell r="C300" t="str">
            <v>是</v>
          </cell>
        </row>
        <row r="300">
          <cell r="E300" t="str">
            <v>在销</v>
          </cell>
          <cell r="F300" t="str">
            <v>特价</v>
          </cell>
          <cell r="G300">
            <v>4398</v>
          </cell>
        </row>
        <row r="300">
          <cell r="I300">
            <v>4298</v>
          </cell>
          <cell r="J300">
            <v>0.04</v>
          </cell>
          <cell r="K300">
            <v>172</v>
          </cell>
        </row>
        <row r="301">
          <cell r="B301" t="str">
            <v>JZT-K5G1</v>
          </cell>
          <cell r="C301" t="str">
            <v>是</v>
          </cell>
        </row>
        <row r="301">
          <cell r="E301" t="str">
            <v>在销</v>
          </cell>
          <cell r="F301" t="str">
            <v>特价</v>
          </cell>
          <cell r="G301">
            <v>6098</v>
          </cell>
        </row>
        <row r="301">
          <cell r="I301">
            <v>5998</v>
          </cell>
          <cell r="J301">
            <v>0.04</v>
          </cell>
          <cell r="K301">
            <v>240</v>
          </cell>
        </row>
        <row r="302">
          <cell r="B302" t="str">
            <v>JZT-V2B1</v>
          </cell>
          <cell r="C302" t="str">
            <v>是</v>
          </cell>
        </row>
        <row r="302">
          <cell r="E302" t="str">
            <v>下市</v>
          </cell>
          <cell r="F302" t="str">
            <v>特价-无批发价</v>
          </cell>
          <cell r="G302">
            <v>3098</v>
          </cell>
        </row>
        <row r="302">
          <cell r="I302">
            <v>2998</v>
          </cell>
          <cell r="J302">
            <v>0.04</v>
          </cell>
          <cell r="K302">
            <v>120</v>
          </cell>
        </row>
        <row r="303">
          <cell r="B303" t="str">
            <v>JZT-F3B1</v>
          </cell>
          <cell r="C303" t="str">
            <v>是</v>
          </cell>
        </row>
        <row r="303">
          <cell r="E303" t="str">
            <v>下市</v>
          </cell>
          <cell r="F303" t="str">
            <v>特价</v>
          </cell>
          <cell r="G303">
            <v>3098</v>
          </cell>
        </row>
        <row r="303">
          <cell r="I303">
            <v>2998</v>
          </cell>
          <cell r="J303">
            <v>0.04</v>
          </cell>
          <cell r="K303">
            <v>120</v>
          </cell>
        </row>
        <row r="304">
          <cell r="B304" t="str">
            <v>JZT-V2B1S</v>
          </cell>
          <cell r="C304" t="str">
            <v>是</v>
          </cell>
        </row>
        <row r="304">
          <cell r="E304" t="str">
            <v>在销</v>
          </cell>
          <cell r="F304" t="str">
            <v>特价</v>
          </cell>
          <cell r="G304">
            <v>3098</v>
          </cell>
        </row>
        <row r="304">
          <cell r="I304">
            <v>2998</v>
          </cell>
          <cell r="J304">
            <v>0.04</v>
          </cell>
          <cell r="K304">
            <v>120</v>
          </cell>
        </row>
        <row r="305">
          <cell r="B305" t="str">
            <v>JZY-F3B1S</v>
          </cell>
          <cell r="C305" t="str">
            <v>是</v>
          </cell>
        </row>
        <row r="305">
          <cell r="E305" t="str">
            <v>下市</v>
          </cell>
          <cell r="F305" t="str">
            <v>特价</v>
          </cell>
          <cell r="G305">
            <v>3098</v>
          </cell>
        </row>
        <row r="305">
          <cell r="I305">
            <v>2998</v>
          </cell>
          <cell r="J305">
            <v>0.04</v>
          </cell>
          <cell r="K305">
            <v>120</v>
          </cell>
        </row>
        <row r="306">
          <cell r="B306" t="str">
            <v>JZT-F3B1S</v>
          </cell>
          <cell r="C306" t="str">
            <v>是</v>
          </cell>
          <cell r="D306" t="str">
            <v>/</v>
          </cell>
          <cell r="E306" t="str">
            <v>下市</v>
          </cell>
          <cell r="F306" t="str">
            <v>特价</v>
          </cell>
          <cell r="G306">
            <v>3098</v>
          </cell>
        </row>
        <row r="306">
          <cell r="I306">
            <v>2998</v>
          </cell>
          <cell r="J306">
            <v>0.04</v>
          </cell>
          <cell r="K306">
            <v>120</v>
          </cell>
        </row>
        <row r="307">
          <cell r="B307" t="str">
            <v>JZT-F3B1S+</v>
          </cell>
          <cell r="C307" t="str">
            <v>是</v>
          </cell>
        </row>
        <row r="307">
          <cell r="E307" t="str">
            <v>在销</v>
          </cell>
          <cell r="F307" t="str">
            <v>特价</v>
          </cell>
          <cell r="G307">
            <v>3398</v>
          </cell>
        </row>
        <row r="307">
          <cell r="I307">
            <v>3298</v>
          </cell>
          <cell r="J307">
            <v>0.04</v>
          </cell>
          <cell r="K307">
            <v>132</v>
          </cell>
        </row>
        <row r="308">
          <cell r="B308" t="str">
            <v>JZY-F3B1S+</v>
          </cell>
          <cell r="C308" t="str">
            <v>是</v>
          </cell>
        </row>
        <row r="308">
          <cell r="E308" t="str">
            <v>在销</v>
          </cell>
          <cell r="F308" t="str">
            <v>特价</v>
          </cell>
          <cell r="G308">
            <v>3398</v>
          </cell>
        </row>
        <row r="308">
          <cell r="I308">
            <v>3298</v>
          </cell>
          <cell r="J308">
            <v>0.04</v>
          </cell>
          <cell r="K308">
            <v>132</v>
          </cell>
        </row>
        <row r="309">
          <cell r="B309" t="str">
            <v>JZT-F3B2</v>
          </cell>
          <cell r="C309" t="str">
            <v>是</v>
          </cell>
        </row>
        <row r="309">
          <cell r="E309" t="str">
            <v>下市</v>
          </cell>
          <cell r="F309" t="str">
            <v>特价</v>
          </cell>
          <cell r="G309">
            <v>3598</v>
          </cell>
        </row>
        <row r="309">
          <cell r="I309">
            <v>3498</v>
          </cell>
          <cell r="J309">
            <v>0.04</v>
          </cell>
          <cell r="K309">
            <v>140</v>
          </cell>
        </row>
        <row r="310">
          <cell r="B310" t="str">
            <v>JZT-F3B2S</v>
          </cell>
          <cell r="C310" t="str">
            <v>是</v>
          </cell>
        </row>
        <row r="310">
          <cell r="E310" t="str">
            <v>下市</v>
          </cell>
          <cell r="F310" t="str">
            <v>特价</v>
          </cell>
          <cell r="G310">
            <v>3398</v>
          </cell>
        </row>
        <row r="310">
          <cell r="I310">
            <v>3298</v>
          </cell>
          <cell r="J310">
            <v>0.04</v>
          </cell>
          <cell r="K310">
            <v>132</v>
          </cell>
        </row>
        <row r="311">
          <cell r="B311" t="str">
            <v>JZT-F3B2S+</v>
          </cell>
          <cell r="C311" t="str">
            <v>是</v>
          </cell>
        </row>
        <row r="311">
          <cell r="E311" t="str">
            <v>是</v>
          </cell>
          <cell r="F311" t="str">
            <v>特价</v>
          </cell>
          <cell r="G311">
            <v>3398</v>
          </cell>
        </row>
        <row r="311">
          <cell r="I311">
            <v>3298</v>
          </cell>
          <cell r="J311">
            <v>0.04</v>
          </cell>
          <cell r="K311">
            <v>132</v>
          </cell>
        </row>
        <row r="312">
          <cell r="B312" t="str">
            <v>JZT-F3G1</v>
          </cell>
          <cell r="C312" t="str">
            <v>是</v>
          </cell>
        </row>
        <row r="312">
          <cell r="E312" t="str">
            <v>在销</v>
          </cell>
          <cell r="F312" t="str">
            <v>特价</v>
          </cell>
          <cell r="G312">
            <v>3398</v>
          </cell>
        </row>
        <row r="312">
          <cell r="I312">
            <v>3298</v>
          </cell>
          <cell r="J312">
            <v>0.04</v>
          </cell>
          <cell r="K312">
            <v>132</v>
          </cell>
        </row>
        <row r="313">
          <cell r="B313" t="str">
            <v>JZT-V2B2S</v>
          </cell>
          <cell r="C313" t="str">
            <v>是</v>
          </cell>
        </row>
        <row r="313">
          <cell r="E313" t="str">
            <v>在销</v>
          </cell>
          <cell r="F313" t="str">
            <v>特价</v>
          </cell>
          <cell r="G313">
            <v>3098</v>
          </cell>
        </row>
        <row r="313">
          <cell r="I313">
            <v>2998</v>
          </cell>
          <cell r="J313">
            <v>0.04</v>
          </cell>
          <cell r="K313">
            <v>120</v>
          </cell>
        </row>
        <row r="314">
          <cell r="B314" t="str">
            <v>JZT-F5B1</v>
          </cell>
          <cell r="C314" t="str">
            <v>是</v>
          </cell>
        </row>
        <row r="314">
          <cell r="E314" t="str">
            <v>在销</v>
          </cell>
          <cell r="F314" t="str">
            <v>特价</v>
          </cell>
          <cell r="G314">
            <v>3798</v>
          </cell>
        </row>
        <row r="314">
          <cell r="I314">
            <v>3698</v>
          </cell>
          <cell r="J314">
            <v>0.04</v>
          </cell>
          <cell r="K314">
            <v>148</v>
          </cell>
        </row>
        <row r="315">
          <cell r="B315" t="str">
            <v>JCF-11</v>
          </cell>
          <cell r="C315" t="str">
            <v>否</v>
          </cell>
          <cell r="D315" t="str">
            <v>/</v>
          </cell>
          <cell r="E315" t="str">
            <v>在销</v>
          </cell>
          <cell r="F315" t="str">
            <v>常规-无批发价</v>
          </cell>
          <cell r="G315">
            <v>1298</v>
          </cell>
        </row>
        <row r="315">
          <cell r="I315">
            <v>1298</v>
          </cell>
        </row>
        <row r="315">
          <cell r="K315" t="str">
            <v>特殊商品销售提成待确认</v>
          </cell>
        </row>
        <row r="316">
          <cell r="B316" t="str">
            <v>J13AKR10X</v>
          </cell>
          <cell r="C316" t="str">
            <v>是</v>
          </cell>
          <cell r="D316" t="str">
            <v>1.5P</v>
          </cell>
          <cell r="E316" t="str">
            <v>在销</v>
          </cell>
          <cell r="F316" t="str">
            <v>特价</v>
          </cell>
          <cell r="G316">
            <v>6098</v>
          </cell>
        </row>
        <row r="316">
          <cell r="I316">
            <v>5998</v>
          </cell>
        </row>
        <row r="316">
          <cell r="K316" t="str">
            <v>特殊商品销售提成待确认</v>
          </cell>
        </row>
        <row r="317">
          <cell r="B317" t="str">
            <v>J27FQ10A</v>
          </cell>
          <cell r="C317" t="str">
            <v>是</v>
          </cell>
          <cell r="D317" t="str">
            <v>3P</v>
          </cell>
          <cell r="E317" t="str">
            <v>在销</v>
          </cell>
          <cell r="F317" t="str">
            <v>特价</v>
          </cell>
          <cell r="G317">
            <v>23108</v>
          </cell>
        </row>
        <row r="317">
          <cell r="I317">
            <v>23008</v>
          </cell>
        </row>
        <row r="317">
          <cell r="K317" t="str">
            <v>特殊商品销售提成待确认</v>
          </cell>
        </row>
        <row r="318">
          <cell r="B318" t="str">
            <v>XQG100-XE0WI</v>
          </cell>
          <cell r="C318" t="str">
            <v>否</v>
          </cell>
        </row>
        <row r="318">
          <cell r="E318" t="str">
            <v>在销</v>
          </cell>
          <cell r="F318" t="str">
            <v>特价</v>
          </cell>
          <cell r="G318">
            <v>8358</v>
          </cell>
        </row>
        <row r="318">
          <cell r="I318">
            <v>8358</v>
          </cell>
        </row>
        <row r="318">
          <cell r="K318" t="str">
            <v>特殊商品销售提成待确认</v>
          </cell>
        </row>
        <row r="319">
          <cell r="B319" t="str">
            <v>NH-XAR0WI</v>
          </cell>
          <cell r="C319" t="str">
            <v>否</v>
          </cell>
        </row>
        <row r="319">
          <cell r="E319" t="str">
            <v>在销</v>
          </cell>
          <cell r="F319" t="str">
            <v>特价</v>
          </cell>
          <cell r="G319">
            <v>9998</v>
          </cell>
        </row>
        <row r="319">
          <cell r="I319">
            <v>9998</v>
          </cell>
        </row>
        <row r="319">
          <cell r="K319" t="str">
            <v>特殊商品销售提成待确认</v>
          </cell>
        </row>
        <row r="320">
          <cell r="B320" t="str">
            <v>Y3000FVSBKT</v>
          </cell>
          <cell r="C320" t="str">
            <v>/</v>
          </cell>
        </row>
        <row r="320">
          <cell r="E320" t="str">
            <v>在销</v>
          </cell>
          <cell r="F320" t="str">
            <v>特价</v>
          </cell>
          <cell r="G320">
            <v>3599</v>
          </cell>
        </row>
        <row r="320">
          <cell r="K320" t="str">
            <v>特殊商品销售提成待确认</v>
          </cell>
        </row>
        <row r="321">
          <cell r="B321" t="str">
            <v>Y3000FVSBKB</v>
          </cell>
          <cell r="C321" t="str">
            <v>/</v>
          </cell>
        </row>
        <row r="321">
          <cell r="E321" t="str">
            <v>在销</v>
          </cell>
          <cell r="F321" t="str">
            <v>特价</v>
          </cell>
          <cell r="G321">
            <v>3599</v>
          </cell>
        </row>
        <row r="321">
          <cell r="K321" t="str">
            <v>特殊商品销售提成待确认</v>
          </cell>
        </row>
        <row r="322">
          <cell r="B322" t="str">
            <v>APLC-SK</v>
          </cell>
          <cell r="C322" t="str">
            <v>否</v>
          </cell>
        </row>
        <row r="322">
          <cell r="E322" t="str">
            <v>在销</v>
          </cell>
          <cell r="F322" t="str">
            <v>特价</v>
          </cell>
          <cell r="G322">
            <v>1998</v>
          </cell>
        </row>
        <row r="322">
          <cell r="I322">
            <v>1998</v>
          </cell>
        </row>
        <row r="322">
          <cell r="K322" t="str">
            <v>特殊商品销售提成待确认</v>
          </cell>
        </row>
        <row r="323">
          <cell r="B323" t="str">
            <v>BBJYM-I2</v>
          </cell>
          <cell r="C323" t="str">
            <v>否</v>
          </cell>
        </row>
        <row r="323">
          <cell r="E323" t="str">
            <v>在销</v>
          </cell>
          <cell r="F323" t="str">
            <v>特价</v>
          </cell>
          <cell r="G323">
            <v>758</v>
          </cell>
        </row>
        <row r="323">
          <cell r="I323">
            <v>758</v>
          </cell>
        </row>
        <row r="323">
          <cell r="K323" t="str">
            <v>特殊商品销售提成待确认</v>
          </cell>
        </row>
        <row r="324">
          <cell r="B324" t="str">
            <v>KZQ45-M1Wi</v>
          </cell>
          <cell r="C324" t="str">
            <v>是</v>
          </cell>
        </row>
        <row r="324">
          <cell r="E324" t="str">
            <v>在销</v>
          </cell>
          <cell r="F324" t="str">
            <v>特价</v>
          </cell>
          <cell r="G324">
            <v>7308</v>
          </cell>
        </row>
        <row r="324">
          <cell r="I324">
            <v>7208</v>
          </cell>
          <cell r="J324">
            <v>0.04</v>
          </cell>
          <cell r="K324">
            <v>288</v>
          </cell>
        </row>
        <row r="325">
          <cell r="B325" t="str">
            <v>KZQ45-M1HWi</v>
          </cell>
          <cell r="C325" t="str">
            <v>是</v>
          </cell>
        </row>
        <row r="325">
          <cell r="E325" t="str">
            <v>在销</v>
          </cell>
          <cell r="F325" t="str">
            <v>特价</v>
          </cell>
          <cell r="G325">
            <v>7308</v>
          </cell>
        </row>
        <row r="325">
          <cell r="I325">
            <v>7208</v>
          </cell>
          <cell r="J325">
            <v>0.04</v>
          </cell>
          <cell r="K325">
            <v>288</v>
          </cell>
        </row>
        <row r="326">
          <cell r="B326" t="str">
            <v>KZQ45-M5Wi</v>
          </cell>
          <cell r="C326" t="str">
            <v>是</v>
          </cell>
        </row>
        <row r="326">
          <cell r="E326" t="str">
            <v>在销</v>
          </cell>
          <cell r="F326" t="str">
            <v>特价</v>
          </cell>
          <cell r="G326">
            <v>9098</v>
          </cell>
        </row>
        <row r="326">
          <cell r="I326">
            <v>8998</v>
          </cell>
          <cell r="J326">
            <v>0.04</v>
          </cell>
          <cell r="K326">
            <v>360</v>
          </cell>
        </row>
        <row r="327">
          <cell r="B327" t="str">
            <v>KZQ45-M3Wi</v>
          </cell>
          <cell r="C327" t="str">
            <v>是</v>
          </cell>
        </row>
        <row r="327">
          <cell r="E327" t="str">
            <v>在销</v>
          </cell>
          <cell r="F327" t="str">
            <v>特价</v>
          </cell>
          <cell r="G327">
            <v>7308</v>
          </cell>
        </row>
        <row r="327">
          <cell r="I327">
            <v>7208</v>
          </cell>
          <cell r="J327">
            <v>0.04</v>
          </cell>
          <cell r="K327">
            <v>288</v>
          </cell>
        </row>
        <row r="328">
          <cell r="B328" t="str">
            <v>DWQ10-SR3Wi</v>
          </cell>
          <cell r="C328" t="str">
            <v>是</v>
          </cell>
        </row>
        <row r="328">
          <cell r="E328" t="str">
            <v>在销</v>
          </cell>
          <cell r="F328" t="str">
            <v>特价</v>
          </cell>
          <cell r="G328">
            <v>6698</v>
          </cell>
        </row>
        <row r="328">
          <cell r="I328">
            <v>6598</v>
          </cell>
          <cell r="J328">
            <v>0.04</v>
          </cell>
          <cell r="K328">
            <v>264</v>
          </cell>
        </row>
        <row r="329">
          <cell r="B329" t="str">
            <v>DWQ10-SR3HWi</v>
          </cell>
          <cell r="C329" t="str">
            <v>是</v>
          </cell>
        </row>
        <row r="329">
          <cell r="E329" t="str">
            <v>在销</v>
          </cell>
          <cell r="F329" t="str">
            <v>特价</v>
          </cell>
          <cell r="G329">
            <v>6698</v>
          </cell>
        </row>
        <row r="329">
          <cell r="I329">
            <v>6598</v>
          </cell>
          <cell r="J329">
            <v>0.04</v>
          </cell>
          <cell r="K329">
            <v>264</v>
          </cell>
        </row>
        <row r="330">
          <cell r="B330" t="str">
            <v>DWQ12-SR5Wi</v>
          </cell>
          <cell r="C330" t="str">
            <v>是</v>
          </cell>
        </row>
        <row r="330">
          <cell r="E330" t="str">
            <v>在销</v>
          </cell>
          <cell r="F330" t="str">
            <v>特价</v>
          </cell>
          <cell r="G330">
            <v>7398</v>
          </cell>
        </row>
        <row r="330">
          <cell r="I330">
            <v>7298</v>
          </cell>
          <cell r="J330">
            <v>0.04</v>
          </cell>
          <cell r="K330">
            <v>292</v>
          </cell>
        </row>
        <row r="331">
          <cell r="B331" t="str">
            <v>DWQ15-R3Wi</v>
          </cell>
          <cell r="C331" t="str">
            <v>是</v>
          </cell>
        </row>
        <row r="331">
          <cell r="E331" t="str">
            <v>在销</v>
          </cell>
          <cell r="F331" t="str">
            <v>特价</v>
          </cell>
          <cell r="G331">
            <v>9388</v>
          </cell>
        </row>
        <row r="331">
          <cell r="I331">
            <v>9288</v>
          </cell>
          <cell r="J331">
            <v>0.04</v>
          </cell>
          <cell r="K331">
            <v>372</v>
          </cell>
        </row>
        <row r="332">
          <cell r="B332" t="str">
            <v>DWQ15-R3HWi</v>
          </cell>
          <cell r="C332" t="str">
            <v>是</v>
          </cell>
        </row>
        <row r="332">
          <cell r="E332" t="str">
            <v>在销</v>
          </cell>
          <cell r="F332" t="str">
            <v>特价</v>
          </cell>
          <cell r="G332">
            <v>9388</v>
          </cell>
        </row>
        <row r="332">
          <cell r="I332">
            <v>9288</v>
          </cell>
          <cell r="J332">
            <v>0.04</v>
          </cell>
          <cell r="K332">
            <v>372</v>
          </cell>
        </row>
        <row r="333">
          <cell r="B333" t="str">
            <v>DWQ17-R5Wi</v>
          </cell>
          <cell r="C333" t="str">
            <v>是</v>
          </cell>
        </row>
        <row r="333">
          <cell r="E333" t="str">
            <v>在销</v>
          </cell>
          <cell r="F333" t="str">
            <v>特价</v>
          </cell>
          <cell r="G333">
            <v>11098</v>
          </cell>
        </row>
        <row r="333">
          <cell r="I333">
            <v>10998</v>
          </cell>
          <cell r="J333">
            <v>0.04</v>
          </cell>
          <cell r="K333">
            <v>440</v>
          </cell>
        </row>
        <row r="334">
          <cell r="B334" t="str">
            <v>DWQ15-MR1AWi</v>
          </cell>
          <cell r="C334" t="str">
            <v>是</v>
          </cell>
        </row>
        <row r="334">
          <cell r="E334" t="str">
            <v>在销</v>
          </cell>
          <cell r="F334" t="str">
            <v>特价</v>
          </cell>
          <cell r="G334">
            <v>7698</v>
          </cell>
        </row>
        <row r="334">
          <cell r="I334">
            <v>7598</v>
          </cell>
          <cell r="J334">
            <v>0.04</v>
          </cell>
          <cell r="K334">
            <v>304</v>
          </cell>
        </row>
        <row r="335">
          <cell r="B335" t="str">
            <v>CWT-EP-C01</v>
          </cell>
          <cell r="C335" t="str">
            <v>否</v>
          </cell>
        </row>
        <row r="335">
          <cell r="E335" t="str">
            <v>在销</v>
          </cell>
          <cell r="F335" t="str">
            <v>特价</v>
          </cell>
          <cell r="G335">
            <v>16000</v>
          </cell>
        </row>
        <row r="335">
          <cell r="I335">
            <v>16000</v>
          </cell>
        </row>
        <row r="335">
          <cell r="K335" t="str">
            <v>特殊商品销售提成待确认</v>
          </cell>
        </row>
        <row r="336">
          <cell r="B336" t="str">
            <v>XW-K30</v>
          </cell>
          <cell r="C336" t="str">
            <v>否</v>
          </cell>
        </row>
        <row r="336">
          <cell r="E336" t="str">
            <v>在销</v>
          </cell>
          <cell r="F336" t="str">
            <v>特价</v>
          </cell>
          <cell r="G336">
            <v>39</v>
          </cell>
        </row>
        <row r="336">
          <cell r="I336">
            <v>39</v>
          </cell>
        </row>
        <row r="336">
          <cell r="K336" t="str">
            <v>特殊商品销售提成待确认</v>
          </cell>
        </row>
        <row r="337">
          <cell r="B337" t="str">
            <v>AQD-AFW</v>
          </cell>
          <cell r="C337" t="str">
            <v>否</v>
          </cell>
        </row>
        <row r="337">
          <cell r="E337" t="str">
            <v>在销</v>
          </cell>
          <cell r="F337" t="str">
            <v>特价</v>
          </cell>
          <cell r="G337">
            <v>1558</v>
          </cell>
        </row>
        <row r="337">
          <cell r="I337">
            <v>1558</v>
          </cell>
        </row>
        <row r="337">
          <cell r="K337" t="str">
            <v>特殊商品销售提成待确认</v>
          </cell>
        </row>
        <row r="338">
          <cell r="B338" t="str">
            <v>AJCC-CIP</v>
          </cell>
          <cell r="C338" t="str">
            <v>否</v>
          </cell>
        </row>
        <row r="338">
          <cell r="E338" t="str">
            <v>在销</v>
          </cell>
          <cell r="F338" t="str">
            <v>特价</v>
          </cell>
          <cell r="G338">
            <v>3988</v>
          </cell>
        </row>
        <row r="338">
          <cell r="I338">
            <v>3988</v>
          </cell>
        </row>
        <row r="338">
          <cell r="K338" t="str">
            <v>特殊商品销售提成待确认</v>
          </cell>
        </row>
        <row r="339">
          <cell r="B339" t="str">
            <v>APLC-CC3</v>
          </cell>
          <cell r="C339" t="str">
            <v>否</v>
          </cell>
        </row>
        <row r="339">
          <cell r="E339" t="str">
            <v>在销</v>
          </cell>
          <cell r="F339" t="str">
            <v>特价</v>
          </cell>
          <cell r="G339">
            <v>1998</v>
          </cell>
        </row>
        <row r="339">
          <cell r="I339">
            <v>1998</v>
          </cell>
        </row>
        <row r="339">
          <cell r="K339" t="str">
            <v>特殊商品销售提成待确认</v>
          </cell>
        </row>
        <row r="340">
          <cell r="B340" t="str">
            <v>AJCC-CIPD</v>
          </cell>
          <cell r="C340" t="str">
            <v>否</v>
          </cell>
        </row>
        <row r="340">
          <cell r="E340" t="str">
            <v>在销</v>
          </cell>
          <cell r="F340" t="str">
            <v>特价</v>
          </cell>
          <cell r="G340">
            <v>668</v>
          </cell>
        </row>
        <row r="340">
          <cell r="I340">
            <v>668</v>
          </cell>
        </row>
        <row r="340">
          <cell r="K340" t="str">
            <v>特殊商品销售提成待确认</v>
          </cell>
        </row>
        <row r="341">
          <cell r="B341" t="str">
            <v>CTE-60M1</v>
          </cell>
          <cell r="C341" t="str">
            <v>是</v>
          </cell>
        </row>
        <row r="341">
          <cell r="E341" t="str">
            <v>在销</v>
          </cell>
          <cell r="F341" t="str">
            <v>特价</v>
          </cell>
          <cell r="G341">
            <v>2299</v>
          </cell>
        </row>
        <row r="341">
          <cell r="I341">
            <v>2199</v>
          </cell>
        </row>
        <row r="341">
          <cell r="K341" t="str">
            <v>以渠道备案提成为准</v>
          </cell>
        </row>
        <row r="342">
          <cell r="B342" t="str">
            <v>CTE-60E1</v>
          </cell>
          <cell r="C342" t="str">
            <v>是</v>
          </cell>
        </row>
        <row r="342">
          <cell r="E342" t="str">
            <v>在销</v>
          </cell>
          <cell r="F342" t="str">
            <v>特价</v>
          </cell>
          <cell r="G342">
            <v>2399</v>
          </cell>
        </row>
        <row r="342">
          <cell r="I342">
            <v>2299</v>
          </cell>
        </row>
        <row r="342">
          <cell r="K342" t="str">
            <v>以渠道备案提成为准</v>
          </cell>
        </row>
        <row r="343">
          <cell r="B343" t="str">
            <v>CTE-80E1</v>
          </cell>
          <cell r="C343" t="str">
            <v>是</v>
          </cell>
        </row>
        <row r="343">
          <cell r="E343" t="str">
            <v>在销</v>
          </cell>
          <cell r="F343" t="str">
            <v>特价</v>
          </cell>
          <cell r="G343">
            <v>2599</v>
          </cell>
        </row>
        <row r="343">
          <cell r="I343">
            <v>2499</v>
          </cell>
        </row>
        <row r="343">
          <cell r="K343" t="str">
            <v>以渠道备案提成为准</v>
          </cell>
        </row>
        <row r="344">
          <cell r="B344" t="str">
            <v>CTE-50J1</v>
          </cell>
          <cell r="C344" t="str">
            <v>是</v>
          </cell>
        </row>
        <row r="344">
          <cell r="E344" t="str">
            <v>在销</v>
          </cell>
          <cell r="F344" t="str">
            <v>特价</v>
          </cell>
          <cell r="G344">
            <v>2399</v>
          </cell>
        </row>
        <row r="344">
          <cell r="I344">
            <v>2299</v>
          </cell>
        </row>
        <row r="344">
          <cell r="K344" t="str">
            <v>以渠道备案提成为准</v>
          </cell>
        </row>
        <row r="345">
          <cell r="B345" t="str">
            <v>CTE-60J1</v>
          </cell>
          <cell r="C345" t="str">
            <v>是</v>
          </cell>
        </row>
        <row r="345">
          <cell r="E345" t="str">
            <v>在销</v>
          </cell>
          <cell r="F345" t="str">
            <v>特价</v>
          </cell>
          <cell r="G345">
            <v>2499</v>
          </cell>
        </row>
        <row r="345">
          <cell r="I345">
            <v>2399</v>
          </cell>
        </row>
        <row r="345">
          <cell r="K345" t="str">
            <v>以渠道备案提成为准</v>
          </cell>
        </row>
        <row r="346">
          <cell r="B346" t="str">
            <v>CTE-80J1</v>
          </cell>
          <cell r="C346" t="str">
            <v>是</v>
          </cell>
        </row>
        <row r="346">
          <cell r="E346" t="str">
            <v>在销</v>
          </cell>
          <cell r="F346" t="str">
            <v>特价</v>
          </cell>
          <cell r="G346">
            <v>2699</v>
          </cell>
        </row>
        <row r="346">
          <cell r="I346">
            <v>2599</v>
          </cell>
        </row>
        <row r="346">
          <cell r="K346" t="str">
            <v>以渠道备案提成为准</v>
          </cell>
        </row>
        <row r="347">
          <cell r="B347" t="str">
            <v>JSQ31-T2C</v>
          </cell>
          <cell r="C347" t="str">
            <v>是</v>
          </cell>
        </row>
        <row r="347">
          <cell r="E347" t="str">
            <v>在销</v>
          </cell>
          <cell r="F347" t="str">
            <v>特价</v>
          </cell>
          <cell r="G347">
            <v>3598</v>
          </cell>
        </row>
        <row r="347">
          <cell r="I347">
            <v>3498</v>
          </cell>
        </row>
        <row r="347">
          <cell r="K347" t="str">
            <v>以渠道备案提成为准</v>
          </cell>
        </row>
        <row r="348">
          <cell r="B348" t="str">
            <v>JSQ26-T2C</v>
          </cell>
          <cell r="C348" t="str">
            <v>是</v>
          </cell>
        </row>
        <row r="348">
          <cell r="E348" t="str">
            <v>在销</v>
          </cell>
          <cell r="F348" t="str">
            <v>特价</v>
          </cell>
          <cell r="G348">
            <v>3098</v>
          </cell>
        </row>
        <row r="348">
          <cell r="I348">
            <v>2998</v>
          </cell>
        </row>
        <row r="348">
          <cell r="K348" t="str">
            <v>以渠道备案提成为准</v>
          </cell>
        </row>
        <row r="349">
          <cell r="B349" t="str">
            <v>JSQ31-TEC</v>
          </cell>
          <cell r="C349" t="str">
            <v>是</v>
          </cell>
        </row>
        <row r="349">
          <cell r="E349" t="str">
            <v>下市</v>
          </cell>
          <cell r="F349" t="str">
            <v>特价</v>
          </cell>
          <cell r="G349">
            <v>2338</v>
          </cell>
        </row>
        <row r="349">
          <cell r="I349">
            <v>2238</v>
          </cell>
        </row>
        <row r="349">
          <cell r="K349" t="str">
            <v>以渠道备案提成为准</v>
          </cell>
        </row>
        <row r="350">
          <cell r="B350" t="str">
            <v>CTE-60AS</v>
          </cell>
          <cell r="C350" t="str">
            <v>是</v>
          </cell>
        </row>
        <row r="350">
          <cell r="E350" t="str">
            <v>在销</v>
          </cell>
          <cell r="F350" t="str">
            <v>特价</v>
          </cell>
          <cell r="G350">
            <v>1898</v>
          </cell>
        </row>
        <row r="350">
          <cell r="I350">
            <v>1798</v>
          </cell>
        </row>
        <row r="350">
          <cell r="K350" t="str">
            <v>以渠道备案提成为准</v>
          </cell>
        </row>
        <row r="351">
          <cell r="B351" t="str">
            <v>CTE-80AS</v>
          </cell>
          <cell r="C351" t="str">
            <v>是</v>
          </cell>
        </row>
        <row r="351">
          <cell r="E351" t="str">
            <v>在销</v>
          </cell>
          <cell r="F351" t="str">
            <v>特价</v>
          </cell>
          <cell r="G351">
            <v>2198</v>
          </cell>
        </row>
        <row r="351">
          <cell r="I351">
            <v>2098</v>
          </cell>
        </row>
        <row r="351">
          <cell r="K351" t="str">
            <v>以渠道备案提成为准</v>
          </cell>
        </row>
        <row r="352">
          <cell r="B352" t="str">
            <v>CTE-60BS</v>
          </cell>
          <cell r="C352" t="str">
            <v>是</v>
          </cell>
        </row>
        <row r="352">
          <cell r="E352" t="str">
            <v>在销</v>
          </cell>
          <cell r="F352" t="str">
            <v>特价</v>
          </cell>
          <cell r="G352">
            <v>3098</v>
          </cell>
        </row>
        <row r="352">
          <cell r="I352">
            <v>2998</v>
          </cell>
        </row>
        <row r="352">
          <cell r="K352" t="str">
            <v>以渠道备案提成为准</v>
          </cell>
        </row>
        <row r="353">
          <cell r="B353" t="str">
            <v>CTE-80BS</v>
          </cell>
          <cell r="C353" t="str">
            <v>是</v>
          </cell>
        </row>
        <row r="353">
          <cell r="E353" t="str">
            <v>在销</v>
          </cell>
          <cell r="F353" t="str">
            <v>特价</v>
          </cell>
          <cell r="G353">
            <v>3398</v>
          </cell>
        </row>
        <row r="353">
          <cell r="I353">
            <v>3298</v>
          </cell>
        </row>
        <row r="353">
          <cell r="K353" t="str">
            <v>以渠道备案提成为准</v>
          </cell>
        </row>
        <row r="354">
          <cell r="B354" t="str">
            <v>CEWH-60B6A</v>
          </cell>
          <cell r="C354" t="str">
            <v>是</v>
          </cell>
          <cell r="D354">
            <v>60</v>
          </cell>
          <cell r="E354" t="str">
            <v>在销</v>
          </cell>
          <cell r="F354" t="str">
            <v>特价-无批发价</v>
          </cell>
          <cell r="G354">
            <v>2588</v>
          </cell>
        </row>
        <row r="354">
          <cell r="I354">
            <v>2488</v>
          </cell>
          <cell r="J354">
            <v>0.015</v>
          </cell>
          <cell r="K354">
            <v>37</v>
          </cell>
        </row>
        <row r="355">
          <cell r="B355" t="str">
            <v>JSQ31-C3CX</v>
          </cell>
          <cell r="C355" t="str">
            <v>是</v>
          </cell>
          <cell r="D355">
            <v>16</v>
          </cell>
          <cell r="E355" t="str">
            <v>在销</v>
          </cell>
          <cell r="F355" t="str">
            <v>特价-无批发价</v>
          </cell>
          <cell r="G355">
            <v>6188</v>
          </cell>
        </row>
        <row r="355">
          <cell r="I355">
            <v>6088</v>
          </cell>
          <cell r="J355">
            <v>0.015</v>
          </cell>
          <cell r="K355">
            <v>91</v>
          </cell>
        </row>
        <row r="356">
          <cell r="B356" t="str">
            <v>R1600H</v>
          </cell>
          <cell r="C356" t="str">
            <v>是</v>
          </cell>
        </row>
        <row r="356">
          <cell r="E356" t="str">
            <v>在销</v>
          </cell>
          <cell r="F356" t="str">
            <v>特价-无批发价</v>
          </cell>
          <cell r="G356">
            <v>4758</v>
          </cell>
        </row>
        <row r="356">
          <cell r="I356">
            <v>4658</v>
          </cell>
          <cell r="J356">
            <v>0.015</v>
          </cell>
          <cell r="K356">
            <v>70</v>
          </cell>
        </row>
        <row r="357">
          <cell r="B357" t="str">
            <v>JSQ31-TDJWi</v>
          </cell>
          <cell r="C357" t="str">
            <v>是</v>
          </cell>
          <cell r="D357">
            <v>16</v>
          </cell>
          <cell r="E357" t="str">
            <v>在销</v>
          </cell>
          <cell r="F357" t="str">
            <v>常规</v>
          </cell>
          <cell r="G357">
            <v>6888</v>
          </cell>
        </row>
        <row r="357">
          <cell r="I357">
            <v>6788</v>
          </cell>
          <cell r="J357">
            <v>0.025</v>
          </cell>
          <cell r="K357">
            <v>170</v>
          </cell>
        </row>
        <row r="358">
          <cell r="B358" t="str">
            <v>L1PBQ20-A5</v>
          </cell>
          <cell r="C358" t="str">
            <v>是</v>
          </cell>
          <cell r="D358" t="str">
            <v>20KW</v>
          </cell>
          <cell r="E358" t="str">
            <v>在销</v>
          </cell>
          <cell r="F358" t="str">
            <v>特价</v>
          </cell>
          <cell r="G358">
            <v>12358</v>
          </cell>
        </row>
        <row r="358">
          <cell r="I358">
            <v>12258</v>
          </cell>
          <cell r="J358">
            <v>0.03</v>
          </cell>
          <cell r="K358">
            <v>368</v>
          </cell>
        </row>
        <row r="359">
          <cell r="B359" t="str">
            <v>L1PBQ26-A5</v>
          </cell>
          <cell r="C359" t="str">
            <v>是</v>
          </cell>
          <cell r="D359" t="str">
            <v>26KW</v>
          </cell>
          <cell r="E359" t="str">
            <v>在销</v>
          </cell>
          <cell r="F359" t="str">
            <v>特价</v>
          </cell>
          <cell r="G359">
            <v>13458</v>
          </cell>
        </row>
        <row r="359">
          <cell r="I359">
            <v>13358</v>
          </cell>
          <cell r="J359">
            <v>0.03</v>
          </cell>
          <cell r="K359">
            <v>401</v>
          </cell>
        </row>
        <row r="360">
          <cell r="B360" t="str">
            <v>L1PB20-V3</v>
          </cell>
          <cell r="C360" t="str">
            <v>是</v>
          </cell>
          <cell r="D360" t="str">
            <v>20KW</v>
          </cell>
          <cell r="E360" t="str">
            <v>在销</v>
          </cell>
          <cell r="F360" t="str">
            <v>特价</v>
          </cell>
          <cell r="G360">
            <v>14018</v>
          </cell>
          <cell r="H360">
            <v>14018</v>
          </cell>
          <cell r="I360">
            <v>13918</v>
          </cell>
          <cell r="J360">
            <v>0.03</v>
          </cell>
          <cell r="K360">
            <v>418</v>
          </cell>
        </row>
        <row r="361">
          <cell r="B361" t="str">
            <v>L1PB26-V3</v>
          </cell>
          <cell r="C361" t="str">
            <v>是</v>
          </cell>
          <cell r="D361" t="str">
            <v>26KW</v>
          </cell>
          <cell r="E361" t="str">
            <v>在销</v>
          </cell>
          <cell r="F361" t="str">
            <v>特价</v>
          </cell>
          <cell r="G361">
            <v>15758</v>
          </cell>
          <cell r="H361">
            <v>15758</v>
          </cell>
          <cell r="I361">
            <v>15658</v>
          </cell>
          <cell r="J361">
            <v>0.03</v>
          </cell>
          <cell r="K361">
            <v>470</v>
          </cell>
        </row>
        <row r="362">
          <cell r="B362" t="str">
            <v>L1PB33-V3</v>
          </cell>
          <cell r="C362" t="str">
            <v>是</v>
          </cell>
          <cell r="D362" t="str">
            <v>33KW</v>
          </cell>
          <cell r="E362" t="str">
            <v>在销</v>
          </cell>
          <cell r="F362" t="str">
            <v>特价</v>
          </cell>
          <cell r="G362">
            <v>18758</v>
          </cell>
          <cell r="H362">
            <v>18758</v>
          </cell>
          <cell r="I362">
            <v>18658</v>
          </cell>
          <cell r="J362">
            <v>0.03</v>
          </cell>
          <cell r="K362">
            <v>560</v>
          </cell>
        </row>
        <row r="363">
          <cell r="B363" t="str">
            <v>L1PB26-V9</v>
          </cell>
          <cell r="C363" t="str">
            <v>是</v>
          </cell>
          <cell r="D363" t="str">
            <v>26KW</v>
          </cell>
          <cell r="E363" t="str">
            <v>在销</v>
          </cell>
          <cell r="F363" t="str">
            <v>特价</v>
          </cell>
          <cell r="G363">
            <v>19108</v>
          </cell>
          <cell r="H363">
            <v>19108</v>
          </cell>
          <cell r="I363">
            <v>19008</v>
          </cell>
          <cell r="J363">
            <v>0.03</v>
          </cell>
          <cell r="K363">
            <v>570</v>
          </cell>
        </row>
        <row r="364">
          <cell r="B364" t="str">
            <v>L1PB33-V9</v>
          </cell>
          <cell r="C364" t="str">
            <v>是</v>
          </cell>
          <cell r="D364" t="str">
            <v>33KW</v>
          </cell>
          <cell r="E364" t="str">
            <v>在销</v>
          </cell>
          <cell r="F364" t="str">
            <v>特价</v>
          </cell>
          <cell r="G364">
            <v>22098</v>
          </cell>
          <cell r="H364">
            <v>22098</v>
          </cell>
          <cell r="I364">
            <v>21998</v>
          </cell>
          <cell r="J364">
            <v>0.03</v>
          </cell>
          <cell r="K364">
            <v>660</v>
          </cell>
        </row>
        <row r="365">
          <cell r="B365" t="str">
            <v>L1PB37-V9</v>
          </cell>
          <cell r="C365" t="str">
            <v>是</v>
          </cell>
          <cell r="D365" t="str">
            <v>37KW</v>
          </cell>
          <cell r="E365" t="str">
            <v>在销</v>
          </cell>
          <cell r="F365" t="str">
            <v>特价</v>
          </cell>
          <cell r="G365">
            <v>25988</v>
          </cell>
          <cell r="H365">
            <v>25988</v>
          </cell>
          <cell r="I365">
            <v>25888</v>
          </cell>
          <cell r="J365">
            <v>0.03</v>
          </cell>
          <cell r="K365">
            <v>777</v>
          </cell>
        </row>
        <row r="366">
          <cell r="B366" t="str">
            <v>LL1GBQ24-V10</v>
          </cell>
          <cell r="C366" t="str">
            <v>是</v>
          </cell>
          <cell r="D366" t="str">
            <v>24KW</v>
          </cell>
          <cell r="E366" t="str">
            <v>在销</v>
          </cell>
          <cell r="F366" t="str">
            <v>特价</v>
          </cell>
          <cell r="G366">
            <v>16598</v>
          </cell>
        </row>
        <row r="366">
          <cell r="I366">
            <v>16498</v>
          </cell>
          <cell r="J366">
            <v>0.03</v>
          </cell>
          <cell r="K366">
            <v>495</v>
          </cell>
        </row>
        <row r="367">
          <cell r="B367" t="str">
            <v>LL1GBQ33-V10</v>
          </cell>
          <cell r="C367" t="str">
            <v>是</v>
          </cell>
          <cell r="D367" t="str">
            <v>33KW</v>
          </cell>
          <cell r="E367" t="str">
            <v>在销</v>
          </cell>
          <cell r="F367" t="str">
            <v>特价</v>
          </cell>
          <cell r="G367">
            <v>17698</v>
          </cell>
        </row>
        <row r="367">
          <cell r="I367">
            <v>17598</v>
          </cell>
          <cell r="J367">
            <v>0.03</v>
          </cell>
          <cell r="K367">
            <v>528</v>
          </cell>
        </row>
        <row r="368">
          <cell r="B368" t="str">
            <v>LL1GBQ24-V11</v>
          </cell>
          <cell r="C368" t="str">
            <v>是</v>
          </cell>
          <cell r="D368" t="str">
            <v>24KW</v>
          </cell>
          <cell r="E368" t="str">
            <v>在销</v>
          </cell>
          <cell r="F368" t="str">
            <v>特价</v>
          </cell>
          <cell r="G368">
            <v>23188</v>
          </cell>
          <cell r="H368">
            <v>23188</v>
          </cell>
          <cell r="I368">
            <v>23088</v>
          </cell>
          <cell r="J368">
            <v>0.03</v>
          </cell>
          <cell r="K368">
            <v>693</v>
          </cell>
        </row>
        <row r="369">
          <cell r="B369" t="str">
            <v>LL1GBQ33-V11</v>
          </cell>
          <cell r="C369" t="str">
            <v>是</v>
          </cell>
          <cell r="D369" t="str">
            <v>33KW</v>
          </cell>
          <cell r="E369" t="str">
            <v>在销</v>
          </cell>
          <cell r="F369" t="str">
            <v>特价</v>
          </cell>
          <cell r="G369">
            <v>26228</v>
          </cell>
          <cell r="H369">
            <v>26228</v>
          </cell>
          <cell r="I369">
            <v>26128</v>
          </cell>
          <cell r="J369">
            <v>0.03</v>
          </cell>
          <cell r="K369">
            <v>784</v>
          </cell>
        </row>
        <row r="370">
          <cell r="B370" t="str">
            <v>L1PB26-CA</v>
          </cell>
          <cell r="C370" t="str">
            <v>是</v>
          </cell>
          <cell r="D370" t="str">
            <v>26KW</v>
          </cell>
          <cell r="E370" t="str">
            <v>在销</v>
          </cell>
          <cell r="F370" t="str">
            <v>特价</v>
          </cell>
          <cell r="G370">
            <v>18548</v>
          </cell>
          <cell r="H370">
            <v>18548</v>
          </cell>
          <cell r="I370">
            <v>18448</v>
          </cell>
          <cell r="J370">
            <v>0.03</v>
          </cell>
          <cell r="K370">
            <v>553</v>
          </cell>
        </row>
        <row r="371">
          <cell r="B371" t="str">
            <v>L1PB33-CA</v>
          </cell>
          <cell r="C371" t="str">
            <v>是</v>
          </cell>
          <cell r="D371" t="str">
            <v>33KW</v>
          </cell>
          <cell r="E371" t="str">
            <v>在销</v>
          </cell>
          <cell r="F371" t="str">
            <v>特价</v>
          </cell>
          <cell r="G371">
            <v>21408</v>
          </cell>
          <cell r="H371">
            <v>21408</v>
          </cell>
          <cell r="I371">
            <v>21308</v>
          </cell>
          <cell r="J371">
            <v>0.03</v>
          </cell>
          <cell r="K371">
            <v>639</v>
          </cell>
        </row>
        <row r="372">
          <cell r="B372" t="str">
            <v>L1PB37-CA</v>
          </cell>
          <cell r="C372" t="str">
            <v>是</v>
          </cell>
          <cell r="D372" t="str">
            <v>37KW</v>
          </cell>
          <cell r="E372" t="str">
            <v>在销</v>
          </cell>
          <cell r="F372" t="str">
            <v>特价</v>
          </cell>
          <cell r="G372">
            <v>25128</v>
          </cell>
          <cell r="H372">
            <v>25128</v>
          </cell>
          <cell r="I372">
            <v>25028</v>
          </cell>
          <cell r="J372">
            <v>0.03</v>
          </cell>
          <cell r="K372">
            <v>751</v>
          </cell>
        </row>
        <row r="373">
          <cell r="B373" t="str">
            <v>L1PB20-A1</v>
          </cell>
          <cell r="C373" t="str">
            <v>是</v>
          </cell>
          <cell r="D373" t="str">
            <v>20KW</v>
          </cell>
          <cell r="E373" t="str">
            <v>在销</v>
          </cell>
          <cell r="F373" t="str">
            <v>特价</v>
          </cell>
          <cell r="G373">
            <v>10818</v>
          </cell>
        </row>
        <row r="373">
          <cell r="I373">
            <v>10718</v>
          </cell>
          <cell r="J373">
            <v>0.03</v>
          </cell>
          <cell r="K373">
            <v>322</v>
          </cell>
        </row>
        <row r="374">
          <cell r="B374" t="str">
            <v>L1PB26-A1</v>
          </cell>
          <cell r="C374" t="str">
            <v>是</v>
          </cell>
          <cell r="D374" t="str">
            <v>26KW</v>
          </cell>
          <cell r="E374" t="str">
            <v>在销</v>
          </cell>
          <cell r="F374" t="str">
            <v>特价</v>
          </cell>
          <cell r="G374">
            <v>11558</v>
          </cell>
        </row>
        <row r="374">
          <cell r="I374">
            <v>11458</v>
          </cell>
          <cell r="J374">
            <v>0.03</v>
          </cell>
          <cell r="K374">
            <v>344</v>
          </cell>
        </row>
        <row r="375">
          <cell r="B375" t="str">
            <v>L1PB26-S9</v>
          </cell>
          <cell r="C375" t="str">
            <v>是</v>
          </cell>
          <cell r="D375" t="str">
            <v>26KW</v>
          </cell>
          <cell r="E375" t="str">
            <v>在销</v>
          </cell>
          <cell r="F375" t="str">
            <v>特价</v>
          </cell>
          <cell r="G375">
            <v>20408</v>
          </cell>
          <cell r="H375">
            <v>20408</v>
          </cell>
          <cell r="I375">
            <v>20308</v>
          </cell>
          <cell r="J375">
            <v>0.03</v>
          </cell>
          <cell r="K375">
            <v>609</v>
          </cell>
        </row>
        <row r="376">
          <cell r="B376" t="str">
            <v>L1PB33-S9</v>
          </cell>
          <cell r="C376" t="str">
            <v>是</v>
          </cell>
          <cell r="D376" t="str">
            <v>33KW</v>
          </cell>
          <cell r="E376" t="str">
            <v>在销</v>
          </cell>
          <cell r="F376" t="str">
            <v>特价</v>
          </cell>
          <cell r="G376">
            <v>23388</v>
          </cell>
          <cell r="H376">
            <v>23388</v>
          </cell>
          <cell r="I376">
            <v>23288</v>
          </cell>
          <cell r="J376">
            <v>0.03</v>
          </cell>
          <cell r="K376">
            <v>699</v>
          </cell>
        </row>
        <row r="377">
          <cell r="B377" t="str">
            <v>L1PB37-S9</v>
          </cell>
          <cell r="C377" t="str">
            <v>是</v>
          </cell>
          <cell r="D377" t="str">
            <v>37KW</v>
          </cell>
          <cell r="E377" t="str">
            <v>在销</v>
          </cell>
          <cell r="F377" t="str">
            <v>特价</v>
          </cell>
          <cell r="G377">
            <v>27278</v>
          </cell>
          <cell r="H377">
            <v>27278</v>
          </cell>
          <cell r="I377">
            <v>27178</v>
          </cell>
          <cell r="J377">
            <v>0.03</v>
          </cell>
          <cell r="K377">
            <v>815</v>
          </cell>
        </row>
        <row r="378">
          <cell r="B378" t="str">
            <v>LN1GBQ26-N10</v>
          </cell>
          <cell r="C378" t="str">
            <v>是</v>
          </cell>
        </row>
        <row r="378">
          <cell r="E378" t="str">
            <v>在销</v>
          </cell>
          <cell r="F378" t="str">
            <v>特价</v>
          </cell>
          <cell r="G378">
            <v>16598</v>
          </cell>
        </row>
        <row r="378">
          <cell r="I378">
            <v>16498</v>
          </cell>
          <cell r="J378">
            <v>0.03</v>
          </cell>
          <cell r="K378">
            <v>495</v>
          </cell>
        </row>
        <row r="379">
          <cell r="B379" t="str">
            <v>LN1GBQ35-N10</v>
          </cell>
          <cell r="C379" t="str">
            <v>是</v>
          </cell>
        </row>
        <row r="379">
          <cell r="E379" t="str">
            <v>在销</v>
          </cell>
          <cell r="F379" t="str">
            <v>特价</v>
          </cell>
          <cell r="G379">
            <v>17698</v>
          </cell>
        </row>
        <row r="379">
          <cell r="I379">
            <v>17598</v>
          </cell>
          <cell r="J379">
            <v>0.03</v>
          </cell>
          <cell r="K379">
            <v>528</v>
          </cell>
        </row>
        <row r="380">
          <cell r="B380" t="str">
            <v>LL1GBQ24-S10</v>
          </cell>
          <cell r="C380" t="str">
            <v>是</v>
          </cell>
          <cell r="D380" t="str">
            <v>24KW</v>
          </cell>
          <cell r="E380" t="str">
            <v>在销</v>
          </cell>
          <cell r="F380" t="str">
            <v>特价</v>
          </cell>
          <cell r="G380">
            <v>20488</v>
          </cell>
          <cell r="H380">
            <v>20488</v>
          </cell>
          <cell r="I380">
            <v>20388</v>
          </cell>
          <cell r="J380">
            <v>0.03</v>
          </cell>
          <cell r="K380">
            <v>612</v>
          </cell>
        </row>
        <row r="381">
          <cell r="B381" t="str">
            <v>LL1GBQ33-S10</v>
          </cell>
          <cell r="C381" t="str">
            <v>是</v>
          </cell>
          <cell r="D381" t="str">
            <v>33KW</v>
          </cell>
          <cell r="E381" t="str">
            <v>在销</v>
          </cell>
          <cell r="F381" t="str">
            <v>特价</v>
          </cell>
          <cell r="G381">
            <v>22168</v>
          </cell>
          <cell r="H381">
            <v>22168</v>
          </cell>
          <cell r="I381">
            <v>22068</v>
          </cell>
          <cell r="J381">
            <v>0.03</v>
          </cell>
          <cell r="K381">
            <v>662</v>
          </cell>
        </row>
        <row r="382">
          <cell r="B382" t="str">
            <v>LL1GBQ24-S11</v>
          </cell>
          <cell r="C382" t="str">
            <v>是</v>
          </cell>
          <cell r="D382" t="str">
            <v>24KW</v>
          </cell>
          <cell r="E382" t="str">
            <v>在销</v>
          </cell>
          <cell r="F382" t="str">
            <v>特价</v>
          </cell>
          <cell r="G382">
            <v>24478</v>
          </cell>
          <cell r="H382">
            <v>24478</v>
          </cell>
          <cell r="I382">
            <v>24378</v>
          </cell>
          <cell r="J382">
            <v>0.03</v>
          </cell>
          <cell r="K382">
            <v>731</v>
          </cell>
        </row>
        <row r="383">
          <cell r="B383" t="str">
            <v>LL1GBQ33-S11</v>
          </cell>
          <cell r="C383" t="str">
            <v>是</v>
          </cell>
          <cell r="D383" t="str">
            <v>33KW</v>
          </cell>
          <cell r="E383" t="str">
            <v>在销</v>
          </cell>
          <cell r="F383" t="str">
            <v>特价</v>
          </cell>
          <cell r="G383">
            <v>27518</v>
          </cell>
          <cell r="H383">
            <v>27518</v>
          </cell>
          <cell r="I383">
            <v>27418</v>
          </cell>
          <cell r="J383">
            <v>0.03</v>
          </cell>
          <cell r="K383">
            <v>823</v>
          </cell>
        </row>
        <row r="384">
          <cell r="B384" t="str">
            <v>LL1GBQ24-E10</v>
          </cell>
          <cell r="C384" t="str">
            <v>是</v>
          </cell>
        </row>
        <row r="384">
          <cell r="E384" t="str">
            <v>在销</v>
          </cell>
          <cell r="F384" t="str">
            <v>特价</v>
          </cell>
          <cell r="G384">
            <v>18556</v>
          </cell>
          <cell r="H384">
            <v>18556</v>
          </cell>
          <cell r="I384">
            <v>18456</v>
          </cell>
          <cell r="J384">
            <v>0.03</v>
          </cell>
          <cell r="K384">
            <v>554</v>
          </cell>
        </row>
        <row r="385">
          <cell r="B385" t="str">
            <v>LL1GBQ33-E10</v>
          </cell>
          <cell r="C385" t="str">
            <v>是</v>
          </cell>
        </row>
        <row r="385">
          <cell r="E385" t="str">
            <v>在销</v>
          </cell>
          <cell r="F385" t="str">
            <v>特价</v>
          </cell>
          <cell r="G385">
            <v>19733</v>
          </cell>
          <cell r="H385">
            <v>19733</v>
          </cell>
          <cell r="I385">
            <v>19633</v>
          </cell>
          <cell r="J385">
            <v>0.03</v>
          </cell>
          <cell r="K385">
            <v>589</v>
          </cell>
        </row>
        <row r="386">
          <cell r="B386" t="str">
            <v>LL1GBQ24-E10Ai</v>
          </cell>
          <cell r="C386" t="str">
            <v>是</v>
          </cell>
        </row>
        <row r="386">
          <cell r="E386" t="str">
            <v>在销</v>
          </cell>
          <cell r="F386" t="str">
            <v>特价</v>
          </cell>
          <cell r="G386">
            <v>17698</v>
          </cell>
        </row>
        <row r="386">
          <cell r="I386">
            <v>17598</v>
          </cell>
          <cell r="J386">
            <v>0.03</v>
          </cell>
          <cell r="K386">
            <v>528</v>
          </cell>
        </row>
        <row r="387">
          <cell r="B387" t="str">
            <v>LL1GBQ33-E10Ai</v>
          </cell>
          <cell r="C387" t="str">
            <v>是</v>
          </cell>
        </row>
        <row r="387">
          <cell r="E387" t="str">
            <v>在销</v>
          </cell>
          <cell r="F387" t="str">
            <v>特价</v>
          </cell>
          <cell r="G387">
            <v>19098</v>
          </cell>
        </row>
        <row r="387">
          <cell r="I387">
            <v>18998</v>
          </cell>
          <cell r="J387">
            <v>0.03</v>
          </cell>
          <cell r="K387">
            <v>570</v>
          </cell>
        </row>
        <row r="388">
          <cell r="B388" t="str">
            <v>LL1GBQ24-E11</v>
          </cell>
          <cell r="C388" t="str">
            <v>是</v>
          </cell>
        </row>
        <row r="388">
          <cell r="E388" t="str">
            <v>在销</v>
          </cell>
          <cell r="F388" t="str">
            <v>特价</v>
          </cell>
          <cell r="G388">
            <v>19098</v>
          </cell>
        </row>
        <row r="388">
          <cell r="I388">
            <v>18998</v>
          </cell>
          <cell r="J388">
            <v>0.03</v>
          </cell>
          <cell r="K388">
            <v>570</v>
          </cell>
        </row>
        <row r="389">
          <cell r="B389" t="str">
            <v>LL1GBQ33-E11</v>
          </cell>
          <cell r="C389" t="str">
            <v>是</v>
          </cell>
        </row>
        <row r="389">
          <cell r="E389" t="str">
            <v>在销</v>
          </cell>
          <cell r="F389" t="str">
            <v>特价</v>
          </cell>
          <cell r="G389">
            <v>22088</v>
          </cell>
        </row>
        <row r="389">
          <cell r="I389">
            <v>21988</v>
          </cell>
          <cell r="J389">
            <v>0.03</v>
          </cell>
          <cell r="K389">
            <v>660</v>
          </cell>
        </row>
        <row r="390">
          <cell r="B390" t="str">
            <v>LL1GBQ24-E11Ai</v>
          </cell>
          <cell r="C390" t="str">
            <v>是</v>
          </cell>
        </row>
        <row r="390">
          <cell r="E390" t="str">
            <v>在销</v>
          </cell>
          <cell r="F390" t="str">
            <v>特价</v>
          </cell>
          <cell r="G390">
            <v>20898</v>
          </cell>
        </row>
        <row r="390">
          <cell r="I390">
            <v>20798</v>
          </cell>
          <cell r="J390">
            <v>0.03</v>
          </cell>
          <cell r="K390">
            <v>624</v>
          </cell>
        </row>
        <row r="391">
          <cell r="B391" t="str">
            <v>LL1GBQ33-E11Ai</v>
          </cell>
          <cell r="C391" t="str">
            <v>是</v>
          </cell>
        </row>
        <row r="391">
          <cell r="E391" t="str">
            <v>在销</v>
          </cell>
          <cell r="F391" t="str">
            <v>特价</v>
          </cell>
          <cell r="G391">
            <v>23898</v>
          </cell>
        </row>
        <row r="391">
          <cell r="I391">
            <v>23798</v>
          </cell>
          <cell r="J391">
            <v>0.03</v>
          </cell>
          <cell r="K391">
            <v>714</v>
          </cell>
        </row>
        <row r="392">
          <cell r="B392" t="str">
            <v>LL1GBQ24-SG2</v>
          </cell>
          <cell r="C392" t="str">
            <v>是</v>
          </cell>
          <cell r="D392" t="str">
            <v>24KW</v>
          </cell>
          <cell r="E392" t="str">
            <v>在销</v>
          </cell>
          <cell r="F392" t="str">
            <v>特价</v>
          </cell>
          <cell r="G392">
            <v>32238</v>
          </cell>
          <cell r="H392">
            <v>32238</v>
          </cell>
          <cell r="I392">
            <v>32138</v>
          </cell>
          <cell r="J392">
            <v>0.03</v>
          </cell>
          <cell r="K392">
            <v>964</v>
          </cell>
        </row>
        <row r="393">
          <cell r="B393" t="str">
            <v>LL1GBQ33-SG2</v>
          </cell>
          <cell r="C393" t="str">
            <v>是</v>
          </cell>
          <cell r="D393" t="str">
            <v>33KW</v>
          </cell>
          <cell r="E393" t="str">
            <v>在销</v>
          </cell>
          <cell r="F393" t="str">
            <v>特价</v>
          </cell>
          <cell r="G393">
            <v>38708</v>
          </cell>
          <cell r="H393">
            <v>38708</v>
          </cell>
          <cell r="I393">
            <v>38608</v>
          </cell>
          <cell r="J393">
            <v>0.03</v>
          </cell>
          <cell r="K393">
            <v>1158</v>
          </cell>
        </row>
        <row r="394">
          <cell r="B394" t="str">
            <v>LN1GBQ52-S15</v>
          </cell>
          <cell r="C394" t="str">
            <v>是</v>
          </cell>
          <cell r="D394" t="str">
            <v>52KW</v>
          </cell>
          <cell r="E394" t="str">
            <v>在销</v>
          </cell>
          <cell r="F394" t="str">
            <v>特价</v>
          </cell>
          <cell r="G394">
            <v>47468</v>
          </cell>
          <cell r="H394">
            <v>47468</v>
          </cell>
          <cell r="I394">
            <v>47368</v>
          </cell>
          <cell r="J394">
            <v>0.03</v>
          </cell>
          <cell r="K394">
            <v>1421</v>
          </cell>
        </row>
        <row r="395">
          <cell r="B395" t="str">
            <v>LN1GBQ65-S15</v>
          </cell>
          <cell r="C395" t="str">
            <v>是</v>
          </cell>
          <cell r="D395" t="str">
            <v>65KW</v>
          </cell>
          <cell r="E395" t="str">
            <v>在销</v>
          </cell>
          <cell r="F395" t="str">
            <v>特价</v>
          </cell>
          <cell r="G395">
            <v>51348</v>
          </cell>
          <cell r="H395">
            <v>51348</v>
          </cell>
          <cell r="I395">
            <v>51248</v>
          </cell>
          <cell r="J395">
            <v>0.03</v>
          </cell>
          <cell r="K395">
            <v>1537</v>
          </cell>
        </row>
        <row r="396">
          <cell r="B396" t="str">
            <v>CHET-200SC</v>
          </cell>
          <cell r="C396" t="str">
            <v>是</v>
          </cell>
        </row>
        <row r="396">
          <cell r="E396" t="str">
            <v>在销</v>
          </cell>
          <cell r="F396" t="str">
            <v>特价</v>
          </cell>
          <cell r="G396">
            <v>7708</v>
          </cell>
        </row>
        <row r="396">
          <cell r="I396">
            <v>7608</v>
          </cell>
          <cell r="J396">
            <v>0.03</v>
          </cell>
          <cell r="K396">
            <v>228</v>
          </cell>
        </row>
        <row r="397">
          <cell r="B397" t="str">
            <v>CHET-300SC</v>
          </cell>
          <cell r="C397" t="str">
            <v>是</v>
          </cell>
        </row>
        <row r="397">
          <cell r="E397" t="str">
            <v>在销</v>
          </cell>
          <cell r="F397" t="str">
            <v>特价</v>
          </cell>
          <cell r="G397">
            <v>9578</v>
          </cell>
        </row>
        <row r="397">
          <cell r="I397">
            <v>9478</v>
          </cell>
          <cell r="J397">
            <v>0.03</v>
          </cell>
          <cell r="K397">
            <v>284</v>
          </cell>
        </row>
        <row r="398">
          <cell r="B398" t="str">
            <v>R2500SWi</v>
          </cell>
          <cell r="C398" t="str">
            <v>是</v>
          </cell>
        </row>
        <row r="398">
          <cell r="E398" t="str">
            <v>在销</v>
          </cell>
          <cell r="F398" t="str">
            <v>常规</v>
          </cell>
          <cell r="G398">
            <v>5788</v>
          </cell>
        </row>
        <row r="398">
          <cell r="I398">
            <v>5688</v>
          </cell>
          <cell r="J398">
            <v>0.03</v>
          </cell>
          <cell r="K398">
            <v>171</v>
          </cell>
        </row>
        <row r="399">
          <cell r="B399" t="str">
            <v>R3000AB2</v>
          </cell>
          <cell r="C399" t="str">
            <v>是</v>
          </cell>
        </row>
        <row r="399">
          <cell r="E399" t="str">
            <v>在销</v>
          </cell>
          <cell r="F399" t="str">
            <v>常规</v>
          </cell>
          <cell r="G399">
            <v>6208</v>
          </cell>
        </row>
        <row r="399">
          <cell r="I399">
            <v>6108</v>
          </cell>
          <cell r="J399">
            <v>0.03</v>
          </cell>
          <cell r="K399">
            <v>183</v>
          </cell>
        </row>
        <row r="400">
          <cell r="B400" t="str">
            <v>DR1600SWi</v>
          </cell>
          <cell r="C400" t="str">
            <v>是</v>
          </cell>
        </row>
        <row r="400">
          <cell r="E400" t="str">
            <v>在销</v>
          </cell>
          <cell r="F400" t="str">
            <v>常规</v>
          </cell>
          <cell r="G400">
            <v>8888</v>
          </cell>
        </row>
        <row r="400">
          <cell r="I400">
            <v>8788</v>
          </cell>
          <cell r="J400">
            <v>0.03</v>
          </cell>
          <cell r="K400">
            <v>264</v>
          </cell>
        </row>
        <row r="401">
          <cell r="B401" t="str">
            <v>DR2500SWi</v>
          </cell>
          <cell r="C401" t="str">
            <v>是</v>
          </cell>
        </row>
        <row r="401">
          <cell r="E401" t="str">
            <v>在销</v>
          </cell>
          <cell r="F401" t="str">
            <v>常规</v>
          </cell>
          <cell r="G401">
            <v>9788</v>
          </cell>
        </row>
        <row r="401">
          <cell r="I401">
            <v>9688</v>
          </cell>
          <cell r="J401">
            <v>0.03</v>
          </cell>
          <cell r="K401">
            <v>291</v>
          </cell>
        </row>
        <row r="402">
          <cell r="B402" t="str">
            <v>JSQ31-CLB</v>
          </cell>
          <cell r="C402" t="str">
            <v>是</v>
          </cell>
          <cell r="D402">
            <v>16</v>
          </cell>
          <cell r="E402" t="str">
            <v>在销</v>
          </cell>
          <cell r="F402" t="str">
            <v>常规</v>
          </cell>
          <cell r="G402">
            <v>4558</v>
          </cell>
        </row>
        <row r="402">
          <cell r="I402">
            <v>4458</v>
          </cell>
          <cell r="J402">
            <v>0.025</v>
          </cell>
          <cell r="K402">
            <v>111</v>
          </cell>
        </row>
        <row r="403">
          <cell r="B403" t="str">
            <v>CXW-350-E3AWi</v>
          </cell>
          <cell r="C403" t="str">
            <v>是</v>
          </cell>
        </row>
        <row r="403">
          <cell r="E403" t="str">
            <v>在销</v>
          </cell>
          <cell r="F403" t="str">
            <v>特价</v>
          </cell>
          <cell r="G403">
            <v>5678</v>
          </cell>
        </row>
        <row r="403">
          <cell r="I403">
            <v>5578</v>
          </cell>
          <cell r="J403">
            <v>0.04</v>
          </cell>
          <cell r="K403">
            <v>223</v>
          </cell>
        </row>
        <row r="404">
          <cell r="B404" t="str">
            <v>CXW-400-Z3AWi</v>
          </cell>
          <cell r="C404" t="str">
            <v>是</v>
          </cell>
        </row>
        <row r="404">
          <cell r="E404" t="str">
            <v>在销</v>
          </cell>
          <cell r="F404" t="str">
            <v>常规</v>
          </cell>
          <cell r="G404">
            <v>8288</v>
          </cell>
        </row>
        <row r="404">
          <cell r="I404">
            <v>8188</v>
          </cell>
          <cell r="J404">
            <v>0.04</v>
          </cell>
          <cell r="K404">
            <v>328</v>
          </cell>
        </row>
        <row r="405">
          <cell r="B405" t="str">
            <v>DWQ15-RJ100Wi</v>
          </cell>
          <cell r="C405" t="str">
            <v>是</v>
          </cell>
        </row>
        <row r="405">
          <cell r="E405" t="str">
            <v>在销</v>
          </cell>
          <cell r="F405" t="str">
            <v>特价</v>
          </cell>
          <cell r="G405">
            <v>7698</v>
          </cell>
        </row>
        <row r="405">
          <cell r="I405">
            <v>7598</v>
          </cell>
          <cell r="J405">
            <v>0.04</v>
          </cell>
          <cell r="K405">
            <v>304</v>
          </cell>
        </row>
        <row r="406">
          <cell r="B406" t="str">
            <v>R1800AB1</v>
          </cell>
          <cell r="C406" t="str">
            <v>是</v>
          </cell>
        </row>
        <row r="406">
          <cell r="E406" t="str">
            <v>在销</v>
          </cell>
          <cell r="F406" t="str">
            <v>特价</v>
          </cell>
          <cell r="G406">
            <v>6188</v>
          </cell>
        </row>
        <row r="406">
          <cell r="I406">
            <v>6088</v>
          </cell>
          <cell r="J406">
            <v>0.015</v>
          </cell>
          <cell r="K406">
            <v>91</v>
          </cell>
        </row>
      </sheetData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37.6522916667" refreshedBy="17108" recordCount="406">
  <cacheSource type="worksheet">
    <worksheetSource ref="A1:P1048576" sheet="复核明细"/>
  </cacheSource>
  <cacheFields count="16">
    <cacheField name="日期" numFmtId="0">
      <sharedItems containsBlank="1" count="19">
        <s v="2025-09-30"/>
        <s v="2025-09-29"/>
        <s v="2025-09-28"/>
        <s v="2025-09-26"/>
        <s v="2025-09-24"/>
        <s v="2025-09-22"/>
        <s v="2025-09-21"/>
        <s v="2025-09-20"/>
        <s v="2025-09-18"/>
        <s v="2025-09-17"/>
        <s v="2025-09-16"/>
        <s v="2025-09-15"/>
        <s v="2025-09-13"/>
        <s v="2025-09-10"/>
        <s v="2025-09-09"/>
        <s v="2025-09-08"/>
        <s v="2025-09-03"/>
        <s v="2025-09-02"/>
        <m/>
      </sharedItems>
    </cacheField>
    <cacheField name="正逆向订单标识" numFmtId="0">
      <sharedItems containsBlank="1" count="4">
        <s v="100"/>
        <s v="101"/>
        <s v="102"/>
        <m/>
      </sharedItems>
    </cacheField>
    <cacheField name="商品名称" numFmtId="0">
      <sharedItems containsBlank="1" count="24">
        <s v="JSQ31-WVJWi"/>
        <s v="EWH-60WHCWi"/>
        <s v="DR1600FS1"/>
        <s v="JSQ48-MJSWi"/>
        <s v="R1700FWI"/>
        <s v="CXW-350-Q2CWI"/>
        <s v="CXW-350-V3Wi"/>
        <s v="JSQ31-WACWi"/>
        <s v="JZT-V2B1S"/>
        <s v="EWH-60DA"/>
        <s v="JSQ31-CSCWi"/>
        <s v="CEWH-60D3Wi"/>
        <s v="JSQ31-ESCWi"/>
        <s v="JSW31-VOSWi"/>
        <s v="JSQ26-CSCWi"/>
        <s v="CEWH-80WKWi"/>
        <s v="APM-HC1"/>
        <s v="JSLQ28-AJEWi"/>
        <s v="EWH-60HGCWI"/>
        <s v="JSQ31-WDJWi"/>
        <s v="JSQ31-LN"/>
        <s v="JSQ26-ESCWi"/>
        <s v="CEWH-60WKBWi"/>
        <m/>
      </sharedItems>
    </cacheField>
    <cacheField name="商品ID" numFmtId="0">
      <sharedItems containsBlank="1" count="24">
        <s v="100120483986"/>
        <s v="100212815470"/>
        <s v="100127048011"/>
        <s v="100126019471"/>
        <s v="100096625839"/>
        <s v="100102708922"/>
        <s v="100135100772"/>
        <s v="100164475529"/>
        <s v="100102708912"/>
        <s v="100101598918"/>
        <s v="100145536602"/>
        <s v="100113859865"/>
        <s v="100212815468"/>
        <s v="100212815418"/>
        <s v="100149118688"/>
        <s v="100122138166"/>
        <s v="100166177866"/>
        <s v="100122138134"/>
        <s v="100102708980"/>
        <s v="100140439470"/>
        <s v="100046065066"/>
        <s v="100102708930"/>
        <s v="100105213057"/>
        <m/>
      </sharedItems>
    </cacheField>
    <cacheField name="销售提成" numFmtId="0">
      <sharedItems containsString="0" containsBlank="1" containsNumber="1" containsInteger="1" minValue="75" maxValue="330" count="22">
        <n v="200"/>
        <n v="137"/>
        <n v="224"/>
        <n v="330"/>
        <n v="142"/>
        <n v="223"/>
        <n v="202"/>
        <n v="119"/>
        <n v="120"/>
        <n v="105"/>
        <n v="134"/>
        <n v="90"/>
        <n v="163"/>
        <n v="127"/>
        <n v="75"/>
        <n v="190"/>
        <n v="135"/>
        <n v="160"/>
        <n v="157"/>
        <n v="155"/>
        <n v="97"/>
        <m/>
      </sharedItems>
    </cacheField>
    <cacheField name="销售子单号" numFmtId="0">
      <sharedItems containsString="0" containsBlank="1" containsNumber="1" containsInteger="1" minValue="-224" maxValue="330" count="29">
        <n v="200"/>
        <n v="137"/>
        <n v="-224"/>
        <n v="330"/>
        <n v="224"/>
        <n v="142"/>
        <n v="223"/>
        <n v="202"/>
        <n v="119"/>
        <n v="120"/>
        <n v="105"/>
        <n v="134"/>
        <n v="90"/>
        <n v="163"/>
        <n v="-200"/>
        <n v="127"/>
        <n v="75"/>
        <n v="-75"/>
        <n v="-142"/>
        <n v="190"/>
        <n v="135"/>
        <n v="-120"/>
        <n v="-160"/>
        <n v="160"/>
        <n v="157"/>
        <n v="155"/>
        <n v="97"/>
        <n v="-190"/>
        <m/>
      </sharedItems>
    </cacheField>
    <cacheField name="单台" numFmtId="0">
      <sharedItems containsString="0" containsBlank="1" containsNumber="1" containsInteger="1" minValue="75" maxValue="330" count="22">
        <n v="200"/>
        <n v="137"/>
        <n v="224"/>
        <n v="330"/>
        <n v="142"/>
        <n v="223"/>
        <n v="202"/>
        <n v="119"/>
        <n v="120"/>
        <n v="105"/>
        <n v="134"/>
        <n v="90"/>
        <n v="163"/>
        <n v="127"/>
        <n v="75"/>
        <n v="190"/>
        <n v="135"/>
        <n v="160"/>
        <n v="157"/>
        <n v="155"/>
        <n v="97"/>
        <m/>
      </sharedItems>
    </cacheField>
    <cacheField name="复核提成" numFmtId="0">
      <sharedItems containsString="0" containsBlank="1" containsNumber="1" containsInteger="1" minValue="-224" maxValue="330" count="29">
        <n v="200"/>
        <n v="137"/>
        <n v="-224"/>
        <n v="330"/>
        <n v="224"/>
        <n v="142"/>
        <n v="223"/>
        <n v="202"/>
        <n v="119"/>
        <n v="120"/>
        <n v="105"/>
        <n v="134"/>
        <n v="90"/>
        <n v="163"/>
        <n v="-200"/>
        <n v="127"/>
        <n v="75"/>
        <n v="-75"/>
        <n v="-142"/>
        <n v="190"/>
        <n v="135"/>
        <n v="-120"/>
        <n v="-160"/>
        <n v="160"/>
        <n v="157"/>
        <n v="155"/>
        <n v="97"/>
        <n v="-190"/>
        <m/>
      </sharedItems>
    </cacheField>
    <cacheField name="差额" numFmtId="0">
      <sharedItems containsString="0" containsBlank="1" containsNumber="1" containsInteger="1" minValue="0" maxValue="0" count="2">
        <n v="0"/>
        <m/>
      </sharedItems>
    </cacheField>
    <cacheField name="分部" numFmtId="0">
      <sharedItems containsBlank="1" count="2">
        <s v="杭州分部"/>
        <m/>
      </sharedItems>
    </cacheField>
    <cacheField name="门店" numFmtId="0">
      <sharedItems containsBlank="1" count="5">
        <s v="京东五星电器金华店"/>
        <s v="京东电器城市旗舰店金华商城店"/>
        <s v="京东五星电器金华时代广场店"/>
        <s v="京东电器城市旗舰店义乌店"/>
        <m/>
      </sharedItems>
    </cacheField>
    <cacheField name="采购主体" numFmtId="0">
      <sharedItems containsBlank="1" count="2">
        <s v="23830"/>
        <m/>
      </sharedItems>
    </cacheField>
    <cacheField name="含税含券销售额" numFmtId="0">
      <sharedItems containsString="0" containsBlank="1" containsNumber="1" containsInteger="1" minValue="-8288" maxValue="14338" count="28">
        <n v="8288"/>
        <n v="6158"/>
        <n v="-7588"/>
        <n v="14338"/>
        <n v="7588"/>
        <n v="5148"/>
        <n v="5898"/>
        <n v="5298"/>
        <n v="5098"/>
        <n v="3098"/>
        <n v="4298"/>
        <n v="5698"/>
        <n v="3968"/>
        <n v="7368"/>
        <n v="-8288"/>
        <n v="6458"/>
        <n v="4598"/>
        <n v="2998"/>
        <n v="-2998"/>
        <n v="-5148"/>
        <n v="7898"/>
        <n v="5568"/>
        <n v="-3098"/>
        <n v="-6888"/>
        <n v="6888"/>
        <n v="6598"/>
        <n v="-7898"/>
        <m/>
      </sharedItems>
    </cacheField>
    <cacheField name="销售商品数量" numFmtId="0">
      <sharedItems containsString="0" containsBlank="1" containsNumber="1" containsInteger="1" minValue="-1" maxValue="1" count="3">
        <n v="1"/>
        <n v="-1"/>
        <m/>
      </sharedItems>
    </cacheField>
    <cacheField name="型号" numFmtId="0">
      <sharedItems containsBlank="1" count="406">
        <s v="EWH-6B2"/>
        <s v="EWH-10A2"/>
        <s v="EWH-10B2"/>
        <s v="EWH-6C2"/>
        <s v="CEWH-60A0"/>
        <s v="CEWH-80A0"/>
        <s v="CEWH-60BS-B"/>
        <s v="CEWH-50D0"/>
        <s v="CEWH-60D0"/>
        <s v="CEWH-60D0B"/>
        <s v="CEWH-80D0"/>
        <s v="CEWH-60D1BWi"/>
        <s v="CEWH-60D1Wi"/>
        <s v="CEWH-80D1Wi"/>
        <s v="CEWH-50AS"/>
        <s v="CEWH-60AS"/>
        <s v="CEWH-80AS"/>
        <s v="CEWH-60PB"/>
        <s v="CEWH-60PA"/>
        <s v="CEWH-80PA"/>
        <s v="CEWH-50D3Wi"/>
        <s v="CEWH-60D3Wi"/>
        <s v="CEWH-60D3BWi"/>
        <s v="CEWH-80D3Wi"/>
        <s v="EWH-50DA"/>
        <s v="EWH-60DA"/>
        <s v="EWH-80DA"/>
        <s v="CEWH-60G"/>
        <s v="CEWH-60GA"/>
        <s v="CEWH-80GA"/>
        <s v="CEWH-60GWi"/>
        <s v="CEWH-80GWi"/>
        <s v="CEWH-80K"/>
        <s v="CEWH-100K"/>
        <s v="CEWH-60KBWi"/>
        <s v="CEWH-60KWi"/>
        <s v="CEWH-80KWi"/>
        <s v="CEWH-100KWi"/>
        <s v="CEWH-50D5Wi"/>
        <s v="CEWH-60D5Wi"/>
        <s v="CEWH-60D5BWi"/>
        <s v="CEWH-80D5Wi"/>
        <s v="CEWH-60TKBWi"/>
        <s v="CEWH-60TKWi"/>
        <s v="CEWH-80TKWi"/>
        <s v="CEWH-60WKWi"/>
        <s v="CEWH-80WKWi"/>
        <s v="CEWH-60WKBWi"/>
        <s v="EWH-60HG"/>
        <s v="EWH-80HG"/>
        <s v="EWH-60HGM"/>
        <s v="EWH-80HGM"/>
        <s v="EWH-60HGMAi"/>
        <s v="EWH-80HGMAi"/>
        <s v="EWH-60HGMWi"/>
        <s v="EWH-80HGMWi"/>
        <s v="EWH-60HGC"/>
        <s v="EWH-80HGC"/>
        <s v="EWH-60THCWi"/>
        <s v="EWH-80THCWi"/>
        <s v="EWH-60WHCWi"/>
        <s v="EWH-80WHCWi"/>
        <s v="EWH-60HGCAi"/>
        <s v="EWH-80HGCAi"/>
        <s v="EWH-60HGCWi"/>
        <s v="EWH-80HGCWi"/>
        <s v="EWH-60HGA"/>
        <s v="EWH-80HGA"/>
        <s v="EWH-60HGAWi"/>
        <s v="EWH-80HGAWi"/>
        <s v="EWH-60HGKWi"/>
        <s v="EWH-80HGKWi"/>
        <s v="EWH-60HGKAi"/>
        <s v="EWH-80HGKAi"/>
        <s v="CEWH-40R1S"/>
        <s v="CEWH-50R1S"/>
        <s v="CEWH-60R1S"/>
        <s v="CEWHR-50PE8"/>
        <s v="CEWHR-60PE8"/>
        <s v="CEWHR-80PE8"/>
        <s v="CEWHR-40PEWi"/>
        <s v="CEWHR-50PEWi"/>
        <s v="CEWHR-60PEWi"/>
        <s v="CEWHR-80PEWi"/>
        <s v="EWH-40MINIWi"/>
        <s v="E50VDS"/>
        <s v="E60VDS"/>
        <s v="E80VDS"/>
        <s v="E60VC0"/>
        <s v="E60VC0-B"/>
        <s v="E80VC0"/>
        <s v="EESR-20C8"/>
        <s v="EESR-25C8"/>
        <s v="EES-50-6(6KW）"/>
        <s v="EES-80-6(6KW）"/>
        <s v="EES-120-6(6KW）"/>
        <s v="EES-30D"/>
        <s v="EES-40D"/>
        <s v="EES-50D"/>
        <s v="EES-80D"/>
        <s v="ACWP-15AE1"/>
        <s v="ACWP-20AE1"/>
        <s v="S05T-A1"/>
        <s v="S05T-A2"/>
        <s v="S12A1"/>
        <s v="S12K1"/>
        <s v="S25K1"/>
        <s v="PF25C1"/>
        <s v="PF-B1"/>
        <s v="PF-DA1"/>
        <s v="APM-HC1"/>
        <s v="R1200CD1"/>
        <s v="R1200BG1"/>
        <s v="R1200HWi-E"/>
        <s v="R1600HX1"/>
        <s v="R1400XF2"/>
        <s v="R1400F"/>
        <s v="R1700FWi"/>
        <s v="R1700FWi-E"/>
        <s v="R1600SWi"/>
        <s v="R1800SWi"/>
        <s v="R2000FWi"/>
        <s v="R1800RC9"/>
        <s v="R2500RC3"/>
        <s v="R2000RC9"/>
        <s v="R2300RC9"/>
        <s v="R2000AB2"/>
        <s v="R1600AB2"/>
        <s v="R2500AB1Ai"/>
        <s v="R4000AB1Ai"/>
        <s v="R3000AB1Wi"/>
        <s v="R1600DWWi"/>
        <s v="R2000DWWi"/>
        <s v="R2500DWAi"/>
        <s v="DR1600HB7"/>
        <s v="DR1600FS1"/>
        <s v="DR1600FS"/>
        <s v="DR1600FS-W"/>
        <s v="DR2000HF1"/>
        <s v="DR2000HF2"/>
        <s v="DR1600HF2"/>
        <s v="DR1800HF2"/>
        <s v="DR1600HF1"/>
        <s v="DR1800HF1"/>
        <s v="DR1600FAi"/>
        <s v="DR1800FAi"/>
        <s v="DR2000FAi"/>
        <s v="DR1600FWi"/>
        <s v="DR1800FWi"/>
        <s v="DR1800SWi"/>
        <s v="DR2000FWi"/>
        <s v="DR2000DC2"/>
        <s v="DR2000DC1"/>
        <s v="DR2500DC1"/>
        <s v="DR4000DC1"/>
        <s v="DR2000DWWi"/>
        <s v="DR2500DWAi"/>
        <s v="ER1600BWI"/>
        <s v="KJ455F-C15-F+"/>
        <s v="KJ800F-C15-PF+"/>
        <s v="KJ455F-C15-PFWi"/>
        <s v="KJ800F-C15-PFWi"/>
        <s v="JSQ26-CLAX"/>
        <s v="JSQ31-CLAX"/>
        <s v="JSQ31-MN5"/>
        <s v="JSQ26-CLD"/>
        <s v="JSQ31-CLD"/>
        <s v="JSQ26-TACWi"/>
        <s v="JSQ31-TACWi"/>
        <s v="JSQ26-ASCWi"/>
        <s v="JSQ31-ASCWi"/>
        <s v="JSQ26-WACWi"/>
        <s v="JSQ31-WACWi"/>
        <s v="JSQ26-CSCX"/>
        <s v="JSQ31-CSCX"/>
        <s v="JSQ31-CSCAi"/>
        <s v="JSQ26-CSCWi"/>
        <s v="JSQ31-CSCWi"/>
        <s v="JSLQ28-ACEWi"/>
        <s v="JSLQ28-AJEWi"/>
        <s v="JSQ26-DSCX"/>
        <s v="JSQ31-DSCX"/>
        <s v="JSQ26-DSCWi"/>
        <s v="JSQ31-DSCWi"/>
        <s v="JSQ26-ESCX"/>
        <s v="JSQ31-ESCX"/>
        <s v="JSQ26-ESCAi"/>
        <s v="JSQ31-ESCAi"/>
        <s v="JSQ26-ESCWi"/>
        <s v="JSQ31-ESCWi"/>
        <s v="JSQ31-HSCX"/>
        <s v="JSQ31-LN"/>
        <s v="JSQ31-LNWi"/>
        <s v="JSW26-OSX"/>
        <s v="JSW33-OSX"/>
        <s v="JSW26-VOSX"/>
        <s v="JSW33-VOSX"/>
        <s v="JSW31-VOSWi"/>
        <s v="JSQ26-AJSX"/>
        <s v="JSQ31-AJSX"/>
        <s v="JSQ31-BJS"/>
        <s v="JSQ31-BJSWi"/>
        <s v="JSQ31-DJSWi"/>
        <s v="JSQ31-WDJWi"/>
        <s v="JSQ26-VJSX"/>
        <s v="JSQ31-WVJWi"/>
        <s v="JSQ31-TVJWi"/>
        <s v="JSQ31-VJSWi"/>
        <s v="JSQ31-VJSAi"/>
        <s v="JSQ31-UJSWi"/>
        <s v="JSQ33-JSX"/>
        <s v="JSQ33-MJSX"/>
        <s v="JSQ40-MJSX"/>
        <s v="JSQ48-MJSX"/>
        <s v="JSQ40-MJSAi"/>
        <s v="JSQ48-MJSAi"/>
        <s v="JSQ40-MJSWi"/>
        <s v="JSQ48-MJSWi"/>
        <s v="JSLQ34-LJEWi"/>
        <s v="JSQ40-SJSX"/>
        <s v="JSQ40-SJSAi"/>
        <s v="JSQ48-SJSAi"/>
        <s v="JSQ31-QJS"/>
        <s v="JSQ31-QJSAi"/>
        <s v="JSQ31-RSC"/>
        <s v="JSQ31-RJS"/>
        <s v="JSQ31-RJSAi"/>
        <s v="JSQ36-RJSAi"/>
        <s v="EMGP-50C"/>
        <s v="EMGP-75C"/>
        <s v="EMGO-50C"/>
        <s v="EMGO-75C"/>
        <s v="HPW-60A3"/>
        <s v="HPW-80A3"/>
        <s v="HPI-40C1.0A"/>
        <s v="HPI-40D1.0B"/>
        <s v="HPI-50D1.0B"/>
        <s v="HPI-50G1.5AWi"/>
        <s v="HPI-40C1.0B"/>
        <s v="HPI-50C1.0B"/>
        <s v="HPA-40D1.0Q"/>
        <s v="HPA-50D1.0Q"/>
        <s v="HPA-50G1.5AWi"/>
        <s v="HPA-80D2.0A"/>
        <s v="HPA-120D2.0A"/>
        <s v="CAHP1.5D-80-6-W"/>
        <s v="CAHP1.5D-80-12-W"/>
        <s v="CAHP1.5D-120-6-W"/>
        <s v="CAHP1.5D-120-12-W"/>
        <s v="CAHP2.0C-80-6-W"/>
        <s v="CAHP2.0C-80-6S-W"/>
        <s v="CAHP2.0C-120-6-W"/>
        <s v="CAHP2.0C-120-6S-W"/>
        <s v="CAHP2.0-80-6"/>
        <s v="CAHP2.0-80-12"/>
        <s v="CAHP2.0-120-6"/>
        <s v="CAHP2.0-120-12"/>
        <s v="HPA-50E1.5Z"/>
        <s v="HPA-80E1.5Z"/>
        <s v="HPA-80D1.5Z"/>
        <s v="HPA-50D1.5ZWi"/>
        <s v="HPA-80D1.5ZWi"/>
        <s v="HPA-50E1.5ZWi"/>
        <s v="HPA-80E1.5ZWi"/>
        <s v="CAHP120C06"/>
        <s v="HPA-50D1.5A"/>
        <s v="HPA-50C1.5B"/>
        <s v="HPA-40C1.0B"/>
        <s v="HPA-50C1.0B"/>
        <s v="FS-01A"/>
        <s v="FS-54A"/>
        <s v="FS-02E"/>
        <s v="FS-02C"/>
        <s v="FS-02G"/>
        <s v="HWM-15F"/>
        <s v="HWM-18F"/>
        <s v="CXW-200-Q1"/>
        <s v="CXW-200-Q2"/>
        <s v="CXW-200-T5B+"/>
        <s v="CXW-200-Q3S+"/>
        <s v="CXW-200-Q5S+"/>
        <s v="CXW-200-S2"/>
        <s v="CXW-200-S3"/>
        <s v="CXW-200-S5"/>
        <s v="CXW-200-S7"/>
        <s v="CXW-200-S9"/>
        <s v="CXW-200-Q5SAi"/>
        <s v="CXW-200-S3Ai"/>
        <s v="CXW-200-Q3AWi"/>
        <s v="CXW-200-Q5AWi"/>
        <s v="CXW-350-Q2AWi"/>
        <s v="CXW-350-Q2CWi"/>
        <s v="CXW-350-V3Wi"/>
        <s v="CXW-200-S5CWi"/>
        <s v="CXW-200-S5AWi"/>
        <s v="CXW-400-S5CHWi"/>
        <s v="CXW-400-S5VWi"/>
        <s v="CXW-400-S5AHWi"/>
        <s v="JZT-F5B2"/>
        <s v="JZT-K5G1"/>
        <s v="JZT-V2B1"/>
        <s v="JZT-F3B1"/>
        <s v="JZT-V2B1S"/>
        <s v="JZY-F3B1S"/>
        <s v="JZT-F3B1S"/>
        <s v="JZT-F3B1S+"/>
        <s v="JZY-F3B1S+"/>
        <s v="JZT-F3B2"/>
        <s v="JZT-F3B2S"/>
        <s v="JZT-F3B2S+"/>
        <s v="JZT-F3G1"/>
        <s v="JZT-V2B2S"/>
        <s v="JZT-F5B1"/>
        <s v="JCF-11"/>
        <s v="J13AKR10X"/>
        <s v="J27FQ10A"/>
        <s v="XQG100-XE0WI"/>
        <s v="NH-XAR0WI"/>
        <s v="Y3000FVSBKT"/>
        <s v="Y3000FVSBKB"/>
        <s v="APLC-SK"/>
        <s v="BBJYM-I2"/>
        <s v="KZQ45-M1Wi"/>
        <s v="KZQ45-M1HWi"/>
        <s v="KZQ45-M5Wi"/>
        <s v="KZQ45-M3Wi"/>
        <s v="DWQ10-SR3Wi"/>
        <s v="DWQ10-SR3HWi"/>
        <s v="DWQ12-SR5Wi"/>
        <s v="DWQ15-R3Wi"/>
        <s v="DWQ15-R3HWi"/>
        <s v="DWQ17-R5Wi"/>
        <s v="DWQ15-MR1AWi"/>
        <s v="CWT-EP-C01"/>
        <s v="XW-K30"/>
        <s v="AQD-AFW"/>
        <s v="AJCC-CIP"/>
        <s v="APLC-CC3"/>
        <s v="AJCC-CIPD"/>
        <s v="CTE-60M1"/>
        <s v="CTE-60E1"/>
        <s v="CTE-80E1"/>
        <s v="CTE-50J1"/>
        <s v="CTE-60J1"/>
        <s v="CTE-80J1"/>
        <s v="JSQ31-T2C"/>
        <s v="JSQ26-T2C"/>
        <s v="JSQ31-TEC"/>
        <s v="CTE-60AS"/>
        <s v="CTE-80AS"/>
        <s v="CTE-60BS"/>
        <s v="CTE-80BS"/>
        <s v="CEWH-60B6A"/>
        <s v="JSQ31-C3CX"/>
        <s v="R1600H"/>
        <s v="JSQ31-TDJWi"/>
        <s v="L1PBQ20-A5"/>
        <s v="L1PBQ26-A5"/>
        <s v="L1PB20-V3"/>
        <s v="L1PB26-V3"/>
        <s v="L1PB33-V3"/>
        <s v="L1PB26-V9"/>
        <s v="L1PB33-V9"/>
        <s v="L1PB37-V9"/>
        <s v="LL1GBQ24-V10"/>
        <s v="LL1GBQ33-V10"/>
        <s v="LL1GBQ24-V11"/>
        <s v="LL1GBQ33-V11"/>
        <s v="L1PB26-CA"/>
        <s v="L1PB33-CA"/>
        <s v="L1PB37-CA"/>
        <s v="L1PB20-A1"/>
        <s v="L1PB26-A1"/>
        <s v="L1PB26-S9"/>
        <s v="L1PB33-S9"/>
        <s v="L1PB37-S9"/>
        <s v="LN1GBQ26-N10"/>
        <s v="LN1GBQ35-N10"/>
        <s v="LL1GBQ24-S10"/>
        <s v="LL1GBQ33-S10"/>
        <s v="LL1GBQ24-S11"/>
        <s v="LL1GBQ33-S11"/>
        <s v="LL1GBQ24-E10"/>
        <s v="LL1GBQ33-E10"/>
        <s v="LL1GBQ24-E10Ai"/>
        <s v="LL1GBQ33-E10Ai"/>
        <s v="LL1GBQ24-E11"/>
        <s v="LL1GBQ33-E11"/>
        <s v="LL1GBQ24-E11Ai"/>
        <s v="LL1GBQ33-E11Ai"/>
        <s v="LL1GBQ24-SG2"/>
        <s v="LL1GBQ33-SG2"/>
        <s v="LN1GBQ52-S15"/>
        <s v="LN1GBQ65-S15"/>
        <s v="CHET-200SC"/>
        <s v="CHET-300SC"/>
        <s v="R2500SWi"/>
        <s v="R3000AB2"/>
        <s v="DR1600SWi"/>
        <s v="DR2500SWi"/>
        <s v="JSQ31-CLB"/>
        <s v="CXW-350-E3AWi"/>
        <s v="CXW-400-Z3AWi"/>
        <s v="DWQ15-RJ100Wi"/>
        <s v="R1800AB1"/>
        <m/>
      </sharedItems>
    </cacheField>
    <cacheField name="提成" numFmtId="0">
      <sharedItems containsBlank="1" containsNumber="1" containsInteger="1" containsMixedTypes="1" count="238">
        <n v="12"/>
        <n v="13"/>
        <n v="15"/>
        <n v="34"/>
        <n v="37"/>
        <n v="45"/>
        <n v="36"/>
        <n v="38"/>
        <n v="41"/>
        <n v="78"/>
        <n v="86"/>
        <n v="39"/>
        <n v="42"/>
        <n v="90"/>
        <n v="87"/>
        <n v="95"/>
        <n v="84"/>
        <n v="99"/>
        <n v="100"/>
        <n v="105"/>
        <n v="112"/>
        <n v="110"/>
        <n v="115"/>
        <n v="122"/>
        <n v="117"/>
        <n v="102"/>
        <n v="92"/>
        <n v="107"/>
        <n v="97"/>
        <n v="139"/>
        <n v="149"/>
        <n v="127"/>
        <n v="140"/>
        <n v="150"/>
        <n v="135"/>
        <n v="145"/>
        <n v="137"/>
        <n v="147"/>
        <n v="162"/>
        <n v="172"/>
        <n v="168"/>
        <n v="178"/>
        <n v="155"/>
        <n v="148"/>
        <n v="158"/>
        <n v="62"/>
        <n v="65"/>
        <n v="67"/>
        <n v="79"/>
        <n v="85"/>
        <n v="77"/>
        <n v="83"/>
        <n v="159"/>
        <n v="40"/>
        <n v="43"/>
        <n v="104"/>
        <n v="118"/>
        <n v="214"/>
        <n v="333"/>
        <n v="544"/>
        <n v="190"/>
        <n v="227"/>
        <n v="267"/>
        <n v="386"/>
        <n v="365"/>
        <n v="479"/>
        <n v="195"/>
        <n v="396"/>
        <n v="601"/>
        <n v="123"/>
        <n v="22"/>
        <n v="75"/>
        <n v="106"/>
        <n v="46"/>
        <n v="70"/>
        <n v="120"/>
        <n v="125"/>
        <n v="142"/>
        <n v="171"/>
        <n v="201"/>
        <n v="237"/>
        <n v="216"/>
        <n v="226"/>
        <n v="180"/>
        <n v="228"/>
        <n v="297"/>
        <n v="240"/>
        <n v="177"/>
        <n v="197"/>
        <n v="94"/>
        <n v="224"/>
        <n v="213"/>
        <n v="276"/>
        <n v="249"/>
        <n v="270"/>
        <n v="258"/>
        <n v="287"/>
        <n v="246"/>
        <n v="273"/>
        <n v="321"/>
        <n v="345"/>
        <n v="463"/>
        <n v="336"/>
        <n v="348"/>
        <n v="357"/>
        <n v="225"/>
        <n v="151"/>
        <n v="48"/>
        <n v="52"/>
        <n v="55"/>
        <n v="111"/>
        <n v="119"/>
        <n v="134"/>
        <n v="132"/>
        <n v="126"/>
        <n v="144"/>
        <n v="152"/>
        <n v="165"/>
        <n v="163"/>
        <n v="157"/>
        <n v="187"/>
        <n v="199"/>
        <n v="184"/>
        <n v="161"/>
        <n v="181"/>
        <n v="160"/>
        <n v="200"/>
        <n v="209"/>
        <n v="212"/>
        <n v="274"/>
        <n v="280"/>
        <n v="323"/>
        <n v="291"/>
        <n v="289"/>
        <n v="330"/>
        <n v="275"/>
        <n v="377"/>
        <n v="367"/>
        <n v="417"/>
        <n v="230"/>
        <n v="302"/>
        <n v="409"/>
        <n v="422"/>
        <n v="465"/>
        <n v="307"/>
        <n v="351"/>
        <n v="533"/>
        <n v="183"/>
        <n v="191"/>
        <n v="320"/>
        <n v="375"/>
        <n v="404"/>
        <n v="493"/>
        <n v="250"/>
        <n v="355"/>
        <n v="410"/>
        <n v="516"/>
        <n v="686"/>
        <n v="811"/>
        <n v="800"/>
        <n v="837"/>
        <n v="921"/>
        <n v="959"/>
        <n v="966"/>
        <n v="1102"/>
        <n v="1089"/>
        <n v="1138"/>
        <n v="1244"/>
        <n v="1292"/>
        <n v="427"/>
        <n v="561"/>
        <n v="532"/>
        <n v="454"/>
        <n v="608"/>
        <n v="486"/>
        <n v="640"/>
        <n v="1365"/>
        <n v="471"/>
        <n v="340"/>
        <s v="特殊商品销售提成待确认"/>
        <n v="47"/>
        <n v="196"/>
        <n v="220"/>
        <n v="344"/>
        <n v="308"/>
        <n v="400"/>
        <n v="616"/>
        <n v="748"/>
        <n v="364"/>
        <n v="293"/>
        <n v="359"/>
        <n v="223"/>
        <n v="202"/>
        <n v="339"/>
        <n v="288"/>
        <n v="360"/>
        <n v="264"/>
        <n v="292"/>
        <n v="372"/>
        <n v="440"/>
        <n v="304"/>
        <s v="以渠道备案提成为准"/>
        <n v="91"/>
        <n v="170"/>
        <n v="368"/>
        <n v="401"/>
        <n v="418"/>
        <n v="470"/>
        <n v="560"/>
        <n v="570"/>
        <n v="660"/>
        <n v="777"/>
        <n v="495"/>
        <n v="528"/>
        <n v="693"/>
        <n v="784"/>
        <n v="553"/>
        <n v="639"/>
        <n v="751"/>
        <n v="322"/>
        <n v="609"/>
        <n v="699"/>
        <n v="815"/>
        <n v="612"/>
        <n v="662"/>
        <n v="731"/>
        <n v="823"/>
        <n v="554"/>
        <n v="589"/>
        <n v="624"/>
        <n v="714"/>
        <n v="964"/>
        <n v="1158"/>
        <n v="1421"/>
        <n v="1537"/>
        <n v="284"/>
        <n v="328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6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1"/>
    <x v="0"/>
    <x v="1"/>
    <x v="0"/>
    <x v="1"/>
    <x v="1"/>
  </r>
  <r>
    <x v="1"/>
    <x v="1"/>
    <x v="2"/>
    <x v="2"/>
    <x v="2"/>
    <x v="2"/>
    <x v="2"/>
    <x v="2"/>
    <x v="0"/>
    <x v="0"/>
    <x v="2"/>
    <x v="0"/>
    <x v="2"/>
    <x v="1"/>
    <x v="2"/>
    <x v="1"/>
  </r>
  <r>
    <x v="2"/>
    <x v="0"/>
    <x v="3"/>
    <x v="3"/>
    <x v="3"/>
    <x v="3"/>
    <x v="3"/>
    <x v="3"/>
    <x v="0"/>
    <x v="0"/>
    <x v="0"/>
    <x v="0"/>
    <x v="3"/>
    <x v="0"/>
    <x v="3"/>
    <x v="2"/>
  </r>
  <r>
    <x v="2"/>
    <x v="0"/>
    <x v="2"/>
    <x v="2"/>
    <x v="2"/>
    <x v="4"/>
    <x v="2"/>
    <x v="4"/>
    <x v="0"/>
    <x v="0"/>
    <x v="2"/>
    <x v="0"/>
    <x v="4"/>
    <x v="0"/>
    <x v="4"/>
    <x v="3"/>
  </r>
  <r>
    <x v="2"/>
    <x v="0"/>
    <x v="4"/>
    <x v="4"/>
    <x v="4"/>
    <x v="5"/>
    <x v="4"/>
    <x v="5"/>
    <x v="0"/>
    <x v="0"/>
    <x v="2"/>
    <x v="0"/>
    <x v="5"/>
    <x v="0"/>
    <x v="5"/>
    <x v="4"/>
  </r>
  <r>
    <x v="3"/>
    <x v="0"/>
    <x v="5"/>
    <x v="5"/>
    <x v="5"/>
    <x v="6"/>
    <x v="5"/>
    <x v="6"/>
    <x v="0"/>
    <x v="0"/>
    <x v="3"/>
    <x v="0"/>
    <x v="6"/>
    <x v="0"/>
    <x v="6"/>
    <x v="5"/>
  </r>
  <r>
    <x v="3"/>
    <x v="0"/>
    <x v="6"/>
    <x v="6"/>
    <x v="6"/>
    <x v="7"/>
    <x v="6"/>
    <x v="7"/>
    <x v="0"/>
    <x v="0"/>
    <x v="3"/>
    <x v="0"/>
    <x v="7"/>
    <x v="0"/>
    <x v="7"/>
    <x v="6"/>
  </r>
  <r>
    <x v="3"/>
    <x v="0"/>
    <x v="4"/>
    <x v="4"/>
    <x v="4"/>
    <x v="5"/>
    <x v="4"/>
    <x v="5"/>
    <x v="0"/>
    <x v="0"/>
    <x v="3"/>
    <x v="0"/>
    <x v="5"/>
    <x v="0"/>
    <x v="8"/>
    <x v="7"/>
  </r>
  <r>
    <x v="3"/>
    <x v="0"/>
    <x v="4"/>
    <x v="4"/>
    <x v="4"/>
    <x v="5"/>
    <x v="4"/>
    <x v="5"/>
    <x v="0"/>
    <x v="0"/>
    <x v="2"/>
    <x v="0"/>
    <x v="5"/>
    <x v="0"/>
    <x v="9"/>
    <x v="7"/>
  </r>
  <r>
    <x v="3"/>
    <x v="0"/>
    <x v="7"/>
    <x v="7"/>
    <x v="7"/>
    <x v="8"/>
    <x v="7"/>
    <x v="8"/>
    <x v="0"/>
    <x v="0"/>
    <x v="3"/>
    <x v="0"/>
    <x v="8"/>
    <x v="0"/>
    <x v="10"/>
    <x v="8"/>
  </r>
  <r>
    <x v="3"/>
    <x v="0"/>
    <x v="7"/>
    <x v="7"/>
    <x v="7"/>
    <x v="8"/>
    <x v="7"/>
    <x v="8"/>
    <x v="0"/>
    <x v="0"/>
    <x v="2"/>
    <x v="0"/>
    <x v="8"/>
    <x v="0"/>
    <x v="11"/>
    <x v="9"/>
  </r>
  <r>
    <x v="3"/>
    <x v="0"/>
    <x v="8"/>
    <x v="8"/>
    <x v="8"/>
    <x v="9"/>
    <x v="8"/>
    <x v="9"/>
    <x v="0"/>
    <x v="0"/>
    <x v="3"/>
    <x v="0"/>
    <x v="9"/>
    <x v="0"/>
    <x v="12"/>
    <x v="9"/>
  </r>
  <r>
    <x v="3"/>
    <x v="0"/>
    <x v="8"/>
    <x v="8"/>
    <x v="8"/>
    <x v="9"/>
    <x v="8"/>
    <x v="9"/>
    <x v="0"/>
    <x v="0"/>
    <x v="3"/>
    <x v="0"/>
    <x v="9"/>
    <x v="0"/>
    <x v="13"/>
    <x v="10"/>
  </r>
  <r>
    <x v="4"/>
    <x v="0"/>
    <x v="9"/>
    <x v="9"/>
    <x v="9"/>
    <x v="10"/>
    <x v="9"/>
    <x v="10"/>
    <x v="0"/>
    <x v="0"/>
    <x v="0"/>
    <x v="0"/>
    <x v="10"/>
    <x v="0"/>
    <x v="14"/>
    <x v="4"/>
  </r>
  <r>
    <x v="5"/>
    <x v="0"/>
    <x v="10"/>
    <x v="10"/>
    <x v="10"/>
    <x v="11"/>
    <x v="10"/>
    <x v="11"/>
    <x v="0"/>
    <x v="0"/>
    <x v="2"/>
    <x v="0"/>
    <x v="11"/>
    <x v="0"/>
    <x v="15"/>
    <x v="11"/>
  </r>
  <r>
    <x v="5"/>
    <x v="0"/>
    <x v="11"/>
    <x v="11"/>
    <x v="11"/>
    <x v="12"/>
    <x v="11"/>
    <x v="12"/>
    <x v="0"/>
    <x v="0"/>
    <x v="2"/>
    <x v="0"/>
    <x v="12"/>
    <x v="0"/>
    <x v="16"/>
    <x v="12"/>
  </r>
  <r>
    <x v="6"/>
    <x v="0"/>
    <x v="0"/>
    <x v="0"/>
    <x v="0"/>
    <x v="0"/>
    <x v="0"/>
    <x v="0"/>
    <x v="0"/>
    <x v="0"/>
    <x v="0"/>
    <x v="0"/>
    <x v="0"/>
    <x v="0"/>
    <x v="17"/>
    <x v="13"/>
  </r>
  <r>
    <x v="6"/>
    <x v="0"/>
    <x v="0"/>
    <x v="0"/>
    <x v="0"/>
    <x v="0"/>
    <x v="0"/>
    <x v="0"/>
    <x v="0"/>
    <x v="0"/>
    <x v="0"/>
    <x v="0"/>
    <x v="0"/>
    <x v="0"/>
    <x v="18"/>
    <x v="14"/>
  </r>
  <r>
    <x v="6"/>
    <x v="0"/>
    <x v="12"/>
    <x v="12"/>
    <x v="12"/>
    <x v="13"/>
    <x v="12"/>
    <x v="13"/>
    <x v="0"/>
    <x v="0"/>
    <x v="0"/>
    <x v="0"/>
    <x v="13"/>
    <x v="0"/>
    <x v="19"/>
    <x v="15"/>
  </r>
  <r>
    <x v="6"/>
    <x v="0"/>
    <x v="10"/>
    <x v="10"/>
    <x v="10"/>
    <x v="11"/>
    <x v="10"/>
    <x v="11"/>
    <x v="0"/>
    <x v="0"/>
    <x v="0"/>
    <x v="0"/>
    <x v="11"/>
    <x v="0"/>
    <x v="20"/>
    <x v="16"/>
  </r>
  <r>
    <x v="6"/>
    <x v="0"/>
    <x v="11"/>
    <x v="11"/>
    <x v="11"/>
    <x v="12"/>
    <x v="11"/>
    <x v="12"/>
    <x v="0"/>
    <x v="0"/>
    <x v="0"/>
    <x v="0"/>
    <x v="12"/>
    <x v="0"/>
    <x v="21"/>
    <x v="13"/>
  </r>
  <r>
    <x v="6"/>
    <x v="2"/>
    <x v="0"/>
    <x v="0"/>
    <x v="0"/>
    <x v="14"/>
    <x v="0"/>
    <x v="14"/>
    <x v="0"/>
    <x v="0"/>
    <x v="0"/>
    <x v="0"/>
    <x v="14"/>
    <x v="1"/>
    <x v="22"/>
    <x v="13"/>
  </r>
  <r>
    <x v="7"/>
    <x v="0"/>
    <x v="13"/>
    <x v="13"/>
    <x v="4"/>
    <x v="5"/>
    <x v="4"/>
    <x v="5"/>
    <x v="0"/>
    <x v="0"/>
    <x v="0"/>
    <x v="0"/>
    <x v="15"/>
    <x v="0"/>
    <x v="23"/>
    <x v="17"/>
  </r>
  <r>
    <x v="7"/>
    <x v="0"/>
    <x v="13"/>
    <x v="13"/>
    <x v="4"/>
    <x v="5"/>
    <x v="4"/>
    <x v="5"/>
    <x v="0"/>
    <x v="0"/>
    <x v="0"/>
    <x v="0"/>
    <x v="15"/>
    <x v="0"/>
    <x v="24"/>
    <x v="18"/>
  </r>
  <r>
    <x v="7"/>
    <x v="0"/>
    <x v="14"/>
    <x v="14"/>
    <x v="13"/>
    <x v="15"/>
    <x v="13"/>
    <x v="15"/>
    <x v="0"/>
    <x v="0"/>
    <x v="0"/>
    <x v="0"/>
    <x v="7"/>
    <x v="0"/>
    <x v="25"/>
    <x v="19"/>
  </r>
  <r>
    <x v="7"/>
    <x v="0"/>
    <x v="4"/>
    <x v="4"/>
    <x v="4"/>
    <x v="5"/>
    <x v="4"/>
    <x v="5"/>
    <x v="0"/>
    <x v="0"/>
    <x v="0"/>
    <x v="0"/>
    <x v="5"/>
    <x v="0"/>
    <x v="26"/>
    <x v="20"/>
  </r>
  <r>
    <x v="7"/>
    <x v="0"/>
    <x v="4"/>
    <x v="4"/>
    <x v="4"/>
    <x v="5"/>
    <x v="4"/>
    <x v="5"/>
    <x v="0"/>
    <x v="0"/>
    <x v="0"/>
    <x v="0"/>
    <x v="5"/>
    <x v="0"/>
    <x v="27"/>
    <x v="21"/>
  </r>
  <r>
    <x v="7"/>
    <x v="0"/>
    <x v="7"/>
    <x v="7"/>
    <x v="7"/>
    <x v="8"/>
    <x v="7"/>
    <x v="8"/>
    <x v="0"/>
    <x v="0"/>
    <x v="0"/>
    <x v="0"/>
    <x v="8"/>
    <x v="0"/>
    <x v="28"/>
    <x v="22"/>
  </r>
  <r>
    <x v="7"/>
    <x v="0"/>
    <x v="15"/>
    <x v="15"/>
    <x v="9"/>
    <x v="10"/>
    <x v="9"/>
    <x v="10"/>
    <x v="0"/>
    <x v="0"/>
    <x v="0"/>
    <x v="0"/>
    <x v="16"/>
    <x v="0"/>
    <x v="29"/>
    <x v="23"/>
  </r>
  <r>
    <x v="7"/>
    <x v="0"/>
    <x v="11"/>
    <x v="11"/>
    <x v="11"/>
    <x v="12"/>
    <x v="11"/>
    <x v="12"/>
    <x v="0"/>
    <x v="0"/>
    <x v="0"/>
    <x v="0"/>
    <x v="12"/>
    <x v="0"/>
    <x v="30"/>
    <x v="21"/>
  </r>
  <r>
    <x v="7"/>
    <x v="0"/>
    <x v="16"/>
    <x v="16"/>
    <x v="14"/>
    <x v="16"/>
    <x v="14"/>
    <x v="16"/>
    <x v="0"/>
    <x v="0"/>
    <x v="0"/>
    <x v="0"/>
    <x v="17"/>
    <x v="0"/>
    <x v="31"/>
    <x v="24"/>
  </r>
  <r>
    <x v="7"/>
    <x v="0"/>
    <x v="16"/>
    <x v="16"/>
    <x v="14"/>
    <x v="16"/>
    <x v="14"/>
    <x v="16"/>
    <x v="0"/>
    <x v="0"/>
    <x v="0"/>
    <x v="0"/>
    <x v="17"/>
    <x v="0"/>
    <x v="32"/>
    <x v="25"/>
  </r>
  <r>
    <x v="7"/>
    <x v="2"/>
    <x v="16"/>
    <x v="16"/>
    <x v="14"/>
    <x v="17"/>
    <x v="14"/>
    <x v="17"/>
    <x v="0"/>
    <x v="0"/>
    <x v="0"/>
    <x v="0"/>
    <x v="18"/>
    <x v="1"/>
    <x v="33"/>
    <x v="24"/>
  </r>
  <r>
    <x v="7"/>
    <x v="2"/>
    <x v="4"/>
    <x v="4"/>
    <x v="4"/>
    <x v="18"/>
    <x v="4"/>
    <x v="18"/>
    <x v="0"/>
    <x v="0"/>
    <x v="0"/>
    <x v="0"/>
    <x v="19"/>
    <x v="1"/>
    <x v="34"/>
    <x v="15"/>
  </r>
  <r>
    <x v="8"/>
    <x v="0"/>
    <x v="17"/>
    <x v="17"/>
    <x v="15"/>
    <x v="19"/>
    <x v="15"/>
    <x v="19"/>
    <x v="0"/>
    <x v="0"/>
    <x v="0"/>
    <x v="0"/>
    <x v="20"/>
    <x v="0"/>
    <x v="35"/>
    <x v="15"/>
  </r>
  <r>
    <x v="9"/>
    <x v="0"/>
    <x v="10"/>
    <x v="10"/>
    <x v="10"/>
    <x v="11"/>
    <x v="10"/>
    <x v="11"/>
    <x v="0"/>
    <x v="0"/>
    <x v="0"/>
    <x v="0"/>
    <x v="11"/>
    <x v="0"/>
    <x v="36"/>
    <x v="25"/>
  </r>
  <r>
    <x v="10"/>
    <x v="0"/>
    <x v="10"/>
    <x v="10"/>
    <x v="10"/>
    <x v="11"/>
    <x v="10"/>
    <x v="11"/>
    <x v="0"/>
    <x v="0"/>
    <x v="0"/>
    <x v="0"/>
    <x v="11"/>
    <x v="0"/>
    <x v="37"/>
    <x v="24"/>
  </r>
  <r>
    <x v="10"/>
    <x v="0"/>
    <x v="10"/>
    <x v="10"/>
    <x v="10"/>
    <x v="11"/>
    <x v="10"/>
    <x v="11"/>
    <x v="0"/>
    <x v="0"/>
    <x v="0"/>
    <x v="0"/>
    <x v="11"/>
    <x v="0"/>
    <x v="38"/>
    <x v="26"/>
  </r>
  <r>
    <x v="11"/>
    <x v="0"/>
    <x v="18"/>
    <x v="18"/>
    <x v="16"/>
    <x v="20"/>
    <x v="16"/>
    <x v="20"/>
    <x v="0"/>
    <x v="0"/>
    <x v="2"/>
    <x v="0"/>
    <x v="21"/>
    <x v="0"/>
    <x v="39"/>
    <x v="18"/>
  </r>
  <r>
    <x v="12"/>
    <x v="0"/>
    <x v="2"/>
    <x v="2"/>
    <x v="2"/>
    <x v="4"/>
    <x v="2"/>
    <x v="4"/>
    <x v="0"/>
    <x v="0"/>
    <x v="0"/>
    <x v="0"/>
    <x v="4"/>
    <x v="0"/>
    <x v="40"/>
    <x v="18"/>
  </r>
  <r>
    <x v="12"/>
    <x v="0"/>
    <x v="10"/>
    <x v="10"/>
    <x v="10"/>
    <x v="11"/>
    <x v="10"/>
    <x v="11"/>
    <x v="0"/>
    <x v="0"/>
    <x v="0"/>
    <x v="0"/>
    <x v="11"/>
    <x v="0"/>
    <x v="41"/>
    <x v="27"/>
  </r>
  <r>
    <x v="12"/>
    <x v="0"/>
    <x v="10"/>
    <x v="10"/>
    <x v="10"/>
    <x v="11"/>
    <x v="10"/>
    <x v="11"/>
    <x v="0"/>
    <x v="0"/>
    <x v="0"/>
    <x v="0"/>
    <x v="11"/>
    <x v="0"/>
    <x v="42"/>
    <x v="18"/>
  </r>
  <r>
    <x v="12"/>
    <x v="1"/>
    <x v="8"/>
    <x v="8"/>
    <x v="8"/>
    <x v="21"/>
    <x v="8"/>
    <x v="21"/>
    <x v="0"/>
    <x v="0"/>
    <x v="3"/>
    <x v="0"/>
    <x v="22"/>
    <x v="1"/>
    <x v="43"/>
    <x v="18"/>
  </r>
  <r>
    <x v="13"/>
    <x v="0"/>
    <x v="12"/>
    <x v="12"/>
    <x v="12"/>
    <x v="13"/>
    <x v="12"/>
    <x v="13"/>
    <x v="0"/>
    <x v="0"/>
    <x v="3"/>
    <x v="0"/>
    <x v="13"/>
    <x v="0"/>
    <x v="44"/>
    <x v="27"/>
  </r>
  <r>
    <x v="14"/>
    <x v="0"/>
    <x v="13"/>
    <x v="13"/>
    <x v="4"/>
    <x v="5"/>
    <x v="4"/>
    <x v="5"/>
    <x v="0"/>
    <x v="0"/>
    <x v="2"/>
    <x v="0"/>
    <x v="15"/>
    <x v="0"/>
    <x v="45"/>
    <x v="28"/>
  </r>
  <r>
    <x v="14"/>
    <x v="0"/>
    <x v="13"/>
    <x v="13"/>
    <x v="4"/>
    <x v="5"/>
    <x v="4"/>
    <x v="5"/>
    <x v="0"/>
    <x v="0"/>
    <x v="2"/>
    <x v="0"/>
    <x v="15"/>
    <x v="0"/>
    <x v="46"/>
    <x v="19"/>
  </r>
  <r>
    <x v="14"/>
    <x v="0"/>
    <x v="7"/>
    <x v="7"/>
    <x v="7"/>
    <x v="8"/>
    <x v="7"/>
    <x v="8"/>
    <x v="0"/>
    <x v="0"/>
    <x v="2"/>
    <x v="0"/>
    <x v="8"/>
    <x v="0"/>
    <x v="47"/>
    <x v="28"/>
  </r>
  <r>
    <x v="14"/>
    <x v="2"/>
    <x v="19"/>
    <x v="19"/>
    <x v="17"/>
    <x v="22"/>
    <x v="17"/>
    <x v="22"/>
    <x v="0"/>
    <x v="0"/>
    <x v="2"/>
    <x v="0"/>
    <x v="23"/>
    <x v="1"/>
    <x v="48"/>
    <x v="29"/>
  </r>
  <r>
    <x v="15"/>
    <x v="0"/>
    <x v="0"/>
    <x v="0"/>
    <x v="0"/>
    <x v="0"/>
    <x v="0"/>
    <x v="0"/>
    <x v="0"/>
    <x v="0"/>
    <x v="2"/>
    <x v="0"/>
    <x v="0"/>
    <x v="0"/>
    <x v="49"/>
    <x v="30"/>
  </r>
  <r>
    <x v="15"/>
    <x v="0"/>
    <x v="0"/>
    <x v="0"/>
    <x v="0"/>
    <x v="0"/>
    <x v="0"/>
    <x v="0"/>
    <x v="0"/>
    <x v="0"/>
    <x v="2"/>
    <x v="0"/>
    <x v="0"/>
    <x v="0"/>
    <x v="50"/>
    <x v="24"/>
  </r>
  <r>
    <x v="15"/>
    <x v="0"/>
    <x v="2"/>
    <x v="2"/>
    <x v="2"/>
    <x v="4"/>
    <x v="2"/>
    <x v="4"/>
    <x v="0"/>
    <x v="0"/>
    <x v="2"/>
    <x v="0"/>
    <x v="4"/>
    <x v="0"/>
    <x v="51"/>
    <x v="31"/>
  </r>
  <r>
    <x v="15"/>
    <x v="0"/>
    <x v="19"/>
    <x v="19"/>
    <x v="17"/>
    <x v="23"/>
    <x v="17"/>
    <x v="23"/>
    <x v="0"/>
    <x v="0"/>
    <x v="2"/>
    <x v="0"/>
    <x v="24"/>
    <x v="0"/>
    <x v="52"/>
    <x v="32"/>
  </r>
  <r>
    <x v="15"/>
    <x v="0"/>
    <x v="19"/>
    <x v="19"/>
    <x v="17"/>
    <x v="23"/>
    <x v="17"/>
    <x v="23"/>
    <x v="0"/>
    <x v="0"/>
    <x v="2"/>
    <x v="0"/>
    <x v="24"/>
    <x v="0"/>
    <x v="53"/>
    <x v="33"/>
  </r>
  <r>
    <x v="15"/>
    <x v="0"/>
    <x v="19"/>
    <x v="19"/>
    <x v="17"/>
    <x v="23"/>
    <x v="17"/>
    <x v="23"/>
    <x v="0"/>
    <x v="0"/>
    <x v="2"/>
    <x v="0"/>
    <x v="24"/>
    <x v="0"/>
    <x v="54"/>
    <x v="34"/>
  </r>
  <r>
    <x v="15"/>
    <x v="0"/>
    <x v="20"/>
    <x v="20"/>
    <x v="18"/>
    <x v="24"/>
    <x v="18"/>
    <x v="24"/>
    <x v="0"/>
    <x v="0"/>
    <x v="2"/>
    <x v="0"/>
    <x v="25"/>
    <x v="0"/>
    <x v="55"/>
    <x v="35"/>
  </r>
  <r>
    <x v="15"/>
    <x v="0"/>
    <x v="20"/>
    <x v="20"/>
    <x v="18"/>
    <x v="24"/>
    <x v="18"/>
    <x v="24"/>
    <x v="0"/>
    <x v="0"/>
    <x v="2"/>
    <x v="0"/>
    <x v="25"/>
    <x v="0"/>
    <x v="56"/>
    <x v="31"/>
  </r>
  <r>
    <x v="15"/>
    <x v="0"/>
    <x v="21"/>
    <x v="21"/>
    <x v="19"/>
    <x v="25"/>
    <x v="19"/>
    <x v="25"/>
    <x v="0"/>
    <x v="0"/>
    <x v="2"/>
    <x v="0"/>
    <x v="1"/>
    <x v="0"/>
    <x v="57"/>
    <x v="36"/>
  </r>
  <r>
    <x v="15"/>
    <x v="0"/>
    <x v="18"/>
    <x v="18"/>
    <x v="16"/>
    <x v="20"/>
    <x v="16"/>
    <x v="20"/>
    <x v="0"/>
    <x v="0"/>
    <x v="2"/>
    <x v="0"/>
    <x v="21"/>
    <x v="0"/>
    <x v="58"/>
    <x v="32"/>
  </r>
  <r>
    <x v="15"/>
    <x v="0"/>
    <x v="18"/>
    <x v="18"/>
    <x v="16"/>
    <x v="20"/>
    <x v="16"/>
    <x v="20"/>
    <x v="0"/>
    <x v="0"/>
    <x v="2"/>
    <x v="0"/>
    <x v="21"/>
    <x v="0"/>
    <x v="59"/>
    <x v="33"/>
  </r>
  <r>
    <x v="15"/>
    <x v="0"/>
    <x v="4"/>
    <x v="4"/>
    <x v="4"/>
    <x v="5"/>
    <x v="4"/>
    <x v="5"/>
    <x v="0"/>
    <x v="0"/>
    <x v="2"/>
    <x v="0"/>
    <x v="5"/>
    <x v="0"/>
    <x v="60"/>
    <x v="36"/>
  </r>
  <r>
    <x v="15"/>
    <x v="0"/>
    <x v="4"/>
    <x v="4"/>
    <x v="4"/>
    <x v="5"/>
    <x v="4"/>
    <x v="5"/>
    <x v="0"/>
    <x v="0"/>
    <x v="2"/>
    <x v="0"/>
    <x v="5"/>
    <x v="0"/>
    <x v="61"/>
    <x v="37"/>
  </r>
  <r>
    <x v="15"/>
    <x v="0"/>
    <x v="15"/>
    <x v="15"/>
    <x v="9"/>
    <x v="10"/>
    <x v="9"/>
    <x v="10"/>
    <x v="0"/>
    <x v="0"/>
    <x v="2"/>
    <x v="0"/>
    <x v="16"/>
    <x v="0"/>
    <x v="62"/>
    <x v="32"/>
  </r>
  <r>
    <x v="15"/>
    <x v="0"/>
    <x v="22"/>
    <x v="22"/>
    <x v="20"/>
    <x v="26"/>
    <x v="20"/>
    <x v="26"/>
    <x v="0"/>
    <x v="0"/>
    <x v="2"/>
    <x v="0"/>
    <x v="10"/>
    <x v="0"/>
    <x v="63"/>
    <x v="33"/>
  </r>
  <r>
    <x v="15"/>
    <x v="0"/>
    <x v="11"/>
    <x v="11"/>
    <x v="11"/>
    <x v="12"/>
    <x v="11"/>
    <x v="12"/>
    <x v="0"/>
    <x v="0"/>
    <x v="2"/>
    <x v="0"/>
    <x v="12"/>
    <x v="0"/>
    <x v="64"/>
    <x v="34"/>
  </r>
  <r>
    <x v="15"/>
    <x v="0"/>
    <x v="11"/>
    <x v="11"/>
    <x v="11"/>
    <x v="12"/>
    <x v="11"/>
    <x v="12"/>
    <x v="0"/>
    <x v="0"/>
    <x v="2"/>
    <x v="0"/>
    <x v="12"/>
    <x v="0"/>
    <x v="65"/>
    <x v="35"/>
  </r>
  <r>
    <x v="15"/>
    <x v="0"/>
    <x v="11"/>
    <x v="11"/>
    <x v="11"/>
    <x v="12"/>
    <x v="11"/>
    <x v="12"/>
    <x v="0"/>
    <x v="0"/>
    <x v="2"/>
    <x v="0"/>
    <x v="12"/>
    <x v="0"/>
    <x v="66"/>
    <x v="38"/>
  </r>
  <r>
    <x v="15"/>
    <x v="0"/>
    <x v="16"/>
    <x v="16"/>
    <x v="14"/>
    <x v="16"/>
    <x v="14"/>
    <x v="16"/>
    <x v="0"/>
    <x v="0"/>
    <x v="2"/>
    <x v="0"/>
    <x v="17"/>
    <x v="0"/>
    <x v="67"/>
    <x v="39"/>
  </r>
  <r>
    <x v="15"/>
    <x v="2"/>
    <x v="17"/>
    <x v="17"/>
    <x v="15"/>
    <x v="27"/>
    <x v="15"/>
    <x v="27"/>
    <x v="0"/>
    <x v="0"/>
    <x v="2"/>
    <x v="0"/>
    <x v="26"/>
    <x v="1"/>
    <x v="68"/>
    <x v="40"/>
  </r>
  <r>
    <x v="16"/>
    <x v="0"/>
    <x v="2"/>
    <x v="2"/>
    <x v="2"/>
    <x v="4"/>
    <x v="2"/>
    <x v="4"/>
    <x v="0"/>
    <x v="0"/>
    <x v="3"/>
    <x v="0"/>
    <x v="4"/>
    <x v="0"/>
    <x v="69"/>
    <x v="41"/>
  </r>
  <r>
    <x v="16"/>
    <x v="0"/>
    <x v="16"/>
    <x v="16"/>
    <x v="14"/>
    <x v="16"/>
    <x v="14"/>
    <x v="16"/>
    <x v="0"/>
    <x v="0"/>
    <x v="3"/>
    <x v="0"/>
    <x v="17"/>
    <x v="0"/>
    <x v="70"/>
    <x v="35"/>
  </r>
  <r>
    <x v="17"/>
    <x v="0"/>
    <x v="19"/>
    <x v="19"/>
    <x v="17"/>
    <x v="23"/>
    <x v="17"/>
    <x v="23"/>
    <x v="0"/>
    <x v="0"/>
    <x v="2"/>
    <x v="0"/>
    <x v="24"/>
    <x v="0"/>
    <x v="71"/>
    <x v="42"/>
  </r>
  <r>
    <x v="18"/>
    <x v="3"/>
    <x v="23"/>
    <x v="23"/>
    <x v="21"/>
    <x v="28"/>
    <x v="21"/>
    <x v="28"/>
    <x v="1"/>
    <x v="1"/>
    <x v="4"/>
    <x v="1"/>
    <x v="27"/>
    <x v="2"/>
    <x v="72"/>
    <x v="43"/>
  </r>
  <r>
    <x v="18"/>
    <x v="3"/>
    <x v="23"/>
    <x v="23"/>
    <x v="21"/>
    <x v="28"/>
    <x v="21"/>
    <x v="28"/>
    <x v="1"/>
    <x v="1"/>
    <x v="4"/>
    <x v="1"/>
    <x v="27"/>
    <x v="2"/>
    <x v="73"/>
    <x v="44"/>
  </r>
  <r>
    <x v="18"/>
    <x v="3"/>
    <x v="23"/>
    <x v="23"/>
    <x v="21"/>
    <x v="28"/>
    <x v="21"/>
    <x v="28"/>
    <x v="1"/>
    <x v="1"/>
    <x v="4"/>
    <x v="1"/>
    <x v="27"/>
    <x v="2"/>
    <x v="74"/>
    <x v="45"/>
  </r>
  <r>
    <x v="18"/>
    <x v="3"/>
    <x v="23"/>
    <x v="23"/>
    <x v="21"/>
    <x v="28"/>
    <x v="21"/>
    <x v="28"/>
    <x v="1"/>
    <x v="1"/>
    <x v="4"/>
    <x v="1"/>
    <x v="27"/>
    <x v="2"/>
    <x v="75"/>
    <x v="46"/>
  </r>
  <r>
    <x v="18"/>
    <x v="3"/>
    <x v="23"/>
    <x v="23"/>
    <x v="21"/>
    <x v="28"/>
    <x v="21"/>
    <x v="28"/>
    <x v="1"/>
    <x v="1"/>
    <x v="4"/>
    <x v="1"/>
    <x v="27"/>
    <x v="2"/>
    <x v="76"/>
    <x v="47"/>
  </r>
  <r>
    <x v="18"/>
    <x v="3"/>
    <x v="23"/>
    <x v="23"/>
    <x v="21"/>
    <x v="28"/>
    <x v="21"/>
    <x v="28"/>
    <x v="1"/>
    <x v="1"/>
    <x v="4"/>
    <x v="1"/>
    <x v="27"/>
    <x v="2"/>
    <x v="77"/>
    <x v="48"/>
  </r>
  <r>
    <x v="18"/>
    <x v="3"/>
    <x v="23"/>
    <x v="23"/>
    <x v="21"/>
    <x v="28"/>
    <x v="21"/>
    <x v="28"/>
    <x v="1"/>
    <x v="1"/>
    <x v="4"/>
    <x v="1"/>
    <x v="27"/>
    <x v="2"/>
    <x v="78"/>
    <x v="49"/>
  </r>
  <r>
    <x v="18"/>
    <x v="3"/>
    <x v="23"/>
    <x v="23"/>
    <x v="21"/>
    <x v="28"/>
    <x v="21"/>
    <x v="28"/>
    <x v="1"/>
    <x v="1"/>
    <x v="4"/>
    <x v="1"/>
    <x v="27"/>
    <x v="2"/>
    <x v="79"/>
    <x v="15"/>
  </r>
  <r>
    <x v="18"/>
    <x v="3"/>
    <x v="23"/>
    <x v="23"/>
    <x v="21"/>
    <x v="28"/>
    <x v="21"/>
    <x v="28"/>
    <x v="1"/>
    <x v="1"/>
    <x v="4"/>
    <x v="1"/>
    <x v="27"/>
    <x v="2"/>
    <x v="80"/>
    <x v="50"/>
  </r>
  <r>
    <x v="18"/>
    <x v="3"/>
    <x v="23"/>
    <x v="23"/>
    <x v="21"/>
    <x v="28"/>
    <x v="21"/>
    <x v="28"/>
    <x v="1"/>
    <x v="1"/>
    <x v="4"/>
    <x v="1"/>
    <x v="27"/>
    <x v="2"/>
    <x v="81"/>
    <x v="51"/>
  </r>
  <r>
    <x v="18"/>
    <x v="3"/>
    <x v="23"/>
    <x v="23"/>
    <x v="21"/>
    <x v="28"/>
    <x v="21"/>
    <x v="28"/>
    <x v="1"/>
    <x v="1"/>
    <x v="4"/>
    <x v="1"/>
    <x v="27"/>
    <x v="2"/>
    <x v="82"/>
    <x v="13"/>
  </r>
  <r>
    <x v="18"/>
    <x v="3"/>
    <x v="23"/>
    <x v="23"/>
    <x v="21"/>
    <x v="28"/>
    <x v="21"/>
    <x v="28"/>
    <x v="1"/>
    <x v="1"/>
    <x v="4"/>
    <x v="1"/>
    <x v="27"/>
    <x v="2"/>
    <x v="83"/>
    <x v="18"/>
  </r>
  <r>
    <x v="18"/>
    <x v="3"/>
    <x v="23"/>
    <x v="23"/>
    <x v="21"/>
    <x v="28"/>
    <x v="21"/>
    <x v="28"/>
    <x v="1"/>
    <x v="1"/>
    <x v="4"/>
    <x v="1"/>
    <x v="27"/>
    <x v="2"/>
    <x v="84"/>
    <x v="52"/>
  </r>
  <r>
    <x v="18"/>
    <x v="3"/>
    <x v="23"/>
    <x v="23"/>
    <x v="21"/>
    <x v="28"/>
    <x v="21"/>
    <x v="28"/>
    <x v="1"/>
    <x v="1"/>
    <x v="4"/>
    <x v="1"/>
    <x v="27"/>
    <x v="2"/>
    <x v="85"/>
    <x v="53"/>
  </r>
  <r>
    <x v="18"/>
    <x v="3"/>
    <x v="23"/>
    <x v="23"/>
    <x v="21"/>
    <x v="28"/>
    <x v="21"/>
    <x v="28"/>
    <x v="1"/>
    <x v="1"/>
    <x v="4"/>
    <x v="1"/>
    <x v="27"/>
    <x v="2"/>
    <x v="86"/>
    <x v="12"/>
  </r>
  <r>
    <x v="18"/>
    <x v="3"/>
    <x v="23"/>
    <x v="23"/>
    <x v="21"/>
    <x v="28"/>
    <x v="21"/>
    <x v="28"/>
    <x v="1"/>
    <x v="1"/>
    <x v="4"/>
    <x v="1"/>
    <x v="27"/>
    <x v="2"/>
    <x v="87"/>
    <x v="5"/>
  </r>
  <r>
    <x v="18"/>
    <x v="3"/>
    <x v="23"/>
    <x v="23"/>
    <x v="21"/>
    <x v="28"/>
    <x v="21"/>
    <x v="28"/>
    <x v="1"/>
    <x v="1"/>
    <x v="4"/>
    <x v="1"/>
    <x v="27"/>
    <x v="2"/>
    <x v="88"/>
    <x v="53"/>
  </r>
  <r>
    <x v="18"/>
    <x v="3"/>
    <x v="23"/>
    <x v="23"/>
    <x v="21"/>
    <x v="28"/>
    <x v="21"/>
    <x v="28"/>
    <x v="1"/>
    <x v="1"/>
    <x v="4"/>
    <x v="1"/>
    <x v="27"/>
    <x v="2"/>
    <x v="89"/>
    <x v="53"/>
  </r>
  <r>
    <x v="18"/>
    <x v="3"/>
    <x v="23"/>
    <x v="23"/>
    <x v="21"/>
    <x v="28"/>
    <x v="21"/>
    <x v="28"/>
    <x v="1"/>
    <x v="1"/>
    <x v="4"/>
    <x v="1"/>
    <x v="27"/>
    <x v="2"/>
    <x v="90"/>
    <x v="54"/>
  </r>
  <r>
    <x v="18"/>
    <x v="3"/>
    <x v="23"/>
    <x v="23"/>
    <x v="21"/>
    <x v="28"/>
    <x v="21"/>
    <x v="28"/>
    <x v="1"/>
    <x v="1"/>
    <x v="4"/>
    <x v="1"/>
    <x v="27"/>
    <x v="2"/>
    <x v="91"/>
    <x v="55"/>
  </r>
  <r>
    <x v="18"/>
    <x v="3"/>
    <x v="23"/>
    <x v="23"/>
    <x v="21"/>
    <x v="28"/>
    <x v="21"/>
    <x v="28"/>
    <x v="1"/>
    <x v="1"/>
    <x v="4"/>
    <x v="1"/>
    <x v="27"/>
    <x v="2"/>
    <x v="92"/>
    <x v="56"/>
  </r>
  <r>
    <x v="18"/>
    <x v="3"/>
    <x v="23"/>
    <x v="23"/>
    <x v="21"/>
    <x v="28"/>
    <x v="21"/>
    <x v="28"/>
    <x v="1"/>
    <x v="1"/>
    <x v="4"/>
    <x v="1"/>
    <x v="27"/>
    <x v="2"/>
    <x v="93"/>
    <x v="57"/>
  </r>
  <r>
    <x v="18"/>
    <x v="3"/>
    <x v="23"/>
    <x v="23"/>
    <x v="21"/>
    <x v="28"/>
    <x v="21"/>
    <x v="28"/>
    <x v="1"/>
    <x v="1"/>
    <x v="4"/>
    <x v="1"/>
    <x v="27"/>
    <x v="2"/>
    <x v="94"/>
    <x v="58"/>
  </r>
  <r>
    <x v="18"/>
    <x v="3"/>
    <x v="23"/>
    <x v="23"/>
    <x v="21"/>
    <x v="28"/>
    <x v="21"/>
    <x v="28"/>
    <x v="1"/>
    <x v="1"/>
    <x v="4"/>
    <x v="1"/>
    <x v="27"/>
    <x v="2"/>
    <x v="95"/>
    <x v="59"/>
  </r>
  <r>
    <x v="18"/>
    <x v="3"/>
    <x v="23"/>
    <x v="23"/>
    <x v="21"/>
    <x v="28"/>
    <x v="21"/>
    <x v="28"/>
    <x v="1"/>
    <x v="1"/>
    <x v="4"/>
    <x v="1"/>
    <x v="27"/>
    <x v="2"/>
    <x v="96"/>
    <x v="60"/>
  </r>
  <r>
    <x v="18"/>
    <x v="3"/>
    <x v="23"/>
    <x v="23"/>
    <x v="21"/>
    <x v="28"/>
    <x v="21"/>
    <x v="28"/>
    <x v="1"/>
    <x v="1"/>
    <x v="4"/>
    <x v="1"/>
    <x v="27"/>
    <x v="2"/>
    <x v="97"/>
    <x v="61"/>
  </r>
  <r>
    <x v="18"/>
    <x v="3"/>
    <x v="23"/>
    <x v="23"/>
    <x v="21"/>
    <x v="28"/>
    <x v="21"/>
    <x v="28"/>
    <x v="1"/>
    <x v="1"/>
    <x v="4"/>
    <x v="1"/>
    <x v="27"/>
    <x v="2"/>
    <x v="98"/>
    <x v="62"/>
  </r>
  <r>
    <x v="18"/>
    <x v="3"/>
    <x v="23"/>
    <x v="23"/>
    <x v="21"/>
    <x v="28"/>
    <x v="21"/>
    <x v="28"/>
    <x v="1"/>
    <x v="1"/>
    <x v="4"/>
    <x v="1"/>
    <x v="27"/>
    <x v="2"/>
    <x v="99"/>
    <x v="63"/>
  </r>
  <r>
    <x v="18"/>
    <x v="3"/>
    <x v="23"/>
    <x v="23"/>
    <x v="21"/>
    <x v="28"/>
    <x v="21"/>
    <x v="28"/>
    <x v="1"/>
    <x v="1"/>
    <x v="4"/>
    <x v="1"/>
    <x v="27"/>
    <x v="2"/>
    <x v="100"/>
    <x v="64"/>
  </r>
  <r>
    <x v="18"/>
    <x v="3"/>
    <x v="23"/>
    <x v="23"/>
    <x v="21"/>
    <x v="28"/>
    <x v="21"/>
    <x v="28"/>
    <x v="1"/>
    <x v="1"/>
    <x v="4"/>
    <x v="1"/>
    <x v="27"/>
    <x v="2"/>
    <x v="101"/>
    <x v="65"/>
  </r>
  <r>
    <x v="18"/>
    <x v="3"/>
    <x v="23"/>
    <x v="23"/>
    <x v="21"/>
    <x v="28"/>
    <x v="21"/>
    <x v="28"/>
    <x v="1"/>
    <x v="1"/>
    <x v="4"/>
    <x v="1"/>
    <x v="27"/>
    <x v="2"/>
    <x v="102"/>
    <x v="13"/>
  </r>
  <r>
    <x v="18"/>
    <x v="3"/>
    <x v="23"/>
    <x v="23"/>
    <x v="21"/>
    <x v="28"/>
    <x v="21"/>
    <x v="28"/>
    <x v="1"/>
    <x v="1"/>
    <x v="4"/>
    <x v="1"/>
    <x v="27"/>
    <x v="2"/>
    <x v="103"/>
    <x v="66"/>
  </r>
  <r>
    <x v="18"/>
    <x v="3"/>
    <x v="23"/>
    <x v="23"/>
    <x v="21"/>
    <x v="28"/>
    <x v="21"/>
    <x v="28"/>
    <x v="1"/>
    <x v="1"/>
    <x v="4"/>
    <x v="1"/>
    <x v="27"/>
    <x v="2"/>
    <x v="104"/>
    <x v="67"/>
  </r>
  <r>
    <x v="18"/>
    <x v="3"/>
    <x v="23"/>
    <x v="23"/>
    <x v="21"/>
    <x v="28"/>
    <x v="21"/>
    <x v="28"/>
    <x v="1"/>
    <x v="1"/>
    <x v="4"/>
    <x v="1"/>
    <x v="27"/>
    <x v="2"/>
    <x v="105"/>
    <x v="67"/>
  </r>
  <r>
    <x v="18"/>
    <x v="3"/>
    <x v="23"/>
    <x v="23"/>
    <x v="21"/>
    <x v="28"/>
    <x v="21"/>
    <x v="28"/>
    <x v="1"/>
    <x v="1"/>
    <x v="4"/>
    <x v="1"/>
    <x v="27"/>
    <x v="2"/>
    <x v="106"/>
    <x v="68"/>
  </r>
  <r>
    <x v="18"/>
    <x v="3"/>
    <x v="23"/>
    <x v="23"/>
    <x v="21"/>
    <x v="28"/>
    <x v="21"/>
    <x v="28"/>
    <x v="1"/>
    <x v="1"/>
    <x v="4"/>
    <x v="1"/>
    <x v="27"/>
    <x v="2"/>
    <x v="107"/>
    <x v="0"/>
  </r>
  <r>
    <x v="18"/>
    <x v="3"/>
    <x v="23"/>
    <x v="23"/>
    <x v="21"/>
    <x v="28"/>
    <x v="21"/>
    <x v="28"/>
    <x v="1"/>
    <x v="1"/>
    <x v="4"/>
    <x v="1"/>
    <x v="27"/>
    <x v="2"/>
    <x v="108"/>
    <x v="69"/>
  </r>
  <r>
    <x v="18"/>
    <x v="3"/>
    <x v="23"/>
    <x v="23"/>
    <x v="21"/>
    <x v="28"/>
    <x v="21"/>
    <x v="28"/>
    <x v="1"/>
    <x v="1"/>
    <x v="4"/>
    <x v="1"/>
    <x v="27"/>
    <x v="2"/>
    <x v="109"/>
    <x v="70"/>
  </r>
  <r>
    <x v="18"/>
    <x v="3"/>
    <x v="23"/>
    <x v="23"/>
    <x v="21"/>
    <x v="28"/>
    <x v="21"/>
    <x v="28"/>
    <x v="1"/>
    <x v="1"/>
    <x v="4"/>
    <x v="1"/>
    <x v="27"/>
    <x v="2"/>
    <x v="110"/>
    <x v="71"/>
  </r>
  <r>
    <x v="18"/>
    <x v="3"/>
    <x v="23"/>
    <x v="23"/>
    <x v="21"/>
    <x v="28"/>
    <x v="21"/>
    <x v="28"/>
    <x v="1"/>
    <x v="1"/>
    <x v="4"/>
    <x v="1"/>
    <x v="27"/>
    <x v="2"/>
    <x v="111"/>
    <x v="72"/>
  </r>
  <r>
    <x v="18"/>
    <x v="3"/>
    <x v="23"/>
    <x v="23"/>
    <x v="21"/>
    <x v="28"/>
    <x v="21"/>
    <x v="28"/>
    <x v="1"/>
    <x v="1"/>
    <x v="4"/>
    <x v="1"/>
    <x v="27"/>
    <x v="2"/>
    <x v="112"/>
    <x v="73"/>
  </r>
  <r>
    <x v="18"/>
    <x v="3"/>
    <x v="23"/>
    <x v="23"/>
    <x v="21"/>
    <x v="28"/>
    <x v="21"/>
    <x v="28"/>
    <x v="1"/>
    <x v="1"/>
    <x v="4"/>
    <x v="1"/>
    <x v="27"/>
    <x v="2"/>
    <x v="113"/>
    <x v="73"/>
  </r>
  <r>
    <x v="18"/>
    <x v="3"/>
    <x v="23"/>
    <x v="23"/>
    <x v="21"/>
    <x v="28"/>
    <x v="21"/>
    <x v="28"/>
    <x v="1"/>
    <x v="1"/>
    <x v="4"/>
    <x v="1"/>
    <x v="27"/>
    <x v="2"/>
    <x v="114"/>
    <x v="74"/>
  </r>
  <r>
    <x v="18"/>
    <x v="3"/>
    <x v="23"/>
    <x v="23"/>
    <x v="21"/>
    <x v="28"/>
    <x v="21"/>
    <x v="28"/>
    <x v="1"/>
    <x v="1"/>
    <x v="4"/>
    <x v="1"/>
    <x v="27"/>
    <x v="2"/>
    <x v="115"/>
    <x v="75"/>
  </r>
  <r>
    <x v="18"/>
    <x v="3"/>
    <x v="23"/>
    <x v="23"/>
    <x v="21"/>
    <x v="28"/>
    <x v="21"/>
    <x v="28"/>
    <x v="1"/>
    <x v="1"/>
    <x v="4"/>
    <x v="1"/>
    <x v="27"/>
    <x v="2"/>
    <x v="116"/>
    <x v="76"/>
  </r>
  <r>
    <x v="18"/>
    <x v="3"/>
    <x v="23"/>
    <x v="23"/>
    <x v="21"/>
    <x v="28"/>
    <x v="21"/>
    <x v="28"/>
    <x v="1"/>
    <x v="1"/>
    <x v="4"/>
    <x v="1"/>
    <x v="27"/>
    <x v="2"/>
    <x v="117"/>
    <x v="77"/>
  </r>
  <r>
    <x v="18"/>
    <x v="3"/>
    <x v="23"/>
    <x v="23"/>
    <x v="21"/>
    <x v="28"/>
    <x v="21"/>
    <x v="28"/>
    <x v="1"/>
    <x v="1"/>
    <x v="4"/>
    <x v="1"/>
    <x v="27"/>
    <x v="2"/>
    <x v="118"/>
    <x v="37"/>
  </r>
  <r>
    <x v="18"/>
    <x v="3"/>
    <x v="23"/>
    <x v="23"/>
    <x v="21"/>
    <x v="28"/>
    <x v="21"/>
    <x v="28"/>
    <x v="1"/>
    <x v="1"/>
    <x v="4"/>
    <x v="1"/>
    <x v="27"/>
    <x v="2"/>
    <x v="119"/>
    <x v="34"/>
  </r>
  <r>
    <x v="18"/>
    <x v="3"/>
    <x v="23"/>
    <x v="23"/>
    <x v="21"/>
    <x v="28"/>
    <x v="21"/>
    <x v="28"/>
    <x v="1"/>
    <x v="1"/>
    <x v="4"/>
    <x v="1"/>
    <x v="27"/>
    <x v="2"/>
    <x v="120"/>
    <x v="30"/>
  </r>
  <r>
    <x v="18"/>
    <x v="3"/>
    <x v="23"/>
    <x v="23"/>
    <x v="21"/>
    <x v="28"/>
    <x v="21"/>
    <x v="28"/>
    <x v="1"/>
    <x v="1"/>
    <x v="4"/>
    <x v="1"/>
    <x v="27"/>
    <x v="2"/>
    <x v="121"/>
    <x v="78"/>
  </r>
  <r>
    <x v="18"/>
    <x v="3"/>
    <x v="23"/>
    <x v="23"/>
    <x v="21"/>
    <x v="28"/>
    <x v="21"/>
    <x v="28"/>
    <x v="1"/>
    <x v="1"/>
    <x v="4"/>
    <x v="1"/>
    <x v="27"/>
    <x v="2"/>
    <x v="122"/>
    <x v="79"/>
  </r>
  <r>
    <x v="18"/>
    <x v="3"/>
    <x v="23"/>
    <x v="23"/>
    <x v="21"/>
    <x v="28"/>
    <x v="21"/>
    <x v="28"/>
    <x v="1"/>
    <x v="1"/>
    <x v="4"/>
    <x v="1"/>
    <x v="27"/>
    <x v="2"/>
    <x v="123"/>
    <x v="80"/>
  </r>
  <r>
    <x v="18"/>
    <x v="3"/>
    <x v="23"/>
    <x v="23"/>
    <x v="21"/>
    <x v="28"/>
    <x v="21"/>
    <x v="28"/>
    <x v="1"/>
    <x v="1"/>
    <x v="4"/>
    <x v="1"/>
    <x v="27"/>
    <x v="2"/>
    <x v="124"/>
    <x v="81"/>
  </r>
  <r>
    <x v="18"/>
    <x v="3"/>
    <x v="23"/>
    <x v="23"/>
    <x v="21"/>
    <x v="28"/>
    <x v="21"/>
    <x v="28"/>
    <x v="1"/>
    <x v="1"/>
    <x v="4"/>
    <x v="1"/>
    <x v="27"/>
    <x v="2"/>
    <x v="125"/>
    <x v="82"/>
  </r>
  <r>
    <x v="18"/>
    <x v="3"/>
    <x v="23"/>
    <x v="23"/>
    <x v="21"/>
    <x v="28"/>
    <x v="21"/>
    <x v="28"/>
    <x v="1"/>
    <x v="1"/>
    <x v="4"/>
    <x v="1"/>
    <x v="27"/>
    <x v="2"/>
    <x v="126"/>
    <x v="79"/>
  </r>
  <r>
    <x v="18"/>
    <x v="3"/>
    <x v="23"/>
    <x v="23"/>
    <x v="21"/>
    <x v="28"/>
    <x v="21"/>
    <x v="28"/>
    <x v="1"/>
    <x v="1"/>
    <x v="4"/>
    <x v="1"/>
    <x v="27"/>
    <x v="2"/>
    <x v="127"/>
    <x v="83"/>
  </r>
  <r>
    <x v="18"/>
    <x v="3"/>
    <x v="23"/>
    <x v="23"/>
    <x v="21"/>
    <x v="28"/>
    <x v="21"/>
    <x v="28"/>
    <x v="1"/>
    <x v="1"/>
    <x v="4"/>
    <x v="1"/>
    <x v="27"/>
    <x v="2"/>
    <x v="128"/>
    <x v="84"/>
  </r>
  <r>
    <x v="18"/>
    <x v="3"/>
    <x v="23"/>
    <x v="23"/>
    <x v="21"/>
    <x v="28"/>
    <x v="21"/>
    <x v="28"/>
    <x v="1"/>
    <x v="1"/>
    <x v="4"/>
    <x v="1"/>
    <x v="27"/>
    <x v="2"/>
    <x v="129"/>
    <x v="85"/>
  </r>
  <r>
    <x v="18"/>
    <x v="3"/>
    <x v="23"/>
    <x v="23"/>
    <x v="21"/>
    <x v="28"/>
    <x v="21"/>
    <x v="28"/>
    <x v="1"/>
    <x v="1"/>
    <x v="4"/>
    <x v="1"/>
    <x v="27"/>
    <x v="2"/>
    <x v="130"/>
    <x v="86"/>
  </r>
  <r>
    <x v="18"/>
    <x v="3"/>
    <x v="23"/>
    <x v="23"/>
    <x v="21"/>
    <x v="28"/>
    <x v="21"/>
    <x v="28"/>
    <x v="1"/>
    <x v="1"/>
    <x v="4"/>
    <x v="1"/>
    <x v="27"/>
    <x v="2"/>
    <x v="131"/>
    <x v="87"/>
  </r>
  <r>
    <x v="18"/>
    <x v="3"/>
    <x v="23"/>
    <x v="23"/>
    <x v="21"/>
    <x v="28"/>
    <x v="21"/>
    <x v="28"/>
    <x v="1"/>
    <x v="1"/>
    <x v="4"/>
    <x v="1"/>
    <x v="27"/>
    <x v="2"/>
    <x v="132"/>
    <x v="88"/>
  </r>
  <r>
    <x v="18"/>
    <x v="3"/>
    <x v="23"/>
    <x v="23"/>
    <x v="21"/>
    <x v="28"/>
    <x v="21"/>
    <x v="28"/>
    <x v="1"/>
    <x v="1"/>
    <x v="4"/>
    <x v="1"/>
    <x v="27"/>
    <x v="2"/>
    <x v="133"/>
    <x v="81"/>
  </r>
  <r>
    <x v="18"/>
    <x v="3"/>
    <x v="23"/>
    <x v="23"/>
    <x v="21"/>
    <x v="28"/>
    <x v="21"/>
    <x v="28"/>
    <x v="1"/>
    <x v="1"/>
    <x v="4"/>
    <x v="1"/>
    <x v="27"/>
    <x v="2"/>
    <x v="134"/>
    <x v="89"/>
  </r>
  <r>
    <x v="18"/>
    <x v="3"/>
    <x v="23"/>
    <x v="23"/>
    <x v="21"/>
    <x v="28"/>
    <x v="21"/>
    <x v="28"/>
    <x v="1"/>
    <x v="1"/>
    <x v="4"/>
    <x v="1"/>
    <x v="27"/>
    <x v="2"/>
    <x v="135"/>
    <x v="90"/>
  </r>
  <r>
    <x v="18"/>
    <x v="3"/>
    <x v="23"/>
    <x v="23"/>
    <x v="21"/>
    <x v="28"/>
    <x v="21"/>
    <x v="28"/>
    <x v="1"/>
    <x v="1"/>
    <x v="4"/>
    <x v="1"/>
    <x v="27"/>
    <x v="2"/>
    <x v="136"/>
    <x v="91"/>
  </r>
  <r>
    <x v="18"/>
    <x v="3"/>
    <x v="23"/>
    <x v="23"/>
    <x v="21"/>
    <x v="28"/>
    <x v="21"/>
    <x v="28"/>
    <x v="1"/>
    <x v="1"/>
    <x v="4"/>
    <x v="1"/>
    <x v="27"/>
    <x v="2"/>
    <x v="137"/>
    <x v="17"/>
  </r>
  <r>
    <x v="18"/>
    <x v="3"/>
    <x v="23"/>
    <x v="23"/>
    <x v="21"/>
    <x v="28"/>
    <x v="21"/>
    <x v="28"/>
    <x v="1"/>
    <x v="1"/>
    <x v="4"/>
    <x v="1"/>
    <x v="27"/>
    <x v="2"/>
    <x v="138"/>
    <x v="92"/>
  </r>
  <r>
    <x v="18"/>
    <x v="3"/>
    <x v="23"/>
    <x v="23"/>
    <x v="21"/>
    <x v="28"/>
    <x v="21"/>
    <x v="28"/>
    <x v="1"/>
    <x v="1"/>
    <x v="4"/>
    <x v="1"/>
    <x v="27"/>
    <x v="2"/>
    <x v="139"/>
    <x v="92"/>
  </r>
  <r>
    <x v="18"/>
    <x v="3"/>
    <x v="23"/>
    <x v="23"/>
    <x v="21"/>
    <x v="28"/>
    <x v="21"/>
    <x v="28"/>
    <x v="1"/>
    <x v="1"/>
    <x v="4"/>
    <x v="1"/>
    <x v="27"/>
    <x v="2"/>
    <x v="140"/>
    <x v="93"/>
  </r>
  <r>
    <x v="18"/>
    <x v="3"/>
    <x v="23"/>
    <x v="23"/>
    <x v="21"/>
    <x v="28"/>
    <x v="21"/>
    <x v="28"/>
    <x v="1"/>
    <x v="1"/>
    <x v="4"/>
    <x v="1"/>
    <x v="27"/>
    <x v="2"/>
    <x v="141"/>
    <x v="94"/>
  </r>
  <r>
    <x v="18"/>
    <x v="3"/>
    <x v="23"/>
    <x v="23"/>
    <x v="21"/>
    <x v="28"/>
    <x v="21"/>
    <x v="28"/>
    <x v="1"/>
    <x v="1"/>
    <x v="4"/>
    <x v="1"/>
    <x v="27"/>
    <x v="2"/>
    <x v="142"/>
    <x v="80"/>
  </r>
  <r>
    <x v="18"/>
    <x v="3"/>
    <x v="23"/>
    <x v="23"/>
    <x v="21"/>
    <x v="28"/>
    <x v="21"/>
    <x v="28"/>
    <x v="1"/>
    <x v="1"/>
    <x v="4"/>
    <x v="1"/>
    <x v="27"/>
    <x v="2"/>
    <x v="143"/>
    <x v="95"/>
  </r>
  <r>
    <x v="18"/>
    <x v="3"/>
    <x v="23"/>
    <x v="23"/>
    <x v="21"/>
    <x v="28"/>
    <x v="21"/>
    <x v="28"/>
    <x v="1"/>
    <x v="1"/>
    <x v="4"/>
    <x v="1"/>
    <x v="27"/>
    <x v="2"/>
    <x v="144"/>
    <x v="93"/>
  </r>
  <r>
    <x v="18"/>
    <x v="3"/>
    <x v="23"/>
    <x v="23"/>
    <x v="21"/>
    <x v="28"/>
    <x v="21"/>
    <x v="28"/>
    <x v="1"/>
    <x v="1"/>
    <x v="4"/>
    <x v="1"/>
    <x v="27"/>
    <x v="2"/>
    <x v="145"/>
    <x v="94"/>
  </r>
  <r>
    <x v="18"/>
    <x v="3"/>
    <x v="23"/>
    <x v="23"/>
    <x v="21"/>
    <x v="28"/>
    <x v="21"/>
    <x v="28"/>
    <x v="1"/>
    <x v="1"/>
    <x v="4"/>
    <x v="1"/>
    <x v="27"/>
    <x v="2"/>
    <x v="146"/>
    <x v="96"/>
  </r>
  <r>
    <x v="18"/>
    <x v="3"/>
    <x v="23"/>
    <x v="23"/>
    <x v="21"/>
    <x v="28"/>
    <x v="21"/>
    <x v="28"/>
    <x v="1"/>
    <x v="1"/>
    <x v="4"/>
    <x v="1"/>
    <x v="27"/>
    <x v="2"/>
    <x v="147"/>
    <x v="97"/>
  </r>
  <r>
    <x v="18"/>
    <x v="3"/>
    <x v="23"/>
    <x v="23"/>
    <x v="21"/>
    <x v="28"/>
    <x v="21"/>
    <x v="28"/>
    <x v="1"/>
    <x v="1"/>
    <x v="4"/>
    <x v="1"/>
    <x v="27"/>
    <x v="2"/>
    <x v="148"/>
    <x v="95"/>
  </r>
  <r>
    <x v="18"/>
    <x v="3"/>
    <x v="23"/>
    <x v="23"/>
    <x v="21"/>
    <x v="28"/>
    <x v="21"/>
    <x v="28"/>
    <x v="1"/>
    <x v="1"/>
    <x v="4"/>
    <x v="1"/>
    <x v="27"/>
    <x v="2"/>
    <x v="149"/>
    <x v="98"/>
  </r>
  <r>
    <x v="18"/>
    <x v="3"/>
    <x v="23"/>
    <x v="23"/>
    <x v="21"/>
    <x v="28"/>
    <x v="21"/>
    <x v="28"/>
    <x v="1"/>
    <x v="1"/>
    <x v="4"/>
    <x v="1"/>
    <x v="27"/>
    <x v="2"/>
    <x v="150"/>
    <x v="92"/>
  </r>
  <r>
    <x v="18"/>
    <x v="3"/>
    <x v="23"/>
    <x v="23"/>
    <x v="21"/>
    <x v="28"/>
    <x v="21"/>
    <x v="28"/>
    <x v="1"/>
    <x v="1"/>
    <x v="4"/>
    <x v="1"/>
    <x v="27"/>
    <x v="2"/>
    <x v="151"/>
    <x v="99"/>
  </r>
  <r>
    <x v="18"/>
    <x v="3"/>
    <x v="23"/>
    <x v="23"/>
    <x v="21"/>
    <x v="28"/>
    <x v="21"/>
    <x v="28"/>
    <x v="1"/>
    <x v="1"/>
    <x v="4"/>
    <x v="1"/>
    <x v="27"/>
    <x v="2"/>
    <x v="152"/>
    <x v="58"/>
  </r>
  <r>
    <x v="18"/>
    <x v="3"/>
    <x v="23"/>
    <x v="23"/>
    <x v="21"/>
    <x v="28"/>
    <x v="21"/>
    <x v="28"/>
    <x v="1"/>
    <x v="1"/>
    <x v="4"/>
    <x v="1"/>
    <x v="27"/>
    <x v="2"/>
    <x v="153"/>
    <x v="100"/>
  </r>
  <r>
    <x v="18"/>
    <x v="3"/>
    <x v="23"/>
    <x v="23"/>
    <x v="21"/>
    <x v="28"/>
    <x v="21"/>
    <x v="28"/>
    <x v="1"/>
    <x v="1"/>
    <x v="4"/>
    <x v="1"/>
    <x v="27"/>
    <x v="2"/>
    <x v="154"/>
    <x v="101"/>
  </r>
  <r>
    <x v="18"/>
    <x v="3"/>
    <x v="23"/>
    <x v="23"/>
    <x v="21"/>
    <x v="28"/>
    <x v="21"/>
    <x v="28"/>
    <x v="1"/>
    <x v="1"/>
    <x v="4"/>
    <x v="1"/>
    <x v="27"/>
    <x v="2"/>
    <x v="155"/>
    <x v="102"/>
  </r>
  <r>
    <x v="18"/>
    <x v="3"/>
    <x v="23"/>
    <x v="23"/>
    <x v="21"/>
    <x v="28"/>
    <x v="21"/>
    <x v="28"/>
    <x v="1"/>
    <x v="1"/>
    <x v="4"/>
    <x v="1"/>
    <x v="27"/>
    <x v="2"/>
    <x v="156"/>
    <x v="103"/>
  </r>
  <r>
    <x v="18"/>
    <x v="3"/>
    <x v="23"/>
    <x v="23"/>
    <x v="21"/>
    <x v="28"/>
    <x v="21"/>
    <x v="28"/>
    <x v="1"/>
    <x v="1"/>
    <x v="4"/>
    <x v="1"/>
    <x v="27"/>
    <x v="2"/>
    <x v="157"/>
    <x v="104"/>
  </r>
  <r>
    <x v="18"/>
    <x v="3"/>
    <x v="23"/>
    <x v="23"/>
    <x v="21"/>
    <x v="28"/>
    <x v="21"/>
    <x v="28"/>
    <x v="1"/>
    <x v="1"/>
    <x v="4"/>
    <x v="1"/>
    <x v="27"/>
    <x v="2"/>
    <x v="158"/>
    <x v="33"/>
  </r>
  <r>
    <x v="18"/>
    <x v="3"/>
    <x v="23"/>
    <x v="23"/>
    <x v="21"/>
    <x v="28"/>
    <x v="21"/>
    <x v="28"/>
    <x v="1"/>
    <x v="1"/>
    <x v="4"/>
    <x v="1"/>
    <x v="27"/>
    <x v="2"/>
    <x v="159"/>
    <x v="105"/>
  </r>
  <r>
    <x v="18"/>
    <x v="3"/>
    <x v="23"/>
    <x v="23"/>
    <x v="21"/>
    <x v="28"/>
    <x v="21"/>
    <x v="28"/>
    <x v="1"/>
    <x v="1"/>
    <x v="4"/>
    <x v="1"/>
    <x v="27"/>
    <x v="2"/>
    <x v="160"/>
    <x v="106"/>
  </r>
  <r>
    <x v="18"/>
    <x v="3"/>
    <x v="23"/>
    <x v="23"/>
    <x v="21"/>
    <x v="28"/>
    <x v="21"/>
    <x v="28"/>
    <x v="1"/>
    <x v="1"/>
    <x v="4"/>
    <x v="1"/>
    <x v="27"/>
    <x v="2"/>
    <x v="161"/>
    <x v="61"/>
  </r>
  <r>
    <x v="18"/>
    <x v="3"/>
    <x v="23"/>
    <x v="23"/>
    <x v="21"/>
    <x v="28"/>
    <x v="21"/>
    <x v="28"/>
    <x v="1"/>
    <x v="1"/>
    <x v="4"/>
    <x v="1"/>
    <x v="27"/>
    <x v="2"/>
    <x v="162"/>
    <x v="107"/>
  </r>
  <r>
    <x v="18"/>
    <x v="3"/>
    <x v="23"/>
    <x v="23"/>
    <x v="21"/>
    <x v="28"/>
    <x v="21"/>
    <x v="28"/>
    <x v="1"/>
    <x v="1"/>
    <x v="4"/>
    <x v="1"/>
    <x v="27"/>
    <x v="2"/>
    <x v="163"/>
    <x v="108"/>
  </r>
  <r>
    <x v="18"/>
    <x v="3"/>
    <x v="23"/>
    <x v="23"/>
    <x v="21"/>
    <x v="28"/>
    <x v="21"/>
    <x v="28"/>
    <x v="1"/>
    <x v="1"/>
    <x v="4"/>
    <x v="1"/>
    <x v="27"/>
    <x v="2"/>
    <x v="164"/>
    <x v="109"/>
  </r>
  <r>
    <x v="18"/>
    <x v="3"/>
    <x v="23"/>
    <x v="23"/>
    <x v="21"/>
    <x v="28"/>
    <x v="21"/>
    <x v="28"/>
    <x v="1"/>
    <x v="1"/>
    <x v="4"/>
    <x v="1"/>
    <x v="27"/>
    <x v="2"/>
    <x v="165"/>
    <x v="109"/>
  </r>
  <r>
    <x v="18"/>
    <x v="3"/>
    <x v="23"/>
    <x v="23"/>
    <x v="21"/>
    <x v="28"/>
    <x v="21"/>
    <x v="28"/>
    <x v="1"/>
    <x v="1"/>
    <x v="4"/>
    <x v="1"/>
    <x v="27"/>
    <x v="2"/>
    <x v="166"/>
    <x v="25"/>
  </r>
  <r>
    <x v="18"/>
    <x v="3"/>
    <x v="23"/>
    <x v="23"/>
    <x v="21"/>
    <x v="28"/>
    <x v="21"/>
    <x v="28"/>
    <x v="1"/>
    <x v="1"/>
    <x v="4"/>
    <x v="1"/>
    <x v="27"/>
    <x v="2"/>
    <x v="167"/>
    <x v="110"/>
  </r>
  <r>
    <x v="18"/>
    <x v="3"/>
    <x v="23"/>
    <x v="23"/>
    <x v="21"/>
    <x v="28"/>
    <x v="21"/>
    <x v="28"/>
    <x v="1"/>
    <x v="1"/>
    <x v="4"/>
    <x v="1"/>
    <x v="27"/>
    <x v="2"/>
    <x v="168"/>
    <x v="111"/>
  </r>
  <r>
    <x v="18"/>
    <x v="3"/>
    <x v="23"/>
    <x v="23"/>
    <x v="21"/>
    <x v="28"/>
    <x v="21"/>
    <x v="28"/>
    <x v="1"/>
    <x v="1"/>
    <x v="4"/>
    <x v="1"/>
    <x v="27"/>
    <x v="2"/>
    <x v="169"/>
    <x v="110"/>
  </r>
  <r>
    <x v="18"/>
    <x v="3"/>
    <x v="23"/>
    <x v="23"/>
    <x v="21"/>
    <x v="28"/>
    <x v="21"/>
    <x v="28"/>
    <x v="1"/>
    <x v="1"/>
    <x v="4"/>
    <x v="1"/>
    <x v="27"/>
    <x v="2"/>
    <x v="170"/>
    <x v="111"/>
  </r>
  <r>
    <x v="18"/>
    <x v="3"/>
    <x v="23"/>
    <x v="23"/>
    <x v="21"/>
    <x v="28"/>
    <x v="21"/>
    <x v="28"/>
    <x v="1"/>
    <x v="1"/>
    <x v="4"/>
    <x v="1"/>
    <x v="27"/>
    <x v="2"/>
    <x v="171"/>
    <x v="110"/>
  </r>
  <r>
    <x v="18"/>
    <x v="3"/>
    <x v="23"/>
    <x v="23"/>
    <x v="21"/>
    <x v="28"/>
    <x v="21"/>
    <x v="28"/>
    <x v="1"/>
    <x v="1"/>
    <x v="4"/>
    <x v="1"/>
    <x v="27"/>
    <x v="2"/>
    <x v="172"/>
    <x v="111"/>
  </r>
  <r>
    <x v="18"/>
    <x v="3"/>
    <x v="23"/>
    <x v="23"/>
    <x v="21"/>
    <x v="28"/>
    <x v="21"/>
    <x v="28"/>
    <x v="1"/>
    <x v="1"/>
    <x v="4"/>
    <x v="1"/>
    <x v="27"/>
    <x v="2"/>
    <x v="173"/>
    <x v="75"/>
  </r>
  <r>
    <x v="18"/>
    <x v="3"/>
    <x v="23"/>
    <x v="23"/>
    <x v="21"/>
    <x v="28"/>
    <x v="21"/>
    <x v="28"/>
    <x v="1"/>
    <x v="1"/>
    <x v="4"/>
    <x v="1"/>
    <x v="27"/>
    <x v="2"/>
    <x v="174"/>
    <x v="31"/>
  </r>
  <r>
    <x v="18"/>
    <x v="3"/>
    <x v="23"/>
    <x v="23"/>
    <x v="21"/>
    <x v="28"/>
    <x v="21"/>
    <x v="28"/>
    <x v="1"/>
    <x v="1"/>
    <x v="4"/>
    <x v="1"/>
    <x v="27"/>
    <x v="2"/>
    <x v="175"/>
    <x v="32"/>
  </r>
  <r>
    <x v="18"/>
    <x v="3"/>
    <x v="23"/>
    <x v="23"/>
    <x v="21"/>
    <x v="28"/>
    <x v="21"/>
    <x v="28"/>
    <x v="1"/>
    <x v="1"/>
    <x v="4"/>
    <x v="1"/>
    <x v="27"/>
    <x v="2"/>
    <x v="176"/>
    <x v="31"/>
  </r>
  <r>
    <x v="18"/>
    <x v="3"/>
    <x v="23"/>
    <x v="23"/>
    <x v="21"/>
    <x v="28"/>
    <x v="21"/>
    <x v="28"/>
    <x v="1"/>
    <x v="1"/>
    <x v="4"/>
    <x v="1"/>
    <x v="27"/>
    <x v="2"/>
    <x v="177"/>
    <x v="112"/>
  </r>
  <r>
    <x v="18"/>
    <x v="3"/>
    <x v="23"/>
    <x v="23"/>
    <x v="21"/>
    <x v="28"/>
    <x v="21"/>
    <x v="28"/>
    <x v="1"/>
    <x v="1"/>
    <x v="4"/>
    <x v="1"/>
    <x v="27"/>
    <x v="2"/>
    <x v="178"/>
    <x v="113"/>
  </r>
  <r>
    <x v="18"/>
    <x v="3"/>
    <x v="23"/>
    <x v="23"/>
    <x v="21"/>
    <x v="28"/>
    <x v="21"/>
    <x v="28"/>
    <x v="1"/>
    <x v="1"/>
    <x v="4"/>
    <x v="1"/>
    <x v="27"/>
    <x v="2"/>
    <x v="179"/>
    <x v="60"/>
  </r>
  <r>
    <x v="18"/>
    <x v="3"/>
    <x v="23"/>
    <x v="23"/>
    <x v="21"/>
    <x v="28"/>
    <x v="21"/>
    <x v="28"/>
    <x v="1"/>
    <x v="1"/>
    <x v="4"/>
    <x v="1"/>
    <x v="27"/>
    <x v="2"/>
    <x v="180"/>
    <x v="114"/>
  </r>
  <r>
    <x v="18"/>
    <x v="3"/>
    <x v="23"/>
    <x v="23"/>
    <x v="21"/>
    <x v="28"/>
    <x v="21"/>
    <x v="28"/>
    <x v="1"/>
    <x v="1"/>
    <x v="4"/>
    <x v="1"/>
    <x v="27"/>
    <x v="2"/>
    <x v="181"/>
    <x v="32"/>
  </r>
  <r>
    <x v="18"/>
    <x v="3"/>
    <x v="23"/>
    <x v="23"/>
    <x v="21"/>
    <x v="28"/>
    <x v="21"/>
    <x v="28"/>
    <x v="1"/>
    <x v="1"/>
    <x v="4"/>
    <x v="1"/>
    <x v="27"/>
    <x v="2"/>
    <x v="182"/>
    <x v="115"/>
  </r>
  <r>
    <x v="18"/>
    <x v="3"/>
    <x v="23"/>
    <x v="23"/>
    <x v="21"/>
    <x v="28"/>
    <x v="21"/>
    <x v="28"/>
    <x v="1"/>
    <x v="1"/>
    <x v="4"/>
    <x v="1"/>
    <x v="27"/>
    <x v="2"/>
    <x v="183"/>
    <x v="116"/>
  </r>
  <r>
    <x v="18"/>
    <x v="3"/>
    <x v="23"/>
    <x v="23"/>
    <x v="21"/>
    <x v="28"/>
    <x v="21"/>
    <x v="28"/>
    <x v="1"/>
    <x v="1"/>
    <x v="4"/>
    <x v="1"/>
    <x v="27"/>
    <x v="2"/>
    <x v="184"/>
    <x v="32"/>
  </r>
  <r>
    <x v="18"/>
    <x v="3"/>
    <x v="23"/>
    <x v="23"/>
    <x v="21"/>
    <x v="28"/>
    <x v="21"/>
    <x v="28"/>
    <x v="1"/>
    <x v="1"/>
    <x v="4"/>
    <x v="1"/>
    <x v="27"/>
    <x v="2"/>
    <x v="185"/>
    <x v="33"/>
  </r>
  <r>
    <x v="18"/>
    <x v="3"/>
    <x v="23"/>
    <x v="23"/>
    <x v="21"/>
    <x v="28"/>
    <x v="21"/>
    <x v="28"/>
    <x v="1"/>
    <x v="1"/>
    <x v="4"/>
    <x v="1"/>
    <x v="27"/>
    <x v="2"/>
    <x v="186"/>
    <x v="44"/>
  </r>
  <r>
    <x v="18"/>
    <x v="3"/>
    <x v="23"/>
    <x v="23"/>
    <x v="21"/>
    <x v="28"/>
    <x v="21"/>
    <x v="28"/>
    <x v="1"/>
    <x v="1"/>
    <x v="4"/>
    <x v="1"/>
    <x v="27"/>
    <x v="2"/>
    <x v="187"/>
    <x v="117"/>
  </r>
  <r>
    <x v="18"/>
    <x v="3"/>
    <x v="23"/>
    <x v="23"/>
    <x v="21"/>
    <x v="28"/>
    <x v="21"/>
    <x v="28"/>
    <x v="1"/>
    <x v="1"/>
    <x v="4"/>
    <x v="1"/>
    <x v="27"/>
    <x v="2"/>
    <x v="188"/>
    <x v="42"/>
  </r>
  <r>
    <x v="18"/>
    <x v="3"/>
    <x v="23"/>
    <x v="23"/>
    <x v="21"/>
    <x v="28"/>
    <x v="21"/>
    <x v="28"/>
    <x v="1"/>
    <x v="1"/>
    <x v="4"/>
    <x v="1"/>
    <x v="27"/>
    <x v="2"/>
    <x v="189"/>
    <x v="118"/>
  </r>
  <r>
    <x v="18"/>
    <x v="3"/>
    <x v="23"/>
    <x v="23"/>
    <x v="21"/>
    <x v="28"/>
    <x v="21"/>
    <x v="28"/>
    <x v="1"/>
    <x v="1"/>
    <x v="4"/>
    <x v="1"/>
    <x v="27"/>
    <x v="2"/>
    <x v="190"/>
    <x v="33"/>
  </r>
  <r>
    <x v="18"/>
    <x v="3"/>
    <x v="23"/>
    <x v="23"/>
    <x v="21"/>
    <x v="28"/>
    <x v="21"/>
    <x v="28"/>
    <x v="1"/>
    <x v="1"/>
    <x v="4"/>
    <x v="1"/>
    <x v="27"/>
    <x v="2"/>
    <x v="191"/>
    <x v="119"/>
  </r>
  <r>
    <x v="18"/>
    <x v="3"/>
    <x v="23"/>
    <x v="23"/>
    <x v="21"/>
    <x v="28"/>
    <x v="21"/>
    <x v="28"/>
    <x v="1"/>
    <x v="1"/>
    <x v="4"/>
    <x v="1"/>
    <x v="27"/>
    <x v="2"/>
    <x v="192"/>
    <x v="117"/>
  </r>
  <r>
    <x v="18"/>
    <x v="3"/>
    <x v="23"/>
    <x v="23"/>
    <x v="21"/>
    <x v="28"/>
    <x v="21"/>
    <x v="28"/>
    <x v="1"/>
    <x v="1"/>
    <x v="4"/>
    <x v="1"/>
    <x v="27"/>
    <x v="2"/>
    <x v="193"/>
    <x v="120"/>
  </r>
  <r>
    <x v="18"/>
    <x v="3"/>
    <x v="23"/>
    <x v="23"/>
    <x v="21"/>
    <x v="28"/>
    <x v="21"/>
    <x v="28"/>
    <x v="1"/>
    <x v="1"/>
    <x v="4"/>
    <x v="1"/>
    <x v="27"/>
    <x v="2"/>
    <x v="194"/>
    <x v="121"/>
  </r>
  <r>
    <x v="18"/>
    <x v="3"/>
    <x v="23"/>
    <x v="23"/>
    <x v="21"/>
    <x v="28"/>
    <x v="21"/>
    <x v="28"/>
    <x v="1"/>
    <x v="1"/>
    <x v="4"/>
    <x v="1"/>
    <x v="27"/>
    <x v="2"/>
    <x v="195"/>
    <x v="89"/>
  </r>
  <r>
    <x v="18"/>
    <x v="3"/>
    <x v="23"/>
    <x v="23"/>
    <x v="21"/>
    <x v="28"/>
    <x v="21"/>
    <x v="28"/>
    <x v="1"/>
    <x v="1"/>
    <x v="4"/>
    <x v="1"/>
    <x v="27"/>
    <x v="2"/>
    <x v="196"/>
    <x v="122"/>
  </r>
  <r>
    <x v="18"/>
    <x v="3"/>
    <x v="23"/>
    <x v="23"/>
    <x v="21"/>
    <x v="28"/>
    <x v="21"/>
    <x v="28"/>
    <x v="1"/>
    <x v="1"/>
    <x v="4"/>
    <x v="1"/>
    <x v="27"/>
    <x v="2"/>
    <x v="197"/>
    <x v="77"/>
  </r>
  <r>
    <x v="18"/>
    <x v="3"/>
    <x v="23"/>
    <x v="23"/>
    <x v="21"/>
    <x v="28"/>
    <x v="21"/>
    <x v="28"/>
    <x v="1"/>
    <x v="1"/>
    <x v="4"/>
    <x v="1"/>
    <x v="27"/>
    <x v="2"/>
    <x v="198"/>
    <x v="35"/>
  </r>
  <r>
    <x v="18"/>
    <x v="3"/>
    <x v="23"/>
    <x v="23"/>
    <x v="21"/>
    <x v="28"/>
    <x v="21"/>
    <x v="28"/>
    <x v="1"/>
    <x v="1"/>
    <x v="4"/>
    <x v="1"/>
    <x v="27"/>
    <x v="2"/>
    <x v="199"/>
    <x v="123"/>
  </r>
  <r>
    <x v="18"/>
    <x v="3"/>
    <x v="23"/>
    <x v="23"/>
    <x v="21"/>
    <x v="28"/>
    <x v="21"/>
    <x v="28"/>
    <x v="1"/>
    <x v="1"/>
    <x v="4"/>
    <x v="1"/>
    <x v="27"/>
    <x v="2"/>
    <x v="200"/>
    <x v="117"/>
  </r>
  <r>
    <x v="18"/>
    <x v="3"/>
    <x v="23"/>
    <x v="23"/>
    <x v="21"/>
    <x v="28"/>
    <x v="21"/>
    <x v="28"/>
    <x v="1"/>
    <x v="1"/>
    <x v="4"/>
    <x v="1"/>
    <x v="27"/>
    <x v="2"/>
    <x v="201"/>
    <x v="124"/>
  </r>
  <r>
    <x v="18"/>
    <x v="3"/>
    <x v="23"/>
    <x v="23"/>
    <x v="21"/>
    <x v="28"/>
    <x v="21"/>
    <x v="28"/>
    <x v="1"/>
    <x v="1"/>
    <x v="4"/>
    <x v="1"/>
    <x v="27"/>
    <x v="2"/>
    <x v="202"/>
    <x v="125"/>
  </r>
  <r>
    <x v="18"/>
    <x v="3"/>
    <x v="23"/>
    <x v="23"/>
    <x v="21"/>
    <x v="28"/>
    <x v="21"/>
    <x v="28"/>
    <x v="1"/>
    <x v="1"/>
    <x v="4"/>
    <x v="1"/>
    <x v="27"/>
    <x v="2"/>
    <x v="203"/>
    <x v="125"/>
  </r>
  <r>
    <x v="18"/>
    <x v="3"/>
    <x v="23"/>
    <x v="23"/>
    <x v="21"/>
    <x v="28"/>
    <x v="21"/>
    <x v="28"/>
    <x v="1"/>
    <x v="1"/>
    <x v="4"/>
    <x v="1"/>
    <x v="27"/>
    <x v="2"/>
    <x v="204"/>
    <x v="39"/>
  </r>
  <r>
    <x v="18"/>
    <x v="3"/>
    <x v="23"/>
    <x v="23"/>
    <x v="21"/>
    <x v="28"/>
    <x v="21"/>
    <x v="28"/>
    <x v="1"/>
    <x v="1"/>
    <x v="4"/>
    <x v="1"/>
    <x v="27"/>
    <x v="2"/>
    <x v="205"/>
    <x v="126"/>
  </r>
  <r>
    <x v="18"/>
    <x v="3"/>
    <x v="23"/>
    <x v="23"/>
    <x v="21"/>
    <x v="28"/>
    <x v="21"/>
    <x v="28"/>
    <x v="1"/>
    <x v="1"/>
    <x v="4"/>
    <x v="1"/>
    <x v="27"/>
    <x v="2"/>
    <x v="206"/>
    <x v="66"/>
  </r>
  <r>
    <x v="18"/>
    <x v="3"/>
    <x v="23"/>
    <x v="23"/>
    <x v="21"/>
    <x v="28"/>
    <x v="21"/>
    <x v="28"/>
    <x v="1"/>
    <x v="1"/>
    <x v="4"/>
    <x v="1"/>
    <x v="27"/>
    <x v="2"/>
    <x v="207"/>
    <x v="127"/>
  </r>
  <r>
    <x v="18"/>
    <x v="3"/>
    <x v="23"/>
    <x v="23"/>
    <x v="21"/>
    <x v="28"/>
    <x v="21"/>
    <x v="28"/>
    <x v="1"/>
    <x v="1"/>
    <x v="4"/>
    <x v="1"/>
    <x v="27"/>
    <x v="2"/>
    <x v="208"/>
    <x v="128"/>
  </r>
  <r>
    <x v="18"/>
    <x v="3"/>
    <x v="23"/>
    <x v="23"/>
    <x v="21"/>
    <x v="28"/>
    <x v="21"/>
    <x v="28"/>
    <x v="1"/>
    <x v="1"/>
    <x v="4"/>
    <x v="1"/>
    <x v="27"/>
    <x v="2"/>
    <x v="209"/>
    <x v="126"/>
  </r>
  <r>
    <x v="18"/>
    <x v="3"/>
    <x v="23"/>
    <x v="23"/>
    <x v="21"/>
    <x v="28"/>
    <x v="21"/>
    <x v="28"/>
    <x v="1"/>
    <x v="1"/>
    <x v="4"/>
    <x v="1"/>
    <x v="27"/>
    <x v="2"/>
    <x v="210"/>
    <x v="129"/>
  </r>
  <r>
    <x v="18"/>
    <x v="3"/>
    <x v="23"/>
    <x v="23"/>
    <x v="21"/>
    <x v="28"/>
    <x v="21"/>
    <x v="28"/>
    <x v="1"/>
    <x v="1"/>
    <x v="4"/>
    <x v="1"/>
    <x v="27"/>
    <x v="2"/>
    <x v="211"/>
    <x v="105"/>
  </r>
  <r>
    <x v="18"/>
    <x v="3"/>
    <x v="23"/>
    <x v="23"/>
    <x v="21"/>
    <x v="28"/>
    <x v="21"/>
    <x v="28"/>
    <x v="1"/>
    <x v="1"/>
    <x v="4"/>
    <x v="1"/>
    <x v="27"/>
    <x v="2"/>
    <x v="212"/>
    <x v="130"/>
  </r>
  <r>
    <x v="18"/>
    <x v="3"/>
    <x v="23"/>
    <x v="23"/>
    <x v="21"/>
    <x v="28"/>
    <x v="21"/>
    <x v="28"/>
    <x v="1"/>
    <x v="1"/>
    <x v="4"/>
    <x v="1"/>
    <x v="27"/>
    <x v="2"/>
    <x v="213"/>
    <x v="131"/>
  </r>
  <r>
    <x v="18"/>
    <x v="3"/>
    <x v="23"/>
    <x v="23"/>
    <x v="21"/>
    <x v="28"/>
    <x v="21"/>
    <x v="28"/>
    <x v="1"/>
    <x v="1"/>
    <x v="4"/>
    <x v="1"/>
    <x v="27"/>
    <x v="2"/>
    <x v="214"/>
    <x v="132"/>
  </r>
  <r>
    <x v="18"/>
    <x v="3"/>
    <x v="23"/>
    <x v="23"/>
    <x v="21"/>
    <x v="28"/>
    <x v="21"/>
    <x v="28"/>
    <x v="1"/>
    <x v="1"/>
    <x v="4"/>
    <x v="1"/>
    <x v="27"/>
    <x v="2"/>
    <x v="215"/>
    <x v="58"/>
  </r>
  <r>
    <x v="18"/>
    <x v="3"/>
    <x v="23"/>
    <x v="23"/>
    <x v="21"/>
    <x v="28"/>
    <x v="21"/>
    <x v="28"/>
    <x v="1"/>
    <x v="1"/>
    <x v="4"/>
    <x v="1"/>
    <x v="27"/>
    <x v="2"/>
    <x v="216"/>
    <x v="133"/>
  </r>
  <r>
    <x v="18"/>
    <x v="3"/>
    <x v="23"/>
    <x v="23"/>
    <x v="21"/>
    <x v="28"/>
    <x v="21"/>
    <x v="28"/>
    <x v="1"/>
    <x v="1"/>
    <x v="4"/>
    <x v="1"/>
    <x v="27"/>
    <x v="2"/>
    <x v="217"/>
    <x v="134"/>
  </r>
  <r>
    <x v="18"/>
    <x v="3"/>
    <x v="23"/>
    <x v="23"/>
    <x v="21"/>
    <x v="28"/>
    <x v="21"/>
    <x v="28"/>
    <x v="1"/>
    <x v="1"/>
    <x v="4"/>
    <x v="1"/>
    <x v="27"/>
    <x v="2"/>
    <x v="218"/>
    <x v="135"/>
  </r>
  <r>
    <x v="18"/>
    <x v="3"/>
    <x v="23"/>
    <x v="23"/>
    <x v="21"/>
    <x v="28"/>
    <x v="21"/>
    <x v="28"/>
    <x v="1"/>
    <x v="1"/>
    <x v="4"/>
    <x v="1"/>
    <x v="27"/>
    <x v="2"/>
    <x v="219"/>
    <x v="136"/>
  </r>
  <r>
    <x v="18"/>
    <x v="3"/>
    <x v="23"/>
    <x v="23"/>
    <x v="21"/>
    <x v="28"/>
    <x v="21"/>
    <x v="28"/>
    <x v="1"/>
    <x v="1"/>
    <x v="4"/>
    <x v="1"/>
    <x v="27"/>
    <x v="2"/>
    <x v="220"/>
    <x v="137"/>
  </r>
  <r>
    <x v="18"/>
    <x v="3"/>
    <x v="23"/>
    <x v="23"/>
    <x v="21"/>
    <x v="28"/>
    <x v="21"/>
    <x v="28"/>
    <x v="1"/>
    <x v="1"/>
    <x v="4"/>
    <x v="1"/>
    <x v="27"/>
    <x v="2"/>
    <x v="221"/>
    <x v="138"/>
  </r>
  <r>
    <x v="18"/>
    <x v="3"/>
    <x v="23"/>
    <x v="23"/>
    <x v="21"/>
    <x v="28"/>
    <x v="21"/>
    <x v="28"/>
    <x v="1"/>
    <x v="1"/>
    <x v="4"/>
    <x v="1"/>
    <x v="27"/>
    <x v="2"/>
    <x v="222"/>
    <x v="105"/>
  </r>
  <r>
    <x v="18"/>
    <x v="3"/>
    <x v="23"/>
    <x v="23"/>
    <x v="21"/>
    <x v="28"/>
    <x v="21"/>
    <x v="28"/>
    <x v="1"/>
    <x v="1"/>
    <x v="4"/>
    <x v="1"/>
    <x v="27"/>
    <x v="2"/>
    <x v="223"/>
    <x v="139"/>
  </r>
  <r>
    <x v="18"/>
    <x v="3"/>
    <x v="23"/>
    <x v="23"/>
    <x v="21"/>
    <x v="28"/>
    <x v="21"/>
    <x v="28"/>
    <x v="1"/>
    <x v="1"/>
    <x v="4"/>
    <x v="1"/>
    <x v="27"/>
    <x v="2"/>
    <x v="224"/>
    <x v="140"/>
  </r>
  <r>
    <x v="18"/>
    <x v="3"/>
    <x v="23"/>
    <x v="23"/>
    <x v="21"/>
    <x v="28"/>
    <x v="21"/>
    <x v="28"/>
    <x v="1"/>
    <x v="1"/>
    <x v="4"/>
    <x v="1"/>
    <x v="27"/>
    <x v="2"/>
    <x v="225"/>
    <x v="141"/>
  </r>
  <r>
    <x v="18"/>
    <x v="3"/>
    <x v="23"/>
    <x v="23"/>
    <x v="21"/>
    <x v="28"/>
    <x v="21"/>
    <x v="28"/>
    <x v="1"/>
    <x v="1"/>
    <x v="4"/>
    <x v="1"/>
    <x v="27"/>
    <x v="2"/>
    <x v="226"/>
    <x v="142"/>
  </r>
  <r>
    <x v="18"/>
    <x v="3"/>
    <x v="23"/>
    <x v="23"/>
    <x v="21"/>
    <x v="28"/>
    <x v="21"/>
    <x v="28"/>
    <x v="1"/>
    <x v="1"/>
    <x v="4"/>
    <x v="1"/>
    <x v="27"/>
    <x v="2"/>
    <x v="227"/>
    <x v="143"/>
  </r>
  <r>
    <x v="18"/>
    <x v="3"/>
    <x v="23"/>
    <x v="23"/>
    <x v="21"/>
    <x v="28"/>
    <x v="21"/>
    <x v="28"/>
    <x v="1"/>
    <x v="1"/>
    <x v="4"/>
    <x v="1"/>
    <x v="27"/>
    <x v="2"/>
    <x v="228"/>
    <x v="144"/>
  </r>
  <r>
    <x v="18"/>
    <x v="3"/>
    <x v="23"/>
    <x v="23"/>
    <x v="21"/>
    <x v="28"/>
    <x v="21"/>
    <x v="28"/>
    <x v="1"/>
    <x v="1"/>
    <x v="4"/>
    <x v="1"/>
    <x v="27"/>
    <x v="2"/>
    <x v="229"/>
    <x v="65"/>
  </r>
  <r>
    <x v="18"/>
    <x v="3"/>
    <x v="23"/>
    <x v="23"/>
    <x v="21"/>
    <x v="28"/>
    <x v="21"/>
    <x v="28"/>
    <x v="1"/>
    <x v="1"/>
    <x v="4"/>
    <x v="1"/>
    <x v="27"/>
    <x v="2"/>
    <x v="230"/>
    <x v="145"/>
  </r>
  <r>
    <x v="18"/>
    <x v="3"/>
    <x v="23"/>
    <x v="23"/>
    <x v="21"/>
    <x v="28"/>
    <x v="21"/>
    <x v="28"/>
    <x v="1"/>
    <x v="1"/>
    <x v="4"/>
    <x v="1"/>
    <x v="27"/>
    <x v="2"/>
    <x v="231"/>
    <x v="146"/>
  </r>
  <r>
    <x v="18"/>
    <x v="3"/>
    <x v="23"/>
    <x v="23"/>
    <x v="21"/>
    <x v="28"/>
    <x v="21"/>
    <x v="28"/>
    <x v="1"/>
    <x v="1"/>
    <x v="4"/>
    <x v="1"/>
    <x v="27"/>
    <x v="2"/>
    <x v="232"/>
    <x v="147"/>
  </r>
  <r>
    <x v="18"/>
    <x v="3"/>
    <x v="23"/>
    <x v="23"/>
    <x v="21"/>
    <x v="28"/>
    <x v="21"/>
    <x v="28"/>
    <x v="1"/>
    <x v="1"/>
    <x v="4"/>
    <x v="1"/>
    <x v="27"/>
    <x v="2"/>
    <x v="233"/>
    <x v="148"/>
  </r>
  <r>
    <x v="18"/>
    <x v="3"/>
    <x v="23"/>
    <x v="23"/>
    <x v="21"/>
    <x v="28"/>
    <x v="21"/>
    <x v="28"/>
    <x v="1"/>
    <x v="1"/>
    <x v="4"/>
    <x v="1"/>
    <x v="27"/>
    <x v="2"/>
    <x v="234"/>
    <x v="149"/>
  </r>
  <r>
    <x v="18"/>
    <x v="3"/>
    <x v="23"/>
    <x v="23"/>
    <x v="21"/>
    <x v="28"/>
    <x v="21"/>
    <x v="28"/>
    <x v="1"/>
    <x v="1"/>
    <x v="4"/>
    <x v="1"/>
    <x v="27"/>
    <x v="2"/>
    <x v="235"/>
    <x v="150"/>
  </r>
  <r>
    <x v="18"/>
    <x v="3"/>
    <x v="23"/>
    <x v="23"/>
    <x v="21"/>
    <x v="28"/>
    <x v="21"/>
    <x v="28"/>
    <x v="1"/>
    <x v="1"/>
    <x v="4"/>
    <x v="1"/>
    <x v="27"/>
    <x v="2"/>
    <x v="236"/>
    <x v="151"/>
  </r>
  <r>
    <x v="18"/>
    <x v="3"/>
    <x v="23"/>
    <x v="23"/>
    <x v="21"/>
    <x v="28"/>
    <x v="21"/>
    <x v="28"/>
    <x v="1"/>
    <x v="1"/>
    <x v="4"/>
    <x v="1"/>
    <x v="27"/>
    <x v="2"/>
    <x v="237"/>
    <x v="152"/>
  </r>
  <r>
    <x v="18"/>
    <x v="3"/>
    <x v="23"/>
    <x v="23"/>
    <x v="21"/>
    <x v="28"/>
    <x v="21"/>
    <x v="28"/>
    <x v="1"/>
    <x v="1"/>
    <x v="4"/>
    <x v="1"/>
    <x v="27"/>
    <x v="2"/>
    <x v="238"/>
    <x v="105"/>
  </r>
  <r>
    <x v="18"/>
    <x v="3"/>
    <x v="23"/>
    <x v="23"/>
    <x v="21"/>
    <x v="28"/>
    <x v="21"/>
    <x v="28"/>
    <x v="1"/>
    <x v="1"/>
    <x v="4"/>
    <x v="1"/>
    <x v="27"/>
    <x v="2"/>
    <x v="239"/>
    <x v="153"/>
  </r>
  <r>
    <x v="18"/>
    <x v="3"/>
    <x v="23"/>
    <x v="23"/>
    <x v="21"/>
    <x v="28"/>
    <x v="21"/>
    <x v="28"/>
    <x v="1"/>
    <x v="1"/>
    <x v="4"/>
    <x v="1"/>
    <x v="27"/>
    <x v="2"/>
    <x v="240"/>
    <x v="154"/>
  </r>
  <r>
    <x v="18"/>
    <x v="3"/>
    <x v="23"/>
    <x v="23"/>
    <x v="21"/>
    <x v="28"/>
    <x v="21"/>
    <x v="28"/>
    <x v="1"/>
    <x v="1"/>
    <x v="4"/>
    <x v="1"/>
    <x v="27"/>
    <x v="2"/>
    <x v="241"/>
    <x v="155"/>
  </r>
  <r>
    <x v="18"/>
    <x v="3"/>
    <x v="23"/>
    <x v="23"/>
    <x v="21"/>
    <x v="28"/>
    <x v="21"/>
    <x v="28"/>
    <x v="1"/>
    <x v="1"/>
    <x v="4"/>
    <x v="1"/>
    <x v="27"/>
    <x v="2"/>
    <x v="242"/>
    <x v="156"/>
  </r>
  <r>
    <x v="18"/>
    <x v="3"/>
    <x v="23"/>
    <x v="23"/>
    <x v="21"/>
    <x v="28"/>
    <x v="21"/>
    <x v="28"/>
    <x v="1"/>
    <x v="1"/>
    <x v="4"/>
    <x v="1"/>
    <x v="27"/>
    <x v="2"/>
    <x v="243"/>
    <x v="157"/>
  </r>
  <r>
    <x v="18"/>
    <x v="3"/>
    <x v="23"/>
    <x v="23"/>
    <x v="21"/>
    <x v="28"/>
    <x v="21"/>
    <x v="28"/>
    <x v="1"/>
    <x v="1"/>
    <x v="4"/>
    <x v="1"/>
    <x v="27"/>
    <x v="2"/>
    <x v="244"/>
    <x v="158"/>
  </r>
  <r>
    <x v="18"/>
    <x v="3"/>
    <x v="23"/>
    <x v="23"/>
    <x v="21"/>
    <x v="28"/>
    <x v="21"/>
    <x v="28"/>
    <x v="1"/>
    <x v="1"/>
    <x v="4"/>
    <x v="1"/>
    <x v="27"/>
    <x v="2"/>
    <x v="245"/>
    <x v="159"/>
  </r>
  <r>
    <x v="18"/>
    <x v="3"/>
    <x v="23"/>
    <x v="23"/>
    <x v="21"/>
    <x v="28"/>
    <x v="21"/>
    <x v="28"/>
    <x v="1"/>
    <x v="1"/>
    <x v="4"/>
    <x v="1"/>
    <x v="27"/>
    <x v="2"/>
    <x v="246"/>
    <x v="160"/>
  </r>
  <r>
    <x v="18"/>
    <x v="3"/>
    <x v="23"/>
    <x v="23"/>
    <x v="21"/>
    <x v="28"/>
    <x v="21"/>
    <x v="28"/>
    <x v="1"/>
    <x v="1"/>
    <x v="4"/>
    <x v="1"/>
    <x v="27"/>
    <x v="2"/>
    <x v="247"/>
    <x v="161"/>
  </r>
  <r>
    <x v="18"/>
    <x v="3"/>
    <x v="23"/>
    <x v="23"/>
    <x v="21"/>
    <x v="28"/>
    <x v="21"/>
    <x v="28"/>
    <x v="1"/>
    <x v="1"/>
    <x v="4"/>
    <x v="1"/>
    <x v="27"/>
    <x v="2"/>
    <x v="248"/>
    <x v="162"/>
  </r>
  <r>
    <x v="18"/>
    <x v="3"/>
    <x v="23"/>
    <x v="23"/>
    <x v="21"/>
    <x v="28"/>
    <x v="21"/>
    <x v="28"/>
    <x v="1"/>
    <x v="1"/>
    <x v="4"/>
    <x v="1"/>
    <x v="27"/>
    <x v="2"/>
    <x v="249"/>
    <x v="163"/>
  </r>
  <r>
    <x v="18"/>
    <x v="3"/>
    <x v="23"/>
    <x v="23"/>
    <x v="21"/>
    <x v="28"/>
    <x v="21"/>
    <x v="28"/>
    <x v="1"/>
    <x v="1"/>
    <x v="4"/>
    <x v="1"/>
    <x v="27"/>
    <x v="2"/>
    <x v="250"/>
    <x v="163"/>
  </r>
  <r>
    <x v="18"/>
    <x v="3"/>
    <x v="23"/>
    <x v="23"/>
    <x v="21"/>
    <x v="28"/>
    <x v="21"/>
    <x v="28"/>
    <x v="1"/>
    <x v="1"/>
    <x v="4"/>
    <x v="1"/>
    <x v="27"/>
    <x v="2"/>
    <x v="251"/>
    <x v="164"/>
  </r>
  <r>
    <x v="18"/>
    <x v="3"/>
    <x v="23"/>
    <x v="23"/>
    <x v="21"/>
    <x v="28"/>
    <x v="21"/>
    <x v="28"/>
    <x v="1"/>
    <x v="1"/>
    <x v="4"/>
    <x v="1"/>
    <x v="27"/>
    <x v="2"/>
    <x v="252"/>
    <x v="164"/>
  </r>
  <r>
    <x v="18"/>
    <x v="3"/>
    <x v="23"/>
    <x v="23"/>
    <x v="21"/>
    <x v="28"/>
    <x v="21"/>
    <x v="28"/>
    <x v="1"/>
    <x v="1"/>
    <x v="4"/>
    <x v="1"/>
    <x v="27"/>
    <x v="2"/>
    <x v="253"/>
    <x v="165"/>
  </r>
  <r>
    <x v="18"/>
    <x v="3"/>
    <x v="23"/>
    <x v="23"/>
    <x v="21"/>
    <x v="28"/>
    <x v="21"/>
    <x v="28"/>
    <x v="1"/>
    <x v="1"/>
    <x v="4"/>
    <x v="1"/>
    <x v="27"/>
    <x v="2"/>
    <x v="254"/>
    <x v="166"/>
  </r>
  <r>
    <x v="18"/>
    <x v="3"/>
    <x v="23"/>
    <x v="23"/>
    <x v="21"/>
    <x v="28"/>
    <x v="21"/>
    <x v="28"/>
    <x v="1"/>
    <x v="1"/>
    <x v="4"/>
    <x v="1"/>
    <x v="27"/>
    <x v="2"/>
    <x v="255"/>
    <x v="167"/>
  </r>
  <r>
    <x v="18"/>
    <x v="3"/>
    <x v="23"/>
    <x v="23"/>
    <x v="21"/>
    <x v="28"/>
    <x v="21"/>
    <x v="28"/>
    <x v="1"/>
    <x v="1"/>
    <x v="4"/>
    <x v="1"/>
    <x v="27"/>
    <x v="2"/>
    <x v="256"/>
    <x v="168"/>
  </r>
  <r>
    <x v="18"/>
    <x v="3"/>
    <x v="23"/>
    <x v="23"/>
    <x v="21"/>
    <x v="28"/>
    <x v="21"/>
    <x v="28"/>
    <x v="1"/>
    <x v="1"/>
    <x v="4"/>
    <x v="1"/>
    <x v="27"/>
    <x v="2"/>
    <x v="257"/>
    <x v="169"/>
  </r>
  <r>
    <x v="18"/>
    <x v="3"/>
    <x v="23"/>
    <x v="23"/>
    <x v="21"/>
    <x v="28"/>
    <x v="21"/>
    <x v="28"/>
    <x v="1"/>
    <x v="1"/>
    <x v="4"/>
    <x v="1"/>
    <x v="27"/>
    <x v="2"/>
    <x v="258"/>
    <x v="170"/>
  </r>
  <r>
    <x v="18"/>
    <x v="3"/>
    <x v="23"/>
    <x v="23"/>
    <x v="21"/>
    <x v="28"/>
    <x v="21"/>
    <x v="28"/>
    <x v="1"/>
    <x v="1"/>
    <x v="4"/>
    <x v="1"/>
    <x v="27"/>
    <x v="2"/>
    <x v="259"/>
    <x v="171"/>
  </r>
  <r>
    <x v="18"/>
    <x v="3"/>
    <x v="23"/>
    <x v="23"/>
    <x v="21"/>
    <x v="28"/>
    <x v="21"/>
    <x v="28"/>
    <x v="1"/>
    <x v="1"/>
    <x v="4"/>
    <x v="1"/>
    <x v="27"/>
    <x v="2"/>
    <x v="260"/>
    <x v="172"/>
  </r>
  <r>
    <x v="18"/>
    <x v="3"/>
    <x v="23"/>
    <x v="23"/>
    <x v="21"/>
    <x v="28"/>
    <x v="21"/>
    <x v="28"/>
    <x v="1"/>
    <x v="1"/>
    <x v="4"/>
    <x v="1"/>
    <x v="27"/>
    <x v="2"/>
    <x v="261"/>
    <x v="173"/>
  </r>
  <r>
    <x v="18"/>
    <x v="3"/>
    <x v="23"/>
    <x v="23"/>
    <x v="21"/>
    <x v="28"/>
    <x v="21"/>
    <x v="28"/>
    <x v="1"/>
    <x v="1"/>
    <x v="4"/>
    <x v="1"/>
    <x v="27"/>
    <x v="2"/>
    <x v="262"/>
    <x v="174"/>
  </r>
  <r>
    <x v="18"/>
    <x v="3"/>
    <x v="23"/>
    <x v="23"/>
    <x v="21"/>
    <x v="28"/>
    <x v="21"/>
    <x v="28"/>
    <x v="1"/>
    <x v="1"/>
    <x v="4"/>
    <x v="1"/>
    <x v="27"/>
    <x v="2"/>
    <x v="263"/>
    <x v="175"/>
  </r>
  <r>
    <x v="18"/>
    <x v="3"/>
    <x v="23"/>
    <x v="23"/>
    <x v="21"/>
    <x v="28"/>
    <x v="21"/>
    <x v="28"/>
    <x v="1"/>
    <x v="1"/>
    <x v="4"/>
    <x v="1"/>
    <x v="27"/>
    <x v="2"/>
    <x v="264"/>
    <x v="176"/>
  </r>
  <r>
    <x v="18"/>
    <x v="3"/>
    <x v="23"/>
    <x v="23"/>
    <x v="21"/>
    <x v="28"/>
    <x v="21"/>
    <x v="28"/>
    <x v="1"/>
    <x v="1"/>
    <x v="4"/>
    <x v="1"/>
    <x v="27"/>
    <x v="2"/>
    <x v="265"/>
    <x v="177"/>
  </r>
  <r>
    <x v="18"/>
    <x v="3"/>
    <x v="23"/>
    <x v="23"/>
    <x v="21"/>
    <x v="28"/>
    <x v="21"/>
    <x v="28"/>
    <x v="1"/>
    <x v="1"/>
    <x v="4"/>
    <x v="1"/>
    <x v="27"/>
    <x v="2"/>
    <x v="266"/>
    <x v="178"/>
  </r>
  <r>
    <x v="18"/>
    <x v="3"/>
    <x v="23"/>
    <x v="23"/>
    <x v="21"/>
    <x v="28"/>
    <x v="21"/>
    <x v="28"/>
    <x v="1"/>
    <x v="1"/>
    <x v="4"/>
    <x v="1"/>
    <x v="27"/>
    <x v="2"/>
    <x v="267"/>
    <x v="105"/>
  </r>
  <r>
    <x v="18"/>
    <x v="3"/>
    <x v="23"/>
    <x v="23"/>
    <x v="21"/>
    <x v="28"/>
    <x v="21"/>
    <x v="28"/>
    <x v="1"/>
    <x v="1"/>
    <x v="4"/>
    <x v="1"/>
    <x v="27"/>
    <x v="2"/>
    <x v="268"/>
    <x v="153"/>
  </r>
  <r>
    <x v="18"/>
    <x v="3"/>
    <x v="23"/>
    <x v="23"/>
    <x v="21"/>
    <x v="28"/>
    <x v="21"/>
    <x v="28"/>
    <x v="1"/>
    <x v="1"/>
    <x v="4"/>
    <x v="1"/>
    <x v="27"/>
    <x v="2"/>
    <x v="269"/>
    <x v="179"/>
  </r>
  <r>
    <x v="18"/>
    <x v="3"/>
    <x v="23"/>
    <x v="23"/>
    <x v="21"/>
    <x v="28"/>
    <x v="21"/>
    <x v="28"/>
    <x v="1"/>
    <x v="1"/>
    <x v="4"/>
    <x v="1"/>
    <x v="27"/>
    <x v="2"/>
    <x v="270"/>
    <x v="179"/>
  </r>
  <r>
    <x v="18"/>
    <x v="3"/>
    <x v="23"/>
    <x v="23"/>
    <x v="21"/>
    <x v="28"/>
    <x v="21"/>
    <x v="28"/>
    <x v="1"/>
    <x v="1"/>
    <x v="4"/>
    <x v="1"/>
    <x v="27"/>
    <x v="2"/>
    <x v="271"/>
    <x v="179"/>
  </r>
  <r>
    <x v="18"/>
    <x v="3"/>
    <x v="23"/>
    <x v="23"/>
    <x v="21"/>
    <x v="28"/>
    <x v="21"/>
    <x v="28"/>
    <x v="1"/>
    <x v="1"/>
    <x v="4"/>
    <x v="1"/>
    <x v="27"/>
    <x v="2"/>
    <x v="272"/>
    <x v="179"/>
  </r>
  <r>
    <x v="18"/>
    <x v="3"/>
    <x v="23"/>
    <x v="23"/>
    <x v="21"/>
    <x v="28"/>
    <x v="21"/>
    <x v="28"/>
    <x v="1"/>
    <x v="1"/>
    <x v="4"/>
    <x v="1"/>
    <x v="27"/>
    <x v="2"/>
    <x v="273"/>
    <x v="179"/>
  </r>
  <r>
    <x v="18"/>
    <x v="3"/>
    <x v="23"/>
    <x v="23"/>
    <x v="21"/>
    <x v="28"/>
    <x v="21"/>
    <x v="28"/>
    <x v="1"/>
    <x v="1"/>
    <x v="4"/>
    <x v="1"/>
    <x v="27"/>
    <x v="2"/>
    <x v="274"/>
    <x v="180"/>
  </r>
  <r>
    <x v="18"/>
    <x v="3"/>
    <x v="23"/>
    <x v="23"/>
    <x v="21"/>
    <x v="28"/>
    <x v="21"/>
    <x v="28"/>
    <x v="1"/>
    <x v="1"/>
    <x v="4"/>
    <x v="1"/>
    <x v="27"/>
    <x v="2"/>
    <x v="275"/>
    <x v="108"/>
  </r>
  <r>
    <x v="18"/>
    <x v="3"/>
    <x v="23"/>
    <x v="23"/>
    <x v="21"/>
    <x v="28"/>
    <x v="21"/>
    <x v="28"/>
    <x v="1"/>
    <x v="1"/>
    <x v="4"/>
    <x v="1"/>
    <x v="27"/>
    <x v="2"/>
    <x v="276"/>
    <x v="181"/>
  </r>
  <r>
    <x v="18"/>
    <x v="3"/>
    <x v="23"/>
    <x v="23"/>
    <x v="21"/>
    <x v="28"/>
    <x v="21"/>
    <x v="28"/>
    <x v="1"/>
    <x v="1"/>
    <x v="4"/>
    <x v="1"/>
    <x v="27"/>
    <x v="2"/>
    <x v="277"/>
    <x v="182"/>
  </r>
  <r>
    <x v="18"/>
    <x v="3"/>
    <x v="23"/>
    <x v="23"/>
    <x v="21"/>
    <x v="28"/>
    <x v="21"/>
    <x v="28"/>
    <x v="1"/>
    <x v="1"/>
    <x v="4"/>
    <x v="1"/>
    <x v="27"/>
    <x v="2"/>
    <x v="278"/>
    <x v="40"/>
  </r>
  <r>
    <x v="18"/>
    <x v="3"/>
    <x v="23"/>
    <x v="23"/>
    <x v="21"/>
    <x v="28"/>
    <x v="21"/>
    <x v="28"/>
    <x v="1"/>
    <x v="1"/>
    <x v="4"/>
    <x v="1"/>
    <x v="27"/>
    <x v="2"/>
    <x v="279"/>
    <x v="130"/>
  </r>
  <r>
    <x v="18"/>
    <x v="3"/>
    <x v="23"/>
    <x v="23"/>
    <x v="21"/>
    <x v="28"/>
    <x v="21"/>
    <x v="28"/>
    <x v="1"/>
    <x v="1"/>
    <x v="4"/>
    <x v="1"/>
    <x v="27"/>
    <x v="2"/>
    <x v="280"/>
    <x v="183"/>
  </r>
  <r>
    <x v="18"/>
    <x v="3"/>
    <x v="23"/>
    <x v="23"/>
    <x v="21"/>
    <x v="28"/>
    <x v="21"/>
    <x v="28"/>
    <x v="1"/>
    <x v="1"/>
    <x v="4"/>
    <x v="1"/>
    <x v="27"/>
    <x v="2"/>
    <x v="281"/>
    <x v="184"/>
  </r>
  <r>
    <x v="18"/>
    <x v="3"/>
    <x v="23"/>
    <x v="23"/>
    <x v="21"/>
    <x v="28"/>
    <x v="21"/>
    <x v="28"/>
    <x v="1"/>
    <x v="1"/>
    <x v="4"/>
    <x v="1"/>
    <x v="27"/>
    <x v="2"/>
    <x v="282"/>
    <x v="184"/>
  </r>
  <r>
    <x v="18"/>
    <x v="3"/>
    <x v="23"/>
    <x v="23"/>
    <x v="21"/>
    <x v="28"/>
    <x v="21"/>
    <x v="28"/>
    <x v="1"/>
    <x v="1"/>
    <x v="4"/>
    <x v="1"/>
    <x v="27"/>
    <x v="2"/>
    <x v="283"/>
    <x v="185"/>
  </r>
  <r>
    <x v="18"/>
    <x v="3"/>
    <x v="23"/>
    <x v="23"/>
    <x v="21"/>
    <x v="28"/>
    <x v="21"/>
    <x v="28"/>
    <x v="1"/>
    <x v="1"/>
    <x v="4"/>
    <x v="1"/>
    <x v="27"/>
    <x v="2"/>
    <x v="284"/>
    <x v="186"/>
  </r>
  <r>
    <x v="18"/>
    <x v="3"/>
    <x v="23"/>
    <x v="23"/>
    <x v="21"/>
    <x v="28"/>
    <x v="21"/>
    <x v="28"/>
    <x v="1"/>
    <x v="1"/>
    <x v="4"/>
    <x v="1"/>
    <x v="27"/>
    <x v="2"/>
    <x v="285"/>
    <x v="187"/>
  </r>
  <r>
    <x v="18"/>
    <x v="3"/>
    <x v="23"/>
    <x v="23"/>
    <x v="21"/>
    <x v="28"/>
    <x v="21"/>
    <x v="28"/>
    <x v="1"/>
    <x v="1"/>
    <x v="4"/>
    <x v="1"/>
    <x v="27"/>
    <x v="2"/>
    <x v="286"/>
    <x v="188"/>
  </r>
  <r>
    <x v="18"/>
    <x v="3"/>
    <x v="23"/>
    <x v="23"/>
    <x v="21"/>
    <x v="28"/>
    <x v="21"/>
    <x v="28"/>
    <x v="1"/>
    <x v="1"/>
    <x v="4"/>
    <x v="1"/>
    <x v="27"/>
    <x v="2"/>
    <x v="287"/>
    <x v="134"/>
  </r>
  <r>
    <x v="18"/>
    <x v="3"/>
    <x v="23"/>
    <x v="23"/>
    <x v="21"/>
    <x v="28"/>
    <x v="21"/>
    <x v="28"/>
    <x v="1"/>
    <x v="1"/>
    <x v="4"/>
    <x v="1"/>
    <x v="27"/>
    <x v="2"/>
    <x v="288"/>
    <x v="189"/>
  </r>
  <r>
    <x v="18"/>
    <x v="3"/>
    <x v="23"/>
    <x v="23"/>
    <x v="21"/>
    <x v="28"/>
    <x v="21"/>
    <x v="28"/>
    <x v="1"/>
    <x v="1"/>
    <x v="4"/>
    <x v="1"/>
    <x v="27"/>
    <x v="2"/>
    <x v="289"/>
    <x v="190"/>
  </r>
  <r>
    <x v="18"/>
    <x v="3"/>
    <x v="23"/>
    <x v="23"/>
    <x v="21"/>
    <x v="28"/>
    <x v="21"/>
    <x v="28"/>
    <x v="1"/>
    <x v="1"/>
    <x v="4"/>
    <x v="1"/>
    <x v="27"/>
    <x v="2"/>
    <x v="290"/>
    <x v="139"/>
  </r>
  <r>
    <x v="18"/>
    <x v="3"/>
    <x v="23"/>
    <x v="23"/>
    <x v="21"/>
    <x v="28"/>
    <x v="21"/>
    <x v="28"/>
    <x v="1"/>
    <x v="1"/>
    <x v="4"/>
    <x v="1"/>
    <x v="27"/>
    <x v="2"/>
    <x v="291"/>
    <x v="191"/>
  </r>
  <r>
    <x v="18"/>
    <x v="3"/>
    <x v="23"/>
    <x v="23"/>
    <x v="21"/>
    <x v="28"/>
    <x v="21"/>
    <x v="28"/>
    <x v="1"/>
    <x v="1"/>
    <x v="4"/>
    <x v="1"/>
    <x v="27"/>
    <x v="2"/>
    <x v="292"/>
    <x v="192"/>
  </r>
  <r>
    <x v="18"/>
    <x v="3"/>
    <x v="23"/>
    <x v="23"/>
    <x v="21"/>
    <x v="28"/>
    <x v="21"/>
    <x v="28"/>
    <x v="1"/>
    <x v="1"/>
    <x v="4"/>
    <x v="1"/>
    <x v="27"/>
    <x v="2"/>
    <x v="293"/>
    <x v="193"/>
  </r>
  <r>
    <x v="18"/>
    <x v="3"/>
    <x v="23"/>
    <x v="23"/>
    <x v="21"/>
    <x v="28"/>
    <x v="21"/>
    <x v="28"/>
    <x v="1"/>
    <x v="1"/>
    <x v="4"/>
    <x v="1"/>
    <x v="27"/>
    <x v="2"/>
    <x v="294"/>
    <x v="185"/>
  </r>
  <r>
    <x v="18"/>
    <x v="3"/>
    <x v="23"/>
    <x v="23"/>
    <x v="21"/>
    <x v="28"/>
    <x v="21"/>
    <x v="28"/>
    <x v="1"/>
    <x v="1"/>
    <x v="4"/>
    <x v="1"/>
    <x v="27"/>
    <x v="2"/>
    <x v="295"/>
    <x v="193"/>
  </r>
  <r>
    <x v="18"/>
    <x v="3"/>
    <x v="23"/>
    <x v="23"/>
    <x v="21"/>
    <x v="28"/>
    <x v="21"/>
    <x v="28"/>
    <x v="1"/>
    <x v="1"/>
    <x v="4"/>
    <x v="1"/>
    <x v="27"/>
    <x v="2"/>
    <x v="296"/>
    <x v="133"/>
  </r>
  <r>
    <x v="18"/>
    <x v="3"/>
    <x v="23"/>
    <x v="23"/>
    <x v="21"/>
    <x v="28"/>
    <x v="21"/>
    <x v="28"/>
    <x v="1"/>
    <x v="1"/>
    <x v="4"/>
    <x v="1"/>
    <x v="27"/>
    <x v="2"/>
    <x v="297"/>
    <x v="185"/>
  </r>
  <r>
    <x v="18"/>
    <x v="3"/>
    <x v="23"/>
    <x v="23"/>
    <x v="21"/>
    <x v="28"/>
    <x v="21"/>
    <x v="28"/>
    <x v="1"/>
    <x v="1"/>
    <x v="4"/>
    <x v="1"/>
    <x v="27"/>
    <x v="2"/>
    <x v="298"/>
    <x v="39"/>
  </r>
  <r>
    <x v="18"/>
    <x v="3"/>
    <x v="23"/>
    <x v="23"/>
    <x v="21"/>
    <x v="28"/>
    <x v="21"/>
    <x v="28"/>
    <x v="1"/>
    <x v="1"/>
    <x v="4"/>
    <x v="1"/>
    <x v="27"/>
    <x v="2"/>
    <x v="299"/>
    <x v="86"/>
  </r>
  <r>
    <x v="18"/>
    <x v="3"/>
    <x v="23"/>
    <x v="23"/>
    <x v="21"/>
    <x v="28"/>
    <x v="21"/>
    <x v="28"/>
    <x v="1"/>
    <x v="1"/>
    <x v="4"/>
    <x v="1"/>
    <x v="27"/>
    <x v="2"/>
    <x v="300"/>
    <x v="75"/>
  </r>
  <r>
    <x v="18"/>
    <x v="3"/>
    <x v="23"/>
    <x v="23"/>
    <x v="21"/>
    <x v="28"/>
    <x v="21"/>
    <x v="28"/>
    <x v="1"/>
    <x v="1"/>
    <x v="4"/>
    <x v="1"/>
    <x v="27"/>
    <x v="2"/>
    <x v="301"/>
    <x v="75"/>
  </r>
  <r>
    <x v="18"/>
    <x v="3"/>
    <x v="23"/>
    <x v="23"/>
    <x v="21"/>
    <x v="28"/>
    <x v="21"/>
    <x v="28"/>
    <x v="1"/>
    <x v="1"/>
    <x v="4"/>
    <x v="1"/>
    <x v="27"/>
    <x v="2"/>
    <x v="302"/>
    <x v="75"/>
  </r>
  <r>
    <x v="18"/>
    <x v="3"/>
    <x v="23"/>
    <x v="23"/>
    <x v="21"/>
    <x v="28"/>
    <x v="21"/>
    <x v="28"/>
    <x v="1"/>
    <x v="1"/>
    <x v="4"/>
    <x v="1"/>
    <x v="27"/>
    <x v="2"/>
    <x v="303"/>
    <x v="75"/>
  </r>
  <r>
    <x v="18"/>
    <x v="3"/>
    <x v="23"/>
    <x v="23"/>
    <x v="21"/>
    <x v="28"/>
    <x v="21"/>
    <x v="28"/>
    <x v="1"/>
    <x v="1"/>
    <x v="4"/>
    <x v="1"/>
    <x v="27"/>
    <x v="2"/>
    <x v="304"/>
    <x v="75"/>
  </r>
  <r>
    <x v="18"/>
    <x v="3"/>
    <x v="23"/>
    <x v="23"/>
    <x v="21"/>
    <x v="28"/>
    <x v="21"/>
    <x v="28"/>
    <x v="1"/>
    <x v="1"/>
    <x v="4"/>
    <x v="1"/>
    <x v="27"/>
    <x v="2"/>
    <x v="305"/>
    <x v="113"/>
  </r>
  <r>
    <x v="18"/>
    <x v="3"/>
    <x v="23"/>
    <x v="23"/>
    <x v="21"/>
    <x v="28"/>
    <x v="21"/>
    <x v="28"/>
    <x v="1"/>
    <x v="1"/>
    <x v="4"/>
    <x v="1"/>
    <x v="27"/>
    <x v="2"/>
    <x v="306"/>
    <x v="113"/>
  </r>
  <r>
    <x v="18"/>
    <x v="3"/>
    <x v="23"/>
    <x v="23"/>
    <x v="21"/>
    <x v="28"/>
    <x v="21"/>
    <x v="28"/>
    <x v="1"/>
    <x v="1"/>
    <x v="4"/>
    <x v="1"/>
    <x v="27"/>
    <x v="2"/>
    <x v="307"/>
    <x v="32"/>
  </r>
  <r>
    <x v="18"/>
    <x v="3"/>
    <x v="23"/>
    <x v="23"/>
    <x v="21"/>
    <x v="28"/>
    <x v="21"/>
    <x v="28"/>
    <x v="1"/>
    <x v="1"/>
    <x v="4"/>
    <x v="1"/>
    <x v="27"/>
    <x v="2"/>
    <x v="308"/>
    <x v="113"/>
  </r>
  <r>
    <x v="18"/>
    <x v="3"/>
    <x v="23"/>
    <x v="23"/>
    <x v="21"/>
    <x v="28"/>
    <x v="21"/>
    <x v="28"/>
    <x v="1"/>
    <x v="1"/>
    <x v="4"/>
    <x v="1"/>
    <x v="27"/>
    <x v="2"/>
    <x v="309"/>
    <x v="113"/>
  </r>
  <r>
    <x v="18"/>
    <x v="3"/>
    <x v="23"/>
    <x v="23"/>
    <x v="21"/>
    <x v="28"/>
    <x v="21"/>
    <x v="28"/>
    <x v="1"/>
    <x v="1"/>
    <x v="4"/>
    <x v="1"/>
    <x v="27"/>
    <x v="2"/>
    <x v="310"/>
    <x v="113"/>
  </r>
  <r>
    <x v="18"/>
    <x v="3"/>
    <x v="23"/>
    <x v="23"/>
    <x v="21"/>
    <x v="28"/>
    <x v="21"/>
    <x v="28"/>
    <x v="1"/>
    <x v="1"/>
    <x v="4"/>
    <x v="1"/>
    <x v="27"/>
    <x v="2"/>
    <x v="311"/>
    <x v="75"/>
  </r>
  <r>
    <x v="18"/>
    <x v="3"/>
    <x v="23"/>
    <x v="23"/>
    <x v="21"/>
    <x v="28"/>
    <x v="21"/>
    <x v="28"/>
    <x v="1"/>
    <x v="1"/>
    <x v="4"/>
    <x v="1"/>
    <x v="27"/>
    <x v="2"/>
    <x v="312"/>
    <x v="43"/>
  </r>
  <r>
    <x v="18"/>
    <x v="3"/>
    <x v="23"/>
    <x v="23"/>
    <x v="21"/>
    <x v="28"/>
    <x v="21"/>
    <x v="28"/>
    <x v="1"/>
    <x v="1"/>
    <x v="4"/>
    <x v="1"/>
    <x v="27"/>
    <x v="2"/>
    <x v="313"/>
    <x v="179"/>
  </r>
  <r>
    <x v="18"/>
    <x v="3"/>
    <x v="23"/>
    <x v="23"/>
    <x v="21"/>
    <x v="28"/>
    <x v="21"/>
    <x v="28"/>
    <x v="1"/>
    <x v="1"/>
    <x v="4"/>
    <x v="1"/>
    <x v="27"/>
    <x v="2"/>
    <x v="314"/>
    <x v="179"/>
  </r>
  <r>
    <x v="18"/>
    <x v="3"/>
    <x v="23"/>
    <x v="23"/>
    <x v="21"/>
    <x v="28"/>
    <x v="21"/>
    <x v="28"/>
    <x v="1"/>
    <x v="1"/>
    <x v="4"/>
    <x v="1"/>
    <x v="27"/>
    <x v="2"/>
    <x v="315"/>
    <x v="179"/>
  </r>
  <r>
    <x v="18"/>
    <x v="3"/>
    <x v="23"/>
    <x v="23"/>
    <x v="21"/>
    <x v="28"/>
    <x v="21"/>
    <x v="28"/>
    <x v="1"/>
    <x v="1"/>
    <x v="4"/>
    <x v="1"/>
    <x v="27"/>
    <x v="2"/>
    <x v="316"/>
    <x v="179"/>
  </r>
  <r>
    <x v="18"/>
    <x v="3"/>
    <x v="23"/>
    <x v="23"/>
    <x v="21"/>
    <x v="28"/>
    <x v="21"/>
    <x v="28"/>
    <x v="1"/>
    <x v="1"/>
    <x v="4"/>
    <x v="1"/>
    <x v="27"/>
    <x v="2"/>
    <x v="317"/>
    <x v="179"/>
  </r>
  <r>
    <x v="18"/>
    <x v="3"/>
    <x v="23"/>
    <x v="23"/>
    <x v="21"/>
    <x v="28"/>
    <x v="21"/>
    <x v="28"/>
    <x v="1"/>
    <x v="1"/>
    <x v="4"/>
    <x v="1"/>
    <x v="27"/>
    <x v="2"/>
    <x v="318"/>
    <x v="179"/>
  </r>
  <r>
    <x v="18"/>
    <x v="3"/>
    <x v="23"/>
    <x v="23"/>
    <x v="21"/>
    <x v="28"/>
    <x v="21"/>
    <x v="28"/>
    <x v="1"/>
    <x v="1"/>
    <x v="4"/>
    <x v="1"/>
    <x v="27"/>
    <x v="2"/>
    <x v="319"/>
    <x v="179"/>
  </r>
  <r>
    <x v="18"/>
    <x v="3"/>
    <x v="23"/>
    <x v="23"/>
    <x v="21"/>
    <x v="28"/>
    <x v="21"/>
    <x v="28"/>
    <x v="1"/>
    <x v="1"/>
    <x v="4"/>
    <x v="1"/>
    <x v="27"/>
    <x v="2"/>
    <x v="320"/>
    <x v="179"/>
  </r>
  <r>
    <x v="18"/>
    <x v="3"/>
    <x v="23"/>
    <x v="23"/>
    <x v="21"/>
    <x v="28"/>
    <x v="21"/>
    <x v="28"/>
    <x v="1"/>
    <x v="1"/>
    <x v="4"/>
    <x v="1"/>
    <x v="27"/>
    <x v="2"/>
    <x v="321"/>
    <x v="179"/>
  </r>
  <r>
    <x v="18"/>
    <x v="3"/>
    <x v="23"/>
    <x v="23"/>
    <x v="21"/>
    <x v="28"/>
    <x v="21"/>
    <x v="28"/>
    <x v="1"/>
    <x v="1"/>
    <x v="4"/>
    <x v="1"/>
    <x v="27"/>
    <x v="2"/>
    <x v="322"/>
    <x v="194"/>
  </r>
  <r>
    <x v="18"/>
    <x v="3"/>
    <x v="23"/>
    <x v="23"/>
    <x v="21"/>
    <x v="28"/>
    <x v="21"/>
    <x v="28"/>
    <x v="1"/>
    <x v="1"/>
    <x v="4"/>
    <x v="1"/>
    <x v="27"/>
    <x v="2"/>
    <x v="323"/>
    <x v="194"/>
  </r>
  <r>
    <x v="18"/>
    <x v="3"/>
    <x v="23"/>
    <x v="23"/>
    <x v="21"/>
    <x v="28"/>
    <x v="21"/>
    <x v="28"/>
    <x v="1"/>
    <x v="1"/>
    <x v="4"/>
    <x v="1"/>
    <x v="27"/>
    <x v="2"/>
    <x v="324"/>
    <x v="195"/>
  </r>
  <r>
    <x v="18"/>
    <x v="3"/>
    <x v="23"/>
    <x v="23"/>
    <x v="21"/>
    <x v="28"/>
    <x v="21"/>
    <x v="28"/>
    <x v="1"/>
    <x v="1"/>
    <x v="4"/>
    <x v="1"/>
    <x v="27"/>
    <x v="2"/>
    <x v="325"/>
    <x v="194"/>
  </r>
  <r>
    <x v="18"/>
    <x v="3"/>
    <x v="23"/>
    <x v="23"/>
    <x v="21"/>
    <x v="28"/>
    <x v="21"/>
    <x v="28"/>
    <x v="1"/>
    <x v="1"/>
    <x v="4"/>
    <x v="1"/>
    <x v="27"/>
    <x v="2"/>
    <x v="326"/>
    <x v="196"/>
  </r>
  <r>
    <x v="18"/>
    <x v="3"/>
    <x v="23"/>
    <x v="23"/>
    <x v="21"/>
    <x v="28"/>
    <x v="21"/>
    <x v="28"/>
    <x v="1"/>
    <x v="1"/>
    <x v="4"/>
    <x v="1"/>
    <x v="27"/>
    <x v="2"/>
    <x v="327"/>
    <x v="196"/>
  </r>
  <r>
    <x v="18"/>
    <x v="3"/>
    <x v="23"/>
    <x v="23"/>
    <x v="21"/>
    <x v="28"/>
    <x v="21"/>
    <x v="28"/>
    <x v="1"/>
    <x v="1"/>
    <x v="4"/>
    <x v="1"/>
    <x v="27"/>
    <x v="2"/>
    <x v="328"/>
    <x v="197"/>
  </r>
  <r>
    <x v="18"/>
    <x v="3"/>
    <x v="23"/>
    <x v="23"/>
    <x v="21"/>
    <x v="28"/>
    <x v="21"/>
    <x v="28"/>
    <x v="1"/>
    <x v="1"/>
    <x v="4"/>
    <x v="1"/>
    <x v="27"/>
    <x v="2"/>
    <x v="329"/>
    <x v="198"/>
  </r>
  <r>
    <x v="18"/>
    <x v="3"/>
    <x v="23"/>
    <x v="23"/>
    <x v="21"/>
    <x v="28"/>
    <x v="21"/>
    <x v="28"/>
    <x v="1"/>
    <x v="1"/>
    <x v="4"/>
    <x v="1"/>
    <x v="27"/>
    <x v="2"/>
    <x v="330"/>
    <x v="198"/>
  </r>
  <r>
    <x v="18"/>
    <x v="3"/>
    <x v="23"/>
    <x v="23"/>
    <x v="21"/>
    <x v="28"/>
    <x v="21"/>
    <x v="28"/>
    <x v="1"/>
    <x v="1"/>
    <x v="4"/>
    <x v="1"/>
    <x v="27"/>
    <x v="2"/>
    <x v="331"/>
    <x v="199"/>
  </r>
  <r>
    <x v="18"/>
    <x v="3"/>
    <x v="23"/>
    <x v="23"/>
    <x v="21"/>
    <x v="28"/>
    <x v="21"/>
    <x v="28"/>
    <x v="1"/>
    <x v="1"/>
    <x v="4"/>
    <x v="1"/>
    <x v="27"/>
    <x v="2"/>
    <x v="332"/>
    <x v="200"/>
  </r>
  <r>
    <x v="18"/>
    <x v="3"/>
    <x v="23"/>
    <x v="23"/>
    <x v="21"/>
    <x v="28"/>
    <x v="21"/>
    <x v="28"/>
    <x v="1"/>
    <x v="1"/>
    <x v="4"/>
    <x v="1"/>
    <x v="27"/>
    <x v="2"/>
    <x v="333"/>
    <x v="179"/>
  </r>
  <r>
    <x v="18"/>
    <x v="3"/>
    <x v="23"/>
    <x v="23"/>
    <x v="21"/>
    <x v="28"/>
    <x v="21"/>
    <x v="28"/>
    <x v="1"/>
    <x v="1"/>
    <x v="4"/>
    <x v="1"/>
    <x v="27"/>
    <x v="2"/>
    <x v="334"/>
    <x v="179"/>
  </r>
  <r>
    <x v="18"/>
    <x v="3"/>
    <x v="23"/>
    <x v="23"/>
    <x v="21"/>
    <x v="28"/>
    <x v="21"/>
    <x v="28"/>
    <x v="1"/>
    <x v="1"/>
    <x v="4"/>
    <x v="1"/>
    <x v="27"/>
    <x v="2"/>
    <x v="335"/>
    <x v="179"/>
  </r>
  <r>
    <x v="18"/>
    <x v="3"/>
    <x v="23"/>
    <x v="23"/>
    <x v="21"/>
    <x v="28"/>
    <x v="21"/>
    <x v="28"/>
    <x v="1"/>
    <x v="1"/>
    <x v="4"/>
    <x v="1"/>
    <x v="27"/>
    <x v="2"/>
    <x v="336"/>
    <x v="179"/>
  </r>
  <r>
    <x v="18"/>
    <x v="3"/>
    <x v="23"/>
    <x v="23"/>
    <x v="21"/>
    <x v="28"/>
    <x v="21"/>
    <x v="28"/>
    <x v="1"/>
    <x v="1"/>
    <x v="4"/>
    <x v="1"/>
    <x v="27"/>
    <x v="2"/>
    <x v="337"/>
    <x v="179"/>
  </r>
  <r>
    <x v="18"/>
    <x v="3"/>
    <x v="23"/>
    <x v="23"/>
    <x v="21"/>
    <x v="28"/>
    <x v="21"/>
    <x v="28"/>
    <x v="1"/>
    <x v="1"/>
    <x v="4"/>
    <x v="1"/>
    <x v="27"/>
    <x v="2"/>
    <x v="338"/>
    <x v="179"/>
  </r>
  <r>
    <x v="18"/>
    <x v="3"/>
    <x v="23"/>
    <x v="23"/>
    <x v="21"/>
    <x v="28"/>
    <x v="21"/>
    <x v="28"/>
    <x v="1"/>
    <x v="1"/>
    <x v="4"/>
    <x v="1"/>
    <x v="27"/>
    <x v="2"/>
    <x v="339"/>
    <x v="201"/>
  </r>
  <r>
    <x v="18"/>
    <x v="3"/>
    <x v="23"/>
    <x v="23"/>
    <x v="21"/>
    <x v="28"/>
    <x v="21"/>
    <x v="28"/>
    <x v="1"/>
    <x v="1"/>
    <x v="4"/>
    <x v="1"/>
    <x v="27"/>
    <x v="2"/>
    <x v="340"/>
    <x v="201"/>
  </r>
  <r>
    <x v="18"/>
    <x v="3"/>
    <x v="23"/>
    <x v="23"/>
    <x v="21"/>
    <x v="28"/>
    <x v="21"/>
    <x v="28"/>
    <x v="1"/>
    <x v="1"/>
    <x v="4"/>
    <x v="1"/>
    <x v="27"/>
    <x v="2"/>
    <x v="341"/>
    <x v="201"/>
  </r>
  <r>
    <x v="18"/>
    <x v="3"/>
    <x v="23"/>
    <x v="23"/>
    <x v="21"/>
    <x v="28"/>
    <x v="21"/>
    <x v="28"/>
    <x v="1"/>
    <x v="1"/>
    <x v="4"/>
    <x v="1"/>
    <x v="27"/>
    <x v="2"/>
    <x v="342"/>
    <x v="201"/>
  </r>
  <r>
    <x v="18"/>
    <x v="3"/>
    <x v="23"/>
    <x v="23"/>
    <x v="21"/>
    <x v="28"/>
    <x v="21"/>
    <x v="28"/>
    <x v="1"/>
    <x v="1"/>
    <x v="4"/>
    <x v="1"/>
    <x v="27"/>
    <x v="2"/>
    <x v="343"/>
    <x v="201"/>
  </r>
  <r>
    <x v="18"/>
    <x v="3"/>
    <x v="23"/>
    <x v="23"/>
    <x v="21"/>
    <x v="28"/>
    <x v="21"/>
    <x v="28"/>
    <x v="1"/>
    <x v="1"/>
    <x v="4"/>
    <x v="1"/>
    <x v="27"/>
    <x v="2"/>
    <x v="344"/>
    <x v="201"/>
  </r>
  <r>
    <x v="18"/>
    <x v="3"/>
    <x v="23"/>
    <x v="23"/>
    <x v="21"/>
    <x v="28"/>
    <x v="21"/>
    <x v="28"/>
    <x v="1"/>
    <x v="1"/>
    <x v="4"/>
    <x v="1"/>
    <x v="27"/>
    <x v="2"/>
    <x v="345"/>
    <x v="201"/>
  </r>
  <r>
    <x v="18"/>
    <x v="3"/>
    <x v="23"/>
    <x v="23"/>
    <x v="21"/>
    <x v="28"/>
    <x v="21"/>
    <x v="28"/>
    <x v="1"/>
    <x v="1"/>
    <x v="4"/>
    <x v="1"/>
    <x v="27"/>
    <x v="2"/>
    <x v="346"/>
    <x v="201"/>
  </r>
  <r>
    <x v="18"/>
    <x v="3"/>
    <x v="23"/>
    <x v="23"/>
    <x v="21"/>
    <x v="28"/>
    <x v="21"/>
    <x v="28"/>
    <x v="1"/>
    <x v="1"/>
    <x v="4"/>
    <x v="1"/>
    <x v="27"/>
    <x v="2"/>
    <x v="347"/>
    <x v="201"/>
  </r>
  <r>
    <x v="18"/>
    <x v="3"/>
    <x v="23"/>
    <x v="23"/>
    <x v="21"/>
    <x v="28"/>
    <x v="21"/>
    <x v="28"/>
    <x v="1"/>
    <x v="1"/>
    <x v="4"/>
    <x v="1"/>
    <x v="27"/>
    <x v="2"/>
    <x v="348"/>
    <x v="201"/>
  </r>
  <r>
    <x v="18"/>
    <x v="3"/>
    <x v="23"/>
    <x v="23"/>
    <x v="21"/>
    <x v="28"/>
    <x v="21"/>
    <x v="28"/>
    <x v="1"/>
    <x v="1"/>
    <x v="4"/>
    <x v="1"/>
    <x v="27"/>
    <x v="2"/>
    <x v="349"/>
    <x v="201"/>
  </r>
  <r>
    <x v="18"/>
    <x v="3"/>
    <x v="23"/>
    <x v="23"/>
    <x v="21"/>
    <x v="28"/>
    <x v="21"/>
    <x v="28"/>
    <x v="1"/>
    <x v="1"/>
    <x v="4"/>
    <x v="1"/>
    <x v="27"/>
    <x v="2"/>
    <x v="350"/>
    <x v="201"/>
  </r>
  <r>
    <x v="18"/>
    <x v="3"/>
    <x v="23"/>
    <x v="23"/>
    <x v="21"/>
    <x v="28"/>
    <x v="21"/>
    <x v="28"/>
    <x v="1"/>
    <x v="1"/>
    <x v="4"/>
    <x v="1"/>
    <x v="27"/>
    <x v="2"/>
    <x v="351"/>
    <x v="201"/>
  </r>
  <r>
    <x v="18"/>
    <x v="3"/>
    <x v="23"/>
    <x v="23"/>
    <x v="21"/>
    <x v="28"/>
    <x v="21"/>
    <x v="28"/>
    <x v="1"/>
    <x v="1"/>
    <x v="4"/>
    <x v="1"/>
    <x v="27"/>
    <x v="2"/>
    <x v="352"/>
    <x v="4"/>
  </r>
  <r>
    <x v="18"/>
    <x v="3"/>
    <x v="23"/>
    <x v="23"/>
    <x v="21"/>
    <x v="28"/>
    <x v="21"/>
    <x v="28"/>
    <x v="1"/>
    <x v="1"/>
    <x v="4"/>
    <x v="1"/>
    <x v="27"/>
    <x v="2"/>
    <x v="353"/>
    <x v="202"/>
  </r>
  <r>
    <x v="18"/>
    <x v="3"/>
    <x v="23"/>
    <x v="23"/>
    <x v="21"/>
    <x v="28"/>
    <x v="21"/>
    <x v="28"/>
    <x v="1"/>
    <x v="1"/>
    <x v="4"/>
    <x v="1"/>
    <x v="27"/>
    <x v="2"/>
    <x v="354"/>
    <x v="74"/>
  </r>
  <r>
    <x v="18"/>
    <x v="3"/>
    <x v="23"/>
    <x v="23"/>
    <x v="21"/>
    <x v="28"/>
    <x v="21"/>
    <x v="28"/>
    <x v="1"/>
    <x v="1"/>
    <x v="4"/>
    <x v="1"/>
    <x v="27"/>
    <x v="2"/>
    <x v="355"/>
    <x v="203"/>
  </r>
  <r>
    <x v="18"/>
    <x v="3"/>
    <x v="23"/>
    <x v="23"/>
    <x v="21"/>
    <x v="28"/>
    <x v="21"/>
    <x v="28"/>
    <x v="1"/>
    <x v="1"/>
    <x v="4"/>
    <x v="1"/>
    <x v="27"/>
    <x v="2"/>
    <x v="356"/>
    <x v="204"/>
  </r>
  <r>
    <x v="18"/>
    <x v="3"/>
    <x v="23"/>
    <x v="23"/>
    <x v="21"/>
    <x v="28"/>
    <x v="21"/>
    <x v="28"/>
    <x v="1"/>
    <x v="1"/>
    <x v="4"/>
    <x v="1"/>
    <x v="27"/>
    <x v="2"/>
    <x v="357"/>
    <x v="205"/>
  </r>
  <r>
    <x v="18"/>
    <x v="3"/>
    <x v="23"/>
    <x v="23"/>
    <x v="21"/>
    <x v="28"/>
    <x v="21"/>
    <x v="28"/>
    <x v="1"/>
    <x v="1"/>
    <x v="4"/>
    <x v="1"/>
    <x v="27"/>
    <x v="2"/>
    <x v="358"/>
    <x v="206"/>
  </r>
  <r>
    <x v="18"/>
    <x v="3"/>
    <x v="23"/>
    <x v="23"/>
    <x v="21"/>
    <x v="28"/>
    <x v="21"/>
    <x v="28"/>
    <x v="1"/>
    <x v="1"/>
    <x v="4"/>
    <x v="1"/>
    <x v="27"/>
    <x v="2"/>
    <x v="359"/>
    <x v="207"/>
  </r>
  <r>
    <x v="18"/>
    <x v="3"/>
    <x v="23"/>
    <x v="23"/>
    <x v="21"/>
    <x v="28"/>
    <x v="21"/>
    <x v="28"/>
    <x v="1"/>
    <x v="1"/>
    <x v="4"/>
    <x v="1"/>
    <x v="27"/>
    <x v="2"/>
    <x v="360"/>
    <x v="208"/>
  </r>
  <r>
    <x v="18"/>
    <x v="3"/>
    <x v="23"/>
    <x v="23"/>
    <x v="21"/>
    <x v="28"/>
    <x v="21"/>
    <x v="28"/>
    <x v="1"/>
    <x v="1"/>
    <x v="4"/>
    <x v="1"/>
    <x v="27"/>
    <x v="2"/>
    <x v="361"/>
    <x v="209"/>
  </r>
  <r>
    <x v="18"/>
    <x v="3"/>
    <x v="23"/>
    <x v="23"/>
    <x v="21"/>
    <x v="28"/>
    <x v="21"/>
    <x v="28"/>
    <x v="1"/>
    <x v="1"/>
    <x v="4"/>
    <x v="1"/>
    <x v="27"/>
    <x v="2"/>
    <x v="362"/>
    <x v="210"/>
  </r>
  <r>
    <x v="18"/>
    <x v="3"/>
    <x v="23"/>
    <x v="23"/>
    <x v="21"/>
    <x v="28"/>
    <x v="21"/>
    <x v="28"/>
    <x v="1"/>
    <x v="1"/>
    <x v="4"/>
    <x v="1"/>
    <x v="27"/>
    <x v="2"/>
    <x v="363"/>
    <x v="211"/>
  </r>
  <r>
    <x v="18"/>
    <x v="3"/>
    <x v="23"/>
    <x v="23"/>
    <x v="21"/>
    <x v="28"/>
    <x v="21"/>
    <x v="28"/>
    <x v="1"/>
    <x v="1"/>
    <x v="4"/>
    <x v="1"/>
    <x v="27"/>
    <x v="2"/>
    <x v="364"/>
    <x v="212"/>
  </r>
  <r>
    <x v="18"/>
    <x v="3"/>
    <x v="23"/>
    <x v="23"/>
    <x v="21"/>
    <x v="28"/>
    <x v="21"/>
    <x v="28"/>
    <x v="1"/>
    <x v="1"/>
    <x v="4"/>
    <x v="1"/>
    <x v="27"/>
    <x v="2"/>
    <x v="365"/>
    <x v="213"/>
  </r>
  <r>
    <x v="18"/>
    <x v="3"/>
    <x v="23"/>
    <x v="23"/>
    <x v="21"/>
    <x v="28"/>
    <x v="21"/>
    <x v="28"/>
    <x v="1"/>
    <x v="1"/>
    <x v="4"/>
    <x v="1"/>
    <x v="27"/>
    <x v="2"/>
    <x v="366"/>
    <x v="214"/>
  </r>
  <r>
    <x v="18"/>
    <x v="3"/>
    <x v="23"/>
    <x v="23"/>
    <x v="21"/>
    <x v="28"/>
    <x v="21"/>
    <x v="28"/>
    <x v="1"/>
    <x v="1"/>
    <x v="4"/>
    <x v="1"/>
    <x v="27"/>
    <x v="2"/>
    <x v="367"/>
    <x v="215"/>
  </r>
  <r>
    <x v="18"/>
    <x v="3"/>
    <x v="23"/>
    <x v="23"/>
    <x v="21"/>
    <x v="28"/>
    <x v="21"/>
    <x v="28"/>
    <x v="1"/>
    <x v="1"/>
    <x v="4"/>
    <x v="1"/>
    <x v="27"/>
    <x v="2"/>
    <x v="368"/>
    <x v="216"/>
  </r>
  <r>
    <x v="18"/>
    <x v="3"/>
    <x v="23"/>
    <x v="23"/>
    <x v="21"/>
    <x v="28"/>
    <x v="21"/>
    <x v="28"/>
    <x v="1"/>
    <x v="1"/>
    <x v="4"/>
    <x v="1"/>
    <x v="27"/>
    <x v="2"/>
    <x v="369"/>
    <x v="217"/>
  </r>
  <r>
    <x v="18"/>
    <x v="3"/>
    <x v="23"/>
    <x v="23"/>
    <x v="21"/>
    <x v="28"/>
    <x v="21"/>
    <x v="28"/>
    <x v="1"/>
    <x v="1"/>
    <x v="4"/>
    <x v="1"/>
    <x v="27"/>
    <x v="2"/>
    <x v="370"/>
    <x v="218"/>
  </r>
  <r>
    <x v="18"/>
    <x v="3"/>
    <x v="23"/>
    <x v="23"/>
    <x v="21"/>
    <x v="28"/>
    <x v="21"/>
    <x v="28"/>
    <x v="1"/>
    <x v="1"/>
    <x v="4"/>
    <x v="1"/>
    <x v="27"/>
    <x v="2"/>
    <x v="371"/>
    <x v="219"/>
  </r>
  <r>
    <x v="18"/>
    <x v="3"/>
    <x v="23"/>
    <x v="23"/>
    <x v="21"/>
    <x v="28"/>
    <x v="21"/>
    <x v="28"/>
    <x v="1"/>
    <x v="1"/>
    <x v="4"/>
    <x v="1"/>
    <x v="27"/>
    <x v="2"/>
    <x v="372"/>
    <x v="183"/>
  </r>
  <r>
    <x v="18"/>
    <x v="3"/>
    <x v="23"/>
    <x v="23"/>
    <x v="21"/>
    <x v="28"/>
    <x v="21"/>
    <x v="28"/>
    <x v="1"/>
    <x v="1"/>
    <x v="4"/>
    <x v="1"/>
    <x v="27"/>
    <x v="2"/>
    <x v="373"/>
    <x v="220"/>
  </r>
  <r>
    <x v="18"/>
    <x v="3"/>
    <x v="23"/>
    <x v="23"/>
    <x v="21"/>
    <x v="28"/>
    <x v="21"/>
    <x v="28"/>
    <x v="1"/>
    <x v="1"/>
    <x v="4"/>
    <x v="1"/>
    <x v="27"/>
    <x v="2"/>
    <x v="374"/>
    <x v="221"/>
  </r>
  <r>
    <x v="18"/>
    <x v="3"/>
    <x v="23"/>
    <x v="23"/>
    <x v="21"/>
    <x v="28"/>
    <x v="21"/>
    <x v="28"/>
    <x v="1"/>
    <x v="1"/>
    <x v="4"/>
    <x v="1"/>
    <x v="27"/>
    <x v="2"/>
    <x v="375"/>
    <x v="222"/>
  </r>
  <r>
    <x v="18"/>
    <x v="3"/>
    <x v="23"/>
    <x v="23"/>
    <x v="21"/>
    <x v="28"/>
    <x v="21"/>
    <x v="28"/>
    <x v="1"/>
    <x v="1"/>
    <x v="4"/>
    <x v="1"/>
    <x v="27"/>
    <x v="2"/>
    <x v="376"/>
    <x v="212"/>
  </r>
  <r>
    <x v="18"/>
    <x v="3"/>
    <x v="23"/>
    <x v="23"/>
    <x v="21"/>
    <x v="28"/>
    <x v="21"/>
    <x v="28"/>
    <x v="1"/>
    <x v="1"/>
    <x v="4"/>
    <x v="1"/>
    <x v="27"/>
    <x v="2"/>
    <x v="377"/>
    <x v="213"/>
  </r>
  <r>
    <x v="18"/>
    <x v="3"/>
    <x v="23"/>
    <x v="23"/>
    <x v="21"/>
    <x v="28"/>
    <x v="21"/>
    <x v="28"/>
    <x v="1"/>
    <x v="1"/>
    <x v="4"/>
    <x v="1"/>
    <x v="27"/>
    <x v="2"/>
    <x v="378"/>
    <x v="223"/>
  </r>
  <r>
    <x v="18"/>
    <x v="3"/>
    <x v="23"/>
    <x v="23"/>
    <x v="21"/>
    <x v="28"/>
    <x v="21"/>
    <x v="28"/>
    <x v="1"/>
    <x v="1"/>
    <x v="4"/>
    <x v="1"/>
    <x v="27"/>
    <x v="2"/>
    <x v="379"/>
    <x v="224"/>
  </r>
  <r>
    <x v="18"/>
    <x v="3"/>
    <x v="23"/>
    <x v="23"/>
    <x v="21"/>
    <x v="28"/>
    <x v="21"/>
    <x v="28"/>
    <x v="1"/>
    <x v="1"/>
    <x v="4"/>
    <x v="1"/>
    <x v="27"/>
    <x v="2"/>
    <x v="380"/>
    <x v="225"/>
  </r>
  <r>
    <x v="18"/>
    <x v="3"/>
    <x v="23"/>
    <x v="23"/>
    <x v="21"/>
    <x v="28"/>
    <x v="21"/>
    <x v="28"/>
    <x v="1"/>
    <x v="1"/>
    <x v="4"/>
    <x v="1"/>
    <x v="27"/>
    <x v="2"/>
    <x v="381"/>
    <x v="226"/>
  </r>
  <r>
    <x v="18"/>
    <x v="3"/>
    <x v="23"/>
    <x v="23"/>
    <x v="21"/>
    <x v="28"/>
    <x v="21"/>
    <x v="28"/>
    <x v="1"/>
    <x v="1"/>
    <x v="4"/>
    <x v="1"/>
    <x v="27"/>
    <x v="2"/>
    <x v="382"/>
    <x v="227"/>
  </r>
  <r>
    <x v="18"/>
    <x v="3"/>
    <x v="23"/>
    <x v="23"/>
    <x v="21"/>
    <x v="28"/>
    <x v="21"/>
    <x v="28"/>
    <x v="1"/>
    <x v="1"/>
    <x v="4"/>
    <x v="1"/>
    <x v="27"/>
    <x v="2"/>
    <x v="383"/>
    <x v="228"/>
  </r>
  <r>
    <x v="18"/>
    <x v="3"/>
    <x v="23"/>
    <x v="23"/>
    <x v="21"/>
    <x v="28"/>
    <x v="21"/>
    <x v="28"/>
    <x v="1"/>
    <x v="1"/>
    <x v="4"/>
    <x v="1"/>
    <x v="27"/>
    <x v="2"/>
    <x v="384"/>
    <x v="213"/>
  </r>
  <r>
    <x v="18"/>
    <x v="3"/>
    <x v="23"/>
    <x v="23"/>
    <x v="21"/>
    <x v="28"/>
    <x v="21"/>
    <x v="28"/>
    <x v="1"/>
    <x v="1"/>
    <x v="4"/>
    <x v="1"/>
    <x v="27"/>
    <x v="2"/>
    <x v="385"/>
    <x v="209"/>
  </r>
  <r>
    <x v="18"/>
    <x v="3"/>
    <x v="23"/>
    <x v="23"/>
    <x v="21"/>
    <x v="28"/>
    <x v="21"/>
    <x v="28"/>
    <x v="1"/>
    <x v="1"/>
    <x v="4"/>
    <x v="1"/>
    <x v="27"/>
    <x v="2"/>
    <x v="386"/>
    <x v="209"/>
  </r>
  <r>
    <x v="18"/>
    <x v="3"/>
    <x v="23"/>
    <x v="23"/>
    <x v="21"/>
    <x v="28"/>
    <x v="21"/>
    <x v="28"/>
    <x v="1"/>
    <x v="1"/>
    <x v="4"/>
    <x v="1"/>
    <x v="27"/>
    <x v="2"/>
    <x v="387"/>
    <x v="210"/>
  </r>
  <r>
    <x v="18"/>
    <x v="3"/>
    <x v="23"/>
    <x v="23"/>
    <x v="21"/>
    <x v="28"/>
    <x v="21"/>
    <x v="28"/>
    <x v="1"/>
    <x v="1"/>
    <x v="4"/>
    <x v="1"/>
    <x v="27"/>
    <x v="2"/>
    <x v="388"/>
    <x v="229"/>
  </r>
  <r>
    <x v="18"/>
    <x v="3"/>
    <x v="23"/>
    <x v="23"/>
    <x v="21"/>
    <x v="28"/>
    <x v="21"/>
    <x v="28"/>
    <x v="1"/>
    <x v="1"/>
    <x v="4"/>
    <x v="1"/>
    <x v="27"/>
    <x v="2"/>
    <x v="389"/>
    <x v="230"/>
  </r>
  <r>
    <x v="18"/>
    <x v="3"/>
    <x v="23"/>
    <x v="23"/>
    <x v="21"/>
    <x v="28"/>
    <x v="21"/>
    <x v="28"/>
    <x v="1"/>
    <x v="1"/>
    <x v="4"/>
    <x v="1"/>
    <x v="27"/>
    <x v="2"/>
    <x v="390"/>
    <x v="231"/>
  </r>
  <r>
    <x v="18"/>
    <x v="3"/>
    <x v="23"/>
    <x v="23"/>
    <x v="21"/>
    <x v="28"/>
    <x v="21"/>
    <x v="28"/>
    <x v="1"/>
    <x v="1"/>
    <x v="4"/>
    <x v="1"/>
    <x v="27"/>
    <x v="2"/>
    <x v="391"/>
    <x v="232"/>
  </r>
  <r>
    <x v="18"/>
    <x v="3"/>
    <x v="23"/>
    <x v="23"/>
    <x v="21"/>
    <x v="28"/>
    <x v="21"/>
    <x v="28"/>
    <x v="1"/>
    <x v="1"/>
    <x v="4"/>
    <x v="1"/>
    <x v="27"/>
    <x v="2"/>
    <x v="392"/>
    <x v="233"/>
  </r>
  <r>
    <x v="18"/>
    <x v="3"/>
    <x v="23"/>
    <x v="23"/>
    <x v="21"/>
    <x v="28"/>
    <x v="21"/>
    <x v="28"/>
    <x v="1"/>
    <x v="1"/>
    <x v="4"/>
    <x v="1"/>
    <x v="27"/>
    <x v="2"/>
    <x v="393"/>
    <x v="234"/>
  </r>
  <r>
    <x v="18"/>
    <x v="3"/>
    <x v="23"/>
    <x v="23"/>
    <x v="21"/>
    <x v="28"/>
    <x v="21"/>
    <x v="28"/>
    <x v="1"/>
    <x v="1"/>
    <x v="4"/>
    <x v="1"/>
    <x v="27"/>
    <x v="2"/>
    <x v="394"/>
    <x v="84"/>
  </r>
  <r>
    <x v="18"/>
    <x v="3"/>
    <x v="23"/>
    <x v="23"/>
    <x v="21"/>
    <x v="28"/>
    <x v="21"/>
    <x v="28"/>
    <x v="1"/>
    <x v="1"/>
    <x v="4"/>
    <x v="1"/>
    <x v="27"/>
    <x v="2"/>
    <x v="395"/>
    <x v="235"/>
  </r>
  <r>
    <x v="18"/>
    <x v="3"/>
    <x v="23"/>
    <x v="23"/>
    <x v="21"/>
    <x v="28"/>
    <x v="21"/>
    <x v="28"/>
    <x v="1"/>
    <x v="1"/>
    <x v="4"/>
    <x v="1"/>
    <x v="27"/>
    <x v="2"/>
    <x v="396"/>
    <x v="78"/>
  </r>
  <r>
    <x v="18"/>
    <x v="3"/>
    <x v="23"/>
    <x v="23"/>
    <x v="21"/>
    <x v="28"/>
    <x v="21"/>
    <x v="28"/>
    <x v="1"/>
    <x v="1"/>
    <x v="4"/>
    <x v="1"/>
    <x v="27"/>
    <x v="2"/>
    <x v="397"/>
    <x v="147"/>
  </r>
  <r>
    <x v="18"/>
    <x v="3"/>
    <x v="23"/>
    <x v="23"/>
    <x v="21"/>
    <x v="28"/>
    <x v="21"/>
    <x v="28"/>
    <x v="1"/>
    <x v="1"/>
    <x v="4"/>
    <x v="1"/>
    <x v="27"/>
    <x v="2"/>
    <x v="398"/>
    <x v="196"/>
  </r>
  <r>
    <x v="18"/>
    <x v="3"/>
    <x v="23"/>
    <x v="23"/>
    <x v="21"/>
    <x v="28"/>
    <x v="21"/>
    <x v="28"/>
    <x v="1"/>
    <x v="1"/>
    <x v="4"/>
    <x v="1"/>
    <x v="27"/>
    <x v="2"/>
    <x v="399"/>
    <x v="132"/>
  </r>
  <r>
    <x v="18"/>
    <x v="3"/>
    <x v="23"/>
    <x v="23"/>
    <x v="21"/>
    <x v="28"/>
    <x v="21"/>
    <x v="28"/>
    <x v="1"/>
    <x v="1"/>
    <x v="4"/>
    <x v="1"/>
    <x v="27"/>
    <x v="2"/>
    <x v="400"/>
    <x v="110"/>
  </r>
  <r>
    <x v="18"/>
    <x v="3"/>
    <x v="23"/>
    <x v="23"/>
    <x v="21"/>
    <x v="28"/>
    <x v="21"/>
    <x v="28"/>
    <x v="1"/>
    <x v="1"/>
    <x v="4"/>
    <x v="1"/>
    <x v="27"/>
    <x v="2"/>
    <x v="401"/>
    <x v="191"/>
  </r>
  <r>
    <x v="18"/>
    <x v="3"/>
    <x v="23"/>
    <x v="23"/>
    <x v="21"/>
    <x v="28"/>
    <x v="21"/>
    <x v="28"/>
    <x v="1"/>
    <x v="1"/>
    <x v="4"/>
    <x v="1"/>
    <x v="27"/>
    <x v="2"/>
    <x v="402"/>
    <x v="236"/>
  </r>
  <r>
    <x v="18"/>
    <x v="3"/>
    <x v="23"/>
    <x v="23"/>
    <x v="21"/>
    <x v="28"/>
    <x v="21"/>
    <x v="28"/>
    <x v="1"/>
    <x v="1"/>
    <x v="4"/>
    <x v="1"/>
    <x v="27"/>
    <x v="2"/>
    <x v="403"/>
    <x v="200"/>
  </r>
  <r>
    <x v="18"/>
    <x v="3"/>
    <x v="23"/>
    <x v="23"/>
    <x v="21"/>
    <x v="28"/>
    <x v="21"/>
    <x v="28"/>
    <x v="1"/>
    <x v="1"/>
    <x v="4"/>
    <x v="1"/>
    <x v="27"/>
    <x v="2"/>
    <x v="404"/>
    <x v="202"/>
  </r>
  <r>
    <x v="18"/>
    <x v="3"/>
    <x v="23"/>
    <x v="23"/>
    <x v="21"/>
    <x v="28"/>
    <x v="21"/>
    <x v="28"/>
    <x v="1"/>
    <x v="1"/>
    <x v="4"/>
    <x v="1"/>
    <x v="27"/>
    <x v="2"/>
    <x v="405"/>
    <x v="2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9" firstHeaderRow="0" firstDataRow="1" firstDataCol="1"/>
  <pivotFields count="16">
    <pivotField compact="0" showAll="0">
      <items count="20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5">
        <item x="16"/>
        <item x="11"/>
        <item x="22"/>
        <item x="15"/>
        <item x="5"/>
        <item x="6"/>
        <item x="2"/>
        <item x="9"/>
        <item x="18"/>
        <item x="1"/>
        <item x="17"/>
        <item x="14"/>
        <item x="21"/>
        <item x="10"/>
        <item x="12"/>
        <item x="20"/>
        <item x="7"/>
        <item x="19"/>
        <item x="0"/>
        <item x="3"/>
        <item x="13"/>
        <item x="8"/>
        <item x="4"/>
        <item x="23"/>
        <item t="default"/>
      </items>
    </pivotField>
    <pivotField compact="0" showAll="0">
      <items count="25">
        <item x="20"/>
        <item x="4"/>
        <item x="9"/>
        <item x="8"/>
        <item x="5"/>
        <item x="21"/>
        <item x="18"/>
        <item x="22"/>
        <item x="11"/>
        <item x="0"/>
        <item x="17"/>
        <item x="15"/>
        <item x="3"/>
        <item x="2"/>
        <item x="6"/>
        <item x="19"/>
        <item x="10"/>
        <item x="14"/>
        <item x="7"/>
        <item x="16"/>
        <item x="13"/>
        <item x="12"/>
        <item x="1"/>
        <item x="23"/>
        <item t="default"/>
      </items>
    </pivotField>
    <pivotField compact="0" showAll="0">
      <items count="23">
        <item x="14"/>
        <item x="11"/>
        <item x="20"/>
        <item x="9"/>
        <item x="7"/>
        <item x="8"/>
        <item x="13"/>
        <item x="10"/>
        <item x="16"/>
        <item x="1"/>
        <item x="4"/>
        <item x="19"/>
        <item x="18"/>
        <item x="17"/>
        <item x="12"/>
        <item x="15"/>
        <item x="0"/>
        <item x="6"/>
        <item x="5"/>
        <item x="2"/>
        <item x="3"/>
        <item x="21"/>
        <item t="default"/>
      </items>
    </pivotField>
    <pivotField compact="0" showAll="0">
      <items count="30">
        <item x="2"/>
        <item x="14"/>
        <item x="27"/>
        <item x="22"/>
        <item x="18"/>
        <item x="21"/>
        <item x="17"/>
        <item x="16"/>
        <item x="12"/>
        <item x="26"/>
        <item x="10"/>
        <item x="8"/>
        <item x="9"/>
        <item x="15"/>
        <item x="11"/>
        <item x="20"/>
        <item x="1"/>
        <item x="5"/>
        <item x="25"/>
        <item x="24"/>
        <item x="23"/>
        <item x="13"/>
        <item x="19"/>
        <item x="0"/>
        <item x="7"/>
        <item x="6"/>
        <item x="4"/>
        <item x="3"/>
        <item x="28"/>
        <item t="default"/>
      </items>
    </pivotField>
    <pivotField compact="0" showAll="0">
      <items count="23">
        <item x="14"/>
        <item x="11"/>
        <item x="20"/>
        <item x="9"/>
        <item x="7"/>
        <item x="8"/>
        <item x="13"/>
        <item x="10"/>
        <item x="16"/>
        <item x="1"/>
        <item x="4"/>
        <item x="19"/>
        <item x="18"/>
        <item x="17"/>
        <item x="12"/>
        <item x="15"/>
        <item x="0"/>
        <item x="6"/>
        <item x="5"/>
        <item x="2"/>
        <item x="3"/>
        <item x="21"/>
        <item t="default"/>
      </items>
    </pivotField>
    <pivotField dataField="1" compact="0" showAll="0">
      <items count="30">
        <item x="2"/>
        <item x="14"/>
        <item x="27"/>
        <item x="22"/>
        <item x="18"/>
        <item x="21"/>
        <item x="17"/>
        <item x="16"/>
        <item x="12"/>
        <item x="26"/>
        <item x="10"/>
        <item x="8"/>
        <item x="9"/>
        <item x="15"/>
        <item x="11"/>
        <item x="20"/>
        <item x="1"/>
        <item x="5"/>
        <item x="25"/>
        <item x="24"/>
        <item x="23"/>
        <item x="13"/>
        <item x="19"/>
        <item x="0"/>
        <item x="7"/>
        <item x="6"/>
        <item x="4"/>
        <item x="3"/>
        <item x="2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29">
        <item x="14"/>
        <item x="26"/>
        <item x="2"/>
        <item x="23"/>
        <item x="19"/>
        <item x="22"/>
        <item x="18"/>
        <item x="17"/>
        <item x="9"/>
        <item x="12"/>
        <item x="10"/>
        <item x="16"/>
        <item x="8"/>
        <item x="5"/>
        <item x="7"/>
        <item x="21"/>
        <item x="11"/>
        <item x="6"/>
        <item x="1"/>
        <item x="15"/>
        <item x="25"/>
        <item x="24"/>
        <item x="13"/>
        <item x="4"/>
        <item x="20"/>
        <item x="0"/>
        <item x="3"/>
        <item x="27"/>
        <item t="default"/>
      </items>
    </pivotField>
    <pivotField dataField="1" compact="0" showAll="0">
      <items count="4">
        <item x="1"/>
        <item x="0"/>
        <item x="2"/>
        <item t="default"/>
      </items>
    </pivotField>
    <pivotField compact="0" showAll="0">
      <items count="407">
        <item x="100"/>
        <item x="101"/>
        <item x="336"/>
        <item x="338"/>
        <item x="337"/>
        <item x="320"/>
        <item x="110"/>
        <item x="335"/>
        <item x="321"/>
        <item x="248"/>
        <item x="247"/>
        <item x="246"/>
        <item x="245"/>
        <item x="264"/>
        <item x="256"/>
        <item x="255"/>
        <item x="254"/>
        <item x="253"/>
        <item x="252"/>
        <item x="251"/>
        <item x="250"/>
        <item x="249"/>
        <item x="33"/>
        <item x="37"/>
        <item x="74"/>
        <item x="14"/>
        <item x="7"/>
        <item x="20"/>
        <item x="38"/>
        <item x="75"/>
        <item x="4"/>
        <item x="15"/>
        <item x="352"/>
        <item x="6"/>
        <item x="8"/>
        <item x="9"/>
        <item x="11"/>
        <item x="12"/>
        <item x="22"/>
        <item x="21"/>
        <item x="40"/>
        <item x="39"/>
        <item x="27"/>
        <item x="28"/>
        <item x="30"/>
        <item x="34"/>
        <item x="35"/>
        <item x="18"/>
        <item x="17"/>
        <item x="76"/>
        <item x="42"/>
        <item x="43"/>
        <item x="47"/>
        <item x="45"/>
        <item x="5"/>
        <item x="16"/>
        <item x="10"/>
        <item x="13"/>
        <item x="23"/>
        <item x="41"/>
        <item x="29"/>
        <item x="31"/>
        <item x="32"/>
        <item x="36"/>
        <item x="19"/>
        <item x="44"/>
        <item x="46"/>
        <item x="80"/>
        <item x="77"/>
        <item x="81"/>
        <item x="78"/>
        <item x="82"/>
        <item x="79"/>
        <item x="83"/>
        <item x="394"/>
        <item x="395"/>
        <item x="342"/>
        <item x="348"/>
        <item x="350"/>
        <item x="340"/>
        <item x="343"/>
        <item x="339"/>
        <item x="349"/>
        <item x="351"/>
        <item x="341"/>
        <item x="344"/>
        <item x="333"/>
        <item x="276"/>
        <item x="277"/>
        <item x="288"/>
        <item x="279"/>
        <item x="289"/>
        <item x="280"/>
        <item x="286"/>
        <item x="281"/>
        <item x="282"/>
        <item x="287"/>
        <item x="283"/>
        <item x="294"/>
        <item x="293"/>
        <item x="284"/>
        <item x="285"/>
        <item x="278"/>
        <item x="401"/>
        <item x="290"/>
        <item x="291"/>
        <item x="292"/>
        <item x="297"/>
        <item x="295"/>
        <item x="296"/>
        <item x="402"/>
        <item x="144"/>
        <item x="136"/>
        <item x="135"/>
        <item x="137"/>
        <item x="147"/>
        <item x="134"/>
        <item x="142"/>
        <item x="140"/>
        <item x="398"/>
        <item x="145"/>
        <item x="148"/>
        <item x="143"/>
        <item x="141"/>
        <item x="149"/>
        <item x="152"/>
        <item x="151"/>
        <item x="155"/>
        <item x="146"/>
        <item x="150"/>
        <item x="138"/>
        <item x="139"/>
        <item x="153"/>
        <item x="156"/>
        <item x="399"/>
        <item x="154"/>
        <item x="327"/>
        <item x="326"/>
        <item x="328"/>
        <item x="332"/>
        <item x="330"/>
        <item x="329"/>
        <item x="403"/>
        <item x="331"/>
        <item x="85"/>
        <item x="88"/>
        <item x="89"/>
        <item x="86"/>
        <item x="90"/>
        <item x="87"/>
        <item x="95"/>
        <item x="96"/>
        <item x="97"/>
        <item x="93"/>
        <item x="98"/>
        <item x="94"/>
        <item x="99"/>
        <item x="91"/>
        <item x="92"/>
        <item x="230"/>
        <item x="231"/>
        <item x="228"/>
        <item x="229"/>
        <item x="157"/>
        <item x="1"/>
        <item x="2"/>
        <item x="84"/>
        <item x="24"/>
        <item x="25"/>
        <item x="48"/>
        <item x="66"/>
        <item x="68"/>
        <item x="56"/>
        <item x="62"/>
        <item x="64"/>
        <item x="72"/>
        <item x="70"/>
        <item x="50"/>
        <item x="52"/>
        <item x="54"/>
        <item x="58"/>
        <item x="60"/>
        <item x="0"/>
        <item x="3"/>
        <item x="26"/>
        <item x="49"/>
        <item x="67"/>
        <item x="69"/>
        <item x="57"/>
        <item x="63"/>
        <item x="65"/>
        <item x="73"/>
        <item x="71"/>
        <item x="51"/>
        <item x="53"/>
        <item x="55"/>
        <item x="59"/>
        <item x="61"/>
        <item x="269"/>
        <item x="272"/>
        <item x="271"/>
        <item x="273"/>
        <item x="270"/>
        <item x="244"/>
        <item x="267"/>
        <item x="240"/>
        <item x="268"/>
        <item x="266"/>
        <item x="241"/>
        <item x="265"/>
        <item x="260"/>
        <item x="257"/>
        <item x="262"/>
        <item x="242"/>
        <item x="259"/>
        <item x="261"/>
        <item x="243"/>
        <item x="258"/>
        <item x="263"/>
        <item x="234"/>
        <item x="238"/>
        <item x="235"/>
        <item x="239"/>
        <item x="236"/>
        <item x="237"/>
        <item x="232"/>
        <item x="233"/>
        <item x="274"/>
        <item x="275"/>
        <item x="314"/>
        <item x="315"/>
        <item x="313"/>
        <item x="178"/>
        <item x="179"/>
        <item x="218"/>
        <item x="198"/>
        <item x="169"/>
        <item x="162"/>
        <item x="165"/>
        <item x="176"/>
        <item x="173"/>
        <item x="182"/>
        <item x="180"/>
        <item x="186"/>
        <item x="188"/>
        <item x="184"/>
        <item x="346"/>
        <item x="167"/>
        <item x="204"/>
        <item x="171"/>
        <item x="199"/>
        <item x="170"/>
        <item x="200"/>
        <item x="201"/>
        <item x="353"/>
        <item x="163"/>
        <item x="400"/>
        <item x="166"/>
        <item x="175"/>
        <item x="177"/>
        <item x="174"/>
        <item x="202"/>
        <item x="183"/>
        <item x="181"/>
        <item x="187"/>
        <item x="189"/>
        <item x="185"/>
        <item x="190"/>
        <item x="191"/>
        <item x="192"/>
        <item x="164"/>
        <item x="222"/>
        <item x="223"/>
        <item x="225"/>
        <item x="226"/>
        <item x="224"/>
        <item x="345"/>
        <item x="168"/>
        <item x="355"/>
        <item x="347"/>
        <item x="206"/>
        <item x="209"/>
        <item x="208"/>
        <item x="207"/>
        <item x="172"/>
        <item x="203"/>
        <item x="205"/>
        <item x="210"/>
        <item x="211"/>
        <item x="227"/>
        <item x="214"/>
        <item x="216"/>
        <item x="212"/>
        <item x="220"/>
        <item x="219"/>
        <item x="215"/>
        <item x="217"/>
        <item x="213"/>
        <item x="221"/>
        <item x="193"/>
        <item x="195"/>
        <item x="197"/>
        <item x="194"/>
        <item x="196"/>
        <item x="301"/>
        <item x="304"/>
        <item x="305"/>
        <item x="307"/>
        <item x="308"/>
        <item x="309"/>
        <item x="310"/>
        <item x="312"/>
        <item x="298"/>
        <item x="299"/>
        <item x="300"/>
        <item x="302"/>
        <item x="311"/>
        <item x="303"/>
        <item x="306"/>
        <item x="158"/>
        <item x="160"/>
        <item x="159"/>
        <item x="161"/>
        <item x="323"/>
        <item x="322"/>
        <item x="325"/>
        <item x="324"/>
        <item x="371"/>
        <item x="358"/>
        <item x="372"/>
        <item x="368"/>
        <item x="373"/>
        <item x="359"/>
        <item x="361"/>
        <item x="369"/>
        <item x="374"/>
        <item x="360"/>
        <item x="362"/>
        <item x="370"/>
        <item x="375"/>
        <item x="363"/>
        <item x="356"/>
        <item x="357"/>
        <item x="382"/>
        <item x="384"/>
        <item x="386"/>
        <item x="388"/>
        <item x="378"/>
        <item x="380"/>
        <item x="390"/>
        <item x="364"/>
        <item x="366"/>
        <item x="383"/>
        <item x="385"/>
        <item x="387"/>
        <item x="389"/>
        <item x="379"/>
        <item x="381"/>
        <item x="391"/>
        <item x="365"/>
        <item x="367"/>
        <item x="376"/>
        <item x="377"/>
        <item x="392"/>
        <item x="393"/>
        <item x="317"/>
        <item x="107"/>
        <item x="108"/>
        <item x="109"/>
        <item x="112"/>
        <item x="111"/>
        <item x="113"/>
        <item x="116"/>
        <item x="115"/>
        <item x="127"/>
        <item x="131"/>
        <item x="354"/>
        <item x="114"/>
        <item x="119"/>
        <item x="117"/>
        <item x="118"/>
        <item x="404"/>
        <item x="122"/>
        <item x="120"/>
        <item x="126"/>
        <item x="132"/>
        <item x="121"/>
        <item x="124"/>
        <item x="125"/>
        <item x="128"/>
        <item x="133"/>
        <item x="123"/>
        <item x="396"/>
        <item x="130"/>
        <item x="397"/>
        <item x="129"/>
        <item x="102"/>
        <item x="103"/>
        <item x="104"/>
        <item x="105"/>
        <item x="106"/>
        <item x="316"/>
        <item x="334"/>
        <item x="319"/>
        <item x="318"/>
        <item x="405"/>
        <item t="default"/>
      </items>
    </pivotField>
    <pivotField compact="0" showAll="0">
      <items count="239">
        <item x="0"/>
        <item x="1"/>
        <item x="2"/>
        <item x="70"/>
        <item x="3"/>
        <item x="6"/>
        <item x="4"/>
        <item x="7"/>
        <item x="11"/>
        <item x="53"/>
        <item x="8"/>
        <item x="12"/>
        <item x="54"/>
        <item x="5"/>
        <item x="73"/>
        <item x="180"/>
        <item x="107"/>
        <item x="108"/>
        <item x="109"/>
        <item x="45"/>
        <item x="46"/>
        <item x="47"/>
        <item x="74"/>
        <item x="71"/>
        <item x="50"/>
        <item x="9"/>
        <item x="48"/>
        <item x="51"/>
        <item x="16"/>
        <item x="49"/>
        <item x="10"/>
        <item x="14"/>
        <item x="13"/>
        <item x="202"/>
        <item x="26"/>
        <item x="89"/>
        <item x="15"/>
        <item x="28"/>
        <item x="17"/>
        <item x="18"/>
        <item x="25"/>
        <item x="55"/>
        <item x="19"/>
        <item x="72"/>
        <item x="27"/>
        <item x="21"/>
        <item x="110"/>
        <item x="20"/>
        <item x="22"/>
        <item x="24"/>
        <item x="56"/>
        <item x="111"/>
        <item x="75"/>
        <item x="23"/>
        <item x="69"/>
        <item x="76"/>
        <item x="114"/>
        <item x="31"/>
        <item x="113"/>
        <item x="112"/>
        <item x="34"/>
        <item x="36"/>
        <item x="29"/>
        <item x="32"/>
        <item x="77"/>
        <item x="115"/>
        <item x="35"/>
        <item x="37"/>
        <item x="43"/>
        <item x="30"/>
        <item x="33"/>
        <item x="106"/>
        <item x="116"/>
        <item x="42"/>
        <item x="119"/>
        <item x="44"/>
        <item x="52"/>
        <item x="125"/>
        <item x="123"/>
        <item x="38"/>
        <item x="118"/>
        <item x="117"/>
        <item x="40"/>
        <item x="203"/>
        <item x="78"/>
        <item x="39"/>
        <item x="87"/>
        <item x="41"/>
        <item x="83"/>
        <item x="124"/>
        <item x="147"/>
        <item x="122"/>
        <item x="120"/>
        <item x="60"/>
        <item x="148"/>
        <item x="66"/>
        <item x="181"/>
        <item x="88"/>
        <item x="121"/>
        <item x="126"/>
        <item x="79"/>
        <item x="192"/>
        <item x="127"/>
        <item x="128"/>
        <item x="91"/>
        <item x="57"/>
        <item x="81"/>
        <item x="182"/>
        <item x="191"/>
        <item x="90"/>
        <item x="105"/>
        <item x="82"/>
        <item x="61"/>
        <item x="84"/>
        <item x="139"/>
        <item x="80"/>
        <item x="86"/>
        <item x="97"/>
        <item x="93"/>
        <item x="153"/>
        <item x="95"/>
        <item x="196"/>
        <item x="62"/>
        <item x="94"/>
        <item x="98"/>
        <item x="129"/>
        <item x="135"/>
        <item x="92"/>
        <item x="130"/>
        <item x="235"/>
        <item x="96"/>
        <item x="194"/>
        <item x="133"/>
        <item x="132"/>
        <item x="197"/>
        <item x="189"/>
        <item x="85"/>
        <item x="140"/>
        <item x="200"/>
        <item x="144"/>
        <item x="184"/>
        <item x="149"/>
        <item x="99"/>
        <item x="219"/>
        <item x="131"/>
        <item x="236"/>
        <item x="134"/>
        <item x="58"/>
        <item x="102"/>
        <item x="193"/>
        <item x="178"/>
        <item x="183"/>
        <item x="100"/>
        <item x="103"/>
        <item x="145"/>
        <item x="154"/>
        <item x="104"/>
        <item x="190"/>
        <item x="195"/>
        <item x="188"/>
        <item x="64"/>
        <item x="137"/>
        <item x="204"/>
        <item x="198"/>
        <item x="150"/>
        <item x="136"/>
        <item x="63"/>
        <item x="67"/>
        <item x="185"/>
        <item x="205"/>
        <item x="151"/>
        <item x="141"/>
        <item x="155"/>
        <item x="138"/>
        <item x="206"/>
        <item x="142"/>
        <item x="169"/>
        <item x="199"/>
        <item x="172"/>
        <item x="101"/>
        <item x="143"/>
        <item x="207"/>
        <item x="177"/>
        <item x="65"/>
        <item x="174"/>
        <item x="152"/>
        <item x="212"/>
        <item x="156"/>
        <item x="213"/>
        <item x="171"/>
        <item x="146"/>
        <item x="59"/>
        <item x="216"/>
        <item x="227"/>
        <item x="208"/>
        <item x="170"/>
        <item x="209"/>
        <item x="228"/>
        <item x="68"/>
        <item x="173"/>
        <item x="220"/>
        <item x="223"/>
        <item x="186"/>
        <item x="229"/>
        <item x="217"/>
        <item x="175"/>
        <item x="210"/>
        <item x="224"/>
        <item x="157"/>
        <item x="214"/>
        <item x="221"/>
        <item x="230"/>
        <item x="225"/>
        <item x="187"/>
        <item x="218"/>
        <item x="211"/>
        <item x="215"/>
        <item x="159"/>
        <item x="158"/>
        <item x="222"/>
        <item x="226"/>
        <item x="160"/>
        <item x="161"/>
        <item x="162"/>
        <item x="231"/>
        <item x="163"/>
        <item x="165"/>
        <item x="164"/>
        <item x="166"/>
        <item x="232"/>
        <item x="167"/>
        <item x="168"/>
        <item x="176"/>
        <item x="233"/>
        <item x="234"/>
        <item x="179"/>
        <item x="201"/>
        <item x="237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销售商品数量" fld="13" baseField="0" baseItem="0"/>
    <dataField name="求和项:复核提成" fld="7" baseField="0" baseItem="0"/>
    <dataField name="求和项:含税含券销售额" fld="12" baseField="0" baseItem="0"/>
  </dataFields>
  <formats count="2">
    <format dxfId="0">
      <pivotArea collapsedLevelsAreSubtotals="1" fieldPosition="0">
        <references count="1">
          <reference field="10" count="1" selected="0">
            <x v="0"/>
          </reference>
        </references>
      </pivotArea>
    </format>
    <format dxfId="1">
      <pivotArea collapsedLevelsAreSubtotals="1" fieldPosition="0">
        <references count="1">
          <reference field="10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59"/>
  <sheetViews>
    <sheetView topLeftCell="A95" workbookViewId="0">
      <selection activeCell="D162" sqref="D162"/>
    </sheetView>
  </sheetViews>
  <sheetFormatPr defaultColWidth="9" defaultRowHeight="14"/>
  <cols>
    <col min="1" max="1" width="11.75" customWidth="1"/>
    <col min="2" max="2" width="4.725" customWidth="1"/>
    <col min="3" max="3" width="34.1916666666667" customWidth="1"/>
    <col min="4" max="4" width="14.0083333333333" customWidth="1"/>
    <col min="8" max="8" width="20.25" customWidth="1"/>
    <col min="9" max="13" width="9" hidden="1" customWidth="1"/>
    <col min="14" max="14" width="20.7166666666667" hidden="1" customWidth="1"/>
  </cols>
  <sheetData>
    <row r="1" s="3" customFormat="1" ht="122.5" spans="1:1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="3" customFormat="1" spans="1:17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>
        <v>8288</v>
      </c>
      <c r="Q2" s="3">
        <v>1</v>
      </c>
    </row>
    <row r="3" s="3" customFormat="1" spans="1:17">
      <c r="A3" s="3" t="s">
        <v>17</v>
      </c>
      <c r="B3" s="3" t="s">
        <v>18</v>
      </c>
      <c r="C3" s="3" t="s">
        <v>31</v>
      </c>
      <c r="D3" s="3" t="s">
        <v>32</v>
      </c>
      <c r="E3" s="3" t="s">
        <v>33</v>
      </c>
      <c r="F3" s="3" t="s">
        <v>33</v>
      </c>
      <c r="G3" s="3" t="s">
        <v>22</v>
      </c>
      <c r="H3" s="3" t="s">
        <v>34</v>
      </c>
      <c r="I3" s="3" t="s">
        <v>24</v>
      </c>
      <c r="J3" s="3" t="s">
        <v>25</v>
      </c>
      <c r="K3" s="3" t="s">
        <v>26</v>
      </c>
      <c r="L3" s="3" t="s">
        <v>35</v>
      </c>
      <c r="M3" s="3" t="s">
        <v>28</v>
      </c>
      <c r="N3" s="3" t="s">
        <v>29</v>
      </c>
      <c r="O3" s="3" t="s">
        <v>30</v>
      </c>
      <c r="P3" s="3">
        <v>6158</v>
      </c>
      <c r="Q3" s="3">
        <v>1</v>
      </c>
    </row>
    <row r="4" s="3" customFormat="1" hidden="1" spans="1:17">
      <c r="A4" s="3" t="s">
        <v>17</v>
      </c>
      <c r="B4" s="3" t="s">
        <v>18</v>
      </c>
      <c r="C4" s="3" t="s">
        <v>36</v>
      </c>
      <c r="D4" s="3" t="s">
        <v>37</v>
      </c>
      <c r="E4" s="3" t="s">
        <v>38</v>
      </c>
      <c r="F4" s="3" t="s">
        <v>38</v>
      </c>
      <c r="G4" s="3" t="s">
        <v>22</v>
      </c>
      <c r="H4" s="3" t="s">
        <v>39</v>
      </c>
      <c r="I4" s="3" t="s">
        <v>24</v>
      </c>
      <c r="J4" s="3" t="s">
        <v>25</v>
      </c>
      <c r="K4" s="3" t="s">
        <v>26</v>
      </c>
      <c r="L4" s="3" t="s">
        <v>35</v>
      </c>
      <c r="M4" s="3" t="s">
        <v>28</v>
      </c>
      <c r="N4" s="3" t="s">
        <v>29</v>
      </c>
      <c r="O4" s="3" t="s">
        <v>30</v>
      </c>
      <c r="P4" s="3">
        <v>4598</v>
      </c>
      <c r="Q4" s="3">
        <v>1</v>
      </c>
    </row>
    <row r="5" s="3" customFormat="1" hidden="1" spans="1:17">
      <c r="A5" s="3" t="s">
        <v>40</v>
      </c>
      <c r="B5" s="3" t="s">
        <v>18</v>
      </c>
      <c r="C5" s="3" t="s">
        <v>41</v>
      </c>
      <c r="D5" s="3" t="s">
        <v>42</v>
      </c>
      <c r="E5" s="3" t="s">
        <v>43</v>
      </c>
      <c r="F5" s="3" t="s">
        <v>43</v>
      </c>
      <c r="G5" s="3" t="s">
        <v>22</v>
      </c>
      <c r="H5" s="3" t="s">
        <v>44</v>
      </c>
      <c r="I5" s="3" t="s">
        <v>24</v>
      </c>
      <c r="J5" s="3" t="s">
        <v>25</v>
      </c>
      <c r="K5" s="3" t="s">
        <v>45</v>
      </c>
      <c r="L5" s="3" t="s">
        <v>46</v>
      </c>
      <c r="M5" s="3" t="s">
        <v>28</v>
      </c>
      <c r="N5" s="3" t="s">
        <v>29</v>
      </c>
      <c r="O5" s="3" t="s">
        <v>30</v>
      </c>
      <c r="P5" s="3">
        <v>5148</v>
      </c>
      <c r="Q5" s="3">
        <v>1</v>
      </c>
    </row>
    <row r="6" s="3" customFormat="1" hidden="1" spans="1:17">
      <c r="A6" s="3" t="s">
        <v>40</v>
      </c>
      <c r="B6" s="3" t="s">
        <v>18</v>
      </c>
      <c r="C6" s="3" t="s">
        <v>47</v>
      </c>
      <c r="D6" s="3" t="s">
        <v>48</v>
      </c>
      <c r="E6" s="3" t="s">
        <v>49</v>
      </c>
      <c r="F6" s="3" t="s">
        <v>49</v>
      </c>
      <c r="G6" s="3" t="s">
        <v>22</v>
      </c>
      <c r="H6" s="3" t="s">
        <v>39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O6" s="3" t="s">
        <v>30</v>
      </c>
      <c r="P6" s="3">
        <v>5098</v>
      </c>
      <c r="Q6" s="3">
        <v>1</v>
      </c>
    </row>
    <row r="7" s="3" customFormat="1" spans="1:17">
      <c r="A7" s="3" t="s">
        <v>40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53</v>
      </c>
      <c r="G7" s="3" t="s">
        <v>22</v>
      </c>
      <c r="H7" s="3" t="s">
        <v>54</v>
      </c>
      <c r="I7" s="3" t="s">
        <v>24</v>
      </c>
      <c r="J7" s="3" t="s">
        <v>25</v>
      </c>
      <c r="K7" s="3" t="s">
        <v>45</v>
      </c>
      <c r="L7" s="3" t="s">
        <v>46</v>
      </c>
      <c r="M7" s="3" t="s">
        <v>28</v>
      </c>
      <c r="N7" s="3" t="s">
        <v>29</v>
      </c>
      <c r="O7" s="3" t="s">
        <v>30</v>
      </c>
      <c r="P7" s="3">
        <v>-7588</v>
      </c>
      <c r="Q7" s="3">
        <v>-1</v>
      </c>
    </row>
    <row r="8" s="3" customFormat="1" hidden="1" spans="1:17">
      <c r="A8" s="3" t="s">
        <v>40</v>
      </c>
      <c r="B8" s="3" t="s">
        <v>50</v>
      </c>
      <c r="C8" s="3" t="s">
        <v>55</v>
      </c>
      <c r="D8" s="3" t="s">
        <v>56</v>
      </c>
      <c r="E8" s="3" t="s">
        <v>57</v>
      </c>
      <c r="F8" s="3" t="s">
        <v>57</v>
      </c>
      <c r="G8" s="3" t="s">
        <v>22</v>
      </c>
      <c r="H8" s="3" t="s">
        <v>44</v>
      </c>
      <c r="I8" s="3" t="s">
        <v>24</v>
      </c>
      <c r="J8" s="3" t="s">
        <v>25</v>
      </c>
      <c r="K8" s="3" t="s">
        <v>26</v>
      </c>
      <c r="L8" s="3" t="s">
        <v>58</v>
      </c>
      <c r="M8" s="3" t="s">
        <v>28</v>
      </c>
      <c r="N8" s="3" t="s">
        <v>29</v>
      </c>
      <c r="O8" s="3" t="s">
        <v>30</v>
      </c>
      <c r="P8" s="3">
        <v>-8868</v>
      </c>
      <c r="Q8" s="3">
        <v>-1</v>
      </c>
    </row>
    <row r="9" s="3" customFormat="1" spans="1:17">
      <c r="A9" s="3" t="s">
        <v>59</v>
      </c>
      <c r="B9" s="3" t="s">
        <v>18</v>
      </c>
      <c r="C9" s="3" t="s">
        <v>60</v>
      </c>
      <c r="D9" s="3" t="s">
        <v>61</v>
      </c>
      <c r="E9" s="3" t="s">
        <v>62</v>
      </c>
      <c r="F9" s="3" t="s">
        <v>62</v>
      </c>
      <c r="G9" s="3" t="s">
        <v>22</v>
      </c>
      <c r="H9" s="3" t="s">
        <v>23</v>
      </c>
      <c r="I9" s="3" t="s">
        <v>24</v>
      </c>
      <c r="J9" s="3" t="s">
        <v>25</v>
      </c>
      <c r="K9" s="3" t="s">
        <v>26</v>
      </c>
      <c r="L9" s="3" t="s">
        <v>27</v>
      </c>
      <c r="M9" s="3" t="s">
        <v>28</v>
      </c>
      <c r="N9" s="3" t="s">
        <v>29</v>
      </c>
      <c r="O9" s="3" t="s">
        <v>30</v>
      </c>
      <c r="P9" s="3">
        <v>14338</v>
      </c>
      <c r="Q9" s="3">
        <v>1</v>
      </c>
    </row>
    <row r="10" s="3" customFormat="1" spans="1:17">
      <c r="A10" s="3" t="s">
        <v>59</v>
      </c>
      <c r="B10" s="3" t="s">
        <v>18</v>
      </c>
      <c r="C10" s="3" t="s">
        <v>51</v>
      </c>
      <c r="D10" s="3" t="s">
        <v>52</v>
      </c>
      <c r="E10" s="3" t="s">
        <v>63</v>
      </c>
      <c r="F10" s="3" t="s">
        <v>63</v>
      </c>
      <c r="G10" s="3" t="s">
        <v>22</v>
      </c>
      <c r="H10" s="3" t="s">
        <v>54</v>
      </c>
      <c r="I10" s="3" t="s">
        <v>24</v>
      </c>
      <c r="J10" s="3" t="s">
        <v>25</v>
      </c>
      <c r="K10" s="3" t="s">
        <v>45</v>
      </c>
      <c r="L10" s="3" t="s">
        <v>46</v>
      </c>
      <c r="M10" s="3" t="s">
        <v>28</v>
      </c>
      <c r="N10" s="3" t="s">
        <v>29</v>
      </c>
      <c r="O10" s="3" t="s">
        <v>30</v>
      </c>
      <c r="P10" s="3">
        <v>7588</v>
      </c>
      <c r="Q10" s="3">
        <v>1</v>
      </c>
    </row>
    <row r="11" s="3" customFormat="1" hidden="1" spans="1:17">
      <c r="A11" s="3" t="s">
        <v>59</v>
      </c>
      <c r="B11" s="3" t="s">
        <v>18</v>
      </c>
      <c r="C11" s="3" t="s">
        <v>51</v>
      </c>
      <c r="D11" s="3" t="s">
        <v>52</v>
      </c>
      <c r="E11" s="3" t="s">
        <v>64</v>
      </c>
      <c r="F11" s="3" t="s">
        <v>64</v>
      </c>
      <c r="G11" s="3" t="s">
        <v>22</v>
      </c>
      <c r="H11" s="3" t="s">
        <v>44</v>
      </c>
      <c r="I11" s="3" t="s">
        <v>24</v>
      </c>
      <c r="J11" s="3" t="s">
        <v>25</v>
      </c>
      <c r="K11" s="3" t="s">
        <v>45</v>
      </c>
      <c r="L11" s="3" t="s">
        <v>46</v>
      </c>
      <c r="M11" s="3" t="s">
        <v>28</v>
      </c>
      <c r="N11" s="3" t="s">
        <v>29</v>
      </c>
      <c r="O11" s="3" t="s">
        <v>30</v>
      </c>
      <c r="P11" s="3">
        <v>7588</v>
      </c>
      <c r="Q11" s="3">
        <v>1</v>
      </c>
    </row>
    <row r="12" s="3" customFormat="1" spans="1:17">
      <c r="A12" s="3" t="s">
        <v>59</v>
      </c>
      <c r="B12" s="3" t="s">
        <v>18</v>
      </c>
      <c r="C12" s="3" t="s">
        <v>41</v>
      </c>
      <c r="D12" s="3" t="s">
        <v>42</v>
      </c>
      <c r="E12" s="3" t="s">
        <v>65</v>
      </c>
      <c r="F12" s="3" t="s">
        <v>65</v>
      </c>
      <c r="G12" s="3" t="s">
        <v>22</v>
      </c>
      <c r="H12" s="3" t="s">
        <v>54</v>
      </c>
      <c r="I12" s="3" t="s">
        <v>24</v>
      </c>
      <c r="J12" s="3" t="s">
        <v>25</v>
      </c>
      <c r="K12" s="3" t="s">
        <v>45</v>
      </c>
      <c r="L12" s="3" t="s">
        <v>46</v>
      </c>
      <c r="M12" s="3" t="s">
        <v>28</v>
      </c>
      <c r="N12" s="3" t="s">
        <v>29</v>
      </c>
      <c r="O12" s="3" t="s">
        <v>30</v>
      </c>
      <c r="P12" s="3">
        <v>5148</v>
      </c>
      <c r="Q12" s="3">
        <v>1</v>
      </c>
    </row>
    <row r="13" s="3" customFormat="1" hidden="1" spans="1:17">
      <c r="A13" s="3" t="s">
        <v>59</v>
      </c>
      <c r="B13" s="3" t="s">
        <v>18</v>
      </c>
      <c r="C13" s="3" t="s">
        <v>66</v>
      </c>
      <c r="D13" s="3" t="s">
        <v>67</v>
      </c>
      <c r="E13" s="3" t="s">
        <v>68</v>
      </c>
      <c r="F13" s="3" t="s">
        <v>68</v>
      </c>
      <c r="G13" s="3" t="s">
        <v>22</v>
      </c>
      <c r="H13" s="3" t="s">
        <v>69</v>
      </c>
      <c r="I13" s="3" t="s">
        <v>24</v>
      </c>
      <c r="J13" s="3" t="s">
        <v>25</v>
      </c>
      <c r="K13" s="3" t="s">
        <v>26</v>
      </c>
      <c r="L13" s="3" t="s">
        <v>35</v>
      </c>
      <c r="M13" s="3" t="s">
        <v>28</v>
      </c>
      <c r="N13" s="3" t="s">
        <v>29</v>
      </c>
      <c r="O13" s="3" t="s">
        <v>30</v>
      </c>
      <c r="P13" s="3">
        <v>3968</v>
      </c>
      <c r="Q13" s="3">
        <v>1</v>
      </c>
    </row>
    <row r="14" s="3" customFormat="1" hidden="1" spans="1:17">
      <c r="A14" s="3" t="s">
        <v>70</v>
      </c>
      <c r="B14" s="3" t="s">
        <v>18</v>
      </c>
      <c r="C14" s="3" t="s">
        <v>71</v>
      </c>
      <c r="D14" s="3" t="s">
        <v>72</v>
      </c>
      <c r="E14" s="3" t="s">
        <v>73</v>
      </c>
      <c r="F14" s="3" t="s">
        <v>73</v>
      </c>
      <c r="G14" s="3" t="s">
        <v>22</v>
      </c>
      <c r="H14" s="3" t="s">
        <v>44</v>
      </c>
      <c r="I14" s="3" t="s">
        <v>24</v>
      </c>
      <c r="J14" s="3" t="s">
        <v>25</v>
      </c>
      <c r="K14" s="3" t="s">
        <v>26</v>
      </c>
      <c r="L14" s="3" t="s">
        <v>27</v>
      </c>
      <c r="M14" s="3" t="s">
        <v>28</v>
      </c>
      <c r="N14" s="3" t="s">
        <v>29</v>
      </c>
      <c r="O14" s="3" t="s">
        <v>30</v>
      </c>
      <c r="P14" s="3">
        <v>7898</v>
      </c>
      <c r="Q14" s="3">
        <v>1</v>
      </c>
    </row>
    <row r="15" s="3" customFormat="1" hidden="1" spans="1:17">
      <c r="A15" s="3" t="s">
        <v>70</v>
      </c>
      <c r="B15" s="3" t="s">
        <v>18</v>
      </c>
      <c r="C15" s="3" t="s">
        <v>51</v>
      </c>
      <c r="D15" s="3" t="s">
        <v>52</v>
      </c>
      <c r="E15" s="3" t="s">
        <v>74</v>
      </c>
      <c r="F15" s="3" t="s">
        <v>74</v>
      </c>
      <c r="G15" s="3" t="s">
        <v>22</v>
      </c>
      <c r="H15" s="3" t="s">
        <v>44</v>
      </c>
      <c r="I15" s="3" t="s">
        <v>24</v>
      </c>
      <c r="J15" s="3" t="s">
        <v>25</v>
      </c>
      <c r="K15" s="3" t="s">
        <v>45</v>
      </c>
      <c r="L15" s="3" t="s">
        <v>46</v>
      </c>
      <c r="M15" s="3" t="s">
        <v>28</v>
      </c>
      <c r="N15" s="3" t="s">
        <v>29</v>
      </c>
      <c r="O15" s="3" t="s">
        <v>30</v>
      </c>
      <c r="P15" s="3">
        <v>7588</v>
      </c>
      <c r="Q15" s="3">
        <v>1</v>
      </c>
    </row>
    <row r="16" s="3" customFormat="1" hidden="1" spans="1:17">
      <c r="A16" s="3" t="s">
        <v>70</v>
      </c>
      <c r="B16" s="3" t="s">
        <v>18</v>
      </c>
      <c r="C16" s="3" t="s">
        <v>75</v>
      </c>
      <c r="D16" s="3" t="s">
        <v>76</v>
      </c>
      <c r="E16" s="3" t="s">
        <v>77</v>
      </c>
      <c r="F16" s="3" t="s">
        <v>77</v>
      </c>
      <c r="G16" s="3" t="s">
        <v>22</v>
      </c>
      <c r="H16" s="3" t="s">
        <v>44</v>
      </c>
      <c r="I16" s="3" t="s">
        <v>24</v>
      </c>
      <c r="J16" s="3" t="s">
        <v>25</v>
      </c>
      <c r="K16" s="3" t="s">
        <v>26</v>
      </c>
      <c r="L16" s="3" t="s">
        <v>35</v>
      </c>
      <c r="M16" s="3" t="s">
        <v>28</v>
      </c>
      <c r="N16" s="3" t="s">
        <v>29</v>
      </c>
      <c r="O16" s="3" t="s">
        <v>30</v>
      </c>
      <c r="P16" s="3">
        <v>5568</v>
      </c>
      <c r="Q16" s="3">
        <v>1</v>
      </c>
    </row>
    <row r="17" s="3" customFormat="1" hidden="1" spans="1:17">
      <c r="A17" s="3" t="s">
        <v>70</v>
      </c>
      <c r="B17" s="3" t="s">
        <v>18</v>
      </c>
      <c r="C17" s="3" t="s">
        <v>78</v>
      </c>
      <c r="D17" s="3" t="s">
        <v>79</v>
      </c>
      <c r="E17" s="3" t="s">
        <v>80</v>
      </c>
      <c r="F17" s="3" t="s">
        <v>80</v>
      </c>
      <c r="G17" s="3" t="s">
        <v>22</v>
      </c>
      <c r="H17" s="3" t="s">
        <v>44</v>
      </c>
      <c r="I17" s="3" t="s">
        <v>24</v>
      </c>
      <c r="J17" s="3" t="s">
        <v>25</v>
      </c>
      <c r="K17" s="3" t="s">
        <v>26</v>
      </c>
      <c r="L17" s="3" t="s">
        <v>35</v>
      </c>
      <c r="M17" s="3" t="s">
        <v>28</v>
      </c>
      <c r="N17" s="3" t="s">
        <v>29</v>
      </c>
      <c r="O17" s="3" t="s">
        <v>30</v>
      </c>
      <c r="P17" s="3">
        <v>4298</v>
      </c>
      <c r="Q17" s="3">
        <v>1</v>
      </c>
    </row>
    <row r="18" s="3" customFormat="1" hidden="1" spans="1:17">
      <c r="A18" s="3" t="s">
        <v>70</v>
      </c>
      <c r="B18" s="3" t="s">
        <v>18</v>
      </c>
      <c r="C18" s="3" t="s">
        <v>66</v>
      </c>
      <c r="D18" s="3" t="s">
        <v>67</v>
      </c>
      <c r="E18" s="3" t="s">
        <v>81</v>
      </c>
      <c r="F18" s="3" t="s">
        <v>81</v>
      </c>
      <c r="G18" s="3" t="s">
        <v>22</v>
      </c>
      <c r="H18" s="3" t="s">
        <v>82</v>
      </c>
      <c r="I18" s="3" t="s">
        <v>24</v>
      </c>
      <c r="J18" s="3" t="s">
        <v>25</v>
      </c>
      <c r="K18" s="3" t="s">
        <v>26</v>
      </c>
      <c r="L18" s="3" t="s">
        <v>35</v>
      </c>
      <c r="M18" s="3" t="s">
        <v>28</v>
      </c>
      <c r="N18" s="3" t="s">
        <v>29</v>
      </c>
      <c r="O18" s="3" t="s">
        <v>30</v>
      </c>
      <c r="P18" s="3">
        <v>3968</v>
      </c>
      <c r="Q18" s="3">
        <v>1</v>
      </c>
    </row>
    <row r="19" s="3" customFormat="1" hidden="1" spans="1:17">
      <c r="A19" s="3" t="s">
        <v>83</v>
      </c>
      <c r="B19" s="3" t="s">
        <v>18</v>
      </c>
      <c r="C19" s="3" t="s">
        <v>84</v>
      </c>
      <c r="D19" s="3" t="s">
        <v>85</v>
      </c>
      <c r="E19" s="3" t="s">
        <v>86</v>
      </c>
      <c r="F19" s="3" t="s">
        <v>86</v>
      </c>
      <c r="G19" s="3" t="s">
        <v>22</v>
      </c>
      <c r="H19" s="3" t="s">
        <v>44</v>
      </c>
      <c r="I19" s="3" t="s">
        <v>24</v>
      </c>
      <c r="J19" s="3" t="s">
        <v>25</v>
      </c>
      <c r="K19" s="3" t="s">
        <v>26</v>
      </c>
      <c r="L19" s="3" t="s">
        <v>58</v>
      </c>
      <c r="M19" s="3" t="s">
        <v>28</v>
      </c>
      <c r="N19" s="3" t="s">
        <v>29</v>
      </c>
      <c r="O19" s="3" t="s">
        <v>30</v>
      </c>
      <c r="P19" s="3">
        <v>9588</v>
      </c>
      <c r="Q19" s="3">
        <v>1</v>
      </c>
    </row>
    <row r="20" s="3" customFormat="1" hidden="1" spans="1:17">
      <c r="A20" s="3" t="s">
        <v>83</v>
      </c>
      <c r="B20" s="3" t="s">
        <v>18</v>
      </c>
      <c r="C20" s="3" t="s">
        <v>87</v>
      </c>
      <c r="D20" s="3" t="s">
        <v>88</v>
      </c>
      <c r="E20" s="3" t="s">
        <v>89</v>
      </c>
      <c r="F20" s="3" t="s">
        <v>89</v>
      </c>
      <c r="G20" s="3" t="s">
        <v>22</v>
      </c>
      <c r="H20" s="3" t="s">
        <v>69</v>
      </c>
      <c r="I20" s="3" t="s">
        <v>24</v>
      </c>
      <c r="J20" s="3" t="s">
        <v>25</v>
      </c>
      <c r="K20" s="3" t="s">
        <v>26</v>
      </c>
      <c r="L20" s="3" t="s">
        <v>27</v>
      </c>
      <c r="M20" s="3" t="s">
        <v>28</v>
      </c>
      <c r="N20" s="3" t="s">
        <v>29</v>
      </c>
      <c r="O20" s="3" t="s">
        <v>30</v>
      </c>
      <c r="P20" s="3">
        <v>7338</v>
      </c>
      <c r="Q20" s="3">
        <v>1</v>
      </c>
    </row>
    <row r="21" s="3" customFormat="1" spans="1:17">
      <c r="A21" s="3" t="s">
        <v>83</v>
      </c>
      <c r="B21" s="3" t="s">
        <v>18</v>
      </c>
      <c r="C21" s="3" t="s">
        <v>90</v>
      </c>
      <c r="D21" s="3" t="s">
        <v>91</v>
      </c>
      <c r="E21" s="3" t="s">
        <v>92</v>
      </c>
      <c r="F21" s="3" t="s">
        <v>92</v>
      </c>
      <c r="G21" s="3" t="s">
        <v>22</v>
      </c>
      <c r="H21" s="3" t="s">
        <v>93</v>
      </c>
      <c r="I21" s="3" t="s">
        <v>24</v>
      </c>
      <c r="J21" s="3" t="s">
        <v>25</v>
      </c>
      <c r="K21" s="3" t="s">
        <v>26</v>
      </c>
      <c r="L21" s="3" t="s">
        <v>58</v>
      </c>
      <c r="M21" s="3" t="s">
        <v>28</v>
      </c>
      <c r="N21" s="3" t="s">
        <v>29</v>
      </c>
      <c r="O21" s="3" t="s">
        <v>30</v>
      </c>
      <c r="P21" s="3">
        <v>5898</v>
      </c>
      <c r="Q21" s="3">
        <v>1</v>
      </c>
    </row>
    <row r="22" s="3" customFormat="1" hidden="1" spans="1:17">
      <c r="A22" s="3" t="s">
        <v>83</v>
      </c>
      <c r="B22" s="3" t="s">
        <v>18</v>
      </c>
      <c r="C22" s="3" t="s">
        <v>94</v>
      </c>
      <c r="D22" s="3" t="s">
        <v>95</v>
      </c>
      <c r="E22" s="3" t="s">
        <v>96</v>
      </c>
      <c r="F22" s="3" t="s">
        <v>96</v>
      </c>
      <c r="G22" s="3" t="s">
        <v>22</v>
      </c>
      <c r="H22" s="3" t="s">
        <v>44</v>
      </c>
      <c r="I22" s="3" t="s">
        <v>24</v>
      </c>
      <c r="J22" s="3" t="s">
        <v>25</v>
      </c>
      <c r="K22" s="3" t="s">
        <v>45</v>
      </c>
      <c r="L22" s="3" t="s">
        <v>46</v>
      </c>
      <c r="M22" s="3" t="s">
        <v>28</v>
      </c>
      <c r="N22" s="3" t="s">
        <v>29</v>
      </c>
      <c r="O22" s="3" t="s">
        <v>30</v>
      </c>
      <c r="P22" s="3">
        <v>5348</v>
      </c>
      <c r="Q22" s="3">
        <v>1</v>
      </c>
    </row>
    <row r="23" s="3" customFormat="1" spans="1:17">
      <c r="A23" s="3" t="s">
        <v>83</v>
      </c>
      <c r="B23" s="3" t="s">
        <v>18</v>
      </c>
      <c r="C23" s="3" t="s">
        <v>97</v>
      </c>
      <c r="D23" s="3" t="s">
        <v>98</v>
      </c>
      <c r="E23" s="3" t="s">
        <v>99</v>
      </c>
      <c r="F23" s="3" t="s">
        <v>99</v>
      </c>
      <c r="G23" s="3" t="s">
        <v>22</v>
      </c>
      <c r="H23" s="3" t="s">
        <v>93</v>
      </c>
      <c r="I23" s="3" t="s">
        <v>24</v>
      </c>
      <c r="J23" s="3" t="s">
        <v>25</v>
      </c>
      <c r="K23" s="3" t="s">
        <v>26</v>
      </c>
      <c r="L23" s="3" t="s">
        <v>58</v>
      </c>
      <c r="M23" s="3" t="s">
        <v>28</v>
      </c>
      <c r="N23" s="3" t="s">
        <v>29</v>
      </c>
      <c r="O23" s="3" t="s">
        <v>30</v>
      </c>
      <c r="P23" s="3">
        <v>5298</v>
      </c>
      <c r="Q23" s="3">
        <v>1</v>
      </c>
    </row>
    <row r="24" s="3" customFormat="1" spans="1:17">
      <c r="A24" s="3" t="s">
        <v>83</v>
      </c>
      <c r="B24" s="3" t="s">
        <v>18</v>
      </c>
      <c r="C24" s="3" t="s">
        <v>41</v>
      </c>
      <c r="D24" s="3" t="s">
        <v>42</v>
      </c>
      <c r="E24" s="3" t="s">
        <v>100</v>
      </c>
      <c r="F24" s="3" t="s">
        <v>100</v>
      </c>
      <c r="G24" s="3" t="s">
        <v>22</v>
      </c>
      <c r="H24" s="3" t="s">
        <v>93</v>
      </c>
      <c r="I24" s="3" t="s">
        <v>24</v>
      </c>
      <c r="J24" s="3" t="s">
        <v>25</v>
      </c>
      <c r="K24" s="3" t="s">
        <v>45</v>
      </c>
      <c r="L24" s="3" t="s">
        <v>46</v>
      </c>
      <c r="M24" s="3" t="s">
        <v>28</v>
      </c>
      <c r="N24" s="3" t="s">
        <v>29</v>
      </c>
      <c r="O24" s="3" t="s">
        <v>30</v>
      </c>
      <c r="P24" s="3">
        <v>5148</v>
      </c>
      <c r="Q24" s="3">
        <v>1</v>
      </c>
    </row>
    <row r="25" s="3" customFormat="1" spans="1:17">
      <c r="A25" s="3" t="s">
        <v>83</v>
      </c>
      <c r="B25" s="3" t="s">
        <v>18</v>
      </c>
      <c r="C25" s="3" t="s">
        <v>41</v>
      </c>
      <c r="D25" s="3" t="s">
        <v>42</v>
      </c>
      <c r="E25" s="3" t="s">
        <v>101</v>
      </c>
      <c r="F25" s="3" t="s">
        <v>101</v>
      </c>
      <c r="G25" s="3" t="s">
        <v>22</v>
      </c>
      <c r="H25" s="3" t="s">
        <v>54</v>
      </c>
      <c r="I25" s="3" t="s">
        <v>24</v>
      </c>
      <c r="J25" s="3" t="s">
        <v>25</v>
      </c>
      <c r="K25" s="3" t="s">
        <v>45</v>
      </c>
      <c r="L25" s="3" t="s">
        <v>46</v>
      </c>
      <c r="M25" s="3" t="s">
        <v>28</v>
      </c>
      <c r="N25" s="3" t="s">
        <v>29</v>
      </c>
      <c r="O25" s="3" t="s">
        <v>30</v>
      </c>
      <c r="P25" s="3">
        <v>5148</v>
      </c>
      <c r="Q25" s="3">
        <v>1</v>
      </c>
    </row>
    <row r="26" s="3" customFormat="1" spans="1:17">
      <c r="A26" s="3" t="s">
        <v>83</v>
      </c>
      <c r="B26" s="3" t="s">
        <v>18</v>
      </c>
      <c r="C26" s="3" t="s">
        <v>47</v>
      </c>
      <c r="D26" s="3" t="s">
        <v>48</v>
      </c>
      <c r="E26" s="3" t="s">
        <v>102</v>
      </c>
      <c r="F26" s="3" t="s">
        <v>102</v>
      </c>
      <c r="G26" s="3" t="s">
        <v>22</v>
      </c>
      <c r="H26" s="3" t="s">
        <v>93</v>
      </c>
      <c r="I26" s="3" t="s">
        <v>24</v>
      </c>
      <c r="J26" s="3" t="s">
        <v>25</v>
      </c>
      <c r="K26" s="3" t="s">
        <v>26</v>
      </c>
      <c r="L26" s="3" t="s">
        <v>27</v>
      </c>
      <c r="M26" s="3" t="s">
        <v>28</v>
      </c>
      <c r="N26" s="3" t="s">
        <v>29</v>
      </c>
      <c r="O26" s="3" t="s">
        <v>30</v>
      </c>
      <c r="P26" s="3">
        <v>5098</v>
      </c>
      <c r="Q26" s="3">
        <v>1</v>
      </c>
    </row>
    <row r="27" s="3" customFormat="1" spans="1:17">
      <c r="A27" s="3" t="s">
        <v>83</v>
      </c>
      <c r="B27" s="3" t="s">
        <v>18</v>
      </c>
      <c r="C27" s="3" t="s">
        <v>47</v>
      </c>
      <c r="D27" s="3" t="s">
        <v>48</v>
      </c>
      <c r="E27" s="3" t="s">
        <v>103</v>
      </c>
      <c r="F27" s="3" t="s">
        <v>103</v>
      </c>
      <c r="G27" s="3" t="s">
        <v>22</v>
      </c>
      <c r="H27" s="3" t="s">
        <v>54</v>
      </c>
      <c r="I27" s="3" t="s">
        <v>24</v>
      </c>
      <c r="J27" s="3" t="s">
        <v>25</v>
      </c>
      <c r="K27" s="3" t="s">
        <v>26</v>
      </c>
      <c r="L27" s="3" t="s">
        <v>27</v>
      </c>
      <c r="M27" s="3" t="s">
        <v>28</v>
      </c>
      <c r="N27" s="3" t="s">
        <v>29</v>
      </c>
      <c r="O27" s="3" t="s">
        <v>30</v>
      </c>
      <c r="P27" s="3">
        <v>5098</v>
      </c>
      <c r="Q27" s="3">
        <v>1</v>
      </c>
    </row>
    <row r="28" s="3" customFormat="1" hidden="1" spans="1:17">
      <c r="A28" s="3" t="s">
        <v>83</v>
      </c>
      <c r="B28" s="3" t="s">
        <v>18</v>
      </c>
      <c r="C28" s="3" t="s">
        <v>78</v>
      </c>
      <c r="D28" s="3" t="s">
        <v>79</v>
      </c>
      <c r="E28" s="3" t="s">
        <v>104</v>
      </c>
      <c r="F28" s="3" t="s">
        <v>104</v>
      </c>
      <c r="G28" s="3" t="s">
        <v>22</v>
      </c>
      <c r="H28" s="3" t="s">
        <v>39</v>
      </c>
      <c r="I28" s="3" t="s">
        <v>24</v>
      </c>
      <c r="J28" s="3" t="s">
        <v>25</v>
      </c>
      <c r="K28" s="3" t="s">
        <v>26</v>
      </c>
      <c r="L28" s="3" t="s">
        <v>35</v>
      </c>
      <c r="M28" s="3" t="s">
        <v>28</v>
      </c>
      <c r="N28" s="3" t="s">
        <v>29</v>
      </c>
      <c r="O28" s="3" t="s">
        <v>30</v>
      </c>
      <c r="P28" s="3">
        <v>4298</v>
      </c>
      <c r="Q28" s="3">
        <v>1</v>
      </c>
    </row>
    <row r="29" s="3" customFormat="1" hidden="1" spans="1:17">
      <c r="A29" s="3" t="s">
        <v>83</v>
      </c>
      <c r="B29" s="3" t="s">
        <v>18</v>
      </c>
      <c r="C29" s="3" t="s">
        <v>105</v>
      </c>
      <c r="D29" s="3" t="s">
        <v>106</v>
      </c>
      <c r="E29" s="3" t="s">
        <v>107</v>
      </c>
      <c r="F29" s="3" t="s">
        <v>107</v>
      </c>
      <c r="G29" s="3" t="s">
        <v>22</v>
      </c>
      <c r="H29" s="3" t="s">
        <v>44</v>
      </c>
      <c r="I29" s="3" t="s">
        <v>24</v>
      </c>
      <c r="J29" s="3" t="s">
        <v>25</v>
      </c>
      <c r="K29" s="3" t="s">
        <v>26</v>
      </c>
      <c r="L29" s="3" t="s">
        <v>108</v>
      </c>
      <c r="M29" s="3" t="s">
        <v>28</v>
      </c>
      <c r="N29" s="3" t="s">
        <v>29</v>
      </c>
      <c r="O29" s="3" t="s">
        <v>30</v>
      </c>
      <c r="P29" s="3">
        <v>4178</v>
      </c>
      <c r="Q29" s="3">
        <v>1</v>
      </c>
    </row>
    <row r="30" s="3" customFormat="1" hidden="1" spans="1:17">
      <c r="A30" s="3" t="s">
        <v>83</v>
      </c>
      <c r="B30" s="3" t="s">
        <v>18</v>
      </c>
      <c r="C30" s="3" t="s">
        <v>109</v>
      </c>
      <c r="D30" s="3" t="s">
        <v>110</v>
      </c>
      <c r="E30" s="3" t="s">
        <v>111</v>
      </c>
      <c r="F30" s="3" t="s">
        <v>111</v>
      </c>
      <c r="G30" s="3" t="s">
        <v>22</v>
      </c>
      <c r="H30" s="3" t="s">
        <v>112</v>
      </c>
      <c r="I30" s="3" t="s">
        <v>24</v>
      </c>
      <c r="J30" s="3" t="s">
        <v>25</v>
      </c>
      <c r="K30" s="3" t="s">
        <v>26</v>
      </c>
      <c r="L30" s="3" t="s">
        <v>35</v>
      </c>
      <c r="M30" s="3" t="s">
        <v>28</v>
      </c>
      <c r="N30" s="3" t="s">
        <v>29</v>
      </c>
      <c r="O30" s="3" t="s">
        <v>30</v>
      </c>
      <c r="P30" s="3">
        <v>3588</v>
      </c>
      <c r="Q30" s="3">
        <v>1</v>
      </c>
    </row>
    <row r="31" s="3" customFormat="1" hidden="1" spans="1:17">
      <c r="A31" s="3" t="s">
        <v>83</v>
      </c>
      <c r="B31" s="3" t="s">
        <v>18</v>
      </c>
      <c r="C31" s="3" t="s">
        <v>109</v>
      </c>
      <c r="D31" s="3" t="s">
        <v>110</v>
      </c>
      <c r="E31" s="3" t="s">
        <v>113</v>
      </c>
      <c r="F31" s="3" t="s">
        <v>113</v>
      </c>
      <c r="G31" s="3" t="s">
        <v>22</v>
      </c>
      <c r="H31" s="3" t="s">
        <v>112</v>
      </c>
      <c r="I31" s="3" t="s">
        <v>24</v>
      </c>
      <c r="J31" s="3" t="s">
        <v>25</v>
      </c>
      <c r="K31" s="3" t="s">
        <v>26</v>
      </c>
      <c r="L31" s="3" t="s">
        <v>35</v>
      </c>
      <c r="M31" s="3" t="s">
        <v>28</v>
      </c>
      <c r="N31" s="3" t="s">
        <v>29</v>
      </c>
      <c r="O31" s="3" t="s">
        <v>30</v>
      </c>
      <c r="P31" s="3">
        <v>3588</v>
      </c>
      <c r="Q31" s="3">
        <v>1</v>
      </c>
    </row>
    <row r="32" s="3" customFormat="1" spans="1:17">
      <c r="A32" s="3" t="s">
        <v>83</v>
      </c>
      <c r="B32" s="3" t="s">
        <v>18</v>
      </c>
      <c r="C32" s="3" t="s">
        <v>114</v>
      </c>
      <c r="D32" s="3" t="s">
        <v>115</v>
      </c>
      <c r="E32" s="3" t="s">
        <v>116</v>
      </c>
      <c r="F32" s="3" t="s">
        <v>116</v>
      </c>
      <c r="G32" s="3" t="s">
        <v>22</v>
      </c>
      <c r="H32" s="3" t="s">
        <v>93</v>
      </c>
      <c r="I32" s="3" t="s">
        <v>24</v>
      </c>
      <c r="J32" s="3" t="s">
        <v>25</v>
      </c>
      <c r="K32" s="3" t="s">
        <v>26</v>
      </c>
      <c r="L32" s="3" t="s">
        <v>108</v>
      </c>
      <c r="M32" s="3" t="s">
        <v>28</v>
      </c>
      <c r="N32" s="3" t="s">
        <v>29</v>
      </c>
      <c r="O32" s="3" t="s">
        <v>30</v>
      </c>
      <c r="P32" s="3">
        <v>3098</v>
      </c>
      <c r="Q32" s="3">
        <v>1</v>
      </c>
    </row>
    <row r="33" s="3" customFormat="1" spans="1:17">
      <c r="A33" s="3" t="s">
        <v>83</v>
      </c>
      <c r="B33" s="3" t="s">
        <v>18</v>
      </c>
      <c r="C33" s="3" t="s">
        <v>114</v>
      </c>
      <c r="D33" s="3" t="s">
        <v>115</v>
      </c>
      <c r="E33" s="3" t="s">
        <v>117</v>
      </c>
      <c r="F33" s="3" t="s">
        <v>117</v>
      </c>
      <c r="G33" s="3" t="s">
        <v>22</v>
      </c>
      <c r="H33" s="3" t="s">
        <v>93</v>
      </c>
      <c r="I33" s="3" t="s">
        <v>24</v>
      </c>
      <c r="J33" s="3" t="s">
        <v>25</v>
      </c>
      <c r="K33" s="3" t="s">
        <v>26</v>
      </c>
      <c r="L33" s="3" t="s">
        <v>108</v>
      </c>
      <c r="M33" s="3" t="s">
        <v>28</v>
      </c>
      <c r="N33" s="3" t="s">
        <v>29</v>
      </c>
      <c r="O33" s="3" t="s">
        <v>30</v>
      </c>
      <c r="P33" s="3">
        <v>3098</v>
      </c>
      <c r="Q33" s="3">
        <v>1</v>
      </c>
    </row>
    <row r="34" s="3" customFormat="1" hidden="1" spans="1:17">
      <c r="A34" s="3" t="s">
        <v>118</v>
      </c>
      <c r="B34" s="3" t="s">
        <v>18</v>
      </c>
      <c r="C34" s="3" t="s">
        <v>119</v>
      </c>
      <c r="D34" s="3" t="s">
        <v>120</v>
      </c>
      <c r="E34" s="3" t="s">
        <v>121</v>
      </c>
      <c r="F34" s="3" t="s">
        <v>121</v>
      </c>
      <c r="G34" s="3" t="s">
        <v>22</v>
      </c>
      <c r="H34" s="3" t="s">
        <v>69</v>
      </c>
      <c r="I34" s="3" t="s">
        <v>24</v>
      </c>
      <c r="J34" s="3" t="s">
        <v>25</v>
      </c>
      <c r="K34" s="3" t="s">
        <v>26</v>
      </c>
      <c r="L34" s="3" t="s">
        <v>27</v>
      </c>
      <c r="M34" s="3" t="s">
        <v>28</v>
      </c>
      <c r="N34" s="3" t="s">
        <v>29</v>
      </c>
      <c r="O34" s="3" t="s">
        <v>30</v>
      </c>
      <c r="P34" s="3">
        <v>4298</v>
      </c>
      <c r="Q34" s="3">
        <v>1</v>
      </c>
    </row>
    <row r="35" s="3" customFormat="1" spans="1:17">
      <c r="A35" s="3" t="s">
        <v>118</v>
      </c>
      <c r="B35" s="3" t="s">
        <v>18</v>
      </c>
      <c r="C35" s="3" t="s">
        <v>122</v>
      </c>
      <c r="D35" s="3" t="s">
        <v>123</v>
      </c>
      <c r="E35" s="3" t="s">
        <v>124</v>
      </c>
      <c r="F35" s="3" t="s">
        <v>124</v>
      </c>
      <c r="G35" s="3" t="s">
        <v>22</v>
      </c>
      <c r="H35" s="3" t="s">
        <v>23</v>
      </c>
      <c r="I35" s="3" t="s">
        <v>24</v>
      </c>
      <c r="J35" s="3" t="s">
        <v>25</v>
      </c>
      <c r="K35" s="3" t="s">
        <v>26</v>
      </c>
      <c r="L35" s="3" t="s">
        <v>35</v>
      </c>
      <c r="M35" s="3" t="s">
        <v>28</v>
      </c>
      <c r="N35" s="3" t="s">
        <v>29</v>
      </c>
      <c r="O35" s="3" t="s">
        <v>30</v>
      </c>
      <c r="P35" s="3">
        <v>4298</v>
      </c>
      <c r="Q35" s="3">
        <v>1</v>
      </c>
    </row>
    <row r="36" s="3" customFormat="1" hidden="1" spans="1:17">
      <c r="A36" s="3" t="s">
        <v>118</v>
      </c>
      <c r="B36" s="3" t="s">
        <v>18</v>
      </c>
      <c r="C36" s="3" t="s">
        <v>78</v>
      </c>
      <c r="D36" s="3" t="s">
        <v>79</v>
      </c>
      <c r="E36" s="3" t="s">
        <v>125</v>
      </c>
      <c r="F36" s="3" t="s">
        <v>125</v>
      </c>
      <c r="G36" s="3" t="s">
        <v>22</v>
      </c>
      <c r="H36" s="3" t="s">
        <v>39</v>
      </c>
      <c r="I36" s="3" t="s">
        <v>24</v>
      </c>
      <c r="J36" s="3" t="s">
        <v>25</v>
      </c>
      <c r="K36" s="3" t="s">
        <v>26</v>
      </c>
      <c r="L36" s="3" t="s">
        <v>35</v>
      </c>
      <c r="M36" s="3" t="s">
        <v>28</v>
      </c>
      <c r="N36" s="3" t="s">
        <v>29</v>
      </c>
      <c r="O36" s="3" t="s">
        <v>30</v>
      </c>
      <c r="P36" s="3">
        <v>4298</v>
      </c>
      <c r="Q36" s="3">
        <v>1</v>
      </c>
    </row>
    <row r="37" s="3" customFormat="1" hidden="1" spans="1:17">
      <c r="A37" s="3" t="s">
        <v>126</v>
      </c>
      <c r="B37" s="3" t="s">
        <v>18</v>
      </c>
      <c r="C37" s="3" t="s">
        <v>127</v>
      </c>
      <c r="D37" s="3" t="s">
        <v>128</v>
      </c>
      <c r="E37" s="3" t="s">
        <v>129</v>
      </c>
      <c r="F37" s="3" t="s">
        <v>129</v>
      </c>
      <c r="G37" s="3" t="s">
        <v>22</v>
      </c>
      <c r="H37" s="3" t="s">
        <v>112</v>
      </c>
      <c r="I37" s="3" t="s">
        <v>24</v>
      </c>
      <c r="J37" s="3" t="s">
        <v>25</v>
      </c>
      <c r="K37" s="3" t="s">
        <v>26</v>
      </c>
      <c r="L37" s="3" t="s">
        <v>27</v>
      </c>
      <c r="M37" s="3" t="s">
        <v>28</v>
      </c>
      <c r="N37" s="3" t="s">
        <v>29</v>
      </c>
      <c r="O37" s="3" t="s">
        <v>30</v>
      </c>
      <c r="P37" s="3">
        <v>5398</v>
      </c>
      <c r="Q37" s="3">
        <v>1</v>
      </c>
    </row>
    <row r="38" s="3" customFormat="1" hidden="1" spans="1:17">
      <c r="A38" s="3" t="s">
        <v>130</v>
      </c>
      <c r="B38" s="3" t="s">
        <v>18</v>
      </c>
      <c r="C38" s="3" t="s">
        <v>31</v>
      </c>
      <c r="D38" s="3" t="s">
        <v>32</v>
      </c>
      <c r="E38" s="3" t="s">
        <v>131</v>
      </c>
      <c r="F38" s="3" t="s">
        <v>131</v>
      </c>
      <c r="G38" s="3" t="s">
        <v>22</v>
      </c>
      <c r="H38" s="3" t="s">
        <v>132</v>
      </c>
      <c r="I38" s="3" t="s">
        <v>24</v>
      </c>
      <c r="J38" s="3" t="s">
        <v>25</v>
      </c>
      <c r="K38" s="3" t="s">
        <v>26</v>
      </c>
      <c r="L38" s="3" t="s">
        <v>35</v>
      </c>
      <c r="M38" s="3" t="s">
        <v>28</v>
      </c>
      <c r="N38" s="3" t="s">
        <v>29</v>
      </c>
      <c r="O38" s="3" t="s">
        <v>30</v>
      </c>
      <c r="P38" s="3">
        <v>6158</v>
      </c>
      <c r="Q38" s="3">
        <v>1</v>
      </c>
    </row>
    <row r="39" s="3" customFormat="1" spans="1:17">
      <c r="A39" s="3" t="s">
        <v>130</v>
      </c>
      <c r="B39" s="3" t="s">
        <v>18</v>
      </c>
      <c r="C39" s="3" t="s">
        <v>133</v>
      </c>
      <c r="D39" s="3" t="s">
        <v>134</v>
      </c>
      <c r="E39" s="3" t="s">
        <v>135</v>
      </c>
      <c r="F39" s="3" t="s">
        <v>135</v>
      </c>
      <c r="G39" s="3" t="s">
        <v>22</v>
      </c>
      <c r="H39" s="3" t="s">
        <v>54</v>
      </c>
      <c r="I39" s="3" t="s">
        <v>24</v>
      </c>
      <c r="J39" s="3" t="s">
        <v>25</v>
      </c>
      <c r="K39" s="3" t="s">
        <v>26</v>
      </c>
      <c r="L39" s="3" t="s">
        <v>27</v>
      </c>
      <c r="M39" s="3" t="s">
        <v>28</v>
      </c>
      <c r="N39" s="3" t="s">
        <v>29</v>
      </c>
      <c r="O39" s="3" t="s">
        <v>30</v>
      </c>
      <c r="P39" s="3">
        <v>5698</v>
      </c>
      <c r="Q39" s="3">
        <v>1</v>
      </c>
    </row>
    <row r="40" s="3" customFormat="1" spans="1:17">
      <c r="A40" s="3" t="s">
        <v>130</v>
      </c>
      <c r="B40" s="3" t="s">
        <v>18</v>
      </c>
      <c r="C40" s="3" t="s">
        <v>66</v>
      </c>
      <c r="D40" s="3" t="s">
        <v>67</v>
      </c>
      <c r="E40" s="3" t="s">
        <v>136</v>
      </c>
      <c r="F40" s="3" t="s">
        <v>136</v>
      </c>
      <c r="G40" s="3" t="s">
        <v>22</v>
      </c>
      <c r="H40" s="3" t="s">
        <v>54</v>
      </c>
      <c r="I40" s="3" t="s">
        <v>24</v>
      </c>
      <c r="J40" s="3" t="s">
        <v>25</v>
      </c>
      <c r="K40" s="3" t="s">
        <v>26</v>
      </c>
      <c r="L40" s="3" t="s">
        <v>35</v>
      </c>
      <c r="M40" s="3" t="s">
        <v>28</v>
      </c>
      <c r="N40" s="3" t="s">
        <v>29</v>
      </c>
      <c r="O40" s="3" t="s">
        <v>30</v>
      </c>
      <c r="P40" s="3">
        <v>3968</v>
      </c>
      <c r="Q40" s="3">
        <v>1</v>
      </c>
    </row>
    <row r="41" s="3" customFormat="1" hidden="1" spans="1:17">
      <c r="A41" s="3" t="s">
        <v>130</v>
      </c>
      <c r="B41" s="3" t="s">
        <v>137</v>
      </c>
      <c r="C41" s="3" t="s">
        <v>31</v>
      </c>
      <c r="D41" s="3" t="s">
        <v>32</v>
      </c>
      <c r="E41" s="3" t="s">
        <v>131</v>
      </c>
      <c r="F41" s="3" t="s">
        <v>131</v>
      </c>
      <c r="G41" s="3" t="s">
        <v>22</v>
      </c>
      <c r="H41" s="3" t="s">
        <v>132</v>
      </c>
      <c r="I41" s="3" t="s">
        <v>24</v>
      </c>
      <c r="J41" s="3" t="s">
        <v>25</v>
      </c>
      <c r="K41" s="3" t="s">
        <v>26</v>
      </c>
      <c r="L41" s="3" t="s">
        <v>35</v>
      </c>
      <c r="M41" s="3" t="s">
        <v>28</v>
      </c>
      <c r="N41" s="3" t="s">
        <v>29</v>
      </c>
      <c r="O41" s="3" t="s">
        <v>30</v>
      </c>
      <c r="P41" s="3">
        <v>-6158</v>
      </c>
      <c r="Q41" s="3">
        <v>-1</v>
      </c>
    </row>
    <row r="42" s="3" customFormat="1" spans="1:17">
      <c r="A42" s="3" t="s">
        <v>138</v>
      </c>
      <c r="B42" s="3" t="s">
        <v>18</v>
      </c>
      <c r="C42" s="3" t="s">
        <v>19</v>
      </c>
      <c r="D42" s="3" t="s">
        <v>20</v>
      </c>
      <c r="E42" s="3" t="s">
        <v>139</v>
      </c>
      <c r="F42" s="3" t="s">
        <v>139</v>
      </c>
      <c r="G42" s="3" t="s">
        <v>22</v>
      </c>
      <c r="H42" s="3" t="s">
        <v>23</v>
      </c>
      <c r="I42" s="3" t="s">
        <v>24</v>
      </c>
      <c r="J42" s="3" t="s">
        <v>25</v>
      </c>
      <c r="K42" s="3" t="s">
        <v>26</v>
      </c>
      <c r="L42" s="3" t="s">
        <v>27</v>
      </c>
      <c r="M42" s="3" t="s">
        <v>28</v>
      </c>
      <c r="N42" s="3" t="s">
        <v>29</v>
      </c>
      <c r="O42" s="3" t="s">
        <v>30</v>
      </c>
      <c r="P42" s="3">
        <v>8288</v>
      </c>
      <c r="Q42" s="3">
        <v>1</v>
      </c>
    </row>
    <row r="43" s="3" customFormat="1" spans="1:17">
      <c r="A43" s="3" t="s">
        <v>138</v>
      </c>
      <c r="B43" s="3" t="s">
        <v>18</v>
      </c>
      <c r="C43" s="3" t="s">
        <v>19</v>
      </c>
      <c r="D43" s="3" t="s">
        <v>20</v>
      </c>
      <c r="E43" s="3" t="s">
        <v>140</v>
      </c>
      <c r="F43" s="3" t="s">
        <v>140</v>
      </c>
      <c r="G43" s="3" t="s">
        <v>22</v>
      </c>
      <c r="H43" s="3" t="s">
        <v>23</v>
      </c>
      <c r="I43" s="3" t="s">
        <v>24</v>
      </c>
      <c r="J43" s="3" t="s">
        <v>25</v>
      </c>
      <c r="K43" s="3" t="s">
        <v>26</v>
      </c>
      <c r="L43" s="3" t="s">
        <v>27</v>
      </c>
      <c r="M43" s="3" t="s">
        <v>28</v>
      </c>
      <c r="N43" s="3" t="s">
        <v>29</v>
      </c>
      <c r="O43" s="3" t="s">
        <v>30</v>
      </c>
      <c r="P43" s="3">
        <v>8288</v>
      </c>
      <c r="Q43" s="3">
        <v>1</v>
      </c>
    </row>
    <row r="44" s="3" customFormat="1" spans="1:17">
      <c r="A44" s="3" t="s">
        <v>138</v>
      </c>
      <c r="B44" s="3" t="s">
        <v>18</v>
      </c>
      <c r="C44" s="3" t="s">
        <v>141</v>
      </c>
      <c r="D44" s="3" t="s">
        <v>142</v>
      </c>
      <c r="E44" s="3" t="s">
        <v>143</v>
      </c>
      <c r="F44" s="3" t="s">
        <v>143</v>
      </c>
      <c r="G44" s="3" t="s">
        <v>22</v>
      </c>
      <c r="H44" s="3" t="s">
        <v>23</v>
      </c>
      <c r="I44" s="3" t="s">
        <v>24</v>
      </c>
      <c r="J44" s="3" t="s">
        <v>25</v>
      </c>
      <c r="K44" s="3" t="s">
        <v>26</v>
      </c>
      <c r="L44" s="3" t="s">
        <v>27</v>
      </c>
      <c r="M44" s="3" t="s">
        <v>28</v>
      </c>
      <c r="N44" s="3" t="s">
        <v>29</v>
      </c>
      <c r="O44" s="3" t="s">
        <v>30</v>
      </c>
      <c r="P44" s="3">
        <v>7368</v>
      </c>
      <c r="Q44" s="3">
        <v>1</v>
      </c>
    </row>
    <row r="45" s="3" customFormat="1" spans="1:17">
      <c r="A45" s="3" t="s">
        <v>138</v>
      </c>
      <c r="B45" s="3" t="s">
        <v>18</v>
      </c>
      <c r="C45" s="3" t="s">
        <v>133</v>
      </c>
      <c r="D45" s="3" t="s">
        <v>134</v>
      </c>
      <c r="E45" s="3" t="s">
        <v>144</v>
      </c>
      <c r="F45" s="3" t="s">
        <v>144</v>
      </c>
      <c r="G45" s="3" t="s">
        <v>22</v>
      </c>
      <c r="H45" s="3" t="s">
        <v>23</v>
      </c>
      <c r="I45" s="3" t="s">
        <v>24</v>
      </c>
      <c r="J45" s="3" t="s">
        <v>25</v>
      </c>
      <c r="K45" s="3" t="s">
        <v>26</v>
      </c>
      <c r="L45" s="3" t="s">
        <v>27</v>
      </c>
      <c r="M45" s="3" t="s">
        <v>28</v>
      </c>
      <c r="N45" s="3" t="s">
        <v>29</v>
      </c>
      <c r="O45" s="3" t="s">
        <v>30</v>
      </c>
      <c r="P45" s="3">
        <v>5698</v>
      </c>
      <c r="Q45" s="3">
        <v>1</v>
      </c>
    </row>
    <row r="46" s="3" customFormat="1" spans="1:17">
      <c r="A46" s="3" t="s">
        <v>138</v>
      </c>
      <c r="B46" s="3" t="s">
        <v>18</v>
      </c>
      <c r="C46" s="3" t="s">
        <v>66</v>
      </c>
      <c r="D46" s="3" t="s">
        <v>67</v>
      </c>
      <c r="E46" s="3" t="s">
        <v>145</v>
      </c>
      <c r="F46" s="3" t="s">
        <v>145</v>
      </c>
      <c r="G46" s="3" t="s">
        <v>22</v>
      </c>
      <c r="H46" s="3" t="s">
        <v>23</v>
      </c>
      <c r="I46" s="3" t="s">
        <v>24</v>
      </c>
      <c r="J46" s="3" t="s">
        <v>25</v>
      </c>
      <c r="K46" s="3" t="s">
        <v>26</v>
      </c>
      <c r="L46" s="3" t="s">
        <v>35</v>
      </c>
      <c r="M46" s="3" t="s">
        <v>28</v>
      </c>
      <c r="N46" s="3" t="s">
        <v>29</v>
      </c>
      <c r="O46" s="3" t="s">
        <v>30</v>
      </c>
      <c r="P46" s="3">
        <v>3968</v>
      </c>
      <c r="Q46" s="3">
        <v>1</v>
      </c>
    </row>
    <row r="47" s="3" customFormat="1" spans="1:17">
      <c r="A47" s="3" t="s">
        <v>138</v>
      </c>
      <c r="B47" s="3" t="s">
        <v>137</v>
      </c>
      <c r="C47" s="3" t="s">
        <v>19</v>
      </c>
      <c r="D47" s="3" t="s">
        <v>20</v>
      </c>
      <c r="E47" s="3" t="s">
        <v>140</v>
      </c>
      <c r="F47" s="3" t="s">
        <v>140</v>
      </c>
      <c r="G47" s="3" t="s">
        <v>22</v>
      </c>
      <c r="H47" s="3" t="s">
        <v>23</v>
      </c>
      <c r="I47" s="3" t="s">
        <v>24</v>
      </c>
      <c r="J47" s="3" t="s">
        <v>25</v>
      </c>
      <c r="K47" s="3" t="s">
        <v>26</v>
      </c>
      <c r="L47" s="3" t="s">
        <v>27</v>
      </c>
      <c r="M47" s="3" t="s">
        <v>28</v>
      </c>
      <c r="N47" s="3" t="s">
        <v>29</v>
      </c>
      <c r="O47" s="3" t="s">
        <v>30</v>
      </c>
      <c r="P47" s="3">
        <v>-8288</v>
      </c>
      <c r="Q47" s="3">
        <v>-1</v>
      </c>
    </row>
    <row r="48" s="3" customFormat="1" hidden="1" spans="1:17">
      <c r="A48" s="3" t="s">
        <v>146</v>
      </c>
      <c r="B48" s="3" t="s">
        <v>18</v>
      </c>
      <c r="C48" s="3" t="s">
        <v>87</v>
      </c>
      <c r="D48" s="3" t="s">
        <v>88</v>
      </c>
      <c r="E48" s="3" t="s">
        <v>147</v>
      </c>
      <c r="F48" s="3" t="s">
        <v>147</v>
      </c>
      <c r="G48" s="3" t="s">
        <v>22</v>
      </c>
      <c r="H48" s="3" t="s">
        <v>69</v>
      </c>
      <c r="I48" s="3" t="s">
        <v>24</v>
      </c>
      <c r="J48" s="3" t="s">
        <v>25</v>
      </c>
      <c r="K48" s="3" t="s">
        <v>26</v>
      </c>
      <c r="L48" s="3" t="s">
        <v>27</v>
      </c>
      <c r="M48" s="3" t="s">
        <v>28</v>
      </c>
      <c r="N48" s="3" t="s">
        <v>29</v>
      </c>
      <c r="O48" s="3" t="s">
        <v>30</v>
      </c>
      <c r="P48" s="3">
        <v>7338</v>
      </c>
      <c r="Q48" s="3">
        <v>1</v>
      </c>
    </row>
    <row r="49" s="3" customFormat="1" spans="1:17">
      <c r="A49" s="3" t="s">
        <v>146</v>
      </c>
      <c r="B49" s="3" t="s">
        <v>18</v>
      </c>
      <c r="C49" s="3" t="s">
        <v>148</v>
      </c>
      <c r="D49" s="3" t="s">
        <v>149</v>
      </c>
      <c r="E49" s="3" t="s">
        <v>150</v>
      </c>
      <c r="F49" s="3" t="s">
        <v>150</v>
      </c>
      <c r="G49" s="3" t="s">
        <v>22</v>
      </c>
      <c r="H49" s="3" t="s">
        <v>23</v>
      </c>
      <c r="I49" s="3" t="s">
        <v>24</v>
      </c>
      <c r="J49" s="3" t="s">
        <v>25</v>
      </c>
      <c r="K49" s="3" t="s">
        <v>26</v>
      </c>
      <c r="L49" s="3" t="s">
        <v>27</v>
      </c>
      <c r="M49" s="3" t="s">
        <v>28</v>
      </c>
      <c r="N49" s="3" t="s">
        <v>29</v>
      </c>
      <c r="O49" s="3" t="s">
        <v>30</v>
      </c>
      <c r="P49" s="3">
        <v>6458</v>
      </c>
      <c r="Q49" s="3">
        <v>1</v>
      </c>
    </row>
    <row r="50" s="3" customFormat="1" spans="1:17">
      <c r="A50" s="3" t="s">
        <v>146</v>
      </c>
      <c r="B50" s="3" t="s">
        <v>18</v>
      </c>
      <c r="C50" s="3" t="s">
        <v>148</v>
      </c>
      <c r="D50" s="3" t="s">
        <v>149</v>
      </c>
      <c r="E50" s="3" t="s">
        <v>151</v>
      </c>
      <c r="F50" s="3" t="s">
        <v>151</v>
      </c>
      <c r="G50" s="3" t="s">
        <v>22</v>
      </c>
      <c r="H50" s="3" t="s">
        <v>23</v>
      </c>
      <c r="I50" s="3" t="s">
        <v>24</v>
      </c>
      <c r="J50" s="3" t="s">
        <v>25</v>
      </c>
      <c r="K50" s="3" t="s">
        <v>26</v>
      </c>
      <c r="L50" s="3" t="s">
        <v>27</v>
      </c>
      <c r="M50" s="3" t="s">
        <v>28</v>
      </c>
      <c r="N50" s="3" t="s">
        <v>29</v>
      </c>
      <c r="O50" s="3" t="s">
        <v>30</v>
      </c>
      <c r="P50" s="3">
        <v>6458</v>
      </c>
      <c r="Q50" s="3">
        <v>1</v>
      </c>
    </row>
    <row r="51" s="3" customFormat="1" spans="1:17">
      <c r="A51" s="3" t="s">
        <v>146</v>
      </c>
      <c r="B51" s="3" t="s">
        <v>18</v>
      </c>
      <c r="C51" s="3" t="s">
        <v>152</v>
      </c>
      <c r="D51" s="3" t="s">
        <v>153</v>
      </c>
      <c r="E51" s="3" t="s">
        <v>154</v>
      </c>
      <c r="F51" s="3" t="s">
        <v>154</v>
      </c>
      <c r="G51" s="3" t="s">
        <v>22</v>
      </c>
      <c r="H51" s="3" t="s">
        <v>23</v>
      </c>
      <c r="I51" s="3" t="s">
        <v>24</v>
      </c>
      <c r="J51" s="3" t="s">
        <v>25</v>
      </c>
      <c r="K51" s="3" t="s">
        <v>26</v>
      </c>
      <c r="L51" s="3" t="s">
        <v>27</v>
      </c>
      <c r="M51" s="3" t="s">
        <v>28</v>
      </c>
      <c r="N51" s="3" t="s">
        <v>29</v>
      </c>
      <c r="O51" s="3" t="s">
        <v>30</v>
      </c>
      <c r="P51" s="3">
        <v>5298</v>
      </c>
      <c r="Q51" s="3">
        <v>1</v>
      </c>
    </row>
    <row r="52" s="3" customFormat="1" spans="1:17">
      <c r="A52" s="3" t="s">
        <v>146</v>
      </c>
      <c r="B52" s="3" t="s">
        <v>18</v>
      </c>
      <c r="C52" s="3" t="s">
        <v>41</v>
      </c>
      <c r="D52" s="3" t="s">
        <v>42</v>
      </c>
      <c r="E52" s="3" t="s">
        <v>155</v>
      </c>
      <c r="F52" s="3" t="s">
        <v>155</v>
      </c>
      <c r="G52" s="3" t="s">
        <v>22</v>
      </c>
      <c r="H52" s="3" t="s">
        <v>23</v>
      </c>
      <c r="I52" s="3" t="s">
        <v>24</v>
      </c>
      <c r="J52" s="3" t="s">
        <v>25</v>
      </c>
      <c r="K52" s="3" t="s">
        <v>45</v>
      </c>
      <c r="L52" s="3" t="s">
        <v>46</v>
      </c>
      <c r="M52" s="3" t="s">
        <v>28</v>
      </c>
      <c r="N52" s="3" t="s">
        <v>29</v>
      </c>
      <c r="O52" s="3" t="s">
        <v>30</v>
      </c>
      <c r="P52" s="3">
        <v>5148</v>
      </c>
      <c r="Q52" s="3">
        <v>1</v>
      </c>
    </row>
    <row r="53" s="3" customFormat="1" spans="1:17">
      <c r="A53" s="3" t="s">
        <v>146</v>
      </c>
      <c r="B53" s="3" t="s">
        <v>18</v>
      </c>
      <c r="C53" s="3" t="s">
        <v>41</v>
      </c>
      <c r="D53" s="3" t="s">
        <v>42</v>
      </c>
      <c r="E53" s="3" t="s">
        <v>156</v>
      </c>
      <c r="F53" s="3" t="s">
        <v>156</v>
      </c>
      <c r="G53" s="3" t="s">
        <v>22</v>
      </c>
      <c r="H53" s="3" t="s">
        <v>23</v>
      </c>
      <c r="I53" s="3" t="s">
        <v>24</v>
      </c>
      <c r="J53" s="3" t="s">
        <v>25</v>
      </c>
      <c r="K53" s="3" t="s">
        <v>45</v>
      </c>
      <c r="L53" s="3" t="s">
        <v>46</v>
      </c>
      <c r="M53" s="3" t="s">
        <v>28</v>
      </c>
      <c r="N53" s="3" t="s">
        <v>29</v>
      </c>
      <c r="O53" s="3" t="s">
        <v>30</v>
      </c>
      <c r="P53" s="3">
        <v>5148</v>
      </c>
      <c r="Q53" s="3">
        <v>1</v>
      </c>
    </row>
    <row r="54" s="3" customFormat="1" spans="1:17">
      <c r="A54" s="3" t="s">
        <v>146</v>
      </c>
      <c r="B54" s="3" t="s">
        <v>18</v>
      </c>
      <c r="C54" s="3" t="s">
        <v>47</v>
      </c>
      <c r="D54" s="3" t="s">
        <v>48</v>
      </c>
      <c r="E54" s="3" t="s">
        <v>157</v>
      </c>
      <c r="F54" s="3" t="s">
        <v>157</v>
      </c>
      <c r="G54" s="3" t="s">
        <v>22</v>
      </c>
      <c r="H54" s="3" t="s">
        <v>23</v>
      </c>
      <c r="I54" s="3" t="s">
        <v>24</v>
      </c>
      <c r="J54" s="3" t="s">
        <v>25</v>
      </c>
      <c r="K54" s="3" t="s">
        <v>26</v>
      </c>
      <c r="L54" s="3" t="s">
        <v>27</v>
      </c>
      <c r="M54" s="3" t="s">
        <v>28</v>
      </c>
      <c r="N54" s="3" t="s">
        <v>29</v>
      </c>
      <c r="O54" s="3" t="s">
        <v>30</v>
      </c>
      <c r="P54" s="3">
        <v>5098</v>
      </c>
      <c r="Q54" s="3">
        <v>1</v>
      </c>
    </row>
    <row r="55" s="3" customFormat="1" spans="1:17">
      <c r="A55" s="3" t="s">
        <v>146</v>
      </c>
      <c r="B55" s="3" t="s">
        <v>18</v>
      </c>
      <c r="C55" s="3" t="s">
        <v>158</v>
      </c>
      <c r="D55" s="3" t="s">
        <v>159</v>
      </c>
      <c r="E55" s="3" t="s">
        <v>160</v>
      </c>
      <c r="F55" s="3" t="s">
        <v>160</v>
      </c>
      <c r="G55" s="3" t="s">
        <v>22</v>
      </c>
      <c r="H55" s="3" t="s">
        <v>23</v>
      </c>
      <c r="I55" s="3" t="s">
        <v>24</v>
      </c>
      <c r="J55" s="3" t="s">
        <v>25</v>
      </c>
      <c r="K55" s="3" t="s">
        <v>26</v>
      </c>
      <c r="L55" s="3" t="s">
        <v>35</v>
      </c>
      <c r="M55" s="3" t="s">
        <v>28</v>
      </c>
      <c r="N55" s="3" t="s">
        <v>29</v>
      </c>
      <c r="O55" s="3" t="s">
        <v>30</v>
      </c>
      <c r="P55" s="3">
        <v>4598</v>
      </c>
      <c r="Q55" s="3">
        <v>1</v>
      </c>
    </row>
    <row r="56" s="3" customFormat="1" spans="1:17">
      <c r="A56" s="3" t="s">
        <v>146</v>
      </c>
      <c r="B56" s="3" t="s">
        <v>18</v>
      </c>
      <c r="C56" s="3" t="s">
        <v>66</v>
      </c>
      <c r="D56" s="3" t="s">
        <v>67</v>
      </c>
      <c r="E56" s="3" t="s">
        <v>161</v>
      </c>
      <c r="F56" s="3" t="s">
        <v>161</v>
      </c>
      <c r="G56" s="3" t="s">
        <v>22</v>
      </c>
      <c r="H56" s="3" t="s">
        <v>23</v>
      </c>
      <c r="I56" s="3" t="s">
        <v>24</v>
      </c>
      <c r="J56" s="3" t="s">
        <v>25</v>
      </c>
      <c r="K56" s="3" t="s">
        <v>26</v>
      </c>
      <c r="L56" s="3" t="s">
        <v>35</v>
      </c>
      <c r="M56" s="3" t="s">
        <v>28</v>
      </c>
      <c r="N56" s="3" t="s">
        <v>29</v>
      </c>
      <c r="O56" s="3" t="s">
        <v>30</v>
      </c>
      <c r="P56" s="3">
        <v>3968</v>
      </c>
      <c r="Q56" s="3">
        <v>1</v>
      </c>
    </row>
    <row r="57" s="3" customFormat="1" spans="1:17">
      <c r="A57" s="3" t="s">
        <v>146</v>
      </c>
      <c r="B57" s="3" t="s">
        <v>18</v>
      </c>
      <c r="C57" s="3" t="s">
        <v>162</v>
      </c>
      <c r="D57" s="3" t="s">
        <v>163</v>
      </c>
      <c r="E57" s="3" t="s">
        <v>164</v>
      </c>
      <c r="F57" s="3" t="s">
        <v>164</v>
      </c>
      <c r="G57" s="3" t="s">
        <v>22</v>
      </c>
      <c r="H57" s="3" t="s">
        <v>23</v>
      </c>
      <c r="I57" s="3" t="s">
        <v>24</v>
      </c>
      <c r="J57" s="3" t="s">
        <v>25</v>
      </c>
      <c r="K57" s="3" t="s">
        <v>45</v>
      </c>
      <c r="L57" s="3" t="s">
        <v>46</v>
      </c>
      <c r="M57" s="3" t="s">
        <v>28</v>
      </c>
      <c r="N57" s="3" t="s">
        <v>29</v>
      </c>
      <c r="O57" s="3" t="s">
        <v>30</v>
      </c>
      <c r="P57" s="3">
        <v>2998</v>
      </c>
      <c r="Q57" s="3">
        <v>1</v>
      </c>
    </row>
    <row r="58" s="3" customFormat="1" spans="1:17">
      <c r="A58" s="3" t="s">
        <v>146</v>
      </c>
      <c r="B58" s="3" t="s">
        <v>18</v>
      </c>
      <c r="C58" s="3" t="s">
        <v>162</v>
      </c>
      <c r="D58" s="3" t="s">
        <v>163</v>
      </c>
      <c r="E58" s="3" t="s">
        <v>165</v>
      </c>
      <c r="F58" s="3" t="s">
        <v>165</v>
      </c>
      <c r="G58" s="3" t="s">
        <v>22</v>
      </c>
      <c r="H58" s="3" t="s">
        <v>23</v>
      </c>
      <c r="I58" s="3" t="s">
        <v>24</v>
      </c>
      <c r="J58" s="3" t="s">
        <v>25</v>
      </c>
      <c r="K58" s="3" t="s">
        <v>45</v>
      </c>
      <c r="L58" s="3" t="s">
        <v>46</v>
      </c>
      <c r="M58" s="3" t="s">
        <v>28</v>
      </c>
      <c r="N58" s="3" t="s">
        <v>29</v>
      </c>
      <c r="O58" s="3" t="s">
        <v>30</v>
      </c>
      <c r="P58" s="3">
        <v>2998</v>
      </c>
      <c r="Q58" s="3">
        <v>1</v>
      </c>
    </row>
    <row r="59" s="3" customFormat="1" spans="1:17">
      <c r="A59" s="3" t="s">
        <v>146</v>
      </c>
      <c r="B59" s="3" t="s">
        <v>137</v>
      </c>
      <c r="C59" s="3" t="s">
        <v>162</v>
      </c>
      <c r="D59" s="3" t="s">
        <v>163</v>
      </c>
      <c r="E59" s="3" t="s">
        <v>164</v>
      </c>
      <c r="F59" s="3" t="s">
        <v>164</v>
      </c>
      <c r="G59" s="3" t="s">
        <v>22</v>
      </c>
      <c r="H59" s="3" t="s">
        <v>23</v>
      </c>
      <c r="I59" s="3" t="s">
        <v>24</v>
      </c>
      <c r="J59" s="3" t="s">
        <v>25</v>
      </c>
      <c r="K59" s="3" t="s">
        <v>45</v>
      </c>
      <c r="L59" s="3" t="s">
        <v>46</v>
      </c>
      <c r="M59" s="3" t="s">
        <v>28</v>
      </c>
      <c r="N59" s="3" t="s">
        <v>29</v>
      </c>
      <c r="O59" s="3" t="s">
        <v>30</v>
      </c>
      <c r="P59" s="3">
        <v>-2998</v>
      </c>
      <c r="Q59" s="3">
        <v>-1</v>
      </c>
    </row>
    <row r="60" s="3" customFormat="1" spans="1:17">
      <c r="A60" s="3" t="s">
        <v>146</v>
      </c>
      <c r="B60" s="3" t="s">
        <v>137</v>
      </c>
      <c r="C60" s="3" t="s">
        <v>41</v>
      </c>
      <c r="D60" s="3" t="s">
        <v>42</v>
      </c>
      <c r="E60" s="3" t="s">
        <v>156</v>
      </c>
      <c r="F60" s="3" t="s">
        <v>156</v>
      </c>
      <c r="G60" s="3" t="s">
        <v>22</v>
      </c>
      <c r="H60" s="3" t="s">
        <v>23</v>
      </c>
      <c r="I60" s="3" t="s">
        <v>24</v>
      </c>
      <c r="J60" s="3" t="s">
        <v>25</v>
      </c>
      <c r="K60" s="3" t="s">
        <v>45</v>
      </c>
      <c r="L60" s="3" t="s">
        <v>46</v>
      </c>
      <c r="M60" s="3" t="s">
        <v>28</v>
      </c>
      <c r="N60" s="3" t="s">
        <v>29</v>
      </c>
      <c r="O60" s="3" t="s">
        <v>30</v>
      </c>
      <c r="P60" s="3">
        <v>-5148</v>
      </c>
      <c r="Q60" s="3">
        <v>-1</v>
      </c>
    </row>
    <row r="61" s="3" customFormat="1" hidden="1" spans="1:17">
      <c r="A61" s="3" t="s">
        <v>166</v>
      </c>
      <c r="B61" s="3" t="s">
        <v>18</v>
      </c>
      <c r="C61" s="3" t="s">
        <v>36</v>
      </c>
      <c r="D61" s="3" t="s">
        <v>37</v>
      </c>
      <c r="E61" s="3" t="s">
        <v>167</v>
      </c>
      <c r="F61" s="3" t="s">
        <v>167</v>
      </c>
      <c r="G61" s="3" t="s">
        <v>22</v>
      </c>
      <c r="H61" s="3" t="s">
        <v>69</v>
      </c>
      <c r="I61" s="3" t="s">
        <v>24</v>
      </c>
      <c r="J61" s="3" t="s">
        <v>25</v>
      </c>
      <c r="K61" s="3" t="s">
        <v>26</v>
      </c>
      <c r="L61" s="3" t="s">
        <v>35</v>
      </c>
      <c r="M61" s="3" t="s">
        <v>28</v>
      </c>
      <c r="N61" s="3" t="s">
        <v>29</v>
      </c>
      <c r="O61" s="3" t="s">
        <v>30</v>
      </c>
      <c r="P61" s="3">
        <v>4598</v>
      </c>
      <c r="Q61" s="3">
        <v>1</v>
      </c>
    </row>
    <row r="62" s="3" customFormat="1" spans="1:17">
      <c r="A62" s="3" t="s">
        <v>168</v>
      </c>
      <c r="B62" s="3" t="s">
        <v>18</v>
      </c>
      <c r="C62" s="3" t="s">
        <v>71</v>
      </c>
      <c r="D62" s="3" t="s">
        <v>72</v>
      </c>
      <c r="E62" s="3" t="s">
        <v>169</v>
      </c>
      <c r="F62" s="3" t="s">
        <v>169</v>
      </c>
      <c r="G62" s="3" t="s">
        <v>22</v>
      </c>
      <c r="H62" s="3" t="s">
        <v>23</v>
      </c>
      <c r="I62" s="3" t="s">
        <v>24</v>
      </c>
      <c r="J62" s="3" t="s">
        <v>25</v>
      </c>
      <c r="K62" s="3" t="s">
        <v>26</v>
      </c>
      <c r="L62" s="3" t="s">
        <v>27</v>
      </c>
      <c r="M62" s="3" t="s">
        <v>28</v>
      </c>
      <c r="N62" s="3" t="s">
        <v>29</v>
      </c>
      <c r="O62" s="3" t="s">
        <v>30</v>
      </c>
      <c r="P62" s="3">
        <v>7898</v>
      </c>
      <c r="Q62" s="3">
        <v>1</v>
      </c>
    </row>
    <row r="63" s="3" customFormat="1" hidden="1" spans="1:17">
      <c r="A63" s="3" t="s">
        <v>170</v>
      </c>
      <c r="B63" s="3" t="s">
        <v>18</v>
      </c>
      <c r="C63" s="3" t="s">
        <v>71</v>
      </c>
      <c r="D63" s="3" t="s">
        <v>72</v>
      </c>
      <c r="E63" s="3" t="s">
        <v>171</v>
      </c>
      <c r="F63" s="3" t="s">
        <v>171</v>
      </c>
      <c r="G63" s="3" t="s">
        <v>22</v>
      </c>
      <c r="H63" s="3" t="s">
        <v>39</v>
      </c>
      <c r="I63" s="3" t="s">
        <v>24</v>
      </c>
      <c r="J63" s="3" t="s">
        <v>25</v>
      </c>
      <c r="K63" s="3" t="s">
        <v>26</v>
      </c>
      <c r="L63" s="3" t="s">
        <v>27</v>
      </c>
      <c r="M63" s="3" t="s">
        <v>28</v>
      </c>
      <c r="N63" s="3" t="s">
        <v>29</v>
      </c>
      <c r="O63" s="3" t="s">
        <v>30</v>
      </c>
      <c r="P63" s="3">
        <v>7898</v>
      </c>
      <c r="Q63" s="3">
        <v>1</v>
      </c>
    </row>
    <row r="64" s="3" customFormat="1" hidden="1" spans="1:17">
      <c r="A64" s="3" t="s">
        <v>170</v>
      </c>
      <c r="B64" s="3" t="s">
        <v>18</v>
      </c>
      <c r="C64" s="3" t="s">
        <v>172</v>
      </c>
      <c r="D64" s="3" t="s">
        <v>173</v>
      </c>
      <c r="E64" s="3" t="s">
        <v>174</v>
      </c>
      <c r="F64" s="3" t="s">
        <v>174</v>
      </c>
      <c r="G64" s="3" t="s">
        <v>22</v>
      </c>
      <c r="H64" s="3" t="s">
        <v>82</v>
      </c>
      <c r="I64" s="3" t="s">
        <v>24</v>
      </c>
      <c r="J64" s="3" t="s">
        <v>25</v>
      </c>
      <c r="K64" s="3" t="s">
        <v>26</v>
      </c>
      <c r="L64" s="3" t="s">
        <v>27</v>
      </c>
      <c r="M64" s="3" t="s">
        <v>28</v>
      </c>
      <c r="N64" s="3" t="s">
        <v>29</v>
      </c>
      <c r="O64" s="3" t="s">
        <v>30</v>
      </c>
      <c r="P64" s="3">
        <v>6888</v>
      </c>
      <c r="Q64" s="3">
        <v>1</v>
      </c>
    </row>
    <row r="65" s="3" customFormat="1" hidden="1" spans="1:17">
      <c r="A65" s="3" t="s">
        <v>170</v>
      </c>
      <c r="B65" s="3" t="s">
        <v>18</v>
      </c>
      <c r="C65" s="3" t="s">
        <v>172</v>
      </c>
      <c r="D65" s="3" t="s">
        <v>173</v>
      </c>
      <c r="E65" s="3" t="s">
        <v>175</v>
      </c>
      <c r="F65" s="3" t="s">
        <v>175</v>
      </c>
      <c r="G65" s="3" t="s">
        <v>22</v>
      </c>
      <c r="H65" s="3" t="s">
        <v>82</v>
      </c>
      <c r="I65" s="3" t="s">
        <v>24</v>
      </c>
      <c r="J65" s="3" t="s">
        <v>25</v>
      </c>
      <c r="K65" s="3" t="s">
        <v>26</v>
      </c>
      <c r="L65" s="3" t="s">
        <v>27</v>
      </c>
      <c r="M65" s="3" t="s">
        <v>28</v>
      </c>
      <c r="N65" s="3" t="s">
        <v>29</v>
      </c>
      <c r="O65" s="3" t="s">
        <v>30</v>
      </c>
      <c r="P65" s="3">
        <v>6888</v>
      </c>
      <c r="Q65" s="3">
        <v>1</v>
      </c>
    </row>
    <row r="66" s="3" customFormat="1" spans="1:17">
      <c r="A66" s="3" t="s">
        <v>170</v>
      </c>
      <c r="B66" s="3" t="s">
        <v>18</v>
      </c>
      <c r="C66" s="3" t="s">
        <v>133</v>
      </c>
      <c r="D66" s="3" t="s">
        <v>134</v>
      </c>
      <c r="E66" s="3" t="s">
        <v>176</v>
      </c>
      <c r="F66" s="3" t="s">
        <v>176</v>
      </c>
      <c r="G66" s="3" t="s">
        <v>22</v>
      </c>
      <c r="H66" s="3" t="s">
        <v>23</v>
      </c>
      <c r="I66" s="3" t="s">
        <v>24</v>
      </c>
      <c r="J66" s="3" t="s">
        <v>25</v>
      </c>
      <c r="K66" s="3" t="s">
        <v>26</v>
      </c>
      <c r="L66" s="3" t="s">
        <v>27</v>
      </c>
      <c r="M66" s="3" t="s">
        <v>28</v>
      </c>
      <c r="N66" s="3" t="s">
        <v>29</v>
      </c>
      <c r="O66" s="3" t="s">
        <v>30</v>
      </c>
      <c r="P66" s="3">
        <v>5698</v>
      </c>
      <c r="Q66" s="3">
        <v>1</v>
      </c>
    </row>
    <row r="67" s="3" customFormat="1" hidden="1" spans="1:17">
      <c r="A67" s="3" t="s">
        <v>170</v>
      </c>
      <c r="B67" s="3" t="s">
        <v>137</v>
      </c>
      <c r="C67" s="3" t="s">
        <v>172</v>
      </c>
      <c r="D67" s="3" t="s">
        <v>173</v>
      </c>
      <c r="E67" s="3" t="s">
        <v>174</v>
      </c>
      <c r="F67" s="3" t="s">
        <v>174</v>
      </c>
      <c r="G67" s="3" t="s">
        <v>22</v>
      </c>
      <c r="H67" s="3" t="s">
        <v>82</v>
      </c>
      <c r="I67" s="3" t="s">
        <v>24</v>
      </c>
      <c r="J67" s="3" t="s">
        <v>25</v>
      </c>
      <c r="K67" s="3" t="s">
        <v>26</v>
      </c>
      <c r="L67" s="3" t="s">
        <v>27</v>
      </c>
      <c r="M67" s="3" t="s">
        <v>28</v>
      </c>
      <c r="N67" s="3" t="s">
        <v>29</v>
      </c>
      <c r="O67" s="3" t="s">
        <v>30</v>
      </c>
      <c r="P67" s="3">
        <v>-6888</v>
      </c>
      <c r="Q67" s="3">
        <v>-1</v>
      </c>
    </row>
    <row r="68" s="3" customFormat="1" spans="1:17">
      <c r="A68" s="3" t="s">
        <v>177</v>
      </c>
      <c r="B68" s="3" t="s">
        <v>18</v>
      </c>
      <c r="C68" s="3" t="s">
        <v>133</v>
      </c>
      <c r="D68" s="3" t="s">
        <v>134</v>
      </c>
      <c r="E68" s="3" t="s">
        <v>178</v>
      </c>
      <c r="F68" s="3" t="s">
        <v>178</v>
      </c>
      <c r="G68" s="3" t="s">
        <v>22</v>
      </c>
      <c r="H68" s="3" t="s">
        <v>23</v>
      </c>
      <c r="I68" s="3" t="s">
        <v>24</v>
      </c>
      <c r="J68" s="3" t="s">
        <v>25</v>
      </c>
      <c r="K68" s="3" t="s">
        <v>26</v>
      </c>
      <c r="L68" s="3" t="s">
        <v>27</v>
      </c>
      <c r="M68" s="3" t="s">
        <v>28</v>
      </c>
      <c r="N68" s="3" t="s">
        <v>29</v>
      </c>
      <c r="O68" s="3" t="s">
        <v>30</v>
      </c>
      <c r="P68" s="3">
        <v>5698</v>
      </c>
      <c r="Q68" s="3">
        <v>1</v>
      </c>
    </row>
    <row r="69" s="3" customFormat="1" spans="1:17">
      <c r="A69" s="3" t="s">
        <v>177</v>
      </c>
      <c r="B69" s="3" t="s">
        <v>18</v>
      </c>
      <c r="C69" s="3" t="s">
        <v>133</v>
      </c>
      <c r="D69" s="3" t="s">
        <v>134</v>
      </c>
      <c r="E69" s="3" t="s">
        <v>179</v>
      </c>
      <c r="F69" s="3" t="s">
        <v>179</v>
      </c>
      <c r="G69" s="3" t="s">
        <v>22</v>
      </c>
      <c r="H69" s="3" t="s">
        <v>23</v>
      </c>
      <c r="I69" s="3" t="s">
        <v>24</v>
      </c>
      <c r="J69" s="3" t="s">
        <v>25</v>
      </c>
      <c r="K69" s="3" t="s">
        <v>26</v>
      </c>
      <c r="L69" s="3" t="s">
        <v>27</v>
      </c>
      <c r="M69" s="3" t="s">
        <v>28</v>
      </c>
      <c r="N69" s="3" t="s">
        <v>29</v>
      </c>
      <c r="O69" s="3" t="s">
        <v>30</v>
      </c>
      <c r="P69" s="3">
        <v>5698</v>
      </c>
      <c r="Q69" s="3">
        <v>1</v>
      </c>
    </row>
    <row r="70" s="3" customFormat="1" hidden="1" spans="1:17">
      <c r="A70" s="3" t="s">
        <v>180</v>
      </c>
      <c r="B70" s="3" t="s">
        <v>18</v>
      </c>
      <c r="C70" s="3" t="s">
        <v>181</v>
      </c>
      <c r="D70" s="3" t="s">
        <v>182</v>
      </c>
      <c r="E70" s="3" t="s">
        <v>183</v>
      </c>
      <c r="F70" s="3" t="s">
        <v>183</v>
      </c>
      <c r="G70" s="3" t="s">
        <v>22</v>
      </c>
      <c r="H70" s="3" t="s">
        <v>69</v>
      </c>
      <c r="I70" s="3" t="s">
        <v>24</v>
      </c>
      <c r="J70" s="3" t="s">
        <v>25</v>
      </c>
      <c r="K70" s="3" t="s">
        <v>26</v>
      </c>
      <c r="L70" s="3" t="s">
        <v>184</v>
      </c>
      <c r="M70" s="3" t="s">
        <v>28</v>
      </c>
      <c r="N70" s="3" t="s">
        <v>29</v>
      </c>
      <c r="O70" s="3" t="s">
        <v>30</v>
      </c>
      <c r="P70" s="3">
        <v>19398</v>
      </c>
      <c r="Q70" s="3">
        <v>1</v>
      </c>
    </row>
    <row r="71" s="3" customFormat="1" hidden="1" spans="1:17">
      <c r="A71" s="3" t="s">
        <v>180</v>
      </c>
      <c r="B71" s="3" t="s">
        <v>18</v>
      </c>
      <c r="C71" s="3" t="s">
        <v>71</v>
      </c>
      <c r="D71" s="3" t="s">
        <v>72</v>
      </c>
      <c r="E71" s="3" t="s">
        <v>185</v>
      </c>
      <c r="F71" s="3" t="s">
        <v>185</v>
      </c>
      <c r="G71" s="3" t="s">
        <v>22</v>
      </c>
      <c r="H71" s="3" t="s">
        <v>69</v>
      </c>
      <c r="I71" s="3" t="s">
        <v>24</v>
      </c>
      <c r="J71" s="3" t="s">
        <v>25</v>
      </c>
      <c r="K71" s="3" t="s">
        <v>26</v>
      </c>
      <c r="L71" s="3" t="s">
        <v>27</v>
      </c>
      <c r="M71" s="3" t="s">
        <v>28</v>
      </c>
      <c r="N71" s="3" t="s">
        <v>29</v>
      </c>
      <c r="O71" s="3" t="s">
        <v>30</v>
      </c>
      <c r="P71" s="3">
        <v>7898</v>
      </c>
      <c r="Q71" s="3">
        <v>1</v>
      </c>
    </row>
    <row r="72" s="3" customFormat="1" hidden="1" spans="1:17">
      <c r="A72" s="3" t="s">
        <v>180</v>
      </c>
      <c r="B72" s="3" t="s">
        <v>18</v>
      </c>
      <c r="C72" s="3" t="s">
        <v>31</v>
      </c>
      <c r="D72" s="3" t="s">
        <v>186</v>
      </c>
      <c r="E72" s="3" t="s">
        <v>187</v>
      </c>
      <c r="F72" s="3" t="s">
        <v>187</v>
      </c>
      <c r="G72" s="3" t="s">
        <v>22</v>
      </c>
      <c r="H72" s="3" t="s">
        <v>112</v>
      </c>
      <c r="I72" s="3" t="s">
        <v>24</v>
      </c>
      <c r="J72" s="3" t="s">
        <v>25</v>
      </c>
      <c r="K72" s="3" t="s">
        <v>26</v>
      </c>
      <c r="L72" s="3" t="s">
        <v>35</v>
      </c>
      <c r="M72" s="3" t="s">
        <v>28</v>
      </c>
      <c r="N72" s="3" t="s">
        <v>29</v>
      </c>
      <c r="O72" s="3" t="s">
        <v>30</v>
      </c>
      <c r="P72" s="3">
        <v>5668</v>
      </c>
      <c r="Q72" s="3">
        <v>1</v>
      </c>
    </row>
    <row r="73" s="3" customFormat="1" spans="1:17">
      <c r="A73" s="3" t="s">
        <v>180</v>
      </c>
      <c r="B73" s="3" t="s">
        <v>18</v>
      </c>
      <c r="C73" s="3" t="s">
        <v>75</v>
      </c>
      <c r="D73" s="3" t="s">
        <v>76</v>
      </c>
      <c r="E73" s="3" t="s">
        <v>188</v>
      </c>
      <c r="F73" s="3" t="s">
        <v>188</v>
      </c>
      <c r="G73" s="3" t="s">
        <v>22</v>
      </c>
      <c r="H73" s="3" t="s">
        <v>54</v>
      </c>
      <c r="I73" s="3" t="s">
        <v>24</v>
      </c>
      <c r="J73" s="3" t="s">
        <v>25</v>
      </c>
      <c r="K73" s="3" t="s">
        <v>26</v>
      </c>
      <c r="L73" s="3" t="s">
        <v>35</v>
      </c>
      <c r="M73" s="3" t="s">
        <v>28</v>
      </c>
      <c r="N73" s="3" t="s">
        <v>29</v>
      </c>
      <c r="O73" s="3" t="s">
        <v>30</v>
      </c>
      <c r="P73" s="3">
        <v>5568</v>
      </c>
      <c r="Q73" s="3">
        <v>1</v>
      </c>
    </row>
    <row r="74" s="3" customFormat="1" hidden="1" spans="1:17">
      <c r="A74" s="3" t="s">
        <v>180</v>
      </c>
      <c r="B74" s="3" t="s">
        <v>18</v>
      </c>
      <c r="C74" s="3" t="s">
        <v>94</v>
      </c>
      <c r="D74" s="3" t="s">
        <v>95</v>
      </c>
      <c r="E74" s="3" t="s">
        <v>189</v>
      </c>
      <c r="F74" s="3" t="s">
        <v>189</v>
      </c>
      <c r="G74" s="3" t="s">
        <v>22</v>
      </c>
      <c r="H74" s="3" t="s">
        <v>39</v>
      </c>
      <c r="I74" s="3" t="s">
        <v>24</v>
      </c>
      <c r="J74" s="3" t="s">
        <v>25</v>
      </c>
      <c r="K74" s="3" t="s">
        <v>45</v>
      </c>
      <c r="L74" s="3" t="s">
        <v>46</v>
      </c>
      <c r="M74" s="3" t="s">
        <v>28</v>
      </c>
      <c r="N74" s="3" t="s">
        <v>29</v>
      </c>
      <c r="O74" s="3" t="s">
        <v>30</v>
      </c>
      <c r="P74" s="3">
        <v>5348</v>
      </c>
      <c r="Q74" s="3">
        <v>1</v>
      </c>
    </row>
    <row r="75" s="3" customFormat="1" hidden="1" spans="1:17">
      <c r="A75" s="3" t="s">
        <v>180</v>
      </c>
      <c r="B75" s="3" t="s">
        <v>18</v>
      </c>
      <c r="C75" s="3" t="s">
        <v>162</v>
      </c>
      <c r="D75" s="3" t="s">
        <v>163</v>
      </c>
      <c r="E75" s="3" t="s">
        <v>190</v>
      </c>
      <c r="F75" s="3" t="s">
        <v>190</v>
      </c>
      <c r="G75" s="3" t="s">
        <v>22</v>
      </c>
      <c r="H75" s="3" t="s">
        <v>39</v>
      </c>
      <c r="I75" s="3" t="s">
        <v>24</v>
      </c>
      <c r="J75" s="3" t="s">
        <v>25</v>
      </c>
      <c r="K75" s="3" t="s">
        <v>45</v>
      </c>
      <c r="L75" s="3" t="s">
        <v>46</v>
      </c>
      <c r="M75" s="3" t="s">
        <v>28</v>
      </c>
      <c r="N75" s="3" t="s">
        <v>29</v>
      </c>
      <c r="O75" s="3" t="s">
        <v>30</v>
      </c>
      <c r="P75" s="3">
        <v>2998</v>
      </c>
      <c r="Q75" s="3">
        <v>1</v>
      </c>
    </row>
    <row r="76" s="3" customFormat="1" hidden="1" spans="1:17">
      <c r="A76" s="3" t="s">
        <v>191</v>
      </c>
      <c r="B76" s="3" t="s">
        <v>18</v>
      </c>
      <c r="C76" s="3" t="s">
        <v>55</v>
      </c>
      <c r="D76" s="3" t="s">
        <v>56</v>
      </c>
      <c r="E76" s="3" t="s">
        <v>57</v>
      </c>
      <c r="F76" s="3" t="s">
        <v>57</v>
      </c>
      <c r="G76" s="3" t="s">
        <v>22</v>
      </c>
      <c r="H76" s="3" t="s">
        <v>44</v>
      </c>
      <c r="I76" s="3" t="s">
        <v>24</v>
      </c>
      <c r="J76" s="3" t="s">
        <v>25</v>
      </c>
      <c r="K76" s="3" t="s">
        <v>26</v>
      </c>
      <c r="L76" s="3" t="s">
        <v>58</v>
      </c>
      <c r="M76" s="3" t="s">
        <v>28</v>
      </c>
      <c r="N76" s="3" t="s">
        <v>29</v>
      </c>
      <c r="O76" s="3" t="s">
        <v>30</v>
      </c>
      <c r="P76" s="3">
        <v>8868</v>
      </c>
      <c r="Q76" s="3">
        <v>1</v>
      </c>
    </row>
    <row r="77" s="3" customFormat="1" hidden="1" spans="1:17">
      <c r="A77" s="3" t="s">
        <v>191</v>
      </c>
      <c r="B77" s="3" t="s">
        <v>18</v>
      </c>
      <c r="C77" s="3" t="s">
        <v>133</v>
      </c>
      <c r="D77" s="3" t="s">
        <v>134</v>
      </c>
      <c r="E77" s="3" t="s">
        <v>192</v>
      </c>
      <c r="F77" s="3" t="s">
        <v>192</v>
      </c>
      <c r="G77" s="3" t="s">
        <v>22</v>
      </c>
      <c r="H77" s="3" t="s">
        <v>44</v>
      </c>
      <c r="I77" s="3" t="s">
        <v>24</v>
      </c>
      <c r="J77" s="3" t="s">
        <v>25</v>
      </c>
      <c r="K77" s="3" t="s">
        <v>26</v>
      </c>
      <c r="L77" s="3" t="s">
        <v>27</v>
      </c>
      <c r="M77" s="3" t="s">
        <v>28</v>
      </c>
      <c r="N77" s="3" t="s">
        <v>29</v>
      </c>
      <c r="O77" s="3" t="s">
        <v>30</v>
      </c>
      <c r="P77" s="3">
        <v>5698</v>
      </c>
      <c r="Q77" s="3">
        <v>1</v>
      </c>
    </row>
    <row r="78" s="3" customFormat="1" spans="1:17">
      <c r="A78" s="3" t="s">
        <v>193</v>
      </c>
      <c r="B78" s="3" t="s">
        <v>18</v>
      </c>
      <c r="C78" s="3" t="s">
        <v>51</v>
      </c>
      <c r="D78" s="3" t="s">
        <v>52</v>
      </c>
      <c r="E78" s="3" t="s">
        <v>194</v>
      </c>
      <c r="F78" s="3" t="s">
        <v>194</v>
      </c>
      <c r="G78" s="3" t="s">
        <v>22</v>
      </c>
      <c r="H78" s="3" t="s">
        <v>23</v>
      </c>
      <c r="I78" s="3" t="s">
        <v>24</v>
      </c>
      <c r="J78" s="3" t="s">
        <v>25</v>
      </c>
      <c r="K78" s="3" t="s">
        <v>45</v>
      </c>
      <c r="L78" s="3" t="s">
        <v>46</v>
      </c>
      <c r="M78" s="3" t="s">
        <v>28</v>
      </c>
      <c r="N78" s="3" t="s">
        <v>29</v>
      </c>
      <c r="O78" s="3" t="s">
        <v>30</v>
      </c>
      <c r="P78" s="3">
        <v>7588</v>
      </c>
      <c r="Q78" s="3">
        <v>1</v>
      </c>
    </row>
    <row r="79" s="3" customFormat="1" hidden="1" spans="1:17">
      <c r="A79" s="3" t="s">
        <v>193</v>
      </c>
      <c r="B79" s="3" t="s">
        <v>18</v>
      </c>
      <c r="C79" s="3" t="s">
        <v>51</v>
      </c>
      <c r="D79" s="3" t="s">
        <v>52</v>
      </c>
      <c r="E79" s="3" t="s">
        <v>195</v>
      </c>
      <c r="F79" s="3" t="s">
        <v>195</v>
      </c>
      <c r="G79" s="3" t="s">
        <v>22</v>
      </c>
      <c r="H79" s="3" t="s">
        <v>82</v>
      </c>
      <c r="I79" s="3" t="s">
        <v>24</v>
      </c>
      <c r="J79" s="3" t="s">
        <v>25</v>
      </c>
      <c r="K79" s="3" t="s">
        <v>45</v>
      </c>
      <c r="L79" s="3" t="s">
        <v>46</v>
      </c>
      <c r="M79" s="3" t="s">
        <v>28</v>
      </c>
      <c r="N79" s="3" t="s">
        <v>29</v>
      </c>
      <c r="O79" s="3" t="s">
        <v>30</v>
      </c>
      <c r="P79" s="3">
        <v>7588</v>
      </c>
      <c r="Q79" s="3">
        <v>1</v>
      </c>
    </row>
    <row r="80" s="3" customFormat="1" hidden="1" spans="1:17">
      <c r="A80" s="3" t="s">
        <v>193</v>
      </c>
      <c r="B80" s="3" t="s">
        <v>18</v>
      </c>
      <c r="C80" s="3" t="s">
        <v>51</v>
      </c>
      <c r="D80" s="3" t="s">
        <v>52</v>
      </c>
      <c r="E80" s="3" t="s">
        <v>196</v>
      </c>
      <c r="F80" s="3" t="s">
        <v>196</v>
      </c>
      <c r="G80" s="3" t="s">
        <v>22</v>
      </c>
      <c r="H80" s="3" t="s">
        <v>69</v>
      </c>
      <c r="I80" s="3" t="s">
        <v>24</v>
      </c>
      <c r="J80" s="3" t="s">
        <v>25</v>
      </c>
      <c r="K80" s="3" t="s">
        <v>45</v>
      </c>
      <c r="L80" s="3" t="s">
        <v>46</v>
      </c>
      <c r="M80" s="3" t="s">
        <v>28</v>
      </c>
      <c r="N80" s="3" t="s">
        <v>29</v>
      </c>
      <c r="O80" s="3" t="s">
        <v>30</v>
      </c>
      <c r="P80" s="3">
        <v>7588</v>
      </c>
      <c r="Q80" s="3">
        <v>1</v>
      </c>
    </row>
    <row r="81" s="3" customFormat="1" spans="1:17">
      <c r="A81" s="3" t="s">
        <v>193</v>
      </c>
      <c r="B81" s="3" t="s">
        <v>18</v>
      </c>
      <c r="C81" s="3" t="s">
        <v>133</v>
      </c>
      <c r="D81" s="3" t="s">
        <v>134</v>
      </c>
      <c r="E81" s="3" t="s">
        <v>197</v>
      </c>
      <c r="F81" s="3" t="s">
        <v>197</v>
      </c>
      <c r="G81" s="3" t="s">
        <v>22</v>
      </c>
      <c r="H81" s="3" t="s">
        <v>23</v>
      </c>
      <c r="I81" s="3" t="s">
        <v>24</v>
      </c>
      <c r="J81" s="3" t="s">
        <v>25</v>
      </c>
      <c r="K81" s="3" t="s">
        <v>26</v>
      </c>
      <c r="L81" s="3" t="s">
        <v>27</v>
      </c>
      <c r="M81" s="3" t="s">
        <v>28</v>
      </c>
      <c r="N81" s="3" t="s">
        <v>29</v>
      </c>
      <c r="O81" s="3" t="s">
        <v>30</v>
      </c>
      <c r="P81" s="3">
        <v>5698</v>
      </c>
      <c r="Q81" s="3">
        <v>1</v>
      </c>
    </row>
    <row r="82" s="3" customFormat="1" spans="1:17">
      <c r="A82" s="3" t="s">
        <v>193</v>
      </c>
      <c r="B82" s="3" t="s">
        <v>18</v>
      </c>
      <c r="C82" s="3" t="s">
        <v>133</v>
      </c>
      <c r="D82" s="3" t="s">
        <v>134</v>
      </c>
      <c r="E82" s="3" t="s">
        <v>198</v>
      </c>
      <c r="F82" s="3" t="s">
        <v>198</v>
      </c>
      <c r="G82" s="3" t="s">
        <v>22</v>
      </c>
      <c r="H82" s="3" t="s">
        <v>23</v>
      </c>
      <c r="I82" s="3" t="s">
        <v>24</v>
      </c>
      <c r="J82" s="3" t="s">
        <v>25</v>
      </c>
      <c r="K82" s="3" t="s">
        <v>26</v>
      </c>
      <c r="L82" s="3" t="s">
        <v>27</v>
      </c>
      <c r="M82" s="3" t="s">
        <v>28</v>
      </c>
      <c r="N82" s="3" t="s">
        <v>29</v>
      </c>
      <c r="O82" s="3" t="s">
        <v>30</v>
      </c>
      <c r="P82" s="3">
        <v>5698</v>
      </c>
      <c r="Q82" s="3">
        <v>1</v>
      </c>
    </row>
    <row r="83" s="3" customFormat="1" hidden="1" spans="1:17">
      <c r="A83" s="3" t="s">
        <v>193</v>
      </c>
      <c r="B83" s="3" t="s">
        <v>18</v>
      </c>
      <c r="C83" s="3" t="s">
        <v>127</v>
      </c>
      <c r="D83" s="3" t="s">
        <v>128</v>
      </c>
      <c r="E83" s="3" t="s">
        <v>199</v>
      </c>
      <c r="F83" s="3" t="s">
        <v>199</v>
      </c>
      <c r="G83" s="3" t="s">
        <v>22</v>
      </c>
      <c r="H83" s="3" t="s">
        <v>112</v>
      </c>
      <c r="I83" s="3" t="s">
        <v>24</v>
      </c>
      <c r="J83" s="3" t="s">
        <v>25</v>
      </c>
      <c r="K83" s="3" t="s">
        <v>26</v>
      </c>
      <c r="L83" s="3" t="s">
        <v>27</v>
      </c>
      <c r="M83" s="3" t="s">
        <v>28</v>
      </c>
      <c r="N83" s="3" t="s">
        <v>29</v>
      </c>
      <c r="O83" s="3" t="s">
        <v>30</v>
      </c>
      <c r="P83" s="3">
        <v>5398</v>
      </c>
      <c r="Q83" s="3">
        <v>1</v>
      </c>
    </row>
    <row r="84" s="3" customFormat="1" hidden="1" spans="1:17">
      <c r="A84" s="3" t="s">
        <v>193</v>
      </c>
      <c r="B84" s="3" t="s">
        <v>18</v>
      </c>
      <c r="C84" s="3" t="s">
        <v>66</v>
      </c>
      <c r="D84" s="3" t="s">
        <v>67</v>
      </c>
      <c r="E84" s="3" t="s">
        <v>200</v>
      </c>
      <c r="F84" s="3" t="s">
        <v>200</v>
      </c>
      <c r="G84" s="3" t="s">
        <v>22</v>
      </c>
      <c r="H84" s="3" t="s">
        <v>44</v>
      </c>
      <c r="I84" s="3" t="s">
        <v>24</v>
      </c>
      <c r="J84" s="3" t="s">
        <v>25</v>
      </c>
      <c r="K84" s="3" t="s">
        <v>26</v>
      </c>
      <c r="L84" s="3" t="s">
        <v>35</v>
      </c>
      <c r="M84" s="3" t="s">
        <v>28</v>
      </c>
      <c r="N84" s="3" t="s">
        <v>29</v>
      </c>
      <c r="O84" s="3" t="s">
        <v>30</v>
      </c>
      <c r="P84" s="3">
        <v>3968</v>
      </c>
      <c r="Q84" s="3">
        <v>1</v>
      </c>
    </row>
    <row r="85" s="3" customFormat="1" spans="1:17">
      <c r="A85" s="3" t="s">
        <v>193</v>
      </c>
      <c r="B85" s="3" t="s">
        <v>50</v>
      </c>
      <c r="C85" s="3" t="s">
        <v>114</v>
      </c>
      <c r="D85" s="3" t="s">
        <v>115</v>
      </c>
      <c r="E85" s="3" t="s">
        <v>201</v>
      </c>
      <c r="F85" s="3" t="s">
        <v>201</v>
      </c>
      <c r="G85" s="3" t="s">
        <v>22</v>
      </c>
      <c r="H85" s="3" t="s">
        <v>93</v>
      </c>
      <c r="I85" s="3" t="s">
        <v>24</v>
      </c>
      <c r="J85" s="3" t="s">
        <v>25</v>
      </c>
      <c r="K85" s="3" t="s">
        <v>26</v>
      </c>
      <c r="L85" s="3" t="s">
        <v>108</v>
      </c>
      <c r="M85" s="3" t="s">
        <v>28</v>
      </c>
      <c r="N85" s="3" t="s">
        <v>29</v>
      </c>
      <c r="O85" s="3" t="s">
        <v>30</v>
      </c>
      <c r="P85" s="3">
        <v>-3098</v>
      </c>
      <c r="Q85" s="3">
        <v>-1</v>
      </c>
    </row>
    <row r="86" s="3" customFormat="1" hidden="1" spans="1:17">
      <c r="A86" s="3" t="s">
        <v>202</v>
      </c>
      <c r="B86" s="3" t="s">
        <v>18</v>
      </c>
      <c r="C86" s="3" t="s">
        <v>203</v>
      </c>
      <c r="D86" s="3" t="s">
        <v>204</v>
      </c>
      <c r="E86" s="3" t="s">
        <v>205</v>
      </c>
      <c r="F86" s="3" t="s">
        <v>205</v>
      </c>
      <c r="G86" s="3" t="s">
        <v>22</v>
      </c>
      <c r="H86" s="3" t="s">
        <v>44</v>
      </c>
      <c r="I86" s="3" t="s">
        <v>24</v>
      </c>
      <c r="J86" s="3" t="s">
        <v>25</v>
      </c>
      <c r="K86" s="3" t="s">
        <v>26</v>
      </c>
      <c r="L86" s="3" t="s">
        <v>27</v>
      </c>
      <c r="M86" s="3" t="s">
        <v>28</v>
      </c>
      <c r="N86" s="3" t="s">
        <v>29</v>
      </c>
      <c r="O86" s="3" t="s">
        <v>30</v>
      </c>
      <c r="P86" s="3">
        <v>5908</v>
      </c>
      <c r="Q86" s="3">
        <v>1</v>
      </c>
    </row>
    <row r="87" s="3" customFormat="1" hidden="1" spans="1:17">
      <c r="A87" s="3" t="s">
        <v>202</v>
      </c>
      <c r="B87" s="3" t="s">
        <v>18</v>
      </c>
      <c r="C87" s="3" t="s">
        <v>94</v>
      </c>
      <c r="D87" s="3" t="s">
        <v>95</v>
      </c>
      <c r="E87" s="3" t="s">
        <v>206</v>
      </c>
      <c r="F87" s="3" t="s">
        <v>206</v>
      </c>
      <c r="G87" s="3" t="s">
        <v>22</v>
      </c>
      <c r="H87" s="3" t="s">
        <v>44</v>
      </c>
      <c r="I87" s="3" t="s">
        <v>24</v>
      </c>
      <c r="J87" s="3" t="s">
        <v>25</v>
      </c>
      <c r="K87" s="3" t="s">
        <v>45</v>
      </c>
      <c r="L87" s="3" t="s">
        <v>46</v>
      </c>
      <c r="M87" s="3" t="s">
        <v>28</v>
      </c>
      <c r="N87" s="3" t="s">
        <v>29</v>
      </c>
      <c r="O87" s="3" t="s">
        <v>30</v>
      </c>
      <c r="P87" s="3">
        <v>5348</v>
      </c>
      <c r="Q87" s="3">
        <v>1</v>
      </c>
    </row>
    <row r="88" s="3" customFormat="1" hidden="1" spans="1:17">
      <c r="A88" s="3" t="s">
        <v>202</v>
      </c>
      <c r="B88" s="3" t="s">
        <v>18</v>
      </c>
      <c r="C88" s="3" t="s">
        <v>162</v>
      </c>
      <c r="D88" s="3" t="s">
        <v>163</v>
      </c>
      <c r="E88" s="3" t="s">
        <v>207</v>
      </c>
      <c r="F88" s="3" t="s">
        <v>207</v>
      </c>
      <c r="G88" s="3" t="s">
        <v>22</v>
      </c>
      <c r="H88" s="3" t="s">
        <v>44</v>
      </c>
      <c r="I88" s="3" t="s">
        <v>24</v>
      </c>
      <c r="J88" s="3" t="s">
        <v>25</v>
      </c>
      <c r="K88" s="3" t="s">
        <v>45</v>
      </c>
      <c r="L88" s="3" t="s">
        <v>46</v>
      </c>
      <c r="M88" s="3" t="s">
        <v>28</v>
      </c>
      <c r="N88" s="3" t="s">
        <v>29</v>
      </c>
      <c r="O88" s="3" t="s">
        <v>30</v>
      </c>
      <c r="P88" s="3">
        <v>2998</v>
      </c>
      <c r="Q88" s="3">
        <v>1</v>
      </c>
    </row>
    <row r="89" s="3" customFormat="1" hidden="1" spans="1:17">
      <c r="A89" s="3" t="s">
        <v>208</v>
      </c>
      <c r="B89" s="3" t="s">
        <v>50</v>
      </c>
      <c r="C89" s="3" t="s">
        <v>78</v>
      </c>
      <c r="D89" s="3" t="s">
        <v>79</v>
      </c>
      <c r="E89" s="3" t="s">
        <v>209</v>
      </c>
      <c r="F89" s="3" t="s">
        <v>209</v>
      </c>
      <c r="G89" s="3" t="s">
        <v>22</v>
      </c>
      <c r="H89" s="3" t="s">
        <v>132</v>
      </c>
      <c r="I89" s="3" t="s">
        <v>24</v>
      </c>
      <c r="J89" s="3" t="s">
        <v>25</v>
      </c>
      <c r="K89" s="3" t="s">
        <v>26</v>
      </c>
      <c r="L89" s="3" t="s">
        <v>35</v>
      </c>
      <c r="M89" s="3" t="s">
        <v>28</v>
      </c>
      <c r="N89" s="3" t="s">
        <v>29</v>
      </c>
      <c r="O89" s="3" t="s">
        <v>30</v>
      </c>
      <c r="P89" s="3">
        <v>-4298</v>
      </c>
      <c r="Q89" s="3">
        <v>-1</v>
      </c>
    </row>
    <row r="90" s="3" customFormat="1" spans="1:17">
      <c r="A90" s="3" t="s">
        <v>210</v>
      </c>
      <c r="B90" s="3" t="s">
        <v>18</v>
      </c>
      <c r="C90" s="3" t="s">
        <v>141</v>
      </c>
      <c r="D90" s="3" t="s">
        <v>142</v>
      </c>
      <c r="E90" s="3" t="s">
        <v>211</v>
      </c>
      <c r="F90" s="3" t="s">
        <v>211</v>
      </c>
      <c r="G90" s="3" t="s">
        <v>22</v>
      </c>
      <c r="H90" s="3" t="s">
        <v>93</v>
      </c>
      <c r="I90" s="3" t="s">
        <v>24</v>
      </c>
      <c r="J90" s="3" t="s">
        <v>25</v>
      </c>
      <c r="K90" s="3" t="s">
        <v>26</v>
      </c>
      <c r="L90" s="3" t="s">
        <v>27</v>
      </c>
      <c r="M90" s="3" t="s">
        <v>28</v>
      </c>
      <c r="N90" s="3" t="s">
        <v>29</v>
      </c>
      <c r="O90" s="3" t="s">
        <v>30</v>
      </c>
      <c r="P90" s="3">
        <v>7368</v>
      </c>
      <c r="Q90" s="3">
        <v>1</v>
      </c>
    </row>
    <row r="91" s="3" customFormat="1" hidden="1" spans="1:17">
      <c r="A91" s="3" t="s">
        <v>210</v>
      </c>
      <c r="B91" s="3" t="s">
        <v>18</v>
      </c>
      <c r="C91" s="3" t="s">
        <v>94</v>
      </c>
      <c r="D91" s="3" t="s">
        <v>95</v>
      </c>
      <c r="E91" s="3" t="s">
        <v>212</v>
      </c>
      <c r="F91" s="3" t="s">
        <v>212</v>
      </c>
      <c r="G91" s="3" t="s">
        <v>22</v>
      </c>
      <c r="H91" s="3" t="s">
        <v>39</v>
      </c>
      <c r="I91" s="3" t="s">
        <v>24</v>
      </c>
      <c r="J91" s="3" t="s">
        <v>25</v>
      </c>
      <c r="K91" s="3" t="s">
        <v>45</v>
      </c>
      <c r="L91" s="3" t="s">
        <v>46</v>
      </c>
      <c r="M91" s="3" t="s">
        <v>28</v>
      </c>
      <c r="N91" s="3" t="s">
        <v>29</v>
      </c>
      <c r="O91" s="3" t="s">
        <v>30</v>
      </c>
      <c r="P91" s="3">
        <v>5348</v>
      </c>
      <c r="Q91" s="3">
        <v>1</v>
      </c>
    </row>
    <row r="92" s="3" customFormat="1" spans="1:17">
      <c r="A92" s="3" t="s">
        <v>213</v>
      </c>
      <c r="B92" s="3" t="s">
        <v>18</v>
      </c>
      <c r="C92" s="3" t="s">
        <v>148</v>
      </c>
      <c r="D92" s="3" t="s">
        <v>149</v>
      </c>
      <c r="E92" s="3" t="s">
        <v>214</v>
      </c>
      <c r="F92" s="3" t="s">
        <v>214</v>
      </c>
      <c r="G92" s="3" t="s">
        <v>22</v>
      </c>
      <c r="H92" s="3" t="s">
        <v>54</v>
      </c>
      <c r="I92" s="3" t="s">
        <v>24</v>
      </c>
      <c r="J92" s="3" t="s">
        <v>25</v>
      </c>
      <c r="K92" s="3" t="s">
        <v>26</v>
      </c>
      <c r="L92" s="3" t="s">
        <v>27</v>
      </c>
      <c r="M92" s="3" t="s">
        <v>28</v>
      </c>
      <c r="N92" s="3" t="s">
        <v>29</v>
      </c>
      <c r="O92" s="3" t="s">
        <v>30</v>
      </c>
      <c r="P92" s="3">
        <v>6458</v>
      </c>
      <c r="Q92" s="3">
        <v>1</v>
      </c>
    </row>
    <row r="93" s="3" customFormat="1" spans="1:17">
      <c r="A93" s="3" t="s">
        <v>213</v>
      </c>
      <c r="B93" s="3" t="s">
        <v>18</v>
      </c>
      <c r="C93" s="3" t="s">
        <v>148</v>
      </c>
      <c r="D93" s="3" t="s">
        <v>149</v>
      </c>
      <c r="E93" s="3" t="s">
        <v>215</v>
      </c>
      <c r="F93" s="3" t="s">
        <v>215</v>
      </c>
      <c r="G93" s="3" t="s">
        <v>22</v>
      </c>
      <c r="H93" s="3" t="s">
        <v>54</v>
      </c>
      <c r="I93" s="3" t="s">
        <v>24</v>
      </c>
      <c r="J93" s="3" t="s">
        <v>25</v>
      </c>
      <c r="K93" s="3" t="s">
        <v>26</v>
      </c>
      <c r="L93" s="3" t="s">
        <v>27</v>
      </c>
      <c r="M93" s="3" t="s">
        <v>28</v>
      </c>
      <c r="N93" s="3" t="s">
        <v>29</v>
      </c>
      <c r="O93" s="3" t="s">
        <v>30</v>
      </c>
      <c r="P93" s="3">
        <v>6458</v>
      </c>
      <c r="Q93" s="3">
        <v>1</v>
      </c>
    </row>
    <row r="94" s="3" customFormat="1" hidden="1" spans="1:17">
      <c r="A94" s="3" t="s">
        <v>213</v>
      </c>
      <c r="B94" s="3" t="s">
        <v>18</v>
      </c>
      <c r="C94" s="3" t="s">
        <v>133</v>
      </c>
      <c r="D94" s="3" t="s">
        <v>134</v>
      </c>
      <c r="E94" s="3" t="s">
        <v>216</v>
      </c>
      <c r="F94" s="3" t="s">
        <v>216</v>
      </c>
      <c r="G94" s="3" t="s">
        <v>22</v>
      </c>
      <c r="H94" s="3" t="s">
        <v>69</v>
      </c>
      <c r="I94" s="3" t="s">
        <v>24</v>
      </c>
      <c r="J94" s="3" t="s">
        <v>25</v>
      </c>
      <c r="K94" s="3" t="s">
        <v>26</v>
      </c>
      <c r="L94" s="3" t="s">
        <v>27</v>
      </c>
      <c r="M94" s="3" t="s">
        <v>28</v>
      </c>
      <c r="N94" s="3" t="s">
        <v>29</v>
      </c>
      <c r="O94" s="3" t="s">
        <v>30</v>
      </c>
      <c r="P94" s="3">
        <v>5698</v>
      </c>
      <c r="Q94" s="3">
        <v>1</v>
      </c>
    </row>
    <row r="95" s="3" customFormat="1" spans="1:17">
      <c r="A95" s="3" t="s">
        <v>213</v>
      </c>
      <c r="B95" s="3" t="s">
        <v>18</v>
      </c>
      <c r="C95" s="3" t="s">
        <v>47</v>
      </c>
      <c r="D95" s="3" t="s">
        <v>48</v>
      </c>
      <c r="E95" s="3" t="s">
        <v>217</v>
      </c>
      <c r="F95" s="3" t="s">
        <v>217</v>
      </c>
      <c r="G95" s="3" t="s">
        <v>22</v>
      </c>
      <c r="H95" s="3" t="s">
        <v>54</v>
      </c>
      <c r="I95" s="3" t="s">
        <v>24</v>
      </c>
      <c r="J95" s="3" t="s">
        <v>25</v>
      </c>
      <c r="K95" s="3" t="s">
        <v>26</v>
      </c>
      <c r="L95" s="3" t="s">
        <v>27</v>
      </c>
      <c r="M95" s="3" t="s">
        <v>28</v>
      </c>
      <c r="N95" s="3" t="s">
        <v>29</v>
      </c>
      <c r="O95" s="3" t="s">
        <v>30</v>
      </c>
      <c r="P95" s="3">
        <v>5098</v>
      </c>
      <c r="Q95" s="3">
        <v>1</v>
      </c>
    </row>
    <row r="96" s="3" customFormat="1" spans="1:17">
      <c r="A96" s="3" t="s">
        <v>213</v>
      </c>
      <c r="B96" s="3" t="s">
        <v>137</v>
      </c>
      <c r="C96" s="3" t="s">
        <v>172</v>
      </c>
      <c r="D96" s="3" t="s">
        <v>173</v>
      </c>
      <c r="E96" s="3" t="s">
        <v>218</v>
      </c>
      <c r="F96" s="3" t="s">
        <v>218</v>
      </c>
      <c r="G96" s="3" t="s">
        <v>22</v>
      </c>
      <c r="H96" s="3" t="s">
        <v>54</v>
      </c>
      <c r="I96" s="3" t="s">
        <v>24</v>
      </c>
      <c r="J96" s="3" t="s">
        <v>25</v>
      </c>
      <c r="K96" s="3" t="s">
        <v>26</v>
      </c>
      <c r="L96" s="3" t="s">
        <v>27</v>
      </c>
      <c r="M96" s="3" t="s">
        <v>28</v>
      </c>
      <c r="N96" s="3" t="s">
        <v>29</v>
      </c>
      <c r="O96" s="3" t="s">
        <v>30</v>
      </c>
      <c r="P96" s="3">
        <v>-6888</v>
      </c>
      <c r="Q96" s="3">
        <v>-1</v>
      </c>
    </row>
    <row r="97" s="3" customFormat="1" spans="1:17">
      <c r="A97" s="3" t="s">
        <v>219</v>
      </c>
      <c r="B97" s="3" t="s">
        <v>18</v>
      </c>
      <c r="C97" s="3" t="s">
        <v>19</v>
      </c>
      <c r="D97" s="3" t="s">
        <v>20</v>
      </c>
      <c r="E97" s="3" t="s">
        <v>220</v>
      </c>
      <c r="F97" s="3" t="s">
        <v>220</v>
      </c>
      <c r="G97" s="3" t="s">
        <v>22</v>
      </c>
      <c r="H97" s="3" t="s">
        <v>54</v>
      </c>
      <c r="I97" s="3" t="s">
        <v>24</v>
      </c>
      <c r="J97" s="3" t="s">
        <v>25</v>
      </c>
      <c r="K97" s="3" t="s">
        <v>26</v>
      </c>
      <c r="L97" s="3" t="s">
        <v>27</v>
      </c>
      <c r="M97" s="3" t="s">
        <v>28</v>
      </c>
      <c r="N97" s="3" t="s">
        <v>29</v>
      </c>
      <c r="O97" s="3" t="s">
        <v>30</v>
      </c>
      <c r="P97" s="3">
        <v>8288</v>
      </c>
      <c r="Q97" s="3">
        <v>1</v>
      </c>
    </row>
    <row r="98" s="3" customFormat="1" spans="1:17">
      <c r="A98" s="3" t="s">
        <v>219</v>
      </c>
      <c r="B98" s="3" t="s">
        <v>18</v>
      </c>
      <c r="C98" s="3" t="s">
        <v>19</v>
      </c>
      <c r="D98" s="3" t="s">
        <v>20</v>
      </c>
      <c r="E98" s="3" t="s">
        <v>221</v>
      </c>
      <c r="F98" s="3" t="s">
        <v>221</v>
      </c>
      <c r="G98" s="3" t="s">
        <v>22</v>
      </c>
      <c r="H98" s="3" t="s">
        <v>54</v>
      </c>
      <c r="I98" s="3" t="s">
        <v>24</v>
      </c>
      <c r="J98" s="3" t="s">
        <v>25</v>
      </c>
      <c r="K98" s="3" t="s">
        <v>26</v>
      </c>
      <c r="L98" s="3" t="s">
        <v>27</v>
      </c>
      <c r="M98" s="3" t="s">
        <v>28</v>
      </c>
      <c r="N98" s="3" t="s">
        <v>29</v>
      </c>
      <c r="O98" s="3" t="s">
        <v>30</v>
      </c>
      <c r="P98" s="3">
        <v>8288</v>
      </c>
      <c r="Q98" s="3">
        <v>1</v>
      </c>
    </row>
    <row r="99" s="3" customFormat="1" hidden="1" spans="1:17">
      <c r="A99" s="3" t="s">
        <v>219</v>
      </c>
      <c r="B99" s="3" t="s">
        <v>18</v>
      </c>
      <c r="C99" s="3" t="s">
        <v>222</v>
      </c>
      <c r="D99" s="3" t="s">
        <v>223</v>
      </c>
      <c r="E99" s="3" t="s">
        <v>224</v>
      </c>
      <c r="F99" s="3" t="s">
        <v>224</v>
      </c>
      <c r="G99" s="3" t="s">
        <v>22</v>
      </c>
      <c r="H99" s="3" t="s">
        <v>132</v>
      </c>
      <c r="I99" s="3" t="s">
        <v>24</v>
      </c>
      <c r="J99" s="3" t="s">
        <v>25</v>
      </c>
      <c r="K99" s="3" t="s">
        <v>45</v>
      </c>
      <c r="L99" s="3" t="s">
        <v>46</v>
      </c>
      <c r="M99" s="3" t="s">
        <v>28</v>
      </c>
      <c r="N99" s="3" t="s">
        <v>29</v>
      </c>
      <c r="O99" s="3" t="s">
        <v>30</v>
      </c>
      <c r="P99" s="3">
        <v>8288</v>
      </c>
      <c r="Q99" s="3">
        <v>1</v>
      </c>
    </row>
    <row r="100" s="3" customFormat="1" spans="1:17">
      <c r="A100" s="3" t="s">
        <v>219</v>
      </c>
      <c r="B100" s="3" t="s">
        <v>18</v>
      </c>
      <c r="C100" s="3" t="s">
        <v>51</v>
      </c>
      <c r="D100" s="3" t="s">
        <v>52</v>
      </c>
      <c r="E100" s="3" t="s">
        <v>53</v>
      </c>
      <c r="F100" s="3" t="s">
        <v>53</v>
      </c>
      <c r="G100" s="3" t="s">
        <v>22</v>
      </c>
      <c r="H100" s="3" t="s">
        <v>54</v>
      </c>
      <c r="I100" s="3" t="s">
        <v>24</v>
      </c>
      <c r="J100" s="3" t="s">
        <v>25</v>
      </c>
      <c r="K100" s="3" t="s">
        <v>45</v>
      </c>
      <c r="L100" s="3" t="s">
        <v>46</v>
      </c>
      <c r="M100" s="3" t="s">
        <v>28</v>
      </c>
      <c r="N100" s="3" t="s">
        <v>29</v>
      </c>
      <c r="O100" s="3" t="s">
        <v>30</v>
      </c>
      <c r="P100" s="3">
        <v>7588</v>
      </c>
      <c r="Q100" s="3">
        <v>1</v>
      </c>
    </row>
    <row r="101" s="3" customFormat="1" hidden="1" spans="1:17">
      <c r="A101" s="3" t="s">
        <v>219</v>
      </c>
      <c r="B101" s="3" t="s">
        <v>18</v>
      </c>
      <c r="C101" s="3" t="s">
        <v>51</v>
      </c>
      <c r="D101" s="3" t="s">
        <v>52</v>
      </c>
      <c r="E101" s="3" t="s">
        <v>225</v>
      </c>
      <c r="F101" s="3" t="s">
        <v>225</v>
      </c>
      <c r="G101" s="3" t="s">
        <v>22</v>
      </c>
      <c r="H101" s="3" t="s">
        <v>44</v>
      </c>
      <c r="I101" s="3" t="s">
        <v>24</v>
      </c>
      <c r="J101" s="3" t="s">
        <v>25</v>
      </c>
      <c r="K101" s="3" t="s">
        <v>45</v>
      </c>
      <c r="L101" s="3" t="s">
        <v>46</v>
      </c>
      <c r="M101" s="3" t="s">
        <v>28</v>
      </c>
      <c r="N101" s="3" t="s">
        <v>29</v>
      </c>
      <c r="O101" s="3" t="s">
        <v>30</v>
      </c>
      <c r="P101" s="3">
        <v>7588</v>
      </c>
      <c r="Q101" s="3">
        <v>1</v>
      </c>
    </row>
    <row r="102" s="3" customFormat="1" spans="1:17">
      <c r="A102" s="3" t="s">
        <v>219</v>
      </c>
      <c r="B102" s="3" t="s">
        <v>18</v>
      </c>
      <c r="C102" s="3" t="s">
        <v>172</v>
      </c>
      <c r="D102" s="3" t="s">
        <v>173</v>
      </c>
      <c r="E102" s="3" t="s">
        <v>226</v>
      </c>
      <c r="F102" s="3" t="s">
        <v>226</v>
      </c>
      <c r="G102" s="3" t="s">
        <v>22</v>
      </c>
      <c r="H102" s="3" t="s">
        <v>54</v>
      </c>
      <c r="I102" s="3" t="s">
        <v>24</v>
      </c>
      <c r="J102" s="3" t="s">
        <v>25</v>
      </c>
      <c r="K102" s="3" t="s">
        <v>26</v>
      </c>
      <c r="L102" s="3" t="s">
        <v>27</v>
      </c>
      <c r="M102" s="3" t="s">
        <v>28</v>
      </c>
      <c r="N102" s="3" t="s">
        <v>29</v>
      </c>
      <c r="O102" s="3" t="s">
        <v>30</v>
      </c>
      <c r="P102" s="3">
        <v>6888</v>
      </c>
      <c r="Q102" s="3">
        <v>1</v>
      </c>
    </row>
    <row r="103" s="3" customFormat="1" spans="1:17">
      <c r="A103" s="3" t="s">
        <v>219</v>
      </c>
      <c r="B103" s="3" t="s">
        <v>18</v>
      </c>
      <c r="C103" s="3" t="s">
        <v>172</v>
      </c>
      <c r="D103" s="3" t="s">
        <v>173</v>
      </c>
      <c r="E103" s="3" t="s">
        <v>227</v>
      </c>
      <c r="F103" s="3" t="s">
        <v>227</v>
      </c>
      <c r="G103" s="3" t="s">
        <v>22</v>
      </c>
      <c r="H103" s="3" t="s">
        <v>54</v>
      </c>
      <c r="I103" s="3" t="s">
        <v>24</v>
      </c>
      <c r="J103" s="3" t="s">
        <v>25</v>
      </c>
      <c r="K103" s="3" t="s">
        <v>26</v>
      </c>
      <c r="L103" s="3" t="s">
        <v>27</v>
      </c>
      <c r="M103" s="3" t="s">
        <v>28</v>
      </c>
      <c r="N103" s="3" t="s">
        <v>29</v>
      </c>
      <c r="O103" s="3" t="s">
        <v>30</v>
      </c>
      <c r="P103" s="3">
        <v>6888</v>
      </c>
      <c r="Q103" s="3">
        <v>1</v>
      </c>
    </row>
    <row r="104" s="3" customFormat="1" spans="1:17">
      <c r="A104" s="3" t="s">
        <v>219</v>
      </c>
      <c r="B104" s="3" t="s">
        <v>18</v>
      </c>
      <c r="C104" s="3" t="s">
        <v>172</v>
      </c>
      <c r="D104" s="3" t="s">
        <v>173</v>
      </c>
      <c r="E104" s="3" t="s">
        <v>228</v>
      </c>
      <c r="F104" s="3" t="s">
        <v>228</v>
      </c>
      <c r="G104" s="3" t="s">
        <v>22</v>
      </c>
      <c r="H104" s="3" t="s">
        <v>54</v>
      </c>
      <c r="I104" s="3" t="s">
        <v>24</v>
      </c>
      <c r="J104" s="3" t="s">
        <v>25</v>
      </c>
      <c r="K104" s="3" t="s">
        <v>26</v>
      </c>
      <c r="L104" s="3" t="s">
        <v>27</v>
      </c>
      <c r="M104" s="3" t="s">
        <v>28</v>
      </c>
      <c r="N104" s="3" t="s">
        <v>29</v>
      </c>
      <c r="O104" s="3" t="s">
        <v>30</v>
      </c>
      <c r="P104" s="3">
        <v>6888</v>
      </c>
      <c r="Q104" s="3">
        <v>1</v>
      </c>
    </row>
    <row r="105" s="3" customFormat="1" hidden="1" spans="1:17">
      <c r="A105" s="3" t="s">
        <v>219</v>
      </c>
      <c r="B105" s="3" t="s">
        <v>18</v>
      </c>
      <c r="C105" s="3" t="s">
        <v>172</v>
      </c>
      <c r="D105" s="3" t="s">
        <v>173</v>
      </c>
      <c r="E105" s="3" t="s">
        <v>229</v>
      </c>
      <c r="F105" s="3" t="s">
        <v>229</v>
      </c>
      <c r="G105" s="3" t="s">
        <v>22</v>
      </c>
      <c r="H105" s="3" t="s">
        <v>44</v>
      </c>
      <c r="I105" s="3" t="s">
        <v>24</v>
      </c>
      <c r="J105" s="3" t="s">
        <v>25</v>
      </c>
      <c r="K105" s="3" t="s">
        <v>26</v>
      </c>
      <c r="L105" s="3" t="s">
        <v>27</v>
      </c>
      <c r="M105" s="3" t="s">
        <v>28</v>
      </c>
      <c r="N105" s="3" t="s">
        <v>29</v>
      </c>
      <c r="O105" s="3" t="s">
        <v>30</v>
      </c>
      <c r="P105" s="3">
        <v>6888</v>
      </c>
      <c r="Q105" s="3">
        <v>1</v>
      </c>
    </row>
    <row r="106" s="3" customFormat="1" spans="1:17">
      <c r="A106" s="3" t="s">
        <v>219</v>
      </c>
      <c r="B106" s="3" t="s">
        <v>18</v>
      </c>
      <c r="C106" s="3" t="s">
        <v>230</v>
      </c>
      <c r="D106" s="3" t="s">
        <v>231</v>
      </c>
      <c r="E106" s="3" t="s">
        <v>232</v>
      </c>
      <c r="F106" s="3" t="s">
        <v>232</v>
      </c>
      <c r="G106" s="3" t="s">
        <v>22</v>
      </c>
      <c r="H106" s="3" t="s">
        <v>54</v>
      </c>
      <c r="I106" s="3" t="s">
        <v>24</v>
      </c>
      <c r="J106" s="3" t="s">
        <v>25</v>
      </c>
      <c r="K106" s="3" t="s">
        <v>26</v>
      </c>
      <c r="L106" s="3" t="s">
        <v>27</v>
      </c>
      <c r="M106" s="3" t="s">
        <v>28</v>
      </c>
      <c r="N106" s="3" t="s">
        <v>29</v>
      </c>
      <c r="O106" s="3" t="s">
        <v>30</v>
      </c>
      <c r="P106" s="3">
        <v>6598</v>
      </c>
      <c r="Q106" s="3">
        <v>1</v>
      </c>
    </row>
    <row r="107" s="3" customFormat="1" spans="1:17">
      <c r="A107" s="3" t="s">
        <v>219</v>
      </c>
      <c r="B107" s="3" t="s">
        <v>18</v>
      </c>
      <c r="C107" s="3" t="s">
        <v>230</v>
      </c>
      <c r="D107" s="3" t="s">
        <v>231</v>
      </c>
      <c r="E107" s="3" t="s">
        <v>233</v>
      </c>
      <c r="F107" s="3" t="s">
        <v>233</v>
      </c>
      <c r="G107" s="3" t="s">
        <v>22</v>
      </c>
      <c r="H107" s="3" t="s">
        <v>54</v>
      </c>
      <c r="I107" s="3" t="s">
        <v>24</v>
      </c>
      <c r="J107" s="3" t="s">
        <v>25</v>
      </c>
      <c r="K107" s="3" t="s">
        <v>26</v>
      </c>
      <c r="L107" s="3" t="s">
        <v>27</v>
      </c>
      <c r="M107" s="3" t="s">
        <v>28</v>
      </c>
      <c r="N107" s="3" t="s">
        <v>29</v>
      </c>
      <c r="O107" s="3" t="s">
        <v>30</v>
      </c>
      <c r="P107" s="3">
        <v>6598</v>
      </c>
      <c r="Q107" s="3">
        <v>1</v>
      </c>
    </row>
    <row r="108" s="3" customFormat="1" hidden="1" spans="1:17">
      <c r="A108" s="3" t="s">
        <v>219</v>
      </c>
      <c r="B108" s="3" t="s">
        <v>18</v>
      </c>
      <c r="C108" s="3" t="s">
        <v>148</v>
      </c>
      <c r="D108" s="3" t="s">
        <v>149</v>
      </c>
      <c r="E108" s="3" t="s">
        <v>234</v>
      </c>
      <c r="F108" s="3" t="s">
        <v>234</v>
      </c>
      <c r="G108" s="3" t="s">
        <v>22</v>
      </c>
      <c r="H108" s="3" t="s">
        <v>44</v>
      </c>
      <c r="I108" s="3" t="s">
        <v>24</v>
      </c>
      <c r="J108" s="3" t="s">
        <v>25</v>
      </c>
      <c r="K108" s="3" t="s">
        <v>26</v>
      </c>
      <c r="L108" s="3" t="s">
        <v>27</v>
      </c>
      <c r="M108" s="3" t="s">
        <v>28</v>
      </c>
      <c r="N108" s="3" t="s">
        <v>29</v>
      </c>
      <c r="O108" s="3" t="s">
        <v>30</v>
      </c>
      <c r="P108" s="3">
        <v>6458</v>
      </c>
      <c r="Q108" s="3">
        <v>1</v>
      </c>
    </row>
    <row r="109" s="3" customFormat="1" hidden="1" spans="1:17">
      <c r="A109" s="3" t="s">
        <v>219</v>
      </c>
      <c r="B109" s="3" t="s">
        <v>18</v>
      </c>
      <c r="C109" s="3" t="s">
        <v>148</v>
      </c>
      <c r="D109" s="3" t="s">
        <v>149</v>
      </c>
      <c r="E109" s="3" t="s">
        <v>235</v>
      </c>
      <c r="F109" s="3" t="s">
        <v>235</v>
      </c>
      <c r="G109" s="3" t="s">
        <v>22</v>
      </c>
      <c r="H109" s="3" t="s">
        <v>44</v>
      </c>
      <c r="I109" s="3" t="s">
        <v>24</v>
      </c>
      <c r="J109" s="3" t="s">
        <v>25</v>
      </c>
      <c r="K109" s="3" t="s">
        <v>26</v>
      </c>
      <c r="L109" s="3" t="s">
        <v>27</v>
      </c>
      <c r="M109" s="3" t="s">
        <v>28</v>
      </c>
      <c r="N109" s="3" t="s">
        <v>29</v>
      </c>
      <c r="O109" s="3" t="s">
        <v>30</v>
      </c>
      <c r="P109" s="3">
        <v>6458</v>
      </c>
      <c r="Q109" s="3">
        <v>1</v>
      </c>
    </row>
    <row r="110" s="3" customFormat="1" spans="1:17">
      <c r="A110" s="3" t="s">
        <v>219</v>
      </c>
      <c r="B110" s="3" t="s">
        <v>18</v>
      </c>
      <c r="C110" s="3" t="s">
        <v>236</v>
      </c>
      <c r="D110" s="3" t="s">
        <v>237</v>
      </c>
      <c r="E110" s="3" t="s">
        <v>238</v>
      </c>
      <c r="F110" s="3" t="s">
        <v>238</v>
      </c>
      <c r="G110" s="3" t="s">
        <v>22</v>
      </c>
      <c r="H110" s="3" t="s">
        <v>54</v>
      </c>
      <c r="I110" s="3" t="s">
        <v>24</v>
      </c>
      <c r="J110" s="3" t="s">
        <v>25</v>
      </c>
      <c r="K110" s="3" t="s">
        <v>26</v>
      </c>
      <c r="L110" s="3" t="s">
        <v>27</v>
      </c>
      <c r="M110" s="3" t="s">
        <v>28</v>
      </c>
      <c r="N110" s="3" t="s">
        <v>29</v>
      </c>
      <c r="O110" s="3" t="s">
        <v>30</v>
      </c>
      <c r="P110" s="3">
        <v>6158</v>
      </c>
      <c r="Q110" s="3">
        <v>1</v>
      </c>
    </row>
    <row r="111" s="3" customFormat="1" hidden="1" spans="1:17">
      <c r="A111" s="3" t="s">
        <v>219</v>
      </c>
      <c r="B111" s="3" t="s">
        <v>18</v>
      </c>
      <c r="C111" s="3" t="s">
        <v>31</v>
      </c>
      <c r="D111" s="3" t="s">
        <v>186</v>
      </c>
      <c r="E111" s="3" t="s">
        <v>239</v>
      </c>
      <c r="F111" s="3" t="s">
        <v>239</v>
      </c>
      <c r="G111" s="3" t="s">
        <v>22</v>
      </c>
      <c r="H111" s="3" t="s">
        <v>44</v>
      </c>
      <c r="I111" s="3" t="s">
        <v>24</v>
      </c>
      <c r="J111" s="3" t="s">
        <v>25</v>
      </c>
      <c r="K111" s="3" t="s">
        <v>26</v>
      </c>
      <c r="L111" s="3" t="s">
        <v>35</v>
      </c>
      <c r="M111" s="3" t="s">
        <v>28</v>
      </c>
      <c r="N111" s="3" t="s">
        <v>29</v>
      </c>
      <c r="O111" s="3" t="s">
        <v>30</v>
      </c>
      <c r="P111" s="3">
        <v>5668</v>
      </c>
      <c r="Q111" s="3">
        <v>1</v>
      </c>
    </row>
    <row r="112" s="3" customFormat="1" hidden="1" spans="1:17">
      <c r="A112" s="3" t="s">
        <v>219</v>
      </c>
      <c r="B112" s="3" t="s">
        <v>18</v>
      </c>
      <c r="C112" s="3" t="s">
        <v>31</v>
      </c>
      <c r="D112" s="3" t="s">
        <v>186</v>
      </c>
      <c r="E112" s="3" t="s">
        <v>240</v>
      </c>
      <c r="F112" s="3" t="s">
        <v>240</v>
      </c>
      <c r="G112" s="3" t="s">
        <v>22</v>
      </c>
      <c r="H112" s="3" t="s">
        <v>44</v>
      </c>
      <c r="I112" s="3" t="s">
        <v>24</v>
      </c>
      <c r="J112" s="3" t="s">
        <v>25</v>
      </c>
      <c r="K112" s="3" t="s">
        <v>26</v>
      </c>
      <c r="L112" s="3" t="s">
        <v>35</v>
      </c>
      <c r="M112" s="3" t="s">
        <v>28</v>
      </c>
      <c r="N112" s="3" t="s">
        <v>29</v>
      </c>
      <c r="O112" s="3" t="s">
        <v>30</v>
      </c>
      <c r="P112" s="3">
        <v>5668</v>
      </c>
      <c r="Q112" s="3">
        <v>1</v>
      </c>
    </row>
    <row r="113" s="3" customFormat="1" spans="1:17">
      <c r="A113" s="3" t="s">
        <v>219</v>
      </c>
      <c r="B113" s="3" t="s">
        <v>18</v>
      </c>
      <c r="C113" s="3" t="s">
        <v>75</v>
      </c>
      <c r="D113" s="3" t="s">
        <v>76</v>
      </c>
      <c r="E113" s="3" t="s">
        <v>241</v>
      </c>
      <c r="F113" s="3" t="s">
        <v>241</v>
      </c>
      <c r="G113" s="3" t="s">
        <v>22</v>
      </c>
      <c r="H113" s="3" t="s">
        <v>54</v>
      </c>
      <c r="I113" s="3" t="s">
        <v>24</v>
      </c>
      <c r="J113" s="3" t="s">
        <v>25</v>
      </c>
      <c r="K113" s="3" t="s">
        <v>26</v>
      </c>
      <c r="L113" s="3" t="s">
        <v>35</v>
      </c>
      <c r="M113" s="3" t="s">
        <v>28</v>
      </c>
      <c r="N113" s="3" t="s">
        <v>29</v>
      </c>
      <c r="O113" s="3" t="s">
        <v>30</v>
      </c>
      <c r="P113" s="3">
        <v>5568</v>
      </c>
      <c r="Q113" s="3">
        <v>1</v>
      </c>
    </row>
    <row r="114" s="3" customFormat="1" spans="1:17">
      <c r="A114" s="3" t="s">
        <v>219</v>
      </c>
      <c r="B114" s="3" t="s">
        <v>18</v>
      </c>
      <c r="C114" s="3" t="s">
        <v>75</v>
      </c>
      <c r="D114" s="3" t="s">
        <v>76</v>
      </c>
      <c r="E114" s="3" t="s">
        <v>242</v>
      </c>
      <c r="F114" s="3" t="s">
        <v>242</v>
      </c>
      <c r="G114" s="3" t="s">
        <v>22</v>
      </c>
      <c r="H114" s="3" t="s">
        <v>54</v>
      </c>
      <c r="I114" s="3" t="s">
        <v>24</v>
      </c>
      <c r="J114" s="3" t="s">
        <v>25</v>
      </c>
      <c r="K114" s="3" t="s">
        <v>26</v>
      </c>
      <c r="L114" s="3" t="s">
        <v>35</v>
      </c>
      <c r="M114" s="3" t="s">
        <v>28</v>
      </c>
      <c r="N114" s="3" t="s">
        <v>29</v>
      </c>
      <c r="O114" s="3" t="s">
        <v>30</v>
      </c>
      <c r="P114" s="3">
        <v>5568</v>
      </c>
      <c r="Q114" s="3">
        <v>1</v>
      </c>
    </row>
    <row r="115" s="3" customFormat="1" spans="1:17">
      <c r="A115" s="3" t="s">
        <v>219</v>
      </c>
      <c r="B115" s="3" t="s">
        <v>18</v>
      </c>
      <c r="C115" s="3" t="s">
        <v>41</v>
      </c>
      <c r="D115" s="3" t="s">
        <v>42</v>
      </c>
      <c r="E115" s="3" t="s">
        <v>243</v>
      </c>
      <c r="F115" s="3" t="s">
        <v>243</v>
      </c>
      <c r="G115" s="3" t="s">
        <v>22</v>
      </c>
      <c r="H115" s="3" t="s">
        <v>54</v>
      </c>
      <c r="I115" s="3" t="s">
        <v>24</v>
      </c>
      <c r="J115" s="3" t="s">
        <v>25</v>
      </c>
      <c r="K115" s="3" t="s">
        <v>45</v>
      </c>
      <c r="L115" s="3" t="s">
        <v>46</v>
      </c>
      <c r="M115" s="3" t="s">
        <v>28</v>
      </c>
      <c r="N115" s="3" t="s">
        <v>29</v>
      </c>
      <c r="O115" s="3" t="s">
        <v>30</v>
      </c>
      <c r="P115" s="3">
        <v>5148</v>
      </c>
      <c r="Q115" s="3">
        <v>1</v>
      </c>
    </row>
    <row r="116" s="3" customFormat="1" spans="1:17">
      <c r="A116" s="3" t="s">
        <v>219</v>
      </c>
      <c r="B116" s="3" t="s">
        <v>18</v>
      </c>
      <c r="C116" s="3" t="s">
        <v>41</v>
      </c>
      <c r="D116" s="3" t="s">
        <v>42</v>
      </c>
      <c r="E116" s="3" t="s">
        <v>244</v>
      </c>
      <c r="F116" s="3" t="s">
        <v>244</v>
      </c>
      <c r="G116" s="3" t="s">
        <v>22</v>
      </c>
      <c r="H116" s="3" t="s">
        <v>54</v>
      </c>
      <c r="I116" s="3" t="s">
        <v>24</v>
      </c>
      <c r="J116" s="3" t="s">
        <v>25</v>
      </c>
      <c r="K116" s="3" t="s">
        <v>45</v>
      </c>
      <c r="L116" s="3" t="s">
        <v>46</v>
      </c>
      <c r="M116" s="3" t="s">
        <v>28</v>
      </c>
      <c r="N116" s="3" t="s">
        <v>29</v>
      </c>
      <c r="O116" s="3" t="s">
        <v>30</v>
      </c>
      <c r="P116" s="3">
        <v>5148</v>
      </c>
      <c r="Q116" s="3">
        <v>1</v>
      </c>
    </row>
    <row r="117" s="3" customFormat="1" hidden="1" spans="1:17">
      <c r="A117" s="3" t="s">
        <v>219</v>
      </c>
      <c r="B117" s="3" t="s">
        <v>18</v>
      </c>
      <c r="C117" s="3" t="s">
        <v>47</v>
      </c>
      <c r="D117" s="3" t="s">
        <v>48</v>
      </c>
      <c r="E117" s="3" t="s">
        <v>245</v>
      </c>
      <c r="F117" s="3" t="s">
        <v>245</v>
      </c>
      <c r="G117" s="3" t="s">
        <v>22</v>
      </c>
      <c r="H117" s="3" t="s">
        <v>39</v>
      </c>
      <c r="I117" s="3" t="s">
        <v>24</v>
      </c>
      <c r="J117" s="3" t="s">
        <v>25</v>
      </c>
      <c r="K117" s="3" t="s">
        <v>26</v>
      </c>
      <c r="L117" s="3" t="s">
        <v>27</v>
      </c>
      <c r="M117" s="3" t="s">
        <v>28</v>
      </c>
      <c r="N117" s="3" t="s">
        <v>29</v>
      </c>
      <c r="O117" s="3" t="s">
        <v>30</v>
      </c>
      <c r="P117" s="3">
        <v>5098</v>
      </c>
      <c r="Q117" s="3">
        <v>1</v>
      </c>
    </row>
    <row r="118" s="3" customFormat="1" spans="1:17">
      <c r="A118" s="3" t="s">
        <v>219</v>
      </c>
      <c r="B118" s="3" t="s">
        <v>18</v>
      </c>
      <c r="C118" s="3" t="s">
        <v>158</v>
      </c>
      <c r="D118" s="3" t="s">
        <v>159</v>
      </c>
      <c r="E118" s="3" t="s">
        <v>246</v>
      </c>
      <c r="F118" s="3" t="s">
        <v>246</v>
      </c>
      <c r="G118" s="3" t="s">
        <v>22</v>
      </c>
      <c r="H118" s="3" t="s">
        <v>54</v>
      </c>
      <c r="I118" s="3" t="s">
        <v>24</v>
      </c>
      <c r="J118" s="3" t="s">
        <v>25</v>
      </c>
      <c r="K118" s="3" t="s">
        <v>26</v>
      </c>
      <c r="L118" s="3" t="s">
        <v>35</v>
      </c>
      <c r="M118" s="3" t="s">
        <v>28</v>
      </c>
      <c r="N118" s="3" t="s">
        <v>29</v>
      </c>
      <c r="O118" s="3" t="s">
        <v>30</v>
      </c>
      <c r="P118" s="3">
        <v>4598</v>
      </c>
      <c r="Q118" s="3">
        <v>1</v>
      </c>
    </row>
    <row r="119" s="3" customFormat="1" spans="1:17">
      <c r="A119" s="3" t="s">
        <v>219</v>
      </c>
      <c r="B119" s="3" t="s">
        <v>18</v>
      </c>
      <c r="C119" s="3" t="s">
        <v>78</v>
      </c>
      <c r="D119" s="3" t="s">
        <v>79</v>
      </c>
      <c r="E119" s="3" t="s">
        <v>247</v>
      </c>
      <c r="F119" s="3" t="s">
        <v>247</v>
      </c>
      <c r="G119" s="3" t="s">
        <v>22</v>
      </c>
      <c r="H119" s="3" t="s">
        <v>54</v>
      </c>
      <c r="I119" s="3" t="s">
        <v>24</v>
      </c>
      <c r="J119" s="3" t="s">
        <v>25</v>
      </c>
      <c r="K119" s="3" t="s">
        <v>26</v>
      </c>
      <c r="L119" s="3" t="s">
        <v>35</v>
      </c>
      <c r="M119" s="3" t="s">
        <v>28</v>
      </c>
      <c r="N119" s="3" t="s">
        <v>29</v>
      </c>
      <c r="O119" s="3" t="s">
        <v>30</v>
      </c>
      <c r="P119" s="3">
        <v>4298</v>
      </c>
      <c r="Q119" s="3">
        <v>1</v>
      </c>
    </row>
    <row r="120" s="3" customFormat="1" hidden="1" spans="1:17">
      <c r="A120" s="3" t="s">
        <v>219</v>
      </c>
      <c r="B120" s="3" t="s">
        <v>18</v>
      </c>
      <c r="C120" s="3" t="s">
        <v>78</v>
      </c>
      <c r="D120" s="3" t="s">
        <v>79</v>
      </c>
      <c r="E120" s="3" t="s">
        <v>248</v>
      </c>
      <c r="F120" s="3" t="s">
        <v>248</v>
      </c>
      <c r="G120" s="3" t="s">
        <v>22</v>
      </c>
      <c r="H120" s="3" t="s">
        <v>39</v>
      </c>
      <c r="I120" s="3" t="s">
        <v>24</v>
      </c>
      <c r="J120" s="3" t="s">
        <v>25</v>
      </c>
      <c r="K120" s="3" t="s">
        <v>26</v>
      </c>
      <c r="L120" s="3" t="s">
        <v>35</v>
      </c>
      <c r="M120" s="3" t="s">
        <v>28</v>
      </c>
      <c r="N120" s="3" t="s">
        <v>29</v>
      </c>
      <c r="O120" s="3" t="s">
        <v>30</v>
      </c>
      <c r="P120" s="3">
        <v>4298</v>
      </c>
      <c r="Q120" s="3">
        <v>1</v>
      </c>
    </row>
    <row r="121" s="3" customFormat="1" spans="1:17">
      <c r="A121" s="3" t="s">
        <v>219</v>
      </c>
      <c r="B121" s="3" t="s">
        <v>18</v>
      </c>
      <c r="C121" s="3" t="s">
        <v>66</v>
      </c>
      <c r="D121" s="3" t="s">
        <v>67</v>
      </c>
      <c r="E121" s="3" t="s">
        <v>249</v>
      </c>
      <c r="F121" s="3" t="s">
        <v>249</v>
      </c>
      <c r="G121" s="3" t="s">
        <v>22</v>
      </c>
      <c r="H121" s="3" t="s">
        <v>54</v>
      </c>
      <c r="I121" s="3" t="s">
        <v>24</v>
      </c>
      <c r="J121" s="3" t="s">
        <v>25</v>
      </c>
      <c r="K121" s="3" t="s">
        <v>26</v>
      </c>
      <c r="L121" s="3" t="s">
        <v>35</v>
      </c>
      <c r="M121" s="3" t="s">
        <v>28</v>
      </c>
      <c r="N121" s="3" t="s">
        <v>29</v>
      </c>
      <c r="O121" s="3" t="s">
        <v>30</v>
      </c>
      <c r="P121" s="3">
        <v>3968</v>
      </c>
      <c r="Q121" s="3">
        <v>1</v>
      </c>
    </row>
    <row r="122" s="3" customFormat="1" spans="1:17">
      <c r="A122" s="3" t="s">
        <v>219</v>
      </c>
      <c r="B122" s="3" t="s">
        <v>18</v>
      </c>
      <c r="C122" s="3" t="s">
        <v>66</v>
      </c>
      <c r="D122" s="3" t="s">
        <v>67</v>
      </c>
      <c r="E122" s="3" t="s">
        <v>250</v>
      </c>
      <c r="F122" s="3" t="s">
        <v>250</v>
      </c>
      <c r="G122" s="3" t="s">
        <v>22</v>
      </c>
      <c r="H122" s="3" t="s">
        <v>54</v>
      </c>
      <c r="I122" s="3" t="s">
        <v>24</v>
      </c>
      <c r="J122" s="3" t="s">
        <v>25</v>
      </c>
      <c r="K122" s="3" t="s">
        <v>26</v>
      </c>
      <c r="L122" s="3" t="s">
        <v>35</v>
      </c>
      <c r="M122" s="3" t="s">
        <v>28</v>
      </c>
      <c r="N122" s="3" t="s">
        <v>29</v>
      </c>
      <c r="O122" s="3" t="s">
        <v>30</v>
      </c>
      <c r="P122" s="3">
        <v>3968</v>
      </c>
      <c r="Q122" s="3">
        <v>1</v>
      </c>
    </row>
    <row r="123" s="3" customFormat="1" spans="1:17">
      <c r="A123" s="3" t="s">
        <v>219</v>
      </c>
      <c r="B123" s="3" t="s">
        <v>18</v>
      </c>
      <c r="C123" s="3" t="s">
        <v>66</v>
      </c>
      <c r="D123" s="3" t="s">
        <v>67</v>
      </c>
      <c r="E123" s="3" t="s">
        <v>251</v>
      </c>
      <c r="F123" s="3" t="s">
        <v>251</v>
      </c>
      <c r="G123" s="3" t="s">
        <v>22</v>
      </c>
      <c r="H123" s="3" t="s">
        <v>54</v>
      </c>
      <c r="I123" s="3" t="s">
        <v>24</v>
      </c>
      <c r="J123" s="3" t="s">
        <v>25</v>
      </c>
      <c r="K123" s="3" t="s">
        <v>26</v>
      </c>
      <c r="L123" s="3" t="s">
        <v>35</v>
      </c>
      <c r="M123" s="3" t="s">
        <v>28</v>
      </c>
      <c r="N123" s="3" t="s">
        <v>29</v>
      </c>
      <c r="O123" s="3" t="s">
        <v>30</v>
      </c>
      <c r="P123" s="3">
        <v>3968</v>
      </c>
      <c r="Q123" s="3">
        <v>1</v>
      </c>
    </row>
    <row r="124" s="3" customFormat="1" hidden="1" spans="1:17">
      <c r="A124" s="3" t="s">
        <v>219</v>
      </c>
      <c r="B124" s="3" t="s">
        <v>18</v>
      </c>
      <c r="C124" s="3" t="s">
        <v>162</v>
      </c>
      <c r="D124" s="3" t="s">
        <v>163</v>
      </c>
      <c r="E124" s="3" t="s">
        <v>252</v>
      </c>
      <c r="F124" s="3" t="s">
        <v>252</v>
      </c>
      <c r="G124" s="3" t="s">
        <v>22</v>
      </c>
      <c r="H124" s="3" t="s">
        <v>132</v>
      </c>
      <c r="I124" s="3" t="s">
        <v>24</v>
      </c>
      <c r="J124" s="3" t="s">
        <v>25</v>
      </c>
      <c r="K124" s="3" t="s">
        <v>45</v>
      </c>
      <c r="L124" s="3" t="s">
        <v>46</v>
      </c>
      <c r="M124" s="3" t="s">
        <v>28</v>
      </c>
      <c r="N124" s="3" t="s">
        <v>29</v>
      </c>
      <c r="O124" s="3" t="s">
        <v>30</v>
      </c>
      <c r="P124" s="3">
        <v>2998</v>
      </c>
      <c r="Q124" s="3">
        <v>1</v>
      </c>
    </row>
    <row r="125" s="3" customFormat="1" hidden="1" spans="1:17">
      <c r="A125" s="3" t="s">
        <v>219</v>
      </c>
      <c r="B125" s="3" t="s">
        <v>18</v>
      </c>
      <c r="C125" s="3" t="s">
        <v>162</v>
      </c>
      <c r="D125" s="3" t="s">
        <v>163</v>
      </c>
      <c r="E125" s="3" t="s">
        <v>253</v>
      </c>
      <c r="F125" s="3" t="s">
        <v>253</v>
      </c>
      <c r="G125" s="3" t="s">
        <v>22</v>
      </c>
      <c r="H125" s="3" t="s">
        <v>44</v>
      </c>
      <c r="I125" s="3" t="s">
        <v>24</v>
      </c>
      <c r="J125" s="3" t="s">
        <v>25</v>
      </c>
      <c r="K125" s="3" t="s">
        <v>45</v>
      </c>
      <c r="L125" s="3" t="s">
        <v>46</v>
      </c>
      <c r="M125" s="3" t="s">
        <v>28</v>
      </c>
      <c r="N125" s="3" t="s">
        <v>29</v>
      </c>
      <c r="O125" s="3" t="s">
        <v>30</v>
      </c>
      <c r="P125" s="3">
        <v>2998</v>
      </c>
      <c r="Q125" s="3">
        <v>1</v>
      </c>
    </row>
    <row r="126" s="3" customFormat="1" spans="1:17">
      <c r="A126" s="3" t="s">
        <v>219</v>
      </c>
      <c r="B126" s="3" t="s">
        <v>18</v>
      </c>
      <c r="C126" s="3" t="s">
        <v>162</v>
      </c>
      <c r="D126" s="3" t="s">
        <v>163</v>
      </c>
      <c r="E126" s="3" t="s">
        <v>254</v>
      </c>
      <c r="F126" s="3" t="s">
        <v>254</v>
      </c>
      <c r="G126" s="3" t="s">
        <v>22</v>
      </c>
      <c r="H126" s="3" t="s">
        <v>54</v>
      </c>
      <c r="I126" s="3" t="s">
        <v>24</v>
      </c>
      <c r="J126" s="3" t="s">
        <v>25</v>
      </c>
      <c r="K126" s="3" t="s">
        <v>45</v>
      </c>
      <c r="L126" s="3" t="s">
        <v>46</v>
      </c>
      <c r="M126" s="3" t="s">
        <v>28</v>
      </c>
      <c r="N126" s="3" t="s">
        <v>29</v>
      </c>
      <c r="O126" s="3" t="s">
        <v>30</v>
      </c>
      <c r="P126" s="3">
        <v>2998</v>
      </c>
      <c r="Q126" s="3">
        <v>1</v>
      </c>
    </row>
    <row r="127" s="3" customFormat="1" hidden="1" spans="1:17">
      <c r="A127" s="3" t="s">
        <v>219</v>
      </c>
      <c r="B127" s="3" t="s">
        <v>18</v>
      </c>
      <c r="C127" s="3" t="s">
        <v>162</v>
      </c>
      <c r="D127" s="3" t="s">
        <v>163</v>
      </c>
      <c r="E127" s="3" t="s">
        <v>255</v>
      </c>
      <c r="F127" s="3" t="s">
        <v>255</v>
      </c>
      <c r="G127" s="3" t="s">
        <v>22</v>
      </c>
      <c r="H127" s="3" t="s">
        <v>132</v>
      </c>
      <c r="I127" s="3" t="s">
        <v>24</v>
      </c>
      <c r="J127" s="3" t="s">
        <v>25</v>
      </c>
      <c r="K127" s="3" t="s">
        <v>45</v>
      </c>
      <c r="L127" s="3" t="s">
        <v>46</v>
      </c>
      <c r="M127" s="3" t="s">
        <v>28</v>
      </c>
      <c r="N127" s="3" t="s">
        <v>29</v>
      </c>
      <c r="O127" s="3" t="s">
        <v>30</v>
      </c>
      <c r="P127" s="3">
        <v>2998</v>
      </c>
      <c r="Q127" s="3">
        <v>1</v>
      </c>
    </row>
    <row r="128" s="3" customFormat="1" hidden="1" spans="1:17">
      <c r="A128" s="3" t="s">
        <v>219</v>
      </c>
      <c r="B128" s="3" t="s">
        <v>18</v>
      </c>
      <c r="C128" s="3" t="s">
        <v>162</v>
      </c>
      <c r="D128" s="3" t="s">
        <v>163</v>
      </c>
      <c r="E128" s="3" t="s">
        <v>256</v>
      </c>
      <c r="F128" s="3" t="s">
        <v>256</v>
      </c>
      <c r="G128" s="3" t="s">
        <v>22</v>
      </c>
      <c r="H128" s="3" t="s">
        <v>132</v>
      </c>
      <c r="I128" s="3" t="s">
        <v>24</v>
      </c>
      <c r="J128" s="3" t="s">
        <v>25</v>
      </c>
      <c r="K128" s="3" t="s">
        <v>45</v>
      </c>
      <c r="L128" s="3" t="s">
        <v>46</v>
      </c>
      <c r="M128" s="3" t="s">
        <v>28</v>
      </c>
      <c r="N128" s="3" t="s">
        <v>29</v>
      </c>
      <c r="O128" s="3" t="s">
        <v>30</v>
      </c>
      <c r="P128" s="3">
        <v>2998</v>
      </c>
      <c r="Q128" s="3">
        <v>1</v>
      </c>
    </row>
    <row r="129" s="3" customFormat="1" hidden="1" spans="1:17">
      <c r="A129" s="3" t="s">
        <v>219</v>
      </c>
      <c r="B129" s="3" t="s">
        <v>137</v>
      </c>
      <c r="C129" s="3" t="s">
        <v>162</v>
      </c>
      <c r="D129" s="3" t="s">
        <v>163</v>
      </c>
      <c r="E129" s="3" t="s">
        <v>257</v>
      </c>
      <c r="F129" s="3" t="s">
        <v>257</v>
      </c>
      <c r="G129" s="3" t="s">
        <v>22</v>
      </c>
      <c r="H129" s="3" t="s">
        <v>44</v>
      </c>
      <c r="I129" s="3" t="s">
        <v>24</v>
      </c>
      <c r="J129" s="3" t="s">
        <v>25</v>
      </c>
      <c r="K129" s="3" t="s">
        <v>45</v>
      </c>
      <c r="L129" s="3" t="s">
        <v>46</v>
      </c>
      <c r="M129" s="3" t="s">
        <v>28</v>
      </c>
      <c r="N129" s="3" t="s">
        <v>29</v>
      </c>
      <c r="O129" s="3" t="s">
        <v>30</v>
      </c>
      <c r="P129" s="3">
        <v>-2998</v>
      </c>
      <c r="Q129" s="3">
        <v>-1</v>
      </c>
    </row>
    <row r="130" s="3" customFormat="1" spans="1:17">
      <c r="A130" s="3" t="s">
        <v>219</v>
      </c>
      <c r="B130" s="3" t="s">
        <v>137</v>
      </c>
      <c r="C130" s="3" t="s">
        <v>71</v>
      </c>
      <c r="D130" s="3" t="s">
        <v>72</v>
      </c>
      <c r="E130" s="3" t="s">
        <v>258</v>
      </c>
      <c r="F130" s="3" t="s">
        <v>258</v>
      </c>
      <c r="G130" s="3" t="s">
        <v>22</v>
      </c>
      <c r="H130" s="3" t="s">
        <v>54</v>
      </c>
      <c r="I130" s="3" t="s">
        <v>24</v>
      </c>
      <c r="J130" s="3" t="s">
        <v>25</v>
      </c>
      <c r="K130" s="3" t="s">
        <v>26</v>
      </c>
      <c r="L130" s="3" t="s">
        <v>27</v>
      </c>
      <c r="M130" s="3" t="s">
        <v>28</v>
      </c>
      <c r="N130" s="3" t="s">
        <v>29</v>
      </c>
      <c r="O130" s="3" t="s">
        <v>30</v>
      </c>
      <c r="P130" s="3">
        <v>-7898</v>
      </c>
      <c r="Q130" s="3">
        <v>-1</v>
      </c>
    </row>
    <row r="131" s="3" customFormat="1" hidden="1" spans="1:17">
      <c r="A131" s="3" t="s">
        <v>259</v>
      </c>
      <c r="B131" s="3" t="s">
        <v>18</v>
      </c>
      <c r="C131" s="3" t="s">
        <v>51</v>
      </c>
      <c r="D131" s="3" t="s">
        <v>52</v>
      </c>
      <c r="E131" s="3" t="s">
        <v>260</v>
      </c>
      <c r="F131" s="3" t="s">
        <v>260</v>
      </c>
      <c r="G131" s="3" t="s">
        <v>22</v>
      </c>
      <c r="H131" s="3" t="s">
        <v>39</v>
      </c>
      <c r="I131" s="3" t="s">
        <v>24</v>
      </c>
      <c r="J131" s="3" t="s">
        <v>25</v>
      </c>
      <c r="K131" s="3" t="s">
        <v>45</v>
      </c>
      <c r="L131" s="3" t="s">
        <v>46</v>
      </c>
      <c r="M131" s="3" t="s">
        <v>28</v>
      </c>
      <c r="N131" s="3" t="s">
        <v>29</v>
      </c>
      <c r="O131" s="3" t="s">
        <v>30</v>
      </c>
      <c r="P131" s="3">
        <v>7588</v>
      </c>
      <c r="Q131" s="3">
        <v>1</v>
      </c>
    </row>
    <row r="132" s="3" customFormat="1" hidden="1" spans="1:17">
      <c r="A132" s="3" t="s">
        <v>259</v>
      </c>
      <c r="B132" s="3" t="s">
        <v>18</v>
      </c>
      <c r="C132" s="3" t="s">
        <v>31</v>
      </c>
      <c r="D132" s="3" t="s">
        <v>186</v>
      </c>
      <c r="E132" s="3" t="s">
        <v>261</v>
      </c>
      <c r="F132" s="3" t="s">
        <v>261</v>
      </c>
      <c r="G132" s="3" t="s">
        <v>22</v>
      </c>
      <c r="H132" s="3" t="s">
        <v>39</v>
      </c>
      <c r="I132" s="3" t="s">
        <v>24</v>
      </c>
      <c r="J132" s="3" t="s">
        <v>25</v>
      </c>
      <c r="K132" s="3" t="s">
        <v>26</v>
      </c>
      <c r="L132" s="3" t="s">
        <v>35</v>
      </c>
      <c r="M132" s="3" t="s">
        <v>28</v>
      </c>
      <c r="N132" s="3" t="s">
        <v>29</v>
      </c>
      <c r="O132" s="3" t="s">
        <v>30</v>
      </c>
      <c r="P132" s="3">
        <v>5668</v>
      </c>
      <c r="Q132" s="3">
        <v>1</v>
      </c>
    </row>
    <row r="133" s="3" customFormat="1" hidden="1" spans="1:17">
      <c r="A133" s="3" t="s">
        <v>259</v>
      </c>
      <c r="B133" s="3" t="s">
        <v>18</v>
      </c>
      <c r="C133" s="3" t="s">
        <v>31</v>
      </c>
      <c r="D133" s="3" t="s">
        <v>186</v>
      </c>
      <c r="E133" s="3" t="s">
        <v>262</v>
      </c>
      <c r="F133" s="3" t="s">
        <v>262</v>
      </c>
      <c r="G133" s="3" t="s">
        <v>22</v>
      </c>
      <c r="H133" s="3" t="s">
        <v>39</v>
      </c>
      <c r="I133" s="3" t="s">
        <v>24</v>
      </c>
      <c r="J133" s="3" t="s">
        <v>25</v>
      </c>
      <c r="K133" s="3" t="s">
        <v>26</v>
      </c>
      <c r="L133" s="3" t="s">
        <v>35</v>
      </c>
      <c r="M133" s="3" t="s">
        <v>28</v>
      </c>
      <c r="N133" s="3" t="s">
        <v>29</v>
      </c>
      <c r="O133" s="3" t="s">
        <v>30</v>
      </c>
      <c r="P133" s="3">
        <v>5668</v>
      </c>
      <c r="Q133" s="3">
        <v>1</v>
      </c>
    </row>
    <row r="134" s="3" customFormat="1" hidden="1" spans="1:17">
      <c r="A134" s="3" t="s">
        <v>259</v>
      </c>
      <c r="B134" s="3" t="s">
        <v>18</v>
      </c>
      <c r="C134" s="3" t="s">
        <v>94</v>
      </c>
      <c r="D134" s="3" t="s">
        <v>95</v>
      </c>
      <c r="E134" s="3" t="s">
        <v>263</v>
      </c>
      <c r="F134" s="3" t="s">
        <v>263</v>
      </c>
      <c r="G134" s="3" t="s">
        <v>22</v>
      </c>
      <c r="H134" s="3" t="s">
        <v>39</v>
      </c>
      <c r="I134" s="3" t="s">
        <v>24</v>
      </c>
      <c r="J134" s="3" t="s">
        <v>25</v>
      </c>
      <c r="K134" s="3" t="s">
        <v>45</v>
      </c>
      <c r="L134" s="3" t="s">
        <v>46</v>
      </c>
      <c r="M134" s="3" t="s">
        <v>28</v>
      </c>
      <c r="N134" s="3" t="s">
        <v>29</v>
      </c>
      <c r="O134" s="3" t="s">
        <v>30</v>
      </c>
      <c r="P134" s="3">
        <v>5348</v>
      </c>
      <c r="Q134" s="3">
        <v>1</v>
      </c>
    </row>
    <row r="135" s="3" customFormat="1" hidden="1" spans="1:17">
      <c r="A135" s="3" t="s">
        <v>259</v>
      </c>
      <c r="B135" s="3" t="s">
        <v>18</v>
      </c>
      <c r="C135" s="3" t="s">
        <v>47</v>
      </c>
      <c r="D135" s="3" t="s">
        <v>48</v>
      </c>
      <c r="E135" s="3" t="s">
        <v>264</v>
      </c>
      <c r="F135" s="3" t="s">
        <v>264</v>
      </c>
      <c r="G135" s="3" t="s">
        <v>22</v>
      </c>
      <c r="H135" s="3" t="s">
        <v>44</v>
      </c>
      <c r="I135" s="3" t="s">
        <v>24</v>
      </c>
      <c r="J135" s="3" t="s">
        <v>25</v>
      </c>
      <c r="K135" s="3" t="s">
        <v>26</v>
      </c>
      <c r="L135" s="3" t="s">
        <v>27</v>
      </c>
      <c r="M135" s="3" t="s">
        <v>28</v>
      </c>
      <c r="N135" s="3" t="s">
        <v>29</v>
      </c>
      <c r="O135" s="3" t="s">
        <v>30</v>
      </c>
      <c r="P135" s="3">
        <v>5098</v>
      </c>
      <c r="Q135" s="3">
        <v>1</v>
      </c>
    </row>
    <row r="136" s="3" customFormat="1" hidden="1" spans="1:17">
      <c r="A136" s="3" t="s">
        <v>259</v>
      </c>
      <c r="B136" s="3" t="s">
        <v>18</v>
      </c>
      <c r="C136" s="3" t="s">
        <v>66</v>
      </c>
      <c r="D136" s="3" t="s">
        <v>67</v>
      </c>
      <c r="E136" s="3" t="s">
        <v>265</v>
      </c>
      <c r="F136" s="3" t="s">
        <v>265</v>
      </c>
      <c r="G136" s="3" t="s">
        <v>22</v>
      </c>
      <c r="H136" s="3" t="s">
        <v>69</v>
      </c>
      <c r="I136" s="3" t="s">
        <v>24</v>
      </c>
      <c r="J136" s="3" t="s">
        <v>25</v>
      </c>
      <c r="K136" s="3" t="s">
        <v>26</v>
      </c>
      <c r="L136" s="3" t="s">
        <v>35</v>
      </c>
      <c r="M136" s="3" t="s">
        <v>28</v>
      </c>
      <c r="N136" s="3" t="s">
        <v>29</v>
      </c>
      <c r="O136" s="3" t="s">
        <v>30</v>
      </c>
      <c r="P136" s="3">
        <v>3968</v>
      </c>
      <c r="Q136" s="3">
        <v>1</v>
      </c>
    </row>
    <row r="137" s="3" customFormat="1" hidden="1" spans="1:17">
      <c r="A137" s="3" t="s">
        <v>259</v>
      </c>
      <c r="B137" s="3" t="s">
        <v>18</v>
      </c>
      <c r="C137" s="3" t="s">
        <v>66</v>
      </c>
      <c r="D137" s="3" t="s">
        <v>67</v>
      </c>
      <c r="E137" s="3" t="s">
        <v>266</v>
      </c>
      <c r="F137" s="3" t="s">
        <v>266</v>
      </c>
      <c r="G137" s="3" t="s">
        <v>22</v>
      </c>
      <c r="H137" s="3" t="s">
        <v>69</v>
      </c>
      <c r="I137" s="3" t="s">
        <v>24</v>
      </c>
      <c r="J137" s="3" t="s">
        <v>25</v>
      </c>
      <c r="K137" s="3" t="s">
        <v>26</v>
      </c>
      <c r="L137" s="3" t="s">
        <v>35</v>
      </c>
      <c r="M137" s="3" t="s">
        <v>28</v>
      </c>
      <c r="N137" s="3" t="s">
        <v>29</v>
      </c>
      <c r="O137" s="3" t="s">
        <v>30</v>
      </c>
      <c r="P137" s="3">
        <v>3968</v>
      </c>
      <c r="Q137" s="3">
        <v>1</v>
      </c>
    </row>
    <row r="138" s="3" customFormat="1" hidden="1" spans="1:17">
      <c r="A138" s="3" t="s">
        <v>267</v>
      </c>
      <c r="B138" s="3" t="s">
        <v>18</v>
      </c>
      <c r="C138" s="3" t="s">
        <v>268</v>
      </c>
      <c r="D138" s="3" t="s">
        <v>269</v>
      </c>
      <c r="E138" s="3" t="s">
        <v>270</v>
      </c>
      <c r="F138" s="3" t="s">
        <v>270</v>
      </c>
      <c r="G138" s="3" t="s">
        <v>22</v>
      </c>
      <c r="H138" s="3" t="s">
        <v>44</v>
      </c>
      <c r="I138" s="3" t="s">
        <v>24</v>
      </c>
      <c r="J138" s="3" t="s">
        <v>25</v>
      </c>
      <c r="K138" s="3" t="s">
        <v>26</v>
      </c>
      <c r="L138" s="3" t="s">
        <v>27</v>
      </c>
      <c r="M138" s="3" t="s">
        <v>28</v>
      </c>
      <c r="N138" s="3" t="s">
        <v>29</v>
      </c>
      <c r="O138" s="3" t="s">
        <v>30</v>
      </c>
      <c r="P138" s="3">
        <v>12698</v>
      </c>
      <c r="Q138" s="3">
        <v>1</v>
      </c>
    </row>
    <row r="139" s="3" customFormat="1" hidden="1" spans="1:17">
      <c r="A139" s="3" t="s">
        <v>267</v>
      </c>
      <c r="B139" s="3" t="s">
        <v>18</v>
      </c>
      <c r="C139" s="3" t="s">
        <v>51</v>
      </c>
      <c r="D139" s="3" t="s">
        <v>52</v>
      </c>
      <c r="E139" s="3" t="s">
        <v>271</v>
      </c>
      <c r="F139" s="3" t="s">
        <v>271</v>
      </c>
      <c r="G139" s="3" t="s">
        <v>22</v>
      </c>
      <c r="H139" s="3" t="s">
        <v>39</v>
      </c>
      <c r="I139" s="3" t="s">
        <v>24</v>
      </c>
      <c r="J139" s="3" t="s">
        <v>25</v>
      </c>
      <c r="K139" s="3" t="s">
        <v>45</v>
      </c>
      <c r="L139" s="3" t="s">
        <v>46</v>
      </c>
      <c r="M139" s="3" t="s">
        <v>28</v>
      </c>
      <c r="N139" s="3" t="s">
        <v>29</v>
      </c>
      <c r="O139" s="3" t="s">
        <v>30</v>
      </c>
      <c r="P139" s="3">
        <v>7588</v>
      </c>
      <c r="Q139" s="3">
        <v>1</v>
      </c>
    </row>
    <row r="140" s="3" customFormat="1" hidden="1" spans="1:17">
      <c r="A140" s="3" t="s">
        <v>267</v>
      </c>
      <c r="B140" s="3" t="s">
        <v>18</v>
      </c>
      <c r="C140" s="3" t="s">
        <v>51</v>
      </c>
      <c r="D140" s="3" t="s">
        <v>52</v>
      </c>
      <c r="E140" s="3" t="s">
        <v>272</v>
      </c>
      <c r="F140" s="3" t="s">
        <v>272</v>
      </c>
      <c r="G140" s="3" t="s">
        <v>22</v>
      </c>
      <c r="H140" s="3" t="s">
        <v>44</v>
      </c>
      <c r="I140" s="3" t="s">
        <v>24</v>
      </c>
      <c r="J140" s="3" t="s">
        <v>25</v>
      </c>
      <c r="K140" s="3" t="s">
        <v>45</v>
      </c>
      <c r="L140" s="3" t="s">
        <v>46</v>
      </c>
      <c r="M140" s="3" t="s">
        <v>28</v>
      </c>
      <c r="N140" s="3" t="s">
        <v>29</v>
      </c>
      <c r="O140" s="3" t="s">
        <v>30</v>
      </c>
      <c r="P140" s="3">
        <v>7588</v>
      </c>
      <c r="Q140" s="3">
        <v>1</v>
      </c>
    </row>
    <row r="141" s="3" customFormat="1" hidden="1" spans="1:17">
      <c r="A141" s="3" t="s">
        <v>267</v>
      </c>
      <c r="B141" s="3" t="s">
        <v>18</v>
      </c>
      <c r="C141" s="3" t="s">
        <v>273</v>
      </c>
      <c r="D141" s="3" t="s">
        <v>274</v>
      </c>
      <c r="E141" s="3" t="s">
        <v>275</v>
      </c>
      <c r="F141" s="3" t="s">
        <v>275</v>
      </c>
      <c r="G141" s="3" t="s">
        <v>22</v>
      </c>
      <c r="H141" s="3" t="s">
        <v>39</v>
      </c>
      <c r="I141" s="3" t="s">
        <v>24</v>
      </c>
      <c r="J141" s="3" t="s">
        <v>25</v>
      </c>
      <c r="K141" s="3" t="s">
        <v>26</v>
      </c>
      <c r="L141" s="3" t="s">
        <v>27</v>
      </c>
      <c r="M141" s="3" t="s">
        <v>28</v>
      </c>
      <c r="N141" s="3" t="s">
        <v>29</v>
      </c>
      <c r="O141" s="3" t="s">
        <v>30</v>
      </c>
      <c r="P141" s="3">
        <v>7458</v>
      </c>
      <c r="Q141" s="3">
        <v>1</v>
      </c>
    </row>
    <row r="142" s="3" customFormat="1" hidden="1" spans="1:17">
      <c r="A142" s="3" t="s">
        <v>267</v>
      </c>
      <c r="B142" s="3" t="s">
        <v>18</v>
      </c>
      <c r="C142" s="3" t="s">
        <v>172</v>
      </c>
      <c r="D142" s="3" t="s">
        <v>173</v>
      </c>
      <c r="E142" s="3" t="s">
        <v>276</v>
      </c>
      <c r="F142" s="3" t="s">
        <v>276</v>
      </c>
      <c r="G142" s="3" t="s">
        <v>22</v>
      </c>
      <c r="H142" s="3" t="s">
        <v>39</v>
      </c>
      <c r="I142" s="3" t="s">
        <v>24</v>
      </c>
      <c r="J142" s="3" t="s">
        <v>25</v>
      </c>
      <c r="K142" s="3" t="s">
        <v>26</v>
      </c>
      <c r="L142" s="3" t="s">
        <v>27</v>
      </c>
      <c r="M142" s="3" t="s">
        <v>28</v>
      </c>
      <c r="N142" s="3" t="s">
        <v>29</v>
      </c>
      <c r="O142" s="3" t="s">
        <v>30</v>
      </c>
      <c r="P142" s="3">
        <v>6888</v>
      </c>
      <c r="Q142" s="3">
        <v>1</v>
      </c>
    </row>
    <row r="143" s="3" customFormat="1" hidden="1" spans="1:17">
      <c r="A143" s="3" t="s">
        <v>267</v>
      </c>
      <c r="B143" s="3" t="s">
        <v>18</v>
      </c>
      <c r="C143" s="3" t="s">
        <v>133</v>
      </c>
      <c r="D143" s="3" t="s">
        <v>134</v>
      </c>
      <c r="E143" s="3" t="s">
        <v>277</v>
      </c>
      <c r="F143" s="3" t="s">
        <v>277</v>
      </c>
      <c r="G143" s="3" t="s">
        <v>22</v>
      </c>
      <c r="H143" s="3" t="s">
        <v>39</v>
      </c>
      <c r="I143" s="3" t="s">
        <v>24</v>
      </c>
      <c r="J143" s="3" t="s">
        <v>25</v>
      </c>
      <c r="K143" s="3" t="s">
        <v>26</v>
      </c>
      <c r="L143" s="3" t="s">
        <v>27</v>
      </c>
      <c r="M143" s="3" t="s">
        <v>28</v>
      </c>
      <c r="N143" s="3" t="s">
        <v>29</v>
      </c>
      <c r="O143" s="3" t="s">
        <v>30</v>
      </c>
      <c r="P143" s="3">
        <v>5698</v>
      </c>
      <c r="Q143" s="3">
        <v>1</v>
      </c>
    </row>
    <row r="144" s="3" customFormat="1" hidden="1" spans="1:17">
      <c r="A144" s="3" t="s">
        <v>267</v>
      </c>
      <c r="B144" s="3" t="s">
        <v>18</v>
      </c>
      <c r="C144" s="3" t="s">
        <v>133</v>
      </c>
      <c r="D144" s="3" t="s">
        <v>134</v>
      </c>
      <c r="E144" s="3" t="s">
        <v>278</v>
      </c>
      <c r="F144" s="3" t="s">
        <v>278</v>
      </c>
      <c r="G144" s="3" t="s">
        <v>22</v>
      </c>
      <c r="H144" s="3" t="s">
        <v>39</v>
      </c>
      <c r="I144" s="3" t="s">
        <v>24</v>
      </c>
      <c r="J144" s="3" t="s">
        <v>25</v>
      </c>
      <c r="K144" s="3" t="s">
        <v>26</v>
      </c>
      <c r="L144" s="3" t="s">
        <v>27</v>
      </c>
      <c r="M144" s="3" t="s">
        <v>28</v>
      </c>
      <c r="N144" s="3" t="s">
        <v>29</v>
      </c>
      <c r="O144" s="3" t="s">
        <v>30</v>
      </c>
      <c r="P144" s="3">
        <v>5698</v>
      </c>
      <c r="Q144" s="3">
        <v>1</v>
      </c>
    </row>
    <row r="145" s="3" customFormat="1" hidden="1" spans="1:17">
      <c r="A145" s="3" t="s">
        <v>267</v>
      </c>
      <c r="B145" s="3" t="s">
        <v>18</v>
      </c>
      <c r="C145" s="3" t="s">
        <v>133</v>
      </c>
      <c r="D145" s="3" t="s">
        <v>134</v>
      </c>
      <c r="E145" s="3" t="s">
        <v>279</v>
      </c>
      <c r="F145" s="3" t="s">
        <v>279</v>
      </c>
      <c r="G145" s="3" t="s">
        <v>22</v>
      </c>
      <c r="H145" s="3" t="s">
        <v>39</v>
      </c>
      <c r="I145" s="3" t="s">
        <v>24</v>
      </c>
      <c r="J145" s="3" t="s">
        <v>25</v>
      </c>
      <c r="K145" s="3" t="s">
        <v>26</v>
      </c>
      <c r="L145" s="3" t="s">
        <v>27</v>
      </c>
      <c r="M145" s="3" t="s">
        <v>28</v>
      </c>
      <c r="N145" s="3" t="s">
        <v>29</v>
      </c>
      <c r="O145" s="3" t="s">
        <v>30</v>
      </c>
      <c r="P145" s="3">
        <v>5698</v>
      </c>
      <c r="Q145" s="3">
        <v>1</v>
      </c>
    </row>
    <row r="146" s="3" customFormat="1" hidden="1" spans="1:17">
      <c r="A146" s="3" t="s">
        <v>267</v>
      </c>
      <c r="B146" s="3" t="s">
        <v>18</v>
      </c>
      <c r="C146" s="3" t="s">
        <v>133</v>
      </c>
      <c r="D146" s="3" t="s">
        <v>134</v>
      </c>
      <c r="E146" s="3" t="s">
        <v>280</v>
      </c>
      <c r="F146" s="3" t="s">
        <v>280</v>
      </c>
      <c r="G146" s="3" t="s">
        <v>22</v>
      </c>
      <c r="H146" s="3" t="s">
        <v>39</v>
      </c>
      <c r="I146" s="3" t="s">
        <v>24</v>
      </c>
      <c r="J146" s="3" t="s">
        <v>25</v>
      </c>
      <c r="K146" s="3" t="s">
        <v>26</v>
      </c>
      <c r="L146" s="3" t="s">
        <v>27</v>
      </c>
      <c r="M146" s="3" t="s">
        <v>28</v>
      </c>
      <c r="N146" s="3" t="s">
        <v>29</v>
      </c>
      <c r="O146" s="3" t="s">
        <v>30</v>
      </c>
      <c r="P146" s="3">
        <v>5698</v>
      </c>
      <c r="Q146" s="3">
        <v>1</v>
      </c>
    </row>
    <row r="147" s="3" customFormat="1" hidden="1" spans="1:17">
      <c r="A147" s="3" t="s">
        <v>267</v>
      </c>
      <c r="B147" s="3" t="s">
        <v>18</v>
      </c>
      <c r="C147" s="3" t="s">
        <v>133</v>
      </c>
      <c r="D147" s="3" t="s">
        <v>134</v>
      </c>
      <c r="E147" s="3" t="s">
        <v>281</v>
      </c>
      <c r="F147" s="3" t="s">
        <v>281</v>
      </c>
      <c r="G147" s="3" t="s">
        <v>22</v>
      </c>
      <c r="H147" s="3" t="s">
        <v>39</v>
      </c>
      <c r="I147" s="3" t="s">
        <v>24</v>
      </c>
      <c r="J147" s="3" t="s">
        <v>25</v>
      </c>
      <c r="K147" s="3" t="s">
        <v>26</v>
      </c>
      <c r="L147" s="3" t="s">
        <v>27</v>
      </c>
      <c r="M147" s="3" t="s">
        <v>28</v>
      </c>
      <c r="N147" s="3" t="s">
        <v>29</v>
      </c>
      <c r="O147" s="3" t="s">
        <v>30</v>
      </c>
      <c r="P147" s="3">
        <v>5698</v>
      </c>
      <c r="Q147" s="3">
        <v>1</v>
      </c>
    </row>
    <row r="148" s="3" customFormat="1" hidden="1" spans="1:17">
      <c r="A148" s="3" t="s">
        <v>267</v>
      </c>
      <c r="B148" s="3" t="s">
        <v>18</v>
      </c>
      <c r="C148" s="3" t="s">
        <v>75</v>
      </c>
      <c r="D148" s="3" t="s">
        <v>76</v>
      </c>
      <c r="E148" s="3" t="s">
        <v>282</v>
      </c>
      <c r="F148" s="3" t="s">
        <v>282</v>
      </c>
      <c r="G148" s="3" t="s">
        <v>22</v>
      </c>
      <c r="H148" s="3" t="s">
        <v>44</v>
      </c>
      <c r="I148" s="3" t="s">
        <v>24</v>
      </c>
      <c r="J148" s="3" t="s">
        <v>25</v>
      </c>
      <c r="K148" s="3" t="s">
        <v>26</v>
      </c>
      <c r="L148" s="3" t="s">
        <v>35</v>
      </c>
      <c r="M148" s="3" t="s">
        <v>28</v>
      </c>
      <c r="N148" s="3" t="s">
        <v>29</v>
      </c>
      <c r="O148" s="3" t="s">
        <v>30</v>
      </c>
      <c r="P148" s="3">
        <v>5568</v>
      </c>
      <c r="Q148" s="3">
        <v>1</v>
      </c>
    </row>
    <row r="149" s="3" customFormat="1" hidden="1" spans="1:17">
      <c r="A149" s="3" t="s">
        <v>267</v>
      </c>
      <c r="B149" s="3" t="s">
        <v>18</v>
      </c>
      <c r="C149" s="3" t="s">
        <v>94</v>
      </c>
      <c r="D149" s="3" t="s">
        <v>95</v>
      </c>
      <c r="E149" s="3" t="s">
        <v>283</v>
      </c>
      <c r="F149" s="3" t="s">
        <v>283</v>
      </c>
      <c r="G149" s="3" t="s">
        <v>22</v>
      </c>
      <c r="H149" s="3" t="s">
        <v>44</v>
      </c>
      <c r="I149" s="3" t="s">
        <v>24</v>
      </c>
      <c r="J149" s="3" t="s">
        <v>25</v>
      </c>
      <c r="K149" s="3" t="s">
        <v>45</v>
      </c>
      <c r="L149" s="3" t="s">
        <v>46</v>
      </c>
      <c r="M149" s="3" t="s">
        <v>28</v>
      </c>
      <c r="N149" s="3" t="s">
        <v>29</v>
      </c>
      <c r="O149" s="3" t="s">
        <v>30</v>
      </c>
      <c r="P149" s="3">
        <v>5348</v>
      </c>
      <c r="Q149" s="3">
        <v>1</v>
      </c>
    </row>
    <row r="150" s="3" customFormat="1" hidden="1" spans="1:17">
      <c r="A150" s="3" t="s">
        <v>267</v>
      </c>
      <c r="B150" s="3" t="s">
        <v>18</v>
      </c>
      <c r="C150" s="3" t="s">
        <v>94</v>
      </c>
      <c r="D150" s="3" t="s">
        <v>95</v>
      </c>
      <c r="E150" s="3" t="s">
        <v>284</v>
      </c>
      <c r="F150" s="3" t="s">
        <v>284</v>
      </c>
      <c r="G150" s="3" t="s">
        <v>22</v>
      </c>
      <c r="H150" s="3" t="s">
        <v>44</v>
      </c>
      <c r="I150" s="3" t="s">
        <v>24</v>
      </c>
      <c r="J150" s="3" t="s">
        <v>25</v>
      </c>
      <c r="K150" s="3" t="s">
        <v>45</v>
      </c>
      <c r="L150" s="3" t="s">
        <v>46</v>
      </c>
      <c r="M150" s="3" t="s">
        <v>28</v>
      </c>
      <c r="N150" s="3" t="s">
        <v>29</v>
      </c>
      <c r="O150" s="3" t="s">
        <v>30</v>
      </c>
      <c r="P150" s="3">
        <v>5348</v>
      </c>
      <c r="Q150" s="3">
        <v>1</v>
      </c>
    </row>
    <row r="151" s="3" customFormat="1" hidden="1" spans="1:17">
      <c r="A151" s="3" t="s">
        <v>267</v>
      </c>
      <c r="B151" s="3" t="s">
        <v>18</v>
      </c>
      <c r="C151" s="3" t="s">
        <v>41</v>
      </c>
      <c r="D151" s="3" t="s">
        <v>42</v>
      </c>
      <c r="E151" s="3" t="s">
        <v>285</v>
      </c>
      <c r="F151" s="3" t="s">
        <v>285</v>
      </c>
      <c r="G151" s="3" t="s">
        <v>22</v>
      </c>
      <c r="H151" s="3" t="s">
        <v>39</v>
      </c>
      <c r="I151" s="3" t="s">
        <v>24</v>
      </c>
      <c r="J151" s="3" t="s">
        <v>25</v>
      </c>
      <c r="K151" s="3" t="s">
        <v>45</v>
      </c>
      <c r="L151" s="3" t="s">
        <v>46</v>
      </c>
      <c r="M151" s="3" t="s">
        <v>28</v>
      </c>
      <c r="N151" s="3" t="s">
        <v>29</v>
      </c>
      <c r="O151" s="3" t="s">
        <v>30</v>
      </c>
      <c r="P151" s="3">
        <v>5148</v>
      </c>
      <c r="Q151" s="3">
        <v>1</v>
      </c>
    </row>
    <row r="152" s="3" customFormat="1" hidden="1" spans="1:17">
      <c r="A152" s="3" t="s">
        <v>267</v>
      </c>
      <c r="B152" s="3" t="s">
        <v>18</v>
      </c>
      <c r="C152" s="3" t="s">
        <v>162</v>
      </c>
      <c r="D152" s="3" t="s">
        <v>163</v>
      </c>
      <c r="E152" s="3" t="s">
        <v>257</v>
      </c>
      <c r="F152" s="3" t="s">
        <v>257</v>
      </c>
      <c r="G152" s="3" t="s">
        <v>22</v>
      </c>
      <c r="H152" s="3" t="s">
        <v>44</v>
      </c>
      <c r="I152" s="3" t="s">
        <v>24</v>
      </c>
      <c r="J152" s="3" t="s">
        <v>25</v>
      </c>
      <c r="K152" s="3" t="s">
        <v>45</v>
      </c>
      <c r="L152" s="3" t="s">
        <v>46</v>
      </c>
      <c r="M152" s="3" t="s">
        <v>28</v>
      </c>
      <c r="N152" s="3" t="s">
        <v>29</v>
      </c>
      <c r="O152" s="3" t="s">
        <v>30</v>
      </c>
      <c r="P152" s="3">
        <v>2998</v>
      </c>
      <c r="Q152" s="3">
        <v>1</v>
      </c>
    </row>
    <row r="153" s="3" customFormat="1" hidden="1" spans="1:17">
      <c r="A153" s="3" t="s">
        <v>267</v>
      </c>
      <c r="B153" s="3" t="s">
        <v>137</v>
      </c>
      <c r="C153" s="3" t="s">
        <v>172</v>
      </c>
      <c r="D153" s="3" t="s">
        <v>173</v>
      </c>
      <c r="E153" s="3" t="s">
        <v>286</v>
      </c>
      <c r="F153" s="3" t="s">
        <v>286</v>
      </c>
      <c r="G153" s="3" t="s">
        <v>22</v>
      </c>
      <c r="H153" s="3" t="s">
        <v>39</v>
      </c>
      <c r="I153" s="3" t="s">
        <v>24</v>
      </c>
      <c r="J153" s="3" t="s">
        <v>25</v>
      </c>
      <c r="K153" s="3" t="s">
        <v>26</v>
      </c>
      <c r="L153" s="3" t="s">
        <v>27</v>
      </c>
      <c r="M153" s="3" t="s">
        <v>28</v>
      </c>
      <c r="N153" s="3" t="s">
        <v>29</v>
      </c>
      <c r="O153" s="3" t="s">
        <v>30</v>
      </c>
      <c r="P153" s="3">
        <v>-6888</v>
      </c>
      <c r="Q153" s="3">
        <v>-1</v>
      </c>
    </row>
    <row r="154" s="3" customFormat="1" hidden="1" spans="1:17">
      <c r="A154" s="3" t="s">
        <v>287</v>
      </c>
      <c r="B154" s="3" t="s">
        <v>18</v>
      </c>
      <c r="C154" s="3" t="s">
        <v>51</v>
      </c>
      <c r="D154" s="3" t="s">
        <v>52</v>
      </c>
      <c r="E154" s="3" t="s">
        <v>288</v>
      </c>
      <c r="F154" s="3" t="s">
        <v>288</v>
      </c>
      <c r="G154" s="3" t="s">
        <v>22</v>
      </c>
      <c r="H154" s="3" t="s">
        <v>69</v>
      </c>
      <c r="I154" s="3" t="s">
        <v>24</v>
      </c>
      <c r="J154" s="3" t="s">
        <v>25</v>
      </c>
      <c r="K154" s="3" t="s">
        <v>45</v>
      </c>
      <c r="L154" s="3" t="s">
        <v>46</v>
      </c>
      <c r="M154" s="3" t="s">
        <v>28</v>
      </c>
      <c r="N154" s="3" t="s">
        <v>29</v>
      </c>
      <c r="O154" s="3" t="s">
        <v>30</v>
      </c>
      <c r="P154" s="3">
        <v>7588</v>
      </c>
      <c r="Q154" s="3">
        <v>1</v>
      </c>
    </row>
    <row r="155" s="3" customFormat="1" hidden="1" spans="1:17">
      <c r="A155" s="3" t="s">
        <v>287</v>
      </c>
      <c r="B155" s="3" t="s">
        <v>18</v>
      </c>
      <c r="C155" s="3" t="s">
        <v>172</v>
      </c>
      <c r="D155" s="3" t="s">
        <v>173</v>
      </c>
      <c r="E155" s="3" t="s">
        <v>289</v>
      </c>
      <c r="F155" s="3" t="s">
        <v>289</v>
      </c>
      <c r="G155" s="3" t="s">
        <v>22</v>
      </c>
      <c r="H155" s="3" t="s">
        <v>112</v>
      </c>
      <c r="I155" s="3" t="s">
        <v>24</v>
      </c>
      <c r="J155" s="3" t="s">
        <v>25</v>
      </c>
      <c r="K155" s="3" t="s">
        <v>26</v>
      </c>
      <c r="L155" s="3" t="s">
        <v>27</v>
      </c>
      <c r="M155" s="3" t="s">
        <v>28</v>
      </c>
      <c r="N155" s="3" t="s">
        <v>29</v>
      </c>
      <c r="O155" s="3" t="s">
        <v>30</v>
      </c>
      <c r="P155" s="3">
        <v>6888</v>
      </c>
      <c r="Q155" s="3">
        <v>1</v>
      </c>
    </row>
    <row r="156" s="3" customFormat="1" spans="1:17">
      <c r="A156" s="3" t="s">
        <v>290</v>
      </c>
      <c r="B156" s="3" t="s">
        <v>18</v>
      </c>
      <c r="C156" s="3" t="s">
        <v>51</v>
      </c>
      <c r="D156" s="3" t="s">
        <v>52</v>
      </c>
      <c r="E156" s="3" t="s">
        <v>291</v>
      </c>
      <c r="F156" s="3" t="s">
        <v>291</v>
      </c>
      <c r="G156" s="3" t="s">
        <v>22</v>
      </c>
      <c r="H156" s="3" t="s">
        <v>93</v>
      </c>
      <c r="I156" s="3" t="s">
        <v>24</v>
      </c>
      <c r="J156" s="3" t="s">
        <v>25</v>
      </c>
      <c r="K156" s="3" t="s">
        <v>45</v>
      </c>
      <c r="L156" s="3" t="s">
        <v>46</v>
      </c>
      <c r="M156" s="3" t="s">
        <v>28</v>
      </c>
      <c r="N156" s="3" t="s">
        <v>29</v>
      </c>
      <c r="O156" s="3" t="s">
        <v>30</v>
      </c>
      <c r="P156" s="3">
        <v>7588</v>
      </c>
      <c r="Q156" s="3">
        <v>1</v>
      </c>
    </row>
    <row r="157" s="3" customFormat="1" hidden="1" spans="1:17">
      <c r="A157" s="3" t="s">
        <v>290</v>
      </c>
      <c r="B157" s="3" t="s">
        <v>18</v>
      </c>
      <c r="C157" s="3" t="s">
        <v>47</v>
      </c>
      <c r="D157" s="3" t="s">
        <v>48</v>
      </c>
      <c r="E157" s="3" t="s">
        <v>292</v>
      </c>
      <c r="F157" s="3" t="s">
        <v>292</v>
      </c>
      <c r="G157" s="3" t="s">
        <v>22</v>
      </c>
      <c r="H157" s="3" t="s">
        <v>39</v>
      </c>
      <c r="I157" s="3" t="s">
        <v>24</v>
      </c>
      <c r="J157" s="3" t="s">
        <v>25</v>
      </c>
      <c r="K157" s="3" t="s">
        <v>26</v>
      </c>
      <c r="L157" s="3" t="s">
        <v>27</v>
      </c>
      <c r="M157" s="3" t="s">
        <v>28</v>
      </c>
      <c r="N157" s="3" t="s">
        <v>29</v>
      </c>
      <c r="O157" s="3" t="s">
        <v>30</v>
      </c>
      <c r="P157" s="3">
        <v>5098</v>
      </c>
      <c r="Q157" s="3">
        <v>1</v>
      </c>
    </row>
    <row r="158" s="3" customFormat="1" spans="1:17">
      <c r="A158" s="3" t="s">
        <v>290</v>
      </c>
      <c r="B158" s="3" t="s">
        <v>18</v>
      </c>
      <c r="C158" s="3" t="s">
        <v>162</v>
      </c>
      <c r="D158" s="3" t="s">
        <v>163</v>
      </c>
      <c r="E158" s="3" t="s">
        <v>293</v>
      </c>
      <c r="F158" s="3" t="s">
        <v>293</v>
      </c>
      <c r="G158" s="3" t="s">
        <v>22</v>
      </c>
      <c r="H158" s="3" t="s">
        <v>93</v>
      </c>
      <c r="I158" s="3" t="s">
        <v>24</v>
      </c>
      <c r="J158" s="3" t="s">
        <v>25</v>
      </c>
      <c r="K158" s="3" t="s">
        <v>45</v>
      </c>
      <c r="L158" s="3" t="s">
        <v>46</v>
      </c>
      <c r="M158" s="3" t="s">
        <v>28</v>
      </c>
      <c r="N158" s="3" t="s">
        <v>29</v>
      </c>
      <c r="O158" s="3" t="s">
        <v>30</v>
      </c>
      <c r="P158" s="3">
        <v>2998</v>
      </c>
      <c r="Q158" s="3">
        <v>1</v>
      </c>
    </row>
    <row r="159" s="3" customFormat="1" spans="1:17">
      <c r="A159" s="3" t="s">
        <v>294</v>
      </c>
      <c r="B159" s="3" t="s">
        <v>18</v>
      </c>
      <c r="C159" s="3" t="s">
        <v>172</v>
      </c>
      <c r="D159" s="3" t="s">
        <v>173</v>
      </c>
      <c r="E159" s="3" t="s">
        <v>218</v>
      </c>
      <c r="F159" s="3" t="s">
        <v>218</v>
      </c>
      <c r="G159" s="3" t="s">
        <v>22</v>
      </c>
      <c r="H159" s="3" t="s">
        <v>54</v>
      </c>
      <c r="I159" s="3" t="s">
        <v>24</v>
      </c>
      <c r="J159" s="3" t="s">
        <v>25</v>
      </c>
      <c r="K159" s="3" t="s">
        <v>26</v>
      </c>
      <c r="L159" s="3" t="s">
        <v>27</v>
      </c>
      <c r="M159" s="3" t="s">
        <v>28</v>
      </c>
      <c r="N159" s="3" t="s">
        <v>29</v>
      </c>
      <c r="O159" s="3" t="s">
        <v>30</v>
      </c>
      <c r="P159" s="3">
        <v>6888</v>
      </c>
      <c r="Q159" s="3">
        <v>1</v>
      </c>
    </row>
  </sheetData>
  <autoFilter xmlns:etc="http://www.wps.cn/officeDocument/2017/etCustomData" ref="A1:Q159" etc:filterBottomFollowUsedRange="0">
    <filterColumn colId="7">
      <filters>
        <filter val="京东五星电器金华店"/>
        <filter val="京东五星电器金华时代广场店"/>
        <filter val="京东电器城市旗舰店义乌店"/>
        <filter val="京东电器城市旗舰店金华商城店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D406"/>
  <sheetViews>
    <sheetView workbookViewId="0">
      <selection activeCell="H13" sqref="H13"/>
    </sheetView>
  </sheetViews>
  <sheetFormatPr defaultColWidth="9.025" defaultRowHeight="14"/>
  <cols>
    <col min="1" max="1" width="13.3416666666667" customWidth="1"/>
    <col min="2" max="2" width="5.79166666666667" customWidth="1"/>
    <col min="3" max="3" width="23.6333333333333" customWidth="1"/>
    <col min="4" max="4" width="15.4666666666667" customWidth="1"/>
    <col min="5" max="5" width="13.475" style="2" customWidth="1"/>
    <col min="6" max="6" width="14.475" style="2" customWidth="1"/>
    <col min="7" max="7" width="9.025" customWidth="1"/>
    <col min="8" max="8" width="30.4083333333333" customWidth="1"/>
    <col min="12" max="12" width="16.0916666666667" style="6" customWidth="1"/>
    <col min="13" max="13" width="23" style="6" customWidth="1"/>
  </cols>
  <sheetData>
    <row r="1" s="3" customFormat="1" ht="70" spans="1:16384">
      <c r="A1" s="7" t="s">
        <v>0</v>
      </c>
      <c r="B1" s="7" t="s">
        <v>1</v>
      </c>
      <c r="C1" s="7" t="s">
        <v>2</v>
      </c>
      <c r="D1" s="7" t="s">
        <v>3</v>
      </c>
      <c r="E1" s="9" t="s">
        <v>295</v>
      </c>
      <c r="F1" s="9" t="s">
        <v>5</v>
      </c>
      <c r="G1" s="7" t="s">
        <v>6</v>
      </c>
      <c r="H1" s="7" t="s">
        <v>7</v>
      </c>
      <c r="I1" s="7" t="s">
        <v>14</v>
      </c>
      <c r="J1" s="7" t="s">
        <v>15</v>
      </c>
      <c r="K1" s="7" t="s">
        <v>16</v>
      </c>
      <c r="L1" s="12" t="s">
        <v>296</v>
      </c>
      <c r="M1" s="6" t="s">
        <v>297</v>
      </c>
      <c r="XEY1"/>
      <c r="XEZ1"/>
      <c r="XFA1"/>
      <c r="XFB1"/>
      <c r="XFC1"/>
      <c r="XFD1"/>
    </row>
    <row r="2" s="3" customFormat="1" hidden="1" spans="1:16384">
      <c r="A2" s="3" t="s">
        <v>17</v>
      </c>
      <c r="B2" s="3" t="s">
        <v>18</v>
      </c>
      <c r="C2" s="3" t="s">
        <v>298</v>
      </c>
      <c r="D2" s="3" t="s">
        <v>20</v>
      </c>
      <c r="E2" s="37">
        <f>VLOOKUP(C2,L:M,2,0)</f>
        <v>200</v>
      </c>
      <c r="F2" s="37">
        <f>E2*K2</f>
        <v>200</v>
      </c>
      <c r="G2" s="3" t="s">
        <v>22</v>
      </c>
      <c r="H2" s="3" t="s">
        <v>23</v>
      </c>
      <c r="I2" s="3" t="s">
        <v>30</v>
      </c>
      <c r="J2" s="3">
        <v>8288</v>
      </c>
      <c r="K2" s="3">
        <v>1</v>
      </c>
      <c r="L2" s="12" t="s">
        <v>299</v>
      </c>
      <c r="M2" s="13">
        <v>12</v>
      </c>
      <c r="XEY2"/>
      <c r="XEZ2"/>
      <c r="XFA2"/>
      <c r="XFB2"/>
      <c r="XFC2"/>
      <c r="XFD2"/>
    </row>
    <row r="3" s="3" customFormat="1" hidden="1" spans="1:16384">
      <c r="A3" s="3" t="s">
        <v>17</v>
      </c>
      <c r="B3" s="3" t="s">
        <v>18</v>
      </c>
      <c r="C3" s="3" t="s">
        <v>300</v>
      </c>
      <c r="D3" s="3" t="s">
        <v>32</v>
      </c>
      <c r="E3" s="37">
        <f t="shared" ref="E3:E34" si="0">VLOOKUP(C3,L:M,2,0)</f>
        <v>137</v>
      </c>
      <c r="F3" s="37">
        <f t="shared" ref="F3:F34" si="1">E3*K3</f>
        <v>137</v>
      </c>
      <c r="G3" s="3" t="s">
        <v>22</v>
      </c>
      <c r="H3" s="3" t="s">
        <v>34</v>
      </c>
      <c r="I3" s="3" t="s">
        <v>30</v>
      </c>
      <c r="J3" s="3">
        <v>6158</v>
      </c>
      <c r="K3" s="3">
        <v>1</v>
      </c>
      <c r="L3" s="12" t="s">
        <v>301</v>
      </c>
      <c r="M3" s="13">
        <v>13</v>
      </c>
      <c r="XEY3"/>
      <c r="XEZ3"/>
      <c r="XFA3"/>
      <c r="XFB3"/>
      <c r="XFC3"/>
      <c r="XFD3"/>
    </row>
    <row r="4" s="3" customFormat="1" spans="1:16384">
      <c r="A4" s="3" t="s">
        <v>40</v>
      </c>
      <c r="B4" s="3" t="s">
        <v>50</v>
      </c>
      <c r="C4" s="3" t="s">
        <v>302</v>
      </c>
      <c r="D4" s="3" t="s">
        <v>52</v>
      </c>
      <c r="E4" s="37">
        <f t="shared" si="0"/>
        <v>224</v>
      </c>
      <c r="F4" s="37">
        <f t="shared" si="1"/>
        <v>-224</v>
      </c>
      <c r="G4" s="3" t="s">
        <v>22</v>
      </c>
      <c r="H4" s="3" t="s">
        <v>54</v>
      </c>
      <c r="I4" s="3" t="s">
        <v>30</v>
      </c>
      <c r="J4" s="3">
        <v>-7588</v>
      </c>
      <c r="K4" s="3">
        <v>-1</v>
      </c>
      <c r="L4" s="12" t="s">
        <v>303</v>
      </c>
      <c r="M4" s="13">
        <v>13</v>
      </c>
      <c r="XEY4"/>
      <c r="XEZ4"/>
      <c r="XFA4"/>
      <c r="XFB4"/>
      <c r="XFC4"/>
      <c r="XFD4"/>
    </row>
    <row r="5" s="3" customFormat="1" hidden="1" spans="1:16384">
      <c r="A5" s="3" t="s">
        <v>59</v>
      </c>
      <c r="B5" s="3" t="s">
        <v>18</v>
      </c>
      <c r="C5" s="3" t="s">
        <v>304</v>
      </c>
      <c r="D5" s="3" t="s">
        <v>61</v>
      </c>
      <c r="E5" s="37">
        <f t="shared" si="0"/>
        <v>330</v>
      </c>
      <c r="F5" s="37">
        <f t="shared" si="1"/>
        <v>330</v>
      </c>
      <c r="G5" s="3" t="s">
        <v>22</v>
      </c>
      <c r="H5" s="3" t="s">
        <v>23</v>
      </c>
      <c r="I5" s="3" t="s">
        <v>30</v>
      </c>
      <c r="J5" s="3">
        <v>14338</v>
      </c>
      <c r="K5" s="3">
        <v>1</v>
      </c>
      <c r="L5" s="12" t="s">
        <v>305</v>
      </c>
      <c r="M5" s="13">
        <v>15</v>
      </c>
      <c r="XEY5"/>
      <c r="XEZ5"/>
      <c r="XFA5"/>
      <c r="XFB5"/>
      <c r="XFC5"/>
      <c r="XFD5"/>
    </row>
    <row r="6" s="3" customFormat="1" spans="1:16384">
      <c r="A6" s="3" t="s">
        <v>59</v>
      </c>
      <c r="B6" s="3" t="s">
        <v>18</v>
      </c>
      <c r="C6" s="3" t="s">
        <v>302</v>
      </c>
      <c r="D6" s="3" t="s">
        <v>52</v>
      </c>
      <c r="E6" s="37">
        <f t="shared" si="0"/>
        <v>224</v>
      </c>
      <c r="F6" s="37">
        <f t="shared" si="1"/>
        <v>224</v>
      </c>
      <c r="G6" s="3" t="s">
        <v>22</v>
      </c>
      <c r="H6" s="3" t="s">
        <v>54</v>
      </c>
      <c r="I6" s="3" t="s">
        <v>30</v>
      </c>
      <c r="J6" s="3">
        <v>7588</v>
      </c>
      <c r="K6" s="3">
        <v>1</v>
      </c>
      <c r="L6" s="14" t="s">
        <v>306</v>
      </c>
      <c r="M6" s="13">
        <v>34</v>
      </c>
      <c r="XEY6"/>
      <c r="XEZ6"/>
      <c r="XFA6"/>
      <c r="XFB6"/>
      <c r="XFC6"/>
      <c r="XFD6"/>
    </row>
    <row r="7" s="3" customFormat="1" spans="1:16384">
      <c r="A7" s="3" t="s">
        <v>59</v>
      </c>
      <c r="B7" s="3" t="s">
        <v>18</v>
      </c>
      <c r="C7" s="3" t="s">
        <v>307</v>
      </c>
      <c r="D7" s="3" t="s">
        <v>42</v>
      </c>
      <c r="E7" s="37">
        <f t="shared" si="0"/>
        <v>142</v>
      </c>
      <c r="F7" s="37">
        <f t="shared" si="1"/>
        <v>142</v>
      </c>
      <c r="G7" s="3" t="s">
        <v>22</v>
      </c>
      <c r="H7" s="3" t="s">
        <v>54</v>
      </c>
      <c r="I7" s="3" t="s">
        <v>30</v>
      </c>
      <c r="J7" s="3">
        <v>5148</v>
      </c>
      <c r="K7" s="3">
        <v>1</v>
      </c>
      <c r="L7" s="14" t="s">
        <v>308</v>
      </c>
      <c r="M7" s="13">
        <v>37</v>
      </c>
      <c r="XEY7"/>
      <c r="XEZ7"/>
      <c r="XFA7"/>
      <c r="XFB7"/>
      <c r="XFC7"/>
      <c r="XFD7"/>
    </row>
    <row r="8" s="3" customFormat="1" hidden="1" spans="1:16384">
      <c r="A8" s="3" t="s">
        <v>83</v>
      </c>
      <c r="B8" s="3" t="s">
        <v>18</v>
      </c>
      <c r="C8" s="3" t="s">
        <v>309</v>
      </c>
      <c r="D8" s="3" t="s">
        <v>91</v>
      </c>
      <c r="E8" s="37">
        <f t="shared" si="0"/>
        <v>223</v>
      </c>
      <c r="F8" s="37">
        <f t="shared" si="1"/>
        <v>223</v>
      </c>
      <c r="G8" s="3" t="s">
        <v>22</v>
      </c>
      <c r="H8" s="3" t="s">
        <v>93</v>
      </c>
      <c r="I8" s="3" t="s">
        <v>30</v>
      </c>
      <c r="J8" s="3">
        <v>5898</v>
      </c>
      <c r="K8" s="3">
        <v>1</v>
      </c>
      <c r="L8" s="15" t="s">
        <v>310</v>
      </c>
      <c r="M8" s="13">
        <v>45</v>
      </c>
      <c r="XEY8"/>
      <c r="XEZ8"/>
      <c r="XFA8"/>
      <c r="XFB8"/>
      <c r="XFC8"/>
      <c r="XFD8"/>
    </row>
    <row r="9" s="3" customFormat="1" hidden="1" spans="1:16384">
      <c r="A9" s="3" t="s">
        <v>83</v>
      </c>
      <c r="B9" s="3" t="s">
        <v>18</v>
      </c>
      <c r="C9" s="3" t="s">
        <v>311</v>
      </c>
      <c r="D9" s="3" t="s">
        <v>98</v>
      </c>
      <c r="E9" s="37">
        <f t="shared" si="0"/>
        <v>202</v>
      </c>
      <c r="F9" s="37">
        <f t="shared" si="1"/>
        <v>202</v>
      </c>
      <c r="G9" s="3" t="s">
        <v>22</v>
      </c>
      <c r="H9" s="3" t="s">
        <v>93</v>
      </c>
      <c r="I9" s="3" t="s">
        <v>30</v>
      </c>
      <c r="J9" s="3">
        <v>5298</v>
      </c>
      <c r="K9" s="3">
        <v>1</v>
      </c>
      <c r="L9" s="16" t="s">
        <v>312</v>
      </c>
      <c r="M9" s="13">
        <v>36</v>
      </c>
      <c r="XEY9"/>
      <c r="XEZ9"/>
      <c r="XFA9"/>
      <c r="XFB9"/>
      <c r="XFC9"/>
      <c r="XFD9"/>
    </row>
    <row r="10" s="3" customFormat="1" hidden="1" spans="1:16384">
      <c r="A10" s="3" t="s">
        <v>83</v>
      </c>
      <c r="B10" s="3" t="s">
        <v>18</v>
      </c>
      <c r="C10" s="3" t="s">
        <v>307</v>
      </c>
      <c r="D10" s="3" t="s">
        <v>42</v>
      </c>
      <c r="E10" s="37">
        <f t="shared" si="0"/>
        <v>142</v>
      </c>
      <c r="F10" s="37">
        <f t="shared" si="1"/>
        <v>142</v>
      </c>
      <c r="G10" s="3" t="s">
        <v>22</v>
      </c>
      <c r="H10" s="3" t="s">
        <v>93</v>
      </c>
      <c r="I10" s="3" t="s">
        <v>30</v>
      </c>
      <c r="J10" s="3">
        <v>5148</v>
      </c>
      <c r="K10" s="3">
        <v>1</v>
      </c>
      <c r="L10" s="16" t="s">
        <v>313</v>
      </c>
      <c r="M10" s="13">
        <v>38</v>
      </c>
      <c r="XEY10"/>
      <c r="XEZ10"/>
      <c r="XFA10"/>
      <c r="XFB10"/>
      <c r="XFC10"/>
      <c r="XFD10"/>
    </row>
    <row r="11" s="3" customFormat="1" spans="1:16384">
      <c r="A11" s="3" t="s">
        <v>83</v>
      </c>
      <c r="B11" s="3" t="s">
        <v>18</v>
      </c>
      <c r="C11" s="3" t="s">
        <v>307</v>
      </c>
      <c r="D11" s="3" t="s">
        <v>42</v>
      </c>
      <c r="E11" s="37">
        <f t="shared" si="0"/>
        <v>142</v>
      </c>
      <c r="F11" s="37">
        <f t="shared" si="1"/>
        <v>142</v>
      </c>
      <c r="G11" s="3" t="s">
        <v>22</v>
      </c>
      <c r="H11" s="3" t="s">
        <v>54</v>
      </c>
      <c r="I11" s="3" t="s">
        <v>30</v>
      </c>
      <c r="J11" s="3">
        <v>5148</v>
      </c>
      <c r="K11" s="3">
        <v>1</v>
      </c>
      <c r="L11" s="16" t="s">
        <v>314</v>
      </c>
      <c r="M11" s="13">
        <v>38</v>
      </c>
      <c r="XEY11"/>
      <c r="XEZ11"/>
      <c r="XFA11"/>
      <c r="XFB11"/>
      <c r="XFC11"/>
      <c r="XFD11"/>
    </row>
    <row r="12" s="3" customFormat="1" hidden="1" spans="1:16384">
      <c r="A12" s="3" t="s">
        <v>83</v>
      </c>
      <c r="B12" s="3" t="s">
        <v>18</v>
      </c>
      <c r="C12" s="3" t="s">
        <v>315</v>
      </c>
      <c r="D12" s="3" t="s">
        <v>48</v>
      </c>
      <c r="E12" s="37">
        <f t="shared" si="0"/>
        <v>119</v>
      </c>
      <c r="F12" s="37">
        <f t="shared" si="1"/>
        <v>119</v>
      </c>
      <c r="G12" s="3" t="s">
        <v>22</v>
      </c>
      <c r="H12" s="3" t="s">
        <v>93</v>
      </c>
      <c r="I12" s="3" t="s">
        <v>30</v>
      </c>
      <c r="J12" s="3">
        <v>5098</v>
      </c>
      <c r="K12" s="3">
        <v>1</v>
      </c>
      <c r="L12" s="16" t="s">
        <v>316</v>
      </c>
      <c r="M12" s="13">
        <v>41</v>
      </c>
      <c r="XEY12"/>
      <c r="XEZ12"/>
      <c r="XFA12"/>
      <c r="XFB12"/>
      <c r="XFC12"/>
      <c r="XFD12"/>
    </row>
    <row r="13" s="3" customFormat="1" spans="1:16384">
      <c r="A13" s="3" t="s">
        <v>83</v>
      </c>
      <c r="B13" s="3" t="s">
        <v>18</v>
      </c>
      <c r="C13" s="3" t="s">
        <v>315</v>
      </c>
      <c r="D13" s="3" t="s">
        <v>48</v>
      </c>
      <c r="E13" s="37">
        <f t="shared" si="0"/>
        <v>119</v>
      </c>
      <c r="F13" s="37">
        <f t="shared" si="1"/>
        <v>119</v>
      </c>
      <c r="G13" s="3" t="s">
        <v>22</v>
      </c>
      <c r="H13" s="3" t="s">
        <v>54</v>
      </c>
      <c r="I13" s="3" t="s">
        <v>30</v>
      </c>
      <c r="J13" s="3">
        <v>5098</v>
      </c>
      <c r="K13" s="3">
        <v>1</v>
      </c>
      <c r="L13" s="17" t="s">
        <v>317</v>
      </c>
      <c r="M13" s="13">
        <v>78</v>
      </c>
      <c r="XEY13"/>
      <c r="XEZ13"/>
      <c r="XFA13"/>
      <c r="XFB13"/>
      <c r="XFC13"/>
      <c r="XFD13"/>
    </row>
    <row r="14" s="3" customFormat="1" hidden="1" spans="1:16384">
      <c r="A14" s="3" t="s">
        <v>83</v>
      </c>
      <c r="B14" s="3" t="s">
        <v>18</v>
      </c>
      <c r="C14" s="3" t="s">
        <v>318</v>
      </c>
      <c r="D14" s="3" t="s">
        <v>115</v>
      </c>
      <c r="E14" s="37">
        <f t="shared" si="0"/>
        <v>120</v>
      </c>
      <c r="F14" s="37">
        <f t="shared" si="1"/>
        <v>120</v>
      </c>
      <c r="G14" s="3" t="s">
        <v>22</v>
      </c>
      <c r="H14" s="3" t="s">
        <v>93</v>
      </c>
      <c r="I14" s="3" t="s">
        <v>30</v>
      </c>
      <c r="J14" s="3">
        <v>3098</v>
      </c>
      <c r="K14" s="3">
        <v>1</v>
      </c>
      <c r="L14" s="17" t="s">
        <v>319</v>
      </c>
      <c r="M14" s="13">
        <v>78</v>
      </c>
      <c r="XEY14"/>
      <c r="XEZ14"/>
      <c r="XFA14"/>
      <c r="XFB14"/>
      <c r="XFC14"/>
      <c r="XFD14"/>
    </row>
    <row r="15" s="3" customFormat="1" hidden="1" spans="1:16384">
      <c r="A15" s="3" t="s">
        <v>83</v>
      </c>
      <c r="B15" s="3" t="s">
        <v>18</v>
      </c>
      <c r="C15" s="3" t="s">
        <v>318</v>
      </c>
      <c r="D15" s="3" t="s">
        <v>115</v>
      </c>
      <c r="E15" s="37">
        <f t="shared" si="0"/>
        <v>120</v>
      </c>
      <c r="F15" s="37">
        <f t="shared" si="1"/>
        <v>120</v>
      </c>
      <c r="G15" s="3" t="s">
        <v>22</v>
      </c>
      <c r="H15" s="3" t="s">
        <v>93</v>
      </c>
      <c r="I15" s="3" t="s">
        <v>30</v>
      </c>
      <c r="J15" s="3">
        <v>3098</v>
      </c>
      <c r="K15" s="3">
        <v>1</v>
      </c>
      <c r="L15" s="17" t="s">
        <v>320</v>
      </c>
      <c r="M15" s="13">
        <v>86</v>
      </c>
      <c r="XEY15"/>
      <c r="XEZ15"/>
      <c r="XFA15"/>
      <c r="XFB15"/>
      <c r="XFC15"/>
      <c r="XFD15"/>
    </row>
    <row r="16" s="3" customFormat="1" hidden="1" spans="1:16384">
      <c r="A16" s="3" t="s">
        <v>118</v>
      </c>
      <c r="B16" s="3" t="s">
        <v>18</v>
      </c>
      <c r="C16" s="3" t="s">
        <v>321</v>
      </c>
      <c r="D16" s="3" t="s">
        <v>123</v>
      </c>
      <c r="E16" s="37">
        <f t="shared" si="0"/>
        <v>105</v>
      </c>
      <c r="F16" s="37">
        <f t="shared" si="1"/>
        <v>105</v>
      </c>
      <c r="G16" s="3" t="s">
        <v>22</v>
      </c>
      <c r="H16" s="3" t="s">
        <v>23</v>
      </c>
      <c r="I16" s="3" t="s">
        <v>30</v>
      </c>
      <c r="J16" s="3">
        <v>4298</v>
      </c>
      <c r="K16" s="3">
        <v>1</v>
      </c>
      <c r="L16" s="15" t="s">
        <v>322</v>
      </c>
      <c r="M16" s="13">
        <v>37</v>
      </c>
      <c r="XEY16"/>
      <c r="XEZ16"/>
      <c r="XFA16"/>
      <c r="XFB16"/>
      <c r="XFC16"/>
      <c r="XFD16"/>
    </row>
    <row r="17" s="3" customFormat="1" spans="1:16384">
      <c r="A17" s="3" t="s">
        <v>130</v>
      </c>
      <c r="B17" s="3" t="s">
        <v>18</v>
      </c>
      <c r="C17" s="3" t="s">
        <v>323</v>
      </c>
      <c r="D17" s="3" t="s">
        <v>134</v>
      </c>
      <c r="E17" s="37">
        <f t="shared" si="0"/>
        <v>134</v>
      </c>
      <c r="F17" s="37">
        <f t="shared" si="1"/>
        <v>134</v>
      </c>
      <c r="G17" s="3" t="s">
        <v>22</v>
      </c>
      <c r="H17" s="3" t="s">
        <v>54</v>
      </c>
      <c r="I17" s="3" t="s">
        <v>30</v>
      </c>
      <c r="J17" s="3">
        <v>5698</v>
      </c>
      <c r="K17" s="3">
        <v>1</v>
      </c>
      <c r="L17" s="15" t="s">
        <v>324</v>
      </c>
      <c r="M17" s="13">
        <v>39</v>
      </c>
      <c r="XEY17"/>
      <c r="XEZ17"/>
      <c r="XFA17"/>
      <c r="XFB17"/>
      <c r="XFC17"/>
      <c r="XFD17"/>
    </row>
    <row r="18" s="3" customFormat="1" spans="1:16384">
      <c r="A18" s="3" t="s">
        <v>130</v>
      </c>
      <c r="B18" s="3" t="s">
        <v>18</v>
      </c>
      <c r="C18" s="3" t="s">
        <v>325</v>
      </c>
      <c r="D18" s="3" t="s">
        <v>67</v>
      </c>
      <c r="E18" s="37">
        <f t="shared" si="0"/>
        <v>90</v>
      </c>
      <c r="F18" s="37">
        <f t="shared" si="1"/>
        <v>90</v>
      </c>
      <c r="G18" s="3" t="s">
        <v>22</v>
      </c>
      <c r="H18" s="3" t="s">
        <v>54</v>
      </c>
      <c r="I18" s="3" t="s">
        <v>30</v>
      </c>
      <c r="J18" s="3">
        <v>3968</v>
      </c>
      <c r="K18" s="3">
        <v>1</v>
      </c>
      <c r="L18" s="15" t="s">
        <v>326</v>
      </c>
      <c r="M18" s="13">
        <v>42</v>
      </c>
      <c r="XEY18"/>
      <c r="XEZ18"/>
      <c r="XFA18"/>
      <c r="XFB18"/>
      <c r="XFC18"/>
      <c r="XFD18"/>
    </row>
    <row r="19" s="3" customFormat="1" hidden="1" spans="1:16384">
      <c r="A19" s="3" t="s">
        <v>138</v>
      </c>
      <c r="B19" s="3" t="s">
        <v>18</v>
      </c>
      <c r="C19" s="3" t="s">
        <v>298</v>
      </c>
      <c r="D19" s="3" t="s">
        <v>20</v>
      </c>
      <c r="E19" s="37">
        <f t="shared" si="0"/>
        <v>200</v>
      </c>
      <c r="F19" s="37">
        <f t="shared" si="1"/>
        <v>200</v>
      </c>
      <c r="G19" s="3" t="s">
        <v>22</v>
      </c>
      <c r="H19" s="3" t="s">
        <v>23</v>
      </c>
      <c r="I19" s="3" t="s">
        <v>30</v>
      </c>
      <c r="J19" s="3">
        <v>8288</v>
      </c>
      <c r="K19" s="3">
        <v>1</v>
      </c>
      <c r="L19" s="18" t="s">
        <v>327</v>
      </c>
      <c r="M19" s="13">
        <v>90</v>
      </c>
      <c r="XEY19"/>
      <c r="XEZ19"/>
      <c r="XFA19"/>
      <c r="XFB19"/>
      <c r="XFC19"/>
      <c r="XFD19"/>
    </row>
    <row r="20" s="3" customFormat="1" hidden="1" spans="1:16384">
      <c r="A20" s="3" t="s">
        <v>138</v>
      </c>
      <c r="B20" s="3" t="s">
        <v>18</v>
      </c>
      <c r="C20" s="3" t="s">
        <v>298</v>
      </c>
      <c r="D20" s="3" t="s">
        <v>20</v>
      </c>
      <c r="E20" s="37">
        <f t="shared" si="0"/>
        <v>200</v>
      </c>
      <c r="F20" s="37">
        <f t="shared" si="1"/>
        <v>200</v>
      </c>
      <c r="G20" s="3" t="s">
        <v>22</v>
      </c>
      <c r="H20" s="3" t="s">
        <v>23</v>
      </c>
      <c r="I20" s="3" t="s">
        <v>30</v>
      </c>
      <c r="J20" s="3">
        <v>8288</v>
      </c>
      <c r="K20" s="3">
        <v>1</v>
      </c>
      <c r="L20" s="15" t="s">
        <v>328</v>
      </c>
      <c r="M20" s="13">
        <v>87</v>
      </c>
      <c r="XEY20"/>
      <c r="XEZ20"/>
      <c r="XFA20"/>
      <c r="XFB20"/>
      <c r="XFC20"/>
      <c r="XFD20"/>
    </row>
    <row r="21" s="3" customFormat="1" hidden="1" spans="1:16384">
      <c r="A21" s="3" t="s">
        <v>138</v>
      </c>
      <c r="B21" s="3" t="s">
        <v>18</v>
      </c>
      <c r="C21" s="3" t="s">
        <v>329</v>
      </c>
      <c r="D21" s="3" t="s">
        <v>142</v>
      </c>
      <c r="E21" s="37">
        <f t="shared" si="0"/>
        <v>163</v>
      </c>
      <c r="F21" s="37">
        <f t="shared" si="1"/>
        <v>163</v>
      </c>
      <c r="G21" s="3" t="s">
        <v>22</v>
      </c>
      <c r="H21" s="3" t="s">
        <v>23</v>
      </c>
      <c r="I21" s="3" t="s">
        <v>30</v>
      </c>
      <c r="J21" s="3">
        <v>7368</v>
      </c>
      <c r="K21" s="3">
        <v>1</v>
      </c>
      <c r="L21" s="15" t="s">
        <v>330</v>
      </c>
      <c r="M21" s="13">
        <v>95</v>
      </c>
      <c r="XEY21"/>
      <c r="XEZ21"/>
      <c r="XFA21"/>
      <c r="XFB21"/>
      <c r="XFC21"/>
      <c r="XFD21"/>
    </row>
    <row r="22" s="3" customFormat="1" hidden="1" spans="1:16384">
      <c r="A22" s="3" t="s">
        <v>138</v>
      </c>
      <c r="B22" s="3" t="s">
        <v>18</v>
      </c>
      <c r="C22" s="3" t="s">
        <v>323</v>
      </c>
      <c r="D22" s="3" t="s">
        <v>134</v>
      </c>
      <c r="E22" s="37">
        <f t="shared" si="0"/>
        <v>134</v>
      </c>
      <c r="F22" s="37">
        <f t="shared" si="1"/>
        <v>134</v>
      </c>
      <c r="G22" s="3" t="s">
        <v>22</v>
      </c>
      <c r="H22" s="3" t="s">
        <v>23</v>
      </c>
      <c r="I22" s="3" t="s">
        <v>30</v>
      </c>
      <c r="J22" s="3">
        <v>5698</v>
      </c>
      <c r="K22" s="3">
        <v>1</v>
      </c>
      <c r="L22" s="16" t="s">
        <v>331</v>
      </c>
      <c r="M22" s="13">
        <v>84</v>
      </c>
      <c r="XEY22"/>
      <c r="XEZ22"/>
      <c r="XFA22"/>
      <c r="XFB22"/>
      <c r="XFC22"/>
      <c r="XFD22"/>
    </row>
    <row r="23" s="3" customFormat="1" hidden="1" spans="1:16384">
      <c r="A23" s="3" t="s">
        <v>138</v>
      </c>
      <c r="B23" s="3" t="s">
        <v>18</v>
      </c>
      <c r="C23" s="3" t="s">
        <v>325</v>
      </c>
      <c r="D23" s="3" t="s">
        <v>67</v>
      </c>
      <c r="E23" s="37">
        <f t="shared" si="0"/>
        <v>90</v>
      </c>
      <c r="F23" s="37">
        <f t="shared" si="1"/>
        <v>90</v>
      </c>
      <c r="G23" s="3" t="s">
        <v>22</v>
      </c>
      <c r="H23" s="3" t="s">
        <v>23</v>
      </c>
      <c r="I23" s="3" t="s">
        <v>30</v>
      </c>
      <c r="J23" s="3">
        <v>3968</v>
      </c>
      <c r="K23" s="3">
        <v>1</v>
      </c>
      <c r="L23" s="16" t="s">
        <v>325</v>
      </c>
      <c r="M23" s="13">
        <v>90</v>
      </c>
      <c r="XEY23"/>
      <c r="XEZ23"/>
      <c r="XFA23"/>
      <c r="XFB23"/>
      <c r="XFC23"/>
      <c r="XFD23"/>
    </row>
    <row r="24" s="3" customFormat="1" hidden="1" spans="1:16384">
      <c r="A24" s="3" t="s">
        <v>138</v>
      </c>
      <c r="B24" s="3" t="s">
        <v>137</v>
      </c>
      <c r="C24" s="3" t="s">
        <v>298</v>
      </c>
      <c r="D24" s="3" t="s">
        <v>20</v>
      </c>
      <c r="E24" s="37">
        <f t="shared" si="0"/>
        <v>200</v>
      </c>
      <c r="F24" s="37">
        <f t="shared" si="1"/>
        <v>-200</v>
      </c>
      <c r="G24" s="3" t="s">
        <v>22</v>
      </c>
      <c r="H24" s="3" t="s">
        <v>23</v>
      </c>
      <c r="I24" s="3" t="s">
        <v>30</v>
      </c>
      <c r="J24" s="3">
        <v>-8288</v>
      </c>
      <c r="K24" s="3">
        <v>-1</v>
      </c>
      <c r="L24" s="16" t="s">
        <v>332</v>
      </c>
      <c r="M24" s="13">
        <v>90</v>
      </c>
      <c r="XEY24"/>
      <c r="XEZ24"/>
      <c r="XFA24"/>
      <c r="XFB24"/>
      <c r="XFC24"/>
      <c r="XFD24"/>
    </row>
    <row r="25" s="3" customFormat="1" hidden="1" spans="1:16384">
      <c r="A25" s="3" t="s">
        <v>146</v>
      </c>
      <c r="B25" s="3" t="s">
        <v>18</v>
      </c>
      <c r="C25" s="3" t="s">
        <v>333</v>
      </c>
      <c r="D25" s="3" t="s">
        <v>149</v>
      </c>
      <c r="E25" s="37">
        <f t="shared" si="0"/>
        <v>142</v>
      </c>
      <c r="F25" s="37">
        <f t="shared" si="1"/>
        <v>142</v>
      </c>
      <c r="G25" s="3" t="s">
        <v>22</v>
      </c>
      <c r="H25" s="3" t="s">
        <v>23</v>
      </c>
      <c r="I25" s="3" t="s">
        <v>30</v>
      </c>
      <c r="J25" s="3">
        <v>6458</v>
      </c>
      <c r="K25" s="3">
        <v>1</v>
      </c>
      <c r="L25" s="16" t="s">
        <v>334</v>
      </c>
      <c r="M25" s="13">
        <v>99</v>
      </c>
      <c r="XEY25"/>
      <c r="XEZ25"/>
      <c r="XFA25"/>
      <c r="XFB25"/>
      <c r="XFC25"/>
      <c r="XFD25"/>
    </row>
    <row r="26" s="3" customFormat="1" hidden="1" spans="1:16384">
      <c r="A26" s="3" t="s">
        <v>146</v>
      </c>
      <c r="B26" s="3" t="s">
        <v>18</v>
      </c>
      <c r="C26" s="3" t="s">
        <v>333</v>
      </c>
      <c r="D26" s="3" t="s">
        <v>149</v>
      </c>
      <c r="E26" s="37">
        <f t="shared" si="0"/>
        <v>142</v>
      </c>
      <c r="F26" s="37">
        <f t="shared" si="1"/>
        <v>142</v>
      </c>
      <c r="G26" s="3" t="s">
        <v>22</v>
      </c>
      <c r="H26" s="3" t="s">
        <v>23</v>
      </c>
      <c r="I26" s="3" t="s">
        <v>30</v>
      </c>
      <c r="J26" s="3">
        <v>6458</v>
      </c>
      <c r="K26" s="3">
        <v>1</v>
      </c>
      <c r="L26" s="15" t="s">
        <v>335</v>
      </c>
      <c r="M26" s="13">
        <v>100</v>
      </c>
      <c r="XEY26"/>
      <c r="XEZ26"/>
      <c r="XFA26"/>
      <c r="XFB26"/>
      <c r="XFC26"/>
      <c r="XFD26"/>
    </row>
    <row r="27" s="3" customFormat="1" hidden="1" spans="1:16384">
      <c r="A27" s="3" t="s">
        <v>146</v>
      </c>
      <c r="B27" s="3" t="s">
        <v>18</v>
      </c>
      <c r="C27" s="3" t="s">
        <v>336</v>
      </c>
      <c r="D27" s="3" t="s">
        <v>153</v>
      </c>
      <c r="E27" s="37">
        <f t="shared" si="0"/>
        <v>127</v>
      </c>
      <c r="F27" s="37">
        <f t="shared" si="1"/>
        <v>127</v>
      </c>
      <c r="G27" s="3" t="s">
        <v>22</v>
      </c>
      <c r="H27" s="3" t="s">
        <v>23</v>
      </c>
      <c r="I27" s="3" t="s">
        <v>30</v>
      </c>
      <c r="J27" s="3">
        <v>5298</v>
      </c>
      <c r="K27" s="3">
        <v>1</v>
      </c>
      <c r="L27" s="15" t="s">
        <v>321</v>
      </c>
      <c r="M27" s="13">
        <v>105</v>
      </c>
      <c r="XEY27"/>
      <c r="XEZ27"/>
      <c r="XFA27"/>
      <c r="XFB27"/>
      <c r="XFC27"/>
      <c r="XFD27"/>
    </row>
    <row r="28" s="3" customFormat="1" hidden="1" spans="1:16384">
      <c r="A28" s="3" t="s">
        <v>146</v>
      </c>
      <c r="B28" s="3" t="s">
        <v>18</v>
      </c>
      <c r="C28" s="3" t="s">
        <v>307</v>
      </c>
      <c r="D28" s="3" t="s">
        <v>42</v>
      </c>
      <c r="E28" s="37">
        <f t="shared" si="0"/>
        <v>142</v>
      </c>
      <c r="F28" s="37">
        <f t="shared" si="1"/>
        <v>142</v>
      </c>
      <c r="G28" s="3" t="s">
        <v>22</v>
      </c>
      <c r="H28" s="3" t="s">
        <v>23</v>
      </c>
      <c r="I28" s="3" t="s">
        <v>30</v>
      </c>
      <c r="J28" s="3">
        <v>5148</v>
      </c>
      <c r="K28" s="3">
        <v>1</v>
      </c>
      <c r="L28" s="15" t="s">
        <v>337</v>
      </c>
      <c r="M28" s="13">
        <v>112</v>
      </c>
      <c r="XEY28"/>
      <c r="XEZ28"/>
      <c r="XFA28"/>
      <c r="XFB28"/>
      <c r="XFC28"/>
      <c r="XFD28"/>
    </row>
    <row r="29" s="3" customFormat="1" hidden="1" spans="1:16384">
      <c r="A29" s="3" t="s">
        <v>146</v>
      </c>
      <c r="B29" s="3" t="s">
        <v>18</v>
      </c>
      <c r="C29" s="3" t="s">
        <v>307</v>
      </c>
      <c r="D29" s="3" t="s">
        <v>42</v>
      </c>
      <c r="E29" s="37">
        <f t="shared" si="0"/>
        <v>142</v>
      </c>
      <c r="F29" s="37">
        <f t="shared" si="1"/>
        <v>142</v>
      </c>
      <c r="G29" s="3" t="s">
        <v>22</v>
      </c>
      <c r="H29" s="3" t="s">
        <v>23</v>
      </c>
      <c r="I29" s="3" t="s">
        <v>30</v>
      </c>
      <c r="J29" s="3">
        <v>5148</v>
      </c>
      <c r="K29" s="3">
        <v>1</v>
      </c>
      <c r="L29" s="19" t="s">
        <v>338</v>
      </c>
      <c r="M29" s="13">
        <v>110</v>
      </c>
      <c r="XEY29"/>
      <c r="XEZ29"/>
      <c r="XFA29"/>
      <c r="XFB29"/>
      <c r="XFC29"/>
      <c r="XFD29"/>
    </row>
    <row r="30" s="3" customFormat="1" hidden="1" spans="1:16384">
      <c r="A30" s="3" t="s">
        <v>146</v>
      </c>
      <c r="B30" s="3" t="s">
        <v>18</v>
      </c>
      <c r="C30" s="3" t="s">
        <v>315</v>
      </c>
      <c r="D30" s="3" t="s">
        <v>48</v>
      </c>
      <c r="E30" s="37">
        <f t="shared" si="0"/>
        <v>119</v>
      </c>
      <c r="F30" s="37">
        <f t="shared" si="1"/>
        <v>119</v>
      </c>
      <c r="G30" s="3" t="s">
        <v>22</v>
      </c>
      <c r="H30" s="3" t="s">
        <v>23</v>
      </c>
      <c r="I30" s="3" t="s">
        <v>30</v>
      </c>
      <c r="J30" s="3">
        <v>5098</v>
      </c>
      <c r="K30" s="3">
        <v>1</v>
      </c>
      <c r="L30" s="20" t="s">
        <v>339</v>
      </c>
      <c r="M30" s="13">
        <v>115</v>
      </c>
      <c r="XEY30"/>
      <c r="XEZ30"/>
      <c r="XFA30"/>
      <c r="XFB30"/>
      <c r="XFC30"/>
      <c r="XFD30"/>
    </row>
    <row r="31" s="3" customFormat="1" hidden="1" spans="1:16384">
      <c r="A31" s="3" t="s">
        <v>146</v>
      </c>
      <c r="B31" s="3" t="s">
        <v>18</v>
      </c>
      <c r="C31" s="3" t="s">
        <v>340</v>
      </c>
      <c r="D31" s="3" t="s">
        <v>159</v>
      </c>
      <c r="E31" s="37">
        <f t="shared" si="0"/>
        <v>105</v>
      </c>
      <c r="F31" s="37">
        <f t="shared" si="1"/>
        <v>105</v>
      </c>
      <c r="G31" s="3" t="s">
        <v>22</v>
      </c>
      <c r="H31" s="3" t="s">
        <v>23</v>
      </c>
      <c r="I31" s="3" t="s">
        <v>30</v>
      </c>
      <c r="J31" s="3">
        <v>4598</v>
      </c>
      <c r="K31" s="3">
        <v>1</v>
      </c>
      <c r="L31" s="20" t="s">
        <v>341</v>
      </c>
      <c r="M31" s="13">
        <v>122</v>
      </c>
      <c r="XEY31"/>
      <c r="XEZ31"/>
      <c r="XFA31"/>
      <c r="XFB31"/>
      <c r="XFC31"/>
      <c r="XFD31"/>
    </row>
    <row r="32" s="3" customFormat="1" hidden="1" spans="1:16384">
      <c r="A32" s="3" t="s">
        <v>146</v>
      </c>
      <c r="B32" s="3" t="s">
        <v>18</v>
      </c>
      <c r="C32" s="3" t="s">
        <v>325</v>
      </c>
      <c r="D32" s="3" t="s">
        <v>67</v>
      </c>
      <c r="E32" s="37">
        <f t="shared" si="0"/>
        <v>90</v>
      </c>
      <c r="F32" s="37">
        <f t="shared" si="1"/>
        <v>90</v>
      </c>
      <c r="G32" s="3" t="s">
        <v>22</v>
      </c>
      <c r="H32" s="3" t="s">
        <v>23</v>
      </c>
      <c r="I32" s="3" t="s">
        <v>30</v>
      </c>
      <c r="J32" s="3">
        <v>3968</v>
      </c>
      <c r="K32" s="3">
        <v>1</v>
      </c>
      <c r="L32" s="21" t="s">
        <v>342</v>
      </c>
      <c r="M32" s="13">
        <v>110</v>
      </c>
      <c r="XEY32"/>
      <c r="XEZ32"/>
      <c r="XFA32"/>
      <c r="XFB32"/>
      <c r="XFC32"/>
      <c r="XFD32"/>
    </row>
    <row r="33" s="3" customFormat="1" hidden="1" spans="1:16384">
      <c r="A33" s="3" t="s">
        <v>146</v>
      </c>
      <c r="B33" s="3" t="s">
        <v>18</v>
      </c>
      <c r="C33" s="3" t="s">
        <v>343</v>
      </c>
      <c r="D33" s="3" t="s">
        <v>163</v>
      </c>
      <c r="E33" s="37">
        <f t="shared" si="0"/>
        <v>75</v>
      </c>
      <c r="F33" s="37">
        <f t="shared" si="1"/>
        <v>75</v>
      </c>
      <c r="G33" s="3" t="s">
        <v>22</v>
      </c>
      <c r="H33" s="3" t="s">
        <v>23</v>
      </c>
      <c r="I33" s="3" t="s">
        <v>30</v>
      </c>
      <c r="J33" s="3">
        <v>2998</v>
      </c>
      <c r="K33" s="3">
        <v>1</v>
      </c>
      <c r="L33" s="21" t="s">
        <v>344</v>
      </c>
      <c r="M33" s="13">
        <v>117</v>
      </c>
      <c r="XEY33"/>
      <c r="XEZ33"/>
      <c r="XFA33"/>
      <c r="XFB33"/>
      <c r="XFC33"/>
      <c r="XFD33"/>
    </row>
    <row r="34" s="3" customFormat="1" hidden="1" spans="1:16384">
      <c r="A34" s="3" t="s">
        <v>146</v>
      </c>
      <c r="B34" s="3" t="s">
        <v>18</v>
      </c>
      <c r="C34" s="3" t="s">
        <v>343</v>
      </c>
      <c r="D34" s="3" t="s">
        <v>163</v>
      </c>
      <c r="E34" s="37">
        <f t="shared" si="0"/>
        <v>75</v>
      </c>
      <c r="F34" s="37">
        <f t="shared" si="1"/>
        <v>75</v>
      </c>
      <c r="G34" s="3" t="s">
        <v>22</v>
      </c>
      <c r="H34" s="3" t="s">
        <v>23</v>
      </c>
      <c r="I34" s="3" t="s">
        <v>30</v>
      </c>
      <c r="J34" s="3">
        <v>2998</v>
      </c>
      <c r="K34" s="3">
        <v>1</v>
      </c>
      <c r="L34" s="12" t="s">
        <v>345</v>
      </c>
      <c r="M34" s="13">
        <v>102</v>
      </c>
      <c r="XEY34"/>
      <c r="XEZ34"/>
      <c r="XFA34"/>
      <c r="XFB34"/>
      <c r="XFC34"/>
      <c r="XFD34"/>
    </row>
    <row r="35" s="3" customFormat="1" hidden="1" spans="1:16384">
      <c r="A35" s="3" t="s">
        <v>146</v>
      </c>
      <c r="B35" s="3" t="s">
        <v>137</v>
      </c>
      <c r="C35" s="3" t="s">
        <v>343</v>
      </c>
      <c r="D35" s="3" t="s">
        <v>163</v>
      </c>
      <c r="E35" s="37">
        <f t="shared" ref="E35:E73" si="2">VLOOKUP(C35,L:M,2,0)</f>
        <v>75</v>
      </c>
      <c r="F35" s="37">
        <f t="shared" ref="F35:F73" si="3">E35*K35</f>
        <v>-75</v>
      </c>
      <c r="G35" s="3" t="s">
        <v>22</v>
      </c>
      <c r="H35" s="3" t="s">
        <v>23</v>
      </c>
      <c r="I35" s="3" t="s">
        <v>30</v>
      </c>
      <c r="J35" s="3">
        <v>-2998</v>
      </c>
      <c r="K35" s="3">
        <v>-1</v>
      </c>
      <c r="L35" s="22" t="s">
        <v>346</v>
      </c>
      <c r="M35" s="13">
        <v>117</v>
      </c>
      <c r="XEY35"/>
      <c r="XEZ35"/>
      <c r="XFA35"/>
      <c r="XFB35"/>
      <c r="XFC35"/>
      <c r="XFD35"/>
    </row>
    <row r="36" s="3" customFormat="1" hidden="1" spans="1:16384">
      <c r="A36" s="3" t="s">
        <v>146</v>
      </c>
      <c r="B36" s="3" t="s">
        <v>137</v>
      </c>
      <c r="C36" s="3" t="s">
        <v>307</v>
      </c>
      <c r="D36" s="3" t="s">
        <v>42</v>
      </c>
      <c r="E36" s="37">
        <f t="shared" si="2"/>
        <v>142</v>
      </c>
      <c r="F36" s="37">
        <f t="shared" si="3"/>
        <v>-142</v>
      </c>
      <c r="G36" s="3" t="s">
        <v>22</v>
      </c>
      <c r="H36" s="3" t="s">
        <v>23</v>
      </c>
      <c r="I36" s="3" t="s">
        <v>30</v>
      </c>
      <c r="J36" s="3">
        <v>-5148</v>
      </c>
      <c r="K36" s="3">
        <v>-1</v>
      </c>
      <c r="L36" s="21" t="s">
        <v>347</v>
      </c>
      <c r="M36" s="13">
        <v>95</v>
      </c>
      <c r="XEY36"/>
      <c r="XEZ36"/>
      <c r="XFA36"/>
      <c r="XFB36"/>
      <c r="XFC36"/>
      <c r="XFD36"/>
    </row>
    <row r="37" s="3" customFormat="1" hidden="1" spans="1:16384">
      <c r="A37" s="3" t="s">
        <v>168</v>
      </c>
      <c r="B37" s="3" t="s">
        <v>18</v>
      </c>
      <c r="C37" s="3" t="s">
        <v>348</v>
      </c>
      <c r="D37" s="3" t="s">
        <v>72</v>
      </c>
      <c r="E37" s="37">
        <f t="shared" si="2"/>
        <v>190</v>
      </c>
      <c r="F37" s="37">
        <f t="shared" si="3"/>
        <v>190</v>
      </c>
      <c r="G37" s="3" t="s">
        <v>22</v>
      </c>
      <c r="H37" s="3" t="s">
        <v>23</v>
      </c>
      <c r="I37" s="3" t="s">
        <v>30</v>
      </c>
      <c r="J37" s="3">
        <v>7898</v>
      </c>
      <c r="K37" s="3">
        <v>1</v>
      </c>
      <c r="L37" s="21" t="s">
        <v>349</v>
      </c>
      <c r="M37" s="13">
        <v>95</v>
      </c>
      <c r="XEY37"/>
      <c r="XEZ37"/>
      <c r="XFA37"/>
      <c r="XFB37"/>
      <c r="XFC37"/>
      <c r="XFD37"/>
    </row>
    <row r="38" s="3" customFormat="1" hidden="1" spans="1:16384">
      <c r="A38" s="3" t="s">
        <v>170</v>
      </c>
      <c r="B38" s="3" t="s">
        <v>18</v>
      </c>
      <c r="C38" s="3" t="s">
        <v>323</v>
      </c>
      <c r="D38" s="3" t="s">
        <v>134</v>
      </c>
      <c r="E38" s="37">
        <f t="shared" si="2"/>
        <v>134</v>
      </c>
      <c r="F38" s="37">
        <f t="shared" si="3"/>
        <v>134</v>
      </c>
      <c r="G38" s="3" t="s">
        <v>22</v>
      </c>
      <c r="H38" s="3" t="s">
        <v>23</v>
      </c>
      <c r="I38" s="3" t="s">
        <v>30</v>
      </c>
      <c r="J38" s="3">
        <v>5698</v>
      </c>
      <c r="K38" s="3">
        <v>1</v>
      </c>
      <c r="L38" s="21" t="s">
        <v>350</v>
      </c>
      <c r="M38" s="13">
        <v>102</v>
      </c>
      <c r="XEY38"/>
      <c r="XEZ38"/>
      <c r="XFA38"/>
      <c r="XFB38"/>
      <c r="XFC38"/>
      <c r="XFD38"/>
    </row>
    <row r="39" s="3" customFormat="1" hidden="1" spans="1:16384">
      <c r="A39" s="3" t="s">
        <v>177</v>
      </c>
      <c r="B39" s="3" t="s">
        <v>18</v>
      </c>
      <c r="C39" s="3" t="s">
        <v>323</v>
      </c>
      <c r="D39" s="3" t="s">
        <v>134</v>
      </c>
      <c r="E39" s="37">
        <f t="shared" si="2"/>
        <v>134</v>
      </c>
      <c r="F39" s="37">
        <f t="shared" si="3"/>
        <v>134</v>
      </c>
      <c r="G39" s="3" t="s">
        <v>22</v>
      </c>
      <c r="H39" s="3" t="s">
        <v>23</v>
      </c>
      <c r="I39" s="3" t="s">
        <v>30</v>
      </c>
      <c r="J39" s="3">
        <v>5698</v>
      </c>
      <c r="K39" s="3">
        <v>1</v>
      </c>
      <c r="L39" s="21" t="s">
        <v>351</v>
      </c>
      <c r="M39" s="13">
        <v>117</v>
      </c>
      <c r="XEY39"/>
      <c r="XEZ39"/>
      <c r="XFA39"/>
      <c r="XFB39"/>
      <c r="XFC39"/>
      <c r="XFD39"/>
    </row>
    <row r="40" s="3" customFormat="1" hidden="1" spans="1:16384">
      <c r="A40" s="3" t="s">
        <v>177</v>
      </c>
      <c r="B40" s="3" t="s">
        <v>18</v>
      </c>
      <c r="C40" s="3" t="s">
        <v>323</v>
      </c>
      <c r="D40" s="3" t="s">
        <v>134</v>
      </c>
      <c r="E40" s="37">
        <f t="shared" si="2"/>
        <v>134</v>
      </c>
      <c r="F40" s="37">
        <f t="shared" si="3"/>
        <v>134</v>
      </c>
      <c r="G40" s="3" t="s">
        <v>22</v>
      </c>
      <c r="H40" s="3" t="s">
        <v>23</v>
      </c>
      <c r="I40" s="3" t="s">
        <v>30</v>
      </c>
      <c r="J40" s="3">
        <v>5698</v>
      </c>
      <c r="K40" s="3">
        <v>1</v>
      </c>
      <c r="L40" s="16" t="s">
        <v>352</v>
      </c>
      <c r="M40" s="13">
        <v>92</v>
      </c>
      <c r="XEY40"/>
      <c r="XEZ40"/>
      <c r="XFA40"/>
      <c r="XFB40"/>
      <c r="XFC40"/>
      <c r="XFD40"/>
    </row>
    <row r="41" s="3" customFormat="1" spans="1:16384">
      <c r="A41" s="3" t="s">
        <v>180</v>
      </c>
      <c r="B41" s="3" t="s">
        <v>18</v>
      </c>
      <c r="C41" s="3" t="s">
        <v>353</v>
      </c>
      <c r="D41" s="3" t="s">
        <v>76</v>
      </c>
      <c r="E41" s="37">
        <f t="shared" si="2"/>
        <v>135</v>
      </c>
      <c r="F41" s="37">
        <f t="shared" si="3"/>
        <v>135</v>
      </c>
      <c r="G41" s="3" t="s">
        <v>22</v>
      </c>
      <c r="H41" s="3" t="s">
        <v>54</v>
      </c>
      <c r="I41" s="3" t="s">
        <v>30</v>
      </c>
      <c r="J41" s="3">
        <v>5568</v>
      </c>
      <c r="K41" s="3">
        <v>1</v>
      </c>
      <c r="L41" s="16" t="s">
        <v>354</v>
      </c>
      <c r="M41" s="13">
        <v>100</v>
      </c>
      <c r="XEY41"/>
      <c r="XEZ41"/>
      <c r="XFA41"/>
      <c r="XFB41"/>
      <c r="XFC41"/>
      <c r="XFD41"/>
    </row>
    <row r="42" s="3" customFormat="1" hidden="1" spans="1:16384">
      <c r="A42" s="3" t="s">
        <v>193</v>
      </c>
      <c r="B42" s="3" t="s">
        <v>18</v>
      </c>
      <c r="C42" s="3" t="s">
        <v>302</v>
      </c>
      <c r="D42" s="3" t="s">
        <v>52</v>
      </c>
      <c r="E42" s="37">
        <f t="shared" si="2"/>
        <v>224</v>
      </c>
      <c r="F42" s="37">
        <f t="shared" si="3"/>
        <v>224</v>
      </c>
      <c r="G42" s="3" t="s">
        <v>22</v>
      </c>
      <c r="H42" s="3" t="s">
        <v>23</v>
      </c>
      <c r="I42" s="3" t="s">
        <v>30</v>
      </c>
      <c r="J42" s="3">
        <v>7588</v>
      </c>
      <c r="K42" s="3">
        <v>1</v>
      </c>
      <c r="L42" s="16" t="s">
        <v>355</v>
      </c>
      <c r="M42" s="13">
        <v>100</v>
      </c>
      <c r="XEY42"/>
      <c r="XEZ42"/>
      <c r="XFA42"/>
      <c r="XFB42"/>
      <c r="XFC42"/>
      <c r="XFD42"/>
    </row>
    <row r="43" s="3" customFormat="1" hidden="1" spans="1:16384">
      <c r="A43" s="3" t="s">
        <v>193</v>
      </c>
      <c r="B43" s="3" t="s">
        <v>18</v>
      </c>
      <c r="C43" s="3" t="s">
        <v>323</v>
      </c>
      <c r="D43" s="3" t="s">
        <v>134</v>
      </c>
      <c r="E43" s="37">
        <f t="shared" si="2"/>
        <v>134</v>
      </c>
      <c r="F43" s="37">
        <f t="shared" si="3"/>
        <v>134</v>
      </c>
      <c r="G43" s="3" t="s">
        <v>22</v>
      </c>
      <c r="H43" s="3" t="s">
        <v>23</v>
      </c>
      <c r="I43" s="3" t="s">
        <v>30</v>
      </c>
      <c r="J43" s="3">
        <v>5698</v>
      </c>
      <c r="K43" s="3">
        <v>1</v>
      </c>
      <c r="L43" s="16" t="s">
        <v>356</v>
      </c>
      <c r="M43" s="13">
        <v>107</v>
      </c>
      <c r="XEY43"/>
      <c r="XEZ43"/>
      <c r="XFA43"/>
      <c r="XFB43"/>
      <c r="XFC43"/>
      <c r="XFD43"/>
    </row>
    <row r="44" s="3" customFormat="1" hidden="1" spans="1:16384">
      <c r="A44" s="3" t="s">
        <v>193</v>
      </c>
      <c r="B44" s="3" t="s">
        <v>18</v>
      </c>
      <c r="C44" s="3" t="s">
        <v>323</v>
      </c>
      <c r="D44" s="3" t="s">
        <v>134</v>
      </c>
      <c r="E44" s="37">
        <f t="shared" si="2"/>
        <v>134</v>
      </c>
      <c r="F44" s="37">
        <f t="shared" si="3"/>
        <v>134</v>
      </c>
      <c r="G44" s="3" t="s">
        <v>22</v>
      </c>
      <c r="H44" s="3" t="s">
        <v>23</v>
      </c>
      <c r="I44" s="3" t="s">
        <v>30</v>
      </c>
      <c r="J44" s="3">
        <v>5698</v>
      </c>
      <c r="K44" s="3">
        <v>1</v>
      </c>
      <c r="L44" s="21" t="s">
        <v>357</v>
      </c>
      <c r="M44" s="13">
        <v>100</v>
      </c>
      <c r="XEY44"/>
      <c r="XEZ44"/>
      <c r="XFA44"/>
      <c r="XFB44"/>
      <c r="XFC44"/>
      <c r="XFD44"/>
    </row>
    <row r="45" s="3" customFormat="1" hidden="1" spans="1:16384">
      <c r="A45" s="3" t="s">
        <v>193</v>
      </c>
      <c r="B45" s="3" t="s">
        <v>50</v>
      </c>
      <c r="C45" s="3" t="s">
        <v>318</v>
      </c>
      <c r="D45" s="3" t="s">
        <v>115</v>
      </c>
      <c r="E45" s="37">
        <f t="shared" si="2"/>
        <v>120</v>
      </c>
      <c r="F45" s="37">
        <f t="shared" si="3"/>
        <v>-120</v>
      </c>
      <c r="G45" s="3" t="s">
        <v>22</v>
      </c>
      <c r="H45" s="3" t="s">
        <v>93</v>
      </c>
      <c r="I45" s="3" t="s">
        <v>30</v>
      </c>
      <c r="J45" s="3">
        <v>-3098</v>
      </c>
      <c r="K45" s="3">
        <v>-1</v>
      </c>
      <c r="L45" s="21" t="s">
        <v>358</v>
      </c>
      <c r="M45" s="13">
        <v>100</v>
      </c>
      <c r="XEY45"/>
      <c r="XEZ45"/>
      <c r="XFA45"/>
      <c r="XFB45"/>
      <c r="XFC45"/>
      <c r="XFD45"/>
    </row>
    <row r="46" s="3" customFormat="1" hidden="1" spans="1:16384">
      <c r="A46" s="3" t="s">
        <v>210</v>
      </c>
      <c r="B46" s="3" t="s">
        <v>18</v>
      </c>
      <c r="C46" s="3" t="s">
        <v>329</v>
      </c>
      <c r="D46" s="3" t="s">
        <v>142</v>
      </c>
      <c r="E46" s="37">
        <f t="shared" si="2"/>
        <v>163</v>
      </c>
      <c r="F46" s="37">
        <f t="shared" si="3"/>
        <v>163</v>
      </c>
      <c r="G46" s="3" t="s">
        <v>22</v>
      </c>
      <c r="H46" s="3" t="s">
        <v>93</v>
      </c>
      <c r="I46" s="3" t="s">
        <v>30</v>
      </c>
      <c r="J46" s="3">
        <v>7368</v>
      </c>
      <c r="K46" s="3">
        <v>1</v>
      </c>
      <c r="L46" s="21" t="s">
        <v>359</v>
      </c>
      <c r="M46" s="13">
        <v>107</v>
      </c>
      <c r="XEY46"/>
      <c r="XEZ46"/>
      <c r="XFA46"/>
      <c r="XFB46"/>
      <c r="XFC46"/>
      <c r="XFD46"/>
    </row>
    <row r="47" s="3" customFormat="1" spans="1:16384">
      <c r="A47" s="3" t="s">
        <v>213</v>
      </c>
      <c r="B47" s="3" t="s">
        <v>18</v>
      </c>
      <c r="C47" s="3" t="s">
        <v>333</v>
      </c>
      <c r="D47" s="3" t="s">
        <v>149</v>
      </c>
      <c r="E47" s="37">
        <f t="shared" si="2"/>
        <v>142</v>
      </c>
      <c r="F47" s="37">
        <f t="shared" si="3"/>
        <v>142</v>
      </c>
      <c r="G47" s="3" t="s">
        <v>22</v>
      </c>
      <c r="H47" s="3" t="s">
        <v>54</v>
      </c>
      <c r="I47" s="3" t="s">
        <v>30</v>
      </c>
      <c r="J47" s="3">
        <v>6458</v>
      </c>
      <c r="K47" s="3">
        <v>1</v>
      </c>
      <c r="L47" s="16" t="s">
        <v>360</v>
      </c>
      <c r="M47" s="13">
        <v>97</v>
      </c>
      <c r="XEY47"/>
      <c r="XEZ47"/>
      <c r="XFA47"/>
      <c r="XFB47"/>
      <c r="XFC47"/>
      <c r="XFD47"/>
    </row>
    <row r="48" s="3" customFormat="1" spans="1:16384">
      <c r="A48" s="3" t="s">
        <v>213</v>
      </c>
      <c r="B48" s="3" t="s">
        <v>18</v>
      </c>
      <c r="C48" s="3" t="s">
        <v>333</v>
      </c>
      <c r="D48" s="3" t="s">
        <v>149</v>
      </c>
      <c r="E48" s="37">
        <f t="shared" si="2"/>
        <v>142</v>
      </c>
      <c r="F48" s="37">
        <f t="shared" si="3"/>
        <v>142</v>
      </c>
      <c r="G48" s="3" t="s">
        <v>22</v>
      </c>
      <c r="H48" s="3" t="s">
        <v>54</v>
      </c>
      <c r="I48" s="3" t="s">
        <v>30</v>
      </c>
      <c r="J48" s="3">
        <v>6458</v>
      </c>
      <c r="K48" s="3">
        <v>1</v>
      </c>
      <c r="L48" s="16" t="s">
        <v>340</v>
      </c>
      <c r="M48" s="13">
        <v>105</v>
      </c>
      <c r="XEY48"/>
      <c r="XEZ48"/>
      <c r="XFA48"/>
      <c r="XFB48"/>
      <c r="XFC48"/>
      <c r="XFD48"/>
    </row>
    <row r="49" s="3" customFormat="1" spans="1:16384">
      <c r="A49" s="3" t="s">
        <v>213</v>
      </c>
      <c r="B49" s="3" t="s">
        <v>18</v>
      </c>
      <c r="C49" s="3" t="s">
        <v>315</v>
      </c>
      <c r="D49" s="3" t="s">
        <v>48</v>
      </c>
      <c r="E49" s="37">
        <f t="shared" si="2"/>
        <v>119</v>
      </c>
      <c r="F49" s="37">
        <f t="shared" si="3"/>
        <v>119</v>
      </c>
      <c r="G49" s="3" t="s">
        <v>22</v>
      </c>
      <c r="H49" s="3" t="s">
        <v>54</v>
      </c>
      <c r="I49" s="3" t="s">
        <v>30</v>
      </c>
      <c r="J49" s="3">
        <v>5098</v>
      </c>
      <c r="K49" s="3">
        <v>1</v>
      </c>
      <c r="L49" s="16" t="s">
        <v>361</v>
      </c>
      <c r="M49" s="13">
        <v>97</v>
      </c>
      <c r="XEY49"/>
      <c r="XEZ49"/>
      <c r="XFA49"/>
      <c r="XFB49"/>
      <c r="XFC49"/>
      <c r="XFD49"/>
    </row>
    <row r="50" s="3" customFormat="1" spans="1:16384">
      <c r="A50" s="3" t="s">
        <v>213</v>
      </c>
      <c r="B50" s="3" t="s">
        <v>137</v>
      </c>
      <c r="C50" s="3" t="s">
        <v>362</v>
      </c>
      <c r="D50" s="3" t="s">
        <v>173</v>
      </c>
      <c r="E50" s="37">
        <f t="shared" si="2"/>
        <v>160</v>
      </c>
      <c r="F50" s="37">
        <f t="shared" si="3"/>
        <v>-160</v>
      </c>
      <c r="G50" s="3" t="s">
        <v>22</v>
      </c>
      <c r="H50" s="3" t="s">
        <v>54</v>
      </c>
      <c r="I50" s="3" t="s">
        <v>30</v>
      </c>
      <c r="J50" s="3">
        <v>-6888</v>
      </c>
      <c r="K50" s="3">
        <v>-1</v>
      </c>
      <c r="L50" s="12" t="s">
        <v>363</v>
      </c>
      <c r="M50" s="13">
        <v>139</v>
      </c>
      <c r="XEY50"/>
      <c r="XEZ50"/>
      <c r="XFA50"/>
      <c r="XFB50"/>
      <c r="XFC50"/>
      <c r="XFD50"/>
    </row>
    <row r="51" s="3" customFormat="1" spans="1:16384">
      <c r="A51" s="3" t="s">
        <v>219</v>
      </c>
      <c r="B51" s="3" t="s">
        <v>18</v>
      </c>
      <c r="C51" s="3" t="s">
        <v>298</v>
      </c>
      <c r="D51" s="3" t="s">
        <v>20</v>
      </c>
      <c r="E51" s="37">
        <f t="shared" si="2"/>
        <v>200</v>
      </c>
      <c r="F51" s="37">
        <f t="shared" si="3"/>
        <v>200</v>
      </c>
      <c r="G51" s="3" t="s">
        <v>22</v>
      </c>
      <c r="H51" s="3" t="s">
        <v>54</v>
      </c>
      <c r="I51" s="3" t="s">
        <v>30</v>
      </c>
      <c r="J51" s="3">
        <v>8288</v>
      </c>
      <c r="K51" s="3">
        <v>1</v>
      </c>
      <c r="L51" s="12" t="s">
        <v>364</v>
      </c>
      <c r="M51" s="13">
        <v>149</v>
      </c>
      <c r="XEY51"/>
      <c r="XEZ51"/>
      <c r="XFA51"/>
      <c r="XFB51"/>
      <c r="XFC51"/>
      <c r="XFD51"/>
    </row>
    <row r="52" s="3" customFormat="1" spans="1:16384">
      <c r="A52" s="3" t="s">
        <v>219</v>
      </c>
      <c r="B52" s="3" t="s">
        <v>18</v>
      </c>
      <c r="C52" s="3" t="s">
        <v>298</v>
      </c>
      <c r="D52" s="3" t="s">
        <v>20</v>
      </c>
      <c r="E52" s="37">
        <f t="shared" si="2"/>
        <v>200</v>
      </c>
      <c r="F52" s="37">
        <f t="shared" si="3"/>
        <v>200</v>
      </c>
      <c r="G52" s="3" t="s">
        <v>22</v>
      </c>
      <c r="H52" s="3" t="s">
        <v>54</v>
      </c>
      <c r="I52" s="3" t="s">
        <v>30</v>
      </c>
      <c r="J52" s="3">
        <v>8288</v>
      </c>
      <c r="K52" s="3">
        <v>1</v>
      </c>
      <c r="L52" s="16" t="s">
        <v>365</v>
      </c>
      <c r="M52" s="13">
        <v>117</v>
      </c>
      <c r="XEY52"/>
      <c r="XEZ52"/>
      <c r="XFA52"/>
      <c r="XFB52"/>
      <c r="XFC52"/>
      <c r="XFD52"/>
    </row>
    <row r="53" s="3" customFormat="1" spans="1:16384">
      <c r="A53" s="3" t="s">
        <v>219</v>
      </c>
      <c r="B53" s="3" t="s">
        <v>18</v>
      </c>
      <c r="C53" s="3" t="s">
        <v>302</v>
      </c>
      <c r="D53" s="3" t="s">
        <v>52</v>
      </c>
      <c r="E53" s="37">
        <f t="shared" si="2"/>
        <v>224</v>
      </c>
      <c r="F53" s="37">
        <f t="shared" si="3"/>
        <v>224</v>
      </c>
      <c r="G53" s="3" t="s">
        <v>22</v>
      </c>
      <c r="H53" s="3" t="s">
        <v>54</v>
      </c>
      <c r="I53" s="3" t="s">
        <v>30</v>
      </c>
      <c r="J53" s="3">
        <v>7588</v>
      </c>
      <c r="K53" s="3">
        <v>1</v>
      </c>
      <c r="L53" s="22" t="s">
        <v>366</v>
      </c>
      <c r="M53" s="13">
        <v>127</v>
      </c>
      <c r="XEY53"/>
      <c r="XEZ53"/>
      <c r="XFA53"/>
      <c r="XFB53"/>
      <c r="XFC53"/>
      <c r="XFD53"/>
    </row>
    <row r="54" s="3" customFormat="1" spans="1:16384">
      <c r="A54" s="3" t="s">
        <v>219</v>
      </c>
      <c r="B54" s="3" t="s">
        <v>18</v>
      </c>
      <c r="C54" s="3" t="s">
        <v>362</v>
      </c>
      <c r="D54" s="3" t="s">
        <v>173</v>
      </c>
      <c r="E54" s="37">
        <f t="shared" si="2"/>
        <v>160</v>
      </c>
      <c r="F54" s="37">
        <f t="shared" si="3"/>
        <v>160</v>
      </c>
      <c r="G54" s="3" t="s">
        <v>22</v>
      </c>
      <c r="H54" s="3" t="s">
        <v>54</v>
      </c>
      <c r="I54" s="3" t="s">
        <v>30</v>
      </c>
      <c r="J54" s="3">
        <v>6888</v>
      </c>
      <c r="K54" s="3">
        <v>1</v>
      </c>
      <c r="L54" s="16" t="s">
        <v>367</v>
      </c>
      <c r="M54" s="13">
        <v>140</v>
      </c>
      <c r="XEY54"/>
      <c r="XEZ54"/>
      <c r="XFA54"/>
      <c r="XFB54"/>
      <c r="XFC54"/>
      <c r="XFD54"/>
    </row>
    <row r="55" s="3" customFormat="1" spans="1:16384">
      <c r="A55" s="3" t="s">
        <v>219</v>
      </c>
      <c r="B55" s="3" t="s">
        <v>18</v>
      </c>
      <c r="C55" s="3" t="s">
        <v>362</v>
      </c>
      <c r="D55" s="3" t="s">
        <v>173</v>
      </c>
      <c r="E55" s="37">
        <f t="shared" si="2"/>
        <v>160</v>
      </c>
      <c r="F55" s="37">
        <f t="shared" si="3"/>
        <v>160</v>
      </c>
      <c r="G55" s="3" t="s">
        <v>22</v>
      </c>
      <c r="H55" s="3" t="s">
        <v>54</v>
      </c>
      <c r="I55" s="3" t="s">
        <v>30</v>
      </c>
      <c r="J55" s="3">
        <v>6888</v>
      </c>
      <c r="K55" s="3">
        <v>1</v>
      </c>
      <c r="L55" s="16" t="s">
        <v>368</v>
      </c>
      <c r="M55" s="13">
        <v>150</v>
      </c>
      <c r="XEY55"/>
      <c r="XEZ55"/>
      <c r="XFA55"/>
      <c r="XFB55"/>
      <c r="XFC55"/>
      <c r="XFD55"/>
    </row>
    <row r="56" s="3" customFormat="1" spans="1:16384">
      <c r="A56" s="3" t="s">
        <v>219</v>
      </c>
      <c r="B56" s="3" t="s">
        <v>18</v>
      </c>
      <c r="C56" s="3" t="s">
        <v>362</v>
      </c>
      <c r="D56" s="3" t="s">
        <v>173</v>
      </c>
      <c r="E56" s="37">
        <f t="shared" si="2"/>
        <v>160</v>
      </c>
      <c r="F56" s="37">
        <f t="shared" si="3"/>
        <v>160</v>
      </c>
      <c r="G56" s="3" t="s">
        <v>22</v>
      </c>
      <c r="H56" s="3" t="s">
        <v>54</v>
      </c>
      <c r="I56" s="3" t="s">
        <v>30</v>
      </c>
      <c r="J56" s="3">
        <v>6888</v>
      </c>
      <c r="K56" s="3">
        <v>1</v>
      </c>
      <c r="L56" s="16" t="s">
        <v>369</v>
      </c>
      <c r="M56" s="13">
        <v>135</v>
      </c>
      <c r="XEY56"/>
      <c r="XEZ56"/>
      <c r="XFA56"/>
      <c r="XFB56"/>
      <c r="XFC56"/>
      <c r="XFD56"/>
    </row>
    <row r="57" s="3" customFormat="1" spans="1:16384">
      <c r="A57" s="3" t="s">
        <v>219</v>
      </c>
      <c r="B57" s="3" t="s">
        <v>18</v>
      </c>
      <c r="C57" s="3" t="s">
        <v>370</v>
      </c>
      <c r="D57" s="3" t="s">
        <v>231</v>
      </c>
      <c r="E57" s="37">
        <f t="shared" si="2"/>
        <v>157</v>
      </c>
      <c r="F57" s="37">
        <f t="shared" si="3"/>
        <v>157</v>
      </c>
      <c r="G57" s="3" t="s">
        <v>22</v>
      </c>
      <c r="H57" s="3" t="s">
        <v>54</v>
      </c>
      <c r="I57" s="3" t="s">
        <v>30</v>
      </c>
      <c r="J57" s="3">
        <v>6598</v>
      </c>
      <c r="K57" s="3">
        <v>1</v>
      </c>
      <c r="L57" s="16" t="s">
        <v>371</v>
      </c>
      <c r="M57" s="13">
        <v>145</v>
      </c>
      <c r="XEY57"/>
      <c r="XEZ57"/>
      <c r="XFA57"/>
      <c r="XFB57"/>
      <c r="XFC57"/>
      <c r="XFD57"/>
    </row>
    <row r="58" s="3" customFormat="1" spans="1:16384">
      <c r="A58" s="3" t="s">
        <v>219</v>
      </c>
      <c r="B58" s="3" t="s">
        <v>18</v>
      </c>
      <c r="C58" s="3" t="s">
        <v>370</v>
      </c>
      <c r="D58" s="3" t="s">
        <v>231</v>
      </c>
      <c r="E58" s="37">
        <f t="shared" si="2"/>
        <v>157</v>
      </c>
      <c r="F58" s="37">
        <f t="shared" si="3"/>
        <v>157</v>
      </c>
      <c r="G58" s="3" t="s">
        <v>22</v>
      </c>
      <c r="H58" s="3" t="s">
        <v>54</v>
      </c>
      <c r="I58" s="3" t="s">
        <v>30</v>
      </c>
      <c r="J58" s="3">
        <v>6598</v>
      </c>
      <c r="K58" s="3">
        <v>1</v>
      </c>
      <c r="L58" s="15" t="s">
        <v>372</v>
      </c>
      <c r="M58" s="13">
        <v>127</v>
      </c>
      <c r="XEY58"/>
      <c r="XEZ58"/>
      <c r="XFA58"/>
      <c r="XFB58"/>
      <c r="XFC58"/>
      <c r="XFD58"/>
    </row>
    <row r="59" s="3" customFormat="1" spans="1:16384">
      <c r="A59" s="3" t="s">
        <v>219</v>
      </c>
      <c r="B59" s="3" t="s">
        <v>18</v>
      </c>
      <c r="C59" s="3" t="s">
        <v>373</v>
      </c>
      <c r="D59" s="3" t="s">
        <v>237</v>
      </c>
      <c r="E59" s="37">
        <f t="shared" si="2"/>
        <v>155</v>
      </c>
      <c r="F59" s="37">
        <f t="shared" si="3"/>
        <v>155</v>
      </c>
      <c r="G59" s="3" t="s">
        <v>22</v>
      </c>
      <c r="H59" s="3" t="s">
        <v>54</v>
      </c>
      <c r="I59" s="3" t="s">
        <v>30</v>
      </c>
      <c r="J59" s="3">
        <v>6158</v>
      </c>
      <c r="K59" s="3">
        <v>1</v>
      </c>
      <c r="L59" s="15" t="s">
        <v>374</v>
      </c>
      <c r="M59" s="13">
        <v>137</v>
      </c>
      <c r="XEY59"/>
      <c r="XEZ59"/>
      <c r="XFA59"/>
      <c r="XFB59"/>
      <c r="XFC59"/>
      <c r="XFD59"/>
    </row>
    <row r="60" s="3" customFormat="1" spans="1:16384">
      <c r="A60" s="3" t="s">
        <v>219</v>
      </c>
      <c r="B60" s="3" t="s">
        <v>18</v>
      </c>
      <c r="C60" s="3" t="s">
        <v>353</v>
      </c>
      <c r="D60" s="3" t="s">
        <v>76</v>
      </c>
      <c r="E60" s="37">
        <f t="shared" si="2"/>
        <v>135</v>
      </c>
      <c r="F60" s="37">
        <f t="shared" si="3"/>
        <v>135</v>
      </c>
      <c r="G60" s="3" t="s">
        <v>22</v>
      </c>
      <c r="H60" s="3" t="s">
        <v>54</v>
      </c>
      <c r="I60" s="3" t="s">
        <v>30</v>
      </c>
      <c r="J60" s="3">
        <v>5568</v>
      </c>
      <c r="K60" s="3">
        <v>1</v>
      </c>
      <c r="L60" s="21" t="s">
        <v>375</v>
      </c>
      <c r="M60" s="13">
        <v>140</v>
      </c>
      <c r="XEY60"/>
      <c r="XEZ60"/>
      <c r="XFA60"/>
      <c r="XFB60"/>
      <c r="XFC60"/>
      <c r="XFD60"/>
    </row>
    <row r="61" s="3" customFormat="1" spans="1:16384">
      <c r="A61" s="3" t="s">
        <v>219</v>
      </c>
      <c r="B61" s="3" t="s">
        <v>18</v>
      </c>
      <c r="C61" s="3" t="s">
        <v>353</v>
      </c>
      <c r="D61" s="3" t="s">
        <v>76</v>
      </c>
      <c r="E61" s="37">
        <f t="shared" si="2"/>
        <v>135</v>
      </c>
      <c r="F61" s="37">
        <f t="shared" si="3"/>
        <v>135</v>
      </c>
      <c r="G61" s="3" t="s">
        <v>22</v>
      </c>
      <c r="H61" s="3" t="s">
        <v>54</v>
      </c>
      <c r="I61" s="3" t="s">
        <v>30</v>
      </c>
      <c r="J61" s="3">
        <v>5568</v>
      </c>
      <c r="K61" s="3">
        <v>1</v>
      </c>
      <c r="L61" s="21" t="s">
        <v>376</v>
      </c>
      <c r="M61" s="13">
        <v>150</v>
      </c>
      <c r="XEY61"/>
      <c r="XEZ61"/>
      <c r="XFA61"/>
      <c r="XFB61"/>
      <c r="XFC61"/>
      <c r="XFD61"/>
    </row>
    <row r="62" s="3" customFormat="1" spans="1:16384">
      <c r="A62" s="3" t="s">
        <v>219</v>
      </c>
      <c r="B62" s="3" t="s">
        <v>18</v>
      </c>
      <c r="C62" s="3" t="s">
        <v>307</v>
      </c>
      <c r="D62" s="3" t="s">
        <v>42</v>
      </c>
      <c r="E62" s="37">
        <f t="shared" si="2"/>
        <v>142</v>
      </c>
      <c r="F62" s="37">
        <f t="shared" si="3"/>
        <v>142</v>
      </c>
      <c r="G62" s="3" t="s">
        <v>22</v>
      </c>
      <c r="H62" s="3" t="s">
        <v>54</v>
      </c>
      <c r="I62" s="3" t="s">
        <v>30</v>
      </c>
      <c r="J62" s="3">
        <v>5148</v>
      </c>
      <c r="K62" s="3">
        <v>1</v>
      </c>
      <c r="L62" s="16" t="s">
        <v>300</v>
      </c>
      <c r="M62" s="13">
        <v>137</v>
      </c>
      <c r="XEY62"/>
      <c r="XEZ62"/>
      <c r="XFA62"/>
      <c r="XFB62"/>
      <c r="XFC62"/>
      <c r="XFD62"/>
    </row>
    <row r="63" s="3" customFormat="1" spans="1:16384">
      <c r="A63" s="3" t="s">
        <v>219</v>
      </c>
      <c r="B63" s="3" t="s">
        <v>18</v>
      </c>
      <c r="C63" s="3" t="s">
        <v>307</v>
      </c>
      <c r="D63" s="3" t="s">
        <v>42</v>
      </c>
      <c r="E63" s="37">
        <f t="shared" si="2"/>
        <v>142</v>
      </c>
      <c r="F63" s="37">
        <f t="shared" si="3"/>
        <v>142</v>
      </c>
      <c r="G63" s="3" t="s">
        <v>22</v>
      </c>
      <c r="H63" s="3" t="s">
        <v>54</v>
      </c>
      <c r="I63" s="3" t="s">
        <v>30</v>
      </c>
      <c r="J63" s="3">
        <v>5148</v>
      </c>
      <c r="K63" s="3">
        <v>1</v>
      </c>
      <c r="L63" s="16" t="s">
        <v>377</v>
      </c>
      <c r="M63" s="13">
        <v>147</v>
      </c>
      <c r="XEY63"/>
      <c r="XEZ63"/>
      <c r="XFA63"/>
      <c r="XFB63"/>
      <c r="XFC63"/>
      <c r="XFD63"/>
    </row>
    <row r="64" s="3" customFormat="1" spans="1:16384">
      <c r="A64" s="3" t="s">
        <v>219</v>
      </c>
      <c r="B64" s="3" t="s">
        <v>18</v>
      </c>
      <c r="C64" s="3" t="s">
        <v>340</v>
      </c>
      <c r="D64" s="3" t="s">
        <v>159</v>
      </c>
      <c r="E64" s="37">
        <f t="shared" si="2"/>
        <v>105</v>
      </c>
      <c r="F64" s="37">
        <f t="shared" si="3"/>
        <v>105</v>
      </c>
      <c r="G64" s="3" t="s">
        <v>22</v>
      </c>
      <c r="H64" s="3" t="s">
        <v>54</v>
      </c>
      <c r="I64" s="3" t="s">
        <v>30</v>
      </c>
      <c r="J64" s="3">
        <v>4598</v>
      </c>
      <c r="K64" s="3">
        <v>1</v>
      </c>
      <c r="L64" s="21" t="s">
        <v>378</v>
      </c>
      <c r="M64" s="13">
        <v>140</v>
      </c>
      <c r="XEY64"/>
      <c r="XEZ64"/>
      <c r="XFA64"/>
      <c r="XFB64"/>
      <c r="XFC64"/>
      <c r="XFD64"/>
    </row>
    <row r="65" s="3" customFormat="1" spans="1:16384">
      <c r="A65" s="3" t="s">
        <v>219</v>
      </c>
      <c r="B65" s="3" t="s">
        <v>18</v>
      </c>
      <c r="C65" s="3" t="s">
        <v>361</v>
      </c>
      <c r="D65" s="3" t="s">
        <v>79</v>
      </c>
      <c r="E65" s="37">
        <f t="shared" si="2"/>
        <v>97</v>
      </c>
      <c r="F65" s="37">
        <f t="shared" si="3"/>
        <v>97</v>
      </c>
      <c r="G65" s="3" t="s">
        <v>22</v>
      </c>
      <c r="H65" s="3" t="s">
        <v>54</v>
      </c>
      <c r="I65" s="3" t="s">
        <v>30</v>
      </c>
      <c r="J65" s="3">
        <v>4298</v>
      </c>
      <c r="K65" s="3">
        <v>1</v>
      </c>
      <c r="L65" s="23" t="s">
        <v>379</v>
      </c>
      <c r="M65" s="13">
        <v>150</v>
      </c>
      <c r="XEY65"/>
      <c r="XEZ65"/>
      <c r="XFA65"/>
      <c r="XFB65"/>
      <c r="XFC65"/>
      <c r="XFD65"/>
    </row>
    <row r="66" s="3" customFormat="1" spans="1:16384">
      <c r="A66" s="3" t="s">
        <v>219</v>
      </c>
      <c r="B66" s="3" t="s">
        <v>18</v>
      </c>
      <c r="C66" s="3" t="s">
        <v>325</v>
      </c>
      <c r="D66" s="3" t="s">
        <v>67</v>
      </c>
      <c r="E66" s="37">
        <f t="shared" si="2"/>
        <v>90</v>
      </c>
      <c r="F66" s="37">
        <f t="shared" si="3"/>
        <v>90</v>
      </c>
      <c r="G66" s="3" t="s">
        <v>22</v>
      </c>
      <c r="H66" s="3" t="s">
        <v>54</v>
      </c>
      <c r="I66" s="3" t="s">
        <v>30</v>
      </c>
      <c r="J66" s="3">
        <v>3968</v>
      </c>
      <c r="K66" s="3">
        <v>1</v>
      </c>
      <c r="L66" s="23" t="s">
        <v>380</v>
      </c>
      <c r="M66" s="13">
        <v>135</v>
      </c>
      <c r="XEY66"/>
      <c r="XEZ66"/>
      <c r="XFA66"/>
      <c r="XFB66"/>
      <c r="XFC66"/>
      <c r="XFD66"/>
    </row>
    <row r="67" s="3" customFormat="1" spans="1:16384">
      <c r="A67" s="3" t="s">
        <v>219</v>
      </c>
      <c r="B67" s="3" t="s">
        <v>18</v>
      </c>
      <c r="C67" s="3" t="s">
        <v>325</v>
      </c>
      <c r="D67" s="3" t="s">
        <v>67</v>
      </c>
      <c r="E67" s="37">
        <f t="shared" si="2"/>
        <v>90</v>
      </c>
      <c r="F67" s="37">
        <f t="shared" si="3"/>
        <v>90</v>
      </c>
      <c r="G67" s="3" t="s">
        <v>22</v>
      </c>
      <c r="H67" s="3" t="s">
        <v>54</v>
      </c>
      <c r="I67" s="3" t="s">
        <v>30</v>
      </c>
      <c r="J67" s="3">
        <v>3968</v>
      </c>
      <c r="K67" s="3">
        <v>1</v>
      </c>
      <c r="L67" s="19" t="s">
        <v>381</v>
      </c>
      <c r="M67" s="13">
        <v>145</v>
      </c>
      <c r="XEY67"/>
      <c r="XEZ67"/>
      <c r="XFA67"/>
      <c r="XFB67"/>
      <c r="XFC67"/>
      <c r="XFD67"/>
    </row>
    <row r="68" s="3" customFormat="1" spans="1:16384">
      <c r="A68" s="3" t="s">
        <v>219</v>
      </c>
      <c r="B68" s="3" t="s">
        <v>18</v>
      </c>
      <c r="C68" s="3" t="s">
        <v>325</v>
      </c>
      <c r="D68" s="3" t="s">
        <v>67</v>
      </c>
      <c r="E68" s="37">
        <f t="shared" si="2"/>
        <v>90</v>
      </c>
      <c r="F68" s="37">
        <f t="shared" si="3"/>
        <v>90</v>
      </c>
      <c r="G68" s="3" t="s">
        <v>22</v>
      </c>
      <c r="H68" s="3" t="s">
        <v>54</v>
      </c>
      <c r="I68" s="3" t="s">
        <v>30</v>
      </c>
      <c r="J68" s="3">
        <v>3968</v>
      </c>
      <c r="K68" s="3">
        <v>1</v>
      </c>
      <c r="L68" s="15" t="s">
        <v>382</v>
      </c>
      <c r="M68" s="13">
        <v>162</v>
      </c>
      <c r="XEY68"/>
      <c r="XEZ68"/>
      <c r="XFA68"/>
      <c r="XFB68"/>
      <c r="XFC68"/>
      <c r="XFD68"/>
    </row>
    <row r="69" s="3" customFormat="1" spans="1:16384">
      <c r="A69" s="3" t="s">
        <v>219</v>
      </c>
      <c r="B69" s="3" t="s">
        <v>18</v>
      </c>
      <c r="C69" s="3" t="s">
        <v>343</v>
      </c>
      <c r="D69" s="3" t="s">
        <v>163</v>
      </c>
      <c r="E69" s="37">
        <f t="shared" si="2"/>
        <v>75</v>
      </c>
      <c r="F69" s="37">
        <f t="shared" si="3"/>
        <v>75</v>
      </c>
      <c r="G69" s="3" t="s">
        <v>22</v>
      </c>
      <c r="H69" s="3" t="s">
        <v>54</v>
      </c>
      <c r="I69" s="3" t="s">
        <v>30</v>
      </c>
      <c r="J69" s="3">
        <v>2998</v>
      </c>
      <c r="K69" s="3">
        <v>1</v>
      </c>
      <c r="L69" s="20" t="s">
        <v>383</v>
      </c>
      <c r="M69" s="13">
        <v>172</v>
      </c>
      <c r="XEY69"/>
      <c r="XEZ69"/>
      <c r="XFA69"/>
      <c r="XFB69"/>
      <c r="XFC69"/>
      <c r="XFD69"/>
    </row>
    <row r="70" s="3" customFormat="1" spans="1:16384">
      <c r="A70" s="3" t="s">
        <v>219</v>
      </c>
      <c r="B70" s="3" t="s">
        <v>137</v>
      </c>
      <c r="C70" s="3" t="s">
        <v>348</v>
      </c>
      <c r="D70" s="3" t="s">
        <v>72</v>
      </c>
      <c r="E70" s="37">
        <f t="shared" si="2"/>
        <v>190</v>
      </c>
      <c r="F70" s="37">
        <f t="shared" si="3"/>
        <v>-190</v>
      </c>
      <c r="G70" s="3" t="s">
        <v>22</v>
      </c>
      <c r="H70" s="3" t="s">
        <v>54</v>
      </c>
      <c r="I70" s="3" t="s">
        <v>30</v>
      </c>
      <c r="J70" s="3">
        <v>-7898</v>
      </c>
      <c r="K70" s="3">
        <v>-1</v>
      </c>
      <c r="L70" s="17" t="s">
        <v>384</v>
      </c>
      <c r="M70" s="13">
        <v>168</v>
      </c>
      <c r="XEY70"/>
      <c r="XEZ70"/>
      <c r="XFA70"/>
      <c r="XFB70"/>
      <c r="XFC70"/>
      <c r="XFD70"/>
    </row>
    <row r="71" s="3" customFormat="1" hidden="1" spans="1:16384">
      <c r="A71" s="3" t="s">
        <v>290</v>
      </c>
      <c r="B71" s="3" t="s">
        <v>18</v>
      </c>
      <c r="C71" s="3" t="s">
        <v>302</v>
      </c>
      <c r="D71" s="3" t="s">
        <v>52</v>
      </c>
      <c r="E71" s="37">
        <f t="shared" si="2"/>
        <v>224</v>
      </c>
      <c r="F71" s="37">
        <f t="shared" si="3"/>
        <v>224</v>
      </c>
      <c r="G71" s="3" t="s">
        <v>22</v>
      </c>
      <c r="H71" s="3" t="s">
        <v>93</v>
      </c>
      <c r="I71" s="3" t="s">
        <v>30</v>
      </c>
      <c r="J71" s="3">
        <v>7588</v>
      </c>
      <c r="K71" s="3">
        <v>1</v>
      </c>
      <c r="L71" s="17" t="s">
        <v>385</v>
      </c>
      <c r="M71" s="13">
        <v>178</v>
      </c>
      <c r="XEY71"/>
      <c r="XEZ71"/>
      <c r="XFA71"/>
      <c r="XFB71"/>
      <c r="XFC71"/>
      <c r="XFD71"/>
    </row>
    <row r="72" s="3" customFormat="1" hidden="1" spans="1:16384">
      <c r="A72" s="3" t="s">
        <v>290</v>
      </c>
      <c r="B72" s="3" t="s">
        <v>18</v>
      </c>
      <c r="C72" s="3" t="s">
        <v>343</v>
      </c>
      <c r="D72" s="3" t="s">
        <v>163</v>
      </c>
      <c r="E72" s="37">
        <f t="shared" si="2"/>
        <v>75</v>
      </c>
      <c r="F72" s="37">
        <f t="shared" si="3"/>
        <v>75</v>
      </c>
      <c r="G72" s="3" t="s">
        <v>22</v>
      </c>
      <c r="H72" s="3" t="s">
        <v>93</v>
      </c>
      <c r="I72" s="3" t="s">
        <v>30</v>
      </c>
      <c r="J72" s="3">
        <v>2998</v>
      </c>
      <c r="K72" s="3">
        <v>1</v>
      </c>
      <c r="L72" s="21" t="s">
        <v>386</v>
      </c>
      <c r="M72" s="13">
        <v>145</v>
      </c>
      <c r="XEY72"/>
      <c r="XEZ72"/>
      <c r="XFA72"/>
      <c r="XFB72"/>
      <c r="XFC72"/>
      <c r="XFD72"/>
    </row>
    <row r="73" s="3" customFormat="1" spans="1:16384">
      <c r="A73" s="3" t="s">
        <v>294</v>
      </c>
      <c r="B73" s="3" t="s">
        <v>18</v>
      </c>
      <c r="C73" s="3" t="s">
        <v>362</v>
      </c>
      <c r="D73" s="3" t="s">
        <v>173</v>
      </c>
      <c r="E73" s="37">
        <f t="shared" si="2"/>
        <v>160</v>
      </c>
      <c r="F73" s="37">
        <f t="shared" si="3"/>
        <v>160</v>
      </c>
      <c r="G73" s="3" t="s">
        <v>22</v>
      </c>
      <c r="H73" s="3" t="s">
        <v>54</v>
      </c>
      <c r="I73" s="3" t="s">
        <v>30</v>
      </c>
      <c r="J73" s="3">
        <v>6888</v>
      </c>
      <c r="K73" s="3">
        <v>1</v>
      </c>
      <c r="L73" s="21" t="s">
        <v>387</v>
      </c>
      <c r="M73" s="13">
        <v>155</v>
      </c>
      <c r="XEY73"/>
      <c r="XEZ73"/>
      <c r="XFA73"/>
      <c r="XFB73"/>
      <c r="XFC73"/>
      <c r="XFD73"/>
    </row>
    <row r="74" hidden="1" spans="5:13">
      <c r="E74" s="37"/>
      <c r="L74" s="21" t="s">
        <v>388</v>
      </c>
      <c r="M74" s="13">
        <v>148</v>
      </c>
    </row>
    <row r="75" hidden="1" spans="5:13">
      <c r="E75" s="37"/>
      <c r="L75" s="21" t="s">
        <v>389</v>
      </c>
      <c r="M75" s="13">
        <v>158</v>
      </c>
    </row>
    <row r="76" hidden="1" spans="5:13">
      <c r="E76" s="37"/>
      <c r="L76" s="12" t="s">
        <v>390</v>
      </c>
      <c r="M76" s="13">
        <v>62</v>
      </c>
    </row>
    <row r="77" hidden="1" spans="5:13">
      <c r="E77" s="37"/>
      <c r="L77" s="12" t="s">
        <v>391</v>
      </c>
      <c r="M77" s="13">
        <v>65</v>
      </c>
    </row>
    <row r="78" hidden="1" spans="12:13">
      <c r="L78" s="12" t="s">
        <v>392</v>
      </c>
      <c r="M78" s="13">
        <v>67</v>
      </c>
    </row>
    <row r="79" hidden="1" spans="12:13">
      <c r="L79" s="12" t="s">
        <v>393</v>
      </c>
      <c r="M79" s="13">
        <v>79</v>
      </c>
    </row>
    <row r="80" hidden="1" spans="12:13">
      <c r="L80" s="12" t="s">
        <v>394</v>
      </c>
      <c r="M80" s="13">
        <v>85</v>
      </c>
    </row>
    <row r="81" hidden="1" spans="12:13">
      <c r="L81" s="12" t="s">
        <v>395</v>
      </c>
      <c r="M81" s="13">
        <v>95</v>
      </c>
    </row>
    <row r="82" hidden="1" spans="12:13">
      <c r="L82" s="21" t="s">
        <v>396</v>
      </c>
      <c r="M82" s="13">
        <v>77</v>
      </c>
    </row>
    <row r="83" hidden="1" spans="12:13">
      <c r="L83" s="21" t="s">
        <v>397</v>
      </c>
      <c r="M83" s="13">
        <v>83</v>
      </c>
    </row>
    <row r="84" hidden="1" spans="12:13">
      <c r="L84" s="21" t="s">
        <v>398</v>
      </c>
      <c r="M84" s="13">
        <v>90</v>
      </c>
    </row>
    <row r="85" hidden="1" spans="12:13">
      <c r="L85" s="21" t="s">
        <v>399</v>
      </c>
      <c r="M85" s="13">
        <v>100</v>
      </c>
    </row>
    <row r="86" hidden="1" spans="12:13">
      <c r="L86" s="16" t="s">
        <v>400</v>
      </c>
      <c r="M86" s="13">
        <v>159</v>
      </c>
    </row>
    <row r="87" hidden="1" spans="12:13">
      <c r="L87" s="24" t="s">
        <v>401</v>
      </c>
      <c r="M87" s="13">
        <v>40</v>
      </c>
    </row>
    <row r="88" hidden="1" spans="12:13">
      <c r="L88" s="24" t="s">
        <v>402</v>
      </c>
      <c r="M88" s="13">
        <v>42</v>
      </c>
    </row>
    <row r="89" hidden="1" spans="12:13">
      <c r="L89" s="24" t="s">
        <v>403</v>
      </c>
      <c r="M89" s="13">
        <v>45</v>
      </c>
    </row>
    <row r="90" hidden="1" spans="12:13">
      <c r="L90" s="16" t="s">
        <v>404</v>
      </c>
      <c r="M90" s="13">
        <v>40</v>
      </c>
    </row>
    <row r="91" hidden="1" spans="12:13">
      <c r="L91" s="16" t="s">
        <v>405</v>
      </c>
      <c r="M91" s="13">
        <v>40</v>
      </c>
    </row>
    <row r="92" hidden="1" spans="12:13">
      <c r="L92" s="16" t="s">
        <v>406</v>
      </c>
      <c r="M92" s="13">
        <v>43</v>
      </c>
    </row>
    <row r="93" hidden="1" spans="12:13">
      <c r="L93" s="12" t="s">
        <v>407</v>
      </c>
      <c r="M93" s="13">
        <v>104</v>
      </c>
    </row>
    <row r="94" hidden="1" spans="12:13">
      <c r="L94" s="12" t="s">
        <v>408</v>
      </c>
      <c r="M94" s="13">
        <v>118</v>
      </c>
    </row>
    <row r="95" hidden="1" spans="12:13">
      <c r="L95" s="12" t="s">
        <v>409</v>
      </c>
      <c r="M95" s="13">
        <v>214</v>
      </c>
    </row>
    <row r="96" hidden="1" spans="12:13">
      <c r="L96" s="12" t="s">
        <v>410</v>
      </c>
      <c r="M96" s="13">
        <v>333</v>
      </c>
    </row>
    <row r="97" hidden="1" spans="12:13">
      <c r="L97" s="12" t="s">
        <v>411</v>
      </c>
      <c r="M97" s="13">
        <v>544</v>
      </c>
    </row>
    <row r="98" hidden="1" spans="12:13">
      <c r="L98" s="12" t="s">
        <v>412</v>
      </c>
      <c r="M98" s="13">
        <v>190</v>
      </c>
    </row>
    <row r="99" hidden="1" spans="12:13">
      <c r="L99" s="12" t="s">
        <v>413</v>
      </c>
      <c r="M99" s="13">
        <v>227</v>
      </c>
    </row>
    <row r="100" hidden="1" spans="12:13">
      <c r="L100" s="12" t="s">
        <v>414</v>
      </c>
      <c r="M100" s="13">
        <v>267</v>
      </c>
    </row>
    <row r="101" hidden="1" spans="12:13">
      <c r="L101" s="25" t="s">
        <v>415</v>
      </c>
      <c r="M101" s="13">
        <v>386</v>
      </c>
    </row>
    <row r="102" hidden="1" spans="12:13">
      <c r="L102" s="12" t="s">
        <v>416</v>
      </c>
      <c r="M102" s="6">
        <v>365</v>
      </c>
    </row>
    <row r="103" hidden="1" spans="12:13">
      <c r="L103" s="12" t="s">
        <v>417</v>
      </c>
      <c r="M103" s="6">
        <v>479</v>
      </c>
    </row>
    <row r="104" hidden="1" spans="12:13">
      <c r="L104" s="12" t="s">
        <v>418</v>
      </c>
      <c r="M104" s="6">
        <v>90</v>
      </c>
    </row>
    <row r="105" hidden="1" spans="12:13">
      <c r="L105" s="12" t="s">
        <v>419</v>
      </c>
      <c r="M105" s="6">
        <v>195</v>
      </c>
    </row>
    <row r="106" hidden="1" spans="12:13">
      <c r="L106" s="19" t="s">
        <v>420</v>
      </c>
      <c r="M106" s="6">
        <v>396</v>
      </c>
    </row>
    <row r="107" hidden="1" spans="12:13">
      <c r="L107" s="16" t="s">
        <v>421</v>
      </c>
      <c r="M107" s="6">
        <v>396</v>
      </c>
    </row>
    <row r="108" hidden="1" spans="12:13">
      <c r="L108" s="16" t="s">
        <v>422</v>
      </c>
      <c r="M108" s="6">
        <v>601</v>
      </c>
    </row>
    <row r="109" hidden="1" spans="12:13">
      <c r="L109" s="12" t="s">
        <v>423</v>
      </c>
      <c r="M109" s="6">
        <v>12</v>
      </c>
    </row>
    <row r="110" hidden="1" spans="12:13">
      <c r="L110" s="12" t="s">
        <v>424</v>
      </c>
      <c r="M110" s="6">
        <v>123</v>
      </c>
    </row>
    <row r="111" hidden="1" spans="12:13">
      <c r="L111" s="17" t="s">
        <v>425</v>
      </c>
      <c r="M111" s="6">
        <v>22</v>
      </c>
    </row>
    <row r="112" hidden="1" spans="12:13">
      <c r="L112" s="16" t="s">
        <v>343</v>
      </c>
      <c r="M112" s="6">
        <v>75</v>
      </c>
    </row>
    <row r="113" hidden="1" spans="12:13">
      <c r="L113" s="15" t="s">
        <v>426</v>
      </c>
      <c r="M113" s="6">
        <v>106</v>
      </c>
    </row>
    <row r="114" hidden="1" spans="12:13">
      <c r="L114" s="21" t="s">
        <v>427</v>
      </c>
      <c r="M114" s="6">
        <v>46</v>
      </c>
    </row>
    <row r="115" hidden="1" spans="12:13">
      <c r="L115" s="16" t="s">
        <v>428</v>
      </c>
      <c r="M115" s="6">
        <v>46</v>
      </c>
    </row>
    <row r="116" hidden="1" spans="12:13">
      <c r="L116" s="16" t="s">
        <v>429</v>
      </c>
      <c r="M116" s="6">
        <v>70</v>
      </c>
    </row>
    <row r="117" hidden="1" spans="12:13">
      <c r="L117" s="26" t="s">
        <v>430</v>
      </c>
      <c r="M117" s="6">
        <v>120</v>
      </c>
    </row>
    <row r="118" hidden="1" spans="12:13">
      <c r="L118" s="14" t="s">
        <v>431</v>
      </c>
      <c r="M118" s="6">
        <v>125</v>
      </c>
    </row>
    <row r="119" hidden="1" spans="12:13">
      <c r="L119" s="21" t="s">
        <v>432</v>
      </c>
      <c r="M119" s="6">
        <v>142</v>
      </c>
    </row>
    <row r="120" hidden="1" spans="12:13">
      <c r="L120" s="21" t="s">
        <v>433</v>
      </c>
      <c r="M120" s="6">
        <v>147</v>
      </c>
    </row>
    <row r="121" hidden="1" spans="12:13">
      <c r="L121" s="16" t="s">
        <v>434</v>
      </c>
      <c r="M121" s="6">
        <v>135</v>
      </c>
    </row>
    <row r="122" hidden="1" spans="12:13">
      <c r="L122" s="27" t="s">
        <v>435</v>
      </c>
      <c r="M122" s="6">
        <v>149</v>
      </c>
    </row>
    <row r="123" hidden="1" spans="12:13">
      <c r="L123" s="14" t="s">
        <v>436</v>
      </c>
      <c r="M123" s="6">
        <v>171</v>
      </c>
    </row>
    <row r="124" hidden="1" spans="12:13">
      <c r="L124" s="28" t="s">
        <v>437</v>
      </c>
      <c r="M124" s="6">
        <v>201</v>
      </c>
    </row>
    <row r="125" hidden="1" spans="12:13">
      <c r="L125" s="29" t="s">
        <v>438</v>
      </c>
      <c r="M125" s="6">
        <v>237</v>
      </c>
    </row>
    <row r="126" hidden="1" spans="12:13">
      <c r="L126" s="16" t="s">
        <v>439</v>
      </c>
      <c r="M126" s="6">
        <v>216</v>
      </c>
    </row>
    <row r="127" hidden="1" spans="12:13">
      <c r="L127" s="16" t="s">
        <v>440</v>
      </c>
      <c r="M127" s="6">
        <v>226</v>
      </c>
    </row>
    <row r="128" hidden="1" spans="12:13">
      <c r="L128" s="30" t="s">
        <v>441</v>
      </c>
      <c r="M128" s="6">
        <v>201</v>
      </c>
    </row>
    <row r="129" hidden="1" spans="12:13">
      <c r="L129" s="30" t="s">
        <v>442</v>
      </c>
      <c r="M129" s="6">
        <v>180</v>
      </c>
    </row>
    <row r="130" hidden="1" spans="12:13">
      <c r="L130" s="21" t="s">
        <v>443</v>
      </c>
      <c r="M130" s="6">
        <v>228</v>
      </c>
    </row>
    <row r="131" hidden="1" spans="12:13">
      <c r="L131" s="21" t="s">
        <v>444</v>
      </c>
      <c r="M131" s="6">
        <v>297</v>
      </c>
    </row>
    <row r="132" hidden="1" spans="12:13">
      <c r="L132" s="21" t="s">
        <v>445</v>
      </c>
      <c r="M132" s="6">
        <v>240</v>
      </c>
    </row>
    <row r="133" hidden="1" spans="12:13">
      <c r="L133" s="21" t="s">
        <v>446</v>
      </c>
      <c r="M133" s="6">
        <v>177</v>
      </c>
    </row>
    <row r="134" hidden="1" spans="12:13">
      <c r="L134" s="14" t="s">
        <v>447</v>
      </c>
      <c r="M134" s="6">
        <v>197</v>
      </c>
    </row>
    <row r="135" hidden="1" spans="12:13">
      <c r="L135" s="21" t="s">
        <v>448</v>
      </c>
      <c r="M135" s="6">
        <v>216</v>
      </c>
    </row>
    <row r="136" hidden="1" spans="12:13">
      <c r="L136" s="16" t="s">
        <v>449</v>
      </c>
      <c r="M136" s="6">
        <v>94</v>
      </c>
    </row>
    <row r="137" hidden="1" spans="12:13">
      <c r="L137" s="31" t="s">
        <v>302</v>
      </c>
      <c r="M137" s="6">
        <v>224</v>
      </c>
    </row>
    <row r="138" hidden="1" spans="12:13">
      <c r="L138" s="17" t="s">
        <v>450</v>
      </c>
      <c r="M138" s="6">
        <v>213</v>
      </c>
    </row>
    <row r="139" hidden="1" spans="12:13">
      <c r="L139" s="16" t="s">
        <v>451</v>
      </c>
      <c r="M139" s="6">
        <v>99</v>
      </c>
    </row>
    <row r="140" hidden="1" spans="12:13">
      <c r="L140" s="15" t="s">
        <v>452</v>
      </c>
      <c r="M140" s="6">
        <v>276</v>
      </c>
    </row>
    <row r="141" hidden="1" spans="12:13">
      <c r="L141" s="16" t="s">
        <v>453</v>
      </c>
      <c r="M141" s="6">
        <v>276</v>
      </c>
    </row>
    <row r="142" hidden="1" spans="12:13">
      <c r="L142" s="15" t="s">
        <v>454</v>
      </c>
      <c r="M142" s="6">
        <v>249</v>
      </c>
    </row>
    <row r="143" hidden="1" spans="12:13">
      <c r="L143" s="15" t="s">
        <v>455</v>
      </c>
      <c r="M143" s="6">
        <v>270</v>
      </c>
    </row>
    <row r="144" hidden="1" spans="12:13">
      <c r="L144" s="22" t="s">
        <v>456</v>
      </c>
      <c r="M144" s="6">
        <v>237</v>
      </c>
    </row>
    <row r="145" hidden="1" spans="12:13">
      <c r="L145" s="22" t="s">
        <v>457</v>
      </c>
      <c r="M145" s="6">
        <v>258</v>
      </c>
    </row>
    <row r="146" hidden="1" spans="12:13">
      <c r="L146" s="21" t="s">
        <v>458</v>
      </c>
      <c r="M146" s="6">
        <v>249</v>
      </c>
    </row>
    <row r="147" hidden="1" spans="12:13">
      <c r="L147" s="21" t="s">
        <v>459</v>
      </c>
      <c r="M147" s="6">
        <v>270</v>
      </c>
    </row>
    <row r="148" hidden="1" spans="12:13">
      <c r="L148" s="21" t="s">
        <v>460</v>
      </c>
      <c r="M148" s="6">
        <v>287</v>
      </c>
    </row>
    <row r="149" hidden="1" spans="12:13">
      <c r="L149" s="14" t="s">
        <v>461</v>
      </c>
      <c r="M149" s="6">
        <v>246</v>
      </c>
    </row>
    <row r="150" hidden="1" spans="12:13">
      <c r="L150" s="21" t="s">
        <v>462</v>
      </c>
      <c r="M150" s="6">
        <v>258</v>
      </c>
    </row>
    <row r="151" hidden="1" spans="12:13">
      <c r="L151" s="27" t="s">
        <v>463</v>
      </c>
      <c r="M151" s="6">
        <v>273</v>
      </c>
    </row>
    <row r="152" hidden="1" spans="12:13">
      <c r="L152" s="21" t="s">
        <v>464</v>
      </c>
      <c r="M152" s="6">
        <v>276</v>
      </c>
    </row>
    <row r="153" hidden="1" spans="12:13">
      <c r="L153" s="21" t="s">
        <v>465</v>
      </c>
      <c r="M153" s="6">
        <v>321</v>
      </c>
    </row>
    <row r="154" hidden="1" spans="12:13">
      <c r="L154" s="21" t="s">
        <v>466</v>
      </c>
      <c r="M154" s="6">
        <v>333</v>
      </c>
    </row>
    <row r="155" hidden="1" spans="12:13">
      <c r="L155" s="21" t="s">
        <v>467</v>
      </c>
      <c r="M155" s="6">
        <v>345</v>
      </c>
    </row>
    <row r="156" hidden="1" spans="12:13">
      <c r="L156" s="14" t="s">
        <v>468</v>
      </c>
      <c r="M156" s="6">
        <v>463</v>
      </c>
    </row>
    <row r="157" hidden="1" spans="12:13">
      <c r="L157" s="31" t="s">
        <v>469</v>
      </c>
      <c r="M157" s="6">
        <v>336</v>
      </c>
    </row>
    <row r="158" hidden="1" spans="12:13">
      <c r="L158" s="17" t="s">
        <v>470</v>
      </c>
      <c r="M158" s="6">
        <v>348</v>
      </c>
    </row>
    <row r="159" hidden="1" spans="12:13">
      <c r="L159" s="17" t="s">
        <v>471</v>
      </c>
      <c r="M159" s="6">
        <v>357</v>
      </c>
    </row>
    <row r="160" hidden="1" spans="12:13">
      <c r="L160" s="15" t="s">
        <v>472</v>
      </c>
      <c r="M160" s="6">
        <v>150</v>
      </c>
    </row>
    <row r="161" hidden="1" spans="12:13">
      <c r="L161" s="15" t="s">
        <v>473</v>
      </c>
      <c r="M161" s="6">
        <v>225</v>
      </c>
    </row>
    <row r="162" hidden="1" spans="12:13">
      <c r="L162" s="21" t="s">
        <v>474</v>
      </c>
      <c r="M162" s="6">
        <v>151</v>
      </c>
    </row>
    <row r="163" hidden="1" spans="12:13">
      <c r="L163" s="21" t="s">
        <v>475</v>
      </c>
      <c r="M163" s="6">
        <v>227</v>
      </c>
    </row>
    <row r="164" hidden="1" spans="12:13">
      <c r="L164" s="21" t="s">
        <v>476</v>
      </c>
      <c r="M164" s="6">
        <v>48</v>
      </c>
    </row>
    <row r="165" hidden="1" spans="12:13">
      <c r="L165" s="21" t="s">
        <v>477</v>
      </c>
      <c r="M165" s="6">
        <v>52</v>
      </c>
    </row>
    <row r="166" hidden="1" spans="12:13">
      <c r="L166" s="19" t="s">
        <v>478</v>
      </c>
      <c r="M166" s="6">
        <v>55</v>
      </c>
    </row>
    <row r="167" hidden="1" spans="12:13">
      <c r="L167" s="22" t="s">
        <v>479</v>
      </c>
      <c r="M167" s="6">
        <v>55</v>
      </c>
    </row>
    <row r="168" hidden="1" spans="12:13">
      <c r="L168" s="16" t="s">
        <v>480</v>
      </c>
      <c r="M168" s="6">
        <v>102</v>
      </c>
    </row>
    <row r="169" hidden="1" spans="12:13">
      <c r="L169" s="17" t="s">
        <v>481</v>
      </c>
      <c r="M169" s="6">
        <v>111</v>
      </c>
    </row>
    <row r="170" hidden="1" spans="12:13">
      <c r="L170" s="17" t="s">
        <v>482</v>
      </c>
      <c r="M170" s="6">
        <v>119</v>
      </c>
    </row>
    <row r="171" hidden="1" spans="12:13">
      <c r="L171" s="17" t="s">
        <v>483</v>
      </c>
      <c r="M171" s="6">
        <v>111</v>
      </c>
    </row>
    <row r="172" hidden="1" spans="12:13">
      <c r="L172" s="17" t="s">
        <v>484</v>
      </c>
      <c r="M172" s="6">
        <v>119</v>
      </c>
    </row>
    <row r="173" hidden="1" spans="12:13">
      <c r="L173" s="17" t="s">
        <v>485</v>
      </c>
      <c r="M173" s="6">
        <v>111</v>
      </c>
    </row>
    <row r="174" hidden="1" spans="12:13">
      <c r="L174" s="17" t="s">
        <v>315</v>
      </c>
      <c r="M174" s="6">
        <v>119</v>
      </c>
    </row>
    <row r="175" hidden="1" spans="12:13">
      <c r="L175" s="22" t="s">
        <v>486</v>
      </c>
      <c r="M175" s="6">
        <v>120</v>
      </c>
    </row>
    <row r="176" hidden="1" spans="12:13">
      <c r="L176" s="15" t="s">
        <v>487</v>
      </c>
      <c r="M176" s="6">
        <v>127</v>
      </c>
    </row>
    <row r="177" hidden="1" spans="12:13">
      <c r="L177" s="16" t="s">
        <v>488</v>
      </c>
      <c r="M177" s="6">
        <v>140</v>
      </c>
    </row>
    <row r="178" hidden="1" spans="12:13">
      <c r="L178" s="16" t="s">
        <v>336</v>
      </c>
      <c r="M178" s="6">
        <v>127</v>
      </c>
    </row>
    <row r="179" hidden="1" spans="12:13">
      <c r="L179" s="16" t="s">
        <v>323</v>
      </c>
      <c r="M179" s="6">
        <v>134</v>
      </c>
    </row>
    <row r="180" hidden="1" spans="12:13">
      <c r="L180" s="16" t="s">
        <v>489</v>
      </c>
      <c r="M180" s="6">
        <v>132</v>
      </c>
    </row>
    <row r="181" hidden="1" spans="12:13">
      <c r="L181" s="16" t="s">
        <v>348</v>
      </c>
      <c r="M181" s="6">
        <v>190</v>
      </c>
    </row>
    <row r="182" hidden="1" spans="12:13">
      <c r="L182" s="22" t="s">
        <v>490</v>
      </c>
      <c r="M182" s="6">
        <v>126</v>
      </c>
    </row>
    <row r="183" hidden="1" spans="12:13">
      <c r="L183" s="22" t="s">
        <v>491</v>
      </c>
      <c r="M183" s="6">
        <v>140</v>
      </c>
    </row>
    <row r="184" hidden="1" spans="12:13">
      <c r="L184" s="16" t="s">
        <v>492</v>
      </c>
      <c r="M184" s="6">
        <v>144</v>
      </c>
    </row>
    <row r="185" hidden="1" spans="12:13">
      <c r="L185" s="16" t="s">
        <v>493</v>
      </c>
      <c r="M185" s="6">
        <v>152</v>
      </c>
    </row>
    <row r="186" hidden="1" spans="12:13">
      <c r="L186" s="22" t="s">
        <v>494</v>
      </c>
      <c r="M186" s="6">
        <v>140</v>
      </c>
    </row>
    <row r="187" hidden="1" spans="12:13">
      <c r="L187" s="19" t="s">
        <v>495</v>
      </c>
      <c r="M187" s="6">
        <v>150</v>
      </c>
    </row>
    <row r="188" hidden="1" spans="12:13">
      <c r="L188" s="21" t="s">
        <v>496</v>
      </c>
      <c r="M188" s="6">
        <v>158</v>
      </c>
    </row>
    <row r="189" hidden="1" spans="12:13">
      <c r="L189" s="21" t="s">
        <v>497</v>
      </c>
      <c r="M189" s="6">
        <v>165</v>
      </c>
    </row>
    <row r="190" hidden="1" spans="12:13">
      <c r="L190" s="21" t="s">
        <v>373</v>
      </c>
      <c r="M190" s="6">
        <v>155</v>
      </c>
    </row>
    <row r="191" hidden="1" spans="12:13">
      <c r="L191" s="21" t="s">
        <v>329</v>
      </c>
      <c r="M191" s="6">
        <v>163</v>
      </c>
    </row>
    <row r="192" hidden="1" spans="12:13">
      <c r="L192" s="19" t="s">
        <v>498</v>
      </c>
      <c r="M192" s="6">
        <v>150</v>
      </c>
    </row>
    <row r="193" hidden="1" spans="12:13">
      <c r="L193" s="20" t="s">
        <v>370</v>
      </c>
      <c r="M193" s="6">
        <v>157</v>
      </c>
    </row>
    <row r="194" hidden="1" spans="12:13">
      <c r="L194" s="16" t="s">
        <v>499</v>
      </c>
      <c r="M194" s="6">
        <v>165</v>
      </c>
    </row>
    <row r="195" hidden="1" spans="12:13">
      <c r="L195" s="12" t="s">
        <v>500</v>
      </c>
      <c r="M195" s="6">
        <v>187</v>
      </c>
    </row>
    <row r="196" hidden="1" spans="12:13">
      <c r="L196" s="12" t="s">
        <v>501</v>
      </c>
      <c r="M196" s="6">
        <v>199</v>
      </c>
    </row>
    <row r="197" hidden="1" spans="12:13">
      <c r="L197" s="19" t="s">
        <v>502</v>
      </c>
      <c r="M197" s="6">
        <v>94</v>
      </c>
    </row>
    <row r="198" hidden="1" spans="12:13">
      <c r="L198" s="19" t="s">
        <v>503</v>
      </c>
      <c r="M198" s="6">
        <v>184</v>
      </c>
    </row>
    <row r="199" hidden="1" spans="12:13">
      <c r="L199" s="16" t="s">
        <v>333</v>
      </c>
      <c r="M199" s="6">
        <v>142</v>
      </c>
    </row>
    <row r="200" hidden="1" spans="12:13">
      <c r="L200" s="19" t="s">
        <v>504</v>
      </c>
      <c r="M200" s="6">
        <v>145</v>
      </c>
    </row>
    <row r="201" hidden="1" spans="12:13">
      <c r="L201" s="19" t="s">
        <v>505</v>
      </c>
      <c r="M201" s="6">
        <v>161</v>
      </c>
    </row>
    <row r="202" hidden="1" spans="12:13">
      <c r="L202" s="16" t="s">
        <v>506</v>
      </c>
      <c r="M202" s="6">
        <v>165</v>
      </c>
    </row>
    <row r="203" hidden="1" spans="12:13">
      <c r="L203" s="21" t="s">
        <v>507</v>
      </c>
      <c r="M203" s="6">
        <v>181</v>
      </c>
    </row>
    <row r="204" hidden="1" spans="12:13">
      <c r="L204" s="16" t="s">
        <v>508</v>
      </c>
      <c r="M204" s="6">
        <v>160</v>
      </c>
    </row>
    <row r="205" hidden="1" spans="12:13">
      <c r="L205" s="27" t="s">
        <v>362</v>
      </c>
      <c r="M205" s="6">
        <v>160</v>
      </c>
    </row>
    <row r="206" hidden="1" spans="12:13">
      <c r="L206" s="18" t="s">
        <v>509</v>
      </c>
      <c r="M206" s="6">
        <v>172</v>
      </c>
    </row>
    <row r="207" hidden="1" spans="12:13">
      <c r="L207" s="16" t="s">
        <v>298</v>
      </c>
      <c r="M207" s="6">
        <v>200</v>
      </c>
    </row>
    <row r="208" hidden="1" spans="12:13">
      <c r="L208" s="16" t="s">
        <v>510</v>
      </c>
      <c r="M208" s="6">
        <v>195</v>
      </c>
    </row>
    <row r="209" hidden="1" spans="12:13">
      <c r="L209" s="21" t="s">
        <v>511</v>
      </c>
      <c r="M209" s="6">
        <v>209</v>
      </c>
    </row>
    <row r="210" hidden="1" spans="12:13">
      <c r="L210" s="16" t="s">
        <v>512</v>
      </c>
      <c r="M210" s="6">
        <v>212</v>
      </c>
    </row>
    <row r="211" hidden="1" spans="12:13">
      <c r="L211" s="16" t="s">
        <v>513</v>
      </c>
      <c r="M211" s="6">
        <v>200</v>
      </c>
    </row>
    <row r="212" hidden="1" spans="12:13">
      <c r="L212" s="12" t="s">
        <v>514</v>
      </c>
      <c r="M212" s="6">
        <v>274</v>
      </c>
    </row>
    <row r="213" hidden="1" spans="12:13">
      <c r="L213" s="12" t="s">
        <v>515</v>
      </c>
      <c r="M213" s="6">
        <v>225</v>
      </c>
    </row>
    <row r="214" hidden="1" spans="12:13">
      <c r="L214" s="12" t="s">
        <v>516</v>
      </c>
      <c r="M214" s="6">
        <v>280</v>
      </c>
    </row>
    <row r="215" hidden="1" spans="12:13">
      <c r="L215" s="12" t="s">
        <v>517</v>
      </c>
      <c r="M215" s="6">
        <v>323</v>
      </c>
    </row>
    <row r="216" hidden="1" spans="12:13">
      <c r="L216" s="21" t="s">
        <v>518</v>
      </c>
      <c r="M216" s="6">
        <v>291</v>
      </c>
    </row>
    <row r="217" hidden="1" spans="12:13">
      <c r="L217" s="21" t="s">
        <v>519</v>
      </c>
      <c r="M217" s="6">
        <v>333</v>
      </c>
    </row>
    <row r="218" hidden="1" spans="12:13">
      <c r="L218" s="21" t="s">
        <v>520</v>
      </c>
      <c r="M218" s="6">
        <v>289</v>
      </c>
    </row>
    <row r="219" hidden="1" spans="12:13">
      <c r="L219" s="21" t="s">
        <v>304</v>
      </c>
      <c r="M219" s="6">
        <v>330</v>
      </c>
    </row>
    <row r="220" hidden="1" spans="12:13">
      <c r="L220" s="17" t="s">
        <v>521</v>
      </c>
      <c r="M220" s="6">
        <v>275</v>
      </c>
    </row>
    <row r="221" hidden="1" spans="12:13">
      <c r="L221" s="15" t="s">
        <v>522</v>
      </c>
      <c r="M221" s="6">
        <v>377</v>
      </c>
    </row>
    <row r="222" hidden="1" spans="12:13">
      <c r="L222" s="21" t="s">
        <v>523</v>
      </c>
      <c r="M222" s="6">
        <v>367</v>
      </c>
    </row>
    <row r="223" hidden="1" spans="12:13">
      <c r="L223" s="21" t="s">
        <v>524</v>
      </c>
      <c r="M223" s="6">
        <v>417</v>
      </c>
    </row>
    <row r="224" hidden="1" spans="12:13">
      <c r="L224" s="22" t="s">
        <v>525</v>
      </c>
      <c r="M224" s="6">
        <v>225</v>
      </c>
    </row>
    <row r="225" hidden="1" spans="12:13">
      <c r="L225" s="21" t="s">
        <v>526</v>
      </c>
      <c r="M225" s="6">
        <v>230</v>
      </c>
    </row>
    <row r="226" hidden="1" spans="12:13">
      <c r="L226" s="16" t="s">
        <v>527</v>
      </c>
      <c r="M226" s="6">
        <v>302</v>
      </c>
    </row>
    <row r="227" hidden="1" spans="12:13">
      <c r="L227" s="22" t="s">
        <v>528</v>
      </c>
      <c r="M227" s="6">
        <v>409</v>
      </c>
    </row>
    <row r="228" hidden="1" spans="12:13">
      <c r="L228" s="16" t="s">
        <v>529</v>
      </c>
      <c r="M228" s="6">
        <v>422</v>
      </c>
    </row>
    <row r="229" hidden="1" spans="12:13">
      <c r="L229" s="6" t="s">
        <v>530</v>
      </c>
      <c r="M229" s="6">
        <v>465</v>
      </c>
    </row>
    <row r="230" hidden="1" spans="12:13">
      <c r="L230" s="12" t="s">
        <v>531</v>
      </c>
      <c r="M230" s="6">
        <v>307</v>
      </c>
    </row>
    <row r="231" hidden="1" spans="12:13">
      <c r="L231" s="12" t="s">
        <v>532</v>
      </c>
      <c r="M231" s="6">
        <v>479</v>
      </c>
    </row>
    <row r="232" hidden="1" spans="12:13">
      <c r="L232" s="12" t="s">
        <v>533</v>
      </c>
      <c r="M232" s="6">
        <v>351</v>
      </c>
    </row>
    <row r="233" hidden="1" spans="12:13">
      <c r="L233" s="12" t="s">
        <v>534</v>
      </c>
      <c r="M233" s="6">
        <v>533</v>
      </c>
    </row>
    <row r="234" hidden="1" spans="12:13">
      <c r="L234" s="12" t="s">
        <v>535</v>
      </c>
      <c r="M234" s="6">
        <v>183</v>
      </c>
    </row>
    <row r="235" hidden="1" spans="12:13">
      <c r="L235" s="12" t="s">
        <v>536</v>
      </c>
      <c r="M235" s="6">
        <v>191</v>
      </c>
    </row>
    <row r="236" hidden="1" spans="12:13">
      <c r="L236" s="12" t="s">
        <v>537</v>
      </c>
      <c r="M236" s="6">
        <v>320</v>
      </c>
    </row>
    <row r="237" hidden="1" spans="12:13">
      <c r="L237" s="12" t="s">
        <v>538</v>
      </c>
      <c r="M237" s="6">
        <v>375</v>
      </c>
    </row>
    <row r="238" hidden="1" spans="12:13">
      <c r="L238" s="12" t="s">
        <v>539</v>
      </c>
      <c r="M238" s="6">
        <v>404</v>
      </c>
    </row>
    <row r="239" hidden="1" spans="12:13">
      <c r="L239" s="16" t="s">
        <v>540</v>
      </c>
      <c r="M239" s="6">
        <v>493</v>
      </c>
    </row>
    <row r="240" hidden="1" spans="12:13">
      <c r="L240" s="12" t="s">
        <v>541</v>
      </c>
      <c r="M240" s="6">
        <v>225</v>
      </c>
    </row>
    <row r="241" hidden="1" spans="12:13">
      <c r="L241" s="12" t="s">
        <v>542</v>
      </c>
      <c r="M241" s="6">
        <v>250</v>
      </c>
    </row>
    <row r="242" hidden="1" spans="12:13">
      <c r="L242" s="32" t="s">
        <v>543</v>
      </c>
      <c r="M242" s="6">
        <v>355</v>
      </c>
    </row>
    <row r="243" hidden="1" spans="12:13">
      <c r="L243" s="32" t="s">
        <v>544</v>
      </c>
      <c r="M243" s="6">
        <v>410</v>
      </c>
    </row>
    <row r="244" hidden="1" spans="12:13">
      <c r="L244" s="16" t="s">
        <v>545</v>
      </c>
      <c r="M244" s="6">
        <v>516</v>
      </c>
    </row>
    <row r="245" hidden="1" spans="12:13">
      <c r="L245" s="32" t="s">
        <v>546</v>
      </c>
      <c r="M245" s="6">
        <v>686</v>
      </c>
    </row>
    <row r="246" hidden="1" spans="12:13">
      <c r="L246" s="32" t="s">
        <v>547</v>
      </c>
      <c r="M246" s="6">
        <v>811</v>
      </c>
    </row>
    <row r="247" hidden="1" spans="12:13">
      <c r="L247" s="32" t="s">
        <v>548</v>
      </c>
      <c r="M247" s="6">
        <v>800</v>
      </c>
    </row>
    <row r="248" hidden="1" spans="12:13">
      <c r="L248" s="32" t="s">
        <v>549</v>
      </c>
      <c r="M248" s="6">
        <v>837</v>
      </c>
    </row>
    <row r="249" hidden="1" spans="12:13">
      <c r="L249" s="32" t="s">
        <v>550</v>
      </c>
      <c r="M249" s="6">
        <v>921</v>
      </c>
    </row>
    <row r="250" hidden="1" spans="12:13">
      <c r="L250" s="32" t="s">
        <v>551</v>
      </c>
      <c r="M250" s="6">
        <v>959</v>
      </c>
    </row>
    <row r="251" hidden="1" spans="12:13">
      <c r="L251" s="32" t="s">
        <v>552</v>
      </c>
      <c r="M251" s="6">
        <v>966</v>
      </c>
    </row>
    <row r="252" hidden="1" spans="12:13">
      <c r="L252" s="32" t="s">
        <v>553</v>
      </c>
      <c r="M252" s="6">
        <v>966</v>
      </c>
    </row>
    <row r="253" hidden="1" spans="12:13">
      <c r="L253" s="32" t="s">
        <v>554</v>
      </c>
      <c r="M253" s="6">
        <v>1102</v>
      </c>
    </row>
    <row r="254" hidden="1" spans="12:13">
      <c r="L254" s="32" t="s">
        <v>555</v>
      </c>
      <c r="M254" s="6">
        <v>1102</v>
      </c>
    </row>
    <row r="255" hidden="1" spans="12:13">
      <c r="L255" s="32" t="s">
        <v>556</v>
      </c>
      <c r="M255" s="6">
        <v>1089</v>
      </c>
    </row>
    <row r="256" hidden="1" spans="12:13">
      <c r="L256" s="32" t="s">
        <v>557</v>
      </c>
      <c r="M256" s="6">
        <v>1138</v>
      </c>
    </row>
    <row r="257" hidden="1" spans="12:13">
      <c r="L257" s="32" t="s">
        <v>558</v>
      </c>
      <c r="M257" s="6">
        <v>1244</v>
      </c>
    </row>
    <row r="258" hidden="1" spans="12:13">
      <c r="L258" s="32" t="s">
        <v>559</v>
      </c>
      <c r="M258" s="6">
        <v>1292</v>
      </c>
    </row>
    <row r="259" hidden="1" spans="12:13">
      <c r="L259" s="19" t="s">
        <v>560</v>
      </c>
      <c r="M259" s="6">
        <v>427</v>
      </c>
    </row>
    <row r="260" hidden="1" spans="12:13">
      <c r="L260" s="19" t="s">
        <v>561</v>
      </c>
      <c r="M260" s="6">
        <v>561</v>
      </c>
    </row>
    <row r="261" hidden="1" spans="12:13">
      <c r="L261" s="19" t="s">
        <v>562</v>
      </c>
      <c r="M261" s="6">
        <v>532</v>
      </c>
    </row>
    <row r="262" hidden="1" spans="12:13">
      <c r="L262" s="16" t="s">
        <v>563</v>
      </c>
      <c r="M262" s="6">
        <v>454</v>
      </c>
    </row>
    <row r="263" hidden="1" spans="12:13">
      <c r="L263" s="16" t="s">
        <v>564</v>
      </c>
      <c r="M263" s="6">
        <v>608</v>
      </c>
    </row>
    <row r="264" hidden="1" spans="12:13">
      <c r="L264" s="16" t="s">
        <v>565</v>
      </c>
      <c r="M264" s="6">
        <v>486</v>
      </c>
    </row>
    <row r="265" hidden="1" spans="12:13">
      <c r="L265" s="16" t="s">
        <v>566</v>
      </c>
      <c r="M265" s="6">
        <v>640</v>
      </c>
    </row>
    <row r="266" hidden="1" spans="12:13">
      <c r="L266" s="28" t="s">
        <v>567</v>
      </c>
      <c r="M266" s="6">
        <v>1365</v>
      </c>
    </row>
    <row r="267" hidden="1" spans="12:13">
      <c r="L267" s="28" t="s">
        <v>568</v>
      </c>
      <c r="M267" s="6">
        <v>471</v>
      </c>
    </row>
    <row r="268" hidden="1" spans="12:13">
      <c r="L268" s="19" t="s">
        <v>569</v>
      </c>
      <c r="M268" s="6">
        <v>340</v>
      </c>
    </row>
    <row r="269" hidden="1" spans="12:13">
      <c r="L269" s="19" t="s">
        <v>570</v>
      </c>
      <c r="M269" s="6">
        <v>225</v>
      </c>
    </row>
    <row r="270" hidden="1" spans="12:13">
      <c r="L270" s="19" t="s">
        <v>571</v>
      </c>
      <c r="M270" s="6">
        <v>250</v>
      </c>
    </row>
    <row r="271" hidden="1" spans="12:13">
      <c r="L271" s="12" t="s">
        <v>572</v>
      </c>
      <c r="M271" s="6" t="s">
        <v>573</v>
      </c>
    </row>
    <row r="272" hidden="1" spans="12:13">
      <c r="L272" s="12" t="s">
        <v>574</v>
      </c>
      <c r="M272" s="6" t="s">
        <v>573</v>
      </c>
    </row>
    <row r="273" hidden="1" spans="12:13">
      <c r="L273" s="12" t="s">
        <v>575</v>
      </c>
      <c r="M273" s="6" t="s">
        <v>573</v>
      </c>
    </row>
    <row r="274" hidden="1" spans="12:13">
      <c r="L274" s="12" t="s">
        <v>576</v>
      </c>
      <c r="M274" s="6" t="s">
        <v>573</v>
      </c>
    </row>
    <row r="275" hidden="1" spans="12:13">
      <c r="L275" s="12" t="s">
        <v>577</v>
      </c>
      <c r="M275" s="6" t="s">
        <v>573</v>
      </c>
    </row>
    <row r="276" hidden="1" spans="12:13">
      <c r="L276" s="28" t="s">
        <v>578</v>
      </c>
      <c r="M276" s="6">
        <v>47</v>
      </c>
    </row>
    <row r="277" hidden="1" spans="12:13">
      <c r="L277" s="28" t="s">
        <v>579</v>
      </c>
      <c r="M277" s="6">
        <v>52</v>
      </c>
    </row>
    <row r="278" hidden="1" spans="12:13">
      <c r="L278" s="23" t="s">
        <v>580</v>
      </c>
      <c r="M278" s="6">
        <v>196</v>
      </c>
    </row>
    <row r="279" hidden="1" spans="12:13">
      <c r="L279" s="23" t="s">
        <v>581</v>
      </c>
      <c r="M279" s="6">
        <v>220</v>
      </c>
    </row>
    <row r="280" hidden="1" spans="12:13">
      <c r="L280" s="19" t="s">
        <v>582</v>
      </c>
      <c r="M280" s="6">
        <v>168</v>
      </c>
    </row>
    <row r="281" hidden="1" spans="12:13">
      <c r="L281" s="19" t="s">
        <v>583</v>
      </c>
      <c r="M281" s="6">
        <v>280</v>
      </c>
    </row>
    <row r="282" hidden="1" spans="12:13">
      <c r="L282" s="19" t="s">
        <v>584</v>
      </c>
      <c r="M282" s="6">
        <v>344</v>
      </c>
    </row>
    <row r="283" hidden="1" spans="12:13">
      <c r="L283" s="30" t="s">
        <v>585</v>
      </c>
      <c r="M283" s="6">
        <v>308</v>
      </c>
    </row>
    <row r="284" hidden="1" spans="12:13">
      <c r="L284" s="30" t="s">
        <v>586</v>
      </c>
      <c r="M284" s="6">
        <v>308</v>
      </c>
    </row>
    <row r="285" hidden="1" spans="12:13">
      <c r="L285" s="22" t="s">
        <v>587</v>
      </c>
      <c r="M285" s="6">
        <v>400</v>
      </c>
    </row>
    <row r="286" hidden="1" spans="12:13">
      <c r="L286" s="22" t="s">
        <v>588</v>
      </c>
      <c r="M286" s="6">
        <v>616</v>
      </c>
    </row>
    <row r="287" hidden="1" spans="12:13">
      <c r="L287" s="22" t="s">
        <v>589</v>
      </c>
      <c r="M287" s="6">
        <v>748</v>
      </c>
    </row>
    <row r="288" hidden="1" spans="12:13">
      <c r="L288" s="16" t="s">
        <v>590</v>
      </c>
      <c r="M288" s="6">
        <v>364</v>
      </c>
    </row>
    <row r="289" hidden="1" spans="12:13">
      <c r="L289" s="16" t="s">
        <v>591</v>
      </c>
      <c r="M289" s="6">
        <v>330</v>
      </c>
    </row>
    <row r="290" hidden="1" spans="12:13">
      <c r="L290" s="21" t="s">
        <v>592</v>
      </c>
      <c r="M290" s="6">
        <v>293</v>
      </c>
    </row>
    <row r="291" hidden="1" spans="12:13">
      <c r="L291" s="21" t="s">
        <v>593</v>
      </c>
      <c r="M291" s="6">
        <v>359</v>
      </c>
    </row>
    <row r="292" hidden="1" spans="12:13">
      <c r="L292" s="16" t="s">
        <v>594</v>
      </c>
      <c r="M292" s="6">
        <v>230</v>
      </c>
    </row>
    <row r="293" hidden="1" spans="12:13">
      <c r="L293" s="27" t="s">
        <v>595</v>
      </c>
      <c r="M293" s="6">
        <v>223</v>
      </c>
    </row>
    <row r="294" hidden="1" spans="12:13">
      <c r="L294" s="16" t="s">
        <v>311</v>
      </c>
      <c r="M294" s="6">
        <v>202</v>
      </c>
    </row>
    <row r="295" hidden="1" spans="12:13">
      <c r="L295" s="21" t="s">
        <v>596</v>
      </c>
      <c r="M295" s="6">
        <v>339</v>
      </c>
    </row>
    <row r="296" hidden="1" spans="12:13">
      <c r="L296" s="21" t="s">
        <v>597</v>
      </c>
      <c r="M296" s="6">
        <v>400</v>
      </c>
    </row>
    <row r="297" hidden="1" spans="12:13">
      <c r="L297" s="17" t="s">
        <v>598</v>
      </c>
      <c r="M297" s="6">
        <v>339</v>
      </c>
    </row>
    <row r="298" hidden="1" spans="12:13">
      <c r="L298" s="17" t="s">
        <v>599</v>
      </c>
      <c r="M298" s="6">
        <v>289</v>
      </c>
    </row>
    <row r="299" hidden="1" spans="12:13">
      <c r="L299" s="17" t="s">
        <v>600</v>
      </c>
      <c r="M299" s="6">
        <v>400</v>
      </c>
    </row>
    <row r="300" hidden="1" spans="12:13">
      <c r="L300" s="21" t="s">
        <v>601</v>
      </c>
      <c r="M300" s="6">
        <v>172</v>
      </c>
    </row>
    <row r="301" hidden="1" spans="12:13">
      <c r="L301" s="15" t="s">
        <v>602</v>
      </c>
      <c r="M301" s="6">
        <v>240</v>
      </c>
    </row>
    <row r="302" hidden="1" spans="12:13">
      <c r="L302" s="23" t="s">
        <v>603</v>
      </c>
      <c r="M302" s="6">
        <v>120</v>
      </c>
    </row>
    <row r="303" hidden="1" spans="12:13">
      <c r="L303" s="19" t="s">
        <v>604</v>
      </c>
      <c r="M303" s="6">
        <v>120</v>
      </c>
    </row>
    <row r="304" hidden="1" spans="12:13">
      <c r="L304" s="21" t="s">
        <v>318</v>
      </c>
      <c r="M304" s="6">
        <v>120</v>
      </c>
    </row>
    <row r="305" hidden="1" spans="12:13">
      <c r="L305" s="21" t="s">
        <v>605</v>
      </c>
      <c r="M305" s="6">
        <v>120</v>
      </c>
    </row>
    <row r="306" hidden="1" spans="12:13">
      <c r="L306" s="16" t="s">
        <v>606</v>
      </c>
      <c r="M306" s="6">
        <v>120</v>
      </c>
    </row>
    <row r="307" hidden="1" spans="12:13">
      <c r="L307" s="16" t="s">
        <v>607</v>
      </c>
      <c r="M307" s="6">
        <v>132</v>
      </c>
    </row>
    <row r="308" hidden="1" spans="12:13">
      <c r="L308" s="16" t="s">
        <v>608</v>
      </c>
      <c r="M308" s="6">
        <v>132</v>
      </c>
    </row>
    <row r="309" hidden="1" spans="12:13">
      <c r="L309" s="28" t="s">
        <v>609</v>
      </c>
      <c r="M309" s="6">
        <v>140</v>
      </c>
    </row>
    <row r="310" hidden="1" spans="12:13">
      <c r="L310" s="21" t="s">
        <v>610</v>
      </c>
      <c r="M310" s="6">
        <v>132</v>
      </c>
    </row>
    <row r="311" hidden="1" spans="12:13">
      <c r="L311" s="6" t="s">
        <v>611</v>
      </c>
      <c r="M311" s="6">
        <v>132</v>
      </c>
    </row>
    <row r="312" hidden="1" spans="12:13">
      <c r="L312" s="12" t="s">
        <v>612</v>
      </c>
      <c r="M312" s="6">
        <v>132</v>
      </c>
    </row>
    <row r="313" hidden="1" spans="12:13">
      <c r="L313" s="16" t="s">
        <v>613</v>
      </c>
      <c r="M313" s="6">
        <v>120</v>
      </c>
    </row>
    <row r="314" hidden="1" spans="12:13">
      <c r="L314" s="16" t="s">
        <v>614</v>
      </c>
      <c r="M314" s="6">
        <v>148</v>
      </c>
    </row>
    <row r="315" hidden="1" spans="12:13">
      <c r="L315" s="22" t="s">
        <v>615</v>
      </c>
      <c r="M315" s="6" t="s">
        <v>573</v>
      </c>
    </row>
    <row r="316" hidden="1" spans="12:13">
      <c r="L316" s="16" t="s">
        <v>616</v>
      </c>
      <c r="M316" s="6" t="s">
        <v>573</v>
      </c>
    </row>
    <row r="317" hidden="1" spans="12:13">
      <c r="L317" s="16" t="s">
        <v>617</v>
      </c>
      <c r="M317" s="6" t="s">
        <v>573</v>
      </c>
    </row>
    <row r="318" hidden="1" spans="12:13">
      <c r="L318" s="21" t="s">
        <v>618</v>
      </c>
      <c r="M318" s="6" t="s">
        <v>573</v>
      </c>
    </row>
    <row r="319" hidden="1" spans="12:13">
      <c r="L319" s="21" t="s">
        <v>619</v>
      </c>
      <c r="M319" s="6" t="s">
        <v>573</v>
      </c>
    </row>
    <row r="320" hidden="1" spans="12:13">
      <c r="L320" s="16" t="s">
        <v>620</v>
      </c>
      <c r="M320" s="6" t="s">
        <v>573</v>
      </c>
    </row>
    <row r="321" hidden="1" spans="12:13">
      <c r="L321" s="16" t="s">
        <v>621</v>
      </c>
      <c r="M321" s="6" t="s">
        <v>573</v>
      </c>
    </row>
    <row r="322" hidden="1" spans="12:13">
      <c r="L322" s="16" t="s">
        <v>622</v>
      </c>
      <c r="M322" s="6" t="s">
        <v>573</v>
      </c>
    </row>
    <row r="323" hidden="1" spans="12:13">
      <c r="L323" s="16" t="s">
        <v>623</v>
      </c>
      <c r="M323" s="6" t="s">
        <v>573</v>
      </c>
    </row>
    <row r="324" hidden="1" spans="12:13">
      <c r="L324" s="14" t="s">
        <v>624</v>
      </c>
      <c r="M324" s="6">
        <v>288</v>
      </c>
    </row>
    <row r="325" hidden="1" spans="12:13">
      <c r="L325" s="27" t="s">
        <v>625</v>
      </c>
      <c r="M325" s="6">
        <v>288</v>
      </c>
    </row>
    <row r="326" hidden="1" spans="12:13">
      <c r="L326" s="16" t="s">
        <v>626</v>
      </c>
      <c r="M326" s="6">
        <v>360</v>
      </c>
    </row>
    <row r="327" hidden="1" spans="12:13">
      <c r="L327" s="16" t="s">
        <v>627</v>
      </c>
      <c r="M327" s="6">
        <v>288</v>
      </c>
    </row>
    <row r="328" hidden="1" spans="12:13">
      <c r="L328" s="21" t="s">
        <v>628</v>
      </c>
      <c r="M328" s="6">
        <v>264</v>
      </c>
    </row>
    <row r="329" hidden="1" spans="12:13">
      <c r="L329" s="17" t="s">
        <v>629</v>
      </c>
      <c r="M329" s="6">
        <v>264</v>
      </c>
    </row>
    <row r="330" hidden="1" spans="12:13">
      <c r="L330" s="21" t="s">
        <v>630</v>
      </c>
      <c r="M330" s="6">
        <v>292</v>
      </c>
    </row>
    <row r="331" hidden="1" spans="12:13">
      <c r="L331" s="30" t="s">
        <v>631</v>
      </c>
      <c r="M331" s="6">
        <v>372</v>
      </c>
    </row>
    <row r="332" hidden="1" spans="12:13">
      <c r="L332" s="16" t="s">
        <v>632</v>
      </c>
      <c r="M332" s="6">
        <v>372</v>
      </c>
    </row>
    <row r="333" hidden="1" spans="12:13">
      <c r="L333" s="21" t="s">
        <v>633</v>
      </c>
      <c r="M333" s="6">
        <v>440</v>
      </c>
    </row>
    <row r="334" hidden="1" spans="12:13">
      <c r="L334" s="16" t="s">
        <v>634</v>
      </c>
      <c r="M334" s="6">
        <v>304</v>
      </c>
    </row>
    <row r="335" hidden="1" spans="12:13">
      <c r="L335" s="16" t="s">
        <v>635</v>
      </c>
      <c r="M335" s="6" t="s">
        <v>573</v>
      </c>
    </row>
    <row r="336" hidden="1" spans="12:13">
      <c r="L336" s="21" t="s">
        <v>636</v>
      </c>
      <c r="M336" s="6" t="s">
        <v>573</v>
      </c>
    </row>
    <row r="337" hidden="1" spans="12:13">
      <c r="L337" s="21" t="s">
        <v>637</v>
      </c>
      <c r="M337" s="6" t="s">
        <v>573</v>
      </c>
    </row>
    <row r="338" hidden="1" spans="12:13">
      <c r="L338" s="33" t="s">
        <v>638</v>
      </c>
      <c r="M338" s="6" t="s">
        <v>573</v>
      </c>
    </row>
    <row r="339" hidden="1" spans="12:13">
      <c r="L339" s="33" t="s">
        <v>639</v>
      </c>
      <c r="M339" s="6" t="s">
        <v>573</v>
      </c>
    </row>
    <row r="340" hidden="1" spans="12:13">
      <c r="L340" s="17" t="s">
        <v>640</v>
      </c>
      <c r="M340" s="6" t="s">
        <v>573</v>
      </c>
    </row>
    <row r="341" hidden="1" spans="12:13">
      <c r="L341" s="16" t="s">
        <v>641</v>
      </c>
      <c r="M341" s="6" t="s">
        <v>642</v>
      </c>
    </row>
    <row r="342" hidden="1" spans="12:13">
      <c r="L342" s="16" t="s">
        <v>643</v>
      </c>
      <c r="M342" s="6" t="s">
        <v>642</v>
      </c>
    </row>
    <row r="343" hidden="1" spans="12:13">
      <c r="L343" s="16" t="s">
        <v>644</v>
      </c>
      <c r="M343" s="6" t="s">
        <v>642</v>
      </c>
    </row>
    <row r="344" hidden="1" spans="12:13">
      <c r="L344" s="16" t="s">
        <v>645</v>
      </c>
      <c r="M344" s="6" t="s">
        <v>642</v>
      </c>
    </row>
    <row r="345" hidden="1" spans="12:13">
      <c r="L345" s="16" t="s">
        <v>646</v>
      </c>
      <c r="M345" s="6" t="s">
        <v>642</v>
      </c>
    </row>
    <row r="346" hidden="1" spans="12:13">
      <c r="L346" s="16" t="s">
        <v>647</v>
      </c>
      <c r="M346" s="6" t="s">
        <v>642</v>
      </c>
    </row>
    <row r="347" hidden="1" spans="12:13">
      <c r="L347" s="15" t="s">
        <v>648</v>
      </c>
      <c r="M347" s="6" t="s">
        <v>642</v>
      </c>
    </row>
    <row r="348" hidden="1" spans="12:13">
      <c r="L348" s="15" t="s">
        <v>649</v>
      </c>
      <c r="M348" s="6" t="s">
        <v>642</v>
      </c>
    </row>
    <row r="349" hidden="1" spans="12:13">
      <c r="L349" s="22" t="s">
        <v>650</v>
      </c>
      <c r="M349" s="6" t="s">
        <v>642</v>
      </c>
    </row>
    <row r="350" hidden="1" spans="12:13">
      <c r="L350" s="22" t="s">
        <v>651</v>
      </c>
      <c r="M350" s="6" t="s">
        <v>642</v>
      </c>
    </row>
    <row r="351" hidden="1" spans="12:13">
      <c r="L351" s="22" t="s">
        <v>652</v>
      </c>
      <c r="M351" s="6" t="s">
        <v>642</v>
      </c>
    </row>
    <row r="352" hidden="1" spans="12:13">
      <c r="L352" s="22" t="s">
        <v>653</v>
      </c>
      <c r="M352" s="6" t="s">
        <v>642</v>
      </c>
    </row>
    <row r="353" hidden="1" spans="12:13">
      <c r="L353" s="22" t="s">
        <v>654</v>
      </c>
      <c r="M353" s="6" t="s">
        <v>642</v>
      </c>
    </row>
    <row r="354" hidden="1" spans="12:13">
      <c r="L354" s="17" t="s">
        <v>655</v>
      </c>
      <c r="M354" s="13">
        <v>37</v>
      </c>
    </row>
    <row r="355" hidden="1" spans="12:13">
      <c r="L355" s="17" t="s">
        <v>656</v>
      </c>
      <c r="M355" s="6">
        <v>91</v>
      </c>
    </row>
    <row r="356" hidden="1" spans="12:13">
      <c r="L356" s="17" t="s">
        <v>657</v>
      </c>
      <c r="M356" s="6">
        <v>70</v>
      </c>
    </row>
    <row r="357" hidden="1" spans="12:13">
      <c r="L357" s="16" t="s">
        <v>658</v>
      </c>
      <c r="M357" s="6">
        <v>170</v>
      </c>
    </row>
    <row r="358" hidden="1" spans="12:13">
      <c r="L358" s="34" t="s">
        <v>659</v>
      </c>
      <c r="M358" s="13">
        <v>368</v>
      </c>
    </row>
    <row r="359" hidden="1" spans="12:13">
      <c r="L359" s="34" t="s">
        <v>660</v>
      </c>
      <c r="M359" s="13">
        <v>401</v>
      </c>
    </row>
    <row r="360" hidden="1" spans="12:13">
      <c r="L360" s="16" t="s">
        <v>661</v>
      </c>
      <c r="M360" s="13">
        <v>418</v>
      </c>
    </row>
    <row r="361" hidden="1" spans="12:13">
      <c r="L361" s="16" t="s">
        <v>662</v>
      </c>
      <c r="M361" s="13">
        <v>470</v>
      </c>
    </row>
    <row r="362" hidden="1" spans="12:13">
      <c r="L362" s="16" t="s">
        <v>663</v>
      </c>
      <c r="M362" s="13">
        <v>560</v>
      </c>
    </row>
    <row r="363" hidden="1" spans="12:13">
      <c r="L363" s="16" t="s">
        <v>664</v>
      </c>
      <c r="M363" s="13">
        <v>570</v>
      </c>
    </row>
    <row r="364" hidden="1" spans="12:13">
      <c r="L364" s="16" t="s">
        <v>665</v>
      </c>
      <c r="M364" s="13">
        <v>660</v>
      </c>
    </row>
    <row r="365" hidden="1" spans="12:13">
      <c r="L365" s="16" t="s">
        <v>666</v>
      </c>
      <c r="M365" s="13">
        <v>777</v>
      </c>
    </row>
    <row r="366" hidden="1" spans="12:13">
      <c r="L366" s="16" t="s">
        <v>667</v>
      </c>
      <c r="M366" s="13">
        <v>495</v>
      </c>
    </row>
    <row r="367" hidden="1" spans="12:13">
      <c r="L367" s="16" t="s">
        <v>668</v>
      </c>
      <c r="M367" s="13">
        <v>528</v>
      </c>
    </row>
    <row r="368" hidden="1" spans="12:13">
      <c r="L368" s="16" t="s">
        <v>669</v>
      </c>
      <c r="M368" s="13">
        <v>693</v>
      </c>
    </row>
    <row r="369" hidden="1" spans="12:13">
      <c r="L369" s="16" t="s">
        <v>670</v>
      </c>
      <c r="M369" s="13">
        <v>784</v>
      </c>
    </row>
    <row r="370" hidden="1" spans="12:13">
      <c r="L370" s="16" t="s">
        <v>671</v>
      </c>
      <c r="M370" s="13">
        <v>553</v>
      </c>
    </row>
    <row r="371" hidden="1" spans="12:13">
      <c r="L371" s="16" t="s">
        <v>672</v>
      </c>
      <c r="M371" s="13">
        <v>639</v>
      </c>
    </row>
    <row r="372" hidden="1" spans="12:13">
      <c r="L372" s="16" t="s">
        <v>673</v>
      </c>
      <c r="M372" s="13">
        <v>751</v>
      </c>
    </row>
    <row r="373" hidden="1" spans="12:13">
      <c r="L373" s="16" t="s">
        <v>674</v>
      </c>
      <c r="M373" s="13">
        <v>322</v>
      </c>
    </row>
    <row r="374" hidden="1" spans="12:13">
      <c r="L374" s="16" t="s">
        <v>675</v>
      </c>
      <c r="M374" s="13">
        <v>344</v>
      </c>
    </row>
    <row r="375" hidden="1" spans="12:13">
      <c r="L375" s="16" t="s">
        <v>676</v>
      </c>
      <c r="M375" s="13">
        <v>609</v>
      </c>
    </row>
    <row r="376" hidden="1" spans="12:13">
      <c r="L376" s="16" t="s">
        <v>677</v>
      </c>
      <c r="M376" s="13">
        <v>699</v>
      </c>
    </row>
    <row r="377" hidden="1" spans="12:13">
      <c r="L377" s="16" t="s">
        <v>678</v>
      </c>
      <c r="M377" s="13">
        <v>815</v>
      </c>
    </row>
    <row r="378" hidden="1" spans="12:13">
      <c r="L378" s="21" t="s">
        <v>679</v>
      </c>
      <c r="M378" s="13">
        <v>495</v>
      </c>
    </row>
    <row r="379" hidden="1" spans="12:13">
      <c r="L379" s="21" t="s">
        <v>680</v>
      </c>
      <c r="M379" s="13">
        <v>528</v>
      </c>
    </row>
    <row r="380" hidden="1" spans="12:13">
      <c r="L380" s="16" t="s">
        <v>681</v>
      </c>
      <c r="M380" s="13">
        <v>612</v>
      </c>
    </row>
    <row r="381" hidden="1" spans="12:13">
      <c r="L381" s="16" t="s">
        <v>682</v>
      </c>
      <c r="M381" s="13">
        <v>662</v>
      </c>
    </row>
    <row r="382" hidden="1" spans="12:13">
      <c r="L382" s="16" t="s">
        <v>683</v>
      </c>
      <c r="M382" s="13">
        <v>731</v>
      </c>
    </row>
    <row r="383" hidden="1" spans="12:13">
      <c r="L383" s="16" t="s">
        <v>684</v>
      </c>
      <c r="M383" s="13">
        <v>823</v>
      </c>
    </row>
    <row r="384" hidden="1" spans="12:13">
      <c r="L384" s="16" t="s">
        <v>685</v>
      </c>
      <c r="M384" s="13">
        <v>554</v>
      </c>
    </row>
    <row r="385" hidden="1" spans="12:13">
      <c r="L385" s="16" t="s">
        <v>686</v>
      </c>
      <c r="M385" s="13">
        <v>589</v>
      </c>
    </row>
    <row r="386" hidden="1" spans="12:13">
      <c r="L386" s="21" t="s">
        <v>687</v>
      </c>
      <c r="M386" s="13">
        <v>528</v>
      </c>
    </row>
    <row r="387" hidden="1" spans="12:13">
      <c r="L387" s="21" t="s">
        <v>688</v>
      </c>
      <c r="M387" s="13">
        <v>570</v>
      </c>
    </row>
    <row r="388" hidden="1" spans="12:13">
      <c r="L388" s="21" t="s">
        <v>689</v>
      </c>
      <c r="M388" s="13">
        <v>570</v>
      </c>
    </row>
    <row r="389" hidden="1" spans="12:13">
      <c r="L389" s="21" t="s">
        <v>690</v>
      </c>
      <c r="M389" s="13">
        <v>660</v>
      </c>
    </row>
    <row r="390" hidden="1" spans="12:13">
      <c r="L390" s="21" t="s">
        <v>691</v>
      </c>
      <c r="M390" s="13">
        <v>624</v>
      </c>
    </row>
    <row r="391" hidden="1" spans="12:13">
      <c r="L391" s="21" t="s">
        <v>692</v>
      </c>
      <c r="M391" s="13">
        <v>714</v>
      </c>
    </row>
    <row r="392" hidden="1" spans="12:13">
      <c r="L392" s="16" t="s">
        <v>693</v>
      </c>
      <c r="M392" s="13">
        <v>964</v>
      </c>
    </row>
    <row r="393" hidden="1" spans="12:13">
      <c r="L393" s="16" t="s">
        <v>694</v>
      </c>
      <c r="M393" s="13">
        <v>1158</v>
      </c>
    </row>
    <row r="394" hidden="1" spans="12:13">
      <c r="L394" s="16" t="s">
        <v>695</v>
      </c>
      <c r="M394" s="13">
        <v>1421</v>
      </c>
    </row>
    <row r="395" hidden="1" spans="12:13">
      <c r="L395" s="16" t="s">
        <v>696</v>
      </c>
      <c r="M395" s="13">
        <v>1537</v>
      </c>
    </row>
    <row r="396" hidden="1" spans="12:13">
      <c r="L396" s="21" t="s">
        <v>697</v>
      </c>
      <c r="M396" s="13">
        <v>228</v>
      </c>
    </row>
    <row r="397" hidden="1" spans="12:13">
      <c r="L397" s="21" t="s">
        <v>698</v>
      </c>
      <c r="M397" s="13">
        <v>284</v>
      </c>
    </row>
    <row r="398" ht="14.5" hidden="1" spans="12:13">
      <c r="L398" s="35" t="s">
        <v>699</v>
      </c>
      <c r="M398" s="6">
        <v>171</v>
      </c>
    </row>
    <row r="399" ht="14.5" hidden="1" spans="12:13">
      <c r="L399" s="35" t="s">
        <v>700</v>
      </c>
      <c r="M399" s="6">
        <v>183</v>
      </c>
    </row>
    <row r="400" ht="14.5" hidden="1" spans="12:13">
      <c r="L400" s="35" t="s">
        <v>701</v>
      </c>
      <c r="M400" s="6">
        <v>264</v>
      </c>
    </row>
    <row r="401" ht="14.5" hidden="1" spans="12:13">
      <c r="L401" s="35" t="s">
        <v>702</v>
      </c>
      <c r="M401" s="6">
        <v>291</v>
      </c>
    </row>
    <row r="402" ht="14.5" hidden="1" spans="12:13">
      <c r="L402" s="36" t="s">
        <v>703</v>
      </c>
      <c r="M402" s="6">
        <v>111</v>
      </c>
    </row>
    <row r="403" ht="14.5" hidden="1" spans="12:13">
      <c r="L403" s="36" t="s">
        <v>704</v>
      </c>
      <c r="M403" s="6">
        <v>223</v>
      </c>
    </row>
    <row r="404" ht="14.5" hidden="1" spans="12:13">
      <c r="L404" s="35" t="s">
        <v>705</v>
      </c>
      <c r="M404" s="6">
        <v>328</v>
      </c>
    </row>
    <row r="405" ht="14.5" hidden="1" spans="12:13">
      <c r="L405" s="35" t="s">
        <v>706</v>
      </c>
      <c r="M405" s="6">
        <v>304</v>
      </c>
    </row>
    <row r="406" ht="14.5" hidden="1" spans="12:13">
      <c r="L406" s="35" t="s">
        <v>707</v>
      </c>
      <c r="M406" s="6">
        <v>91</v>
      </c>
    </row>
  </sheetData>
  <autoFilter xmlns:etc="http://www.wps.cn/officeDocument/2017/etCustomData" ref="A1:M406" etc:filterBottomFollowUsedRange="0">
    <filterColumn colId="7">
      <customFilters>
        <customFilter operator="equal" val="京东五星电器金华时代广场店"/>
      </customFilters>
    </filterColumn>
    <extLst/>
  </autoFilter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06"/>
  <sheetViews>
    <sheetView zoomScale="85" zoomScaleNormal="85" workbookViewId="0">
      <selection activeCell="A20" sqref="$A1:$XFD1048576"/>
    </sheetView>
  </sheetViews>
  <sheetFormatPr defaultColWidth="9.025" defaultRowHeight="14"/>
  <cols>
    <col min="1" max="1" width="13.3416666666667" customWidth="1"/>
    <col min="2" max="2" width="5.79166666666667" customWidth="1"/>
    <col min="3" max="3" width="23.6333333333333" customWidth="1"/>
    <col min="4" max="4" width="15.4666666666667" customWidth="1"/>
    <col min="5" max="5" width="13.475" style="4" customWidth="1"/>
    <col min="6" max="7" width="14.475" style="4" customWidth="1"/>
    <col min="8" max="8" width="14.475" style="5" customWidth="1"/>
    <col min="9" max="9" width="14.475" style="4" customWidth="1"/>
    <col min="10" max="10" width="9.025" customWidth="1"/>
    <col min="11" max="11" width="30.4083333333333" customWidth="1"/>
    <col min="15" max="15" width="16.0916666666667" style="6" customWidth="1"/>
    <col min="16" max="16" width="23" style="6" customWidth="1"/>
  </cols>
  <sheetData>
    <row r="1" s="3" customFormat="1" ht="70" spans="1:16384">
      <c r="A1" s="7" t="s">
        <v>0</v>
      </c>
      <c r="B1" s="7" t="s">
        <v>1</v>
      </c>
      <c r="C1" s="7" t="s">
        <v>2</v>
      </c>
      <c r="D1" s="7" t="s">
        <v>3</v>
      </c>
      <c r="E1" s="8" t="s">
        <v>295</v>
      </c>
      <c r="F1" s="8" t="s">
        <v>5</v>
      </c>
      <c r="G1" s="8" t="s">
        <v>708</v>
      </c>
      <c r="H1" s="9" t="s">
        <v>709</v>
      </c>
      <c r="I1" s="8" t="s">
        <v>710</v>
      </c>
      <c r="J1" s="7" t="s">
        <v>6</v>
      </c>
      <c r="K1" s="7" t="s">
        <v>7</v>
      </c>
      <c r="L1" s="7" t="s">
        <v>14</v>
      </c>
      <c r="M1" s="7" t="s">
        <v>15</v>
      </c>
      <c r="N1" s="7" t="s">
        <v>16</v>
      </c>
      <c r="O1" s="12" t="s">
        <v>296</v>
      </c>
      <c r="P1" s="6" t="s">
        <v>297</v>
      </c>
      <c r="XFB1"/>
      <c r="XFC1"/>
      <c r="XFD1"/>
    </row>
    <row r="2" s="3" customFormat="1" spans="1:16384">
      <c r="A2" s="3" t="s">
        <v>17</v>
      </c>
      <c r="B2" s="3" t="s">
        <v>18</v>
      </c>
      <c r="C2" s="3" t="s">
        <v>298</v>
      </c>
      <c r="D2" s="3" t="s">
        <v>20</v>
      </c>
      <c r="E2" s="10">
        <f t="shared" ref="E2:E65" si="0">VLOOKUP(C2,O:P,2,0)</f>
        <v>200</v>
      </c>
      <c r="F2" s="10">
        <f t="shared" ref="F2:F65" si="1">E2*N2</f>
        <v>200</v>
      </c>
      <c r="G2" s="10">
        <f>VLOOKUP(C2,'[1]2025年5.5新价格提成表 '!$B$1:$K$423,10,0)</f>
        <v>200</v>
      </c>
      <c r="H2" s="11">
        <f>G2*N2</f>
        <v>200</v>
      </c>
      <c r="I2" s="10">
        <f>H2-F2</f>
        <v>0</v>
      </c>
      <c r="J2" s="3" t="s">
        <v>22</v>
      </c>
      <c r="K2" s="3" t="s">
        <v>23</v>
      </c>
      <c r="L2" s="3" t="s">
        <v>30</v>
      </c>
      <c r="M2" s="3">
        <v>8288</v>
      </c>
      <c r="N2" s="3">
        <v>1</v>
      </c>
      <c r="O2" s="12" t="s">
        <v>299</v>
      </c>
      <c r="P2" s="13">
        <v>12</v>
      </c>
      <c r="XFB2"/>
      <c r="XFC2"/>
      <c r="XFD2"/>
    </row>
    <row r="3" s="3" customFormat="1" spans="1:16384">
      <c r="A3" s="3" t="s">
        <v>17</v>
      </c>
      <c r="B3" s="3" t="s">
        <v>18</v>
      </c>
      <c r="C3" s="3" t="s">
        <v>300</v>
      </c>
      <c r="D3" s="3" t="s">
        <v>32</v>
      </c>
      <c r="E3" s="10">
        <f t="shared" si="0"/>
        <v>137</v>
      </c>
      <c r="F3" s="10">
        <f t="shared" si="1"/>
        <v>137</v>
      </c>
      <c r="G3" s="10">
        <f>VLOOKUP(C3,'[1]2025年5.5新价格提成表 '!$B$1:$K$423,10,0)</f>
        <v>137</v>
      </c>
      <c r="H3" s="11">
        <f t="shared" ref="H3:H34" si="2">G3*N3</f>
        <v>137</v>
      </c>
      <c r="I3" s="10">
        <f t="shared" ref="I3:I34" si="3">H3-F3</f>
        <v>0</v>
      </c>
      <c r="J3" s="3" t="s">
        <v>22</v>
      </c>
      <c r="K3" s="3" t="s">
        <v>34</v>
      </c>
      <c r="L3" s="3" t="s">
        <v>30</v>
      </c>
      <c r="M3" s="3">
        <v>6158</v>
      </c>
      <c r="N3" s="3">
        <v>1</v>
      </c>
      <c r="O3" s="12" t="s">
        <v>301</v>
      </c>
      <c r="P3" s="13">
        <v>13</v>
      </c>
      <c r="XFB3"/>
      <c r="XFC3"/>
      <c r="XFD3"/>
    </row>
    <row r="4" s="3" customFormat="1" spans="1:16384">
      <c r="A4" s="3" t="s">
        <v>40</v>
      </c>
      <c r="B4" s="3" t="s">
        <v>50</v>
      </c>
      <c r="C4" s="3" t="s">
        <v>302</v>
      </c>
      <c r="D4" s="3" t="s">
        <v>52</v>
      </c>
      <c r="E4" s="10">
        <f t="shared" si="0"/>
        <v>224</v>
      </c>
      <c r="F4" s="10">
        <f t="shared" si="1"/>
        <v>-224</v>
      </c>
      <c r="G4" s="10">
        <f>VLOOKUP(C4,'[1]2025年5.5新价格提成表 '!$B$1:$K$423,10,0)</f>
        <v>224</v>
      </c>
      <c r="H4" s="11">
        <f t="shared" si="2"/>
        <v>-224</v>
      </c>
      <c r="I4" s="10">
        <f t="shared" si="3"/>
        <v>0</v>
      </c>
      <c r="J4" s="3" t="s">
        <v>22</v>
      </c>
      <c r="K4" s="3" t="s">
        <v>54</v>
      </c>
      <c r="L4" s="3" t="s">
        <v>30</v>
      </c>
      <c r="M4" s="3">
        <v>-7588</v>
      </c>
      <c r="N4" s="3">
        <v>-1</v>
      </c>
      <c r="O4" s="12" t="s">
        <v>303</v>
      </c>
      <c r="P4" s="13">
        <v>13</v>
      </c>
      <c r="XFB4"/>
      <c r="XFC4"/>
      <c r="XFD4"/>
    </row>
    <row r="5" s="3" customFormat="1" spans="1:16384">
      <c r="A5" s="3" t="s">
        <v>59</v>
      </c>
      <c r="B5" s="3" t="s">
        <v>18</v>
      </c>
      <c r="C5" s="3" t="s">
        <v>304</v>
      </c>
      <c r="D5" s="3" t="s">
        <v>61</v>
      </c>
      <c r="E5" s="10">
        <f t="shared" si="0"/>
        <v>330</v>
      </c>
      <c r="F5" s="10">
        <f t="shared" si="1"/>
        <v>330</v>
      </c>
      <c r="G5" s="10">
        <f>VLOOKUP(C5,'[1]2025年5.5新价格提成表 '!$B$1:$K$423,10,0)</f>
        <v>330</v>
      </c>
      <c r="H5" s="11">
        <f t="shared" si="2"/>
        <v>330</v>
      </c>
      <c r="I5" s="10">
        <f t="shared" si="3"/>
        <v>0</v>
      </c>
      <c r="J5" s="3" t="s">
        <v>22</v>
      </c>
      <c r="K5" s="3" t="s">
        <v>23</v>
      </c>
      <c r="L5" s="3" t="s">
        <v>30</v>
      </c>
      <c r="M5" s="3">
        <v>14338</v>
      </c>
      <c r="N5" s="3">
        <v>1</v>
      </c>
      <c r="O5" s="12" t="s">
        <v>305</v>
      </c>
      <c r="P5" s="13">
        <v>15</v>
      </c>
      <c r="XFB5"/>
      <c r="XFC5"/>
      <c r="XFD5"/>
    </row>
    <row r="6" s="3" customFormat="1" spans="1:16384">
      <c r="A6" s="3" t="s">
        <v>59</v>
      </c>
      <c r="B6" s="3" t="s">
        <v>18</v>
      </c>
      <c r="C6" s="3" t="s">
        <v>302</v>
      </c>
      <c r="D6" s="3" t="s">
        <v>52</v>
      </c>
      <c r="E6" s="10">
        <f t="shared" si="0"/>
        <v>224</v>
      </c>
      <c r="F6" s="10">
        <f t="shared" si="1"/>
        <v>224</v>
      </c>
      <c r="G6" s="10">
        <f>VLOOKUP(C6,'[1]2025年5.5新价格提成表 '!$B$1:$K$423,10,0)</f>
        <v>224</v>
      </c>
      <c r="H6" s="11">
        <f t="shared" si="2"/>
        <v>224</v>
      </c>
      <c r="I6" s="10">
        <f t="shared" si="3"/>
        <v>0</v>
      </c>
      <c r="J6" s="3" t="s">
        <v>22</v>
      </c>
      <c r="K6" s="3" t="s">
        <v>54</v>
      </c>
      <c r="L6" s="3" t="s">
        <v>30</v>
      </c>
      <c r="M6" s="3">
        <v>7588</v>
      </c>
      <c r="N6" s="3">
        <v>1</v>
      </c>
      <c r="O6" s="14" t="s">
        <v>306</v>
      </c>
      <c r="P6" s="13">
        <v>34</v>
      </c>
      <c r="XFB6"/>
      <c r="XFC6"/>
      <c r="XFD6"/>
    </row>
    <row r="7" s="3" customFormat="1" spans="1:16384">
      <c r="A7" s="3" t="s">
        <v>59</v>
      </c>
      <c r="B7" s="3" t="s">
        <v>18</v>
      </c>
      <c r="C7" s="3" t="s">
        <v>307</v>
      </c>
      <c r="D7" s="3" t="s">
        <v>42</v>
      </c>
      <c r="E7" s="10">
        <f t="shared" si="0"/>
        <v>142</v>
      </c>
      <c r="F7" s="10">
        <f t="shared" si="1"/>
        <v>142</v>
      </c>
      <c r="G7" s="10">
        <f>VLOOKUP(C7,'[1]2025年5.5新价格提成表 '!$B$1:$K$423,10,0)</f>
        <v>142</v>
      </c>
      <c r="H7" s="11">
        <f t="shared" si="2"/>
        <v>142</v>
      </c>
      <c r="I7" s="10">
        <f t="shared" si="3"/>
        <v>0</v>
      </c>
      <c r="J7" s="3" t="s">
        <v>22</v>
      </c>
      <c r="K7" s="3" t="s">
        <v>54</v>
      </c>
      <c r="L7" s="3" t="s">
        <v>30</v>
      </c>
      <c r="M7" s="3">
        <v>5148</v>
      </c>
      <c r="N7" s="3">
        <v>1</v>
      </c>
      <c r="O7" s="14" t="s">
        <v>308</v>
      </c>
      <c r="P7" s="13">
        <v>37</v>
      </c>
      <c r="XFB7"/>
      <c r="XFC7"/>
      <c r="XFD7"/>
    </row>
    <row r="8" s="3" customFormat="1" spans="1:16384">
      <c r="A8" s="3" t="s">
        <v>83</v>
      </c>
      <c r="B8" s="3" t="s">
        <v>18</v>
      </c>
      <c r="C8" s="3" t="s">
        <v>309</v>
      </c>
      <c r="D8" s="3" t="s">
        <v>91</v>
      </c>
      <c r="E8" s="10">
        <f t="shared" si="0"/>
        <v>223</v>
      </c>
      <c r="F8" s="10">
        <f t="shared" si="1"/>
        <v>223</v>
      </c>
      <c r="G8" s="10">
        <f>VLOOKUP(C8,'[1]2025年5.5新价格提成表 '!$B$1:$K$423,10,0)</f>
        <v>223</v>
      </c>
      <c r="H8" s="11">
        <f t="shared" si="2"/>
        <v>223</v>
      </c>
      <c r="I8" s="10">
        <f t="shared" si="3"/>
        <v>0</v>
      </c>
      <c r="J8" s="3" t="s">
        <v>22</v>
      </c>
      <c r="K8" s="3" t="s">
        <v>93</v>
      </c>
      <c r="L8" s="3" t="s">
        <v>30</v>
      </c>
      <c r="M8" s="3">
        <v>5898</v>
      </c>
      <c r="N8" s="3">
        <v>1</v>
      </c>
      <c r="O8" s="15" t="s">
        <v>310</v>
      </c>
      <c r="P8" s="13">
        <v>45</v>
      </c>
      <c r="XFB8"/>
      <c r="XFC8"/>
      <c r="XFD8"/>
    </row>
    <row r="9" s="3" customFormat="1" spans="1:16384">
      <c r="A9" s="3" t="s">
        <v>83</v>
      </c>
      <c r="B9" s="3" t="s">
        <v>18</v>
      </c>
      <c r="C9" s="3" t="s">
        <v>311</v>
      </c>
      <c r="D9" s="3" t="s">
        <v>98</v>
      </c>
      <c r="E9" s="10">
        <f t="shared" si="0"/>
        <v>202</v>
      </c>
      <c r="F9" s="10">
        <f t="shared" si="1"/>
        <v>202</v>
      </c>
      <c r="G9" s="10">
        <f>VLOOKUP(C9,'[1]2025年5.5新价格提成表 '!$B$1:$K$423,10,0)</f>
        <v>202</v>
      </c>
      <c r="H9" s="11">
        <f t="shared" si="2"/>
        <v>202</v>
      </c>
      <c r="I9" s="10">
        <f t="shared" si="3"/>
        <v>0</v>
      </c>
      <c r="J9" s="3" t="s">
        <v>22</v>
      </c>
      <c r="K9" s="3" t="s">
        <v>93</v>
      </c>
      <c r="L9" s="3" t="s">
        <v>30</v>
      </c>
      <c r="M9" s="3">
        <v>5298</v>
      </c>
      <c r="N9" s="3">
        <v>1</v>
      </c>
      <c r="O9" s="16" t="s">
        <v>312</v>
      </c>
      <c r="P9" s="13">
        <v>36</v>
      </c>
      <c r="XFB9"/>
      <c r="XFC9"/>
      <c r="XFD9"/>
    </row>
    <row r="10" s="3" customFormat="1" spans="1:16384">
      <c r="A10" s="3" t="s">
        <v>83</v>
      </c>
      <c r="B10" s="3" t="s">
        <v>18</v>
      </c>
      <c r="C10" s="3" t="s">
        <v>307</v>
      </c>
      <c r="D10" s="3" t="s">
        <v>42</v>
      </c>
      <c r="E10" s="10">
        <f t="shared" si="0"/>
        <v>142</v>
      </c>
      <c r="F10" s="10">
        <f t="shared" si="1"/>
        <v>142</v>
      </c>
      <c r="G10" s="10">
        <f>VLOOKUP(C10,'[1]2025年5.5新价格提成表 '!$B$1:$K$423,10,0)</f>
        <v>142</v>
      </c>
      <c r="H10" s="11">
        <f t="shared" si="2"/>
        <v>142</v>
      </c>
      <c r="I10" s="10">
        <f t="shared" si="3"/>
        <v>0</v>
      </c>
      <c r="J10" s="3" t="s">
        <v>22</v>
      </c>
      <c r="K10" s="3" t="s">
        <v>93</v>
      </c>
      <c r="L10" s="3" t="s">
        <v>30</v>
      </c>
      <c r="M10" s="3">
        <v>5148</v>
      </c>
      <c r="N10" s="3">
        <v>1</v>
      </c>
      <c r="O10" s="16" t="s">
        <v>313</v>
      </c>
      <c r="P10" s="13">
        <v>38</v>
      </c>
      <c r="XFB10"/>
      <c r="XFC10"/>
      <c r="XFD10"/>
    </row>
    <row r="11" s="3" customFormat="1" spans="1:16384">
      <c r="A11" s="3" t="s">
        <v>83</v>
      </c>
      <c r="B11" s="3" t="s">
        <v>18</v>
      </c>
      <c r="C11" s="3" t="s">
        <v>307</v>
      </c>
      <c r="D11" s="3" t="s">
        <v>42</v>
      </c>
      <c r="E11" s="10">
        <f t="shared" si="0"/>
        <v>142</v>
      </c>
      <c r="F11" s="10">
        <f t="shared" si="1"/>
        <v>142</v>
      </c>
      <c r="G11" s="10">
        <f>VLOOKUP(C11,'[1]2025年5.5新价格提成表 '!$B$1:$K$423,10,0)</f>
        <v>142</v>
      </c>
      <c r="H11" s="11">
        <f t="shared" si="2"/>
        <v>142</v>
      </c>
      <c r="I11" s="10">
        <f t="shared" si="3"/>
        <v>0</v>
      </c>
      <c r="J11" s="3" t="s">
        <v>22</v>
      </c>
      <c r="K11" s="3" t="s">
        <v>54</v>
      </c>
      <c r="L11" s="3" t="s">
        <v>30</v>
      </c>
      <c r="M11" s="3">
        <v>5148</v>
      </c>
      <c r="N11" s="3">
        <v>1</v>
      </c>
      <c r="O11" s="16" t="s">
        <v>314</v>
      </c>
      <c r="P11" s="13">
        <v>38</v>
      </c>
      <c r="XFB11"/>
      <c r="XFC11"/>
      <c r="XFD11"/>
    </row>
    <row r="12" s="3" customFormat="1" spans="1:16384">
      <c r="A12" s="3" t="s">
        <v>83</v>
      </c>
      <c r="B12" s="3" t="s">
        <v>18</v>
      </c>
      <c r="C12" s="3" t="s">
        <v>315</v>
      </c>
      <c r="D12" s="3" t="s">
        <v>48</v>
      </c>
      <c r="E12" s="10">
        <f t="shared" si="0"/>
        <v>119</v>
      </c>
      <c r="F12" s="10">
        <f t="shared" si="1"/>
        <v>119</v>
      </c>
      <c r="G12" s="10">
        <f>VLOOKUP(C12,'[1]2025年5.5新价格提成表 '!$B$1:$K$423,10,0)</f>
        <v>119</v>
      </c>
      <c r="H12" s="11">
        <f t="shared" si="2"/>
        <v>119</v>
      </c>
      <c r="I12" s="10">
        <f t="shared" si="3"/>
        <v>0</v>
      </c>
      <c r="J12" s="3" t="s">
        <v>22</v>
      </c>
      <c r="K12" s="3" t="s">
        <v>93</v>
      </c>
      <c r="L12" s="3" t="s">
        <v>30</v>
      </c>
      <c r="M12" s="3">
        <v>5098</v>
      </c>
      <c r="N12" s="3">
        <v>1</v>
      </c>
      <c r="O12" s="16" t="s">
        <v>316</v>
      </c>
      <c r="P12" s="13">
        <v>41</v>
      </c>
      <c r="XFB12"/>
      <c r="XFC12"/>
      <c r="XFD12"/>
    </row>
    <row r="13" s="3" customFormat="1" spans="1:16384">
      <c r="A13" s="3" t="s">
        <v>83</v>
      </c>
      <c r="B13" s="3" t="s">
        <v>18</v>
      </c>
      <c r="C13" s="3" t="s">
        <v>315</v>
      </c>
      <c r="D13" s="3" t="s">
        <v>48</v>
      </c>
      <c r="E13" s="10">
        <f t="shared" si="0"/>
        <v>119</v>
      </c>
      <c r="F13" s="10">
        <f t="shared" si="1"/>
        <v>119</v>
      </c>
      <c r="G13" s="10">
        <f>VLOOKUP(C13,'[1]2025年5.5新价格提成表 '!$B$1:$K$423,10,0)</f>
        <v>119</v>
      </c>
      <c r="H13" s="11">
        <f t="shared" si="2"/>
        <v>119</v>
      </c>
      <c r="I13" s="10">
        <f t="shared" si="3"/>
        <v>0</v>
      </c>
      <c r="J13" s="3" t="s">
        <v>22</v>
      </c>
      <c r="K13" s="3" t="s">
        <v>54</v>
      </c>
      <c r="L13" s="3" t="s">
        <v>30</v>
      </c>
      <c r="M13" s="3">
        <v>5098</v>
      </c>
      <c r="N13" s="3">
        <v>1</v>
      </c>
      <c r="O13" s="17" t="s">
        <v>317</v>
      </c>
      <c r="P13" s="13">
        <v>78</v>
      </c>
      <c r="XFB13"/>
      <c r="XFC13"/>
      <c r="XFD13"/>
    </row>
    <row r="14" s="3" customFormat="1" spans="1:16384">
      <c r="A14" s="3" t="s">
        <v>83</v>
      </c>
      <c r="B14" s="3" t="s">
        <v>18</v>
      </c>
      <c r="C14" s="3" t="s">
        <v>318</v>
      </c>
      <c r="D14" s="3" t="s">
        <v>115</v>
      </c>
      <c r="E14" s="10">
        <f t="shared" si="0"/>
        <v>120</v>
      </c>
      <c r="F14" s="10">
        <f t="shared" si="1"/>
        <v>120</v>
      </c>
      <c r="G14" s="10">
        <f>VLOOKUP(C14,'[1]2025年5.5新价格提成表 '!$B$1:$K$423,10,0)</f>
        <v>120</v>
      </c>
      <c r="H14" s="11">
        <f t="shared" si="2"/>
        <v>120</v>
      </c>
      <c r="I14" s="10">
        <f t="shared" si="3"/>
        <v>0</v>
      </c>
      <c r="J14" s="3" t="s">
        <v>22</v>
      </c>
      <c r="K14" s="3" t="s">
        <v>93</v>
      </c>
      <c r="L14" s="3" t="s">
        <v>30</v>
      </c>
      <c r="M14" s="3">
        <v>3098</v>
      </c>
      <c r="N14" s="3">
        <v>1</v>
      </c>
      <c r="O14" s="17" t="s">
        <v>319</v>
      </c>
      <c r="P14" s="13">
        <v>78</v>
      </c>
      <c r="XFB14"/>
      <c r="XFC14"/>
      <c r="XFD14"/>
    </row>
    <row r="15" s="3" customFormat="1" spans="1:16384">
      <c r="A15" s="3" t="s">
        <v>83</v>
      </c>
      <c r="B15" s="3" t="s">
        <v>18</v>
      </c>
      <c r="C15" s="3" t="s">
        <v>318</v>
      </c>
      <c r="D15" s="3" t="s">
        <v>115</v>
      </c>
      <c r="E15" s="10">
        <f t="shared" si="0"/>
        <v>120</v>
      </c>
      <c r="F15" s="10">
        <f t="shared" si="1"/>
        <v>120</v>
      </c>
      <c r="G15" s="10">
        <f>VLOOKUP(C15,'[1]2025年5.5新价格提成表 '!$B$1:$K$423,10,0)</f>
        <v>120</v>
      </c>
      <c r="H15" s="11">
        <f t="shared" si="2"/>
        <v>120</v>
      </c>
      <c r="I15" s="10">
        <f t="shared" si="3"/>
        <v>0</v>
      </c>
      <c r="J15" s="3" t="s">
        <v>22</v>
      </c>
      <c r="K15" s="3" t="s">
        <v>93</v>
      </c>
      <c r="L15" s="3" t="s">
        <v>30</v>
      </c>
      <c r="M15" s="3">
        <v>3098</v>
      </c>
      <c r="N15" s="3">
        <v>1</v>
      </c>
      <c r="O15" s="17" t="s">
        <v>320</v>
      </c>
      <c r="P15" s="13">
        <v>86</v>
      </c>
      <c r="XFB15"/>
      <c r="XFC15"/>
      <c r="XFD15"/>
    </row>
    <row r="16" s="3" customFormat="1" spans="1:16384">
      <c r="A16" s="3" t="s">
        <v>118</v>
      </c>
      <c r="B16" s="3" t="s">
        <v>18</v>
      </c>
      <c r="C16" s="3" t="s">
        <v>321</v>
      </c>
      <c r="D16" s="3" t="s">
        <v>123</v>
      </c>
      <c r="E16" s="10">
        <f t="shared" si="0"/>
        <v>105</v>
      </c>
      <c r="F16" s="10">
        <f t="shared" si="1"/>
        <v>105</v>
      </c>
      <c r="G16" s="10">
        <f>VLOOKUP(C16,'[1]2025年5.5新价格提成表 '!$B$1:$K$423,10,0)</f>
        <v>105</v>
      </c>
      <c r="H16" s="11">
        <f t="shared" si="2"/>
        <v>105</v>
      </c>
      <c r="I16" s="10">
        <f t="shared" si="3"/>
        <v>0</v>
      </c>
      <c r="J16" s="3" t="s">
        <v>22</v>
      </c>
      <c r="K16" s="3" t="s">
        <v>23</v>
      </c>
      <c r="L16" s="3" t="s">
        <v>30</v>
      </c>
      <c r="M16" s="3">
        <v>4298</v>
      </c>
      <c r="N16" s="3">
        <v>1</v>
      </c>
      <c r="O16" s="15" t="s">
        <v>322</v>
      </c>
      <c r="P16" s="13">
        <v>37</v>
      </c>
      <c r="XFB16"/>
      <c r="XFC16"/>
      <c r="XFD16"/>
    </row>
    <row r="17" s="3" customFormat="1" spans="1:16384">
      <c r="A17" s="3" t="s">
        <v>130</v>
      </c>
      <c r="B17" s="3" t="s">
        <v>18</v>
      </c>
      <c r="C17" s="3" t="s">
        <v>323</v>
      </c>
      <c r="D17" s="3" t="s">
        <v>134</v>
      </c>
      <c r="E17" s="10">
        <f t="shared" si="0"/>
        <v>134</v>
      </c>
      <c r="F17" s="10">
        <f t="shared" si="1"/>
        <v>134</v>
      </c>
      <c r="G17" s="10">
        <f>VLOOKUP(C17,'[1]2025年5.5新价格提成表 '!$B$1:$K$423,10,0)</f>
        <v>134</v>
      </c>
      <c r="H17" s="11">
        <f t="shared" si="2"/>
        <v>134</v>
      </c>
      <c r="I17" s="10">
        <f t="shared" si="3"/>
        <v>0</v>
      </c>
      <c r="J17" s="3" t="s">
        <v>22</v>
      </c>
      <c r="K17" s="3" t="s">
        <v>54</v>
      </c>
      <c r="L17" s="3" t="s">
        <v>30</v>
      </c>
      <c r="M17" s="3">
        <v>5698</v>
      </c>
      <c r="N17" s="3">
        <v>1</v>
      </c>
      <c r="O17" s="15" t="s">
        <v>324</v>
      </c>
      <c r="P17" s="13">
        <v>39</v>
      </c>
      <c r="XFB17"/>
      <c r="XFC17"/>
      <c r="XFD17"/>
    </row>
    <row r="18" s="3" customFormat="1" spans="1:16384">
      <c r="A18" s="3" t="s">
        <v>130</v>
      </c>
      <c r="B18" s="3" t="s">
        <v>18</v>
      </c>
      <c r="C18" s="3" t="s">
        <v>325</v>
      </c>
      <c r="D18" s="3" t="s">
        <v>67</v>
      </c>
      <c r="E18" s="10">
        <f t="shared" si="0"/>
        <v>90</v>
      </c>
      <c r="F18" s="10">
        <f t="shared" si="1"/>
        <v>90</v>
      </c>
      <c r="G18" s="10">
        <f>VLOOKUP(C18,'[1]2025年5.5新价格提成表 '!$B$1:$K$423,10,0)</f>
        <v>90</v>
      </c>
      <c r="H18" s="11">
        <f t="shared" si="2"/>
        <v>90</v>
      </c>
      <c r="I18" s="10">
        <f t="shared" si="3"/>
        <v>0</v>
      </c>
      <c r="J18" s="3" t="s">
        <v>22</v>
      </c>
      <c r="K18" s="3" t="s">
        <v>54</v>
      </c>
      <c r="L18" s="3" t="s">
        <v>30</v>
      </c>
      <c r="M18" s="3">
        <v>3968</v>
      </c>
      <c r="N18" s="3">
        <v>1</v>
      </c>
      <c r="O18" s="15" t="s">
        <v>326</v>
      </c>
      <c r="P18" s="13">
        <v>42</v>
      </c>
      <c r="XFB18"/>
      <c r="XFC18"/>
      <c r="XFD18"/>
    </row>
    <row r="19" s="3" customFormat="1" spans="1:16384">
      <c r="A19" s="3" t="s">
        <v>138</v>
      </c>
      <c r="B19" s="3" t="s">
        <v>18</v>
      </c>
      <c r="C19" s="3" t="s">
        <v>298</v>
      </c>
      <c r="D19" s="3" t="s">
        <v>20</v>
      </c>
      <c r="E19" s="10">
        <f t="shared" si="0"/>
        <v>200</v>
      </c>
      <c r="F19" s="10">
        <f t="shared" si="1"/>
        <v>200</v>
      </c>
      <c r="G19" s="10">
        <f>VLOOKUP(C19,'[1]2025年5.5新价格提成表 '!$B$1:$K$423,10,0)</f>
        <v>200</v>
      </c>
      <c r="H19" s="11">
        <f t="shared" si="2"/>
        <v>200</v>
      </c>
      <c r="I19" s="10">
        <f t="shared" si="3"/>
        <v>0</v>
      </c>
      <c r="J19" s="3" t="s">
        <v>22</v>
      </c>
      <c r="K19" s="3" t="s">
        <v>23</v>
      </c>
      <c r="L19" s="3" t="s">
        <v>30</v>
      </c>
      <c r="M19" s="3">
        <v>8288</v>
      </c>
      <c r="N19" s="3">
        <v>1</v>
      </c>
      <c r="O19" s="18" t="s">
        <v>327</v>
      </c>
      <c r="P19" s="13">
        <v>90</v>
      </c>
      <c r="XFB19"/>
      <c r="XFC19"/>
      <c r="XFD19"/>
    </row>
    <row r="20" s="3" customFormat="1" spans="1:16384">
      <c r="A20" s="3" t="s">
        <v>138</v>
      </c>
      <c r="B20" s="3" t="s">
        <v>18</v>
      </c>
      <c r="C20" s="3" t="s">
        <v>298</v>
      </c>
      <c r="D20" s="3" t="s">
        <v>20</v>
      </c>
      <c r="E20" s="10">
        <f t="shared" si="0"/>
        <v>200</v>
      </c>
      <c r="F20" s="10">
        <f t="shared" si="1"/>
        <v>200</v>
      </c>
      <c r="G20" s="10">
        <f>VLOOKUP(C20,'[1]2025年5.5新价格提成表 '!$B$1:$K$423,10,0)</f>
        <v>200</v>
      </c>
      <c r="H20" s="11">
        <f t="shared" si="2"/>
        <v>200</v>
      </c>
      <c r="I20" s="10">
        <f t="shared" si="3"/>
        <v>0</v>
      </c>
      <c r="J20" s="3" t="s">
        <v>22</v>
      </c>
      <c r="K20" s="3" t="s">
        <v>23</v>
      </c>
      <c r="L20" s="3" t="s">
        <v>30</v>
      </c>
      <c r="M20" s="3">
        <v>8288</v>
      </c>
      <c r="N20" s="3">
        <v>1</v>
      </c>
      <c r="O20" s="15" t="s">
        <v>328</v>
      </c>
      <c r="P20" s="13">
        <v>87</v>
      </c>
      <c r="XFB20"/>
      <c r="XFC20"/>
      <c r="XFD20"/>
    </row>
    <row r="21" s="3" customFormat="1" spans="1:16384">
      <c r="A21" s="3" t="s">
        <v>138</v>
      </c>
      <c r="B21" s="3" t="s">
        <v>18</v>
      </c>
      <c r="C21" s="3" t="s">
        <v>329</v>
      </c>
      <c r="D21" s="3" t="s">
        <v>142</v>
      </c>
      <c r="E21" s="10">
        <f t="shared" si="0"/>
        <v>163</v>
      </c>
      <c r="F21" s="10">
        <f t="shared" si="1"/>
        <v>163</v>
      </c>
      <c r="G21" s="10">
        <f>VLOOKUP(C21,'[1]2025年5.5新价格提成表 '!$B$1:$K$423,10,0)</f>
        <v>163</v>
      </c>
      <c r="H21" s="11">
        <f t="shared" si="2"/>
        <v>163</v>
      </c>
      <c r="I21" s="10">
        <f t="shared" si="3"/>
        <v>0</v>
      </c>
      <c r="J21" s="3" t="s">
        <v>22</v>
      </c>
      <c r="K21" s="3" t="s">
        <v>23</v>
      </c>
      <c r="L21" s="3" t="s">
        <v>30</v>
      </c>
      <c r="M21" s="3">
        <v>7368</v>
      </c>
      <c r="N21" s="3">
        <v>1</v>
      </c>
      <c r="O21" s="15" t="s">
        <v>330</v>
      </c>
      <c r="P21" s="13">
        <v>95</v>
      </c>
      <c r="XFB21"/>
      <c r="XFC21"/>
      <c r="XFD21"/>
    </row>
    <row r="22" s="3" customFormat="1" spans="1:16384">
      <c r="A22" s="3" t="s">
        <v>138</v>
      </c>
      <c r="B22" s="3" t="s">
        <v>18</v>
      </c>
      <c r="C22" s="3" t="s">
        <v>323</v>
      </c>
      <c r="D22" s="3" t="s">
        <v>134</v>
      </c>
      <c r="E22" s="10">
        <f t="shared" si="0"/>
        <v>134</v>
      </c>
      <c r="F22" s="10">
        <f t="shared" si="1"/>
        <v>134</v>
      </c>
      <c r="G22" s="10">
        <f>VLOOKUP(C22,'[1]2025年5.5新价格提成表 '!$B$1:$K$423,10,0)</f>
        <v>134</v>
      </c>
      <c r="H22" s="11">
        <f t="shared" si="2"/>
        <v>134</v>
      </c>
      <c r="I22" s="10">
        <f t="shared" si="3"/>
        <v>0</v>
      </c>
      <c r="J22" s="3" t="s">
        <v>22</v>
      </c>
      <c r="K22" s="3" t="s">
        <v>23</v>
      </c>
      <c r="L22" s="3" t="s">
        <v>30</v>
      </c>
      <c r="M22" s="3">
        <v>5698</v>
      </c>
      <c r="N22" s="3">
        <v>1</v>
      </c>
      <c r="O22" s="16" t="s">
        <v>331</v>
      </c>
      <c r="P22" s="13">
        <v>84</v>
      </c>
      <c r="XFB22"/>
      <c r="XFC22"/>
      <c r="XFD22"/>
    </row>
    <row r="23" s="3" customFormat="1" spans="1:16384">
      <c r="A23" s="3" t="s">
        <v>138</v>
      </c>
      <c r="B23" s="3" t="s">
        <v>18</v>
      </c>
      <c r="C23" s="3" t="s">
        <v>325</v>
      </c>
      <c r="D23" s="3" t="s">
        <v>67</v>
      </c>
      <c r="E23" s="10">
        <f t="shared" si="0"/>
        <v>90</v>
      </c>
      <c r="F23" s="10">
        <f t="shared" si="1"/>
        <v>90</v>
      </c>
      <c r="G23" s="10">
        <f>VLOOKUP(C23,'[1]2025年5.5新价格提成表 '!$B$1:$K$423,10,0)</f>
        <v>90</v>
      </c>
      <c r="H23" s="11">
        <f t="shared" si="2"/>
        <v>90</v>
      </c>
      <c r="I23" s="10">
        <f t="shared" si="3"/>
        <v>0</v>
      </c>
      <c r="J23" s="3" t="s">
        <v>22</v>
      </c>
      <c r="K23" s="3" t="s">
        <v>23</v>
      </c>
      <c r="L23" s="3" t="s">
        <v>30</v>
      </c>
      <c r="M23" s="3">
        <v>3968</v>
      </c>
      <c r="N23" s="3">
        <v>1</v>
      </c>
      <c r="O23" s="16" t="s">
        <v>325</v>
      </c>
      <c r="P23" s="13">
        <v>90</v>
      </c>
      <c r="XFB23"/>
      <c r="XFC23"/>
      <c r="XFD23"/>
    </row>
    <row r="24" s="3" customFormat="1" spans="1:16384">
      <c r="A24" s="3" t="s">
        <v>138</v>
      </c>
      <c r="B24" s="3" t="s">
        <v>137</v>
      </c>
      <c r="C24" s="3" t="s">
        <v>298</v>
      </c>
      <c r="D24" s="3" t="s">
        <v>20</v>
      </c>
      <c r="E24" s="10">
        <f t="shared" si="0"/>
        <v>200</v>
      </c>
      <c r="F24" s="10">
        <f t="shared" si="1"/>
        <v>-200</v>
      </c>
      <c r="G24" s="10">
        <f>VLOOKUP(C24,'[1]2025年5.5新价格提成表 '!$B$1:$K$423,10,0)</f>
        <v>200</v>
      </c>
      <c r="H24" s="11">
        <f t="shared" si="2"/>
        <v>-200</v>
      </c>
      <c r="I24" s="10">
        <f t="shared" si="3"/>
        <v>0</v>
      </c>
      <c r="J24" s="3" t="s">
        <v>22</v>
      </c>
      <c r="K24" s="3" t="s">
        <v>23</v>
      </c>
      <c r="L24" s="3" t="s">
        <v>30</v>
      </c>
      <c r="M24" s="3">
        <v>-8288</v>
      </c>
      <c r="N24" s="3">
        <v>-1</v>
      </c>
      <c r="O24" s="16" t="s">
        <v>332</v>
      </c>
      <c r="P24" s="13">
        <v>90</v>
      </c>
      <c r="XFB24"/>
      <c r="XFC24"/>
      <c r="XFD24"/>
    </row>
    <row r="25" s="3" customFormat="1" spans="1:16384">
      <c r="A25" s="3" t="s">
        <v>146</v>
      </c>
      <c r="B25" s="3" t="s">
        <v>18</v>
      </c>
      <c r="C25" s="3" t="s">
        <v>333</v>
      </c>
      <c r="D25" s="3" t="s">
        <v>149</v>
      </c>
      <c r="E25" s="10">
        <f t="shared" si="0"/>
        <v>142</v>
      </c>
      <c r="F25" s="10">
        <f t="shared" si="1"/>
        <v>142</v>
      </c>
      <c r="G25" s="10">
        <f>VLOOKUP(C25,'[1]2025年5.5新价格提成表 '!$B$1:$K$423,10,0)</f>
        <v>142</v>
      </c>
      <c r="H25" s="11">
        <f t="shared" si="2"/>
        <v>142</v>
      </c>
      <c r="I25" s="10">
        <f t="shared" si="3"/>
        <v>0</v>
      </c>
      <c r="J25" s="3" t="s">
        <v>22</v>
      </c>
      <c r="K25" s="3" t="s">
        <v>23</v>
      </c>
      <c r="L25" s="3" t="s">
        <v>30</v>
      </c>
      <c r="M25" s="3">
        <v>6458</v>
      </c>
      <c r="N25" s="3">
        <v>1</v>
      </c>
      <c r="O25" s="16" t="s">
        <v>334</v>
      </c>
      <c r="P25" s="13">
        <v>99</v>
      </c>
      <c r="XFB25"/>
      <c r="XFC25"/>
      <c r="XFD25"/>
    </row>
    <row r="26" s="3" customFormat="1" spans="1:16384">
      <c r="A26" s="3" t="s">
        <v>146</v>
      </c>
      <c r="B26" s="3" t="s">
        <v>18</v>
      </c>
      <c r="C26" s="3" t="s">
        <v>333</v>
      </c>
      <c r="D26" s="3" t="s">
        <v>149</v>
      </c>
      <c r="E26" s="10">
        <f t="shared" si="0"/>
        <v>142</v>
      </c>
      <c r="F26" s="10">
        <f t="shared" si="1"/>
        <v>142</v>
      </c>
      <c r="G26" s="10">
        <f>VLOOKUP(C26,'[1]2025年5.5新价格提成表 '!$B$1:$K$423,10,0)</f>
        <v>142</v>
      </c>
      <c r="H26" s="11">
        <f t="shared" si="2"/>
        <v>142</v>
      </c>
      <c r="I26" s="10">
        <f t="shared" si="3"/>
        <v>0</v>
      </c>
      <c r="J26" s="3" t="s">
        <v>22</v>
      </c>
      <c r="K26" s="3" t="s">
        <v>23</v>
      </c>
      <c r="L26" s="3" t="s">
        <v>30</v>
      </c>
      <c r="M26" s="3">
        <v>6458</v>
      </c>
      <c r="N26" s="3">
        <v>1</v>
      </c>
      <c r="O26" s="15" t="s">
        <v>335</v>
      </c>
      <c r="P26" s="13">
        <v>100</v>
      </c>
      <c r="XFB26"/>
      <c r="XFC26"/>
      <c r="XFD26"/>
    </row>
    <row r="27" s="3" customFormat="1" spans="1:16384">
      <c r="A27" s="3" t="s">
        <v>146</v>
      </c>
      <c r="B27" s="3" t="s">
        <v>18</v>
      </c>
      <c r="C27" s="3" t="s">
        <v>336</v>
      </c>
      <c r="D27" s="3" t="s">
        <v>153</v>
      </c>
      <c r="E27" s="10">
        <f t="shared" si="0"/>
        <v>127</v>
      </c>
      <c r="F27" s="10">
        <f t="shared" si="1"/>
        <v>127</v>
      </c>
      <c r="G27" s="10">
        <f>VLOOKUP(C27,'[1]2025年5.5新价格提成表 '!$B$1:$K$423,10,0)</f>
        <v>127</v>
      </c>
      <c r="H27" s="11">
        <f t="shared" si="2"/>
        <v>127</v>
      </c>
      <c r="I27" s="10">
        <f t="shared" si="3"/>
        <v>0</v>
      </c>
      <c r="J27" s="3" t="s">
        <v>22</v>
      </c>
      <c r="K27" s="3" t="s">
        <v>23</v>
      </c>
      <c r="L27" s="3" t="s">
        <v>30</v>
      </c>
      <c r="M27" s="3">
        <v>5298</v>
      </c>
      <c r="N27" s="3">
        <v>1</v>
      </c>
      <c r="O27" s="15" t="s">
        <v>321</v>
      </c>
      <c r="P27" s="13">
        <v>105</v>
      </c>
      <c r="XFB27"/>
      <c r="XFC27"/>
      <c r="XFD27"/>
    </row>
    <row r="28" s="3" customFormat="1" spans="1:16384">
      <c r="A28" s="3" t="s">
        <v>146</v>
      </c>
      <c r="B28" s="3" t="s">
        <v>18</v>
      </c>
      <c r="C28" s="3" t="s">
        <v>307</v>
      </c>
      <c r="D28" s="3" t="s">
        <v>42</v>
      </c>
      <c r="E28" s="10">
        <f t="shared" si="0"/>
        <v>142</v>
      </c>
      <c r="F28" s="10">
        <f t="shared" si="1"/>
        <v>142</v>
      </c>
      <c r="G28" s="10">
        <f>VLOOKUP(C28,'[1]2025年5.5新价格提成表 '!$B$1:$K$423,10,0)</f>
        <v>142</v>
      </c>
      <c r="H28" s="11">
        <f t="shared" si="2"/>
        <v>142</v>
      </c>
      <c r="I28" s="10">
        <f t="shared" si="3"/>
        <v>0</v>
      </c>
      <c r="J28" s="3" t="s">
        <v>22</v>
      </c>
      <c r="K28" s="3" t="s">
        <v>23</v>
      </c>
      <c r="L28" s="3" t="s">
        <v>30</v>
      </c>
      <c r="M28" s="3">
        <v>5148</v>
      </c>
      <c r="N28" s="3">
        <v>1</v>
      </c>
      <c r="O28" s="15" t="s">
        <v>337</v>
      </c>
      <c r="P28" s="13">
        <v>112</v>
      </c>
      <c r="XFB28"/>
      <c r="XFC28"/>
      <c r="XFD28"/>
    </row>
    <row r="29" s="3" customFormat="1" spans="1:16384">
      <c r="A29" s="3" t="s">
        <v>146</v>
      </c>
      <c r="B29" s="3" t="s">
        <v>18</v>
      </c>
      <c r="C29" s="3" t="s">
        <v>307</v>
      </c>
      <c r="D29" s="3" t="s">
        <v>42</v>
      </c>
      <c r="E29" s="10">
        <f t="shared" si="0"/>
        <v>142</v>
      </c>
      <c r="F29" s="10">
        <f t="shared" si="1"/>
        <v>142</v>
      </c>
      <c r="G29" s="10">
        <f>VLOOKUP(C29,'[1]2025年5.5新价格提成表 '!$B$1:$K$423,10,0)</f>
        <v>142</v>
      </c>
      <c r="H29" s="11">
        <f t="shared" si="2"/>
        <v>142</v>
      </c>
      <c r="I29" s="10">
        <f t="shared" si="3"/>
        <v>0</v>
      </c>
      <c r="J29" s="3" t="s">
        <v>22</v>
      </c>
      <c r="K29" s="3" t="s">
        <v>23</v>
      </c>
      <c r="L29" s="3" t="s">
        <v>30</v>
      </c>
      <c r="M29" s="3">
        <v>5148</v>
      </c>
      <c r="N29" s="3">
        <v>1</v>
      </c>
      <c r="O29" s="19" t="s">
        <v>338</v>
      </c>
      <c r="P29" s="13">
        <v>110</v>
      </c>
      <c r="XFB29"/>
      <c r="XFC29"/>
      <c r="XFD29"/>
    </row>
    <row r="30" s="3" customFormat="1" spans="1:16384">
      <c r="A30" s="3" t="s">
        <v>146</v>
      </c>
      <c r="B30" s="3" t="s">
        <v>18</v>
      </c>
      <c r="C30" s="3" t="s">
        <v>315</v>
      </c>
      <c r="D30" s="3" t="s">
        <v>48</v>
      </c>
      <c r="E30" s="10">
        <f t="shared" si="0"/>
        <v>119</v>
      </c>
      <c r="F30" s="10">
        <f t="shared" si="1"/>
        <v>119</v>
      </c>
      <c r="G30" s="10">
        <f>VLOOKUP(C30,'[1]2025年5.5新价格提成表 '!$B$1:$K$423,10,0)</f>
        <v>119</v>
      </c>
      <c r="H30" s="11">
        <f t="shared" si="2"/>
        <v>119</v>
      </c>
      <c r="I30" s="10">
        <f t="shared" si="3"/>
        <v>0</v>
      </c>
      <c r="J30" s="3" t="s">
        <v>22</v>
      </c>
      <c r="K30" s="3" t="s">
        <v>23</v>
      </c>
      <c r="L30" s="3" t="s">
        <v>30</v>
      </c>
      <c r="M30" s="3">
        <v>5098</v>
      </c>
      <c r="N30" s="3">
        <v>1</v>
      </c>
      <c r="O30" s="20" t="s">
        <v>339</v>
      </c>
      <c r="P30" s="13">
        <v>115</v>
      </c>
      <c r="XFB30"/>
      <c r="XFC30"/>
      <c r="XFD30"/>
    </row>
    <row r="31" s="3" customFormat="1" spans="1:16384">
      <c r="A31" s="3" t="s">
        <v>146</v>
      </c>
      <c r="B31" s="3" t="s">
        <v>18</v>
      </c>
      <c r="C31" s="3" t="s">
        <v>340</v>
      </c>
      <c r="D31" s="3" t="s">
        <v>159</v>
      </c>
      <c r="E31" s="10">
        <f t="shared" si="0"/>
        <v>105</v>
      </c>
      <c r="F31" s="10">
        <f t="shared" si="1"/>
        <v>105</v>
      </c>
      <c r="G31" s="10">
        <f>VLOOKUP(C31,'[1]2025年5.5新价格提成表 '!$B$1:$K$423,10,0)</f>
        <v>105</v>
      </c>
      <c r="H31" s="11">
        <f t="shared" si="2"/>
        <v>105</v>
      </c>
      <c r="I31" s="10">
        <f t="shared" si="3"/>
        <v>0</v>
      </c>
      <c r="J31" s="3" t="s">
        <v>22</v>
      </c>
      <c r="K31" s="3" t="s">
        <v>23</v>
      </c>
      <c r="L31" s="3" t="s">
        <v>30</v>
      </c>
      <c r="M31" s="3">
        <v>4598</v>
      </c>
      <c r="N31" s="3">
        <v>1</v>
      </c>
      <c r="O31" s="20" t="s">
        <v>341</v>
      </c>
      <c r="P31" s="13">
        <v>122</v>
      </c>
      <c r="XFB31"/>
      <c r="XFC31"/>
      <c r="XFD31"/>
    </row>
    <row r="32" s="3" customFormat="1" spans="1:16384">
      <c r="A32" s="3" t="s">
        <v>146</v>
      </c>
      <c r="B32" s="3" t="s">
        <v>18</v>
      </c>
      <c r="C32" s="3" t="s">
        <v>325</v>
      </c>
      <c r="D32" s="3" t="s">
        <v>67</v>
      </c>
      <c r="E32" s="10">
        <f t="shared" si="0"/>
        <v>90</v>
      </c>
      <c r="F32" s="10">
        <f t="shared" si="1"/>
        <v>90</v>
      </c>
      <c r="G32" s="10">
        <f>VLOOKUP(C32,'[1]2025年5.5新价格提成表 '!$B$1:$K$423,10,0)</f>
        <v>90</v>
      </c>
      <c r="H32" s="11">
        <f t="shared" si="2"/>
        <v>90</v>
      </c>
      <c r="I32" s="10">
        <f t="shared" si="3"/>
        <v>0</v>
      </c>
      <c r="J32" s="3" t="s">
        <v>22</v>
      </c>
      <c r="K32" s="3" t="s">
        <v>23</v>
      </c>
      <c r="L32" s="3" t="s">
        <v>30</v>
      </c>
      <c r="M32" s="3">
        <v>3968</v>
      </c>
      <c r="N32" s="3">
        <v>1</v>
      </c>
      <c r="O32" s="21" t="s">
        <v>342</v>
      </c>
      <c r="P32" s="13">
        <v>110</v>
      </c>
      <c r="XFB32"/>
      <c r="XFC32"/>
      <c r="XFD32"/>
    </row>
    <row r="33" s="3" customFormat="1" spans="1:16384">
      <c r="A33" s="3" t="s">
        <v>146</v>
      </c>
      <c r="B33" s="3" t="s">
        <v>18</v>
      </c>
      <c r="C33" s="3" t="s">
        <v>343</v>
      </c>
      <c r="D33" s="3" t="s">
        <v>163</v>
      </c>
      <c r="E33" s="10">
        <f t="shared" si="0"/>
        <v>75</v>
      </c>
      <c r="F33" s="10">
        <f t="shared" si="1"/>
        <v>75</v>
      </c>
      <c r="G33" s="10">
        <f>VLOOKUP(C33,'[1]2025年5.5新价格提成表 '!$B$1:$K$423,10,0)</f>
        <v>75</v>
      </c>
      <c r="H33" s="11">
        <f t="shared" si="2"/>
        <v>75</v>
      </c>
      <c r="I33" s="10">
        <f t="shared" si="3"/>
        <v>0</v>
      </c>
      <c r="J33" s="3" t="s">
        <v>22</v>
      </c>
      <c r="K33" s="3" t="s">
        <v>23</v>
      </c>
      <c r="L33" s="3" t="s">
        <v>30</v>
      </c>
      <c r="M33" s="3">
        <v>2998</v>
      </c>
      <c r="N33" s="3">
        <v>1</v>
      </c>
      <c r="O33" s="21" t="s">
        <v>344</v>
      </c>
      <c r="P33" s="13">
        <v>117</v>
      </c>
      <c r="XFB33"/>
      <c r="XFC33"/>
      <c r="XFD33"/>
    </row>
    <row r="34" s="3" customFormat="1" spans="1:16384">
      <c r="A34" s="3" t="s">
        <v>146</v>
      </c>
      <c r="B34" s="3" t="s">
        <v>18</v>
      </c>
      <c r="C34" s="3" t="s">
        <v>343</v>
      </c>
      <c r="D34" s="3" t="s">
        <v>163</v>
      </c>
      <c r="E34" s="10">
        <f t="shared" si="0"/>
        <v>75</v>
      </c>
      <c r="F34" s="10">
        <f t="shared" si="1"/>
        <v>75</v>
      </c>
      <c r="G34" s="10">
        <f>VLOOKUP(C34,'[1]2025年5.5新价格提成表 '!$B$1:$K$423,10,0)</f>
        <v>75</v>
      </c>
      <c r="H34" s="11">
        <f t="shared" si="2"/>
        <v>75</v>
      </c>
      <c r="I34" s="10">
        <f t="shared" si="3"/>
        <v>0</v>
      </c>
      <c r="J34" s="3" t="s">
        <v>22</v>
      </c>
      <c r="K34" s="3" t="s">
        <v>23</v>
      </c>
      <c r="L34" s="3" t="s">
        <v>30</v>
      </c>
      <c r="M34" s="3">
        <v>2998</v>
      </c>
      <c r="N34" s="3">
        <v>1</v>
      </c>
      <c r="O34" s="12" t="s">
        <v>345</v>
      </c>
      <c r="P34" s="13">
        <v>102</v>
      </c>
      <c r="XFB34"/>
      <c r="XFC34"/>
      <c r="XFD34"/>
    </row>
    <row r="35" s="3" customFormat="1" spans="1:16384">
      <c r="A35" s="3" t="s">
        <v>146</v>
      </c>
      <c r="B35" s="3" t="s">
        <v>137</v>
      </c>
      <c r="C35" s="3" t="s">
        <v>343</v>
      </c>
      <c r="D35" s="3" t="s">
        <v>163</v>
      </c>
      <c r="E35" s="10">
        <f t="shared" si="0"/>
        <v>75</v>
      </c>
      <c r="F35" s="10">
        <f t="shared" si="1"/>
        <v>-75</v>
      </c>
      <c r="G35" s="10">
        <f>VLOOKUP(C35,'[1]2025年5.5新价格提成表 '!$B$1:$K$423,10,0)</f>
        <v>75</v>
      </c>
      <c r="H35" s="11">
        <f t="shared" ref="H35:H66" si="4">G35*N35</f>
        <v>-75</v>
      </c>
      <c r="I35" s="10">
        <f t="shared" ref="I35:I66" si="5">H35-F35</f>
        <v>0</v>
      </c>
      <c r="J35" s="3" t="s">
        <v>22</v>
      </c>
      <c r="K35" s="3" t="s">
        <v>23</v>
      </c>
      <c r="L35" s="3" t="s">
        <v>30</v>
      </c>
      <c r="M35" s="3">
        <v>-2998</v>
      </c>
      <c r="N35" s="3">
        <v>-1</v>
      </c>
      <c r="O35" s="22" t="s">
        <v>346</v>
      </c>
      <c r="P35" s="13">
        <v>117</v>
      </c>
      <c r="XFB35"/>
      <c r="XFC35"/>
      <c r="XFD35"/>
    </row>
    <row r="36" s="3" customFormat="1" spans="1:16384">
      <c r="A36" s="3" t="s">
        <v>146</v>
      </c>
      <c r="B36" s="3" t="s">
        <v>137</v>
      </c>
      <c r="C36" s="3" t="s">
        <v>307</v>
      </c>
      <c r="D36" s="3" t="s">
        <v>42</v>
      </c>
      <c r="E36" s="10">
        <f t="shared" si="0"/>
        <v>142</v>
      </c>
      <c r="F36" s="10">
        <f t="shared" si="1"/>
        <v>-142</v>
      </c>
      <c r="G36" s="10">
        <f>VLOOKUP(C36,'[1]2025年5.5新价格提成表 '!$B$1:$K$423,10,0)</f>
        <v>142</v>
      </c>
      <c r="H36" s="11">
        <f t="shared" si="4"/>
        <v>-142</v>
      </c>
      <c r="I36" s="10">
        <f t="shared" si="5"/>
        <v>0</v>
      </c>
      <c r="J36" s="3" t="s">
        <v>22</v>
      </c>
      <c r="K36" s="3" t="s">
        <v>23</v>
      </c>
      <c r="L36" s="3" t="s">
        <v>30</v>
      </c>
      <c r="M36" s="3">
        <v>-5148</v>
      </c>
      <c r="N36" s="3">
        <v>-1</v>
      </c>
      <c r="O36" s="21" t="s">
        <v>347</v>
      </c>
      <c r="P36" s="13">
        <v>95</v>
      </c>
      <c r="XFB36"/>
      <c r="XFC36"/>
      <c r="XFD36"/>
    </row>
    <row r="37" s="3" customFormat="1" spans="1:16384">
      <c r="A37" s="3" t="s">
        <v>168</v>
      </c>
      <c r="B37" s="3" t="s">
        <v>18</v>
      </c>
      <c r="C37" s="3" t="s">
        <v>348</v>
      </c>
      <c r="D37" s="3" t="s">
        <v>72</v>
      </c>
      <c r="E37" s="10">
        <f t="shared" si="0"/>
        <v>190</v>
      </c>
      <c r="F37" s="10">
        <f t="shared" si="1"/>
        <v>190</v>
      </c>
      <c r="G37" s="10">
        <f>VLOOKUP(C37,'[1]2025年5.5新价格提成表 '!$B$1:$K$423,10,0)</f>
        <v>190</v>
      </c>
      <c r="H37" s="11">
        <f t="shared" si="4"/>
        <v>190</v>
      </c>
      <c r="I37" s="10">
        <f t="shared" si="5"/>
        <v>0</v>
      </c>
      <c r="J37" s="3" t="s">
        <v>22</v>
      </c>
      <c r="K37" s="3" t="s">
        <v>23</v>
      </c>
      <c r="L37" s="3" t="s">
        <v>30</v>
      </c>
      <c r="M37" s="3">
        <v>7898</v>
      </c>
      <c r="N37" s="3">
        <v>1</v>
      </c>
      <c r="O37" s="21" t="s">
        <v>349</v>
      </c>
      <c r="P37" s="13">
        <v>95</v>
      </c>
      <c r="XFB37"/>
      <c r="XFC37"/>
      <c r="XFD37"/>
    </row>
    <row r="38" s="3" customFormat="1" spans="1:16384">
      <c r="A38" s="3" t="s">
        <v>170</v>
      </c>
      <c r="B38" s="3" t="s">
        <v>18</v>
      </c>
      <c r="C38" s="3" t="s">
        <v>323</v>
      </c>
      <c r="D38" s="3" t="s">
        <v>134</v>
      </c>
      <c r="E38" s="10">
        <f t="shared" si="0"/>
        <v>134</v>
      </c>
      <c r="F38" s="10">
        <f t="shared" si="1"/>
        <v>134</v>
      </c>
      <c r="G38" s="10">
        <f>VLOOKUP(C38,'[1]2025年5.5新价格提成表 '!$B$1:$K$423,10,0)</f>
        <v>134</v>
      </c>
      <c r="H38" s="11">
        <f t="shared" si="4"/>
        <v>134</v>
      </c>
      <c r="I38" s="10">
        <f t="shared" si="5"/>
        <v>0</v>
      </c>
      <c r="J38" s="3" t="s">
        <v>22</v>
      </c>
      <c r="K38" s="3" t="s">
        <v>23</v>
      </c>
      <c r="L38" s="3" t="s">
        <v>30</v>
      </c>
      <c r="M38" s="3">
        <v>5698</v>
      </c>
      <c r="N38" s="3">
        <v>1</v>
      </c>
      <c r="O38" s="21" t="s">
        <v>350</v>
      </c>
      <c r="P38" s="13">
        <v>102</v>
      </c>
      <c r="XFB38"/>
      <c r="XFC38"/>
      <c r="XFD38"/>
    </row>
    <row r="39" s="3" customFormat="1" spans="1:16384">
      <c r="A39" s="3" t="s">
        <v>177</v>
      </c>
      <c r="B39" s="3" t="s">
        <v>18</v>
      </c>
      <c r="C39" s="3" t="s">
        <v>323</v>
      </c>
      <c r="D39" s="3" t="s">
        <v>134</v>
      </c>
      <c r="E39" s="10">
        <f t="shared" si="0"/>
        <v>134</v>
      </c>
      <c r="F39" s="10">
        <f t="shared" si="1"/>
        <v>134</v>
      </c>
      <c r="G39" s="10">
        <f>VLOOKUP(C39,'[1]2025年5.5新价格提成表 '!$B$1:$K$423,10,0)</f>
        <v>134</v>
      </c>
      <c r="H39" s="11">
        <f t="shared" si="4"/>
        <v>134</v>
      </c>
      <c r="I39" s="10">
        <f t="shared" si="5"/>
        <v>0</v>
      </c>
      <c r="J39" s="3" t="s">
        <v>22</v>
      </c>
      <c r="K39" s="3" t="s">
        <v>23</v>
      </c>
      <c r="L39" s="3" t="s">
        <v>30</v>
      </c>
      <c r="M39" s="3">
        <v>5698</v>
      </c>
      <c r="N39" s="3">
        <v>1</v>
      </c>
      <c r="O39" s="21" t="s">
        <v>351</v>
      </c>
      <c r="P39" s="13">
        <v>117</v>
      </c>
      <c r="XFB39"/>
      <c r="XFC39"/>
      <c r="XFD39"/>
    </row>
    <row r="40" s="3" customFormat="1" spans="1:16384">
      <c r="A40" s="3" t="s">
        <v>177</v>
      </c>
      <c r="B40" s="3" t="s">
        <v>18</v>
      </c>
      <c r="C40" s="3" t="s">
        <v>323</v>
      </c>
      <c r="D40" s="3" t="s">
        <v>134</v>
      </c>
      <c r="E40" s="10">
        <f t="shared" si="0"/>
        <v>134</v>
      </c>
      <c r="F40" s="10">
        <f t="shared" si="1"/>
        <v>134</v>
      </c>
      <c r="G40" s="10">
        <f>VLOOKUP(C40,'[1]2025年5.5新价格提成表 '!$B$1:$K$423,10,0)</f>
        <v>134</v>
      </c>
      <c r="H40" s="11">
        <f t="shared" si="4"/>
        <v>134</v>
      </c>
      <c r="I40" s="10">
        <f t="shared" si="5"/>
        <v>0</v>
      </c>
      <c r="J40" s="3" t="s">
        <v>22</v>
      </c>
      <c r="K40" s="3" t="s">
        <v>23</v>
      </c>
      <c r="L40" s="3" t="s">
        <v>30</v>
      </c>
      <c r="M40" s="3">
        <v>5698</v>
      </c>
      <c r="N40" s="3">
        <v>1</v>
      </c>
      <c r="O40" s="16" t="s">
        <v>352</v>
      </c>
      <c r="P40" s="13">
        <v>92</v>
      </c>
      <c r="XFB40"/>
      <c r="XFC40"/>
      <c r="XFD40"/>
    </row>
    <row r="41" s="3" customFormat="1" spans="1:16384">
      <c r="A41" s="3" t="s">
        <v>180</v>
      </c>
      <c r="B41" s="3" t="s">
        <v>18</v>
      </c>
      <c r="C41" s="3" t="s">
        <v>353</v>
      </c>
      <c r="D41" s="3" t="s">
        <v>76</v>
      </c>
      <c r="E41" s="10">
        <f t="shared" si="0"/>
        <v>135</v>
      </c>
      <c r="F41" s="10">
        <f t="shared" si="1"/>
        <v>135</v>
      </c>
      <c r="G41" s="10">
        <f>VLOOKUP(C41,'[1]2025年5.5新价格提成表 '!$B$1:$K$423,10,0)</f>
        <v>135</v>
      </c>
      <c r="H41" s="11">
        <f t="shared" si="4"/>
        <v>135</v>
      </c>
      <c r="I41" s="10">
        <f t="shared" si="5"/>
        <v>0</v>
      </c>
      <c r="J41" s="3" t="s">
        <v>22</v>
      </c>
      <c r="K41" s="3" t="s">
        <v>54</v>
      </c>
      <c r="L41" s="3" t="s">
        <v>30</v>
      </c>
      <c r="M41" s="3">
        <v>5568</v>
      </c>
      <c r="N41" s="3">
        <v>1</v>
      </c>
      <c r="O41" s="16" t="s">
        <v>354</v>
      </c>
      <c r="P41" s="13">
        <v>100</v>
      </c>
      <c r="XFB41"/>
      <c r="XFC41"/>
      <c r="XFD41"/>
    </row>
    <row r="42" s="3" customFormat="1" spans="1:16384">
      <c r="A42" s="3" t="s">
        <v>193</v>
      </c>
      <c r="B42" s="3" t="s">
        <v>18</v>
      </c>
      <c r="C42" s="3" t="s">
        <v>302</v>
      </c>
      <c r="D42" s="3" t="s">
        <v>52</v>
      </c>
      <c r="E42" s="10">
        <f t="shared" si="0"/>
        <v>224</v>
      </c>
      <c r="F42" s="10">
        <f t="shared" si="1"/>
        <v>224</v>
      </c>
      <c r="G42" s="10">
        <f>VLOOKUP(C42,'[1]2025年5.5新价格提成表 '!$B$1:$K$423,10,0)</f>
        <v>224</v>
      </c>
      <c r="H42" s="11">
        <f t="shared" si="4"/>
        <v>224</v>
      </c>
      <c r="I42" s="10">
        <f t="shared" si="5"/>
        <v>0</v>
      </c>
      <c r="J42" s="3" t="s">
        <v>22</v>
      </c>
      <c r="K42" s="3" t="s">
        <v>23</v>
      </c>
      <c r="L42" s="3" t="s">
        <v>30</v>
      </c>
      <c r="M42" s="3">
        <v>7588</v>
      </c>
      <c r="N42" s="3">
        <v>1</v>
      </c>
      <c r="O42" s="16" t="s">
        <v>355</v>
      </c>
      <c r="P42" s="13">
        <v>100</v>
      </c>
      <c r="XFB42"/>
      <c r="XFC42"/>
      <c r="XFD42"/>
    </row>
    <row r="43" s="3" customFormat="1" spans="1:16384">
      <c r="A43" s="3" t="s">
        <v>193</v>
      </c>
      <c r="B43" s="3" t="s">
        <v>18</v>
      </c>
      <c r="C43" s="3" t="s">
        <v>323</v>
      </c>
      <c r="D43" s="3" t="s">
        <v>134</v>
      </c>
      <c r="E43" s="10">
        <f t="shared" si="0"/>
        <v>134</v>
      </c>
      <c r="F43" s="10">
        <f t="shared" si="1"/>
        <v>134</v>
      </c>
      <c r="G43" s="10">
        <f>VLOOKUP(C43,'[1]2025年5.5新价格提成表 '!$B$1:$K$423,10,0)</f>
        <v>134</v>
      </c>
      <c r="H43" s="11">
        <f t="shared" si="4"/>
        <v>134</v>
      </c>
      <c r="I43" s="10">
        <f t="shared" si="5"/>
        <v>0</v>
      </c>
      <c r="J43" s="3" t="s">
        <v>22</v>
      </c>
      <c r="K43" s="3" t="s">
        <v>23</v>
      </c>
      <c r="L43" s="3" t="s">
        <v>30</v>
      </c>
      <c r="M43" s="3">
        <v>5698</v>
      </c>
      <c r="N43" s="3">
        <v>1</v>
      </c>
      <c r="O43" s="16" t="s">
        <v>356</v>
      </c>
      <c r="P43" s="13">
        <v>107</v>
      </c>
      <c r="XFB43"/>
      <c r="XFC43"/>
      <c r="XFD43"/>
    </row>
    <row r="44" s="3" customFormat="1" spans="1:16384">
      <c r="A44" s="3" t="s">
        <v>193</v>
      </c>
      <c r="B44" s="3" t="s">
        <v>18</v>
      </c>
      <c r="C44" s="3" t="s">
        <v>323</v>
      </c>
      <c r="D44" s="3" t="s">
        <v>134</v>
      </c>
      <c r="E44" s="10">
        <f t="shared" si="0"/>
        <v>134</v>
      </c>
      <c r="F44" s="10">
        <f t="shared" si="1"/>
        <v>134</v>
      </c>
      <c r="G44" s="10">
        <f>VLOOKUP(C44,'[1]2025年5.5新价格提成表 '!$B$1:$K$423,10,0)</f>
        <v>134</v>
      </c>
      <c r="H44" s="11">
        <f t="shared" si="4"/>
        <v>134</v>
      </c>
      <c r="I44" s="10">
        <f t="shared" si="5"/>
        <v>0</v>
      </c>
      <c r="J44" s="3" t="s">
        <v>22</v>
      </c>
      <c r="K44" s="3" t="s">
        <v>23</v>
      </c>
      <c r="L44" s="3" t="s">
        <v>30</v>
      </c>
      <c r="M44" s="3">
        <v>5698</v>
      </c>
      <c r="N44" s="3">
        <v>1</v>
      </c>
      <c r="O44" s="21" t="s">
        <v>357</v>
      </c>
      <c r="P44" s="13">
        <v>100</v>
      </c>
      <c r="XFB44"/>
      <c r="XFC44"/>
      <c r="XFD44"/>
    </row>
    <row r="45" s="3" customFormat="1" spans="1:16384">
      <c r="A45" s="3" t="s">
        <v>193</v>
      </c>
      <c r="B45" s="3" t="s">
        <v>50</v>
      </c>
      <c r="C45" s="3" t="s">
        <v>318</v>
      </c>
      <c r="D45" s="3" t="s">
        <v>115</v>
      </c>
      <c r="E45" s="10">
        <f t="shared" si="0"/>
        <v>120</v>
      </c>
      <c r="F45" s="10">
        <f t="shared" si="1"/>
        <v>-120</v>
      </c>
      <c r="G45" s="10">
        <f>VLOOKUP(C45,'[1]2025年5.5新价格提成表 '!$B$1:$K$423,10,0)</f>
        <v>120</v>
      </c>
      <c r="H45" s="11">
        <f t="shared" si="4"/>
        <v>-120</v>
      </c>
      <c r="I45" s="10">
        <f t="shared" si="5"/>
        <v>0</v>
      </c>
      <c r="J45" s="3" t="s">
        <v>22</v>
      </c>
      <c r="K45" s="3" t="s">
        <v>93</v>
      </c>
      <c r="L45" s="3" t="s">
        <v>30</v>
      </c>
      <c r="M45" s="3">
        <v>-3098</v>
      </c>
      <c r="N45" s="3">
        <v>-1</v>
      </c>
      <c r="O45" s="21" t="s">
        <v>358</v>
      </c>
      <c r="P45" s="13">
        <v>100</v>
      </c>
      <c r="XFB45"/>
      <c r="XFC45"/>
      <c r="XFD45"/>
    </row>
    <row r="46" s="3" customFormat="1" spans="1:16384">
      <c r="A46" s="3" t="s">
        <v>210</v>
      </c>
      <c r="B46" s="3" t="s">
        <v>18</v>
      </c>
      <c r="C46" s="3" t="s">
        <v>329</v>
      </c>
      <c r="D46" s="3" t="s">
        <v>142</v>
      </c>
      <c r="E46" s="10">
        <f t="shared" si="0"/>
        <v>163</v>
      </c>
      <c r="F46" s="10">
        <f t="shared" si="1"/>
        <v>163</v>
      </c>
      <c r="G46" s="10">
        <f>VLOOKUP(C46,'[1]2025年5.5新价格提成表 '!$B$1:$K$423,10,0)</f>
        <v>163</v>
      </c>
      <c r="H46" s="11">
        <f t="shared" si="4"/>
        <v>163</v>
      </c>
      <c r="I46" s="10">
        <f t="shared" si="5"/>
        <v>0</v>
      </c>
      <c r="J46" s="3" t="s">
        <v>22</v>
      </c>
      <c r="K46" s="3" t="s">
        <v>93</v>
      </c>
      <c r="L46" s="3" t="s">
        <v>30</v>
      </c>
      <c r="M46" s="3">
        <v>7368</v>
      </c>
      <c r="N46" s="3">
        <v>1</v>
      </c>
      <c r="O46" s="21" t="s">
        <v>359</v>
      </c>
      <c r="P46" s="13">
        <v>107</v>
      </c>
      <c r="XFB46"/>
      <c r="XFC46"/>
      <c r="XFD46"/>
    </row>
    <row r="47" s="3" customFormat="1" spans="1:16384">
      <c r="A47" s="3" t="s">
        <v>213</v>
      </c>
      <c r="B47" s="3" t="s">
        <v>18</v>
      </c>
      <c r="C47" s="3" t="s">
        <v>333</v>
      </c>
      <c r="D47" s="3" t="s">
        <v>149</v>
      </c>
      <c r="E47" s="10">
        <f t="shared" si="0"/>
        <v>142</v>
      </c>
      <c r="F47" s="10">
        <f t="shared" si="1"/>
        <v>142</v>
      </c>
      <c r="G47" s="10">
        <f>VLOOKUP(C47,'[1]2025年5.5新价格提成表 '!$B$1:$K$423,10,0)</f>
        <v>142</v>
      </c>
      <c r="H47" s="11">
        <f t="shared" si="4"/>
        <v>142</v>
      </c>
      <c r="I47" s="10">
        <f t="shared" si="5"/>
        <v>0</v>
      </c>
      <c r="J47" s="3" t="s">
        <v>22</v>
      </c>
      <c r="K47" s="3" t="s">
        <v>54</v>
      </c>
      <c r="L47" s="3" t="s">
        <v>30</v>
      </c>
      <c r="M47" s="3">
        <v>6458</v>
      </c>
      <c r="N47" s="3">
        <v>1</v>
      </c>
      <c r="O47" s="16" t="s">
        <v>360</v>
      </c>
      <c r="P47" s="13">
        <v>97</v>
      </c>
      <c r="XFB47"/>
      <c r="XFC47"/>
      <c r="XFD47"/>
    </row>
    <row r="48" s="3" customFormat="1" spans="1:16384">
      <c r="A48" s="3" t="s">
        <v>213</v>
      </c>
      <c r="B48" s="3" t="s">
        <v>18</v>
      </c>
      <c r="C48" s="3" t="s">
        <v>333</v>
      </c>
      <c r="D48" s="3" t="s">
        <v>149</v>
      </c>
      <c r="E48" s="10">
        <f t="shared" si="0"/>
        <v>142</v>
      </c>
      <c r="F48" s="10">
        <f t="shared" si="1"/>
        <v>142</v>
      </c>
      <c r="G48" s="10">
        <f>VLOOKUP(C48,'[1]2025年5.5新价格提成表 '!$B$1:$K$423,10,0)</f>
        <v>142</v>
      </c>
      <c r="H48" s="11">
        <f t="shared" si="4"/>
        <v>142</v>
      </c>
      <c r="I48" s="10">
        <f t="shared" si="5"/>
        <v>0</v>
      </c>
      <c r="J48" s="3" t="s">
        <v>22</v>
      </c>
      <c r="K48" s="3" t="s">
        <v>54</v>
      </c>
      <c r="L48" s="3" t="s">
        <v>30</v>
      </c>
      <c r="M48" s="3">
        <v>6458</v>
      </c>
      <c r="N48" s="3">
        <v>1</v>
      </c>
      <c r="O48" s="16" t="s">
        <v>340</v>
      </c>
      <c r="P48" s="13">
        <v>105</v>
      </c>
      <c r="XFB48"/>
      <c r="XFC48"/>
      <c r="XFD48"/>
    </row>
    <row r="49" s="3" customFormat="1" spans="1:16384">
      <c r="A49" s="3" t="s">
        <v>213</v>
      </c>
      <c r="B49" s="3" t="s">
        <v>18</v>
      </c>
      <c r="C49" s="3" t="s">
        <v>315</v>
      </c>
      <c r="D49" s="3" t="s">
        <v>48</v>
      </c>
      <c r="E49" s="10">
        <f t="shared" si="0"/>
        <v>119</v>
      </c>
      <c r="F49" s="10">
        <f t="shared" si="1"/>
        <v>119</v>
      </c>
      <c r="G49" s="10">
        <f>VLOOKUP(C49,'[1]2025年5.5新价格提成表 '!$B$1:$K$423,10,0)</f>
        <v>119</v>
      </c>
      <c r="H49" s="11">
        <f t="shared" si="4"/>
        <v>119</v>
      </c>
      <c r="I49" s="10">
        <f t="shared" si="5"/>
        <v>0</v>
      </c>
      <c r="J49" s="3" t="s">
        <v>22</v>
      </c>
      <c r="K49" s="3" t="s">
        <v>54</v>
      </c>
      <c r="L49" s="3" t="s">
        <v>30</v>
      </c>
      <c r="M49" s="3">
        <v>5098</v>
      </c>
      <c r="N49" s="3">
        <v>1</v>
      </c>
      <c r="O49" s="16" t="s">
        <v>361</v>
      </c>
      <c r="P49" s="13">
        <v>97</v>
      </c>
      <c r="XFB49"/>
      <c r="XFC49"/>
      <c r="XFD49"/>
    </row>
    <row r="50" s="3" customFormat="1" spans="1:16384">
      <c r="A50" s="3" t="s">
        <v>213</v>
      </c>
      <c r="B50" s="3" t="s">
        <v>137</v>
      </c>
      <c r="C50" s="3" t="s">
        <v>362</v>
      </c>
      <c r="D50" s="3" t="s">
        <v>173</v>
      </c>
      <c r="E50" s="10">
        <f t="shared" si="0"/>
        <v>160</v>
      </c>
      <c r="F50" s="10">
        <f t="shared" si="1"/>
        <v>-160</v>
      </c>
      <c r="G50" s="10">
        <f>VLOOKUP(C50,'[1]2025年5.5新价格提成表 '!$B$1:$K$423,10,0)</f>
        <v>160</v>
      </c>
      <c r="H50" s="11">
        <f t="shared" si="4"/>
        <v>-160</v>
      </c>
      <c r="I50" s="10">
        <f t="shared" si="5"/>
        <v>0</v>
      </c>
      <c r="J50" s="3" t="s">
        <v>22</v>
      </c>
      <c r="K50" s="3" t="s">
        <v>54</v>
      </c>
      <c r="L50" s="3" t="s">
        <v>30</v>
      </c>
      <c r="M50" s="3">
        <v>-6888</v>
      </c>
      <c r="N50" s="3">
        <v>-1</v>
      </c>
      <c r="O50" s="12" t="s">
        <v>363</v>
      </c>
      <c r="P50" s="13">
        <v>139</v>
      </c>
      <c r="XFB50"/>
      <c r="XFC50"/>
      <c r="XFD50"/>
    </row>
    <row r="51" s="3" customFormat="1" spans="1:16384">
      <c r="A51" s="3" t="s">
        <v>219</v>
      </c>
      <c r="B51" s="3" t="s">
        <v>18</v>
      </c>
      <c r="C51" s="3" t="s">
        <v>298</v>
      </c>
      <c r="D51" s="3" t="s">
        <v>20</v>
      </c>
      <c r="E51" s="10">
        <f t="shared" si="0"/>
        <v>200</v>
      </c>
      <c r="F51" s="10">
        <f t="shared" si="1"/>
        <v>200</v>
      </c>
      <c r="G51" s="10">
        <f>VLOOKUP(C51,'[1]2025年5.5新价格提成表 '!$B$1:$K$423,10,0)</f>
        <v>200</v>
      </c>
      <c r="H51" s="11">
        <f t="shared" si="4"/>
        <v>200</v>
      </c>
      <c r="I51" s="10">
        <f t="shared" si="5"/>
        <v>0</v>
      </c>
      <c r="J51" s="3" t="s">
        <v>22</v>
      </c>
      <c r="K51" s="3" t="s">
        <v>54</v>
      </c>
      <c r="L51" s="3" t="s">
        <v>30</v>
      </c>
      <c r="M51" s="3">
        <v>8288</v>
      </c>
      <c r="N51" s="3">
        <v>1</v>
      </c>
      <c r="O51" s="12" t="s">
        <v>364</v>
      </c>
      <c r="P51" s="13">
        <v>149</v>
      </c>
      <c r="XFB51"/>
      <c r="XFC51"/>
      <c r="XFD51"/>
    </row>
    <row r="52" s="3" customFormat="1" spans="1:16384">
      <c r="A52" s="3" t="s">
        <v>219</v>
      </c>
      <c r="B52" s="3" t="s">
        <v>18</v>
      </c>
      <c r="C52" s="3" t="s">
        <v>298</v>
      </c>
      <c r="D52" s="3" t="s">
        <v>20</v>
      </c>
      <c r="E52" s="10">
        <f t="shared" si="0"/>
        <v>200</v>
      </c>
      <c r="F52" s="10">
        <f t="shared" si="1"/>
        <v>200</v>
      </c>
      <c r="G52" s="10">
        <f>VLOOKUP(C52,'[1]2025年5.5新价格提成表 '!$B$1:$K$423,10,0)</f>
        <v>200</v>
      </c>
      <c r="H52" s="11">
        <f t="shared" si="4"/>
        <v>200</v>
      </c>
      <c r="I52" s="10">
        <f t="shared" si="5"/>
        <v>0</v>
      </c>
      <c r="J52" s="3" t="s">
        <v>22</v>
      </c>
      <c r="K52" s="3" t="s">
        <v>54</v>
      </c>
      <c r="L52" s="3" t="s">
        <v>30</v>
      </c>
      <c r="M52" s="3">
        <v>8288</v>
      </c>
      <c r="N52" s="3">
        <v>1</v>
      </c>
      <c r="O52" s="16" t="s">
        <v>365</v>
      </c>
      <c r="P52" s="13">
        <v>117</v>
      </c>
      <c r="XFB52"/>
      <c r="XFC52"/>
      <c r="XFD52"/>
    </row>
    <row r="53" s="3" customFormat="1" spans="1:16384">
      <c r="A53" s="3" t="s">
        <v>219</v>
      </c>
      <c r="B53" s="3" t="s">
        <v>18</v>
      </c>
      <c r="C53" s="3" t="s">
        <v>302</v>
      </c>
      <c r="D53" s="3" t="s">
        <v>52</v>
      </c>
      <c r="E53" s="10">
        <f t="shared" si="0"/>
        <v>224</v>
      </c>
      <c r="F53" s="10">
        <f t="shared" si="1"/>
        <v>224</v>
      </c>
      <c r="G53" s="10">
        <f>VLOOKUP(C53,'[1]2025年5.5新价格提成表 '!$B$1:$K$423,10,0)</f>
        <v>224</v>
      </c>
      <c r="H53" s="11">
        <f t="shared" si="4"/>
        <v>224</v>
      </c>
      <c r="I53" s="10">
        <f t="shared" si="5"/>
        <v>0</v>
      </c>
      <c r="J53" s="3" t="s">
        <v>22</v>
      </c>
      <c r="K53" s="3" t="s">
        <v>54</v>
      </c>
      <c r="L53" s="3" t="s">
        <v>30</v>
      </c>
      <c r="M53" s="3">
        <v>7588</v>
      </c>
      <c r="N53" s="3">
        <v>1</v>
      </c>
      <c r="O53" s="22" t="s">
        <v>366</v>
      </c>
      <c r="P53" s="13">
        <v>127</v>
      </c>
      <c r="XFB53"/>
      <c r="XFC53"/>
      <c r="XFD53"/>
    </row>
    <row r="54" s="3" customFormat="1" spans="1:16384">
      <c r="A54" s="3" t="s">
        <v>219</v>
      </c>
      <c r="B54" s="3" t="s">
        <v>18</v>
      </c>
      <c r="C54" s="3" t="s">
        <v>362</v>
      </c>
      <c r="D54" s="3" t="s">
        <v>173</v>
      </c>
      <c r="E54" s="10">
        <f t="shared" si="0"/>
        <v>160</v>
      </c>
      <c r="F54" s="10">
        <f t="shared" si="1"/>
        <v>160</v>
      </c>
      <c r="G54" s="10">
        <f>VLOOKUP(C54,'[1]2025年5.5新价格提成表 '!$B$1:$K$423,10,0)</f>
        <v>160</v>
      </c>
      <c r="H54" s="11">
        <f t="shared" si="4"/>
        <v>160</v>
      </c>
      <c r="I54" s="10">
        <f t="shared" si="5"/>
        <v>0</v>
      </c>
      <c r="J54" s="3" t="s">
        <v>22</v>
      </c>
      <c r="K54" s="3" t="s">
        <v>54</v>
      </c>
      <c r="L54" s="3" t="s">
        <v>30</v>
      </c>
      <c r="M54" s="3">
        <v>6888</v>
      </c>
      <c r="N54" s="3">
        <v>1</v>
      </c>
      <c r="O54" s="16" t="s">
        <v>367</v>
      </c>
      <c r="P54" s="13">
        <v>140</v>
      </c>
      <c r="XFB54"/>
      <c r="XFC54"/>
      <c r="XFD54"/>
    </row>
    <row r="55" s="3" customFormat="1" spans="1:16384">
      <c r="A55" s="3" t="s">
        <v>219</v>
      </c>
      <c r="B55" s="3" t="s">
        <v>18</v>
      </c>
      <c r="C55" s="3" t="s">
        <v>362</v>
      </c>
      <c r="D55" s="3" t="s">
        <v>173</v>
      </c>
      <c r="E55" s="10">
        <f t="shared" si="0"/>
        <v>160</v>
      </c>
      <c r="F55" s="10">
        <f t="shared" si="1"/>
        <v>160</v>
      </c>
      <c r="G55" s="10">
        <f>VLOOKUP(C55,'[1]2025年5.5新价格提成表 '!$B$1:$K$423,10,0)</f>
        <v>160</v>
      </c>
      <c r="H55" s="11">
        <f t="shared" si="4"/>
        <v>160</v>
      </c>
      <c r="I55" s="10">
        <f t="shared" si="5"/>
        <v>0</v>
      </c>
      <c r="J55" s="3" t="s">
        <v>22</v>
      </c>
      <c r="K55" s="3" t="s">
        <v>54</v>
      </c>
      <c r="L55" s="3" t="s">
        <v>30</v>
      </c>
      <c r="M55" s="3">
        <v>6888</v>
      </c>
      <c r="N55" s="3">
        <v>1</v>
      </c>
      <c r="O55" s="16" t="s">
        <v>368</v>
      </c>
      <c r="P55" s="13">
        <v>150</v>
      </c>
      <c r="XFB55"/>
      <c r="XFC55"/>
      <c r="XFD55"/>
    </row>
    <row r="56" s="3" customFormat="1" spans="1:16384">
      <c r="A56" s="3" t="s">
        <v>219</v>
      </c>
      <c r="B56" s="3" t="s">
        <v>18</v>
      </c>
      <c r="C56" s="3" t="s">
        <v>362</v>
      </c>
      <c r="D56" s="3" t="s">
        <v>173</v>
      </c>
      <c r="E56" s="10">
        <f t="shared" si="0"/>
        <v>160</v>
      </c>
      <c r="F56" s="10">
        <f t="shared" si="1"/>
        <v>160</v>
      </c>
      <c r="G56" s="10">
        <f>VLOOKUP(C56,'[1]2025年5.5新价格提成表 '!$B$1:$K$423,10,0)</f>
        <v>160</v>
      </c>
      <c r="H56" s="11">
        <f t="shared" si="4"/>
        <v>160</v>
      </c>
      <c r="I56" s="10">
        <f t="shared" si="5"/>
        <v>0</v>
      </c>
      <c r="J56" s="3" t="s">
        <v>22</v>
      </c>
      <c r="K56" s="3" t="s">
        <v>54</v>
      </c>
      <c r="L56" s="3" t="s">
        <v>30</v>
      </c>
      <c r="M56" s="3">
        <v>6888</v>
      </c>
      <c r="N56" s="3">
        <v>1</v>
      </c>
      <c r="O56" s="16" t="s">
        <v>369</v>
      </c>
      <c r="P56" s="13">
        <v>135</v>
      </c>
      <c r="XFB56"/>
      <c r="XFC56"/>
      <c r="XFD56"/>
    </row>
    <row r="57" s="3" customFormat="1" spans="1:16384">
      <c r="A57" s="3" t="s">
        <v>219</v>
      </c>
      <c r="B57" s="3" t="s">
        <v>18</v>
      </c>
      <c r="C57" s="3" t="s">
        <v>370</v>
      </c>
      <c r="D57" s="3" t="s">
        <v>231</v>
      </c>
      <c r="E57" s="10">
        <f t="shared" si="0"/>
        <v>157</v>
      </c>
      <c r="F57" s="10">
        <f t="shared" si="1"/>
        <v>157</v>
      </c>
      <c r="G57" s="10">
        <f>VLOOKUP(C57,'[1]2025年5.5新价格提成表 '!$B$1:$K$423,10,0)</f>
        <v>157</v>
      </c>
      <c r="H57" s="11">
        <f t="shared" si="4"/>
        <v>157</v>
      </c>
      <c r="I57" s="10">
        <f t="shared" si="5"/>
        <v>0</v>
      </c>
      <c r="J57" s="3" t="s">
        <v>22</v>
      </c>
      <c r="K57" s="3" t="s">
        <v>54</v>
      </c>
      <c r="L57" s="3" t="s">
        <v>30</v>
      </c>
      <c r="M57" s="3">
        <v>6598</v>
      </c>
      <c r="N57" s="3">
        <v>1</v>
      </c>
      <c r="O57" s="16" t="s">
        <v>371</v>
      </c>
      <c r="P57" s="13">
        <v>145</v>
      </c>
      <c r="XFB57"/>
      <c r="XFC57"/>
      <c r="XFD57"/>
    </row>
    <row r="58" s="3" customFormat="1" spans="1:16384">
      <c r="A58" s="3" t="s">
        <v>219</v>
      </c>
      <c r="B58" s="3" t="s">
        <v>18</v>
      </c>
      <c r="C58" s="3" t="s">
        <v>370</v>
      </c>
      <c r="D58" s="3" t="s">
        <v>231</v>
      </c>
      <c r="E58" s="10">
        <f t="shared" si="0"/>
        <v>157</v>
      </c>
      <c r="F58" s="10">
        <f t="shared" si="1"/>
        <v>157</v>
      </c>
      <c r="G58" s="10">
        <f>VLOOKUP(C58,'[1]2025年5.5新价格提成表 '!$B$1:$K$423,10,0)</f>
        <v>157</v>
      </c>
      <c r="H58" s="11">
        <f t="shared" si="4"/>
        <v>157</v>
      </c>
      <c r="I58" s="10">
        <f t="shared" si="5"/>
        <v>0</v>
      </c>
      <c r="J58" s="3" t="s">
        <v>22</v>
      </c>
      <c r="K58" s="3" t="s">
        <v>54</v>
      </c>
      <c r="L58" s="3" t="s">
        <v>30</v>
      </c>
      <c r="M58" s="3">
        <v>6598</v>
      </c>
      <c r="N58" s="3">
        <v>1</v>
      </c>
      <c r="O58" s="15" t="s">
        <v>372</v>
      </c>
      <c r="P58" s="13">
        <v>127</v>
      </c>
      <c r="XFB58"/>
      <c r="XFC58"/>
      <c r="XFD58"/>
    </row>
    <row r="59" s="3" customFormat="1" spans="1:16384">
      <c r="A59" s="3" t="s">
        <v>219</v>
      </c>
      <c r="B59" s="3" t="s">
        <v>18</v>
      </c>
      <c r="C59" s="3" t="s">
        <v>373</v>
      </c>
      <c r="D59" s="3" t="s">
        <v>237</v>
      </c>
      <c r="E59" s="10">
        <f t="shared" si="0"/>
        <v>155</v>
      </c>
      <c r="F59" s="10">
        <f t="shared" si="1"/>
        <v>155</v>
      </c>
      <c r="G59" s="10">
        <f>VLOOKUP(C59,'[1]2025年5.5新价格提成表 '!$B$1:$K$423,10,0)</f>
        <v>155</v>
      </c>
      <c r="H59" s="11">
        <f t="shared" si="4"/>
        <v>155</v>
      </c>
      <c r="I59" s="10">
        <f t="shared" si="5"/>
        <v>0</v>
      </c>
      <c r="J59" s="3" t="s">
        <v>22</v>
      </c>
      <c r="K59" s="3" t="s">
        <v>54</v>
      </c>
      <c r="L59" s="3" t="s">
        <v>30</v>
      </c>
      <c r="M59" s="3">
        <v>6158</v>
      </c>
      <c r="N59" s="3">
        <v>1</v>
      </c>
      <c r="O59" s="15" t="s">
        <v>374</v>
      </c>
      <c r="P59" s="13">
        <v>137</v>
      </c>
      <c r="XFB59"/>
      <c r="XFC59"/>
      <c r="XFD59"/>
    </row>
    <row r="60" s="3" customFormat="1" spans="1:16384">
      <c r="A60" s="3" t="s">
        <v>219</v>
      </c>
      <c r="B60" s="3" t="s">
        <v>18</v>
      </c>
      <c r="C60" s="3" t="s">
        <v>353</v>
      </c>
      <c r="D60" s="3" t="s">
        <v>76</v>
      </c>
      <c r="E60" s="10">
        <f t="shared" si="0"/>
        <v>135</v>
      </c>
      <c r="F60" s="10">
        <f t="shared" si="1"/>
        <v>135</v>
      </c>
      <c r="G60" s="10">
        <f>VLOOKUP(C60,'[1]2025年5.5新价格提成表 '!$B$1:$K$423,10,0)</f>
        <v>135</v>
      </c>
      <c r="H60" s="11">
        <f t="shared" si="4"/>
        <v>135</v>
      </c>
      <c r="I60" s="10">
        <f t="shared" si="5"/>
        <v>0</v>
      </c>
      <c r="J60" s="3" t="s">
        <v>22</v>
      </c>
      <c r="K60" s="3" t="s">
        <v>54</v>
      </c>
      <c r="L60" s="3" t="s">
        <v>30</v>
      </c>
      <c r="M60" s="3">
        <v>5568</v>
      </c>
      <c r="N60" s="3">
        <v>1</v>
      </c>
      <c r="O60" s="21" t="s">
        <v>375</v>
      </c>
      <c r="P60" s="13">
        <v>140</v>
      </c>
      <c r="XFB60"/>
      <c r="XFC60"/>
      <c r="XFD60"/>
    </row>
    <row r="61" s="3" customFormat="1" spans="1:16384">
      <c r="A61" s="3" t="s">
        <v>219</v>
      </c>
      <c r="B61" s="3" t="s">
        <v>18</v>
      </c>
      <c r="C61" s="3" t="s">
        <v>353</v>
      </c>
      <c r="D61" s="3" t="s">
        <v>76</v>
      </c>
      <c r="E61" s="10">
        <f t="shared" si="0"/>
        <v>135</v>
      </c>
      <c r="F61" s="10">
        <f t="shared" si="1"/>
        <v>135</v>
      </c>
      <c r="G61" s="10">
        <f>VLOOKUP(C61,'[1]2025年5.5新价格提成表 '!$B$1:$K$423,10,0)</f>
        <v>135</v>
      </c>
      <c r="H61" s="11">
        <f t="shared" si="4"/>
        <v>135</v>
      </c>
      <c r="I61" s="10">
        <f t="shared" si="5"/>
        <v>0</v>
      </c>
      <c r="J61" s="3" t="s">
        <v>22</v>
      </c>
      <c r="K61" s="3" t="s">
        <v>54</v>
      </c>
      <c r="L61" s="3" t="s">
        <v>30</v>
      </c>
      <c r="M61" s="3">
        <v>5568</v>
      </c>
      <c r="N61" s="3">
        <v>1</v>
      </c>
      <c r="O61" s="21" t="s">
        <v>376</v>
      </c>
      <c r="P61" s="13">
        <v>150</v>
      </c>
      <c r="XFB61"/>
      <c r="XFC61"/>
      <c r="XFD61"/>
    </row>
    <row r="62" s="3" customFormat="1" spans="1:16384">
      <c r="A62" s="3" t="s">
        <v>219</v>
      </c>
      <c r="B62" s="3" t="s">
        <v>18</v>
      </c>
      <c r="C62" s="3" t="s">
        <v>307</v>
      </c>
      <c r="D62" s="3" t="s">
        <v>42</v>
      </c>
      <c r="E62" s="10">
        <f t="shared" si="0"/>
        <v>142</v>
      </c>
      <c r="F62" s="10">
        <f t="shared" si="1"/>
        <v>142</v>
      </c>
      <c r="G62" s="10">
        <f>VLOOKUP(C62,'[1]2025年5.5新价格提成表 '!$B$1:$K$423,10,0)</f>
        <v>142</v>
      </c>
      <c r="H62" s="11">
        <f t="shared" si="4"/>
        <v>142</v>
      </c>
      <c r="I62" s="10">
        <f t="shared" si="5"/>
        <v>0</v>
      </c>
      <c r="J62" s="3" t="s">
        <v>22</v>
      </c>
      <c r="K62" s="3" t="s">
        <v>54</v>
      </c>
      <c r="L62" s="3" t="s">
        <v>30</v>
      </c>
      <c r="M62" s="3">
        <v>5148</v>
      </c>
      <c r="N62" s="3">
        <v>1</v>
      </c>
      <c r="O62" s="16" t="s">
        <v>300</v>
      </c>
      <c r="P62" s="13">
        <v>137</v>
      </c>
      <c r="XFB62"/>
      <c r="XFC62"/>
      <c r="XFD62"/>
    </row>
    <row r="63" s="3" customFormat="1" spans="1:16384">
      <c r="A63" s="3" t="s">
        <v>219</v>
      </c>
      <c r="B63" s="3" t="s">
        <v>18</v>
      </c>
      <c r="C63" s="3" t="s">
        <v>307</v>
      </c>
      <c r="D63" s="3" t="s">
        <v>42</v>
      </c>
      <c r="E63" s="10">
        <f t="shared" si="0"/>
        <v>142</v>
      </c>
      <c r="F63" s="10">
        <f t="shared" si="1"/>
        <v>142</v>
      </c>
      <c r="G63" s="10">
        <f>VLOOKUP(C63,'[1]2025年5.5新价格提成表 '!$B$1:$K$423,10,0)</f>
        <v>142</v>
      </c>
      <c r="H63" s="11">
        <f t="shared" si="4"/>
        <v>142</v>
      </c>
      <c r="I63" s="10">
        <f t="shared" si="5"/>
        <v>0</v>
      </c>
      <c r="J63" s="3" t="s">
        <v>22</v>
      </c>
      <c r="K63" s="3" t="s">
        <v>54</v>
      </c>
      <c r="L63" s="3" t="s">
        <v>30</v>
      </c>
      <c r="M63" s="3">
        <v>5148</v>
      </c>
      <c r="N63" s="3">
        <v>1</v>
      </c>
      <c r="O63" s="16" t="s">
        <v>377</v>
      </c>
      <c r="P63" s="13">
        <v>147</v>
      </c>
      <c r="XFB63"/>
      <c r="XFC63"/>
      <c r="XFD63"/>
    </row>
    <row r="64" s="3" customFormat="1" spans="1:16384">
      <c r="A64" s="3" t="s">
        <v>219</v>
      </c>
      <c r="B64" s="3" t="s">
        <v>18</v>
      </c>
      <c r="C64" s="3" t="s">
        <v>340</v>
      </c>
      <c r="D64" s="3" t="s">
        <v>159</v>
      </c>
      <c r="E64" s="10">
        <f t="shared" si="0"/>
        <v>105</v>
      </c>
      <c r="F64" s="10">
        <f t="shared" si="1"/>
        <v>105</v>
      </c>
      <c r="G64" s="10">
        <f>VLOOKUP(C64,'[1]2025年5.5新价格提成表 '!$B$1:$K$423,10,0)</f>
        <v>105</v>
      </c>
      <c r="H64" s="11">
        <f t="shared" si="4"/>
        <v>105</v>
      </c>
      <c r="I64" s="10">
        <f t="shared" si="5"/>
        <v>0</v>
      </c>
      <c r="J64" s="3" t="s">
        <v>22</v>
      </c>
      <c r="K64" s="3" t="s">
        <v>54</v>
      </c>
      <c r="L64" s="3" t="s">
        <v>30</v>
      </c>
      <c r="M64" s="3">
        <v>4598</v>
      </c>
      <c r="N64" s="3">
        <v>1</v>
      </c>
      <c r="O64" s="21" t="s">
        <v>378</v>
      </c>
      <c r="P64" s="13">
        <v>140</v>
      </c>
      <c r="XFB64"/>
      <c r="XFC64"/>
      <c r="XFD64"/>
    </row>
    <row r="65" s="3" customFormat="1" spans="1:16384">
      <c r="A65" s="3" t="s">
        <v>219</v>
      </c>
      <c r="B65" s="3" t="s">
        <v>18</v>
      </c>
      <c r="C65" s="3" t="s">
        <v>361</v>
      </c>
      <c r="D65" s="3" t="s">
        <v>79</v>
      </c>
      <c r="E65" s="10">
        <f t="shared" si="0"/>
        <v>97</v>
      </c>
      <c r="F65" s="10">
        <f t="shared" si="1"/>
        <v>97</v>
      </c>
      <c r="G65" s="10">
        <f>VLOOKUP(C65,'[1]2025年5.5新价格提成表 '!$B$1:$K$423,10,0)</f>
        <v>97</v>
      </c>
      <c r="H65" s="11">
        <f t="shared" si="4"/>
        <v>97</v>
      </c>
      <c r="I65" s="10">
        <f t="shared" si="5"/>
        <v>0</v>
      </c>
      <c r="J65" s="3" t="s">
        <v>22</v>
      </c>
      <c r="K65" s="3" t="s">
        <v>54</v>
      </c>
      <c r="L65" s="3" t="s">
        <v>30</v>
      </c>
      <c r="M65" s="3">
        <v>4298</v>
      </c>
      <c r="N65" s="3">
        <v>1</v>
      </c>
      <c r="O65" s="23" t="s">
        <v>379</v>
      </c>
      <c r="P65" s="13">
        <v>150</v>
      </c>
      <c r="XFB65"/>
      <c r="XFC65"/>
      <c r="XFD65"/>
    </row>
    <row r="66" s="3" customFormat="1" spans="1:16384">
      <c r="A66" s="3" t="s">
        <v>219</v>
      </c>
      <c r="B66" s="3" t="s">
        <v>18</v>
      </c>
      <c r="C66" s="3" t="s">
        <v>325</v>
      </c>
      <c r="D66" s="3" t="s">
        <v>67</v>
      </c>
      <c r="E66" s="10">
        <f t="shared" ref="E66:E73" si="6">VLOOKUP(C66,O:P,2,0)</f>
        <v>90</v>
      </c>
      <c r="F66" s="10">
        <f t="shared" ref="F66:F73" si="7">E66*N66</f>
        <v>90</v>
      </c>
      <c r="G66" s="10">
        <f>VLOOKUP(C66,'[1]2025年5.5新价格提成表 '!$B$1:$K$423,10,0)</f>
        <v>90</v>
      </c>
      <c r="H66" s="11">
        <f t="shared" si="4"/>
        <v>90</v>
      </c>
      <c r="I66" s="10">
        <f t="shared" si="5"/>
        <v>0</v>
      </c>
      <c r="J66" s="3" t="s">
        <v>22</v>
      </c>
      <c r="K66" s="3" t="s">
        <v>54</v>
      </c>
      <c r="L66" s="3" t="s">
        <v>30</v>
      </c>
      <c r="M66" s="3">
        <v>3968</v>
      </c>
      <c r="N66" s="3">
        <v>1</v>
      </c>
      <c r="O66" s="23" t="s">
        <v>380</v>
      </c>
      <c r="P66" s="13">
        <v>135</v>
      </c>
      <c r="XFB66"/>
      <c r="XFC66"/>
      <c r="XFD66"/>
    </row>
    <row r="67" s="3" customFormat="1" spans="1:16384">
      <c r="A67" s="3" t="s">
        <v>219</v>
      </c>
      <c r="B67" s="3" t="s">
        <v>18</v>
      </c>
      <c r="C67" s="3" t="s">
        <v>325</v>
      </c>
      <c r="D67" s="3" t="s">
        <v>67</v>
      </c>
      <c r="E67" s="10">
        <f t="shared" si="6"/>
        <v>90</v>
      </c>
      <c r="F67" s="10">
        <f t="shared" si="7"/>
        <v>90</v>
      </c>
      <c r="G67" s="10">
        <f>VLOOKUP(C67,'[1]2025年5.5新价格提成表 '!$B$1:$K$423,10,0)</f>
        <v>90</v>
      </c>
      <c r="H67" s="11">
        <f>G67*N67</f>
        <v>90</v>
      </c>
      <c r="I67" s="10">
        <f>H67-F67</f>
        <v>0</v>
      </c>
      <c r="J67" s="3" t="s">
        <v>22</v>
      </c>
      <c r="K67" s="3" t="s">
        <v>54</v>
      </c>
      <c r="L67" s="3" t="s">
        <v>30</v>
      </c>
      <c r="M67" s="3">
        <v>3968</v>
      </c>
      <c r="N67" s="3">
        <v>1</v>
      </c>
      <c r="O67" s="19" t="s">
        <v>381</v>
      </c>
      <c r="P67" s="13">
        <v>145</v>
      </c>
      <c r="XFB67"/>
      <c r="XFC67"/>
      <c r="XFD67"/>
    </row>
    <row r="68" s="3" customFormat="1" spans="1:16384">
      <c r="A68" s="3" t="s">
        <v>219</v>
      </c>
      <c r="B68" s="3" t="s">
        <v>18</v>
      </c>
      <c r="C68" s="3" t="s">
        <v>325</v>
      </c>
      <c r="D68" s="3" t="s">
        <v>67</v>
      </c>
      <c r="E68" s="10">
        <f t="shared" si="6"/>
        <v>90</v>
      </c>
      <c r="F68" s="10">
        <f t="shared" si="7"/>
        <v>90</v>
      </c>
      <c r="G68" s="10">
        <f>VLOOKUP(C68,'[1]2025年5.5新价格提成表 '!$B$1:$K$423,10,0)</f>
        <v>90</v>
      </c>
      <c r="H68" s="11">
        <f>G68*N68</f>
        <v>90</v>
      </c>
      <c r="I68" s="10">
        <f>H68-F68</f>
        <v>0</v>
      </c>
      <c r="J68" s="3" t="s">
        <v>22</v>
      </c>
      <c r="K68" s="3" t="s">
        <v>54</v>
      </c>
      <c r="L68" s="3" t="s">
        <v>30</v>
      </c>
      <c r="M68" s="3">
        <v>3968</v>
      </c>
      <c r="N68" s="3">
        <v>1</v>
      </c>
      <c r="O68" s="15" t="s">
        <v>382</v>
      </c>
      <c r="P68" s="13">
        <v>162</v>
      </c>
      <c r="XFB68"/>
      <c r="XFC68"/>
      <c r="XFD68"/>
    </row>
    <row r="69" s="3" customFormat="1" spans="1:16384">
      <c r="A69" s="3" t="s">
        <v>219</v>
      </c>
      <c r="B69" s="3" t="s">
        <v>18</v>
      </c>
      <c r="C69" s="3" t="s">
        <v>343</v>
      </c>
      <c r="D69" s="3" t="s">
        <v>163</v>
      </c>
      <c r="E69" s="10">
        <f t="shared" si="6"/>
        <v>75</v>
      </c>
      <c r="F69" s="10">
        <f t="shared" si="7"/>
        <v>75</v>
      </c>
      <c r="G69" s="10">
        <f>VLOOKUP(C69,'[1]2025年5.5新价格提成表 '!$B$1:$K$423,10,0)</f>
        <v>75</v>
      </c>
      <c r="H69" s="11">
        <f>G69*N69</f>
        <v>75</v>
      </c>
      <c r="I69" s="10">
        <f>H69-F69</f>
        <v>0</v>
      </c>
      <c r="J69" s="3" t="s">
        <v>22</v>
      </c>
      <c r="K69" s="3" t="s">
        <v>54</v>
      </c>
      <c r="L69" s="3" t="s">
        <v>30</v>
      </c>
      <c r="M69" s="3">
        <v>2998</v>
      </c>
      <c r="N69" s="3">
        <v>1</v>
      </c>
      <c r="O69" s="20" t="s">
        <v>383</v>
      </c>
      <c r="P69" s="13">
        <v>172</v>
      </c>
      <c r="XFB69"/>
      <c r="XFC69"/>
      <c r="XFD69"/>
    </row>
    <row r="70" s="3" customFormat="1" spans="1:16384">
      <c r="A70" s="3" t="s">
        <v>219</v>
      </c>
      <c r="B70" s="3" t="s">
        <v>137</v>
      </c>
      <c r="C70" s="3" t="s">
        <v>348</v>
      </c>
      <c r="D70" s="3" t="s">
        <v>72</v>
      </c>
      <c r="E70" s="10">
        <f t="shared" si="6"/>
        <v>190</v>
      </c>
      <c r="F70" s="10">
        <f t="shared" si="7"/>
        <v>-190</v>
      </c>
      <c r="G70" s="10">
        <f>VLOOKUP(C70,'[1]2025年5.5新价格提成表 '!$B$1:$K$423,10,0)</f>
        <v>190</v>
      </c>
      <c r="H70" s="11">
        <f>G70*N70</f>
        <v>-190</v>
      </c>
      <c r="I70" s="10">
        <f>H70-F70</f>
        <v>0</v>
      </c>
      <c r="J70" s="3" t="s">
        <v>22</v>
      </c>
      <c r="K70" s="3" t="s">
        <v>54</v>
      </c>
      <c r="L70" s="3" t="s">
        <v>30</v>
      </c>
      <c r="M70" s="3">
        <v>-7898</v>
      </c>
      <c r="N70" s="3">
        <v>-1</v>
      </c>
      <c r="O70" s="17" t="s">
        <v>384</v>
      </c>
      <c r="P70" s="13">
        <v>168</v>
      </c>
      <c r="XFB70"/>
      <c r="XFC70"/>
      <c r="XFD70"/>
    </row>
    <row r="71" s="3" customFormat="1" spans="1:16384">
      <c r="A71" s="3" t="s">
        <v>290</v>
      </c>
      <c r="B71" s="3" t="s">
        <v>18</v>
      </c>
      <c r="C71" s="3" t="s">
        <v>302</v>
      </c>
      <c r="D71" s="3" t="s">
        <v>52</v>
      </c>
      <c r="E71" s="10">
        <f t="shared" si="6"/>
        <v>224</v>
      </c>
      <c r="F71" s="10">
        <f t="shared" si="7"/>
        <v>224</v>
      </c>
      <c r="G71" s="10">
        <f>VLOOKUP(C71,'[1]2025年5.5新价格提成表 '!$B$1:$K$423,10,0)</f>
        <v>224</v>
      </c>
      <c r="H71" s="11">
        <f>G71*N71</f>
        <v>224</v>
      </c>
      <c r="I71" s="10">
        <f>H71-F71</f>
        <v>0</v>
      </c>
      <c r="J71" s="3" t="s">
        <v>22</v>
      </c>
      <c r="K71" s="3" t="s">
        <v>93</v>
      </c>
      <c r="L71" s="3" t="s">
        <v>30</v>
      </c>
      <c r="M71" s="3">
        <v>7588</v>
      </c>
      <c r="N71" s="3">
        <v>1</v>
      </c>
      <c r="O71" s="17" t="s">
        <v>385</v>
      </c>
      <c r="P71" s="13">
        <v>178</v>
      </c>
      <c r="XFB71"/>
      <c r="XFC71"/>
      <c r="XFD71"/>
    </row>
    <row r="72" s="3" customFormat="1" spans="1:16384">
      <c r="A72" s="3" t="s">
        <v>290</v>
      </c>
      <c r="B72" s="3" t="s">
        <v>18</v>
      </c>
      <c r="C72" s="3" t="s">
        <v>343</v>
      </c>
      <c r="D72" s="3" t="s">
        <v>163</v>
      </c>
      <c r="E72" s="10">
        <f t="shared" si="6"/>
        <v>75</v>
      </c>
      <c r="F72" s="10">
        <f t="shared" si="7"/>
        <v>75</v>
      </c>
      <c r="G72" s="10">
        <f>VLOOKUP(C72,'[1]2025年5.5新价格提成表 '!$B$1:$K$423,10,0)</f>
        <v>75</v>
      </c>
      <c r="H72" s="11">
        <f>G72*N72</f>
        <v>75</v>
      </c>
      <c r="I72" s="10">
        <f>H72-F72</f>
        <v>0</v>
      </c>
      <c r="J72" s="3" t="s">
        <v>22</v>
      </c>
      <c r="K72" s="3" t="s">
        <v>93</v>
      </c>
      <c r="L72" s="3" t="s">
        <v>30</v>
      </c>
      <c r="M72" s="3">
        <v>2998</v>
      </c>
      <c r="N72" s="3">
        <v>1</v>
      </c>
      <c r="O72" s="21" t="s">
        <v>386</v>
      </c>
      <c r="P72" s="13">
        <v>145</v>
      </c>
      <c r="XFB72"/>
      <c r="XFC72"/>
      <c r="XFD72"/>
    </row>
    <row r="73" s="3" customFormat="1" spans="1:16384">
      <c r="A73" s="3" t="s">
        <v>294</v>
      </c>
      <c r="B73" s="3" t="s">
        <v>18</v>
      </c>
      <c r="C73" s="3" t="s">
        <v>362</v>
      </c>
      <c r="D73" s="3" t="s">
        <v>173</v>
      </c>
      <c r="E73" s="10">
        <f t="shared" si="6"/>
        <v>160</v>
      </c>
      <c r="F73" s="10">
        <f t="shared" si="7"/>
        <v>160</v>
      </c>
      <c r="G73" s="10">
        <f>VLOOKUP(C73,'[1]2025年5.5新价格提成表 '!$B$1:$K$423,10,0)</f>
        <v>160</v>
      </c>
      <c r="H73" s="11">
        <f>G73*N73</f>
        <v>160</v>
      </c>
      <c r="I73" s="10">
        <f>H73-F73</f>
        <v>0</v>
      </c>
      <c r="J73" s="3" t="s">
        <v>22</v>
      </c>
      <c r="K73" s="3" t="s">
        <v>54</v>
      </c>
      <c r="L73" s="3" t="s">
        <v>30</v>
      </c>
      <c r="M73" s="3">
        <v>6888</v>
      </c>
      <c r="N73" s="3">
        <v>1</v>
      </c>
      <c r="O73" s="21" t="s">
        <v>387</v>
      </c>
      <c r="P73" s="13">
        <v>155</v>
      </c>
      <c r="XFB73"/>
      <c r="XFC73"/>
      <c r="XFD73"/>
    </row>
    <row r="74" spans="5:16">
      <c r="E74" s="10"/>
      <c r="O74" s="21" t="s">
        <v>388</v>
      </c>
      <c r="P74" s="13">
        <v>148</v>
      </c>
    </row>
    <row r="75" spans="5:16">
      <c r="E75" s="10"/>
      <c r="O75" s="21" t="s">
        <v>389</v>
      </c>
      <c r="P75" s="13">
        <v>158</v>
      </c>
    </row>
    <row r="76" spans="5:16">
      <c r="E76" s="10"/>
      <c r="O76" s="12" t="s">
        <v>390</v>
      </c>
      <c r="P76" s="13">
        <v>62</v>
      </c>
    </row>
    <row r="77" spans="5:16">
      <c r="E77" s="10"/>
      <c r="O77" s="12" t="s">
        <v>391</v>
      </c>
      <c r="P77" s="13">
        <v>65</v>
      </c>
    </row>
    <row r="78" spans="15:16">
      <c r="O78" s="12" t="s">
        <v>392</v>
      </c>
      <c r="P78" s="13">
        <v>67</v>
      </c>
    </row>
    <row r="79" spans="15:16">
      <c r="O79" s="12" t="s">
        <v>393</v>
      </c>
      <c r="P79" s="13">
        <v>79</v>
      </c>
    </row>
    <row r="80" spans="15:16">
      <c r="O80" s="12" t="s">
        <v>394</v>
      </c>
      <c r="P80" s="13">
        <v>85</v>
      </c>
    </row>
    <row r="81" spans="15:16">
      <c r="O81" s="12" t="s">
        <v>395</v>
      </c>
      <c r="P81" s="13">
        <v>95</v>
      </c>
    </row>
    <row r="82" spans="15:16">
      <c r="O82" s="21" t="s">
        <v>396</v>
      </c>
      <c r="P82" s="13">
        <v>77</v>
      </c>
    </row>
    <row r="83" spans="15:16">
      <c r="O83" s="21" t="s">
        <v>397</v>
      </c>
      <c r="P83" s="13">
        <v>83</v>
      </c>
    </row>
    <row r="84" spans="15:16">
      <c r="O84" s="21" t="s">
        <v>398</v>
      </c>
      <c r="P84" s="13">
        <v>90</v>
      </c>
    </row>
    <row r="85" spans="15:16">
      <c r="O85" s="21" t="s">
        <v>399</v>
      </c>
      <c r="P85" s="13">
        <v>100</v>
      </c>
    </row>
    <row r="86" spans="15:16">
      <c r="O86" s="16" t="s">
        <v>400</v>
      </c>
      <c r="P86" s="13">
        <v>159</v>
      </c>
    </row>
    <row r="87" spans="15:16">
      <c r="O87" s="24" t="s">
        <v>401</v>
      </c>
      <c r="P87" s="13">
        <v>40</v>
      </c>
    </row>
    <row r="88" spans="15:16">
      <c r="O88" s="24" t="s">
        <v>402</v>
      </c>
      <c r="P88" s="13">
        <v>42</v>
      </c>
    </row>
    <row r="89" spans="15:16">
      <c r="O89" s="24" t="s">
        <v>403</v>
      </c>
      <c r="P89" s="13">
        <v>45</v>
      </c>
    </row>
    <row r="90" spans="15:16">
      <c r="O90" s="16" t="s">
        <v>404</v>
      </c>
      <c r="P90" s="13">
        <v>40</v>
      </c>
    </row>
    <row r="91" spans="15:16">
      <c r="O91" s="16" t="s">
        <v>405</v>
      </c>
      <c r="P91" s="13">
        <v>40</v>
      </c>
    </row>
    <row r="92" spans="15:16">
      <c r="O92" s="16" t="s">
        <v>406</v>
      </c>
      <c r="P92" s="13">
        <v>43</v>
      </c>
    </row>
    <row r="93" spans="15:16">
      <c r="O93" s="12" t="s">
        <v>407</v>
      </c>
      <c r="P93" s="13">
        <v>104</v>
      </c>
    </row>
    <row r="94" spans="15:16">
      <c r="O94" s="12" t="s">
        <v>408</v>
      </c>
      <c r="P94" s="13">
        <v>118</v>
      </c>
    </row>
    <row r="95" spans="15:16">
      <c r="O95" s="12" t="s">
        <v>409</v>
      </c>
      <c r="P95" s="13">
        <v>214</v>
      </c>
    </row>
    <row r="96" spans="15:16">
      <c r="O96" s="12" t="s">
        <v>410</v>
      </c>
      <c r="P96" s="13">
        <v>333</v>
      </c>
    </row>
    <row r="97" spans="15:16">
      <c r="O97" s="12" t="s">
        <v>411</v>
      </c>
      <c r="P97" s="13">
        <v>544</v>
      </c>
    </row>
    <row r="98" spans="15:16">
      <c r="O98" s="12" t="s">
        <v>412</v>
      </c>
      <c r="P98" s="13">
        <v>190</v>
      </c>
    </row>
    <row r="99" spans="15:16">
      <c r="O99" s="12" t="s">
        <v>413</v>
      </c>
      <c r="P99" s="13">
        <v>227</v>
      </c>
    </row>
    <row r="100" spans="15:16">
      <c r="O100" s="12" t="s">
        <v>414</v>
      </c>
      <c r="P100" s="13">
        <v>267</v>
      </c>
    </row>
    <row r="101" spans="15:16">
      <c r="O101" s="25" t="s">
        <v>415</v>
      </c>
      <c r="P101" s="13">
        <v>386</v>
      </c>
    </row>
    <row r="102" spans="15:16">
      <c r="O102" s="12" t="s">
        <v>416</v>
      </c>
      <c r="P102" s="6">
        <v>365</v>
      </c>
    </row>
    <row r="103" spans="15:16">
      <c r="O103" s="12" t="s">
        <v>417</v>
      </c>
      <c r="P103" s="6">
        <v>479</v>
      </c>
    </row>
    <row r="104" spans="15:16">
      <c r="O104" s="12" t="s">
        <v>418</v>
      </c>
      <c r="P104" s="6">
        <v>90</v>
      </c>
    </row>
    <row r="105" spans="15:16">
      <c r="O105" s="12" t="s">
        <v>419</v>
      </c>
      <c r="P105" s="6">
        <v>195</v>
      </c>
    </row>
    <row r="106" spans="15:16">
      <c r="O106" s="19" t="s">
        <v>420</v>
      </c>
      <c r="P106" s="6">
        <v>396</v>
      </c>
    </row>
    <row r="107" spans="15:16">
      <c r="O107" s="16" t="s">
        <v>421</v>
      </c>
      <c r="P107" s="6">
        <v>396</v>
      </c>
    </row>
    <row r="108" spans="15:16">
      <c r="O108" s="16" t="s">
        <v>422</v>
      </c>
      <c r="P108" s="6">
        <v>601</v>
      </c>
    </row>
    <row r="109" spans="15:16">
      <c r="O109" s="12" t="s">
        <v>423</v>
      </c>
      <c r="P109" s="6">
        <v>12</v>
      </c>
    </row>
    <row r="110" spans="15:16">
      <c r="O110" s="12" t="s">
        <v>424</v>
      </c>
      <c r="P110" s="6">
        <v>123</v>
      </c>
    </row>
    <row r="111" spans="15:16">
      <c r="O111" s="17" t="s">
        <v>425</v>
      </c>
      <c r="P111" s="6">
        <v>22</v>
      </c>
    </row>
    <row r="112" spans="15:16">
      <c r="O112" s="16" t="s">
        <v>343</v>
      </c>
      <c r="P112" s="6">
        <v>75</v>
      </c>
    </row>
    <row r="113" spans="15:16">
      <c r="O113" s="15" t="s">
        <v>426</v>
      </c>
      <c r="P113" s="6">
        <v>106</v>
      </c>
    </row>
    <row r="114" spans="15:16">
      <c r="O114" s="21" t="s">
        <v>427</v>
      </c>
      <c r="P114" s="6">
        <v>46</v>
      </c>
    </row>
    <row r="115" spans="15:16">
      <c r="O115" s="16" t="s">
        <v>428</v>
      </c>
      <c r="P115" s="6">
        <v>46</v>
      </c>
    </row>
    <row r="116" spans="15:16">
      <c r="O116" s="16" t="s">
        <v>429</v>
      </c>
      <c r="P116" s="6">
        <v>70</v>
      </c>
    </row>
    <row r="117" spans="15:16">
      <c r="O117" s="26" t="s">
        <v>430</v>
      </c>
      <c r="P117" s="6">
        <v>120</v>
      </c>
    </row>
    <row r="118" spans="15:16">
      <c r="O118" s="14" t="s">
        <v>431</v>
      </c>
      <c r="P118" s="6">
        <v>125</v>
      </c>
    </row>
    <row r="119" spans="15:16">
      <c r="O119" s="21" t="s">
        <v>432</v>
      </c>
      <c r="P119" s="6">
        <v>142</v>
      </c>
    </row>
    <row r="120" spans="15:16">
      <c r="O120" s="21" t="s">
        <v>433</v>
      </c>
      <c r="P120" s="6">
        <v>147</v>
      </c>
    </row>
    <row r="121" spans="15:16">
      <c r="O121" s="16" t="s">
        <v>434</v>
      </c>
      <c r="P121" s="6">
        <v>135</v>
      </c>
    </row>
    <row r="122" spans="15:16">
      <c r="O122" s="27" t="s">
        <v>435</v>
      </c>
      <c r="P122" s="6">
        <v>149</v>
      </c>
    </row>
    <row r="123" spans="15:16">
      <c r="O123" s="14" t="s">
        <v>436</v>
      </c>
      <c r="P123" s="6">
        <v>171</v>
      </c>
    </row>
    <row r="124" spans="15:16">
      <c r="O124" s="28" t="s">
        <v>437</v>
      </c>
      <c r="P124" s="6">
        <v>201</v>
      </c>
    </row>
    <row r="125" spans="15:16">
      <c r="O125" s="29" t="s">
        <v>438</v>
      </c>
      <c r="P125" s="6">
        <v>237</v>
      </c>
    </row>
    <row r="126" spans="15:16">
      <c r="O126" s="16" t="s">
        <v>439</v>
      </c>
      <c r="P126" s="6">
        <v>216</v>
      </c>
    </row>
    <row r="127" spans="15:16">
      <c r="O127" s="16" t="s">
        <v>440</v>
      </c>
      <c r="P127" s="6">
        <v>226</v>
      </c>
    </row>
    <row r="128" spans="15:16">
      <c r="O128" s="30" t="s">
        <v>441</v>
      </c>
      <c r="P128" s="6">
        <v>201</v>
      </c>
    </row>
    <row r="129" spans="15:16">
      <c r="O129" s="30" t="s">
        <v>442</v>
      </c>
      <c r="P129" s="6">
        <v>180</v>
      </c>
    </row>
    <row r="130" spans="15:16">
      <c r="O130" s="21" t="s">
        <v>443</v>
      </c>
      <c r="P130" s="6">
        <v>228</v>
      </c>
    </row>
    <row r="131" spans="15:16">
      <c r="O131" s="21" t="s">
        <v>444</v>
      </c>
      <c r="P131" s="6">
        <v>297</v>
      </c>
    </row>
    <row r="132" spans="15:16">
      <c r="O132" s="21" t="s">
        <v>445</v>
      </c>
      <c r="P132" s="6">
        <v>240</v>
      </c>
    </row>
    <row r="133" spans="15:16">
      <c r="O133" s="21" t="s">
        <v>446</v>
      </c>
      <c r="P133" s="6">
        <v>177</v>
      </c>
    </row>
    <row r="134" spans="15:16">
      <c r="O134" s="14" t="s">
        <v>447</v>
      </c>
      <c r="P134" s="6">
        <v>197</v>
      </c>
    </row>
    <row r="135" spans="15:16">
      <c r="O135" s="21" t="s">
        <v>448</v>
      </c>
      <c r="P135" s="6">
        <v>216</v>
      </c>
    </row>
    <row r="136" spans="15:16">
      <c r="O136" s="16" t="s">
        <v>449</v>
      </c>
      <c r="P136" s="6">
        <v>94</v>
      </c>
    </row>
    <row r="137" spans="15:16">
      <c r="O137" s="31" t="s">
        <v>302</v>
      </c>
      <c r="P137" s="6">
        <v>224</v>
      </c>
    </row>
    <row r="138" spans="15:16">
      <c r="O138" s="17" t="s">
        <v>450</v>
      </c>
      <c r="P138" s="6">
        <v>213</v>
      </c>
    </row>
    <row r="139" spans="15:16">
      <c r="O139" s="16" t="s">
        <v>451</v>
      </c>
      <c r="P139" s="6">
        <v>99</v>
      </c>
    </row>
    <row r="140" spans="15:16">
      <c r="O140" s="15" t="s">
        <v>452</v>
      </c>
      <c r="P140" s="6">
        <v>276</v>
      </c>
    </row>
    <row r="141" spans="15:16">
      <c r="O141" s="16" t="s">
        <v>453</v>
      </c>
      <c r="P141" s="6">
        <v>276</v>
      </c>
    </row>
    <row r="142" spans="15:16">
      <c r="O142" s="15" t="s">
        <v>454</v>
      </c>
      <c r="P142" s="6">
        <v>249</v>
      </c>
    </row>
    <row r="143" spans="15:16">
      <c r="O143" s="15" t="s">
        <v>455</v>
      </c>
      <c r="P143" s="6">
        <v>270</v>
      </c>
    </row>
    <row r="144" spans="15:16">
      <c r="O144" s="22" t="s">
        <v>456</v>
      </c>
      <c r="P144" s="6">
        <v>237</v>
      </c>
    </row>
    <row r="145" spans="15:16">
      <c r="O145" s="22" t="s">
        <v>457</v>
      </c>
      <c r="P145" s="6">
        <v>258</v>
      </c>
    </row>
    <row r="146" spans="15:16">
      <c r="O146" s="21" t="s">
        <v>458</v>
      </c>
      <c r="P146" s="6">
        <v>249</v>
      </c>
    </row>
    <row r="147" spans="15:16">
      <c r="O147" s="21" t="s">
        <v>459</v>
      </c>
      <c r="P147" s="6">
        <v>270</v>
      </c>
    </row>
    <row r="148" spans="15:16">
      <c r="O148" s="21" t="s">
        <v>460</v>
      </c>
      <c r="P148" s="6">
        <v>287</v>
      </c>
    </row>
    <row r="149" spans="15:16">
      <c r="O149" s="14" t="s">
        <v>461</v>
      </c>
      <c r="P149" s="6">
        <v>246</v>
      </c>
    </row>
    <row r="150" spans="15:16">
      <c r="O150" s="21" t="s">
        <v>462</v>
      </c>
      <c r="P150" s="6">
        <v>258</v>
      </c>
    </row>
    <row r="151" spans="15:16">
      <c r="O151" s="27" t="s">
        <v>463</v>
      </c>
      <c r="P151" s="6">
        <v>273</v>
      </c>
    </row>
    <row r="152" spans="15:16">
      <c r="O152" s="21" t="s">
        <v>464</v>
      </c>
      <c r="P152" s="6">
        <v>276</v>
      </c>
    </row>
    <row r="153" spans="15:16">
      <c r="O153" s="21" t="s">
        <v>465</v>
      </c>
      <c r="P153" s="6">
        <v>321</v>
      </c>
    </row>
    <row r="154" spans="15:16">
      <c r="O154" s="21" t="s">
        <v>466</v>
      </c>
      <c r="P154" s="6">
        <v>333</v>
      </c>
    </row>
    <row r="155" spans="15:16">
      <c r="O155" s="21" t="s">
        <v>467</v>
      </c>
      <c r="P155" s="6">
        <v>345</v>
      </c>
    </row>
    <row r="156" spans="15:16">
      <c r="O156" s="14" t="s">
        <v>468</v>
      </c>
      <c r="P156" s="6">
        <v>463</v>
      </c>
    </row>
    <row r="157" spans="15:16">
      <c r="O157" s="31" t="s">
        <v>469</v>
      </c>
      <c r="P157" s="6">
        <v>336</v>
      </c>
    </row>
    <row r="158" spans="15:16">
      <c r="O158" s="17" t="s">
        <v>470</v>
      </c>
      <c r="P158" s="6">
        <v>348</v>
      </c>
    </row>
    <row r="159" spans="15:16">
      <c r="O159" s="17" t="s">
        <v>471</v>
      </c>
      <c r="P159" s="6">
        <v>357</v>
      </c>
    </row>
    <row r="160" spans="15:16">
      <c r="O160" s="15" t="s">
        <v>472</v>
      </c>
      <c r="P160" s="6">
        <v>150</v>
      </c>
    </row>
    <row r="161" spans="15:16">
      <c r="O161" s="15" t="s">
        <v>473</v>
      </c>
      <c r="P161" s="6">
        <v>225</v>
      </c>
    </row>
    <row r="162" spans="15:16">
      <c r="O162" s="21" t="s">
        <v>474</v>
      </c>
      <c r="P162" s="6">
        <v>151</v>
      </c>
    </row>
    <row r="163" spans="15:16">
      <c r="O163" s="21" t="s">
        <v>475</v>
      </c>
      <c r="P163" s="6">
        <v>227</v>
      </c>
    </row>
    <row r="164" spans="15:16">
      <c r="O164" s="21" t="s">
        <v>476</v>
      </c>
      <c r="P164" s="6">
        <v>48</v>
      </c>
    </row>
    <row r="165" spans="15:16">
      <c r="O165" s="21" t="s">
        <v>477</v>
      </c>
      <c r="P165" s="6">
        <v>52</v>
      </c>
    </row>
    <row r="166" spans="15:16">
      <c r="O166" s="19" t="s">
        <v>478</v>
      </c>
      <c r="P166" s="6">
        <v>55</v>
      </c>
    </row>
    <row r="167" spans="15:16">
      <c r="O167" s="22" t="s">
        <v>479</v>
      </c>
      <c r="P167" s="6">
        <v>55</v>
      </c>
    </row>
    <row r="168" spans="15:16">
      <c r="O168" s="16" t="s">
        <v>480</v>
      </c>
      <c r="P168" s="6">
        <v>102</v>
      </c>
    </row>
    <row r="169" spans="15:16">
      <c r="O169" s="17" t="s">
        <v>481</v>
      </c>
      <c r="P169" s="6">
        <v>111</v>
      </c>
    </row>
    <row r="170" spans="15:16">
      <c r="O170" s="17" t="s">
        <v>482</v>
      </c>
      <c r="P170" s="6">
        <v>119</v>
      </c>
    </row>
    <row r="171" spans="15:16">
      <c r="O171" s="17" t="s">
        <v>483</v>
      </c>
      <c r="P171" s="6">
        <v>111</v>
      </c>
    </row>
    <row r="172" spans="15:16">
      <c r="O172" s="17" t="s">
        <v>484</v>
      </c>
      <c r="P172" s="6">
        <v>119</v>
      </c>
    </row>
    <row r="173" spans="15:16">
      <c r="O173" s="17" t="s">
        <v>485</v>
      </c>
      <c r="P173" s="6">
        <v>111</v>
      </c>
    </row>
    <row r="174" spans="15:16">
      <c r="O174" s="17" t="s">
        <v>315</v>
      </c>
      <c r="P174" s="6">
        <v>119</v>
      </c>
    </row>
    <row r="175" spans="15:16">
      <c r="O175" s="22" t="s">
        <v>486</v>
      </c>
      <c r="P175" s="6">
        <v>120</v>
      </c>
    </row>
    <row r="176" spans="15:16">
      <c r="O176" s="15" t="s">
        <v>487</v>
      </c>
      <c r="P176" s="6">
        <v>127</v>
      </c>
    </row>
    <row r="177" spans="15:16">
      <c r="O177" s="16" t="s">
        <v>488</v>
      </c>
      <c r="P177" s="6">
        <v>140</v>
      </c>
    </row>
    <row r="178" spans="15:16">
      <c r="O178" s="16" t="s">
        <v>336</v>
      </c>
      <c r="P178" s="6">
        <v>127</v>
      </c>
    </row>
    <row r="179" spans="15:16">
      <c r="O179" s="16" t="s">
        <v>323</v>
      </c>
      <c r="P179" s="6">
        <v>134</v>
      </c>
    </row>
    <row r="180" spans="15:16">
      <c r="O180" s="16" t="s">
        <v>489</v>
      </c>
      <c r="P180" s="6">
        <v>132</v>
      </c>
    </row>
    <row r="181" spans="15:16">
      <c r="O181" s="16" t="s">
        <v>348</v>
      </c>
      <c r="P181" s="6">
        <v>190</v>
      </c>
    </row>
    <row r="182" spans="15:16">
      <c r="O182" s="22" t="s">
        <v>490</v>
      </c>
      <c r="P182" s="6">
        <v>126</v>
      </c>
    </row>
    <row r="183" spans="15:16">
      <c r="O183" s="22" t="s">
        <v>491</v>
      </c>
      <c r="P183" s="6">
        <v>140</v>
      </c>
    </row>
    <row r="184" spans="15:16">
      <c r="O184" s="16" t="s">
        <v>492</v>
      </c>
      <c r="P184" s="6">
        <v>144</v>
      </c>
    </row>
    <row r="185" spans="15:16">
      <c r="O185" s="16" t="s">
        <v>493</v>
      </c>
      <c r="P185" s="6">
        <v>152</v>
      </c>
    </row>
    <row r="186" spans="15:16">
      <c r="O186" s="22" t="s">
        <v>494</v>
      </c>
      <c r="P186" s="6">
        <v>140</v>
      </c>
    </row>
    <row r="187" spans="15:16">
      <c r="O187" s="19" t="s">
        <v>495</v>
      </c>
      <c r="P187" s="6">
        <v>150</v>
      </c>
    </row>
    <row r="188" spans="15:16">
      <c r="O188" s="21" t="s">
        <v>496</v>
      </c>
      <c r="P188" s="6">
        <v>158</v>
      </c>
    </row>
    <row r="189" spans="15:16">
      <c r="O189" s="21" t="s">
        <v>497</v>
      </c>
      <c r="P189" s="6">
        <v>165</v>
      </c>
    </row>
    <row r="190" spans="15:16">
      <c r="O190" s="21" t="s">
        <v>373</v>
      </c>
      <c r="P190" s="6">
        <v>155</v>
      </c>
    </row>
    <row r="191" spans="15:16">
      <c r="O191" s="21" t="s">
        <v>329</v>
      </c>
      <c r="P191" s="6">
        <v>163</v>
      </c>
    </row>
    <row r="192" spans="15:16">
      <c r="O192" s="19" t="s">
        <v>498</v>
      </c>
      <c r="P192" s="6">
        <v>150</v>
      </c>
    </row>
    <row r="193" spans="15:16">
      <c r="O193" s="20" t="s">
        <v>370</v>
      </c>
      <c r="P193" s="6">
        <v>157</v>
      </c>
    </row>
    <row r="194" spans="15:16">
      <c r="O194" s="16" t="s">
        <v>499</v>
      </c>
      <c r="P194" s="6">
        <v>165</v>
      </c>
    </row>
    <row r="195" spans="15:16">
      <c r="O195" s="12" t="s">
        <v>500</v>
      </c>
      <c r="P195" s="6">
        <v>187</v>
      </c>
    </row>
    <row r="196" spans="15:16">
      <c r="O196" s="12" t="s">
        <v>501</v>
      </c>
      <c r="P196" s="6">
        <v>199</v>
      </c>
    </row>
    <row r="197" spans="15:16">
      <c r="O197" s="19" t="s">
        <v>502</v>
      </c>
      <c r="P197" s="6">
        <v>94</v>
      </c>
    </row>
    <row r="198" spans="15:16">
      <c r="O198" s="19" t="s">
        <v>503</v>
      </c>
      <c r="P198" s="6">
        <v>184</v>
      </c>
    </row>
    <row r="199" spans="15:16">
      <c r="O199" s="16" t="s">
        <v>333</v>
      </c>
      <c r="P199" s="6">
        <v>142</v>
      </c>
    </row>
    <row r="200" spans="15:16">
      <c r="O200" s="19" t="s">
        <v>504</v>
      </c>
      <c r="P200" s="6">
        <v>145</v>
      </c>
    </row>
    <row r="201" spans="15:16">
      <c r="O201" s="19" t="s">
        <v>505</v>
      </c>
      <c r="P201" s="6">
        <v>161</v>
      </c>
    </row>
    <row r="202" spans="15:16">
      <c r="O202" s="16" t="s">
        <v>506</v>
      </c>
      <c r="P202" s="6">
        <v>165</v>
      </c>
    </row>
    <row r="203" spans="15:16">
      <c r="O203" s="21" t="s">
        <v>507</v>
      </c>
      <c r="P203" s="6">
        <v>181</v>
      </c>
    </row>
    <row r="204" spans="15:16">
      <c r="O204" s="16" t="s">
        <v>508</v>
      </c>
      <c r="P204" s="6">
        <v>160</v>
      </c>
    </row>
    <row r="205" spans="15:16">
      <c r="O205" s="27" t="s">
        <v>362</v>
      </c>
      <c r="P205" s="6">
        <v>160</v>
      </c>
    </row>
    <row r="206" spans="15:16">
      <c r="O206" s="18" t="s">
        <v>509</v>
      </c>
      <c r="P206" s="6">
        <v>172</v>
      </c>
    </row>
    <row r="207" spans="15:16">
      <c r="O207" s="16" t="s">
        <v>298</v>
      </c>
      <c r="P207" s="6">
        <v>200</v>
      </c>
    </row>
    <row r="208" spans="15:16">
      <c r="O208" s="16" t="s">
        <v>510</v>
      </c>
      <c r="P208" s="6">
        <v>195</v>
      </c>
    </row>
    <row r="209" spans="15:16">
      <c r="O209" s="21" t="s">
        <v>511</v>
      </c>
      <c r="P209" s="6">
        <v>209</v>
      </c>
    </row>
    <row r="210" spans="15:16">
      <c r="O210" s="16" t="s">
        <v>512</v>
      </c>
      <c r="P210" s="6">
        <v>212</v>
      </c>
    </row>
    <row r="211" spans="15:16">
      <c r="O211" s="16" t="s">
        <v>513</v>
      </c>
      <c r="P211" s="6">
        <v>200</v>
      </c>
    </row>
    <row r="212" spans="15:16">
      <c r="O212" s="12" t="s">
        <v>514</v>
      </c>
      <c r="P212" s="6">
        <v>274</v>
      </c>
    </row>
    <row r="213" spans="15:16">
      <c r="O213" s="12" t="s">
        <v>515</v>
      </c>
      <c r="P213" s="6">
        <v>225</v>
      </c>
    </row>
    <row r="214" spans="15:16">
      <c r="O214" s="12" t="s">
        <v>516</v>
      </c>
      <c r="P214" s="6">
        <v>280</v>
      </c>
    </row>
    <row r="215" spans="15:16">
      <c r="O215" s="12" t="s">
        <v>517</v>
      </c>
      <c r="P215" s="6">
        <v>323</v>
      </c>
    </row>
    <row r="216" spans="15:16">
      <c r="O216" s="21" t="s">
        <v>518</v>
      </c>
      <c r="P216" s="6">
        <v>291</v>
      </c>
    </row>
    <row r="217" spans="15:16">
      <c r="O217" s="21" t="s">
        <v>519</v>
      </c>
      <c r="P217" s="6">
        <v>333</v>
      </c>
    </row>
    <row r="218" spans="15:16">
      <c r="O218" s="21" t="s">
        <v>520</v>
      </c>
      <c r="P218" s="6">
        <v>289</v>
      </c>
    </row>
    <row r="219" spans="15:16">
      <c r="O219" s="21" t="s">
        <v>304</v>
      </c>
      <c r="P219" s="6">
        <v>330</v>
      </c>
    </row>
    <row r="220" spans="15:16">
      <c r="O220" s="17" t="s">
        <v>521</v>
      </c>
      <c r="P220" s="6">
        <v>275</v>
      </c>
    </row>
    <row r="221" spans="15:16">
      <c r="O221" s="15" t="s">
        <v>522</v>
      </c>
      <c r="P221" s="6">
        <v>377</v>
      </c>
    </row>
    <row r="222" spans="15:16">
      <c r="O222" s="21" t="s">
        <v>523</v>
      </c>
      <c r="P222" s="6">
        <v>367</v>
      </c>
    </row>
    <row r="223" spans="15:16">
      <c r="O223" s="21" t="s">
        <v>524</v>
      </c>
      <c r="P223" s="6">
        <v>417</v>
      </c>
    </row>
    <row r="224" spans="15:16">
      <c r="O224" s="22" t="s">
        <v>525</v>
      </c>
      <c r="P224" s="6">
        <v>225</v>
      </c>
    </row>
    <row r="225" spans="15:16">
      <c r="O225" s="21" t="s">
        <v>526</v>
      </c>
      <c r="P225" s="6">
        <v>230</v>
      </c>
    </row>
    <row r="226" spans="15:16">
      <c r="O226" s="16" t="s">
        <v>527</v>
      </c>
      <c r="P226" s="6">
        <v>302</v>
      </c>
    </row>
    <row r="227" spans="15:16">
      <c r="O227" s="22" t="s">
        <v>528</v>
      </c>
      <c r="P227" s="6">
        <v>409</v>
      </c>
    </row>
    <row r="228" spans="15:16">
      <c r="O228" s="16" t="s">
        <v>529</v>
      </c>
      <c r="P228" s="6">
        <v>422</v>
      </c>
    </row>
    <row r="229" spans="15:16">
      <c r="O229" s="6" t="s">
        <v>530</v>
      </c>
      <c r="P229" s="6">
        <v>465</v>
      </c>
    </row>
    <row r="230" spans="15:16">
      <c r="O230" s="12" t="s">
        <v>531</v>
      </c>
      <c r="P230" s="6">
        <v>307</v>
      </c>
    </row>
    <row r="231" spans="15:16">
      <c r="O231" s="12" t="s">
        <v>532</v>
      </c>
      <c r="P231" s="6">
        <v>479</v>
      </c>
    </row>
    <row r="232" spans="15:16">
      <c r="O232" s="12" t="s">
        <v>533</v>
      </c>
      <c r="P232" s="6">
        <v>351</v>
      </c>
    </row>
    <row r="233" spans="15:16">
      <c r="O233" s="12" t="s">
        <v>534</v>
      </c>
      <c r="P233" s="6">
        <v>533</v>
      </c>
    </row>
    <row r="234" spans="15:16">
      <c r="O234" s="12" t="s">
        <v>535</v>
      </c>
      <c r="P234" s="6">
        <v>183</v>
      </c>
    </row>
    <row r="235" spans="15:16">
      <c r="O235" s="12" t="s">
        <v>536</v>
      </c>
      <c r="P235" s="6">
        <v>191</v>
      </c>
    </row>
    <row r="236" spans="15:16">
      <c r="O236" s="12" t="s">
        <v>537</v>
      </c>
      <c r="P236" s="6">
        <v>320</v>
      </c>
    </row>
    <row r="237" spans="15:16">
      <c r="O237" s="12" t="s">
        <v>538</v>
      </c>
      <c r="P237" s="6">
        <v>375</v>
      </c>
    </row>
    <row r="238" spans="15:16">
      <c r="O238" s="12" t="s">
        <v>539</v>
      </c>
      <c r="P238" s="6">
        <v>404</v>
      </c>
    </row>
    <row r="239" spans="15:16">
      <c r="O239" s="16" t="s">
        <v>540</v>
      </c>
      <c r="P239" s="6">
        <v>493</v>
      </c>
    </row>
    <row r="240" spans="15:16">
      <c r="O240" s="12" t="s">
        <v>541</v>
      </c>
      <c r="P240" s="6">
        <v>225</v>
      </c>
    </row>
    <row r="241" spans="15:16">
      <c r="O241" s="12" t="s">
        <v>542</v>
      </c>
      <c r="P241" s="6">
        <v>250</v>
      </c>
    </row>
    <row r="242" spans="15:16">
      <c r="O242" s="32" t="s">
        <v>543</v>
      </c>
      <c r="P242" s="6">
        <v>355</v>
      </c>
    </row>
    <row r="243" spans="15:16">
      <c r="O243" s="32" t="s">
        <v>544</v>
      </c>
      <c r="P243" s="6">
        <v>410</v>
      </c>
    </row>
    <row r="244" spans="15:16">
      <c r="O244" s="16" t="s">
        <v>545</v>
      </c>
      <c r="P244" s="6">
        <v>516</v>
      </c>
    </row>
    <row r="245" spans="15:16">
      <c r="O245" s="32" t="s">
        <v>546</v>
      </c>
      <c r="P245" s="6">
        <v>686</v>
      </c>
    </row>
    <row r="246" spans="15:16">
      <c r="O246" s="32" t="s">
        <v>547</v>
      </c>
      <c r="P246" s="6">
        <v>811</v>
      </c>
    </row>
    <row r="247" spans="15:16">
      <c r="O247" s="32" t="s">
        <v>548</v>
      </c>
      <c r="P247" s="6">
        <v>800</v>
      </c>
    </row>
    <row r="248" spans="15:16">
      <c r="O248" s="32" t="s">
        <v>549</v>
      </c>
      <c r="P248" s="6">
        <v>837</v>
      </c>
    </row>
    <row r="249" spans="15:16">
      <c r="O249" s="32" t="s">
        <v>550</v>
      </c>
      <c r="P249" s="6">
        <v>921</v>
      </c>
    </row>
    <row r="250" spans="15:16">
      <c r="O250" s="32" t="s">
        <v>551</v>
      </c>
      <c r="P250" s="6">
        <v>959</v>
      </c>
    </row>
    <row r="251" spans="15:16">
      <c r="O251" s="32" t="s">
        <v>552</v>
      </c>
      <c r="P251" s="6">
        <v>966</v>
      </c>
    </row>
    <row r="252" spans="15:16">
      <c r="O252" s="32" t="s">
        <v>553</v>
      </c>
      <c r="P252" s="6">
        <v>966</v>
      </c>
    </row>
    <row r="253" spans="15:16">
      <c r="O253" s="32" t="s">
        <v>554</v>
      </c>
      <c r="P253" s="6">
        <v>1102</v>
      </c>
    </row>
    <row r="254" spans="15:16">
      <c r="O254" s="32" t="s">
        <v>555</v>
      </c>
      <c r="P254" s="6">
        <v>1102</v>
      </c>
    </row>
    <row r="255" spans="15:16">
      <c r="O255" s="32" t="s">
        <v>556</v>
      </c>
      <c r="P255" s="6">
        <v>1089</v>
      </c>
    </row>
    <row r="256" spans="15:16">
      <c r="O256" s="32" t="s">
        <v>557</v>
      </c>
      <c r="P256" s="6">
        <v>1138</v>
      </c>
    </row>
    <row r="257" spans="15:16">
      <c r="O257" s="32" t="s">
        <v>558</v>
      </c>
      <c r="P257" s="6">
        <v>1244</v>
      </c>
    </row>
    <row r="258" spans="15:16">
      <c r="O258" s="32" t="s">
        <v>559</v>
      </c>
      <c r="P258" s="6">
        <v>1292</v>
      </c>
    </row>
    <row r="259" spans="15:16">
      <c r="O259" s="19" t="s">
        <v>560</v>
      </c>
      <c r="P259" s="6">
        <v>427</v>
      </c>
    </row>
    <row r="260" spans="15:16">
      <c r="O260" s="19" t="s">
        <v>561</v>
      </c>
      <c r="P260" s="6">
        <v>561</v>
      </c>
    </row>
    <row r="261" spans="15:16">
      <c r="O261" s="19" t="s">
        <v>562</v>
      </c>
      <c r="P261" s="6">
        <v>532</v>
      </c>
    </row>
    <row r="262" spans="15:16">
      <c r="O262" s="16" t="s">
        <v>563</v>
      </c>
      <c r="P262" s="6">
        <v>454</v>
      </c>
    </row>
    <row r="263" spans="15:16">
      <c r="O263" s="16" t="s">
        <v>564</v>
      </c>
      <c r="P263" s="6">
        <v>608</v>
      </c>
    </row>
    <row r="264" spans="15:16">
      <c r="O264" s="16" t="s">
        <v>565</v>
      </c>
      <c r="P264" s="6">
        <v>486</v>
      </c>
    </row>
    <row r="265" spans="15:16">
      <c r="O265" s="16" t="s">
        <v>566</v>
      </c>
      <c r="P265" s="6">
        <v>640</v>
      </c>
    </row>
    <row r="266" spans="15:16">
      <c r="O266" s="28" t="s">
        <v>567</v>
      </c>
      <c r="P266" s="6">
        <v>1365</v>
      </c>
    </row>
    <row r="267" spans="15:16">
      <c r="O267" s="28" t="s">
        <v>568</v>
      </c>
      <c r="P267" s="6">
        <v>471</v>
      </c>
    </row>
    <row r="268" spans="15:16">
      <c r="O268" s="19" t="s">
        <v>569</v>
      </c>
      <c r="P268" s="6">
        <v>340</v>
      </c>
    </row>
    <row r="269" spans="15:16">
      <c r="O269" s="19" t="s">
        <v>570</v>
      </c>
      <c r="P269" s="6">
        <v>225</v>
      </c>
    </row>
    <row r="270" spans="15:16">
      <c r="O270" s="19" t="s">
        <v>571</v>
      </c>
      <c r="P270" s="6">
        <v>250</v>
      </c>
    </row>
    <row r="271" spans="15:16">
      <c r="O271" s="12" t="s">
        <v>572</v>
      </c>
      <c r="P271" s="6" t="s">
        <v>573</v>
      </c>
    </row>
    <row r="272" spans="15:16">
      <c r="O272" s="12" t="s">
        <v>574</v>
      </c>
      <c r="P272" s="6" t="s">
        <v>573</v>
      </c>
    </row>
    <row r="273" spans="15:16">
      <c r="O273" s="12" t="s">
        <v>575</v>
      </c>
      <c r="P273" s="6" t="s">
        <v>573</v>
      </c>
    </row>
    <row r="274" spans="15:16">
      <c r="O274" s="12" t="s">
        <v>576</v>
      </c>
      <c r="P274" s="6" t="s">
        <v>573</v>
      </c>
    </row>
    <row r="275" spans="15:16">
      <c r="O275" s="12" t="s">
        <v>577</v>
      </c>
      <c r="P275" s="6" t="s">
        <v>573</v>
      </c>
    </row>
    <row r="276" spans="15:16">
      <c r="O276" s="28" t="s">
        <v>578</v>
      </c>
      <c r="P276" s="6">
        <v>47</v>
      </c>
    </row>
    <row r="277" spans="15:16">
      <c r="O277" s="28" t="s">
        <v>579</v>
      </c>
      <c r="P277" s="6">
        <v>52</v>
      </c>
    </row>
    <row r="278" spans="15:16">
      <c r="O278" s="23" t="s">
        <v>580</v>
      </c>
      <c r="P278" s="6">
        <v>196</v>
      </c>
    </row>
    <row r="279" spans="15:16">
      <c r="O279" s="23" t="s">
        <v>581</v>
      </c>
      <c r="P279" s="6">
        <v>220</v>
      </c>
    </row>
    <row r="280" spans="15:16">
      <c r="O280" s="19" t="s">
        <v>582</v>
      </c>
      <c r="P280" s="6">
        <v>168</v>
      </c>
    </row>
    <row r="281" spans="15:16">
      <c r="O281" s="19" t="s">
        <v>583</v>
      </c>
      <c r="P281" s="6">
        <v>280</v>
      </c>
    </row>
    <row r="282" spans="15:16">
      <c r="O282" s="19" t="s">
        <v>584</v>
      </c>
      <c r="P282" s="6">
        <v>344</v>
      </c>
    </row>
    <row r="283" spans="15:16">
      <c r="O283" s="30" t="s">
        <v>585</v>
      </c>
      <c r="P283" s="6">
        <v>308</v>
      </c>
    </row>
    <row r="284" spans="15:16">
      <c r="O284" s="30" t="s">
        <v>586</v>
      </c>
      <c r="P284" s="6">
        <v>308</v>
      </c>
    </row>
    <row r="285" spans="15:16">
      <c r="O285" s="22" t="s">
        <v>587</v>
      </c>
      <c r="P285" s="6">
        <v>400</v>
      </c>
    </row>
    <row r="286" spans="15:16">
      <c r="O286" s="22" t="s">
        <v>588</v>
      </c>
      <c r="P286" s="6">
        <v>616</v>
      </c>
    </row>
    <row r="287" spans="15:16">
      <c r="O287" s="22" t="s">
        <v>589</v>
      </c>
      <c r="P287" s="6">
        <v>748</v>
      </c>
    </row>
    <row r="288" spans="15:16">
      <c r="O288" s="16" t="s">
        <v>590</v>
      </c>
      <c r="P288" s="6">
        <v>364</v>
      </c>
    </row>
    <row r="289" spans="15:16">
      <c r="O289" s="16" t="s">
        <v>591</v>
      </c>
      <c r="P289" s="6">
        <v>330</v>
      </c>
    </row>
    <row r="290" spans="15:16">
      <c r="O290" s="21" t="s">
        <v>592</v>
      </c>
      <c r="P290" s="6">
        <v>293</v>
      </c>
    </row>
    <row r="291" spans="15:16">
      <c r="O291" s="21" t="s">
        <v>593</v>
      </c>
      <c r="P291" s="6">
        <v>359</v>
      </c>
    </row>
    <row r="292" spans="15:16">
      <c r="O292" s="16" t="s">
        <v>594</v>
      </c>
      <c r="P292" s="6">
        <v>230</v>
      </c>
    </row>
    <row r="293" spans="15:16">
      <c r="O293" s="27" t="s">
        <v>595</v>
      </c>
      <c r="P293" s="6">
        <v>223</v>
      </c>
    </row>
    <row r="294" spans="15:16">
      <c r="O294" s="16" t="s">
        <v>311</v>
      </c>
      <c r="P294" s="6">
        <v>202</v>
      </c>
    </row>
    <row r="295" spans="15:16">
      <c r="O295" s="21" t="s">
        <v>596</v>
      </c>
      <c r="P295" s="6">
        <v>339</v>
      </c>
    </row>
    <row r="296" spans="15:16">
      <c r="O296" s="21" t="s">
        <v>597</v>
      </c>
      <c r="P296" s="6">
        <v>400</v>
      </c>
    </row>
    <row r="297" spans="15:16">
      <c r="O297" s="17" t="s">
        <v>598</v>
      </c>
      <c r="P297" s="6">
        <v>339</v>
      </c>
    </row>
    <row r="298" spans="15:16">
      <c r="O298" s="17" t="s">
        <v>599</v>
      </c>
      <c r="P298" s="6">
        <v>289</v>
      </c>
    </row>
    <row r="299" spans="15:16">
      <c r="O299" s="17" t="s">
        <v>600</v>
      </c>
      <c r="P299" s="6">
        <v>400</v>
      </c>
    </row>
    <row r="300" spans="15:16">
      <c r="O300" s="21" t="s">
        <v>601</v>
      </c>
      <c r="P300" s="6">
        <v>172</v>
      </c>
    </row>
    <row r="301" spans="15:16">
      <c r="O301" s="15" t="s">
        <v>602</v>
      </c>
      <c r="P301" s="6">
        <v>240</v>
      </c>
    </row>
    <row r="302" spans="15:16">
      <c r="O302" s="23" t="s">
        <v>603</v>
      </c>
      <c r="P302" s="6">
        <v>120</v>
      </c>
    </row>
    <row r="303" spans="15:16">
      <c r="O303" s="19" t="s">
        <v>604</v>
      </c>
      <c r="P303" s="6">
        <v>120</v>
      </c>
    </row>
    <row r="304" spans="15:16">
      <c r="O304" s="21" t="s">
        <v>318</v>
      </c>
      <c r="P304" s="6">
        <v>120</v>
      </c>
    </row>
    <row r="305" spans="15:16">
      <c r="O305" s="21" t="s">
        <v>605</v>
      </c>
      <c r="P305" s="6">
        <v>120</v>
      </c>
    </row>
    <row r="306" spans="15:16">
      <c r="O306" s="16" t="s">
        <v>606</v>
      </c>
      <c r="P306" s="6">
        <v>120</v>
      </c>
    </row>
    <row r="307" spans="15:16">
      <c r="O307" s="16" t="s">
        <v>607</v>
      </c>
      <c r="P307" s="6">
        <v>132</v>
      </c>
    </row>
    <row r="308" spans="15:16">
      <c r="O308" s="16" t="s">
        <v>608</v>
      </c>
      <c r="P308" s="6">
        <v>132</v>
      </c>
    </row>
    <row r="309" spans="15:16">
      <c r="O309" s="28" t="s">
        <v>609</v>
      </c>
      <c r="P309" s="6">
        <v>140</v>
      </c>
    </row>
    <row r="310" spans="15:16">
      <c r="O310" s="21" t="s">
        <v>610</v>
      </c>
      <c r="P310" s="6">
        <v>132</v>
      </c>
    </row>
    <row r="311" spans="15:16">
      <c r="O311" s="6" t="s">
        <v>611</v>
      </c>
      <c r="P311" s="6">
        <v>132</v>
      </c>
    </row>
    <row r="312" spans="15:16">
      <c r="O312" s="12" t="s">
        <v>612</v>
      </c>
      <c r="P312" s="6">
        <v>132</v>
      </c>
    </row>
    <row r="313" spans="15:16">
      <c r="O313" s="16" t="s">
        <v>613</v>
      </c>
      <c r="P313" s="6">
        <v>120</v>
      </c>
    </row>
    <row r="314" spans="15:16">
      <c r="O314" s="16" t="s">
        <v>614</v>
      </c>
      <c r="P314" s="6">
        <v>148</v>
      </c>
    </row>
    <row r="315" spans="15:16">
      <c r="O315" s="22" t="s">
        <v>615</v>
      </c>
      <c r="P315" s="6" t="s">
        <v>573</v>
      </c>
    </row>
    <row r="316" spans="15:16">
      <c r="O316" s="16" t="s">
        <v>616</v>
      </c>
      <c r="P316" s="6" t="s">
        <v>573</v>
      </c>
    </row>
    <row r="317" spans="15:16">
      <c r="O317" s="16" t="s">
        <v>617</v>
      </c>
      <c r="P317" s="6" t="s">
        <v>573</v>
      </c>
    </row>
    <row r="318" spans="15:16">
      <c r="O318" s="21" t="s">
        <v>618</v>
      </c>
      <c r="P318" s="6" t="s">
        <v>573</v>
      </c>
    </row>
    <row r="319" spans="15:16">
      <c r="O319" s="21" t="s">
        <v>619</v>
      </c>
      <c r="P319" s="6" t="s">
        <v>573</v>
      </c>
    </row>
    <row r="320" spans="15:16">
      <c r="O320" s="16" t="s">
        <v>620</v>
      </c>
      <c r="P320" s="6" t="s">
        <v>573</v>
      </c>
    </row>
    <row r="321" spans="15:16">
      <c r="O321" s="16" t="s">
        <v>621</v>
      </c>
      <c r="P321" s="6" t="s">
        <v>573</v>
      </c>
    </row>
    <row r="322" spans="15:16">
      <c r="O322" s="16" t="s">
        <v>622</v>
      </c>
      <c r="P322" s="6" t="s">
        <v>573</v>
      </c>
    </row>
    <row r="323" spans="15:16">
      <c r="O323" s="16" t="s">
        <v>623</v>
      </c>
      <c r="P323" s="6" t="s">
        <v>573</v>
      </c>
    </row>
    <row r="324" spans="15:16">
      <c r="O324" s="14" t="s">
        <v>624</v>
      </c>
      <c r="P324" s="6">
        <v>288</v>
      </c>
    </row>
    <row r="325" spans="15:16">
      <c r="O325" s="27" t="s">
        <v>625</v>
      </c>
      <c r="P325" s="6">
        <v>288</v>
      </c>
    </row>
    <row r="326" spans="15:16">
      <c r="O326" s="16" t="s">
        <v>626</v>
      </c>
      <c r="P326" s="6">
        <v>360</v>
      </c>
    </row>
    <row r="327" spans="15:16">
      <c r="O327" s="16" t="s">
        <v>627</v>
      </c>
      <c r="P327" s="6">
        <v>288</v>
      </c>
    </row>
    <row r="328" spans="15:16">
      <c r="O328" s="21" t="s">
        <v>628</v>
      </c>
      <c r="P328" s="6">
        <v>264</v>
      </c>
    </row>
    <row r="329" spans="15:16">
      <c r="O329" s="17" t="s">
        <v>629</v>
      </c>
      <c r="P329" s="6">
        <v>264</v>
      </c>
    </row>
    <row r="330" spans="15:16">
      <c r="O330" s="21" t="s">
        <v>630</v>
      </c>
      <c r="P330" s="6">
        <v>292</v>
      </c>
    </row>
    <row r="331" spans="15:16">
      <c r="O331" s="30" t="s">
        <v>631</v>
      </c>
      <c r="P331" s="6">
        <v>372</v>
      </c>
    </row>
    <row r="332" spans="15:16">
      <c r="O332" s="16" t="s">
        <v>632</v>
      </c>
      <c r="P332" s="6">
        <v>372</v>
      </c>
    </row>
    <row r="333" spans="15:16">
      <c r="O333" s="21" t="s">
        <v>633</v>
      </c>
      <c r="P333" s="6">
        <v>440</v>
      </c>
    </row>
    <row r="334" spans="15:16">
      <c r="O334" s="16" t="s">
        <v>634</v>
      </c>
      <c r="P334" s="6">
        <v>304</v>
      </c>
    </row>
    <row r="335" spans="15:16">
      <c r="O335" s="16" t="s">
        <v>635</v>
      </c>
      <c r="P335" s="6" t="s">
        <v>573</v>
      </c>
    </row>
    <row r="336" spans="15:16">
      <c r="O336" s="21" t="s">
        <v>636</v>
      </c>
      <c r="P336" s="6" t="s">
        <v>573</v>
      </c>
    </row>
    <row r="337" spans="15:16">
      <c r="O337" s="21" t="s">
        <v>637</v>
      </c>
      <c r="P337" s="6" t="s">
        <v>573</v>
      </c>
    </row>
    <row r="338" spans="15:16">
      <c r="O338" s="33" t="s">
        <v>638</v>
      </c>
      <c r="P338" s="6" t="s">
        <v>573</v>
      </c>
    </row>
    <row r="339" spans="15:16">
      <c r="O339" s="33" t="s">
        <v>639</v>
      </c>
      <c r="P339" s="6" t="s">
        <v>573</v>
      </c>
    </row>
    <row r="340" spans="15:16">
      <c r="O340" s="17" t="s">
        <v>640</v>
      </c>
      <c r="P340" s="6" t="s">
        <v>573</v>
      </c>
    </row>
    <row r="341" spans="15:16">
      <c r="O341" s="16" t="s">
        <v>641</v>
      </c>
      <c r="P341" s="6" t="s">
        <v>642</v>
      </c>
    </row>
    <row r="342" spans="15:16">
      <c r="O342" s="16" t="s">
        <v>643</v>
      </c>
      <c r="P342" s="6" t="s">
        <v>642</v>
      </c>
    </row>
    <row r="343" spans="15:16">
      <c r="O343" s="16" t="s">
        <v>644</v>
      </c>
      <c r="P343" s="6" t="s">
        <v>642</v>
      </c>
    </row>
    <row r="344" spans="15:16">
      <c r="O344" s="16" t="s">
        <v>645</v>
      </c>
      <c r="P344" s="6" t="s">
        <v>642</v>
      </c>
    </row>
    <row r="345" spans="15:16">
      <c r="O345" s="16" t="s">
        <v>646</v>
      </c>
      <c r="P345" s="6" t="s">
        <v>642</v>
      </c>
    </row>
    <row r="346" spans="15:16">
      <c r="O346" s="16" t="s">
        <v>647</v>
      </c>
      <c r="P346" s="6" t="s">
        <v>642</v>
      </c>
    </row>
    <row r="347" spans="15:16">
      <c r="O347" s="15" t="s">
        <v>648</v>
      </c>
      <c r="P347" s="6" t="s">
        <v>642</v>
      </c>
    </row>
    <row r="348" spans="15:16">
      <c r="O348" s="15" t="s">
        <v>649</v>
      </c>
      <c r="P348" s="6" t="s">
        <v>642</v>
      </c>
    </row>
    <row r="349" spans="15:16">
      <c r="O349" s="22" t="s">
        <v>650</v>
      </c>
      <c r="P349" s="6" t="s">
        <v>642</v>
      </c>
    </row>
    <row r="350" spans="15:16">
      <c r="O350" s="22" t="s">
        <v>651</v>
      </c>
      <c r="P350" s="6" t="s">
        <v>642</v>
      </c>
    </row>
    <row r="351" spans="15:16">
      <c r="O351" s="22" t="s">
        <v>652</v>
      </c>
      <c r="P351" s="6" t="s">
        <v>642</v>
      </c>
    </row>
    <row r="352" spans="15:16">
      <c r="O352" s="22" t="s">
        <v>653</v>
      </c>
      <c r="P352" s="6" t="s">
        <v>642</v>
      </c>
    </row>
    <row r="353" spans="15:16">
      <c r="O353" s="22" t="s">
        <v>654</v>
      </c>
      <c r="P353" s="6" t="s">
        <v>642</v>
      </c>
    </row>
    <row r="354" spans="15:16">
      <c r="O354" s="17" t="s">
        <v>655</v>
      </c>
      <c r="P354" s="13">
        <v>37</v>
      </c>
    </row>
    <row r="355" spans="15:16">
      <c r="O355" s="17" t="s">
        <v>656</v>
      </c>
      <c r="P355" s="6">
        <v>91</v>
      </c>
    </row>
    <row r="356" spans="15:16">
      <c r="O356" s="17" t="s">
        <v>657</v>
      </c>
      <c r="P356" s="6">
        <v>70</v>
      </c>
    </row>
    <row r="357" spans="15:16">
      <c r="O357" s="16" t="s">
        <v>658</v>
      </c>
      <c r="P357" s="6">
        <v>170</v>
      </c>
    </row>
    <row r="358" spans="15:16">
      <c r="O358" s="34" t="s">
        <v>659</v>
      </c>
      <c r="P358" s="13">
        <v>368</v>
      </c>
    </row>
    <row r="359" spans="15:16">
      <c r="O359" s="34" t="s">
        <v>660</v>
      </c>
      <c r="P359" s="13">
        <v>401</v>
      </c>
    </row>
    <row r="360" spans="15:16">
      <c r="O360" s="16" t="s">
        <v>661</v>
      </c>
      <c r="P360" s="13">
        <v>418</v>
      </c>
    </row>
    <row r="361" spans="15:16">
      <c r="O361" s="16" t="s">
        <v>662</v>
      </c>
      <c r="P361" s="13">
        <v>470</v>
      </c>
    </row>
    <row r="362" spans="15:16">
      <c r="O362" s="16" t="s">
        <v>663</v>
      </c>
      <c r="P362" s="13">
        <v>560</v>
      </c>
    </row>
    <row r="363" spans="15:16">
      <c r="O363" s="16" t="s">
        <v>664</v>
      </c>
      <c r="P363" s="13">
        <v>570</v>
      </c>
    </row>
    <row r="364" spans="15:16">
      <c r="O364" s="16" t="s">
        <v>665</v>
      </c>
      <c r="P364" s="13">
        <v>660</v>
      </c>
    </row>
    <row r="365" spans="15:16">
      <c r="O365" s="16" t="s">
        <v>666</v>
      </c>
      <c r="P365" s="13">
        <v>777</v>
      </c>
    </row>
    <row r="366" spans="15:16">
      <c r="O366" s="16" t="s">
        <v>667</v>
      </c>
      <c r="P366" s="13">
        <v>495</v>
      </c>
    </row>
    <row r="367" spans="15:16">
      <c r="O367" s="16" t="s">
        <v>668</v>
      </c>
      <c r="P367" s="13">
        <v>528</v>
      </c>
    </row>
    <row r="368" spans="15:16">
      <c r="O368" s="16" t="s">
        <v>669</v>
      </c>
      <c r="P368" s="13">
        <v>693</v>
      </c>
    </row>
    <row r="369" spans="15:16">
      <c r="O369" s="16" t="s">
        <v>670</v>
      </c>
      <c r="P369" s="13">
        <v>784</v>
      </c>
    </row>
    <row r="370" spans="15:16">
      <c r="O370" s="16" t="s">
        <v>671</v>
      </c>
      <c r="P370" s="13">
        <v>553</v>
      </c>
    </row>
    <row r="371" spans="15:16">
      <c r="O371" s="16" t="s">
        <v>672</v>
      </c>
      <c r="P371" s="13">
        <v>639</v>
      </c>
    </row>
    <row r="372" spans="15:16">
      <c r="O372" s="16" t="s">
        <v>673</v>
      </c>
      <c r="P372" s="13">
        <v>751</v>
      </c>
    </row>
    <row r="373" spans="15:16">
      <c r="O373" s="16" t="s">
        <v>674</v>
      </c>
      <c r="P373" s="13">
        <v>322</v>
      </c>
    </row>
    <row r="374" spans="15:16">
      <c r="O374" s="16" t="s">
        <v>675</v>
      </c>
      <c r="P374" s="13">
        <v>344</v>
      </c>
    </row>
    <row r="375" spans="15:16">
      <c r="O375" s="16" t="s">
        <v>676</v>
      </c>
      <c r="P375" s="13">
        <v>609</v>
      </c>
    </row>
    <row r="376" spans="15:16">
      <c r="O376" s="16" t="s">
        <v>677</v>
      </c>
      <c r="P376" s="13">
        <v>699</v>
      </c>
    </row>
    <row r="377" spans="15:16">
      <c r="O377" s="16" t="s">
        <v>678</v>
      </c>
      <c r="P377" s="13">
        <v>815</v>
      </c>
    </row>
    <row r="378" spans="15:16">
      <c r="O378" s="21" t="s">
        <v>679</v>
      </c>
      <c r="P378" s="13">
        <v>495</v>
      </c>
    </row>
    <row r="379" spans="15:16">
      <c r="O379" s="21" t="s">
        <v>680</v>
      </c>
      <c r="P379" s="13">
        <v>528</v>
      </c>
    </row>
    <row r="380" spans="15:16">
      <c r="O380" s="16" t="s">
        <v>681</v>
      </c>
      <c r="P380" s="13">
        <v>612</v>
      </c>
    </row>
    <row r="381" spans="15:16">
      <c r="O381" s="16" t="s">
        <v>682</v>
      </c>
      <c r="P381" s="13">
        <v>662</v>
      </c>
    </row>
    <row r="382" spans="15:16">
      <c r="O382" s="16" t="s">
        <v>683</v>
      </c>
      <c r="P382" s="13">
        <v>731</v>
      </c>
    </row>
    <row r="383" spans="15:16">
      <c r="O383" s="16" t="s">
        <v>684</v>
      </c>
      <c r="P383" s="13">
        <v>823</v>
      </c>
    </row>
    <row r="384" spans="15:16">
      <c r="O384" s="16" t="s">
        <v>685</v>
      </c>
      <c r="P384" s="13">
        <v>554</v>
      </c>
    </row>
    <row r="385" spans="15:16">
      <c r="O385" s="16" t="s">
        <v>686</v>
      </c>
      <c r="P385" s="13">
        <v>589</v>
      </c>
    </row>
    <row r="386" spans="15:16">
      <c r="O386" s="21" t="s">
        <v>687</v>
      </c>
      <c r="P386" s="13">
        <v>528</v>
      </c>
    </row>
    <row r="387" spans="15:16">
      <c r="O387" s="21" t="s">
        <v>688</v>
      </c>
      <c r="P387" s="13">
        <v>570</v>
      </c>
    </row>
    <row r="388" spans="15:16">
      <c r="O388" s="21" t="s">
        <v>689</v>
      </c>
      <c r="P388" s="13">
        <v>570</v>
      </c>
    </row>
    <row r="389" spans="15:16">
      <c r="O389" s="21" t="s">
        <v>690</v>
      </c>
      <c r="P389" s="13">
        <v>660</v>
      </c>
    </row>
    <row r="390" spans="15:16">
      <c r="O390" s="21" t="s">
        <v>691</v>
      </c>
      <c r="P390" s="13">
        <v>624</v>
      </c>
    </row>
    <row r="391" spans="15:16">
      <c r="O391" s="21" t="s">
        <v>692</v>
      </c>
      <c r="P391" s="13">
        <v>714</v>
      </c>
    </row>
    <row r="392" spans="15:16">
      <c r="O392" s="16" t="s">
        <v>693</v>
      </c>
      <c r="P392" s="13">
        <v>964</v>
      </c>
    </row>
    <row r="393" spans="15:16">
      <c r="O393" s="16" t="s">
        <v>694</v>
      </c>
      <c r="P393" s="13">
        <v>1158</v>
      </c>
    </row>
    <row r="394" spans="15:16">
      <c r="O394" s="16" t="s">
        <v>695</v>
      </c>
      <c r="P394" s="13">
        <v>1421</v>
      </c>
    </row>
    <row r="395" spans="15:16">
      <c r="O395" s="16" t="s">
        <v>696</v>
      </c>
      <c r="P395" s="13">
        <v>1537</v>
      </c>
    </row>
    <row r="396" spans="15:16">
      <c r="O396" s="21" t="s">
        <v>697</v>
      </c>
      <c r="P396" s="13">
        <v>228</v>
      </c>
    </row>
    <row r="397" spans="15:16">
      <c r="O397" s="21" t="s">
        <v>698</v>
      </c>
      <c r="P397" s="13">
        <v>284</v>
      </c>
    </row>
    <row r="398" ht="14.5" spans="15:16">
      <c r="O398" s="35" t="s">
        <v>699</v>
      </c>
      <c r="P398" s="6">
        <v>171</v>
      </c>
    </row>
    <row r="399" ht="14.5" spans="15:16">
      <c r="O399" s="35" t="s">
        <v>700</v>
      </c>
      <c r="P399" s="6">
        <v>183</v>
      </c>
    </row>
    <row r="400" ht="14.5" spans="15:16">
      <c r="O400" s="35" t="s">
        <v>701</v>
      </c>
      <c r="P400" s="6">
        <v>264</v>
      </c>
    </row>
    <row r="401" ht="14.5" spans="15:16">
      <c r="O401" s="35" t="s">
        <v>702</v>
      </c>
      <c r="P401" s="6">
        <v>291</v>
      </c>
    </row>
    <row r="402" ht="14.5" spans="15:16">
      <c r="O402" s="36" t="s">
        <v>703</v>
      </c>
      <c r="P402" s="6">
        <v>111</v>
      </c>
    </row>
    <row r="403" ht="14.5" spans="15:16">
      <c r="O403" s="36" t="s">
        <v>704</v>
      </c>
      <c r="P403" s="6">
        <v>223</v>
      </c>
    </row>
    <row r="404" ht="14.5" spans="15:16">
      <c r="O404" s="35" t="s">
        <v>705</v>
      </c>
      <c r="P404" s="6">
        <v>328</v>
      </c>
    </row>
    <row r="405" ht="14.5" spans="15:16">
      <c r="O405" s="35" t="s">
        <v>706</v>
      </c>
      <c r="P405" s="6">
        <v>304</v>
      </c>
    </row>
    <row r="406" ht="14.5" spans="15:16">
      <c r="O406" s="35" t="s">
        <v>707</v>
      </c>
      <c r="P406" s="6">
        <v>91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tabSelected="1" workbookViewId="0">
      <selection activeCell="A7" sqref="A7"/>
    </sheetView>
  </sheetViews>
  <sheetFormatPr defaultColWidth="8.66666666666667" defaultRowHeight="14" outlineLevelCol="4"/>
  <cols>
    <col min="1" max="1" width="29.0833333333333"/>
    <col min="2" max="4" width="21.4166666666667"/>
  </cols>
  <sheetData>
    <row r="3" spans="1:4">
      <c r="A3" t="s">
        <v>7</v>
      </c>
      <c r="B3" t="s">
        <v>711</v>
      </c>
      <c r="C3" t="s">
        <v>712</v>
      </c>
      <c r="D3" t="s">
        <v>713</v>
      </c>
    </row>
    <row r="4" spans="1:5">
      <c r="A4" t="s">
        <v>34</v>
      </c>
      <c r="B4" s="2">
        <v>1</v>
      </c>
      <c r="C4" s="2">
        <v>137</v>
      </c>
      <c r="D4" s="2">
        <v>6158</v>
      </c>
      <c r="E4" t="s">
        <v>714</v>
      </c>
    </row>
    <row r="5" spans="1:5">
      <c r="A5" t="s">
        <v>93</v>
      </c>
      <c r="B5">
        <v>8</v>
      </c>
      <c r="C5">
        <v>1268</v>
      </c>
      <c r="D5">
        <v>42494</v>
      </c>
      <c r="E5" t="s">
        <v>715</v>
      </c>
    </row>
    <row r="6" spans="1:5">
      <c r="A6" t="s">
        <v>23</v>
      </c>
      <c r="B6" s="2">
        <v>22</v>
      </c>
      <c r="C6" s="2">
        <v>3248</v>
      </c>
      <c r="D6" s="2">
        <v>136246</v>
      </c>
      <c r="E6" t="s">
        <v>714</v>
      </c>
    </row>
    <row r="7" spans="1:5">
      <c r="A7" t="s">
        <v>54</v>
      </c>
      <c r="B7">
        <v>27</v>
      </c>
      <c r="C7">
        <v>3649</v>
      </c>
      <c r="D7">
        <v>150156</v>
      </c>
      <c r="E7" t="s">
        <v>716</v>
      </c>
    </row>
    <row r="8" spans="1:1">
      <c r="A8" t="s">
        <v>717</v>
      </c>
    </row>
    <row r="9" spans="1:4">
      <c r="A9" t="s">
        <v>718</v>
      </c>
      <c r="B9">
        <v>58</v>
      </c>
      <c r="C9">
        <v>8302</v>
      </c>
      <c r="D9">
        <v>335054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3" sqref="A13"/>
    </sheetView>
  </sheetViews>
  <sheetFormatPr defaultColWidth="9.025" defaultRowHeight="14" outlineLevelRow="4" outlineLevelCol="1"/>
  <cols>
    <col min="1" max="1" width="31.275" customWidth="1"/>
  </cols>
  <sheetData>
    <row r="1" spans="1:2">
      <c r="A1" s="1" t="s">
        <v>7</v>
      </c>
      <c r="B1" s="1" t="s">
        <v>297</v>
      </c>
    </row>
    <row r="2" spans="1:2">
      <c r="A2" s="1" t="s">
        <v>34</v>
      </c>
      <c r="B2" s="1">
        <v>3385</v>
      </c>
    </row>
    <row r="3" spans="1:2">
      <c r="A3" s="1" t="s">
        <v>93</v>
      </c>
      <c r="B3" s="1">
        <v>1268</v>
      </c>
    </row>
    <row r="4" spans="1:2">
      <c r="A4" s="1" t="s">
        <v>54</v>
      </c>
      <c r="B4" s="1">
        <v>3649</v>
      </c>
    </row>
    <row r="5" spans="2:2">
      <c r="B5">
        <f>SUM(B2:B4)</f>
        <v>8302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9月销售</vt:lpstr>
      <vt:lpstr>提成</vt:lpstr>
      <vt:lpstr>复核明细</vt:lpstr>
      <vt:lpstr>提成汇总复核</vt:lpstr>
      <vt:lpstr>提成汇总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彭彩霞</dc:creator>
  <cp:lastModifiedBy>两两</cp:lastModifiedBy>
  <dcterms:created xsi:type="dcterms:W3CDTF">2015-06-05T18:19:00Z</dcterms:created>
  <dcterms:modified xsi:type="dcterms:W3CDTF">2025-10-07T07:49:28Z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4A7E11DF0FBB473BBAF5D4B0D862511F_13</vt:lpwstr>
  </property>
  <property fmtid="{D5CDD505-2E9C-101B-9397-08002B2CF9AE}" pid="3" name="KSOProductBuildVer">
    <vt:lpwstr>2052-12.1.0.22529</vt:lpwstr>
  </property>
</Properties>
</file>