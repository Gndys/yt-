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Sheet2" sheetId="2" r:id="rId1"/>
    <sheet name="Sheet3" sheetId="3" r:id="rId2"/>
    <sheet name="Sheet1" sheetId="1" r:id="rId3"/>
  </sheets>
  <externalReferences>
    <externalReference r:id="rId5"/>
    <externalReference r:id="rId6"/>
  </externalReferences>
  <definedNames>
    <definedName name="_xlnm._FilterDatabase" localSheetId="1" hidden="1">Sheet3!$C$3:$F$45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<sst xmlns="http://schemas.openxmlformats.org/spreadsheetml/2006/main" count="32339" uniqueCount="3980">
  <si>
    <t>销售订单号</t>
  </si>
  <si>
    <t>求和项:收款金额</t>
  </si>
  <si>
    <t>20251015000059</t>
  </si>
  <si>
    <t>20251027005412</t>
  </si>
  <si>
    <t>A20051025002418</t>
  </si>
  <si>
    <t>A20250705000781C</t>
  </si>
  <si>
    <t>A20250710003461C</t>
  </si>
  <si>
    <t>A20250712005748C</t>
  </si>
  <si>
    <t>A20250717001898C</t>
  </si>
  <si>
    <t>A20250718002949C</t>
  </si>
  <si>
    <t>A20250719001685C</t>
  </si>
  <si>
    <t>A20250720003712C</t>
  </si>
  <si>
    <t>A20250802002197C</t>
  </si>
  <si>
    <t>A20250803001634C</t>
  </si>
  <si>
    <t>A20250812003509C</t>
  </si>
  <si>
    <t>A20250812004461C</t>
  </si>
  <si>
    <t>A20250819001432C</t>
  </si>
  <si>
    <t>A20250828003104C</t>
  </si>
  <si>
    <t>A20250830001277C</t>
  </si>
  <si>
    <t>A20250912002829C</t>
  </si>
  <si>
    <t>A20250919005149C</t>
  </si>
  <si>
    <t>A20250920001308C</t>
  </si>
  <si>
    <t>A20250923000771C</t>
  </si>
  <si>
    <t>A20250926001718C</t>
  </si>
  <si>
    <t>A20250930000811</t>
  </si>
  <si>
    <t>A20250930000866</t>
  </si>
  <si>
    <t>A20250930003028</t>
  </si>
  <si>
    <t>A20251001004169</t>
  </si>
  <si>
    <t>A20251001004530</t>
  </si>
  <si>
    <t>A20251001004530C</t>
  </si>
  <si>
    <t>A20251001006320</t>
  </si>
  <si>
    <t>A20251001008995</t>
  </si>
  <si>
    <t>A20251002000780</t>
  </si>
  <si>
    <t>A20251002000983</t>
  </si>
  <si>
    <t>A20251002000984</t>
  </si>
  <si>
    <t>A20251002002898</t>
  </si>
  <si>
    <t>A20251003000556</t>
  </si>
  <si>
    <t>A20251003000652</t>
  </si>
  <si>
    <t>A20251003000910</t>
  </si>
  <si>
    <t>A20251003001834</t>
  </si>
  <si>
    <t>A20251003001834C</t>
  </si>
  <si>
    <t>A20251003003447</t>
  </si>
  <si>
    <t>A20251003003449</t>
  </si>
  <si>
    <t>A20251004000621</t>
  </si>
  <si>
    <t>A20251004001163</t>
  </si>
  <si>
    <t>A20251004001948</t>
  </si>
  <si>
    <t>A20251004001971</t>
  </si>
  <si>
    <t>A20251004002463</t>
  </si>
  <si>
    <t>A20251005000626</t>
  </si>
  <si>
    <t>A20251005000961</t>
  </si>
  <si>
    <t>A20251005001561</t>
  </si>
  <si>
    <t>A20251005001725</t>
  </si>
  <si>
    <t>A20251005003812</t>
  </si>
  <si>
    <t>A20251005003831</t>
  </si>
  <si>
    <t>A20251005004370</t>
  </si>
  <si>
    <t>A20251006000832</t>
  </si>
  <si>
    <t>A20251006002215</t>
  </si>
  <si>
    <t>A20251006003074</t>
  </si>
  <si>
    <t>A20251006003379</t>
  </si>
  <si>
    <t>A20251006003903</t>
  </si>
  <si>
    <t>A20251007001009</t>
  </si>
  <si>
    <t>A20251007001437</t>
  </si>
  <si>
    <t>A20251007001686</t>
  </si>
  <si>
    <t>A20251007002192</t>
  </si>
  <si>
    <t>A20251007004065</t>
  </si>
  <si>
    <t>A20251007004076</t>
  </si>
  <si>
    <t>A20251007004776</t>
  </si>
  <si>
    <t>A20251007006753</t>
  </si>
  <si>
    <t>A20251008000107</t>
  </si>
  <si>
    <t>A20251008000133</t>
  </si>
  <si>
    <t>A20251008001468</t>
  </si>
  <si>
    <t>A20251008002003</t>
  </si>
  <si>
    <t>A20251008002627</t>
  </si>
  <si>
    <t>A20251008004085</t>
  </si>
  <si>
    <t>A20251008004683</t>
  </si>
  <si>
    <t>A20251008005455</t>
  </si>
  <si>
    <t>A20251008007609</t>
  </si>
  <si>
    <t>A20251009000550</t>
  </si>
  <si>
    <t>A20251009000765</t>
  </si>
  <si>
    <t>A20251009001509</t>
  </si>
  <si>
    <t>A20251009001800</t>
  </si>
  <si>
    <t>A20251009002342</t>
  </si>
  <si>
    <t>A20251009002958</t>
  </si>
  <si>
    <t>A20251009003526</t>
  </si>
  <si>
    <t>A20251010003644</t>
  </si>
  <si>
    <t>A20251010005671</t>
  </si>
  <si>
    <t>A20251010006006</t>
  </si>
  <si>
    <t>A20251010007089</t>
  </si>
  <si>
    <t>A20251011000639</t>
  </si>
  <si>
    <t>A20251011000733</t>
  </si>
  <si>
    <t>A20251011001097</t>
  </si>
  <si>
    <t>A20251011001661</t>
  </si>
  <si>
    <t>A20251011004155</t>
  </si>
  <si>
    <t>A20251012001647</t>
  </si>
  <si>
    <t>A20251012001676</t>
  </si>
  <si>
    <t>A20251012001866</t>
  </si>
  <si>
    <t>A20251012002796</t>
  </si>
  <si>
    <t>A20251012004811</t>
  </si>
  <si>
    <t>A20251012005144</t>
  </si>
  <si>
    <t>A20251012005268</t>
  </si>
  <si>
    <t>A20251012005314</t>
  </si>
  <si>
    <t>A20251013000189</t>
  </si>
  <si>
    <t>A20251013000313</t>
  </si>
  <si>
    <t>A20251013000424</t>
  </si>
  <si>
    <t>A20251013000458</t>
  </si>
  <si>
    <t>A20251013000973</t>
  </si>
  <si>
    <t>A20251013000974</t>
  </si>
  <si>
    <t>A20251013001055</t>
  </si>
  <si>
    <t>A20251013001594</t>
  </si>
  <si>
    <t>A20251013002496</t>
  </si>
  <si>
    <t>A20251013002814</t>
  </si>
  <si>
    <t>A20251014000230</t>
  </si>
  <si>
    <t>A20251014000643</t>
  </si>
  <si>
    <t>A20251014000675</t>
  </si>
  <si>
    <t>A20251014001237</t>
  </si>
  <si>
    <t>A20251014001545</t>
  </si>
  <si>
    <t>A20251014001551</t>
  </si>
  <si>
    <t>A20251014002571</t>
  </si>
  <si>
    <t>A20251014002592</t>
  </si>
  <si>
    <t>A20251014004402</t>
  </si>
  <si>
    <t>A20251015001043</t>
  </si>
  <si>
    <t>A20251015001475</t>
  </si>
  <si>
    <t>A20251015004548</t>
  </si>
  <si>
    <t>A20251015004649</t>
  </si>
  <si>
    <t>A20251015006869</t>
  </si>
  <si>
    <t>A20251016001974</t>
  </si>
  <si>
    <t>A20251016002550</t>
  </si>
  <si>
    <t>A20251016003020</t>
  </si>
  <si>
    <t>A20251016003587</t>
  </si>
  <si>
    <t>A20251016004214</t>
  </si>
  <si>
    <t>A20251016005271</t>
  </si>
  <si>
    <t>A20251017001720</t>
  </si>
  <si>
    <t>A20251017001883</t>
  </si>
  <si>
    <t>A20251017002013</t>
  </si>
  <si>
    <t>A20251017002166</t>
  </si>
  <si>
    <t>A20251017002871</t>
  </si>
  <si>
    <t>A20251017003786</t>
  </si>
  <si>
    <t>A20251017004444</t>
  </si>
  <si>
    <t>A20251018000420</t>
  </si>
  <si>
    <t>A20251018001071</t>
  </si>
  <si>
    <t>A20251018001165</t>
  </si>
  <si>
    <t>A20251018001172</t>
  </si>
  <si>
    <t>A20251018001476</t>
  </si>
  <si>
    <t>A20251018001800</t>
  </si>
  <si>
    <t>A20251018002295</t>
  </si>
  <si>
    <t>A20251018002782</t>
  </si>
  <si>
    <t>A20251018002824</t>
  </si>
  <si>
    <t>A20251018002875</t>
  </si>
  <si>
    <t>A20251018005628</t>
  </si>
  <si>
    <t>A20251019000697</t>
  </si>
  <si>
    <t>A20251019001740</t>
  </si>
  <si>
    <t>A20251019001780</t>
  </si>
  <si>
    <t>A20251019003320</t>
  </si>
  <si>
    <t>A20251019003326</t>
  </si>
  <si>
    <t>A20251019003525</t>
  </si>
  <si>
    <t>A20251020000109</t>
  </si>
  <si>
    <t>A20251020000295</t>
  </si>
  <si>
    <t>A20251020000460</t>
  </si>
  <si>
    <t>A20251020001383</t>
  </si>
  <si>
    <t>A20251020001458</t>
  </si>
  <si>
    <t>A20251020001942</t>
  </si>
  <si>
    <t>A20251020002298</t>
  </si>
  <si>
    <t>A20251020002353</t>
  </si>
  <si>
    <t>A20251020003506</t>
  </si>
  <si>
    <t>A20251020003601</t>
  </si>
  <si>
    <t>A20251021001704</t>
  </si>
  <si>
    <t>A20251021002386</t>
  </si>
  <si>
    <t>A20251021002402</t>
  </si>
  <si>
    <t>A20251021003040</t>
  </si>
  <si>
    <t>A20251021003315</t>
  </si>
  <si>
    <t>A20251021003832</t>
  </si>
  <si>
    <t>A20251021004770</t>
  </si>
  <si>
    <t>A20251021005203</t>
  </si>
  <si>
    <t>A20251021005303</t>
  </si>
  <si>
    <t>A20251021005683</t>
  </si>
  <si>
    <t>A20251021006855</t>
  </si>
  <si>
    <t>A20251021007440</t>
  </si>
  <si>
    <t>A20251022001170</t>
  </si>
  <si>
    <t>A20251022001398</t>
  </si>
  <si>
    <t>A20251022001820</t>
  </si>
  <si>
    <t>A20251022001934</t>
  </si>
  <si>
    <t>A20251022001936</t>
  </si>
  <si>
    <t>A20251022001992</t>
  </si>
  <si>
    <t>A20251022001997</t>
  </si>
  <si>
    <t>A20251022002063</t>
  </si>
  <si>
    <t>A20251022002368</t>
  </si>
  <si>
    <t>A20251022002369</t>
  </si>
  <si>
    <t>A20251022004134</t>
  </si>
  <si>
    <t>A20251023001176</t>
  </si>
  <si>
    <t>A20251023001264</t>
  </si>
  <si>
    <t>A20251023001265</t>
  </si>
  <si>
    <t>A20251023001699</t>
  </si>
  <si>
    <t>A20251023001702</t>
  </si>
  <si>
    <t>A20251023001796</t>
  </si>
  <si>
    <t>A20251023001838</t>
  </si>
  <si>
    <t>A20251023001954</t>
  </si>
  <si>
    <t>A20251023002682</t>
  </si>
  <si>
    <t>A20251023003144</t>
  </si>
  <si>
    <t>A20251023006848</t>
  </si>
  <si>
    <t>A20251024001610</t>
  </si>
  <si>
    <t>A20251024004008</t>
  </si>
  <si>
    <t>A20251024004008C</t>
  </si>
  <si>
    <t>A20251024004011</t>
  </si>
  <si>
    <t>A20251024004011C</t>
  </si>
  <si>
    <t>A20251024004339</t>
  </si>
  <si>
    <t>A20251024004798</t>
  </si>
  <si>
    <t>A20251024005235</t>
  </si>
  <si>
    <t>A20251024006417</t>
  </si>
  <si>
    <t>A20251025001579</t>
  </si>
  <si>
    <t>A20251025002318</t>
  </si>
  <si>
    <t>A20251025002463</t>
  </si>
  <si>
    <t>A20251025002487</t>
  </si>
  <si>
    <t>A20251025002496</t>
  </si>
  <si>
    <t>A20251025002531</t>
  </si>
  <si>
    <t>A20251025002627</t>
  </si>
  <si>
    <t>A20251025003123</t>
  </si>
  <si>
    <t>A20251025004987</t>
  </si>
  <si>
    <t>A20251025004988</t>
  </si>
  <si>
    <t>A20251025004989</t>
  </si>
  <si>
    <t>A20251025005260</t>
  </si>
  <si>
    <t>A20251025006127</t>
  </si>
  <si>
    <t>A20251025006186</t>
  </si>
  <si>
    <t>A20251026000929</t>
  </si>
  <si>
    <t>A20251026001008</t>
  </si>
  <si>
    <t>A20251026001077</t>
  </si>
  <si>
    <t>A20251026001084</t>
  </si>
  <si>
    <t>A20251026001165</t>
  </si>
  <si>
    <t>A20251026001204</t>
  </si>
  <si>
    <t>A20251026001230</t>
  </si>
  <si>
    <t>A20251026001318</t>
  </si>
  <si>
    <t>A20251026001509</t>
  </si>
  <si>
    <t>A20251026001513</t>
  </si>
  <si>
    <t>A20251026001965</t>
  </si>
  <si>
    <t>A20251026003004</t>
  </si>
  <si>
    <t>A20251026003114</t>
  </si>
  <si>
    <t>A20251026003656</t>
  </si>
  <si>
    <t>A20251026003658</t>
  </si>
  <si>
    <t>A20251026004463</t>
  </si>
  <si>
    <t>A20251026004787</t>
  </si>
  <si>
    <t>A20251026004812</t>
  </si>
  <si>
    <t>A20251026004927</t>
  </si>
  <si>
    <t>A20251026005103</t>
  </si>
  <si>
    <t>A20251026006321</t>
  </si>
  <si>
    <t>A20251026006371</t>
  </si>
  <si>
    <t>A20251026006427</t>
  </si>
  <si>
    <t>A20251026007091</t>
  </si>
  <si>
    <t>A20251026007109</t>
  </si>
  <si>
    <t>A20251026007212</t>
  </si>
  <si>
    <t>A2025102600860</t>
  </si>
  <si>
    <t>A20251026008685</t>
  </si>
  <si>
    <t>A20251027000720</t>
  </si>
  <si>
    <t>A20251027000813</t>
  </si>
  <si>
    <t>A20251027001128</t>
  </si>
  <si>
    <t>A20251027002358</t>
  </si>
  <si>
    <t>A20251027002941</t>
  </si>
  <si>
    <t>A20251027003631</t>
  </si>
  <si>
    <t>A20251027003636</t>
  </si>
  <si>
    <t>A20251027003665</t>
  </si>
  <si>
    <t>A20251027003694</t>
  </si>
  <si>
    <t>A20251027004035</t>
  </si>
  <si>
    <t>A20251027004349</t>
  </si>
  <si>
    <t>A20251027005308</t>
  </si>
  <si>
    <t>A20251027005351</t>
  </si>
  <si>
    <t>A20251028001446</t>
  </si>
  <si>
    <t>A20251028001483</t>
  </si>
  <si>
    <t>A20251028001642</t>
  </si>
  <si>
    <t>A20251028001961</t>
  </si>
  <si>
    <t>A20251028002150</t>
  </si>
  <si>
    <t>A20251028003302</t>
  </si>
  <si>
    <t>A20251028004580</t>
  </si>
  <si>
    <t>A20251029001230</t>
  </si>
  <si>
    <t>A20251029003723</t>
  </si>
  <si>
    <t>A20251029004714</t>
  </si>
  <si>
    <t>A20251029004944</t>
  </si>
  <si>
    <t>A20251029004961</t>
  </si>
  <si>
    <t>A20251029006445</t>
  </si>
  <si>
    <t>A20251030000196</t>
  </si>
  <si>
    <t>A20251030000210</t>
  </si>
  <si>
    <t>A20251030000434</t>
  </si>
  <si>
    <t>A20251030000497</t>
  </si>
  <si>
    <t>A20251030000688</t>
  </si>
  <si>
    <t>A20251030001720</t>
  </si>
  <si>
    <t>A20251030001941</t>
  </si>
  <si>
    <t>A20251030001942</t>
  </si>
  <si>
    <t>A20251030002495</t>
  </si>
  <si>
    <t>A20251030002948</t>
  </si>
  <si>
    <t>A20251030003039</t>
  </si>
  <si>
    <t>A20251030003078</t>
  </si>
  <si>
    <t>A20251030003703</t>
  </si>
  <si>
    <t>A20251031001393</t>
  </si>
  <si>
    <t>A20251031002265</t>
  </si>
  <si>
    <t>A20251031002431</t>
  </si>
  <si>
    <t>A20251031002854</t>
  </si>
  <si>
    <t>A20251031003624</t>
  </si>
  <si>
    <t>A20251031005083</t>
  </si>
  <si>
    <t>A20251031005142</t>
  </si>
  <si>
    <t>A20251031005183</t>
  </si>
  <si>
    <t>A20251031005213</t>
  </si>
  <si>
    <t>A20251101002549</t>
  </si>
  <si>
    <t>A20251101002603</t>
  </si>
  <si>
    <t>A20251103001996</t>
  </si>
  <si>
    <t>XSDD250819010C</t>
  </si>
  <si>
    <t>XSDD250819010D</t>
  </si>
  <si>
    <t>XSDD250909002C</t>
  </si>
  <si>
    <t>XSDD251003011</t>
  </si>
  <si>
    <t>XSDD251007001</t>
  </si>
  <si>
    <t>XSDD251008006</t>
  </si>
  <si>
    <t>XSDD251009048</t>
  </si>
  <si>
    <t>XSDD251009050</t>
  </si>
  <si>
    <t>XSDD251010025</t>
  </si>
  <si>
    <t>XSDD251010026</t>
  </si>
  <si>
    <t>XSDD251011005</t>
  </si>
  <si>
    <t>XSDD251011006</t>
  </si>
  <si>
    <t>XSDD251011008</t>
  </si>
  <si>
    <t>XSDD251011014</t>
  </si>
  <si>
    <t>XSDD251013010</t>
  </si>
  <si>
    <t>XSDD251013019</t>
  </si>
  <si>
    <t>XSDD251014018</t>
  </si>
  <si>
    <t>XSDD251014020</t>
  </si>
  <si>
    <t>XSDD251015002</t>
  </si>
  <si>
    <t>XSDD251015031</t>
  </si>
  <si>
    <t>XSDD251016014</t>
  </si>
  <si>
    <t>XSDD251016017</t>
  </si>
  <si>
    <t>XSDD251017013</t>
  </si>
  <si>
    <t>XSDD251017015</t>
  </si>
  <si>
    <t>XSDD251017019</t>
  </si>
  <si>
    <t>XSDD251020008</t>
  </si>
  <si>
    <t>XSDD251020019</t>
  </si>
  <si>
    <t>XSDD251020024</t>
  </si>
  <si>
    <t>XSDD251021012</t>
  </si>
  <si>
    <t>XSDD251022011</t>
  </si>
  <si>
    <t>XSDD251022017</t>
  </si>
  <si>
    <t>XSDD251022018</t>
  </si>
  <si>
    <t>XSDD251022030</t>
  </si>
  <si>
    <t>XSDD251023015</t>
  </si>
  <si>
    <t>XSDD251023017</t>
  </si>
  <si>
    <t>XSDD251024015</t>
  </si>
  <si>
    <t>XSDD251024019</t>
  </si>
  <si>
    <t>XSDD251024020</t>
  </si>
  <si>
    <t>XSDD251024021</t>
  </si>
  <si>
    <t>XSDD251025017</t>
  </si>
  <si>
    <t>XSDD251025018</t>
  </si>
  <si>
    <t>XSDD251026004</t>
  </si>
  <si>
    <t>XSDD251026005</t>
  </si>
  <si>
    <t>XSDD251027018</t>
  </si>
  <si>
    <t>XSDD251027041</t>
  </si>
  <si>
    <t>XSDD251027044</t>
  </si>
  <si>
    <t>XSDD251028009</t>
  </si>
  <si>
    <t>XSDD251028013</t>
  </si>
  <si>
    <t>XSDD251028016</t>
  </si>
  <si>
    <t>XSDD251028017</t>
  </si>
  <si>
    <t>XSDD251028018</t>
  </si>
  <si>
    <t>XSDD251028019</t>
  </si>
  <si>
    <t>XSDD251028026</t>
  </si>
  <si>
    <t>XSDD251030005</t>
  </si>
  <si>
    <t>XSDD251030006</t>
  </si>
  <si>
    <t>XSDD251030007</t>
  </si>
  <si>
    <t>XSDD251030013</t>
  </si>
  <si>
    <t>XSDD251031007</t>
  </si>
  <si>
    <t>XSDD251031011</t>
  </si>
  <si>
    <t>XSDD251031017</t>
  </si>
  <si>
    <t>XSDD251031028</t>
  </si>
  <si>
    <t>XSDD251031031</t>
  </si>
  <si>
    <t>(空白)</t>
  </si>
  <si>
    <t>总计</t>
  </si>
  <si>
    <t>往来单位</t>
  </si>
  <si>
    <t>收款</t>
  </si>
  <si>
    <t>退款</t>
  </si>
  <si>
    <t>实际</t>
  </si>
  <si>
    <t>销管部</t>
  </si>
  <si>
    <t xml:space="preserve"> 二轻专卖店以旧换新</t>
  </si>
  <si>
    <t>（新）滨江第六空间专卖店</t>
  </si>
  <si>
    <t>:衢州市柯城汇鑫家用电器商行以旧换新</t>
  </si>
  <si>
    <t>艾欧史密斯（中国）水系统有限公司</t>
  </si>
  <si>
    <t>贝壳美家供应链管理（浙江）有限责任公司</t>
  </si>
  <si>
    <t>滨江六空8090店</t>
  </si>
  <si>
    <t>杭州恒大建材超级旗舰店</t>
  </si>
  <si>
    <t>杭州红星美凯龙一号店</t>
  </si>
  <si>
    <t>杭州宏信机电有限公司</t>
  </si>
  <si>
    <t>杭州华东家电市场铁人电器商行</t>
  </si>
  <si>
    <t>杭州金蝶零售</t>
  </si>
  <si>
    <t>杭州临安一栋电器有限公司</t>
  </si>
  <si>
    <t>杭州临平江南家居专卖店</t>
  </si>
  <si>
    <t>杭州瑞艾工程技术服务有限公司</t>
  </si>
  <si>
    <t>杭州兴达京昀电器有限公司</t>
  </si>
  <si>
    <t>杭州允选科技有限公司</t>
  </si>
  <si>
    <t>杭州中博智能电器有限公司</t>
  </si>
  <si>
    <t>杭州中瑞工程技术有限公司</t>
  </si>
  <si>
    <t>杭州装家百科电器有限公司</t>
  </si>
  <si>
    <t>湖州金蝶零售</t>
  </si>
  <si>
    <t>湖州浙北大厦家电有限公司</t>
  </si>
  <si>
    <t>湖州浙北网格家电有限公司</t>
  </si>
  <si>
    <t>嘉兴艾通电器有限公司</t>
  </si>
  <si>
    <t>金华龙腾建材市场专卖店</t>
  </si>
  <si>
    <t>金华一启家电有限公司</t>
  </si>
  <si>
    <t>京东五星电器集团宁波电器有限公司（台州）</t>
  </si>
  <si>
    <t>兰溪市泽胜电器有限公司</t>
  </si>
  <si>
    <t>衢州市柯城汇鑫家用电器商行</t>
  </si>
  <si>
    <t>绍兴晨涛电器有限公司</t>
  </si>
  <si>
    <t>史密斯官方商城</t>
  </si>
  <si>
    <t>台州中嘉电器有限公司</t>
  </si>
  <si>
    <t>桐庐佳尼特水处理设备有限公司</t>
  </si>
  <si>
    <t>温州吉远电器有限公司</t>
  </si>
  <si>
    <t>无人认领</t>
  </si>
  <si>
    <t>萧山第六空间专卖店</t>
  </si>
  <si>
    <t>萧山汇德隆家电超市</t>
  </si>
  <si>
    <t>萧山汇德隆净水</t>
  </si>
  <si>
    <t>义乌颖亿贸易有限公司</t>
  </si>
  <si>
    <t>永康市荣浪家用电器有限公司</t>
  </si>
  <si>
    <t>浙江都都装饰有限公司</t>
  </si>
  <si>
    <t>浙江普农家电有限公司</t>
  </si>
  <si>
    <t>自营以旧换新特别账户</t>
  </si>
  <si>
    <t>单据类型</t>
  </si>
  <si>
    <t>单据编号</t>
  </si>
  <si>
    <t>客户所属区域</t>
  </si>
  <si>
    <t>业务日期</t>
  </si>
  <si>
    <t>往来单位类型</t>
  </si>
  <si>
    <t>付款单位类型</t>
  </si>
  <si>
    <t>币别</t>
  </si>
  <si>
    <t>表头-应收金额</t>
  </si>
  <si>
    <t>表头-实收金额</t>
  </si>
  <si>
    <t>结算组织</t>
  </si>
  <si>
    <t>部门</t>
  </si>
  <si>
    <t>销售组织</t>
  </si>
  <si>
    <t>销售部门</t>
  </si>
  <si>
    <t>销售组</t>
  </si>
  <si>
    <t>收款金额</t>
  </si>
  <si>
    <t>销售员</t>
  </si>
  <si>
    <t>本位币</t>
  </si>
  <si>
    <t>汇率类型</t>
  </si>
  <si>
    <t>汇率</t>
  </si>
  <si>
    <t>表头-应收金额本位币</t>
  </si>
  <si>
    <t>表头-实收金额本位币</t>
  </si>
  <si>
    <t>会计核算体系</t>
  </si>
  <si>
    <t>核销状态</t>
  </si>
  <si>
    <t>长短款本位币</t>
  </si>
  <si>
    <t>业务类型</t>
  </si>
  <si>
    <t>信用检查结果</t>
  </si>
  <si>
    <t>结算方式</t>
  </si>
  <si>
    <t>收款用途</t>
  </si>
  <si>
    <t>预收项目类型</t>
  </si>
  <si>
    <t>结算汇率</t>
  </si>
  <si>
    <t>预收销售订单</t>
  </si>
  <si>
    <t>表体-应收金额</t>
  </si>
  <si>
    <t>现金折扣</t>
  </si>
  <si>
    <t>表头-收款金额本位币</t>
  </si>
  <si>
    <t>折后金额</t>
  </si>
  <si>
    <t>手续费</t>
  </si>
  <si>
    <t>长短款</t>
  </si>
  <si>
    <t>表体-实收金额</t>
  </si>
  <si>
    <t>我方账户名称</t>
  </si>
  <si>
    <t>是否期初单据</t>
  </si>
  <si>
    <t>我方开户行</t>
  </si>
  <si>
    <t>来源系统</t>
  </si>
  <si>
    <t>对方开户行</t>
  </si>
  <si>
    <t>付款单位</t>
  </si>
  <si>
    <t>结算号</t>
  </si>
  <si>
    <t>对方银行账号</t>
  </si>
  <si>
    <t>对方账户名称</t>
  </si>
  <si>
    <t>现金折扣本位币</t>
  </si>
  <si>
    <t>折后金额本位币</t>
  </si>
  <si>
    <t xml:space="preserve">现销 </t>
  </si>
  <si>
    <t>我方银行账号</t>
  </si>
  <si>
    <t>表体-应收金额本位币</t>
  </si>
  <si>
    <t>备注</t>
  </si>
  <si>
    <t>勾对</t>
  </si>
  <si>
    <t>关联总金额</t>
  </si>
  <si>
    <t>表体明细-核销状态</t>
  </si>
  <si>
    <t>表体明细-已核销金额</t>
  </si>
  <si>
    <t>手续费本位币</t>
  </si>
  <si>
    <t>表体-实收金额本位币</t>
  </si>
  <si>
    <t>单据状态</t>
  </si>
  <si>
    <t>创建人</t>
  </si>
  <si>
    <t>修改人</t>
  </si>
  <si>
    <t>审核人</t>
  </si>
  <si>
    <t>创建日期</t>
  </si>
  <si>
    <t>修改日期</t>
  </si>
  <si>
    <t>审核日期</t>
  </si>
  <si>
    <t>作废人</t>
  </si>
  <si>
    <t>作废日期</t>
  </si>
  <si>
    <t>作废状态</t>
  </si>
  <si>
    <t>内部账号</t>
  </si>
  <si>
    <t>内部账户名称</t>
  </si>
  <si>
    <t>现金账号</t>
  </si>
  <si>
    <t>收款组织</t>
  </si>
  <si>
    <t>退款关联金额</t>
  </si>
  <si>
    <t>保证金转货款金额</t>
  </si>
  <si>
    <t>结算币别</t>
  </si>
  <si>
    <t>B2C业务</t>
  </si>
  <si>
    <t>登账日期</t>
  </si>
  <si>
    <t>是否登账</t>
  </si>
  <si>
    <t>物料编码</t>
  </si>
  <si>
    <t>物料名称</t>
  </si>
  <si>
    <t>订单行号</t>
  </si>
  <si>
    <t>是否转销</t>
  </si>
  <si>
    <t>核销方式</t>
  </si>
  <si>
    <t>扫描点</t>
  </si>
  <si>
    <t>已核销金额本位币</t>
  </si>
  <si>
    <t>第三方单据编号</t>
  </si>
  <si>
    <t>结算本位币</t>
  </si>
  <si>
    <t>结算汇率类型</t>
  </si>
  <si>
    <t>POS参考号</t>
  </si>
  <si>
    <t>收据号码</t>
  </si>
  <si>
    <t>公司提单号</t>
  </si>
  <si>
    <t>收款来源</t>
  </si>
  <si>
    <t>客户分组</t>
  </si>
  <si>
    <t>安装/维修工单号</t>
  </si>
  <si>
    <t>销售订单号(核销)</t>
  </si>
  <si>
    <t>凭小票</t>
  </si>
  <si>
    <t>复核日期</t>
  </si>
  <si>
    <t>复核状态</t>
  </si>
  <si>
    <t>复核人</t>
  </si>
  <si>
    <t>核对标识</t>
  </si>
  <si>
    <t>师傅姓名</t>
  </si>
  <si>
    <t>已转账金额</t>
  </si>
  <si>
    <t>转账状态</t>
  </si>
  <si>
    <t>费用承担部门</t>
  </si>
  <si>
    <t>公司承担减免金额</t>
  </si>
  <si>
    <t>AO承担减免金额</t>
  </si>
  <si>
    <t>费用项目</t>
  </si>
  <si>
    <t>商场对账单号</t>
  </si>
  <si>
    <t>采暖合同编号</t>
  </si>
  <si>
    <t>用户姓名(单据头)</t>
  </si>
  <si>
    <t>用户手机(单据头)</t>
  </si>
  <si>
    <t>其他号码(单据头)</t>
  </si>
  <si>
    <t>门店承担费用</t>
  </si>
  <si>
    <t>费用承担门店（非挂账)</t>
  </si>
  <si>
    <t>费用承担员工(非挂账)</t>
  </si>
  <si>
    <t>员工承担费用</t>
  </si>
  <si>
    <t>结算人员备注</t>
  </si>
  <si>
    <t>现款现货收款单</t>
  </si>
  <si>
    <t>SKD250930106</t>
  </si>
  <si>
    <t>杭州</t>
  </si>
  <si>
    <t>2025/10/9</t>
  </si>
  <si>
    <t>客户</t>
  </si>
  <si>
    <t>人民币</t>
  </si>
  <si>
    <t>杭州中冠电器有限公司</t>
  </si>
  <si>
    <t>杭州大区</t>
  </si>
  <si>
    <t>吴红玉</t>
  </si>
  <si>
    <t>固定汇率</t>
  </si>
  <si>
    <t>完全</t>
  </si>
  <si>
    <t>销售业务</t>
  </si>
  <si>
    <t>信用正常</t>
  </si>
  <si>
    <t>转账</t>
  </si>
  <si>
    <t>预收款</t>
  </si>
  <si>
    <t>销售订单</t>
  </si>
  <si>
    <t>否</t>
  </si>
  <si>
    <t>中信银行杭州钱江支行</t>
  </si>
  <si>
    <t>手工新增</t>
  </si>
  <si>
    <t>7331710182200026317</t>
  </si>
  <si>
    <t>已审核</t>
  </si>
  <si>
    <t>陈联</t>
  </si>
  <si>
    <t>桑玲</t>
  </si>
  <si>
    <t>2025/9/30</t>
  </si>
  <si>
    <t>2025-10-17 09:18:50</t>
  </si>
  <si>
    <t>2025-09-30 12:53:56</t>
  </si>
  <si>
    <t>是</t>
  </si>
  <si>
    <t>RQRS.00006</t>
  </si>
  <si>
    <t>JSQ31-CLD燃气快速热水器</t>
  </si>
  <si>
    <t>9.30刷卡3359元（2855.15+补贴503.85元）【用户姓名:廖永芳；用户手机:13777883190；其他号码: 】</t>
  </si>
  <si>
    <t>杭州地区客户</t>
  </si>
  <si>
    <t>未关闭</t>
  </si>
  <si>
    <t>廖永芳</t>
  </si>
  <si>
    <t>13777883190</t>
  </si>
  <si>
    <t>SKD250930107</t>
  </si>
  <si>
    <t>政府以旧换新中转银行</t>
  </si>
  <si>
    <t>9999999</t>
  </si>
  <si>
    <t>2025-09-30 11:31:23</t>
  </si>
  <si>
    <t>2025-09-30 12:54:11</t>
  </si>
  <si>
    <t>SKD250930109</t>
  </si>
  <si>
    <t>葛   芬</t>
  </si>
  <si>
    <t>2025-10-17 09:19:21</t>
  </si>
  <si>
    <t>2025-09-30 12:56:06</t>
  </si>
  <si>
    <t>DRSQ.00060</t>
  </si>
  <si>
    <t>CEWH-60D5Wi储水式热水器</t>
  </si>
  <si>
    <t>9.30刷卡3279元（2623.2元+补贴655.8元）【用户姓名：吴璐瑶】【用户姓名:吴璐瑶；用户手机:18757218931；其他号码: 】</t>
  </si>
  <si>
    <t>杭州-主城</t>
  </si>
  <si>
    <t>吴璐瑶</t>
  </si>
  <si>
    <t>18757218931</t>
  </si>
  <si>
    <t>SKD250930111</t>
  </si>
  <si>
    <t>葛芬</t>
  </si>
  <si>
    <t>2025-09-30 11:01:08</t>
  </si>
  <si>
    <t>2025-09-30 12:56:35</t>
  </si>
  <si>
    <t>SKD250930134</t>
  </si>
  <si>
    <t>2025-10-17 09:19:56</t>
  </si>
  <si>
    <t>2025-09-30 12:57:26</t>
  </si>
  <si>
    <t>SXX(G.00003</t>
  </si>
  <si>
    <t>洗衣机XQG100-XE0WI</t>
  </si>
  <si>
    <t>9.30刷卡5999元（4799.2元+补贴1199.8元）【用户姓名：田昆明】【用户姓名:田昆明；用户手机:13958183811；其他号码: 】</t>
  </si>
  <si>
    <t>田昆明</t>
  </si>
  <si>
    <t>13958183811</t>
  </si>
  <si>
    <t>SKD250930136</t>
  </si>
  <si>
    <t>2025-09-30 11:19:53</t>
  </si>
  <si>
    <t>2025-09-30 12:57:43</t>
  </si>
  <si>
    <t>SKD250930225</t>
  </si>
  <si>
    <t>2025-10-07 09:43:51</t>
  </si>
  <si>
    <t>2025-10-07 09:43:52</t>
  </si>
  <si>
    <t>9.30刷卡3359元（2855.15+补贴503.85元）【用户姓名:王静涵；用户手机:15990178595；其他号码: 】</t>
  </si>
  <si>
    <t>王静涵</t>
  </si>
  <si>
    <t>15990178595</t>
  </si>
  <si>
    <t>SKD250930227</t>
  </si>
  <si>
    <t>2025-09-30 15:35:08</t>
  </si>
  <si>
    <t>2025-10-07 09:44:01</t>
  </si>
  <si>
    <t>销售收款单</t>
  </si>
  <si>
    <t>SKD250930231</t>
  </si>
  <si>
    <t>2025/10/1</t>
  </si>
  <si>
    <t>罗清</t>
  </si>
  <si>
    <t>部分</t>
  </si>
  <si>
    <t>销售收款</t>
  </si>
  <si>
    <t>2025年10月林骞结算(换新1）</t>
  </si>
  <si>
    <t>毛银萍</t>
  </si>
  <si>
    <t>2025-10-07 09:45:20</t>
  </si>
  <si>
    <t>2025-10-07 09:45:21</t>
  </si>
  <si>
    <t>2025年10月1日中信银行收款【用户姓名:2025年10月结算(换新1-4）；用户手机: ；其他号码: 】</t>
  </si>
  <si>
    <t>2025年10月结算(换新1-4）</t>
  </si>
  <si>
    <t>2025年10月客户结算(换新2）</t>
  </si>
  <si>
    <t>空</t>
  </si>
  <si>
    <t>2025年10月吴际华结算(换新3）</t>
  </si>
  <si>
    <t>2025年10月钱冰结算(换新4）</t>
  </si>
  <si>
    <t>SKD251001016</t>
  </si>
  <si>
    <t>2025-10-07 09:23:52</t>
  </si>
  <si>
    <t>2025-10-02 12:41:01</t>
  </si>
  <si>
    <t>DR.00103</t>
  </si>
  <si>
    <t>EWH-60DA储水式电热水器</t>
  </si>
  <si>
    <t>10.1刷卡3739元(2991.2元+补贴747.8元）【用户姓名：钱江】【用户姓名:钱江；用户手机:15381018947；其他号码: 】</t>
  </si>
  <si>
    <t>钱江</t>
  </si>
  <si>
    <t>15381018947</t>
  </si>
  <si>
    <t>SKD251001018</t>
  </si>
  <si>
    <t>2025-10-01 13:43:52</t>
  </si>
  <si>
    <t>2025-10-02 12:41:11</t>
  </si>
  <si>
    <t>SKD251001020</t>
  </si>
  <si>
    <t>2025-10-07 09:24:21</t>
  </si>
  <si>
    <t>2025-10-02 12:41:22</t>
  </si>
  <si>
    <t>DRSQ.00070</t>
  </si>
  <si>
    <t>CEWH-60D1BWi储水式热水器</t>
  </si>
  <si>
    <t>10.1刷卡2800元(2240元+补贴560元）【用户姓名：洪二香】【用户姓名:洪二香；用户手机:13738157701；其他号码: 】</t>
  </si>
  <si>
    <t>洪二香</t>
  </si>
  <si>
    <t>13738157701</t>
  </si>
  <si>
    <t>SKD251001021</t>
  </si>
  <si>
    <t>2025-10-01 14:21:40</t>
  </si>
  <si>
    <t>2025-10-02 12:41:56</t>
  </si>
  <si>
    <t>SKD251002016</t>
  </si>
  <si>
    <t>徐美娟</t>
  </si>
  <si>
    <t>杭州中冠电器有限公司支付宝</t>
  </si>
  <si>
    <t>hzzgcw@163.com</t>
  </si>
  <si>
    <t>2025/10/2</t>
  </si>
  <si>
    <t>2025-10-02 12:43:47</t>
  </si>
  <si>
    <t>2025-10-02 12:44:05</t>
  </si>
  <si>
    <t>DRSQ.00026</t>
  </si>
  <si>
    <t xml:space="preserve">  EWH-60HGCWi薄型电热水器  </t>
  </si>
  <si>
    <t>10.1号王旭支付宝转账4399元【用户姓名:王旭；用户手机:15157146987；其他号码: 】</t>
  </si>
  <si>
    <t>杭州-萧山</t>
  </si>
  <si>
    <t>王旭</t>
  </si>
  <si>
    <t>15157146987</t>
  </si>
  <si>
    <t>2025100122001464461405582215</t>
  </si>
  <si>
    <t>SKD251002032</t>
  </si>
  <si>
    <t>金华</t>
  </si>
  <si>
    <t>金华办事处</t>
  </si>
  <si>
    <t>潘杏</t>
  </si>
  <si>
    <t>扫码牌</t>
  </si>
  <si>
    <t>周琴</t>
  </si>
  <si>
    <t>2025-10-02 12:47:37</t>
  </si>
  <si>
    <t>2025-10-02 12:48:11</t>
  </si>
  <si>
    <t>RQRS.00050</t>
  </si>
  <si>
    <t>JSW31-VOSWi燃气热水器（含排烟组件总成403879-079）</t>
  </si>
  <si>
    <t>10.1号扫码支付4059【用户姓名:诸葛伟；用户手机:15258992858；其他号码: 】</t>
  </si>
  <si>
    <t>金华-主城</t>
  </si>
  <si>
    <t>诸葛伟</t>
  </si>
  <si>
    <t>15258992858</t>
  </si>
  <si>
    <t>SKD251002033</t>
  </si>
  <si>
    <t>2025/10/3</t>
  </si>
  <si>
    <t>2025-10-07 09:25:24</t>
  </si>
  <si>
    <t>2025-10-03 14:57:42</t>
  </si>
  <si>
    <t>DRSQ.00039</t>
  </si>
  <si>
    <t>CEWH-100KWi电热水器</t>
  </si>
  <si>
    <t>10.2扫码支付3599【用户姓名:林爱花；用户手机:13857981322；其他号码: 】</t>
  </si>
  <si>
    <t>林爱花</t>
  </si>
  <si>
    <t>13857981322</t>
  </si>
  <si>
    <t>SKD251002034</t>
  </si>
  <si>
    <t>江雯</t>
  </si>
  <si>
    <t>李扬-金华</t>
  </si>
  <si>
    <t>中国建设银行股份有限公司金华经济开发区支行</t>
  </si>
  <si>
    <t>4367421460407338728</t>
  </si>
  <si>
    <t>王小婷</t>
  </si>
  <si>
    <t>2025-10-02 13:04:23</t>
  </si>
  <si>
    <t>2025-10-03 14:55:29</t>
  </si>
  <si>
    <t>10.2金华建行2360【用户姓名:郑星；用户手机: ；其他号码: 】</t>
  </si>
  <si>
    <t>衢州-主城</t>
  </si>
  <si>
    <t>郑星</t>
  </si>
  <si>
    <t>SKD251002077</t>
  </si>
  <si>
    <t>2025-10-02 15:09:04</t>
  </si>
  <si>
    <t>2025-10-03 14:49:21</t>
  </si>
  <si>
    <t>YSJ.00056</t>
  </si>
  <si>
    <t>APM-HC1 管线机</t>
  </si>
  <si>
    <t>10.2支付宝2071元【用户姓名:张艳佳；用户手机:18357002327；其他号码: 】</t>
  </si>
  <si>
    <t>张艳佳</t>
  </si>
  <si>
    <t>18357002327</t>
  </si>
  <si>
    <t>'2025100222001400021430908377</t>
  </si>
  <si>
    <t>SKD251002078</t>
  </si>
  <si>
    <t>2025-10-03 10:33:47</t>
  </si>
  <si>
    <t>2025-10-03 14:49:04</t>
  </si>
  <si>
    <t>10.2支付宝3439元【用户姓名:吴苏萍；用户手机:13666640691；其他号码: 】</t>
  </si>
  <si>
    <t>吴苏萍</t>
  </si>
  <si>
    <t>13666640691</t>
  </si>
  <si>
    <t>2025100222001431571449156527</t>
  </si>
  <si>
    <t>SKD251003058</t>
  </si>
  <si>
    <t>2025-10-07 09:46:14</t>
  </si>
  <si>
    <t>10.2扫码付3439元【用户姓名:吴苏萍；用户手机:13666640691；其他号码: 】</t>
  </si>
  <si>
    <t>SKD251003063</t>
  </si>
  <si>
    <t>2025-10-03 10:38:21</t>
  </si>
  <si>
    <t>2025-10-03 14:48:41</t>
  </si>
  <si>
    <t>DRSQ.00027</t>
  </si>
  <si>
    <t xml:space="preserve"> EWH-80HGCWi薄型电热水器</t>
  </si>
  <si>
    <t>10.2支付宝5220元【用户姓名:郑笑平；用户手机:13575840935；其他号码: 】</t>
  </si>
  <si>
    <t>郑笑平</t>
  </si>
  <si>
    <t>13575840935</t>
  </si>
  <si>
    <t>'2025100222001431511430156610</t>
  </si>
  <si>
    <t>SKD251003091</t>
  </si>
  <si>
    <t>2025-10-07 09:26:43</t>
  </si>
  <si>
    <t>2025-10-03 14:50:55</t>
  </si>
  <si>
    <t>DRSQ.00067</t>
  </si>
  <si>
    <t>CEWH-60D1Wi储水电热水器</t>
  </si>
  <si>
    <t>10.1刷卡3076元（2460.8+补贴615.20元）【用户姓名:李冬梅；用户手机:13705719928；其他号码: 】</t>
  </si>
  <si>
    <t>李冬梅</t>
  </si>
  <si>
    <t>13705719928</t>
  </si>
  <si>
    <t>SKD251003092</t>
  </si>
  <si>
    <t>2025-10-03 11:00:29</t>
  </si>
  <si>
    <t>2025-10-03 14:51:18</t>
  </si>
  <si>
    <t>SKD251003135</t>
  </si>
  <si>
    <t>2025-10-07 09:28:05</t>
  </si>
  <si>
    <t>2025-10-07 09:28:06</t>
  </si>
  <si>
    <t>10.3支付宝转账3639元（用户名 王旭东）【用户姓名:王旭东；用户手机:13750837396；其他号码: 】</t>
  </si>
  <si>
    <t>王旭东</t>
  </si>
  <si>
    <t>13750837396</t>
  </si>
  <si>
    <t>2025100322001459741433588445</t>
  </si>
  <si>
    <t>SKD251003136</t>
  </si>
  <si>
    <t>2025-10-03 13:21:40</t>
  </si>
  <si>
    <t>2025-10-03 14:45:23</t>
  </si>
  <si>
    <t>10.3支付宝2591元【用户姓名:金丽敏；用户手机:13335710581；其他号码: 】</t>
  </si>
  <si>
    <t>金丽敏</t>
  </si>
  <si>
    <t>13335710581</t>
  </si>
  <si>
    <t>'2025100322001453241419896070</t>
  </si>
  <si>
    <t>SKD251003149</t>
  </si>
  <si>
    <t>2025-10-07 09:35:42</t>
  </si>
  <si>
    <t>2025-10-06 14:23:59</t>
  </si>
  <si>
    <t>YSJ.00042</t>
  </si>
  <si>
    <t>R1700FWi饮水机</t>
  </si>
  <si>
    <t>10.2刷卡3636元（2908.8+补贴727.20元）【用户姓名:张艳佳；用户手机:18357002327；其他号码: 】</t>
  </si>
  <si>
    <t>SKD251003150</t>
  </si>
  <si>
    <t>2025-10-03 14:55:28</t>
  </si>
  <si>
    <t>2025-10-06 14:24:13</t>
  </si>
  <si>
    <t>SKD251003152</t>
  </si>
  <si>
    <t>湖州</t>
  </si>
  <si>
    <t>湖州办事处</t>
  </si>
  <si>
    <t>陈中元</t>
  </si>
  <si>
    <t>2025-10-03 15:35:22</t>
  </si>
  <si>
    <t>2025-10-03 15:38:27</t>
  </si>
  <si>
    <t>RQRS.00009</t>
  </si>
  <si>
    <t>JSQ31-CSCAi燃气快速热水器通用</t>
  </si>
  <si>
    <t>10.3转账4481元【用户姓名:湖州中太芯猫科技有限公司；用户手机:1315725269；其他号码: 】</t>
  </si>
  <si>
    <t>湖州-主城</t>
  </si>
  <si>
    <t>湖州中太芯猫科技有限公司</t>
  </si>
  <si>
    <t>1315725269</t>
  </si>
  <si>
    <t>SKD251003153</t>
  </si>
  <si>
    <t>2025-10-03 15:51:44</t>
  </si>
  <si>
    <t>2025-10-03 15:52:39</t>
  </si>
  <si>
    <t>YSJ.00013</t>
  </si>
  <si>
    <t>DR1800HF2Ai反渗透净水机</t>
  </si>
  <si>
    <t>10.3支付宝6365元【用户姓名:陈海军；用户手机:13616539181；其他号码: 】</t>
  </si>
  <si>
    <t>陈海军</t>
  </si>
  <si>
    <t>13616539181</t>
  </si>
  <si>
    <t>2025100322001438391430215115</t>
  </si>
  <si>
    <t>SKD251004017</t>
  </si>
  <si>
    <t>2025/10/4</t>
  </si>
  <si>
    <t>2025-10-07 09:36:15</t>
  </si>
  <si>
    <t>2025-10-06 12:53:16</t>
  </si>
  <si>
    <t>YSJ.00040</t>
  </si>
  <si>
    <t>R2000FWi饮水机</t>
  </si>
  <si>
    <t>10.3刷卡4647元(3717.6元+补贴929.4元）（用户名 刘利）【用户姓名:刘利；用户手机:15268117016；其他号码: 】</t>
  </si>
  <si>
    <t>刘利</t>
  </si>
  <si>
    <t>15268117016</t>
  </si>
  <si>
    <t>SKD251004018</t>
  </si>
  <si>
    <t>2025-10-04 11:52:01</t>
  </si>
  <si>
    <t>2025-10-06 12:53:31</t>
  </si>
  <si>
    <t>SKD251004050</t>
  </si>
  <si>
    <t>余亚炜</t>
  </si>
  <si>
    <t>2025-10-04 14:54:45</t>
  </si>
  <si>
    <t>2025-10-06 12:54:03</t>
  </si>
  <si>
    <t>YYJ.00008</t>
  </si>
  <si>
    <t>CXW-200-Q3AWi易清洁顶侧双吸油烟机</t>
  </si>
  <si>
    <t>10.4扫码转支付宝5000元【用户姓名:徐广东；用户手机:13683762291；其他号码: 】</t>
  </si>
  <si>
    <t>杭州-余杭</t>
  </si>
  <si>
    <t>徐广东</t>
  </si>
  <si>
    <t>13683762291</t>
  </si>
  <si>
    <t>2025100422001497631442263144</t>
  </si>
  <si>
    <t>SKD251004086</t>
  </si>
  <si>
    <t>2025年10月用户结算(换新5）</t>
  </si>
  <si>
    <t>2025-10-07 09:47:48</t>
  </si>
  <si>
    <t>2025-10-07 09:47:49</t>
  </si>
  <si>
    <t>2025年10月2日中信银行收款【用户姓名:2025年10月结算(换新5-10）；用户手机: ；其他号码: 】</t>
  </si>
  <si>
    <t>2025年10月结算(换新5-10）</t>
  </si>
  <si>
    <t>2025年10月客户结算(换新6）</t>
  </si>
  <si>
    <t>2025年10月唐宇魁结算(换新7）</t>
  </si>
  <si>
    <t>2025年10月侯新波结算(换新8）</t>
  </si>
  <si>
    <t>2025年10月徐露莎结算(换新9）</t>
  </si>
  <si>
    <t>2025年10月徐晓单结算(换新10）</t>
  </si>
  <si>
    <t>SKD251004087</t>
  </si>
  <si>
    <t>2025年10月潘结算(换新11）</t>
  </si>
  <si>
    <t>2025-10-07 09:49:21</t>
  </si>
  <si>
    <t>2025-10-07 09:49:22</t>
  </si>
  <si>
    <t>2025年10月3日中信银行收款【用户姓名:2025年10月结算(换新11-16）；用户手机: ；其他号码: 】</t>
  </si>
  <si>
    <t>2025年10月结算(换新11-16）</t>
  </si>
  <si>
    <t>2025年10月徐耀萍结算(换新12）</t>
  </si>
  <si>
    <t>2025年10月吴凤燕结算(换新13）</t>
  </si>
  <si>
    <t>2025年10月王总结算(换新14）</t>
  </si>
  <si>
    <t>2025年10月客户结算(换新15）</t>
  </si>
  <si>
    <t>2025年10月陆先生结算(换新16）</t>
  </si>
  <si>
    <t>SKD251004088</t>
  </si>
  <si>
    <t>2025年10月古祥结算(换新17）</t>
  </si>
  <si>
    <t>2025-10-07 09:51:38</t>
  </si>
  <si>
    <t>2025-10-07 09:51:39</t>
  </si>
  <si>
    <t>2025年10月4日中信银行收款【用户姓名:2025年10月结算(换新17-24）；用户手机: ；其他号码: 】</t>
  </si>
  <si>
    <t>2025年10月结算(换新17-24）</t>
  </si>
  <si>
    <t>2025年10月楼静洁结算(换新18）</t>
  </si>
  <si>
    <t>2025年10月杨惠民结算(换新19）</t>
  </si>
  <si>
    <t>2025年10月刘小芬结算(换新20）</t>
  </si>
  <si>
    <t>2025年10月潘先生结算(换新21）</t>
  </si>
  <si>
    <t>2025年10月袁秋燕结算(换新22）</t>
  </si>
  <si>
    <t>2025年10月徐效结算(换新23）</t>
  </si>
  <si>
    <t>2025年10月徐倩结算(换新24）</t>
  </si>
  <si>
    <t>SKD251004089</t>
  </si>
  <si>
    <t>2025/10/5</t>
  </si>
  <si>
    <t>2025年10月虎风结算(换新25）</t>
  </si>
  <si>
    <t>2025-10-07 09:54:16</t>
  </si>
  <si>
    <t>2025-10-07 09:54:17</t>
  </si>
  <si>
    <t>2025年10月5日中信银行收款【用户姓名:2025年10月结算(换新25-31）；用户手机: ；其他号码: 】</t>
  </si>
  <si>
    <t>2025年10月结算(换新25-31）</t>
  </si>
  <si>
    <t>2025年10月吴小萍结算(换新26）</t>
  </si>
  <si>
    <t>2025年10月陈星结算(换新27）</t>
  </si>
  <si>
    <t>2025年10月冯新结算(换新28）</t>
  </si>
  <si>
    <t>2025年10月陆丽伟结算(换新29）</t>
  </si>
  <si>
    <t>2025年10月吴军结算(换新30）</t>
  </si>
  <si>
    <t>2025年10月用户结算(换新31）</t>
  </si>
  <si>
    <t>SKD251004090</t>
  </si>
  <si>
    <t>2025/10/6</t>
  </si>
  <si>
    <t>2025年10月客户结算(换新32）</t>
  </si>
  <si>
    <t>2025-10-07 15:20:36</t>
  </si>
  <si>
    <t>2025-10-07 15:20:38</t>
  </si>
  <si>
    <t>2025年10月6日中信银行收款【用户姓名:2025年10月结算(换新32-34）；用户手机: ；其他号码: 】</t>
  </si>
  <si>
    <t>2025年10月结算(换新32-34）</t>
  </si>
  <si>
    <t>2025年10月白希来结算(换新33）</t>
  </si>
  <si>
    <t>2025年10月戴女士结算(换新34）</t>
  </si>
  <si>
    <t>SKD251005062</t>
  </si>
  <si>
    <t>2025-10-07 09:38:46</t>
  </si>
  <si>
    <t>2025-10-06 12:54:42</t>
  </si>
  <si>
    <t>10.4刷卡5019元(4015.2元+补贴1003.8元）（用户名 冯泽英）【用户姓名:冯泽英；用户手机:13094805606；其他号码: 】</t>
  </si>
  <si>
    <t>冯泽英</t>
  </si>
  <si>
    <t>13094805606</t>
  </si>
  <si>
    <t>SKD251005064</t>
  </si>
  <si>
    <t>2025-10-05 11:40:57</t>
  </si>
  <si>
    <t>2025-10-06 12:54:57</t>
  </si>
  <si>
    <t>SKD251006015</t>
  </si>
  <si>
    <t>2025-10-06 13:07:16</t>
  </si>
  <si>
    <t>2025-10-06 14:25:26</t>
  </si>
  <si>
    <t>RQRS.00010</t>
  </si>
  <si>
    <t>JSQ31-VJSAi燃气快速热水器（传统面板）</t>
  </si>
  <si>
    <t>10.5支付宝转账5988元【用户姓名:陈垚明；用户手机:1869000650；其他号码: 】</t>
  </si>
  <si>
    <t>陈垚明</t>
  </si>
  <si>
    <t>1869000650</t>
  </si>
  <si>
    <t>2025100522001427851426692205</t>
  </si>
  <si>
    <t>SKD251006017</t>
  </si>
  <si>
    <t>2025-10-07 09:55:13</t>
  </si>
  <si>
    <t>2025-10-07 09:55:15</t>
  </si>
  <si>
    <t>RQRS.00002</t>
  </si>
  <si>
    <t>JSQ31-LN燃气热水器</t>
  </si>
  <si>
    <t>10.4刷卡5119元（4351.15+补贴767.85元）【用户姓名:李蒙；用户手机:18626892539；其他号码: 】</t>
  </si>
  <si>
    <t>李蒙</t>
  </si>
  <si>
    <t>18626892539</t>
  </si>
  <si>
    <t>SKD251006018</t>
  </si>
  <si>
    <t>2025-10-06 13:21:29</t>
  </si>
  <si>
    <t>2025-10-07 09:55:29</t>
  </si>
  <si>
    <t>SKD251006019</t>
  </si>
  <si>
    <t>2025-10-06 13:26:13</t>
  </si>
  <si>
    <t>2025-10-06 14:25:50</t>
  </si>
  <si>
    <t>10.5支付宝3998元【用户姓名:高骏；用户手机:13335711339；其他号码: 】</t>
  </si>
  <si>
    <t>高骏</t>
  </si>
  <si>
    <t>13335711339</t>
  </si>
  <si>
    <t>2025100522001424201415448887</t>
  </si>
  <si>
    <t>SKD251006020</t>
  </si>
  <si>
    <t>2025-10-06 13:32:19</t>
  </si>
  <si>
    <t>2025-10-06 14:26:07</t>
  </si>
  <si>
    <t>DR.00133</t>
  </si>
  <si>
    <t>EWH-6B2储水式电热水器</t>
  </si>
  <si>
    <t>10.5支付宝828元【用户姓名:王永林；用户手机:18968906210；其他号码: 】</t>
  </si>
  <si>
    <t>王永林</t>
  </si>
  <si>
    <t>18968906210</t>
  </si>
  <si>
    <t>2025100522001457641445790253</t>
  </si>
  <si>
    <t>SKD251006021</t>
  </si>
  <si>
    <t>2025-10-06 13:35:18</t>
  </si>
  <si>
    <t>2025-10-06 14:26:30</t>
  </si>
  <si>
    <t>10.5支付宝3869元【用户姓名:周国成；用户手机:15805710535；其他号码: 】</t>
  </si>
  <si>
    <t>周国成</t>
  </si>
  <si>
    <t>15805710535</t>
  </si>
  <si>
    <t>'2025100522001439511449364436</t>
  </si>
  <si>
    <t>SKD251006027</t>
  </si>
  <si>
    <t>吴海林</t>
  </si>
  <si>
    <t>2025-10-06 13:59:54</t>
  </si>
  <si>
    <t>2025-10-06 14:28:47</t>
  </si>
  <si>
    <t>10.6转账35000元【用户姓名: ；用户手机: ；其他号码: 】</t>
  </si>
  <si>
    <t>杭州-桐庐</t>
  </si>
  <si>
    <t>SKD251006030</t>
  </si>
  <si>
    <t>2025-10-06 14:25:43</t>
  </si>
  <si>
    <t>2025-10-06 14:27:20</t>
  </si>
  <si>
    <t>DR.00184</t>
  </si>
  <si>
    <t xml:space="preserve">CTE-80J1佳尼特电热水器   </t>
  </si>
  <si>
    <t>10.3支付宝1999元【用户姓名:姜文东；用户手机:13857108921；其他号码: 】</t>
  </si>
  <si>
    <t>姜文东</t>
  </si>
  <si>
    <t>13857108921</t>
  </si>
  <si>
    <t>'2025100322001404301430791680</t>
  </si>
  <si>
    <t>SKD251006031</t>
  </si>
  <si>
    <t>2025-10-06 14:43:59</t>
  </si>
  <si>
    <t>2025-10-06 15:06:20</t>
  </si>
  <si>
    <t>JS.00037</t>
  </si>
  <si>
    <t>PF25C1前置过滤器</t>
  </si>
  <si>
    <t>10.3支付宝350元【用户姓名:曾城洲；用户手机:18988475722；其他号码: 】</t>
  </si>
  <si>
    <t>曾城洲</t>
  </si>
  <si>
    <t>18988475722</t>
  </si>
  <si>
    <t>2025100322001483231432801313</t>
  </si>
  <si>
    <t>SKD251006032</t>
  </si>
  <si>
    <t>2025-10-06 14:44:35</t>
  </si>
  <si>
    <t>2025-10-06 15:06:35</t>
  </si>
  <si>
    <t>10.3支付宝3395元【用户姓名:曾城洲；用户手机:18988475722；其他号码: 】</t>
  </si>
  <si>
    <t>2025100322001483231430072112</t>
  </si>
  <si>
    <t>SKD251006034</t>
  </si>
  <si>
    <t>支付宝</t>
  </si>
  <si>
    <t>2025-10-06 14:46:42</t>
  </si>
  <si>
    <t>2025-10-06 15:06:56</t>
  </si>
  <si>
    <t>10.6支付宝3395元【用户姓名:何志鹏；用户手机:15868169479；其他号码: 】</t>
  </si>
  <si>
    <t>何志鹏</t>
  </si>
  <si>
    <t>15868169479</t>
  </si>
  <si>
    <t>'2025100622001463731420729190</t>
  </si>
  <si>
    <t>SKD251006048</t>
  </si>
  <si>
    <t>2025-10-06 15:52:17</t>
  </si>
  <si>
    <t>2025-10-07 09:55:53</t>
  </si>
  <si>
    <t>DR.00104</t>
  </si>
  <si>
    <t>EWH-80DA储水式电热水器</t>
  </si>
  <si>
    <t>10.6支付宝3998【用户姓名:叶成光；用户手机:13867460339；其他号码: 】</t>
  </si>
  <si>
    <t>叶成光</t>
  </si>
  <si>
    <t>13867460339</t>
  </si>
  <si>
    <t>2025100622001406721457173777</t>
  </si>
  <si>
    <t>SKD251007024</t>
  </si>
  <si>
    <t>2025/10/7</t>
  </si>
  <si>
    <t>2025-10-07 08:32:23</t>
  </si>
  <si>
    <t>2025-10-07 09:56:33</t>
  </si>
  <si>
    <t>10.6支付宝3091元【用户姓名:吕祝平；用户手机:13306810636；其他号码: 】</t>
  </si>
  <si>
    <t>吕祝平</t>
  </si>
  <si>
    <t>13306810636</t>
  </si>
  <si>
    <t>2025100622001446031447301883</t>
  </si>
  <si>
    <t>SKD251007074</t>
  </si>
  <si>
    <t>2025-10-07 09:57:00</t>
  </si>
  <si>
    <t>2025-10-07 09:57:02</t>
  </si>
  <si>
    <t>DRSQ.00061</t>
  </si>
  <si>
    <t>CEWH-60D5BWi储水式热水器</t>
  </si>
  <si>
    <t>10.5刷卡3579元（2863.2元+补贴715.8元）【用户姓名:吴健；用户手机:18668139761；其他号码: 】</t>
  </si>
  <si>
    <t>吴健</t>
  </si>
  <si>
    <t>18668139761</t>
  </si>
  <si>
    <t>SKD251007075</t>
  </si>
  <si>
    <t>2025-10-07 09:18:58</t>
  </si>
  <si>
    <t>2025-10-07 09:57:17</t>
  </si>
  <si>
    <t>SKD251007108</t>
  </si>
  <si>
    <t>黄颖</t>
  </si>
  <si>
    <t>2025-10-07 09:44:30</t>
  </si>
  <si>
    <t>2025-10-07 10:00:03</t>
  </si>
  <si>
    <t>10.7转账4590元【用户姓名: ；用户手机: ；其他号码: 】</t>
  </si>
  <si>
    <t>SKD251007183</t>
  </si>
  <si>
    <t>2025年10月周女士结算(换新35）</t>
  </si>
  <si>
    <t>2025-10-07 15:25:22</t>
  </si>
  <si>
    <t>2025-10-07 15:25:24</t>
  </si>
  <si>
    <t>2025年10月7日中信银行收款【用户姓名:2025年10月结算(换新35-38）；用户手机: ；其他号码: 】</t>
  </si>
  <si>
    <t>2025年10月结算(换新35-38）</t>
  </si>
  <si>
    <t>2025年10月客户结算(换新36）</t>
  </si>
  <si>
    <t>2025年10月孙女士结算(换新37）</t>
  </si>
  <si>
    <t>2025年10月章女士结算(换新38）</t>
  </si>
  <si>
    <t>SKD251007184</t>
  </si>
  <si>
    <t>2025/10/8</t>
  </si>
  <si>
    <t>2025年10月客户结算(换新39）</t>
  </si>
  <si>
    <t>2025-10-10 09:04:45</t>
  </si>
  <si>
    <t>2025-10-10 09:04:46</t>
  </si>
  <si>
    <t>2025年10月8日中信银行收款【用户姓名:2025年10月结算(换新39）；用户手机: ；其他号码: 】</t>
  </si>
  <si>
    <t>2025年10月结算(换新39）</t>
  </si>
  <si>
    <t>SKD251007193</t>
  </si>
  <si>
    <t>2025-10-07 10:49:24</t>
  </si>
  <si>
    <t>2025-10-07 15:06:33</t>
  </si>
  <si>
    <t>10.7转账1397.60元【用户姓名:祝振权；用户手机: ；其他号码: 】</t>
  </si>
  <si>
    <t>祝振权</t>
  </si>
  <si>
    <t>SKD251007195</t>
  </si>
  <si>
    <t>何云锋</t>
  </si>
  <si>
    <t>2025-10-07 10:51:50</t>
  </si>
  <si>
    <t>2025-10-07 15:06:51</t>
  </si>
  <si>
    <t>JS.09.00010</t>
  </si>
  <si>
    <t>BZR100-A2111</t>
  </si>
  <si>
    <t>10.6转账79610元【用户姓名:浙江本越环保科技有限公司；用户手机:18815151934；其他号码: 】</t>
  </si>
  <si>
    <t>浙江本越环保科技有限公司</t>
  </si>
  <si>
    <t>18815151934</t>
  </si>
  <si>
    <t>SKD251007204</t>
  </si>
  <si>
    <t>2025-10-07 11:05:10</t>
  </si>
  <si>
    <t>2025-10-07 15:16:16</t>
  </si>
  <si>
    <t>DR.00011-1</t>
  </si>
  <si>
    <t>EWH-40MINIwi储水式电热水器</t>
  </si>
  <si>
    <t>10.7支付宝5667元【用户姓名:周红燕；用户手机:13858079575；其他号码: 】</t>
  </si>
  <si>
    <t>周红燕</t>
  </si>
  <si>
    <t>13858079575</t>
  </si>
  <si>
    <t>2025100722001409581452386654</t>
  </si>
  <si>
    <t>SKD251007330</t>
  </si>
  <si>
    <t>2025-10-07 12:31:16</t>
  </si>
  <si>
    <t>2025-10-07 15:16:46</t>
  </si>
  <si>
    <t>YSJ.00030</t>
  </si>
  <si>
    <t xml:space="preserve">R1600DWWi净水机 </t>
  </si>
  <si>
    <t>10.7支付宝转账4791元【用户姓名:项延杰；用户手机:15561836777；其他号码: 】</t>
  </si>
  <si>
    <t>项延杰</t>
  </si>
  <si>
    <t>15561836777</t>
  </si>
  <si>
    <t>2025100722001480941429674315</t>
  </si>
  <si>
    <t>SKD251007372</t>
  </si>
  <si>
    <t>2025-10-07 15:16:50</t>
  </si>
  <si>
    <t>2025-10-07 15:17:43</t>
  </si>
  <si>
    <t>10.6支付宝转账790元（用户名 陈金才）【用户姓名:陈金才；用户手机:15088600687；其他号码: 】</t>
  </si>
  <si>
    <t>陈金才</t>
  </si>
  <si>
    <t>15088600687</t>
  </si>
  <si>
    <t>2025100622001422151440873414</t>
  </si>
  <si>
    <t>SKD251007422</t>
  </si>
  <si>
    <t>2025-10-07 15:07:37</t>
  </si>
  <si>
    <t>2025-10-07 15:07:38</t>
  </si>
  <si>
    <t>YSJ.00014</t>
  </si>
  <si>
    <t xml:space="preserve">DR1600HF2Ai反渗透净水机 </t>
  </si>
  <si>
    <t>10.3扫码付5872元【用户姓名:周海英；用户手机:15888840126；其他号码: 】</t>
  </si>
  <si>
    <t>周海英</t>
  </si>
  <si>
    <t>15888840126</t>
  </si>
  <si>
    <t>SKD251007424</t>
  </si>
  <si>
    <t>2025-10-07 15:08:12</t>
  </si>
  <si>
    <t>2025-10-07 15:08:13</t>
  </si>
  <si>
    <t>10.5扫码付5872元【用户姓名:马遇伯；用户手机:15267076317；其他号码: 】</t>
  </si>
  <si>
    <t>马遇伯</t>
  </si>
  <si>
    <t>15267076317</t>
  </si>
  <si>
    <t>SKD251007427</t>
  </si>
  <si>
    <t>林青云</t>
  </si>
  <si>
    <t>2025-10-07 15:07:06</t>
  </si>
  <si>
    <t>2025-10-07 15:08:32</t>
  </si>
  <si>
    <t>2025.10.7杭州中信8362【用户姓名:义乌颖亿贸易有限公司；用户手机: ；其他号码: 】</t>
  </si>
  <si>
    <t>金华-义乌</t>
  </si>
  <si>
    <t>SKD251007433</t>
  </si>
  <si>
    <t>刷卡</t>
  </si>
  <si>
    <t>2025-10-08 14:14:04</t>
  </si>
  <si>
    <t>2025-10-08 14:14:05</t>
  </si>
  <si>
    <t>10. 6刷卡4399元(3519.2元+补贴879.8元）（用户名 陆思岚）【用户姓名:陆思岚；用户手机:13606562973；其他号码: 】</t>
  </si>
  <si>
    <t>陆思岚</t>
  </si>
  <si>
    <t>13606562973</t>
  </si>
  <si>
    <t>SKD251007434</t>
  </si>
  <si>
    <t>2025-10-07 15:50:12</t>
  </si>
  <si>
    <t>2025-10-08 14:14:13</t>
  </si>
  <si>
    <t>SKD251008031</t>
  </si>
  <si>
    <t>谢士英</t>
  </si>
  <si>
    <t>2025-10-08 15:56:07</t>
  </si>
  <si>
    <t>2025-10-08 15:56:08</t>
  </si>
  <si>
    <t>RR.00026</t>
  </si>
  <si>
    <t>JSQ33-MJSX燃气热水器</t>
  </si>
  <si>
    <t>10.6扫码付7270元【用户姓名:杨利月；用户手机:13275120002；其他号码: 】</t>
  </si>
  <si>
    <t>杨利月</t>
  </si>
  <si>
    <t>13275120002</t>
  </si>
  <si>
    <t>SKD251008036</t>
  </si>
  <si>
    <t>2025-10-08 10:04:12</t>
  </si>
  <si>
    <t>2025-10-08 14:22:49</t>
  </si>
  <si>
    <t>DRSQ.00052</t>
  </si>
  <si>
    <t>CEWH-60D3BWi壁挂电热水器多功率</t>
  </si>
  <si>
    <t>2025.10.07支付宝支付2975【用户姓名:章亦华；用户手机:13362868111；其他号码: 】</t>
  </si>
  <si>
    <t>章亦华</t>
  </si>
  <si>
    <t>13362868111</t>
  </si>
  <si>
    <t>2025100722001477741405201285</t>
  </si>
  <si>
    <t>SKD251008114</t>
  </si>
  <si>
    <t>2025-10-08 14:23:16</t>
  </si>
  <si>
    <t>DR.00180</t>
  </si>
  <si>
    <t xml:space="preserve">CTE-60E1佳尼特电热水器   </t>
  </si>
  <si>
    <t>10.2刷卡1550元（1240+补贴310元）【用户姓名:章浩军；用户手机:15658113566；其他号码: 】</t>
  </si>
  <si>
    <t>章浩军</t>
  </si>
  <si>
    <t>15658113566</t>
  </si>
  <si>
    <t>SKD251008116</t>
  </si>
  <si>
    <t>2025-10-08 10:43:22</t>
  </si>
  <si>
    <t>2025-10-08 14:23:24</t>
  </si>
  <si>
    <t>SKD251008123</t>
  </si>
  <si>
    <t>2025-10-08 14:23:50</t>
  </si>
  <si>
    <t>2025-10-08 14:23:51</t>
  </si>
  <si>
    <t>YSJ.00003</t>
  </si>
  <si>
    <t xml:space="preserve"> DR2000HF2反渗透净水机 </t>
  </si>
  <si>
    <t>10.7支付宝6502元【用户姓名:于洋；用户手机:13588412880；其他号码: 】</t>
  </si>
  <si>
    <t>于洋</t>
  </si>
  <si>
    <t>13588412880</t>
  </si>
  <si>
    <t>2025100722001423181418137035</t>
  </si>
  <si>
    <t>SKD251008129</t>
  </si>
  <si>
    <t>2025-10-08 15:56:30</t>
  </si>
  <si>
    <t>2025-10-08 15:56:31</t>
  </si>
  <si>
    <t>DR.00033</t>
  </si>
  <si>
    <t>EESR-20C8储水式电热水器</t>
  </si>
  <si>
    <t>10.7扫码付3414元【用户姓名:杨逸；用户手机:18658186665；其他号码: 】</t>
  </si>
  <si>
    <t>杨逸</t>
  </si>
  <si>
    <t>18658186665</t>
  </si>
  <si>
    <t>SKD251008140</t>
  </si>
  <si>
    <t>张小兵</t>
  </si>
  <si>
    <t>2025-10-08 12:52:36</t>
  </si>
  <si>
    <t>2025-10-08 14:24:40</t>
  </si>
  <si>
    <t>DR.00134</t>
  </si>
  <si>
    <t>EWH-10B2储水式电热水器2000W</t>
  </si>
  <si>
    <t>10.7转账808元【用户姓名:杭州霏铭商贸有限公司；用户手机:15157180122；其他号码: 】</t>
  </si>
  <si>
    <t>杭州霏铭商贸有限公司</t>
  </si>
  <si>
    <t>15157180122</t>
  </si>
  <si>
    <t>SKD251008144</t>
  </si>
  <si>
    <t>2025-10-08 10:53:19</t>
  </si>
  <si>
    <t>2025-10-08 14:12:40</t>
  </si>
  <si>
    <t>DRSQ.00058</t>
  </si>
  <si>
    <t>CEWH-60WKBWi壁挂电热水器</t>
  </si>
  <si>
    <t>10.8转账6599.28元【用户姓名:宁波得金智慧科技有限公司；用户手机:15056822913；其他号码: 】</t>
  </si>
  <si>
    <t>宁波得金智慧科技有限公司</t>
  </si>
  <si>
    <t>15056822913</t>
  </si>
  <si>
    <t>SKD251008155</t>
  </si>
  <si>
    <t>2025-10-08 14:13:04</t>
  </si>
  <si>
    <t>2025-10-08 14:13:05</t>
  </si>
  <si>
    <t>10.8转账10000元【用户姓名: ；用户手机: ；其他号码: 】</t>
  </si>
  <si>
    <t>杭州-富阳</t>
  </si>
  <si>
    <t>SKD251008171</t>
  </si>
  <si>
    <t>2025-10-08 14:25:20</t>
  </si>
  <si>
    <t>2025-10-08 14:25:21</t>
  </si>
  <si>
    <t>10.5支付宝3439元【用户姓名:何伟建；用户手机:13805713570；其他号码: 】</t>
  </si>
  <si>
    <t>何伟建</t>
  </si>
  <si>
    <t>13805713570</t>
  </si>
  <si>
    <t>2025100522001448201457996768</t>
  </si>
  <si>
    <t>SKD251008238</t>
  </si>
  <si>
    <t>2025-10-08 14:25:49</t>
  </si>
  <si>
    <t>2025-10-08 14:25:50</t>
  </si>
  <si>
    <t>10. 7刷卡3739元(2991.2元+补贴747.8元）（用户名 邵之介）【用户姓名:邵之介；用户手机:18857141922；其他号码: 】</t>
  </si>
  <si>
    <t>邵之介</t>
  </si>
  <si>
    <t>18857141922</t>
  </si>
  <si>
    <t>SKD251008239</t>
  </si>
  <si>
    <t>2025-10-09 08:58:59</t>
  </si>
  <si>
    <t>2025-10-09 08:59:00</t>
  </si>
  <si>
    <t>10.8刷卡3639元（2911.2元+补贴727.8元）【用户姓名:王旭东；用户手机:13750837396；其他号码: 】</t>
  </si>
  <si>
    <t>SKD251008240</t>
  </si>
  <si>
    <t>2025-10-08 12:28:46</t>
  </si>
  <si>
    <t>2025-10-09 08:59:07</t>
  </si>
  <si>
    <t>SKD251008241</t>
  </si>
  <si>
    <t>2025-10-08 12:29:27</t>
  </si>
  <si>
    <t>2025-10-08 14:26:09</t>
  </si>
  <si>
    <t>SKD251008252</t>
  </si>
  <si>
    <t>2025-10-09 08:58:18</t>
  </si>
  <si>
    <t>2025-10-08 15:02:33</t>
  </si>
  <si>
    <t>10.7刷卡2000元(1600元+补贴400元）（用户名 方海云）【用户姓名:方海云；用户手机:15224068217；其他号码: 】</t>
  </si>
  <si>
    <t>方海云</t>
  </si>
  <si>
    <t>15224068217</t>
  </si>
  <si>
    <t>SKD251008255</t>
  </si>
  <si>
    <t>2025-10-08 15:02:51</t>
  </si>
  <si>
    <t>2025-10-08 15:02:52</t>
  </si>
  <si>
    <t>SKD251008267</t>
  </si>
  <si>
    <t>2025-10-08 14:27:58</t>
  </si>
  <si>
    <t>2025-10-08 14:28:00</t>
  </si>
  <si>
    <t>RQRS.00030</t>
  </si>
  <si>
    <t>JSQ31-CSCWI燃气快速热水器</t>
  </si>
  <si>
    <t>10.7支付宝4124元【用户姓名:于洋；用户手机:13588412880；其他号码: 】</t>
  </si>
  <si>
    <t>2025100722001423181417907046</t>
  </si>
  <si>
    <t>SKD251008272</t>
  </si>
  <si>
    <t>2025-10-08 14:28:35</t>
  </si>
  <si>
    <t>2025-10-08 14:28:36</t>
  </si>
  <si>
    <t>10.8支付宝3395元【用户姓名:洪员清；用户手机:13958689012；其他号码: 】</t>
  </si>
  <si>
    <t>洪员清</t>
  </si>
  <si>
    <t>13958689012</t>
  </si>
  <si>
    <t>2025100822001441681408295464</t>
  </si>
  <si>
    <t>SKD251008277</t>
  </si>
  <si>
    <t>2025-10-08 14:07:43</t>
  </si>
  <si>
    <t>2025-10-08 14:30:40</t>
  </si>
  <si>
    <t>10.8支付宝3365元【用户姓名:章宽友；用户手机:13989837661；其他号码: 】</t>
  </si>
  <si>
    <t>章宽友</t>
  </si>
  <si>
    <t>13989837661</t>
  </si>
  <si>
    <t>2025100822001417161405876291
2025100822001417161412233285</t>
  </si>
  <si>
    <t>SKD251008312</t>
  </si>
  <si>
    <t>2025-10-08 14:05:58</t>
  </si>
  <si>
    <t>2025-10-08 14:31:26</t>
  </si>
  <si>
    <t>10.8支付宝30元【用户姓名:章宽友；用户手机:13989837661；其他号码: 】</t>
  </si>
  <si>
    <t>2025100822001417161412233285</t>
  </si>
  <si>
    <t>SKD251008348</t>
  </si>
  <si>
    <t>截止2025年10月8日累计未回款3635.71元（（7001未开票-3200+165.04+0.25））（期初财务发票问题多3200和多回款165.04/0.25）</t>
  </si>
  <si>
    <t>2025-10-09 09:25:27</t>
  </si>
  <si>
    <t>2025-10-09 10:41:57</t>
  </si>
  <si>
    <t>2025年10月8日杭州中信73131【用户姓名:浙江普农家电有限公司；用户手机: ；其他号码: 】</t>
  </si>
  <si>
    <t>2025年9月结算</t>
  </si>
  <si>
    <t>SKD251008349</t>
  </si>
  <si>
    <t>2025-10-08 15:12:05</t>
  </si>
  <si>
    <t>2025-10-08 15:33:37</t>
  </si>
  <si>
    <t>10.8转账3000元【用户姓名: ；用户手机: ；其他号码: 】</t>
  </si>
  <si>
    <t>SKD251008367</t>
  </si>
  <si>
    <t>2025-10-08 16:02:54</t>
  </si>
  <si>
    <t>2025-10-08 16:07:44</t>
  </si>
  <si>
    <t>JSQZ.00001</t>
  </si>
  <si>
    <t>PF-DA1前置过滤器</t>
  </si>
  <si>
    <t>2025.10.8支付宝付款1488【用户姓名:徐昭；用户手机:18858117800；其他号码: 】</t>
  </si>
  <si>
    <t>徐昭</t>
  </si>
  <si>
    <t>18858117800</t>
  </si>
  <si>
    <t>2025100822001491221404907885</t>
  </si>
  <si>
    <t>SKD251009029</t>
  </si>
  <si>
    <t>2025-10-09 10:48:26</t>
  </si>
  <si>
    <t>2025-10-09 10:48:28</t>
  </si>
  <si>
    <t>10.8号扫码支付3620【用户姓名:王清湄；用户手机:18266949630；其他号码: 】</t>
  </si>
  <si>
    <t>王清湄</t>
  </si>
  <si>
    <t>18266949630</t>
  </si>
  <si>
    <t>SKD251009067</t>
  </si>
  <si>
    <t>2025-10-09 10:25:16</t>
  </si>
  <si>
    <t>2025-10-09 10:44:42</t>
  </si>
  <si>
    <t>10.8支付宝2445元【用户姓名:柴青；用户手机:13738060068；其他号码: 】</t>
  </si>
  <si>
    <t>柴青</t>
  </si>
  <si>
    <t>13738060068</t>
  </si>
  <si>
    <t>2025100822001491641408013838</t>
  </si>
  <si>
    <t>SKD251009180</t>
  </si>
  <si>
    <t>2025-10-09 12:34:15</t>
  </si>
  <si>
    <t>2025-10-09 15:02:55</t>
  </si>
  <si>
    <t>10.9转账5000元【用户姓名: ；用户手机: ；其他号码: 】</t>
  </si>
  <si>
    <t>SKD251009181</t>
  </si>
  <si>
    <t>2025-10-09 12:39:00</t>
  </si>
  <si>
    <t>2025-10-09 12:39:01</t>
  </si>
  <si>
    <t>YSJ.00048</t>
  </si>
  <si>
    <t>DR1800SWi型直饮水机</t>
  </si>
  <si>
    <t>10.8扫码支付6616【用户姓名:朱建华；用户手机:13757903999；其他号码: 】</t>
  </si>
  <si>
    <t>朱建华</t>
  </si>
  <si>
    <t>13757903999</t>
  </si>
  <si>
    <t>SKD251009195</t>
  </si>
  <si>
    <t>2025-10-09 14:12:40</t>
  </si>
  <si>
    <t>2025-10-09 15:03:25</t>
  </si>
  <si>
    <t>10.8支付宝5872元【用户姓名:蒋杰；用户手机:15068066151；其他号码: 】</t>
  </si>
  <si>
    <t>蒋杰</t>
  </si>
  <si>
    <t>15068066151</t>
  </si>
  <si>
    <t>2025100822001466161410184092</t>
  </si>
  <si>
    <t>SKD251009196</t>
  </si>
  <si>
    <t>2025-10-27 16:12:24</t>
  </si>
  <si>
    <t>2025-10-27 16:12:25</t>
  </si>
  <si>
    <t>DR.00181</t>
  </si>
  <si>
    <t xml:space="preserve">CTE-80E1佳尼特电热水器   </t>
  </si>
  <si>
    <t>10.8转账3900元【用户姓名：杭州联元厨具有限公司】【用户姓名:杭州联元厨具有限公司；用户手机:15268835123；其他号码: 】</t>
  </si>
  <si>
    <t>杭州联元厨具有限公司</t>
  </si>
  <si>
    <t>15268835123</t>
  </si>
  <si>
    <t>SKD251009197</t>
  </si>
  <si>
    <t>2025/10/10</t>
  </si>
  <si>
    <t>2025-10-10 09:05:09</t>
  </si>
  <si>
    <t>2025-10-10 09:05:10</t>
  </si>
  <si>
    <t>DRSQ.00064</t>
  </si>
  <si>
    <t>CEWH-60D3Wi储水式热水器</t>
  </si>
  <si>
    <t>10.9刷卡2975元（2380元+补贴595元）【用户姓名:张桥；用户手机:13968692266；其他号码: 】</t>
  </si>
  <si>
    <t>张桥</t>
  </si>
  <si>
    <t>13968692266</t>
  </si>
  <si>
    <t>SKD251009198</t>
  </si>
  <si>
    <t>2025-10-09 14:15:12</t>
  </si>
  <si>
    <t>2025-10-10 09:05:18</t>
  </si>
  <si>
    <t>SKD251009201</t>
  </si>
  <si>
    <t>2025-10-09 14:21:22</t>
  </si>
  <si>
    <t>2025-10-09 15:07:20</t>
  </si>
  <si>
    <t>10.9支付宝3280元【用户姓名:朱敏；用户手机:13868091188；其他号码: 】</t>
  </si>
  <si>
    <t>朱敏</t>
  </si>
  <si>
    <t>13868091188</t>
  </si>
  <si>
    <t>2025100922001423061407124483</t>
  </si>
  <si>
    <t>SKD251009203</t>
  </si>
  <si>
    <t>2025-10-09 14:22:04</t>
  </si>
  <si>
    <t>2025-10-09 15:07:42</t>
  </si>
  <si>
    <t>10.9支付宝2591元【用户姓名:臧红；用户手机:13905819419；其他号码: 】</t>
  </si>
  <si>
    <t>臧红</t>
  </si>
  <si>
    <t>13905819419</t>
  </si>
  <si>
    <t>2025100922001470241405644446</t>
  </si>
  <si>
    <t>SKD251009222</t>
  </si>
  <si>
    <t>2025-10-09 15:09:24</t>
  </si>
  <si>
    <t>2025-10-09 15:23:00</t>
  </si>
  <si>
    <t>10.9转账22330元【用户姓名:杭州汇芝暖通设备有限公司；用户手机:18067946277；其他号码: 】</t>
  </si>
  <si>
    <t>杭州汇芝暖通设备有限公司</t>
  </si>
  <si>
    <t>18067946277</t>
  </si>
  <si>
    <t>SKD251009227</t>
  </si>
  <si>
    <t>2025年10月许云华结算(换新40）</t>
  </si>
  <si>
    <t>2025-10-10 09:08:38</t>
  </si>
  <si>
    <t>2025-10-10 09:08:39</t>
  </si>
  <si>
    <t>2025年10月9日中信银行收款【用户姓名:2025年10月结算(换新40-47）；用户手机: ；其他号码: 】</t>
  </si>
  <si>
    <t>2025年10月结算(换新40-47）</t>
  </si>
  <si>
    <t>2025年10月潘杏琴结算(换新41）</t>
  </si>
  <si>
    <t>2025年10月钱菊芬结算(换新42）</t>
  </si>
  <si>
    <t>2025年10月翁女士结算(换新43）</t>
  </si>
  <si>
    <t>2025年10月用户结算(换新44）</t>
  </si>
  <si>
    <t>2025年10月胡红结算(换新45）</t>
  </si>
  <si>
    <t>2025年10月周杰结算(换新46）</t>
  </si>
  <si>
    <t>2025年10月胡月惠结算(换新47）</t>
  </si>
  <si>
    <t>SKD251009228</t>
  </si>
  <si>
    <t>2025年10月沈亚玲结算(换新48）</t>
  </si>
  <si>
    <t>2025-10-11 09:45:27</t>
  </si>
  <si>
    <t>2025-10-11 09:45:28</t>
  </si>
  <si>
    <t>2025年10月10日中信银行收款【用户姓名:2025年10月结算(换新48-54）；用户手机: ；其他号码: 】</t>
  </si>
  <si>
    <t>2025年10月结算(换新48-54）</t>
  </si>
  <si>
    <t>2025年10月陶光春结算(换新49）</t>
  </si>
  <si>
    <t>2025年10月李海桂结算(换新50）</t>
  </si>
  <si>
    <t>2025年10月龙於洋结算(换新51）</t>
  </si>
  <si>
    <t>2025年10月王先生结算(换新52）</t>
  </si>
  <si>
    <t>2025年10月来先生结算(换新53）</t>
  </si>
  <si>
    <t>2025年10月杨媚凤结算(换新54）</t>
  </si>
  <si>
    <t>SKD251009230</t>
  </si>
  <si>
    <t>2025/10/11</t>
  </si>
  <si>
    <t>2025年10月张红雅结算(换新55）</t>
  </si>
  <si>
    <t>2025-10-13 11:10:30</t>
  </si>
  <si>
    <t>2025-10-13 11:10:31</t>
  </si>
  <si>
    <t>2025年10月11日中信银行收款【用户姓名:2025年10月结算(换新55-63）；用户手机: ；其他号码: 】</t>
  </si>
  <si>
    <t>2025年10月结算(换新55-63）</t>
  </si>
  <si>
    <t>2025年10月李建春结算(换新56）</t>
  </si>
  <si>
    <t>2025年10月胡结算(换新57）</t>
  </si>
  <si>
    <t>2025年10月用户结算(换新58）</t>
  </si>
  <si>
    <t>2025年10月叶结算(换新60）</t>
  </si>
  <si>
    <t>2025年10月张丹丹结算(换新59）</t>
  </si>
  <si>
    <t>2025年10月毛玲健结算(换新61）</t>
  </si>
  <si>
    <t>2025年10月邓可玲结算(换新62）</t>
  </si>
  <si>
    <t>2025年10月沈强结算(换新63）</t>
  </si>
  <si>
    <t>SKD251010035</t>
  </si>
  <si>
    <t>中转银行</t>
  </si>
  <si>
    <t>虚拟银行</t>
  </si>
  <si>
    <t>00000</t>
  </si>
  <si>
    <t>2025-10-10 10:13:54</t>
  </si>
  <si>
    <t>2025-10-10 10:18:38</t>
  </si>
  <si>
    <t>BGL.0.00384</t>
  </si>
  <si>
    <t>L1PB26-V3燃气采暖热水炉（配烟管5520220）</t>
  </si>
  <si>
    <t>9.8刷卡8388支付7129.8以旧换新补贴1258.2【用户姓名:郑红燕；用户手机:17858210016；其他号码: 】</t>
  </si>
  <si>
    <t>郑红燕</t>
  </si>
  <si>
    <t>17858210016</t>
  </si>
  <si>
    <t>抵SKTKD251010001-已送货，空进空出-改客户名字</t>
  </si>
  <si>
    <t>SKD251010036</t>
  </si>
  <si>
    <t>2025-10-10 10:21:33</t>
  </si>
  <si>
    <t>2025-10-10 10:21:34</t>
  </si>
  <si>
    <t>10.9刷卡4399元（3519.2+补贴879.8元）【用户姓名:杨雪娟；用户手机:18758887263；其他号码: 】</t>
  </si>
  <si>
    <t>杨雪娟</t>
  </si>
  <si>
    <t>18758887263</t>
  </si>
  <si>
    <t>SKD251010037</t>
  </si>
  <si>
    <t>2025-10-10 10:14:47</t>
  </si>
  <si>
    <t>2025-10-10 10:21:44</t>
  </si>
  <si>
    <t>SKD251010038</t>
  </si>
  <si>
    <t>2025-10-10 10:14:48</t>
  </si>
  <si>
    <t>2025-10-10 10:19:02</t>
  </si>
  <si>
    <t>抵SKTKD251010002-已送货，空进空出-改客户名字</t>
  </si>
  <si>
    <t>SKD251010039</t>
  </si>
  <si>
    <t>物流部</t>
  </si>
  <si>
    <t>王福斌</t>
  </si>
  <si>
    <t>2025-10-10 10:20:40</t>
  </si>
  <si>
    <t>2025-10-10 10:20:41</t>
  </si>
  <si>
    <t>JS.09.00028</t>
  </si>
  <si>
    <t>CCR800-1(L)年服务卡</t>
  </si>
  <si>
    <t>10.9转账4800元【用户姓名:德帕姆(杭州)泵业科技有限公司；用户手机:13606503642；其他号码: 】</t>
  </si>
  <si>
    <t>德帕姆(杭州)泵业科技有限公司</t>
  </si>
  <si>
    <t>13606503642</t>
  </si>
  <si>
    <t>SKD251010180</t>
  </si>
  <si>
    <t>2025-10-10 16:22:16</t>
  </si>
  <si>
    <t>2025-10-10 16:24:04</t>
  </si>
  <si>
    <t>DRSQ.00042</t>
  </si>
  <si>
    <t>CEWHR-50PEWi储水电热水器</t>
  </si>
  <si>
    <t>10.10转账5904.60元【用户姓名:宁波得金智慧科技有限公司；用户手机:15869521084；其他号码: 】</t>
  </si>
  <si>
    <t>15869521084</t>
  </si>
  <si>
    <t>SKD251010199</t>
  </si>
  <si>
    <t>2025-10-11 08:49:32</t>
  </si>
  <si>
    <t>2025-10-11 09:40:19</t>
  </si>
  <si>
    <t>10月10日转账5124【用户姓名:杭州鸿建建筑工程有限公司；用户手机:18857110081；其他号码: 】</t>
  </si>
  <si>
    <t>杭州鸿建建筑工程有限公司</t>
  </si>
  <si>
    <t>18857110081</t>
  </si>
  <si>
    <t>SKD251011018</t>
  </si>
  <si>
    <t>2025-10-11 13:15:43</t>
  </si>
  <si>
    <t>2025-10-11 13:15:45</t>
  </si>
  <si>
    <t>10.10刷卡2499元（1999.2+补贴499.8元）【用户姓名:童高锋；用户手机:18057196392；其他号码: 】</t>
  </si>
  <si>
    <t>童高锋</t>
  </si>
  <si>
    <t>18057196392</t>
  </si>
  <si>
    <t>SKD251011019</t>
  </si>
  <si>
    <t>2025-10-11 10:04:43</t>
  </si>
  <si>
    <t>2025-10-11 13:15:56</t>
  </si>
  <si>
    <t>SKD251011066</t>
  </si>
  <si>
    <t>2025-10-11 11:25:01</t>
  </si>
  <si>
    <t>2025-10-11 13:14:17</t>
  </si>
  <si>
    <t>10.11支付宝2400【用户姓名:汤剑武；用户手机:13636477118；其他号码: 】</t>
  </si>
  <si>
    <t>汤剑武</t>
  </si>
  <si>
    <t>13636477118</t>
  </si>
  <si>
    <t>2025101123001431811418018101</t>
  </si>
  <si>
    <t>SKD251011166</t>
  </si>
  <si>
    <t>2025-10-11 15:11:43</t>
  </si>
  <si>
    <t>2025-10-11 15:11:49</t>
  </si>
  <si>
    <t>DR.00085</t>
  </si>
  <si>
    <t>CEWH-60R1S-3热水器</t>
  </si>
  <si>
    <t>10月11日支付宝2778元【用户姓名:张超；用户手机:13567119867；其他号码: 】</t>
  </si>
  <si>
    <t>张超</t>
  </si>
  <si>
    <t>13567119867</t>
  </si>
  <si>
    <t>交易订单号：2025101122001464241423446236</t>
  </si>
  <si>
    <t>SKD251011167</t>
  </si>
  <si>
    <t>2025-10-11 13:50:38</t>
  </si>
  <si>
    <t>2025-10-11 14:42:58</t>
  </si>
  <si>
    <t>10.10支付宝转账5871元【用户姓名：陈卫东】【用户姓名:陈卫东；用户手机:15558020273；其他号码: 】</t>
  </si>
  <si>
    <t>陈卫东</t>
  </si>
  <si>
    <t>15558020273</t>
  </si>
  <si>
    <t>2025101022001422161428271212</t>
  </si>
  <si>
    <t>SKD251011172</t>
  </si>
  <si>
    <t>2025/10/13</t>
  </si>
  <si>
    <t>杨立锋</t>
  </si>
  <si>
    <t>2025-10-13 11:02:22</t>
  </si>
  <si>
    <t>2025-10-13 11:02:23</t>
  </si>
  <si>
    <t>YSJ.00021</t>
  </si>
  <si>
    <t>DR2000DC1型反渗透净水机</t>
  </si>
  <si>
    <t>10.11刷卡8919（7135.2＋补贴1783.8）用户姓名沈亚13666614206【用户姓名:沈亚；用户手机:13666614206；其他号码: 】</t>
  </si>
  <si>
    <t>沈亚</t>
  </si>
  <si>
    <t>13666614206</t>
  </si>
  <si>
    <t>SKD251011173</t>
  </si>
  <si>
    <t>2025-10-11 14:43:25</t>
  </si>
  <si>
    <t>2025-10-13 11:02:31</t>
  </si>
  <si>
    <t>SKD251011174</t>
  </si>
  <si>
    <t>2025-10-11 15:12:48</t>
  </si>
  <si>
    <t>2025-10-11 15:12:49</t>
  </si>
  <si>
    <t>WF.00003</t>
  </si>
  <si>
    <t>材料总额（采暖临时用）</t>
  </si>
  <si>
    <t>10.11支付宝32元【用户姓名:沈亚；用户手机:13666614206；其他号码: 】</t>
  </si>
  <si>
    <t>2025101122001403361418765733</t>
  </si>
  <si>
    <t>SKD251011202</t>
  </si>
  <si>
    <t>2025-10-11 15:20:39</t>
  </si>
  <si>
    <t>2025-10-11 15:30:35</t>
  </si>
  <si>
    <t>JSRSJ.00003</t>
  </si>
  <si>
    <t>S12G1中央软水机</t>
  </si>
  <si>
    <t>泰州锦禧商贸有限公司10.11打入中信5816元【用户姓名:泰州锦禧商贸有限公司；用户手机:18652866040；其他号码: 】</t>
  </si>
  <si>
    <t>泰州锦禧商贸有限公司</t>
  </si>
  <si>
    <t>18652866040</t>
  </si>
  <si>
    <t>SKD251011222</t>
  </si>
  <si>
    <t>2025-10-11 16:02:23</t>
  </si>
  <si>
    <t>2025-10-11 16:02:24</t>
  </si>
  <si>
    <t>CMKCG0006</t>
  </si>
  <si>
    <t>JSQ31-ESCAi 燃气热水器</t>
  </si>
  <si>
    <t>10.10刷卡5374元（4567.9元+806.1元）【用户姓名：冯春凤】【用户姓名:冯春凤；用户手机:18968089167；其他号码: 】</t>
  </si>
  <si>
    <t>冯春凤</t>
  </si>
  <si>
    <t>18968089167</t>
  </si>
  <si>
    <t>SKD251011225</t>
  </si>
  <si>
    <t>2025-10-11 15:33:10</t>
  </si>
  <si>
    <t>2025-10-11 16:02:36</t>
  </si>
  <si>
    <t>SKD251011253</t>
  </si>
  <si>
    <t>2025-10-11 16:00:26</t>
  </si>
  <si>
    <t>2025-10-11 16:03:16</t>
  </si>
  <si>
    <t>10.11支付宝398元【用户姓名:沈亚；用户手机:13666614206；其他号码: 】</t>
  </si>
  <si>
    <t>2025101122001403361416639931</t>
  </si>
  <si>
    <t>SKD251012009</t>
  </si>
  <si>
    <t>2025/10/12</t>
  </si>
  <si>
    <t>2025-10-12 15:34:11</t>
  </si>
  <si>
    <t>2025-10-12 16:04:41</t>
  </si>
  <si>
    <t>2025.10.11金华建行2400【用户姓名:严成胜；用户手机: ；其他号码: 】</t>
  </si>
  <si>
    <t>金华-兰溪</t>
  </si>
  <si>
    <t>严成胜</t>
  </si>
  <si>
    <t>SKD251012029</t>
  </si>
  <si>
    <t>2025-10-13 11:19:46</t>
  </si>
  <si>
    <t>2025-10-12 15:08:05</t>
  </si>
  <si>
    <t>10.12刷卡3909元(3127.2+补贴781.8元）（用户名 陈羲龙）【用户姓名:陈羲龙；用户手机:17706420919；其他号码: 】</t>
  </si>
  <si>
    <t>陈羲龙</t>
  </si>
  <si>
    <t>17706420919</t>
  </si>
  <si>
    <t>SKD251012030</t>
  </si>
  <si>
    <t>2025-10-12 14:07:27</t>
  </si>
  <si>
    <t>2025-10-12 15:08:14</t>
  </si>
  <si>
    <t>SKD251012031</t>
  </si>
  <si>
    <t>2025-10-13 11:03:17</t>
  </si>
  <si>
    <t>2025-10-13 11:03:18</t>
  </si>
  <si>
    <t>YTRB.00007</t>
  </si>
  <si>
    <t>HPI-40D1.0B热泵电热水器一级能效超静音整体热泵</t>
  </si>
  <si>
    <t>10.12刷卡12579元（10579+补贴2000元）【用户姓名:袁雪丽；用户手机:13017918271；其他号码: 】</t>
  </si>
  <si>
    <t>袁雪丽</t>
  </si>
  <si>
    <t>13017918271</t>
  </si>
  <si>
    <t>SKD251012032</t>
  </si>
  <si>
    <t>2025-10-12 13:06:27</t>
  </si>
  <si>
    <t>2025-10-13 11:03:26</t>
  </si>
  <si>
    <t>SKD251012033</t>
  </si>
  <si>
    <t>2025-10-12 14:38:20</t>
  </si>
  <si>
    <t>2025-10-12 15:06:44</t>
  </si>
  <si>
    <t>10.12转账10000元【用户姓名: ；用户手机: ；其他号码: 】</t>
  </si>
  <si>
    <t>SKD251013001</t>
  </si>
  <si>
    <t>2025-10-13 07:48:10</t>
  </si>
  <si>
    <t>2025-10-13 11:04:01</t>
  </si>
  <si>
    <t>10.12支付宝4810元【用户姓名:施申亚；用户手机:13735493827；其他号码: 】</t>
  </si>
  <si>
    <t>施申亚</t>
  </si>
  <si>
    <t>13735493827</t>
  </si>
  <si>
    <t>'2025101222001439801403346027</t>
  </si>
  <si>
    <t>SKD251013012</t>
  </si>
  <si>
    <t>2025年10月罗海萍结算(换新64）</t>
  </si>
  <si>
    <t>2025-10-13 11:13:20</t>
  </si>
  <si>
    <t>2025-10-13 11:13:22</t>
  </si>
  <si>
    <t>2025年10月12日中信银行收款【用户姓名:2025年10月结算(换新64-74）；用户手机: ；其他号码: 】</t>
  </si>
  <si>
    <t>2025年10月结算(换新64-74）</t>
  </si>
  <si>
    <t>2025年10月用户结算(换新65）</t>
  </si>
  <si>
    <t>2025年10月于月娟结算(换新66）</t>
  </si>
  <si>
    <t>2025年10月客户结算(换新67）</t>
  </si>
  <si>
    <t>2025年10月吴琼结算(换新68）</t>
  </si>
  <si>
    <t>2025年10月周陆琴结算(换新69）</t>
  </si>
  <si>
    <t>2025年10月陈瑞克结算(换新70）</t>
  </si>
  <si>
    <t>2025年10月客户结算(换新71）</t>
  </si>
  <si>
    <t>2025年10月赵先生结算(换新72）</t>
  </si>
  <si>
    <t>2025年10月张红霞结算(换新73）</t>
  </si>
  <si>
    <t>2025年10月客户结算(换新74）</t>
  </si>
  <si>
    <t>SKD251013013</t>
  </si>
  <si>
    <t>2025年10月张银微结算(换新75）</t>
  </si>
  <si>
    <t>2025-10-13 11:14:43</t>
  </si>
  <si>
    <t>2025-10-13 11:14:44</t>
  </si>
  <si>
    <t>2025年10月13日中信银行收款【用户姓名:2025年10月结算(换新75-78）；用户手机: ；其他号码: 】</t>
  </si>
  <si>
    <t>2025年10月结算(换新75-78）</t>
  </si>
  <si>
    <t>2025年10月唐新忠结算(换新76）</t>
  </si>
  <si>
    <t>2025年10月邵春强结算(换新77）</t>
  </si>
  <si>
    <t>2025年10月张俊喜结算(换新78）</t>
  </si>
  <si>
    <t>SKD251013015</t>
  </si>
  <si>
    <t>2025/10/14</t>
  </si>
  <si>
    <t>2025年10月谢先生结算(换新79）</t>
  </si>
  <si>
    <t>2025-10-16 12:06:18</t>
  </si>
  <si>
    <t>2025-10-16 12:06:19</t>
  </si>
  <si>
    <t>2025年10月14日中信银行收款【用户姓名:谢先生；用户手机: ；其他号码: 】</t>
  </si>
  <si>
    <t>谢先生</t>
  </si>
  <si>
    <t>SKD251013050</t>
  </si>
  <si>
    <t>2025-10-13 11:05:06</t>
  </si>
  <si>
    <t>2025-10-13 11:05:07</t>
  </si>
  <si>
    <t>10.13支付宝2071元【用户姓名:李高阳；用户手机:15858164998；其他号码: 】</t>
  </si>
  <si>
    <t>李高阳</t>
  </si>
  <si>
    <t>15858164998</t>
  </si>
  <si>
    <t>2025101322001497101453171344</t>
  </si>
  <si>
    <t>SKD251013101</t>
  </si>
  <si>
    <t>2025-10-13 11:06:04</t>
  </si>
  <si>
    <t>2025-10-13 11:06:05</t>
  </si>
  <si>
    <t>RQRS.00003</t>
  </si>
  <si>
    <t>JSQ31-MN5燃气热水器</t>
  </si>
  <si>
    <t>10.10扫码支付2608【用户姓名:李文佳；用户手机:15957917609；其他号码: 】</t>
  </si>
  <si>
    <t>李文佳</t>
  </si>
  <si>
    <t>15957917609</t>
  </si>
  <si>
    <t>SKD251013104</t>
  </si>
  <si>
    <t>2025-10-13 11:06:34</t>
  </si>
  <si>
    <t>2025-10-13 11:06:35</t>
  </si>
  <si>
    <t>10.10扫码支付30元【用户姓名:李文佳；用户手机:15957917609；其他号码: 】</t>
  </si>
  <si>
    <t>SKD251013105</t>
  </si>
  <si>
    <t>2025-10-13 11:06:59</t>
  </si>
  <si>
    <t>2025-10-13 11:07:00</t>
  </si>
  <si>
    <t>10.11扫码支付188元【用户姓名:李文佳；用户手机:15957917609；其他号码: 】</t>
  </si>
  <si>
    <t>SKD251013121</t>
  </si>
  <si>
    <t>2025-10-13 11:07:21</t>
  </si>
  <si>
    <t>2025-10-13 11:07:23</t>
  </si>
  <si>
    <t>JS.01.00019</t>
  </si>
  <si>
    <t>DR2000HF1型反渗透净水机AO成品</t>
  </si>
  <si>
    <t>10.12扫码支付6502【用户姓名:杜国群；用户手机:13506584031；其他号码: 】</t>
  </si>
  <si>
    <t>杜国群</t>
  </si>
  <si>
    <t>13506584031</t>
  </si>
  <si>
    <t>SKD251013142</t>
  </si>
  <si>
    <t>2025-10-13 11:08:11</t>
  </si>
  <si>
    <t>2025-10-13 11:08:12</t>
  </si>
  <si>
    <t>10.13支付宝1340元【用户姓名:陈广；用户手机:18668003808；其他号码: 】</t>
  </si>
  <si>
    <t>陈广</t>
  </si>
  <si>
    <t>18668003808</t>
  </si>
  <si>
    <t>2025101322001419761439314161</t>
  </si>
  <si>
    <t>SKD251013180</t>
  </si>
  <si>
    <t>2025-10-13 11:13:31</t>
  </si>
  <si>
    <t>2025-10-13 11:16:16</t>
  </si>
  <si>
    <t>10.13转账4086元【用户姓名:杭州华鼎进出口有限公司；用户手机:15314607226；其他号码: 】</t>
  </si>
  <si>
    <t>杭州华鼎进出口有限公司</t>
  </si>
  <si>
    <t>15314607226</t>
  </si>
  <si>
    <t>SKD251013242</t>
  </si>
  <si>
    <t>2025-10-13 13:19:26</t>
  </si>
  <si>
    <t>2025-10-13 13:19:28</t>
  </si>
  <si>
    <t>10.12刷卡3716元(2972.8+补贴743.2元）（用户名 孙志刚）【用户姓名:孙志刚；用户手机:13588015476；其他号码: 】</t>
  </si>
  <si>
    <t>孙志刚</t>
  </si>
  <si>
    <t>13588015476</t>
  </si>
  <si>
    <t>SKD251013243</t>
  </si>
  <si>
    <t>2025-10-28 14:48:39</t>
  </si>
  <si>
    <t>2025-10-28 14:48:41</t>
  </si>
  <si>
    <t>SKD251013254</t>
  </si>
  <si>
    <t>2025-10-13 12:23:52</t>
  </si>
  <si>
    <t>2025-10-13 13:33:25</t>
  </si>
  <si>
    <t>10.13支付宝4279元【用户姓名:王昇；用户手机:13958071015；其他号码: 】</t>
  </si>
  <si>
    <t>王昇</t>
  </si>
  <si>
    <t>13958071015</t>
  </si>
  <si>
    <t>2025101322001460001417988813</t>
  </si>
  <si>
    <t>SKD251013255</t>
  </si>
  <si>
    <t>2025-10-13 16:56:06</t>
  </si>
  <si>
    <t>2025-10-14 09:04:46</t>
  </si>
  <si>
    <t>10.10支付宝19733元【用户姓名:陆荣德；用户手机:13805729029；其他号码: 】</t>
  </si>
  <si>
    <t>陆荣德</t>
  </si>
  <si>
    <t>13805729029</t>
  </si>
  <si>
    <t>2025101022001427831408384123</t>
  </si>
  <si>
    <t>SKD251013262</t>
  </si>
  <si>
    <t>2025-10-13 12:50:18</t>
  </si>
  <si>
    <t>2025-10-13 13:20:18</t>
  </si>
  <si>
    <t>JS.09.00032</t>
  </si>
  <si>
    <t>BTR800-EH30B年服务卡</t>
  </si>
  <si>
    <t>10.13转账7020元【用户姓名:桐庐佳尼特水处理设备有限公司；用户手机:13868175169；其他号码: 】</t>
  </si>
  <si>
    <t>13868175169</t>
  </si>
  <si>
    <t>SKD251013263</t>
  </si>
  <si>
    <t>2025-10-13 13:20:56</t>
  </si>
  <si>
    <t>2025-10-13 13:20:57</t>
  </si>
  <si>
    <t>10.12支付宝4764元【用户姓名:柴波；用户手机:15167136006；其他号码: 】</t>
  </si>
  <si>
    <t>柴波</t>
  </si>
  <si>
    <t>15167136006</t>
  </si>
  <si>
    <t>'2025101222001432091437911532</t>
  </si>
  <si>
    <t>采暖与工程收款单</t>
  </si>
  <si>
    <t>SKD251013264</t>
  </si>
  <si>
    <t>李扬-嘉兴</t>
  </si>
  <si>
    <t>中国建设银行股份有限公司海宁海洲支行</t>
  </si>
  <si>
    <t>4367421433147033933</t>
  </si>
  <si>
    <t>2025-10-13 13:15:39</t>
  </si>
  <si>
    <t>2025-10-13 13:27:16</t>
  </si>
  <si>
    <t>KX.00003</t>
  </si>
  <si>
    <t>KZQ45-M1Wi蒸烤一体烤箱</t>
  </si>
  <si>
    <t>王方燕25.10.13打入嘉兴建行9847.7元【用户姓名:嘉兴苏宁样机王方燕；用户手机: ；其他号码: 】</t>
  </si>
  <si>
    <t>嘉兴苏宁样机王方燕</t>
  </si>
  <si>
    <t>RQZ.00001</t>
  </si>
  <si>
    <t>JZT-F3B1S燃气灶通用地区</t>
  </si>
  <si>
    <t>KX.00010</t>
  </si>
  <si>
    <t>KZQ45-M5NWi烤箱</t>
  </si>
  <si>
    <t>SKD251013266</t>
  </si>
  <si>
    <t>2025-10-14 11:06:46</t>
  </si>
  <si>
    <t>2025-10-14 12:40:50</t>
  </si>
  <si>
    <t>RQBGL.00009</t>
  </si>
  <si>
    <t>LL1GBQ33-E10壁挂炉（配烟管403315-021）</t>
  </si>
  <si>
    <t>10.14抵15392元抵SKTKD251014001【用户姓名:陆荣徳；用户手机:13805729029；其他号码: 】</t>
  </si>
  <si>
    <t>陆荣徳</t>
  </si>
  <si>
    <t>SKD251013267</t>
  </si>
  <si>
    <t>2025-10-13 14:59:36</t>
  </si>
  <si>
    <t>2025-10-13 14:59:37</t>
  </si>
  <si>
    <t>10.12刷卡3279元(2623.2元+补贴655.8元）（用户名 胡素娥）【用户姓名:胡素娥；用户手机:15372011731；其他号码: 】</t>
  </si>
  <si>
    <t>胡素娥</t>
  </si>
  <si>
    <t>15372011731</t>
  </si>
  <si>
    <t>SKD251013268</t>
  </si>
  <si>
    <t>2025-10-13 14:08:22</t>
  </si>
  <si>
    <t>2025-10-13 14:59:50</t>
  </si>
  <si>
    <t>SKD251013272</t>
  </si>
  <si>
    <t>2025-10-13 14:35:28</t>
  </si>
  <si>
    <t>2025-10-13 15:20:49</t>
  </si>
  <si>
    <t>10.13支付宝4400元【用户姓名:金艳；用户手机:15158115000；其他号码: 】</t>
  </si>
  <si>
    <t>金艳</t>
  </si>
  <si>
    <t>15158115000</t>
  </si>
  <si>
    <t>2025101322001498041437650778</t>
  </si>
  <si>
    <t>SKD251013279</t>
  </si>
  <si>
    <t>2025-10-13 15:16:25</t>
  </si>
  <si>
    <t>2025-10-13 15:21:26</t>
  </si>
  <si>
    <t>10.13转账898元【用户姓名:袁芳；用户手机:13735439514；其他号码: 】</t>
  </si>
  <si>
    <t>袁芳</t>
  </si>
  <si>
    <t>13735439514</t>
  </si>
  <si>
    <t>2025101322001430861417666895</t>
  </si>
  <si>
    <t>SKD251013280</t>
  </si>
  <si>
    <t>2025-10-13 15:22:06</t>
  </si>
  <si>
    <t>2025-10-13 15:22:07</t>
  </si>
  <si>
    <t>10.12转账4481元【用户姓名:杭州中熠芯猫科技有限公司；用户手机:15957257720；其他号码: 】</t>
  </si>
  <si>
    <t>杭州中熠芯猫科技有限公司</t>
  </si>
  <si>
    <t>15957257720</t>
  </si>
  <si>
    <t>SKD251013292</t>
  </si>
  <si>
    <t>2025-10-13 15:31:57</t>
  </si>
  <si>
    <t>2025-10-13 16:49:08</t>
  </si>
  <si>
    <t>10.12支付宝7000元【用户姓名:张牡芬；用户手机:17816850215；其他号码: 】</t>
  </si>
  <si>
    <t>张牡芬</t>
  </si>
  <si>
    <t>17816850215</t>
  </si>
  <si>
    <t>2025101222001404141445649128</t>
  </si>
  <si>
    <t>SKD251013320</t>
  </si>
  <si>
    <t>2025-10-13 16:49:55</t>
  </si>
  <si>
    <t>2025-10-13 16:49:56</t>
  </si>
  <si>
    <t>10.11刷卡3000元【用户姓名：葛芬】【用户姓名:葛芬；用户手机: ；其他号码: 】</t>
  </si>
  <si>
    <t>SKD251013322</t>
  </si>
  <si>
    <t>2025-10-13 16:44:22</t>
  </si>
  <si>
    <t>2025-10-13 16:50:22</t>
  </si>
  <si>
    <t>10.13支付宝3395元【用户姓名:陈广；用户手机:18668003808；其他号码: 】</t>
  </si>
  <si>
    <t>2025101322001419761432449072</t>
  </si>
  <si>
    <t>SKD251014002</t>
  </si>
  <si>
    <t>2025-10-14 08:38:51</t>
  </si>
  <si>
    <t>2025-10-14 09:04:08</t>
  </si>
  <si>
    <t>2025.10.14金华建行4039【用户姓名:严成胜；用户手机: ；其他号码: 】</t>
  </si>
  <si>
    <t>SKD251014010</t>
  </si>
  <si>
    <t>2025-10-14 09:39:44</t>
  </si>
  <si>
    <t>2025-10-14 13:05:03</t>
  </si>
  <si>
    <t>10.14金华建行6354【用户姓名:郑星；用户手机: ；其他号码: 】</t>
  </si>
  <si>
    <t>SKD251014022</t>
  </si>
  <si>
    <t>2025-10-14 12:46:11</t>
  </si>
  <si>
    <t>2025-10-14 12:48:50</t>
  </si>
  <si>
    <t>YYJ.00011</t>
  </si>
  <si>
    <t>CXW-350-Q2CWi 顶侧双吸油烟机</t>
  </si>
  <si>
    <t>10.14支付宝5100【用户姓名:钟正祥；用户手机:13067965778；其他号码: 】</t>
  </si>
  <si>
    <t>钟正祥</t>
  </si>
  <si>
    <t>13067965778</t>
  </si>
  <si>
    <t>2025101422001479671407338892</t>
  </si>
  <si>
    <t>SKD251014043</t>
  </si>
  <si>
    <t>2025-10-14 11:54:48</t>
  </si>
  <si>
    <t>2025-10-14 12:49:20</t>
  </si>
  <si>
    <t>10.14支付宝3958元【用户姓名:胡云静；用户手机:15967126474；其他号码: 】</t>
  </si>
  <si>
    <t>胡云静</t>
  </si>
  <si>
    <t>15967126474</t>
  </si>
  <si>
    <t>2025101422001462201424376544</t>
  </si>
  <si>
    <t>SKD251014044</t>
  </si>
  <si>
    <t>2025-10-14 12:50:15</t>
  </si>
  <si>
    <t>2025-10-14 12:50:16</t>
  </si>
  <si>
    <t>RQRS.00015</t>
  </si>
  <si>
    <t>JSQ31-VJSAi(玻璃面板) 燃气快速热水器</t>
  </si>
  <si>
    <t>10.13中信6440元【用户姓名:杭州扎美珂暖通设备有限公司；用户手机:18868716312；其他号码: 】</t>
  </si>
  <si>
    <t>杭州扎美珂暖通设备有限公司</t>
  </si>
  <si>
    <t>18868716312</t>
  </si>
  <si>
    <t>SKD251014046</t>
  </si>
  <si>
    <t>2025-10-14 12:57:56</t>
  </si>
  <si>
    <t>2025-10-14 13:05:33</t>
  </si>
  <si>
    <t>10.14支付宝1310元【用户姓名:吴怡蒲；用户手机:15968144469；其他号码: 】</t>
  </si>
  <si>
    <t>吴怡蒲</t>
  </si>
  <si>
    <t>15968144469</t>
  </si>
  <si>
    <t>2025101422001440281405077131</t>
  </si>
  <si>
    <t>SKD251014047</t>
  </si>
  <si>
    <t>2025-10-14 13:19:52</t>
  </si>
  <si>
    <t>2025-10-14 14:41:37</t>
  </si>
  <si>
    <t>顾客名字错误，空进空退抵SKTKD251014004【用户姓名:洪二香；用户手机:13738157701；其他号码: 】</t>
  </si>
  <si>
    <t>SKD251014048</t>
  </si>
  <si>
    <t>2025-10-14 13:21:13</t>
  </si>
  <si>
    <t>2025-10-14 14:42:10</t>
  </si>
  <si>
    <t>顾客名字错误，空进空退抵SKTKD251014005【用户姓名:洪二香；用户手机:13738157701；其他号码: 】</t>
  </si>
  <si>
    <t>SKD251014049</t>
  </si>
  <si>
    <t>2025/10/15</t>
  </si>
  <si>
    <t>2025-10-15 17:00:35</t>
  </si>
  <si>
    <t>2025-10-14 15:30:27</t>
  </si>
  <si>
    <t>10.14刷卡6291元（5032.8+补贴1258.2元）【用户姓名:吴怡蒲；用户手机:15968144469；其他号码: 】</t>
  </si>
  <si>
    <t>SKD251014050</t>
  </si>
  <si>
    <t>2025-10-14 13:30:52</t>
  </si>
  <si>
    <t>2025-10-14 15:30:41</t>
  </si>
  <si>
    <t>SKD251014058</t>
  </si>
  <si>
    <t>2025-10-14 14:44:32</t>
  </si>
  <si>
    <t>2025-10-14 14:45:32</t>
  </si>
  <si>
    <t>YSJ.00034</t>
  </si>
  <si>
    <t>R1400F型净水机</t>
  </si>
  <si>
    <t>10.14转账11629.80元【用户姓名:泰州锦禧商贸有限公司；用户手机:18652866040；其他号码: 】</t>
  </si>
  <si>
    <t>SKD251014063</t>
  </si>
  <si>
    <t>董培培</t>
  </si>
  <si>
    <t>净水截止2025年10月14日累计未回款5250.12元（含总差异少0.27（0.09+0.03））</t>
  </si>
  <si>
    <t>2025-10-14 15:25:30</t>
  </si>
  <si>
    <t>2025-10-14 15:28:32</t>
  </si>
  <si>
    <t>2025年10月14日汇德隆净水打入中信银行1621083元【用户姓名: ；用户手机: ；其他号码: 】</t>
  </si>
  <si>
    <t>2025年7.10～9.9商场结算净水</t>
  </si>
  <si>
    <t>SKD251014065</t>
  </si>
  <si>
    <t>2025-10-14 15:20:02</t>
  </si>
  <si>
    <t>2025-10-14 15:20:03</t>
  </si>
  <si>
    <t>RQRS.00048</t>
  </si>
  <si>
    <t>JSLQ28-AJEWi燃气热水器</t>
  </si>
  <si>
    <t>10.11刷卡5766元（4612.8+补贴1153.2元）【用户姓名:郁佳斌；用户手机:15824477050；其他号码: 】</t>
  </si>
  <si>
    <t>郁佳斌</t>
  </si>
  <si>
    <t>15824477050</t>
  </si>
  <si>
    <t>SKD251014066</t>
  </si>
  <si>
    <t>2025-10-14 15:00:19</t>
  </si>
  <si>
    <t>2025-10-14 15:20:16</t>
  </si>
  <si>
    <t>SKD251014068</t>
  </si>
  <si>
    <t>烟灶截止2025年10月14日累计未回款0元</t>
  </si>
  <si>
    <t>2025-10-14 15:28:09</t>
  </si>
  <si>
    <t>2025-10-14 15:28:43</t>
  </si>
  <si>
    <t>2025年10月14日汇德隆烟灶打入中信银行回款62620.6元【用户姓名: ；用户手机: ；其他号码: 】</t>
  </si>
  <si>
    <t>2025年6.10～9.9商场结算（烟灶）</t>
  </si>
  <si>
    <t>SKD251014069</t>
  </si>
  <si>
    <t>2025-10-14 15:26:56</t>
  </si>
  <si>
    <t>2025-10-14 15:26:57</t>
  </si>
  <si>
    <t>10.14支付宝3600元【用户姓名:刘丹群；用户手机:17826868097；其他号码: 】</t>
  </si>
  <si>
    <t>刘丹群</t>
  </si>
  <si>
    <t>17826868097</t>
  </si>
  <si>
    <t>2025101422001405621443602812</t>
  </si>
  <si>
    <t>SKD251014070</t>
  </si>
  <si>
    <t>2025-10-23 16:23:54</t>
  </si>
  <si>
    <t>2025-10-23 16:23:56</t>
  </si>
  <si>
    <t>10.14支付宝2789元【用户姓名:俞馨怡；用户手机:17858529170；其他号码: 】</t>
  </si>
  <si>
    <t>俞馨怡</t>
  </si>
  <si>
    <t>17858529170</t>
  </si>
  <si>
    <t>2025101422001405791453400717</t>
  </si>
  <si>
    <t>SKD251014079</t>
  </si>
  <si>
    <t>2025-10-14 15:31:49</t>
  </si>
  <si>
    <t>2025-10-14 15:31:50</t>
  </si>
  <si>
    <t>汇德隆家电超市10.14中信银行300000元整【用户姓名: ；用户手机: ；其他号码: 】</t>
  </si>
  <si>
    <t>SKD251014080</t>
  </si>
  <si>
    <t>2025-10-14 15:33:51</t>
  </si>
  <si>
    <t>2025-10-14 15:35:23</t>
  </si>
  <si>
    <t>DR.00183</t>
  </si>
  <si>
    <t xml:space="preserve">CTE-60J1佳尼特电热水器  </t>
  </si>
  <si>
    <t>10.14转账1621元【用户姓名:杭州中熠芯猫科技有限公司；用户手机:15857190638；其他号码: 】</t>
  </si>
  <si>
    <t>15857190638</t>
  </si>
  <si>
    <t>SKD251014108</t>
  </si>
  <si>
    <t>2025-10-14 16:37:19</t>
  </si>
  <si>
    <t>2025-10-15 14:24:40</t>
  </si>
  <si>
    <t>杨立锋转卖罗飞阳抵SKTKD251009002【用户姓名:杨立锋；用户手机:15906665157；其他号码: 】</t>
  </si>
  <si>
    <t>15906665157</t>
  </si>
  <si>
    <t>SKD251014109</t>
  </si>
  <si>
    <t>2025-10-14 16:39:01</t>
  </si>
  <si>
    <t>2025-10-15 14:25:09</t>
  </si>
  <si>
    <t>杨立锋转卖罗飞阳抵SKTKD251009003【用户姓名:杨立锋；用户手机:15906665157；其他号码: 】</t>
  </si>
  <si>
    <t>SKD251015005</t>
  </si>
  <si>
    <t>2025-10-15 10:32:39</t>
  </si>
  <si>
    <t>2025-10-15 10:32:40</t>
  </si>
  <si>
    <t>10.14刷卡1950元（1560+补贴390元）【用户姓名:龙光珍；用户手机:15068159174；其他号码: 】</t>
  </si>
  <si>
    <t>龙光珍</t>
  </si>
  <si>
    <t>15068159174</t>
  </si>
  <si>
    <t>SKD251015006</t>
  </si>
  <si>
    <t>2025-10-15 08:56:29</t>
  </si>
  <si>
    <t>2025-10-15 10:32:56</t>
  </si>
  <si>
    <t>SKD251015010</t>
  </si>
  <si>
    <t>2025-10-15 09:01:25</t>
  </si>
  <si>
    <t>2025-10-15 10:33:16</t>
  </si>
  <si>
    <t>温州吉远电器有限公司25.10.15打入中信5万【用户姓名: ；用户手机: ；其他号码: 】</t>
  </si>
  <si>
    <t>内部组织</t>
  </si>
  <si>
    <t>SKD251015026</t>
  </si>
  <si>
    <t>2025-10-15 09:25:52</t>
  </si>
  <si>
    <t>2025-10-15 10:33:44</t>
  </si>
  <si>
    <t>10.14转账2462.20元【用户姓名:宁波得金智慧科技有限公司；用户手机:13989808868；其他号码: 】</t>
  </si>
  <si>
    <t>13989808868</t>
  </si>
  <si>
    <t>SKD251015032</t>
  </si>
  <si>
    <t>2025-10-15 10:34:19</t>
  </si>
  <si>
    <t>10.14刷卡828元（703.8+补贴124.20元）【用户姓名:李霞；用户手机:18268818110；其他号码: 】</t>
  </si>
  <si>
    <t>李霞</t>
  </si>
  <si>
    <t>18268818110</t>
  </si>
  <si>
    <t>SKD251015033</t>
  </si>
  <si>
    <t>2025-10-15 09:33:31</t>
  </si>
  <si>
    <t>2025-10-15 10:34:30</t>
  </si>
  <si>
    <t>SKD251015035</t>
  </si>
  <si>
    <t>2025-10-15 09:34:44</t>
  </si>
  <si>
    <t>2025-10-15 10:37:13</t>
  </si>
  <si>
    <t>DRSQ.00033</t>
  </si>
  <si>
    <t>CEWHR-60PEWi储水电热水器</t>
  </si>
  <si>
    <t>10.14支付宝2950元【用户姓名:朱照红；用户手机:13906886816；其他号码: 】</t>
  </si>
  <si>
    <t>朱照红</t>
  </si>
  <si>
    <t>13906886816</t>
  </si>
  <si>
    <t>2025101422001427521430443509</t>
  </si>
  <si>
    <t>SKD251015063</t>
  </si>
  <si>
    <t>2025-10-15 10:49:19</t>
  </si>
  <si>
    <t>2025-10-15 14:18:02</t>
  </si>
  <si>
    <t>10.15转账8380元（【用户姓名:杭州允选科技有限公司；用户手机:15257746926；其他号码: 】</t>
  </si>
  <si>
    <t>二级网点</t>
  </si>
  <si>
    <t>15257746926</t>
  </si>
  <si>
    <t>SKD251015126</t>
  </si>
  <si>
    <t>2025-10-15 14:20:20</t>
  </si>
  <si>
    <t>2025-10-15 14:20:21</t>
  </si>
  <si>
    <t>10.12扫码5872元【用户姓名:夏林梅；用户手机:15858218361；其他号码: 】</t>
  </si>
  <si>
    <t>夏林梅</t>
  </si>
  <si>
    <t>15858218361</t>
  </si>
  <si>
    <t>SKD251015224</t>
  </si>
  <si>
    <t>2025-10-15 15:16:08</t>
  </si>
  <si>
    <t>2025-10-15 15:16:10</t>
  </si>
  <si>
    <t>10.10刷卡3275元（2620元+补贴655元）【用户姓名:张磊；用户手机:13858186125；其他号码: 】</t>
  </si>
  <si>
    <t>张磊</t>
  </si>
  <si>
    <t>13858186125</t>
  </si>
  <si>
    <t>SKD251015225</t>
  </si>
  <si>
    <t>2025-10-15 15:16:25</t>
  </si>
  <si>
    <t>2025-10-15 15:16:26</t>
  </si>
  <si>
    <t>SKD251015276</t>
  </si>
  <si>
    <t>2025-10-15 16:52:59</t>
  </si>
  <si>
    <t>2025-10-15 16:53:01</t>
  </si>
  <si>
    <t>YYJ.00014</t>
  </si>
  <si>
    <t xml:space="preserve"> CXW-200-S5AWi（含风机箱409639-074，共两件）油烟机 </t>
  </si>
  <si>
    <t>10.7刷卡6059元（4847.20+补贴1211.80元）【用户姓名:金惠珍；用户手机:19157676797；其他号码: 】</t>
  </si>
  <si>
    <t>金惠珍</t>
  </si>
  <si>
    <t>19157676797</t>
  </si>
  <si>
    <t>SKD251015278</t>
  </si>
  <si>
    <t>2025-10-15 16:53:13</t>
  </si>
  <si>
    <t>2025-10-15 16:53:14</t>
  </si>
  <si>
    <t>SKD251015285</t>
  </si>
  <si>
    <t>2025-10-15 16:57:32</t>
  </si>
  <si>
    <t>2025-10-16 12:06:49</t>
  </si>
  <si>
    <t>10.15转账10972元【用户姓名：浙江百灵电气集团有限公司】【用户姓名:浙江百灵电气集团有限公司；用户手机:13336105253；其他号码: 】</t>
  </si>
  <si>
    <t>浙江百灵电气集团有限公司</t>
  </si>
  <si>
    <t>13336105253</t>
  </si>
  <si>
    <t>SKD251016048</t>
  </si>
  <si>
    <t>2025年10月祝丽平结算(换新80）</t>
  </si>
  <si>
    <t>2025/10/16</t>
  </si>
  <si>
    <t>2025-10-16 12:07:58</t>
  </si>
  <si>
    <t>2025-10-16 12:07:59</t>
  </si>
  <si>
    <t>2025年10月15日中信银行收款【用户姓名:2025年10月结算(换新80-83）；用户手机: ；其他号码: 】</t>
  </si>
  <si>
    <t>2025年10月结算(换新80-83）</t>
  </si>
  <si>
    <t>2025年10月客户结算(换新81）</t>
  </si>
  <si>
    <t>2025年10月俞彩花结算(换新82）</t>
  </si>
  <si>
    <t>2025年10月林海娃结算(换新83）</t>
  </si>
  <si>
    <t>SKD251016050</t>
  </si>
  <si>
    <t>2025年10月叶小红结算(换新84）</t>
  </si>
  <si>
    <t>2025-10-16 12:09:19</t>
  </si>
  <si>
    <t>2025-10-16 12:09:20</t>
  </si>
  <si>
    <t>2025年10月16日中信银行收款【用户姓名:2025年10月叶小红结算(换新84）；用户手机: ；其他号码: 】</t>
  </si>
  <si>
    <t>SKD251016055</t>
  </si>
  <si>
    <t>2025/10/17</t>
  </si>
  <si>
    <t>2025年10月吴晓斌结算(换新85）</t>
  </si>
  <si>
    <t>2025-10-21 09:50:46</t>
  </si>
  <si>
    <t>2025-10-21 09:50:48</t>
  </si>
  <si>
    <t>2025年10月17日中信银行收款【用户姓名:2025年10月结算(换新85-94）；用户手机: ；其他号码: 】</t>
  </si>
  <si>
    <t>2025年10月结算(换新85-94）</t>
  </si>
  <si>
    <t>2025年10月芊杉酒店结算(换新86）</t>
  </si>
  <si>
    <t>2025年10月陈祖强结算(换新87）</t>
  </si>
  <si>
    <t>2025年10月金琰结算(换新88）</t>
  </si>
  <si>
    <t>2025年10月陈明峰结算(换新89）</t>
  </si>
  <si>
    <t>2025年10月沈国英结算(换新90）</t>
  </si>
  <si>
    <t>2025年10月蒋永方结算(换新91）</t>
  </si>
  <si>
    <t>2025年10月客户结算(换新92）</t>
  </si>
  <si>
    <t>2025年10月倪建林结算(换新93）</t>
  </si>
  <si>
    <t>2025年10月夏晓曙结算(换新94）</t>
  </si>
  <si>
    <t>SKD251016080</t>
  </si>
  <si>
    <t>2025-10-16 12:10:19</t>
  </si>
  <si>
    <t>2025-10-16 12:10:20</t>
  </si>
  <si>
    <t>10.15扫码牌800元【用户姓名：曹洋】【用户姓名:曹洋；用户手机:18814833660；其他号码: 】</t>
  </si>
  <si>
    <t>曹洋</t>
  </si>
  <si>
    <t>18814833660</t>
  </si>
  <si>
    <t>2025101522001482171413112763</t>
  </si>
  <si>
    <t>SKD251016086</t>
  </si>
  <si>
    <t>2025-10-16 10:42:52</t>
  </si>
  <si>
    <t>2025-10-16 12:10:46</t>
  </si>
  <si>
    <t>DRSQ.00066</t>
  </si>
  <si>
    <t>CEWH-80D3Wi储水式热水器</t>
  </si>
  <si>
    <t>10.15转账3180元【用户姓名:湖州中太芯猫科技有限公司；用户手机:18757233608；其他号码: 】</t>
  </si>
  <si>
    <t>18757233608</t>
  </si>
  <si>
    <t>SKD251016112</t>
  </si>
  <si>
    <t>2025-10-23 16:28:29</t>
  </si>
  <si>
    <t>2025-10-23 16:28:31</t>
  </si>
  <si>
    <t>RQRS.00024</t>
  </si>
  <si>
    <t>JSQ48-MJSWi燃气快速热水器</t>
  </si>
  <si>
    <t>10.15转账10124元【用户姓名：倪旭栋】【用户姓名:倪旭栋；用户手机:13355783541；其他号码: 】</t>
  </si>
  <si>
    <t>倪旭栋</t>
  </si>
  <si>
    <t>13355783541</t>
  </si>
  <si>
    <t>2025101522001465641449952571</t>
  </si>
  <si>
    <t>SKD251016118</t>
  </si>
  <si>
    <t>刘新颖</t>
  </si>
  <si>
    <t>2025-10-16 13:50:59</t>
  </si>
  <si>
    <t>2025-10-16 14:12:50</t>
  </si>
  <si>
    <t>2025.10.16金华建行4277【用户姓名:严成胜；用户手机: ；其他号码: 】</t>
  </si>
  <si>
    <t>SKD251016122</t>
  </si>
  <si>
    <t>2025-10-16 14:00:03</t>
  </si>
  <si>
    <t>2025-10-16 14:11:50</t>
  </si>
  <si>
    <t>RQ.00007</t>
  </si>
  <si>
    <t>EMGP-50C燃气容积热水器（含风机附件箱，共两件）</t>
  </si>
  <si>
    <t>10.16转账6917.96元【用户姓名:宁波得金智慧科技有限公司；用户手机:13056960869；其他号码: 】</t>
  </si>
  <si>
    <t>13056960869</t>
  </si>
  <si>
    <t>SKD251016128</t>
  </si>
  <si>
    <t>2025-10-16 14:18:25</t>
  </si>
  <si>
    <t>2025-10-16 14:49:08</t>
  </si>
  <si>
    <t>10.16支付宝3679元【用户姓名:张丽；用户手机:13867114688；其他号码: 】</t>
  </si>
  <si>
    <t>张丽</t>
  </si>
  <si>
    <t>13867114688</t>
  </si>
  <si>
    <t>2025101622001416461427634305</t>
  </si>
  <si>
    <t>SKD251016148</t>
  </si>
  <si>
    <t>2025-10-17 09:20:57</t>
  </si>
  <si>
    <t>2025-10-16 15:55:47</t>
  </si>
  <si>
    <t>10.16刷卡3636元（2908.8+补贴727.2元）【用户姓名:孙志佳；用户手机:18067974675；其他号码: 】</t>
  </si>
  <si>
    <t>孙志佳</t>
  </si>
  <si>
    <t>18067974675</t>
  </si>
  <si>
    <t>SKD251016149</t>
  </si>
  <si>
    <t>2025-10-16 14:57:28</t>
  </si>
  <si>
    <t>2025-10-16 15:55:58</t>
  </si>
  <si>
    <t>SKD251016150</t>
  </si>
  <si>
    <t>2025-10-16 16:06:34</t>
  </si>
  <si>
    <t>2025-10-16 16:06:35</t>
  </si>
  <si>
    <t>DS.00224</t>
  </si>
  <si>
    <t>E60VDS储水式电热水器</t>
  </si>
  <si>
    <t>10.15刷卡2450元（1960+补贴490元）【用户姓名:刘勒；用户手机:13867133070；其他号码: 】</t>
  </si>
  <si>
    <t>刘勒</t>
  </si>
  <si>
    <t>13867133070</t>
  </si>
  <si>
    <t>SKD251016151</t>
  </si>
  <si>
    <t>2025-10-16 16:04:45</t>
  </si>
  <si>
    <t>2025-10-16 16:06:41</t>
  </si>
  <si>
    <t>SKD251016154</t>
  </si>
  <si>
    <t>2025-10-17 09:21:34</t>
  </si>
  <si>
    <t>2025-10-16 15:56:33</t>
  </si>
  <si>
    <t>10.16刷卡3394元（2715.2+补贴678.8元）【用户姓名:孙淑芸；用户手机:13588831203；其他号码: 】</t>
  </si>
  <si>
    <t>孙淑芸</t>
  </si>
  <si>
    <t>13588831203</t>
  </si>
  <si>
    <t>SKD251016155</t>
  </si>
  <si>
    <t>2025-10-16 15:18:34</t>
  </si>
  <si>
    <t>2025-10-16 15:56:50</t>
  </si>
  <si>
    <t>SKD251016156</t>
  </si>
  <si>
    <t>2025-10-16 15:19:01</t>
  </si>
  <si>
    <t>2025-10-16 15:57:23</t>
  </si>
  <si>
    <t>10.16支付宝242【用户姓名:孙淑芸；用户手机:13588831203；其他号码: 】</t>
  </si>
  <si>
    <t>2025101622001413021401752604</t>
  </si>
  <si>
    <t>SKD251016162</t>
  </si>
  <si>
    <t>2025-10-16 15:33:55</t>
  </si>
  <si>
    <t>2025-10-16 15:57:42</t>
  </si>
  <si>
    <t>2025.10.16支付宝付款890【用户姓名:杨红伟；用户手机:13906518292；其他号码: 】</t>
  </si>
  <si>
    <t>杨红伟</t>
  </si>
  <si>
    <t>13906518292</t>
  </si>
  <si>
    <t>2025101622001460461437517643</t>
  </si>
  <si>
    <t>SKD251016175</t>
  </si>
  <si>
    <t>2025-10-16 16:47:48</t>
  </si>
  <si>
    <t>2025-10-16 16:51:37</t>
  </si>
  <si>
    <t>10.15支付宝890元【用户姓名:叶承德；用户手机:13958101437；其他号码: 】</t>
  </si>
  <si>
    <t>叶承德</t>
  </si>
  <si>
    <t>13958101437</t>
  </si>
  <si>
    <t>2025101523001440401448742389</t>
  </si>
  <si>
    <t>SKD251016177</t>
  </si>
  <si>
    <t>2025-10-16 16:17:01</t>
  </si>
  <si>
    <t>2025-10-16 16:51:10</t>
  </si>
  <si>
    <t>2026.10.16支付宝支付3439【用户姓名:朱维明；用户手机:13588163990；其他号码: 】</t>
  </si>
  <si>
    <t>朱维明</t>
  </si>
  <si>
    <t>13588163990</t>
  </si>
  <si>
    <t>2025101622001410771413883507</t>
  </si>
  <si>
    <t>SKD251016201</t>
  </si>
  <si>
    <t>中博金华截止25年10.16号累计剩2455元未回款（国补555+1180+720元未回款）</t>
  </si>
  <si>
    <t>2025-10-16 18:29:06</t>
  </si>
  <si>
    <t>2025-10-17 09:04:08</t>
  </si>
  <si>
    <t>2025年10月16号中信收到8148元，【用户姓名:杭州中博智能电器有限公司；用户手机: ；其他号码: 】</t>
  </si>
  <si>
    <t>中博2025年4月结算（金华）</t>
  </si>
  <si>
    <t>SKD251016202</t>
  </si>
  <si>
    <t>2025-10-16 18:31:28</t>
  </si>
  <si>
    <t>2025-10-17 09:04:18</t>
  </si>
  <si>
    <t>中博2025年6月结算（金华）</t>
  </si>
  <si>
    <t>SKD251017001</t>
  </si>
  <si>
    <t>2025-10-17 13:21:37</t>
  </si>
  <si>
    <t>2025-10-17 13:21:38</t>
  </si>
  <si>
    <t>10.16扫码付4798元【用户姓名:周建；用户手机:18042018900；其他号码:13757124203】</t>
  </si>
  <si>
    <t>周建</t>
  </si>
  <si>
    <t>18042018900</t>
  </si>
  <si>
    <t>13757124203</t>
  </si>
  <si>
    <t>SKD251017012</t>
  </si>
  <si>
    <t>截止25年10月17日累计未回款0元</t>
  </si>
  <si>
    <t>2025-10-17 11:25:27</t>
  </si>
  <si>
    <t>2025-10-17 13:21:58</t>
  </si>
  <si>
    <t>2025年10月16日电汇中信36202元【用户姓名:贝壳美家供应链管理（浙江）有限责任公司；用户手机: ；其他号码: 】</t>
  </si>
  <si>
    <t>2025年8月结算</t>
  </si>
  <si>
    <t>SKD251017015</t>
  </si>
  <si>
    <t>2025-10-17 09:53:51</t>
  </si>
  <si>
    <t>2025-10-17 13:24:25</t>
  </si>
  <si>
    <t>10.17金华建行3120元【用户姓名:郑星；用户手机: ；其他号码: 】</t>
  </si>
  <si>
    <t>SKD251017041</t>
  </si>
  <si>
    <t>杭州截止25年10.17号累计剩175862.95元未回款（国补176037.95-175多结元未回款）</t>
  </si>
  <si>
    <t>2025-10-17 13:55:48</t>
  </si>
  <si>
    <t>2025-10-17 13:55:49</t>
  </si>
  <si>
    <t>2025年10月17日电汇中信113351.2元【用户姓名:杭州中博智能电器有限公司；用户手机: ；其他号码: 】</t>
  </si>
  <si>
    <t>中博2025年9月结算（杭州）</t>
  </si>
  <si>
    <t>SKD251017056</t>
  </si>
  <si>
    <t>2025-10-17 13:31:55</t>
  </si>
  <si>
    <t>2025-10-17 13:31:56</t>
  </si>
  <si>
    <t>10.15刷卡1860元（1488+补贴372元）（用户名 金恵珍）【用户姓名:金惠珍；用户手机: ；其他号码: 】</t>
  </si>
  <si>
    <t>SKD251017067</t>
  </si>
  <si>
    <t>2025-10-17 13:46:35</t>
  </si>
  <si>
    <t>2025-10-17 13:46:37</t>
  </si>
  <si>
    <t>10.13刷卡2480元（1984+补贴496元）（用户名 葛芬）【用户姓名:葛芬；用户手机: ；其他号码: 】</t>
  </si>
  <si>
    <t>SKD251017089</t>
  </si>
  <si>
    <t>2025-10-17 13:33:21</t>
  </si>
  <si>
    <t>2025-10-17 13:33:22</t>
  </si>
  <si>
    <t>SKD251017090</t>
  </si>
  <si>
    <t>2025-10-17 13:47:02</t>
  </si>
  <si>
    <t>2025-10-17 13:47:03</t>
  </si>
  <si>
    <t>SKD251017105</t>
  </si>
  <si>
    <t>2025-10-17 12:55:42</t>
  </si>
  <si>
    <t>2025-10-17 13:34:36</t>
  </si>
  <si>
    <t>10.17支付宝799元【用户姓名:鲁迁；用户手机:13958058865；其他号码: 】</t>
  </si>
  <si>
    <t>鲁迁</t>
  </si>
  <si>
    <t>13958058865</t>
  </si>
  <si>
    <t>2025101722001414891450248851</t>
  </si>
  <si>
    <t>SKD251017106</t>
  </si>
  <si>
    <t>2025/10/20</t>
  </si>
  <si>
    <t>2025-10-21 15:11:07</t>
  </si>
  <si>
    <t>2025-10-17 15:49:02</t>
  </si>
  <si>
    <t>10.17刷卡729元（619.65+补贴109.35元）【用户姓名:张晓莉；用户手机:18119944112；其他号码: 】</t>
  </si>
  <si>
    <t>张晓莉</t>
  </si>
  <si>
    <t>18119944112</t>
  </si>
  <si>
    <t>SKD251017107</t>
  </si>
  <si>
    <t>2025-10-17 15:47:31</t>
  </si>
  <si>
    <t>2025-10-17 15:49:13</t>
  </si>
  <si>
    <t>SKD251017108</t>
  </si>
  <si>
    <t>2025-10-17 13:08:46</t>
  </si>
  <si>
    <t>2025-10-17 13:35:31</t>
  </si>
  <si>
    <t>10.17支付宝7351元【用户姓名:李靓；用户手机:18657196161；其他号码: 】</t>
  </si>
  <si>
    <t>李靓</t>
  </si>
  <si>
    <t>18657196161</t>
  </si>
  <si>
    <t>2025101722001447511404149797</t>
  </si>
  <si>
    <t>SKD251017113</t>
  </si>
  <si>
    <t>2025-10-17 13:36:14</t>
  </si>
  <si>
    <t>2025-10-17 13:36:15</t>
  </si>
  <si>
    <t>10.17支付宝转账850元【用户姓名:徐大卫；用户手机:13588880066；其他号码: 】</t>
  </si>
  <si>
    <t>徐大卫</t>
  </si>
  <si>
    <t>13588880066</t>
  </si>
  <si>
    <t>2025101722001487621408267229</t>
  </si>
  <si>
    <t>SKD251017169</t>
  </si>
  <si>
    <t>2025-10-17 13:57:03</t>
  </si>
  <si>
    <t>2025-10-17 13:57:12</t>
  </si>
  <si>
    <t>RQRS.00017</t>
  </si>
  <si>
    <t>JSQ26-ESCAi 燃气快速热水器通用防冻</t>
  </si>
  <si>
    <t>10.16刷卡4000元（3400+补贴600元）【用户姓名:夏顺兰；用户手机:13003695518；其他号码: 】</t>
  </si>
  <si>
    <t>夏顺兰</t>
  </si>
  <si>
    <t>13003695518</t>
  </si>
  <si>
    <t>SKD251017170</t>
  </si>
  <si>
    <t>2025-10-17 13:51:20</t>
  </si>
  <si>
    <t>2025-10-17 13:57:28</t>
  </si>
  <si>
    <t>SKD251017171</t>
  </si>
  <si>
    <t>2025-10-17 13:51:56</t>
  </si>
  <si>
    <t>2025-10-17 13:57:56</t>
  </si>
  <si>
    <t>10.16支付宝400元【用户姓名:夏顺兰；用户手机:13003695518；其他号码: 】</t>
  </si>
  <si>
    <t>2025101622001472271426927109</t>
  </si>
  <si>
    <t>SKD251017203</t>
  </si>
  <si>
    <t>2025-10-17 14:42:53</t>
  </si>
  <si>
    <t>2025-10-17 14:42:54</t>
  </si>
  <si>
    <t>10.11刷卡32元【用户姓名:杨立锋；用户手机: ；其他号码: 】</t>
  </si>
  <si>
    <t>SKD251017221</t>
  </si>
  <si>
    <t>2025-10-17 15:11:46</t>
  </si>
  <si>
    <t>2025-10-17 15:42:56</t>
  </si>
  <si>
    <t>10.17支付宝1700元【用户姓名:钟明亮；用户手机:13600514329；其他号码: 】</t>
  </si>
  <si>
    <t>钟明亮</t>
  </si>
  <si>
    <t>13600514329</t>
  </si>
  <si>
    <t>2025101722001405291416794536</t>
  </si>
  <si>
    <t>SKD251017261</t>
  </si>
  <si>
    <t>李扬-杭州</t>
  </si>
  <si>
    <t>中国建设银行股份有限公司杭州文三路支行</t>
  </si>
  <si>
    <t>1540159980110009442</t>
  </si>
  <si>
    <t>2025-10-17 15:37:32</t>
  </si>
  <si>
    <t>2025-10-17 15:44:57</t>
  </si>
  <si>
    <t>DR.01.00001</t>
  </si>
  <si>
    <t>CEWH-60BS-B储水电热水器</t>
  </si>
  <si>
    <t>10.17转账建行1700元【用户姓名:朱海燕；用户手机:13506857485；其他号码:13777301652】</t>
  </si>
  <si>
    <t>朱海燕</t>
  </si>
  <si>
    <t>13506857485</t>
  </si>
  <si>
    <t>13777301652</t>
  </si>
  <si>
    <t>SKD251017271</t>
  </si>
  <si>
    <t>2025-10-21 10:07:18</t>
  </si>
  <si>
    <t>2025-10-21 10:07:19</t>
  </si>
  <si>
    <t>10.16刷卡1000元【用户姓名:张勤宝；用户手机: ；其他号码: 】</t>
  </si>
  <si>
    <t>张勤宝</t>
  </si>
  <si>
    <t>未送货，现退款</t>
  </si>
  <si>
    <t>SKD251017301</t>
  </si>
  <si>
    <t>2025-10-18 09:16:50</t>
  </si>
  <si>
    <t>2025-10-18 09:18:48</t>
  </si>
  <si>
    <t>10.17转账7438.76元【用户姓名:宁波得金智慧科技有限公司；用户手机:18167226579；其他号码: 】</t>
  </si>
  <si>
    <t>18167226579</t>
  </si>
  <si>
    <t>SKD251017302</t>
  </si>
  <si>
    <t>2025-10-17 16:51:06</t>
  </si>
  <si>
    <t>2025-10-18 10:03:42</t>
  </si>
  <si>
    <t>10.17支付宝转账700元（用户名 高延飞）【用户姓名:高延飞；用户手机:13906539068；其他号码: 】</t>
  </si>
  <si>
    <t>高延飞</t>
  </si>
  <si>
    <t>13906539068</t>
  </si>
  <si>
    <t>2025101722001409001426599095</t>
  </si>
  <si>
    <t>SKD251017303</t>
  </si>
  <si>
    <t>2025-10-21 09:38:22</t>
  </si>
  <si>
    <t>2025-10-18 10:02:57</t>
  </si>
  <si>
    <t>10.17刷卡3000元(2400元+补贴600元）（用户名 高延飞）【用户姓名:高延飞；用户手机:13906539068；其他号码: 】</t>
  </si>
  <si>
    <t>SKD251017304</t>
  </si>
  <si>
    <t>2025-10-17 16:56:29</t>
  </si>
  <si>
    <t>2025-10-18 10:03:04</t>
  </si>
  <si>
    <t>SKD251017307</t>
  </si>
  <si>
    <t>2025-10-21 09:38:55</t>
  </si>
  <si>
    <t>2025-10-18 10:05:44</t>
  </si>
  <si>
    <t>10.16刷卡2975元（2380+补贴595元）【用户姓名:戚明火；用户手机:13868188828；其他号码: 】</t>
  </si>
  <si>
    <t>戚明火</t>
  </si>
  <si>
    <t>13868188828</t>
  </si>
  <si>
    <t>SKD251017308</t>
  </si>
  <si>
    <t>2025-10-17 17:01:07</t>
  </si>
  <si>
    <t>2025-10-18 10:05:48</t>
  </si>
  <si>
    <t>SKD251018006</t>
  </si>
  <si>
    <t>2025/10/18</t>
  </si>
  <si>
    <t>2025-10-18 12:50:08</t>
  </si>
  <si>
    <t>2025-10-18 13:21:59</t>
  </si>
  <si>
    <t>10.17支付宝2578元【用户姓名:朱霆；用户手机:13819182682；其他号码: 】</t>
  </si>
  <si>
    <t>朱霆</t>
  </si>
  <si>
    <t>13819182682</t>
  </si>
  <si>
    <t>2025101722001496961430050743</t>
  </si>
  <si>
    <t>SKD251018024</t>
  </si>
  <si>
    <t>2025-10-18 11:26:04</t>
  </si>
  <si>
    <t>2025-10-18 11:32:17</t>
  </si>
  <si>
    <t>2025.10.18金华建行5999【用户姓名:严成胜；用户手机: ；其他号码: 】</t>
  </si>
  <si>
    <t>SKD251018025</t>
  </si>
  <si>
    <t>2025-10-23 16:35:22</t>
  </si>
  <si>
    <t>2025-10-23 16:35:23</t>
  </si>
  <si>
    <t>10.18支付宝转账2741元（用户名 苗天汉）【用户姓名:苗天汉；用户手机:15824491418；其他号码: 】</t>
  </si>
  <si>
    <t>苗天汉</t>
  </si>
  <si>
    <t>15824491418</t>
  </si>
  <si>
    <t>2025101822001445511411852577</t>
  </si>
  <si>
    <t>SKD251018030</t>
  </si>
  <si>
    <t>2025-10-18 11:46:05</t>
  </si>
  <si>
    <t>2025-10-18 13:02:34</t>
  </si>
  <si>
    <t>10.18日支付宝3500【用户姓名:林雅琴；用户手机:15867143068；其他号码: 】</t>
  </si>
  <si>
    <t>林雅琴</t>
  </si>
  <si>
    <t>15867143068</t>
  </si>
  <si>
    <t>2025101822001478021409960960</t>
  </si>
  <si>
    <t>SKD251018032</t>
  </si>
  <si>
    <t>2025/10/19</t>
  </si>
  <si>
    <t>2025-10-21 09:51:42</t>
  </si>
  <si>
    <t>2025-10-21 09:51:43</t>
  </si>
  <si>
    <t>10.18扫码牌750元【用户姓名:曹洋；用户手机:18814833660；其他号码: 】</t>
  </si>
  <si>
    <t>2025101822001482171419958083</t>
  </si>
  <si>
    <t>SKD251018033</t>
  </si>
  <si>
    <t>2025-10-18 12:06:52</t>
  </si>
  <si>
    <t>2025-10-18 13:14:47</t>
  </si>
  <si>
    <t>DR.00084</t>
  </si>
  <si>
    <t>CEWH-50R1S-3热水器</t>
  </si>
  <si>
    <t>25.10.18支付宝2698【用户姓名:吴利军；用户手机:13757150185；其他号码: 】</t>
  </si>
  <si>
    <t>吴利军</t>
  </si>
  <si>
    <t>13757150185</t>
  </si>
  <si>
    <t>2025101822001460321401060098</t>
  </si>
  <si>
    <t>SKD251018034</t>
  </si>
  <si>
    <t>2025-10-18 12:49:09</t>
  </si>
  <si>
    <t>2025-10-18 12:57:02</t>
  </si>
  <si>
    <t>10.18转账8000元【用户姓名: ；用户手机: ；其他号码: 】</t>
  </si>
  <si>
    <t>SKD251018054</t>
  </si>
  <si>
    <t>2025-10-21 09:44:53</t>
  </si>
  <si>
    <t>2025-10-21 09:44:54</t>
  </si>
  <si>
    <t>10.18支付宝2800元【用户姓名：常红银】【用户姓名:常红银；用户手机:15958128642；其他号码: 】</t>
  </si>
  <si>
    <t>常红银</t>
  </si>
  <si>
    <t>15958128642</t>
  </si>
  <si>
    <t>2025101823001490601443018969</t>
  </si>
  <si>
    <t>SKD251018070</t>
  </si>
  <si>
    <t>2025-10-18 14:19:05</t>
  </si>
  <si>
    <t>2025-10-18 15:09:03</t>
  </si>
  <si>
    <t>10.18支付宝付3636元（用户名 陈兵）【用户姓名:陈兵；用户手机:13804642200；其他号码: 】</t>
  </si>
  <si>
    <t>陈兵</t>
  </si>
  <si>
    <t>13804642200</t>
  </si>
  <si>
    <t>2025101822001473861417066613</t>
  </si>
  <si>
    <t>SKD251018079</t>
  </si>
  <si>
    <t>2025-10-18 15:05:27</t>
  </si>
  <si>
    <t>2025-10-19 14:58:46</t>
  </si>
  <si>
    <t>DR.00115</t>
  </si>
  <si>
    <t>CEWH-80A0储水式电热水器</t>
  </si>
  <si>
    <t>10.18支付宝2558元【用户姓名:陈谦茜；用户手机:15088673019；其他号码: 】</t>
  </si>
  <si>
    <t>陈谦茜</t>
  </si>
  <si>
    <t>15088673019</t>
  </si>
  <si>
    <t>2025101822001450221405502116</t>
  </si>
  <si>
    <t>SKD251018080</t>
  </si>
  <si>
    <t>2025-10-21 10:07:58</t>
  </si>
  <si>
    <t>2025-10-21 10:07:59</t>
  </si>
  <si>
    <t>10.18刷卡4399元（3519.2+补贴879.8元）【用户姓名:苏卫东；用户手机:13196045136；其他号码: 】</t>
  </si>
  <si>
    <t>苏卫东</t>
  </si>
  <si>
    <t>13196045136</t>
  </si>
  <si>
    <t>SKD251018081</t>
  </si>
  <si>
    <t>2025-10-18 15:07:53</t>
  </si>
  <si>
    <t>2025-10-21 10:08:15</t>
  </si>
  <si>
    <t>SKD251018082</t>
  </si>
  <si>
    <t>2025-10-21 09:45:47</t>
  </si>
  <si>
    <t>2025-10-18 15:40:20</t>
  </si>
  <si>
    <t>10.17刷卡3636元（2908.8+补贴727.2元）【用户姓名:黄晓玲；用户手机:13757191915；其他号码: 】</t>
  </si>
  <si>
    <t>黄晓玲</t>
  </si>
  <si>
    <t>13757191915</t>
  </si>
  <si>
    <t>SKD251018083</t>
  </si>
  <si>
    <t>2025-10-18 15:09:34</t>
  </si>
  <si>
    <t>2025-10-18 15:40:17</t>
  </si>
  <si>
    <t>SKD251018119</t>
  </si>
  <si>
    <t>2025年10月沈荣祥结算(换新95）</t>
  </si>
  <si>
    <t>2025-10-21 10:10:34</t>
  </si>
  <si>
    <t>2025-10-21 10:10:35</t>
  </si>
  <si>
    <t>2025年10月18日中信银行收款【用户姓名:2025年10月结算(换新95-101）；用户手机: ；其他号码: 】</t>
  </si>
  <si>
    <t>2025年10月结算(换新95-101）</t>
  </si>
  <si>
    <t>2025年10月金爱钗结算(换新96）</t>
  </si>
  <si>
    <t>2025年10月粱倩结算(换新97）</t>
  </si>
  <si>
    <t>2025年10月徐红燕结算(换新98）</t>
  </si>
  <si>
    <t>2025年10月尤丽君结算(换新99）</t>
  </si>
  <si>
    <t>2025年10月陈祥艳结算(换新100）</t>
  </si>
  <si>
    <t>2025年10月客户结算(换新101）</t>
  </si>
  <si>
    <t>SKD251018120</t>
  </si>
  <si>
    <t>2025年10月汤灿锋结算(换新102）</t>
  </si>
  <si>
    <t>2025-10-21 10:13:11</t>
  </si>
  <si>
    <t>2025-10-21 10:13:13</t>
  </si>
  <si>
    <t>2025年10月19日中信银行收款【用户姓名:2025年10月结算(换新102-107）；用户手机: ；其他号码: 】</t>
  </si>
  <si>
    <t>2025年10月结算(换新102-107）</t>
  </si>
  <si>
    <t>2025年10月陆连芳结算(换新103）</t>
  </si>
  <si>
    <t>2025年10月王坚结算(换新104）</t>
  </si>
  <si>
    <t>2025年10月庞军林结算(换新105）</t>
  </si>
  <si>
    <t>2025年10月徐建华结算(换新107）</t>
  </si>
  <si>
    <t>2025年10月莫寅兰结算(换新106）</t>
  </si>
  <si>
    <t>SKD251019044</t>
  </si>
  <si>
    <t>2025-10-21 09:47:05</t>
  </si>
  <si>
    <t>2025-10-19 15:07:49</t>
  </si>
  <si>
    <t>DR.00182</t>
  </si>
  <si>
    <t xml:space="preserve">CTE-50J1佳尼特电热水器   </t>
  </si>
  <si>
    <t>10. 19刷卡2200元(1760元+补贴440元）（用户名 徐敏）【用户姓名:徐敏；用户手机:13575751820；其他号码: 】</t>
  </si>
  <si>
    <t>徐敏</t>
  </si>
  <si>
    <t>13575751820</t>
  </si>
  <si>
    <t>SKD251019045</t>
  </si>
  <si>
    <t>2025-10-19 11:48:12</t>
  </si>
  <si>
    <t>2025-10-19 15:07:59</t>
  </si>
  <si>
    <t>SKD251019047</t>
  </si>
  <si>
    <t>2025-10-19 12:31:27</t>
  </si>
  <si>
    <t>2025-10-19 15:02:06</t>
  </si>
  <si>
    <t>转卖郭力琴抵SKTKD251009004【用户姓名:马强；用户手机:15267462050；其他号码: 】</t>
  </si>
  <si>
    <t>马强</t>
  </si>
  <si>
    <t>15267462050</t>
  </si>
  <si>
    <t>SKD251019048</t>
  </si>
  <si>
    <t>2025-10-19 12:32:11</t>
  </si>
  <si>
    <t>2025-10-19 15:02:39</t>
  </si>
  <si>
    <t>转卖郭力琴抵SKTKD251009005【用户姓名:马强；用户手机:15267462050；其他号码: 】</t>
  </si>
  <si>
    <t>SKD251019049</t>
  </si>
  <si>
    <t>2025-10-19 12:35:54</t>
  </si>
  <si>
    <t>2025-10-20 09:26:21</t>
  </si>
  <si>
    <t>10.19支付宝750元【用户姓名:宋应学；用户手机:15867144182；其他号码: 】</t>
  </si>
  <si>
    <t>宋应学</t>
  </si>
  <si>
    <t>15867144182</t>
  </si>
  <si>
    <t>2025101922001498371411949506</t>
  </si>
  <si>
    <t>SKD251019050</t>
  </si>
  <si>
    <t>2025-10-19 12:43:45</t>
  </si>
  <si>
    <t>2025-10-19 15:04:35</t>
  </si>
  <si>
    <t>10.19转账20000元【用户姓名: ；用户手机: ；其他号码: 】</t>
  </si>
  <si>
    <t>SKD251019057</t>
  </si>
  <si>
    <t>2025-10-21 10:14:43</t>
  </si>
  <si>
    <t>2025-10-21 10:14:44</t>
  </si>
  <si>
    <t>10.19扫码付4638元【用户姓名:张建利；用户手机:13867162570；其他号码: 】</t>
  </si>
  <si>
    <t>张建利</t>
  </si>
  <si>
    <t>13867162570</t>
  </si>
  <si>
    <t>SKD251019062</t>
  </si>
  <si>
    <t>2025-10-19 15:01:28</t>
  </si>
  <si>
    <t>2025-10-19 15:05:32</t>
  </si>
  <si>
    <t>10.18支付宝3439元【用户姓名:熊欢；用户手机:18368821150；其他号码: 】</t>
  </si>
  <si>
    <t>熊欢</t>
  </si>
  <si>
    <t>18368821150</t>
  </si>
  <si>
    <t>2025101822001469311436288983</t>
  </si>
  <si>
    <t>SKD251019069</t>
  </si>
  <si>
    <t>2025-10-19 15:47:38</t>
  </si>
  <si>
    <t>2025-10-20 10:18:00</t>
  </si>
  <si>
    <t>10.19支付宝4399元【用户姓名:朱霆；用户手机:13819182682；其他号码: 】</t>
  </si>
  <si>
    <t>2025101922001496961450021565</t>
  </si>
  <si>
    <t>SKD251020019</t>
  </si>
  <si>
    <t>2025-10-20 09:18:52</t>
  </si>
  <si>
    <t>2025-10-20 09:27:02</t>
  </si>
  <si>
    <t>10.20支付宝5100元【用户姓名:毛小荣；用户手机:15158873858；其他号码: 】</t>
  </si>
  <si>
    <t>毛小荣</t>
  </si>
  <si>
    <t>15158873858</t>
  </si>
  <si>
    <t>2025102022001471971413877426</t>
  </si>
  <si>
    <t>SKD251020021</t>
  </si>
  <si>
    <t>2025-10-21 09:53:33</t>
  </si>
  <si>
    <t>2025-10-21 09:53:35</t>
  </si>
  <si>
    <t>10.18扫码支付3636元【用户姓名:朱灵燕；用户手机:13516982880；其他号码: 】</t>
  </si>
  <si>
    <t>朱灵燕</t>
  </si>
  <si>
    <t>13516982880</t>
  </si>
  <si>
    <t>SKD251020023</t>
  </si>
  <si>
    <t>2025-10-20 09:48:05</t>
  </si>
  <si>
    <t>2025-10-20 09:48:07</t>
  </si>
  <si>
    <t>10.12扫码支付4289【用户姓名:徐兰娟；用户手机:13867979554；其他号码: 】</t>
  </si>
  <si>
    <t>徐兰娟</t>
  </si>
  <si>
    <t>13867979554</t>
  </si>
  <si>
    <t>SKD251020028</t>
  </si>
  <si>
    <t>2025-10-20 10:11:05</t>
  </si>
  <si>
    <t>2025-10-20 10:19:56</t>
  </si>
  <si>
    <t>10.19支付宝2778元【用户姓名:金赛英；用户手机:13958001909；其他号码: 】</t>
  </si>
  <si>
    <t>金赛英</t>
  </si>
  <si>
    <t>13958001909</t>
  </si>
  <si>
    <t>2025101922001449591436831587</t>
  </si>
  <si>
    <t>SKD251020030</t>
  </si>
  <si>
    <t>2025-10-20 10:13:10</t>
  </si>
  <si>
    <t>2025-10-20 10:21:19</t>
  </si>
  <si>
    <t>10.19支付宝4458元【用户姓名:陈忠民；用户手机:13906524139；其他号码: 】</t>
  </si>
  <si>
    <t>陈忠民</t>
  </si>
  <si>
    <t>13906524139</t>
  </si>
  <si>
    <t>2025101922001481151409855173</t>
  </si>
  <si>
    <t>SKD251020031</t>
  </si>
  <si>
    <t>2025-10-20 10:15:08</t>
  </si>
  <si>
    <t>2025-10-20 10:31:57</t>
  </si>
  <si>
    <t>RQRS.00031</t>
  </si>
  <si>
    <t>JSQ31-QJSAi燃气快速热水器通用</t>
  </si>
  <si>
    <t>10.19支付宝6981元【用户姓名:缪如意；用户手机:15968198874；其他号码: 】</t>
  </si>
  <si>
    <t>缪如意</t>
  </si>
  <si>
    <t>15968198874</t>
  </si>
  <si>
    <t>2025101923001494291433057877</t>
  </si>
  <si>
    <t>SKD251020040</t>
  </si>
  <si>
    <t>2025-10-20 10:32:26</t>
  </si>
  <si>
    <t>2025-10-20 10:34:37</t>
  </si>
  <si>
    <t>RR.01.00004</t>
  </si>
  <si>
    <t>JSQ26-CLAX燃气快速热水器通用</t>
  </si>
  <si>
    <t>10.20转账1618元【用户姓名:泰州锦禧商贸有限公司；用户手机:15161076093；其他号码: 】</t>
  </si>
  <si>
    <t>15161076093</t>
  </si>
  <si>
    <t>SKD251020044</t>
  </si>
  <si>
    <t>2025-10-20 10:43:53</t>
  </si>
  <si>
    <t>2025-10-20 10:59:27</t>
  </si>
  <si>
    <t>10.20支付宝付730元（用户名 倪建俊）【用户姓名:倪建俊；用户手机:13857199815；其他号码: 】</t>
  </si>
  <si>
    <t>倪建俊</t>
  </si>
  <si>
    <t>13857199815</t>
  </si>
  <si>
    <t>2025102022001431751414205492</t>
  </si>
  <si>
    <t>SKD251020102</t>
  </si>
  <si>
    <t>2025-10-20 12:19:05</t>
  </si>
  <si>
    <t>2025-10-20 13:12:38</t>
  </si>
  <si>
    <t>10.20号孙艳支付宝转账2745元【用户姓名:孙艳；用户手机:15297276003；其他号码: 】</t>
  </si>
  <si>
    <t>孙艳</t>
  </si>
  <si>
    <t>15297276003</t>
  </si>
  <si>
    <t>2025102022001480651404008125</t>
  </si>
  <si>
    <t>SKD251020103</t>
  </si>
  <si>
    <t>2025-10-20 12:22:28</t>
  </si>
  <si>
    <t>2025-10-20 13:10:51</t>
  </si>
  <si>
    <t>10.20转账3000元【用户姓名: ；用户手机: ；其他号码: 】</t>
  </si>
  <si>
    <t>SKD251020114</t>
  </si>
  <si>
    <t>2025-10-20 12:42:12</t>
  </si>
  <si>
    <t>2025-10-20 12:47:59</t>
  </si>
  <si>
    <t>抵SKTKD251020010-国补倒票-徐兰娟国补名额给劳剑巧【用户姓名:徐兰娟；用户手机:13867979554；其他号码:13456769488】</t>
  </si>
  <si>
    <t>13456769488</t>
  </si>
  <si>
    <t>6.8刷卡4124支付3299.2以旧换新补贴824.8</t>
  </si>
  <si>
    <t>SKD251020116</t>
  </si>
  <si>
    <t>2025-10-20 12:43:28</t>
  </si>
  <si>
    <t>2025-10-20 12:48:15</t>
  </si>
  <si>
    <t>抵SKTKD251020011-国补倒票-徐兰娟国补名额给劳剑巧【用户姓名:徐兰娟；用户手机:13867979554；其他号码:13456769488】</t>
  </si>
  <si>
    <t>SKD251020125</t>
  </si>
  <si>
    <t>2025-10-21 09:57:37</t>
  </si>
  <si>
    <t>2025-10-21 09:58:08</t>
  </si>
  <si>
    <t>RQRS.00023</t>
  </si>
  <si>
    <t>JSQ40-MJSWi燃气快速热水器</t>
  </si>
  <si>
    <t>10.20中信9100【用户姓名:金华汇隆电子设备有限公司；用户手机:13017970011；其他号码: 】</t>
  </si>
  <si>
    <t>金华汇隆电子设备有限公司</t>
  </si>
  <si>
    <t>13017970011</t>
  </si>
  <si>
    <t>SKD251020131</t>
  </si>
  <si>
    <t>2025-10-20 13:21:40</t>
  </si>
  <si>
    <t>2025-10-20 13:34:17</t>
  </si>
  <si>
    <t>10.20支付宝4249元【用户姓名:姚丽；用户手机:13071846433；其他号码: 】</t>
  </si>
  <si>
    <t>姚丽</t>
  </si>
  <si>
    <t>13071846433</t>
  </si>
  <si>
    <t>2025102022001429461453481527</t>
  </si>
  <si>
    <t>SKD251020144</t>
  </si>
  <si>
    <t>2025-10-20 14:06:41</t>
  </si>
  <si>
    <t>2025-10-20 14:09:16</t>
  </si>
  <si>
    <t>10.20支付宝4400元【用户姓名:董选思；用户手机:15372353997；其他号码: 】</t>
  </si>
  <si>
    <t>董选思</t>
  </si>
  <si>
    <t>15372353997</t>
  </si>
  <si>
    <t>2025102023001426781427877334</t>
  </si>
  <si>
    <t>SKD251020152</t>
  </si>
  <si>
    <t>2025/10/21</t>
  </si>
  <si>
    <t>2025年10月徐瑞法结算(换新113）</t>
  </si>
  <si>
    <t>2025-10-22 10:27:03</t>
  </si>
  <si>
    <t>2025-10-22 10:27:04</t>
  </si>
  <si>
    <t>2025年10月21日中信银行收款【用户姓名:2025年10月结算(换新113-122）；用户手机: ；其他号码: 】</t>
  </si>
  <si>
    <t>2025年10月结算(换新113-122）</t>
  </si>
  <si>
    <t>2025年10月客户结算(换新114）</t>
  </si>
  <si>
    <t>2025年10月肖燕银结算(换新115）</t>
  </si>
  <si>
    <t>2025年10月客户结算(换新116）</t>
  </si>
  <si>
    <t>2025年10月王官明结算(换新117）</t>
  </si>
  <si>
    <t>2025年10月远哥结算(换新118）</t>
  </si>
  <si>
    <t>2025年10月客户结算(换新119）</t>
  </si>
  <si>
    <t>2025年10月叶琦结算(换新120）</t>
  </si>
  <si>
    <t>2025年10月陈娟娟结算(换新121）</t>
  </si>
  <si>
    <t>2025年10月严超杰结算(换新122）</t>
  </si>
  <si>
    <t>SKD251020157</t>
  </si>
  <si>
    <t>2025年10月周小燕结算(换新108）</t>
  </si>
  <si>
    <t>2025-10-21 10:16:01</t>
  </si>
  <si>
    <t>2025-10-21 10:16:02</t>
  </si>
  <si>
    <t>2025年10月20日中信银行收款【用户姓名:2025年10月结算(换新108-112）；用户手机: ；其他号码: 】</t>
  </si>
  <si>
    <t>2025年10月结算(换新108-112）</t>
  </si>
  <si>
    <t>2025年10月成女士结算(换新109）</t>
  </si>
  <si>
    <t>2025年10月殷键栋结算(换新110）</t>
  </si>
  <si>
    <t>2025年10月郑女士结算(换新111）</t>
  </si>
  <si>
    <t>2025年10月卢菊萍结算(换新112）</t>
  </si>
  <si>
    <t>SKD251020158</t>
  </si>
  <si>
    <t>陈雪君</t>
  </si>
  <si>
    <t>尾号8418支付宝</t>
  </si>
  <si>
    <t>网商银行</t>
  </si>
  <si>
    <t>15925668418</t>
  </si>
  <si>
    <t>2025-10-20 14:25:45</t>
  </si>
  <si>
    <t>2025-10-20 14:26:36</t>
  </si>
  <si>
    <t>KFJ.00001</t>
  </si>
  <si>
    <t>CWT-EP-C01咖啡机</t>
  </si>
  <si>
    <t>10.20转账支付宝6000元【用户姓名:李总；用户手机:13905718722；其他号码: 】</t>
  </si>
  <si>
    <t>李总</t>
  </si>
  <si>
    <t>13905718722</t>
  </si>
  <si>
    <t>SKD251020175</t>
  </si>
  <si>
    <t>2025-10-21 10:00:16</t>
  </si>
  <si>
    <t>2025-10-20 15:06:20</t>
  </si>
  <si>
    <t>RQRS.00046</t>
  </si>
  <si>
    <t>JSLQ28-ACEWi 燃气热水器</t>
  </si>
  <si>
    <t>10.20刷卡4000元(3200元+补贴800元）（用户名 王爱娣）【用户姓名:王爱娣；用户手机:13516724856；其他号码: 】</t>
  </si>
  <si>
    <t>王爱娣</t>
  </si>
  <si>
    <t>13516724856</t>
  </si>
  <si>
    <t>SKD251020177</t>
  </si>
  <si>
    <t>2025-10-20 14:53:09</t>
  </si>
  <si>
    <t>2025-10-20 15:06:14</t>
  </si>
  <si>
    <t>SKD251020184</t>
  </si>
  <si>
    <t>2025-10-20 14:58:21</t>
  </si>
  <si>
    <t>2025-10-20 15:08:04</t>
  </si>
  <si>
    <t>10.20支付宝付295元（用户名 王爱娣）【用户姓名:王爱娣；用户手机:13516724856；其他号码: 】</t>
  </si>
  <si>
    <t>2025102022001472601454177018</t>
  </si>
  <si>
    <t>SKD251020326</t>
  </si>
  <si>
    <t>2025-10-21 10:17:43</t>
  </si>
  <si>
    <t>2025-10-21 10:17:45</t>
  </si>
  <si>
    <t>10.20扫码付3060元（用户名 徐小倩）【用户姓名:徐小倩；用户手机:13777485710；其他号码: 】</t>
  </si>
  <si>
    <t>徐小倩</t>
  </si>
  <si>
    <t>13777485710</t>
  </si>
  <si>
    <t>SKD251021070</t>
  </si>
  <si>
    <t>2025-10-21 15:08:15</t>
  </si>
  <si>
    <t>2025-10-21 15:08:17</t>
  </si>
  <si>
    <t>10.21支付宝付3360元【用户姓名:蒋景仙；用户手机:13968195599；其他号码: 】</t>
  </si>
  <si>
    <t>蒋景仙</t>
  </si>
  <si>
    <t>13968195599</t>
  </si>
  <si>
    <t>2025102122001477941454501791</t>
  </si>
  <si>
    <t>SKD251021095</t>
  </si>
  <si>
    <t>2025-10-21 13:25:24</t>
  </si>
  <si>
    <t>2025-10-21 15:08:45</t>
  </si>
  <si>
    <t>10.21支付宝791元【用户姓名:童素婷；用户手机:13615813273；其他号码: 】</t>
  </si>
  <si>
    <t>童素婷</t>
  </si>
  <si>
    <t>13615813273</t>
  </si>
  <si>
    <t>2025102122001439351444644972</t>
  </si>
  <si>
    <t>SKD251021104</t>
  </si>
  <si>
    <t>2025/10/22</t>
  </si>
  <si>
    <t>2025-10-22 12:34:17</t>
  </si>
  <si>
    <t>2025-10-21 15:17:07</t>
  </si>
  <si>
    <t>RQZ.00005</t>
  </si>
  <si>
    <t>JZT-V2B2S史密斯 灶具</t>
  </si>
  <si>
    <t>10.21刷卡2379元(1903.2元+补贴475.8元）（用户名 朱家琪）【用户姓名:朱家琪；用户手机:13335811912；其他号码: 】</t>
  </si>
  <si>
    <t>朱家琪</t>
  </si>
  <si>
    <t>13335811912</t>
  </si>
  <si>
    <t>SKD251021105</t>
  </si>
  <si>
    <t>2025-10-21 13:40:04</t>
  </si>
  <si>
    <t>2025-10-21 15:17:19</t>
  </si>
  <si>
    <t>SKD251021106</t>
  </si>
  <si>
    <t>2025-10-21 15:09:24</t>
  </si>
  <si>
    <t>2025-10-21 15:09:25</t>
  </si>
  <si>
    <t>10.21支付宝790元【用户姓名:鲁杭燕；用户手机:15825514982；其他号码: 】</t>
  </si>
  <si>
    <t>鲁杭燕</t>
  </si>
  <si>
    <t>15825514982</t>
  </si>
  <si>
    <t>2025102122001451621446011253</t>
  </si>
  <si>
    <t>SKD251021152</t>
  </si>
  <si>
    <t>2025-10-21 15:10:07</t>
  </si>
  <si>
    <t>2025-10-21 15:10:08</t>
  </si>
  <si>
    <t>10.20刷卡2745元（2196+补贴549元）【用户姓名:王泽琪；用户手机:13386516090；其他号码: 】</t>
  </si>
  <si>
    <t>王泽琪</t>
  </si>
  <si>
    <t>13386516090</t>
  </si>
  <si>
    <t>SKD251021154</t>
  </si>
  <si>
    <t>2025-10-21 14:57:16</t>
  </si>
  <si>
    <t>2025-10-21 15:10:15</t>
  </si>
  <si>
    <t>SKD251021243</t>
  </si>
  <si>
    <t>2025-10-22 11:09:32</t>
  </si>
  <si>
    <t>2025-10-22 11:09:34</t>
  </si>
  <si>
    <t>10.21刷卡4000元(3200元+补贴800元）【用户姓名:庄勇；用户手机:13857198001；其他号码: 】</t>
  </si>
  <si>
    <t>庄勇</t>
  </si>
  <si>
    <t>13857198001</t>
  </si>
  <si>
    <t>SKD251021247</t>
  </si>
  <si>
    <t>2025-10-22 11:09:50</t>
  </si>
  <si>
    <t>2025-10-22 11:09:51</t>
  </si>
  <si>
    <t>SKD251021260</t>
  </si>
  <si>
    <t>2025-10-22 11:10:22</t>
  </si>
  <si>
    <t>2025-10-22 11:10:23</t>
  </si>
  <si>
    <t>10.21支付宝付295元【用户姓名:庄勇；用户手机:13857198001；其他号码: 】</t>
  </si>
  <si>
    <t>2025102122001494211437710615</t>
  </si>
  <si>
    <t>SKD251021300</t>
  </si>
  <si>
    <t>2025年10月蒋燕军结算(换新123）</t>
  </si>
  <si>
    <t>2025-10-22 11:12:54</t>
  </si>
  <si>
    <t>2025-10-22 11:12:55</t>
  </si>
  <si>
    <t>2025年10月22日中信银行收款【用户姓名:2025年10月结算(换新123-128）；用户手机: ；其他号码: 】</t>
  </si>
  <si>
    <t>2025年10月结算(换新123-128）</t>
  </si>
  <si>
    <t>2025年10月徐丹燕结算(换新124）</t>
  </si>
  <si>
    <t>2025年10月客户结算(换新125）</t>
  </si>
  <si>
    <t>2025年10月雷强结算(换新126）</t>
  </si>
  <si>
    <t>2025年10月惠平结算(换新127）</t>
  </si>
  <si>
    <t>2025年10月余正宣结算(换新128）</t>
  </si>
  <si>
    <t>SKD251021301</t>
  </si>
  <si>
    <t>2025-10-22 11:13:59</t>
  </si>
  <si>
    <t>2025-10-22 11:14:00</t>
  </si>
  <si>
    <t>10.21扫码支付4059【用户姓名:黄乐；用户手机:13867970040；其他号码: 】</t>
  </si>
  <si>
    <t>黄乐</t>
  </si>
  <si>
    <t>13867970040</t>
  </si>
  <si>
    <t>SKD251022005</t>
  </si>
  <si>
    <t>2025-10-22 08:52:57</t>
  </si>
  <si>
    <t>2025-10-22 11:14:22</t>
  </si>
  <si>
    <t>10.21转账5850元【用户姓名:杭州联元厨具有限公司；用户手机:15268835123；其他号码: 】</t>
  </si>
  <si>
    <t>SKD251022008</t>
  </si>
  <si>
    <t>2025-10-22 09:21:54</t>
  </si>
  <si>
    <t>2025-10-22 09:21:55</t>
  </si>
  <si>
    <t>10.13中信1440.75元（跨越2025年9月运费、顺丰2025年9月运费）【用户姓名: ；用户手机: ；其他号码: 】</t>
  </si>
  <si>
    <t>SKD251022010</t>
  </si>
  <si>
    <t>2025-10-22 09:26:46</t>
  </si>
  <si>
    <t>2025-10-22 09:26:48</t>
  </si>
  <si>
    <t>10.16中信1162.7元（跨越2025年9月运费、华商2025年9月运费、顺丰2025年9月运费）【用户姓名: ；用户手机: ；其他号码: 】</t>
  </si>
  <si>
    <t>SKD251022011</t>
  </si>
  <si>
    <t>2025-10-22 09:27:10</t>
  </si>
  <si>
    <t>2025-10-22 09:27:11</t>
  </si>
  <si>
    <t>10.16中信464.65元（跨越2025年9月运费、华商2025年9月运费、顺丰2025年9月运费）【用户姓名: ；用户手机: ；其他号码: 】</t>
  </si>
  <si>
    <t>SKD251022018</t>
  </si>
  <si>
    <t>2025-10-22 09:37:34</t>
  </si>
  <si>
    <t>2025-10-22 12:38:35</t>
  </si>
  <si>
    <t>10.21支付宝898元【用户姓名:章全；用户手机:13905819174；其他号码: 】</t>
  </si>
  <si>
    <t>章全</t>
  </si>
  <si>
    <t>13905819174</t>
  </si>
  <si>
    <t>2025102122001440741438397177</t>
  </si>
  <si>
    <t>SKD251022020</t>
  </si>
  <si>
    <t>2025-10-22 09:39:51</t>
  </si>
  <si>
    <t>2025-10-22 09:39:52</t>
  </si>
  <si>
    <t>10.21中信773.9元（跨越2025年9月运费、华商2025年9月运费）【用户姓名: ；用户手机: ；其他号码: 】</t>
  </si>
  <si>
    <t>SKD251022049</t>
  </si>
  <si>
    <t>2025/10/23</t>
  </si>
  <si>
    <t>2025年10月沈凌华结算(换新129）</t>
  </si>
  <si>
    <t>2025-10-25 12:56:19</t>
  </si>
  <si>
    <t>2025-10-25 12:56:20</t>
  </si>
  <si>
    <t>2025年10月23日中信银行收款【用户姓名:2025年10月结算(换新129-135）；用户手机: ；其他号码: 】</t>
  </si>
  <si>
    <t>2025年10月结算(换新129-135）</t>
  </si>
  <si>
    <t>2025年10月泮琴坤结算(换新130）</t>
  </si>
  <si>
    <t>2025年10月杭女士结算(换新131）</t>
  </si>
  <si>
    <t>2025年10月周结算(换新132）</t>
  </si>
  <si>
    <t>2025年10月严荣华结算(换新133）</t>
  </si>
  <si>
    <t>2025年10月范芳臻结算(换新134）</t>
  </si>
  <si>
    <t>2025年10月丁结算(换新135）</t>
  </si>
  <si>
    <t>SKD251022099</t>
  </si>
  <si>
    <t>2025-10-22 11:25:20</t>
  </si>
  <si>
    <t>2025-10-22 12:39:03</t>
  </si>
  <si>
    <t>10.22支付宝791元【用户姓名:屈新雅；用户手机:15857392858；其他号码: 】</t>
  </si>
  <si>
    <t>屈新雅</t>
  </si>
  <si>
    <t>15857392858</t>
  </si>
  <si>
    <t>2025102222001433871421144306</t>
  </si>
  <si>
    <t>SKD251022100</t>
  </si>
  <si>
    <t>2025-10-23 09:46:40</t>
  </si>
  <si>
    <t>2025-10-22 12:48:54</t>
  </si>
  <si>
    <t>DR.00107</t>
  </si>
  <si>
    <t>EWH-50DA储水式电热水器</t>
  </si>
  <si>
    <t>10.22刷卡3579元（2863.2元+补贴715.80元）【用户姓名：沈国伟】【用户姓名:沈国伟；用户手机:13325716909；其他号码: 】</t>
  </si>
  <si>
    <t>沈国伟</t>
  </si>
  <si>
    <t>13325716909</t>
  </si>
  <si>
    <t>SKD251022101</t>
  </si>
  <si>
    <t>2025-10-22 12:06:37</t>
  </si>
  <si>
    <t>2025-10-22 12:49:11</t>
  </si>
  <si>
    <t>SKD251022102</t>
  </si>
  <si>
    <t>2025-10-22 12:11:43</t>
  </si>
  <si>
    <t>2025-10-22 12:41:30</t>
  </si>
  <si>
    <t>10.22转账10000元【用户姓名: ；用户手机: ；其他号码: 】</t>
  </si>
  <si>
    <t>杭州-临安</t>
  </si>
  <si>
    <t>SKD251022103</t>
  </si>
  <si>
    <t>2025-10-22 12:14:17</t>
  </si>
  <si>
    <t>2025-10-22 12:41:54</t>
  </si>
  <si>
    <t>10.21支付宝2100元【用户姓名:王泽源；用户手机:19819732198；其他号码: 】</t>
  </si>
  <si>
    <t>王泽源</t>
  </si>
  <si>
    <t>19819732198</t>
  </si>
  <si>
    <t>2025102122001447281440287675</t>
  </si>
  <si>
    <t>SKD251022104</t>
  </si>
  <si>
    <t>2025-10-22 12:16:33</t>
  </si>
  <si>
    <t>2025-10-22 12:42:18</t>
  </si>
  <si>
    <t>10.21支付宝2300元【用户姓名:余碧英；用户手机:13325810268；其他号码: 】</t>
  </si>
  <si>
    <t>余碧英</t>
  </si>
  <si>
    <t>13325810268</t>
  </si>
  <si>
    <t>2025102122001475431427842012</t>
  </si>
  <si>
    <t>SKD251022105</t>
  </si>
  <si>
    <t>2025-10-22 12:19:07</t>
  </si>
  <si>
    <t>2025-10-22 12:42:36</t>
  </si>
  <si>
    <t>10.22转账6052.76元【用户姓名:淮安昊天家电有限公司；用户手机:18251027222；其他号码: 】</t>
  </si>
  <si>
    <t>淮安昊天家电有限公司</t>
  </si>
  <si>
    <t>18251027222</t>
  </si>
  <si>
    <t>SKD251022106</t>
  </si>
  <si>
    <t>2025-10-22 12:21:36</t>
  </si>
  <si>
    <t>2025-10-22 12:43:06</t>
  </si>
  <si>
    <t>10.21转账3291元【用户姓名:湖州中太芯猫科技有限公司；用户手机:13372417002；其他号码: 】</t>
  </si>
  <si>
    <t>13372417002</t>
  </si>
  <si>
    <t>SKD251022108</t>
  </si>
  <si>
    <t>2025-10-22 12:44:12</t>
  </si>
  <si>
    <t>10.21扫码3636【用户姓名:袁梦；用户手机:13396584838；其他号码: 】</t>
  </si>
  <si>
    <t>袁梦</t>
  </si>
  <si>
    <t>13396584838</t>
  </si>
  <si>
    <t>SKD251022109</t>
  </si>
  <si>
    <t>2025-10-23 09:47:15</t>
  </si>
  <si>
    <t>2025-10-22 12:49:27</t>
  </si>
  <si>
    <t>YSJ.00050</t>
  </si>
  <si>
    <t>R1800SWi型直饮水机</t>
  </si>
  <si>
    <t>10.22刷卡4055元（3244+补贴811元）【用户姓名:郭李平；用户手机:17300949927；其他号码: 】</t>
  </si>
  <si>
    <t>郭李平</t>
  </si>
  <si>
    <t>17300949927</t>
  </si>
  <si>
    <t>SKD251022110</t>
  </si>
  <si>
    <t>2025-10-22 12:28:34</t>
  </si>
  <si>
    <t>2025-10-22 12:49:41</t>
  </si>
  <si>
    <t>SKD251022111</t>
  </si>
  <si>
    <t>2025-10-22 12:40:53</t>
  </si>
  <si>
    <t>2025-10-22 12:44:37</t>
  </si>
  <si>
    <t>10.21转账1621元【用户姓名：许萍】【用户姓名:许萍；用户手机:15906716505；其他号码: 】</t>
  </si>
  <si>
    <t>许萍</t>
  </si>
  <si>
    <t>15906716505</t>
  </si>
  <si>
    <t>SKD251022112</t>
  </si>
  <si>
    <t>2025-10-23 09:47:49</t>
  </si>
  <si>
    <t>2025-10-22 12:49:50</t>
  </si>
  <si>
    <t>10.22刷卡2200元(1760元+补贴440元）【用户姓名：胡闰颖】【用户姓名:胡闰颖；用户手机:13335815921；其他号码: 】</t>
  </si>
  <si>
    <t>胡闰颖</t>
  </si>
  <si>
    <t>13335815921</t>
  </si>
  <si>
    <t>SKD251022113</t>
  </si>
  <si>
    <t>2025-10-22 12:42:12</t>
  </si>
  <si>
    <t>2025-10-22 12:49:59</t>
  </si>
  <si>
    <t>SKD251022115</t>
  </si>
  <si>
    <t>2025-10-22 12:46:20</t>
  </si>
  <si>
    <t>2025-10-22 12:46:21</t>
  </si>
  <si>
    <t>10.22支付宝1379元【用户姓名:胡闰颖；用户手机:13335815921；其他号码: 】</t>
  </si>
  <si>
    <t>2025102222001405271430365012</t>
  </si>
  <si>
    <t>SKD251022124</t>
  </si>
  <si>
    <t>2025-10-22 14:22:13</t>
  </si>
  <si>
    <t>2025-10-22 14:22:15</t>
  </si>
  <si>
    <t>10.21日扫码中信6291【用户姓名:姚莉娜；用户手机:15869127486；其他号码: 】</t>
  </si>
  <si>
    <t>姚莉娜</t>
  </si>
  <si>
    <t>15869127486</t>
  </si>
  <si>
    <t>SKD251022126</t>
  </si>
  <si>
    <t>2025-10-22 14:17:30</t>
  </si>
  <si>
    <t>2025-10-22 14:22:40</t>
  </si>
  <si>
    <t>10.20支付宝4399元【用户姓名:郭凯凯；用户手机:15858157459；其他号码: 】</t>
  </si>
  <si>
    <t>郭凯凯</t>
  </si>
  <si>
    <t>15858157459</t>
  </si>
  <si>
    <t>2025102022001453671457909260</t>
  </si>
  <si>
    <t>SKD251022130</t>
  </si>
  <si>
    <t>2025-10-22 14:53:15</t>
  </si>
  <si>
    <t>2025-10-22 15:06:17</t>
  </si>
  <si>
    <t>10.22支付宝398元【用户姓名:郭李平；用户手机:17300949927；其他号码: 】</t>
  </si>
  <si>
    <t>2025102222001480631454814934</t>
  </si>
  <si>
    <t>SKD251022131</t>
  </si>
  <si>
    <t>2025-10-22 14:53:55</t>
  </si>
  <si>
    <t>2025-10-22 15:06:48</t>
  </si>
  <si>
    <t>YJ.00847</t>
  </si>
  <si>
    <t>JSW31-VOSWi燃气热水器（样机含排烟组件 403879-079）</t>
  </si>
  <si>
    <t>10.18转账618元【用户姓名:谢培喜；用户手机:***；其他号码: 】</t>
  </si>
  <si>
    <t>谢培喜</t>
  </si>
  <si>
    <t>***</t>
  </si>
  <si>
    <t>SKD251022132</t>
  </si>
  <si>
    <t>2025-10-22 15:02:47</t>
  </si>
  <si>
    <t>2025-10-22 15:07:24</t>
  </si>
  <si>
    <t>10.21支付宝6291元【用户姓名:万畅；用户手机:18221033128；其他号码: 】</t>
  </si>
  <si>
    <t>万畅</t>
  </si>
  <si>
    <t>18221033128</t>
  </si>
  <si>
    <t>2025102122001404461423295489</t>
  </si>
  <si>
    <t>SKD251022133</t>
  </si>
  <si>
    <t>2025-10-22 15:07:49</t>
  </si>
  <si>
    <t>10.21刷卡6291元（5032.80+补贴1258.20元）【用户姓名:刘旭霞；用户手机:15397155118；其他号码: 】</t>
  </si>
  <si>
    <t>刘旭霞</t>
  </si>
  <si>
    <t>15397155118</t>
  </si>
  <si>
    <t>SKD251022134</t>
  </si>
  <si>
    <t>2025-10-22 15:04:37</t>
  </si>
  <si>
    <t>2025-10-22 15:07:58</t>
  </si>
  <si>
    <t>SKD251022135</t>
  </si>
  <si>
    <t>2025-10-22 15:31:19</t>
  </si>
  <si>
    <t>2025-10-22 15:31:20</t>
  </si>
  <si>
    <t>10.21扫码付6500元【用户姓名:陈晨；用户手机:18261551688；其他号码: 】</t>
  </si>
  <si>
    <t>陈晨</t>
  </si>
  <si>
    <t>18261551688</t>
  </si>
  <si>
    <t>30</t>
  </si>
  <si>
    <t>SKD251022139</t>
  </si>
  <si>
    <t>2025-10-22 15:32:38</t>
  </si>
  <si>
    <t>2025-10-22 15:32:40</t>
  </si>
  <si>
    <t>10.22中信23664元（2025年8月会员卡费用）【用户姓名: ；用户手机: ；其他号码: 】</t>
  </si>
  <si>
    <t>SKD251022140</t>
  </si>
  <si>
    <t>2025-10-22 15:34:00</t>
  </si>
  <si>
    <t>2025-10-22 15:34:01</t>
  </si>
  <si>
    <t>10.22中信2845.08元（跨越2025年9月运费、华商2025年9月运费、顺丰2025年9月运费）【用户姓名: ；用户手机: ；其他号码: 】</t>
  </si>
  <si>
    <t>SKD251023003</t>
  </si>
  <si>
    <t>2025-10-23 09:48:43</t>
  </si>
  <si>
    <t>2025-10-23 09:48:44</t>
  </si>
  <si>
    <t>10.22刷卡3247元（2597.6+补贴649.4元）【用户姓名:张佳炜；用户手机:13868188828；其他号码: 】</t>
  </si>
  <si>
    <t>张佳炜</t>
  </si>
  <si>
    <t>SKD251023004</t>
  </si>
  <si>
    <t>2025-10-23 08:41:31</t>
  </si>
  <si>
    <t>2025-10-23 09:48:58</t>
  </si>
  <si>
    <t>SKD251023007</t>
  </si>
  <si>
    <t>2025-10-23 09:43:24</t>
  </si>
  <si>
    <t>2025-10-23 09:53:52</t>
  </si>
  <si>
    <t>10.23支付宝791元【用户姓名:黄小露；用户手机:18606719515；其他号码: 】</t>
  </si>
  <si>
    <t>黄小露</t>
  </si>
  <si>
    <t>18606719515</t>
  </si>
  <si>
    <t>2025102322001480361430127794</t>
  </si>
  <si>
    <t>SKD251023010</t>
  </si>
  <si>
    <t>2025-10-23 09:54:33</t>
  </si>
  <si>
    <t>2025-10-23 09:54:35</t>
  </si>
  <si>
    <t>10.22转账5707元【用户姓名:杨波；用户手机:15381128661；其他号码: 】</t>
  </si>
  <si>
    <t>杨波</t>
  </si>
  <si>
    <t>15381128661</t>
  </si>
  <si>
    <t>SKD251023011</t>
  </si>
  <si>
    <t>2025-10-23 09:56:47</t>
  </si>
  <si>
    <t>2025-10-23 10:47:14</t>
  </si>
  <si>
    <t>10.9转账789元【用户姓名:湖州中太芯猫科技有限公司；用户手机: ；其他号码: 】</t>
  </si>
  <si>
    <t>无库存，暂挂余额</t>
  </si>
  <si>
    <t>SKD251023019</t>
  </si>
  <si>
    <t>2025-10-23 10:46:25</t>
  </si>
  <si>
    <t>2025-10-23 10:46:27</t>
  </si>
  <si>
    <t>10.23中信93.7元（顺丰2025年9月运费）【用户姓名: ；用户手机: ；其他号码: 】</t>
  </si>
  <si>
    <t>SKD251023021</t>
  </si>
  <si>
    <t>未检查</t>
  </si>
  <si>
    <t>2025-10-23 10:48:35</t>
  </si>
  <si>
    <t>2025-10-23 10:48:36</t>
  </si>
  <si>
    <t>北京京东世纪贸易有限公司供应商账户验证【用户姓名: ；用户手机: ；其他号码: 】</t>
  </si>
  <si>
    <t>soldto客户</t>
  </si>
  <si>
    <t>SKD251023037</t>
  </si>
  <si>
    <t>2025/10/24</t>
  </si>
  <si>
    <t>2025-10-24 10:27:11</t>
  </si>
  <si>
    <t>2025-10-23 13:08:27</t>
  </si>
  <si>
    <t>10.23刷卡4139元(3311.2元+补贴827.8元）（用户名 杨金忠）【用户姓名:杨金忠；用户手机:13685753921；其他号码: 】</t>
  </si>
  <si>
    <t>杨金忠</t>
  </si>
  <si>
    <t>13685753921</t>
  </si>
  <si>
    <t>SKD251023038</t>
  </si>
  <si>
    <t>2025-10-23 11:20:54</t>
  </si>
  <si>
    <t>2025-10-23 13:08:44</t>
  </si>
  <si>
    <t>SKD251023043</t>
  </si>
  <si>
    <t>2025-10-23 13:09:22</t>
  </si>
  <si>
    <t>2025-10-23 13:09:23</t>
  </si>
  <si>
    <t>10.22支付宝1196元【用户姓名:吕龙戚；用户手机:15867029111；其他号码: 】</t>
  </si>
  <si>
    <t>吕龙戚</t>
  </si>
  <si>
    <t>15867029111</t>
  </si>
  <si>
    <t>2025102222001401271450990972</t>
  </si>
  <si>
    <t>SKD251023061</t>
  </si>
  <si>
    <t>2025-10-23 13:09:58</t>
  </si>
  <si>
    <t>2025-10-23 13:09:59</t>
  </si>
  <si>
    <t>DS.00147</t>
  </si>
  <si>
    <t>AEH-80热泵热水器</t>
  </si>
  <si>
    <t>10.22扫码支付2850【用户姓名:徐志华；用户手机:18606793888；其他号码: 】</t>
  </si>
  <si>
    <t>徐志华</t>
  </si>
  <si>
    <t>18606793888</t>
  </si>
  <si>
    <t>SKD251023075</t>
  </si>
  <si>
    <t>2025-10-23 12:44:37</t>
  </si>
  <si>
    <t>2025-10-23 13:20:26</t>
  </si>
  <si>
    <t>2025年10月23日中信收到电汇5238.8元【用户姓名: ；用户手机: ；其他号码: 】</t>
  </si>
  <si>
    <t>微商城2025年9月结算</t>
  </si>
  <si>
    <t>SKD251023079</t>
  </si>
  <si>
    <t>2025-10-23 12:58:58</t>
  </si>
  <si>
    <t>2025-10-23 13:11:55</t>
  </si>
  <si>
    <t>YSJ.00009</t>
  </si>
  <si>
    <t xml:space="preserve">R2000RC9型反渗透净水机AO家用净水 </t>
  </si>
  <si>
    <t>10.23支付宝5800元【用户姓名:顾惠娟；用户手机:15906677011；其他号码: 】</t>
  </si>
  <si>
    <t>顾惠娟</t>
  </si>
  <si>
    <t>15906677011</t>
  </si>
  <si>
    <t>2025102322001498761458564184</t>
  </si>
  <si>
    <t>SKD251023096</t>
  </si>
  <si>
    <t>2025-10-23 13:18:12</t>
  </si>
  <si>
    <t>2025-10-23 13:20:46</t>
  </si>
  <si>
    <t>2025年10月16日中信收到电汇4048.2元【用户姓名: ；用户手机: ；其他号码: 】</t>
  </si>
  <si>
    <t>o2o京东壁挂炉全款2025年9月结算陈菊(杭州）</t>
  </si>
  <si>
    <t>SKD251023104</t>
  </si>
  <si>
    <t>2025-10-23 13:26:27</t>
  </si>
  <si>
    <t>2025-10-23 13:43:11</t>
  </si>
  <si>
    <t>10.23转账2481.70元【用户姓名:宁波得金智慧科技有限公司；用户手机:18067218052；其他号码: 】</t>
  </si>
  <si>
    <t>18067218052</t>
  </si>
  <si>
    <t>SKD251023112</t>
  </si>
  <si>
    <t>2025-10-23 13:46:18</t>
  </si>
  <si>
    <t>2025-10-23 13:46:19</t>
  </si>
  <si>
    <t>10.23中信7480.75元（2025.10.6-2026.4.5湖州办事处中瑞售后承担房租物业费税点）【用户姓名: ；用户手机: ；其他号码: 】</t>
  </si>
  <si>
    <t>SKD251023116</t>
  </si>
  <si>
    <t>2025-10-23 14:13:53</t>
  </si>
  <si>
    <t>2025-10-23 14:34:23</t>
  </si>
  <si>
    <t>10.23支付宝4299元【用户姓名:李少兰；用户手机:13957181677；其他号码: 】</t>
  </si>
  <si>
    <t>李少兰</t>
  </si>
  <si>
    <t>13957181677</t>
  </si>
  <si>
    <t>2025102322001450891428451915</t>
  </si>
  <si>
    <t>SKD251023121</t>
  </si>
  <si>
    <t>2025-10-23 14:57:37</t>
  </si>
  <si>
    <t>2025-10-23 15:10:18</t>
  </si>
  <si>
    <t>10.23金华建行3917元【用户姓名:郑星；用户手机: ；其他号码: 】</t>
  </si>
  <si>
    <t>SKD251023132</t>
  </si>
  <si>
    <t>2025-10-23 15:08:42</t>
  </si>
  <si>
    <t>2025-10-23 15:20:30</t>
  </si>
  <si>
    <t>10.23支付宝2950元【用户姓名:赵瑞祥；用户手机:15201921546；其他号码: 】</t>
  </si>
  <si>
    <t>赵瑞祥</t>
  </si>
  <si>
    <t>15201921546</t>
  </si>
  <si>
    <t>2025102322001403151445171405</t>
  </si>
  <si>
    <t>SKD251023133</t>
  </si>
  <si>
    <t>2025-10-23 15:09:25</t>
  </si>
  <si>
    <t>2025-10-23 15:20:56</t>
  </si>
  <si>
    <t>10.23支付宝3838元【用户姓名:赵瑞祥；用户手机:15201921546；其他号码: 】</t>
  </si>
  <si>
    <t>2025102322001403151438712445</t>
  </si>
  <si>
    <t>SKD251023135</t>
  </si>
  <si>
    <t>2025-10-23 15:19:26</t>
  </si>
  <si>
    <t>2025-10-23 15:21:41</t>
  </si>
  <si>
    <t>10.23转账20000元【用户姓名: ；用户手机: ；其他号码: 】</t>
  </si>
  <si>
    <t>SKD251023139</t>
  </si>
  <si>
    <t>2025-10-23 15:24:02</t>
  </si>
  <si>
    <t>2025-10-23 15:24:03</t>
  </si>
  <si>
    <t>2025.10.23中信15739.2元（仓储服务费）【用户姓名: ；用户手机: ；其他号码: 】</t>
  </si>
  <si>
    <t>SKD251023141</t>
  </si>
  <si>
    <t>2025-10-23 15:32:49</t>
  </si>
  <si>
    <t>2025-10-23 16:55:14</t>
  </si>
  <si>
    <t>2025.10.23支付宝支付2070【用户姓名:应燕霞；用户手机:13456935333；其他号码: 】</t>
  </si>
  <si>
    <t>应燕霞</t>
  </si>
  <si>
    <t>13456935333</t>
  </si>
  <si>
    <t>2025102322001420371445662599</t>
  </si>
  <si>
    <t>SKD251023151</t>
  </si>
  <si>
    <t>2025-10-24 10:28:17</t>
  </si>
  <si>
    <t>2025-10-24 10:28:18</t>
  </si>
  <si>
    <t>10.23刷卡2951元（2360.8+补贴590.2元）【用户姓名:童华波；用户手机:13093703130；其他号码: 】</t>
  </si>
  <si>
    <t>童华波</t>
  </si>
  <si>
    <t>13093703130</t>
  </si>
  <si>
    <t>SKD251023152</t>
  </si>
  <si>
    <t>2025-10-23 15:44:14</t>
  </si>
  <si>
    <t>2025-10-24 10:28:25</t>
  </si>
  <si>
    <t>SKD251024006</t>
  </si>
  <si>
    <t>2025-10-24 11:02:04</t>
  </si>
  <si>
    <t>2025-10-24 11:03:30</t>
  </si>
  <si>
    <t>10.23支付宝890元【用户姓名:宋腾飞；用户手机:15967147783；其他号码: 】</t>
  </si>
  <si>
    <t>宋腾飞</t>
  </si>
  <si>
    <t>15967147783</t>
  </si>
  <si>
    <t>2025102322001480401450673136</t>
  </si>
  <si>
    <t>SKD251024018</t>
  </si>
  <si>
    <t>2025-10-24 09:34:35</t>
  </si>
  <si>
    <t>2025-10-24 10:29:08</t>
  </si>
  <si>
    <t>RQRS.00053</t>
  </si>
  <si>
    <t>JSQ31-CLB燃气快速热水器</t>
  </si>
  <si>
    <t>10.8转账3245元【用户姓名:湖州中太芯猫科技有限公司；用户手机:18268203882；其他号码: 】</t>
  </si>
  <si>
    <t>18268203882</t>
  </si>
  <si>
    <t>SKD251024030</t>
  </si>
  <si>
    <t>台州</t>
  </si>
  <si>
    <t>台州办事处</t>
  </si>
  <si>
    <t>张斌</t>
  </si>
  <si>
    <t>银行承兑汇票</t>
  </si>
  <si>
    <t>中嘉代开截止25年10月24日累计未回0元</t>
  </si>
  <si>
    <t>2025-10-27 13:59:03</t>
  </si>
  <si>
    <t>2025-10-27 14:03:03</t>
  </si>
  <si>
    <t>2025年10月24日承兑【用户姓名: ；用户手机: ；其他号码: 】</t>
  </si>
  <si>
    <t>台州-椒江</t>
  </si>
  <si>
    <t>2025年7-8月结算商场结算单号205961861#（中嘉代开）</t>
  </si>
  <si>
    <t>SKD251024052</t>
  </si>
  <si>
    <t>2025-10-24 10:30:48</t>
  </si>
  <si>
    <t>2025-10-24 10:30:49</t>
  </si>
  <si>
    <t>10.23中信6122.84元（跨越2025年9月运费）【用户姓名: ；用户手机: ；其他号码: 】</t>
  </si>
  <si>
    <t>SKD251024053</t>
  </si>
  <si>
    <t>2025-10-24 10:31:40</t>
  </si>
  <si>
    <t>2025-10-24 10:31:41</t>
  </si>
  <si>
    <t>10.23中信492.3元（顺丰2025年9月运费）【用户姓名: ；用户手机: ；其他号码: 】</t>
  </si>
  <si>
    <t>SKD251024066</t>
  </si>
  <si>
    <t>2025-10-24 11:14:20</t>
  </si>
  <si>
    <t>2025-10-24 13:19:52</t>
  </si>
  <si>
    <t>10.23支付宝4639元【用户姓名:殷耀成；用户手机:18106507350；其他号码: 】</t>
  </si>
  <si>
    <t>殷耀成</t>
  </si>
  <si>
    <t>18106507350</t>
  </si>
  <si>
    <t>2025102322001461351410571888</t>
  </si>
  <si>
    <t>SKD251024069</t>
  </si>
  <si>
    <t>2025-10-24 10:44:30</t>
  </si>
  <si>
    <t>2025-10-24 10:58:28</t>
  </si>
  <si>
    <t>DR.00128</t>
  </si>
  <si>
    <t>EWH-10A2储水式电热水器</t>
  </si>
  <si>
    <t>10.24支付宝付800元（用户名 陈鑫月）【用户姓名:陈鑫月；用户手机:13957199599；其他号码: 】</t>
  </si>
  <si>
    <t>陈鑫月</t>
  </si>
  <si>
    <t>13957199599</t>
  </si>
  <si>
    <t>2025102422001411491449251032</t>
  </si>
  <si>
    <t>SKD251024122</t>
  </si>
  <si>
    <t>2025-10-24 13:21:09</t>
  </si>
  <si>
    <t>2025-10-24 13:21:11</t>
  </si>
  <si>
    <t>10.23刷卡3359元（2855.15+补贴503.85元）【用户姓名:叶文来；用户手机:13735804886；其他号码: 】</t>
  </si>
  <si>
    <t>叶文来</t>
  </si>
  <si>
    <t>13735804886</t>
  </si>
  <si>
    <t>SKD251024123</t>
  </si>
  <si>
    <t>2025-10-24 12:22:50</t>
  </si>
  <si>
    <t>2025-10-24 13:21:20</t>
  </si>
  <si>
    <t>SKD251024127</t>
  </si>
  <si>
    <t>农业银行杭州蒋村支行</t>
  </si>
  <si>
    <t>19000701040018551</t>
  </si>
  <si>
    <t>2025-10-24 12:45:43</t>
  </si>
  <si>
    <t>2025-10-24 13:21:40</t>
  </si>
  <si>
    <t>10.24浙江都都装饰有限公司转账26190元【用户姓名: ；用户手机: ；其他号码: 】</t>
  </si>
  <si>
    <t>SKD251024133</t>
  </si>
  <si>
    <t>2025-10-24 13:18:23</t>
  </si>
  <si>
    <t>2025-10-24 13:29:49</t>
  </si>
  <si>
    <t>10.24转账10000元【用户姓名: ；用户手机: ；其他号码: 】</t>
  </si>
  <si>
    <t>SKD251024135</t>
  </si>
  <si>
    <t>2025-10-24 14:13:59</t>
  </si>
  <si>
    <t>2025-10-24 14:52:44</t>
  </si>
  <si>
    <t>2025.10.24金华建行2196【用户姓名:严成胜；用户手机: ；其他号码: 】</t>
  </si>
  <si>
    <t>SKD251024136</t>
  </si>
  <si>
    <t>2025-10-24 14:17:54</t>
  </si>
  <si>
    <t>2025-10-24 14:49:13</t>
  </si>
  <si>
    <t>10.24杭州兴达京昀电器有限公司转账5万元【用户姓名: ；用户手机: ；其他号码: 】</t>
  </si>
  <si>
    <t>SKD251024137</t>
  </si>
  <si>
    <t>2025-10-24 14:49:41</t>
  </si>
  <si>
    <t>2025-10-24 14:49:42</t>
  </si>
  <si>
    <t>YYJ.00021</t>
  </si>
  <si>
    <t>CXW-400-Z3AWI（409639-174/ 409639-180 两件)油烟机</t>
  </si>
  <si>
    <t>10.23刷卡6788元（5430.4+补贴1357.6元）【用户姓名:张慧慧；用户手机:15869161872；其他号码: 】</t>
  </si>
  <si>
    <t>张慧慧</t>
  </si>
  <si>
    <t>15869161872</t>
  </si>
  <si>
    <t>SKD251024138</t>
  </si>
  <si>
    <t>2025-10-24 14:34:09</t>
  </si>
  <si>
    <t>2025-10-24 14:49:50</t>
  </si>
  <si>
    <t>SKD251024163</t>
  </si>
  <si>
    <t>2025-10-24 15:49:54</t>
  </si>
  <si>
    <t>2025-10-24 15:50:33</t>
  </si>
  <si>
    <t>10.24转账5918元【用户姓名:浙江云顶贸易有限公司；用户手机:18969163290；其他号码: 】</t>
  </si>
  <si>
    <t>浙江云顶贸易有限公司</t>
  </si>
  <si>
    <t>18969163290</t>
  </si>
  <si>
    <t>DRSQ.00063</t>
  </si>
  <si>
    <t>CEWH-50D3Wi储水式热水器</t>
  </si>
  <si>
    <t>SKD251024164</t>
  </si>
  <si>
    <t>2025-10-24 15:51:02</t>
  </si>
  <si>
    <t>2025-10-24 15:51:52</t>
  </si>
  <si>
    <t>LDFT.00006</t>
  </si>
  <si>
    <t>HPA-80E1.5ZWi分体热泵（含室外机500617-441 /500630-157）</t>
  </si>
  <si>
    <t>10.24转账12768元【用户姓名:宁波得金智慧科技有限公司；用户手机:13906612920；其他号码: 】</t>
  </si>
  <si>
    <t>13906612920</t>
  </si>
  <si>
    <t>SKD251024169</t>
  </si>
  <si>
    <t>2025-10-24 16:22:07</t>
  </si>
  <si>
    <t>2025-10-24 16:25:34</t>
  </si>
  <si>
    <t>10.24支付宝898元【用户姓名:龚晓群；用户手机:13157178826；其他号码: 】</t>
  </si>
  <si>
    <t>龚晓群</t>
  </si>
  <si>
    <t>13157178826</t>
  </si>
  <si>
    <t>2025102423001427571402479385</t>
  </si>
  <si>
    <t>SKD251024178</t>
  </si>
  <si>
    <t>2025年10月胡俊结算(换新136）</t>
  </si>
  <si>
    <t>2025-10-25 12:58:31</t>
  </si>
  <si>
    <t>2025-10-25 12:58:33</t>
  </si>
  <si>
    <t>2025年10月24日中信银行收款【用户姓名:2025年10月结算(换新136-143）；用户手机: ；其他号码: 】</t>
  </si>
  <si>
    <t>2025年10月结算(换新136-143）</t>
  </si>
  <si>
    <t>2025年10月贝泽锋结算(换新137）</t>
  </si>
  <si>
    <t>2025年10月缪小平结算(换新138）</t>
  </si>
  <si>
    <t>2025年10月章国权结算(换新139）</t>
  </si>
  <si>
    <t>2025年10月客户结算(换新140）</t>
  </si>
  <si>
    <t>2025年10月陶敦富结算(换新141）</t>
  </si>
  <si>
    <t>2025年10月叶先生结算(换新142）</t>
  </si>
  <si>
    <t>2025年10月周海定结算(换新143）</t>
  </si>
  <si>
    <t>SKD251024179</t>
  </si>
  <si>
    <t>2025/10/25</t>
  </si>
  <si>
    <t>2025年10月黄卫国结算(换新144）</t>
  </si>
  <si>
    <t>2025-10-27 13:57:39</t>
  </si>
  <si>
    <t>2025-10-27 13:57:41</t>
  </si>
  <si>
    <t>2025年10月25日中信银行收款【用户姓名:2025年10月结算(换新144-151）；用户手机: ；其他号码: 】</t>
  </si>
  <si>
    <t>2025年10月结算(换新144-151）</t>
  </si>
  <si>
    <t>2025年10月俞明结算(换新145）</t>
  </si>
  <si>
    <t>2025年10月雷结算(换新146）</t>
  </si>
  <si>
    <t>2025年10月客户结算(换新147）</t>
  </si>
  <si>
    <t>2025年10月郑元豹结算(换新148）</t>
  </si>
  <si>
    <t>2025年10月陈美乐结算(换新149）</t>
  </si>
  <si>
    <t>2025年10月林婕结算(换新150）</t>
  </si>
  <si>
    <t>2025年10月胡可本结算(换新151）</t>
  </si>
  <si>
    <t>SKD251024182</t>
  </si>
  <si>
    <t>2025-10-25 10:28:59</t>
  </si>
  <si>
    <t>2025-10-25 10:29:02</t>
  </si>
  <si>
    <t>10.24扫码中信2800【用户姓名:房烈龙；用户手机:13906502648；其他号码: 】</t>
  </si>
  <si>
    <t>房烈龙</t>
  </si>
  <si>
    <t>13906502648</t>
  </si>
  <si>
    <t>SKD251025056</t>
  </si>
  <si>
    <t>2025-10-25 12:54:11</t>
  </si>
  <si>
    <t>2025-10-25 12:54:13</t>
  </si>
  <si>
    <t>10.24支付宝付850元【用户姓名:戴胜男；用户手机:13376093902；其他号码: 】</t>
  </si>
  <si>
    <t>戴胜男</t>
  </si>
  <si>
    <t>13376093902</t>
  </si>
  <si>
    <t>2025102422001406221459190642</t>
  </si>
  <si>
    <t>SKD251025068</t>
  </si>
  <si>
    <t>2025-10-25 12:32:56</t>
  </si>
  <si>
    <t>2025-10-25 13:33:30</t>
  </si>
  <si>
    <t>DR.00151</t>
  </si>
  <si>
    <t>EES-50D容积电热水器</t>
  </si>
  <si>
    <t>10.25支付宝8000元【用户姓名:张亚安；用户手机:13906512695；其他号码: 】</t>
  </si>
  <si>
    <t>张亚安</t>
  </si>
  <si>
    <t>13906512695</t>
  </si>
  <si>
    <t>2025102522001496671420732355</t>
  </si>
  <si>
    <t>SKD251025069</t>
  </si>
  <si>
    <t>2025-10-25 13:26:28</t>
  </si>
  <si>
    <t>2025-10-25 13:34:23</t>
  </si>
  <si>
    <t>10.24号陈蓝支付宝转账770元【用户姓名:陈蓝；用户手机:13666622588；其他号码: 】</t>
  </si>
  <si>
    <t>陈蓝</t>
  </si>
  <si>
    <t>13666622588</t>
  </si>
  <si>
    <t>2025102422001406911436959245</t>
  </si>
  <si>
    <t>SKD251025098</t>
  </si>
  <si>
    <t>2025-10-25 14:00:25</t>
  </si>
  <si>
    <t>2025-10-25 15:17:49</t>
  </si>
  <si>
    <t>10.25支付宝3136元【用户姓名:李良松；用户手机:13588043498；其他号码: 】</t>
  </si>
  <si>
    <t>李良松</t>
  </si>
  <si>
    <t>13588043498</t>
  </si>
  <si>
    <t>'2025102522001400691417921874</t>
  </si>
  <si>
    <t>SKD251025100</t>
  </si>
  <si>
    <t>2025-10-25 14:01:08</t>
  </si>
  <si>
    <t>2025-10-25 15:18:08</t>
  </si>
  <si>
    <t>10.25支付宝3230元【用户姓名:程丽梅；用户手机:13666654336；其他号码: 】</t>
  </si>
  <si>
    <t>程丽梅</t>
  </si>
  <si>
    <t>13666654336</t>
  </si>
  <si>
    <t>2025102522001416761404340353</t>
  </si>
  <si>
    <t>SKD251025103</t>
  </si>
  <si>
    <t>2025/10/26</t>
  </si>
  <si>
    <t>2025-10-27 09:36:50</t>
  </si>
  <si>
    <t>2025-10-27 09:36:51</t>
  </si>
  <si>
    <t>10.25扫码付2984元【用户姓名:封珍保；用户手机:13777499293；其他号码: 】</t>
  </si>
  <si>
    <t>封珍保</t>
  </si>
  <si>
    <t>13777499293</t>
  </si>
  <si>
    <t>SKD251025106</t>
  </si>
  <si>
    <t>2025-10-25 14:03:11</t>
  </si>
  <si>
    <t>2025-10-25 15:18:36</t>
  </si>
  <si>
    <t>10.24支付宝2685.6元【用户姓名:张沉沉；用户手机:13029489501；其他号码: 】</t>
  </si>
  <si>
    <t>张沉沉</t>
  </si>
  <si>
    <t>13029489501</t>
  </si>
  <si>
    <t>2025102422001450611411480792</t>
  </si>
  <si>
    <t>SKD251025143</t>
  </si>
  <si>
    <t>2025-10-25 14:30:56</t>
  </si>
  <si>
    <t>2025-10-25 15:14:24</t>
  </si>
  <si>
    <t>10.25转账8364元【用户姓名:浙江云顶贸易有限公司；用户手机:13588757264；其他号码: 】</t>
  </si>
  <si>
    <t>13588757264</t>
  </si>
  <si>
    <t>SKD251025155</t>
  </si>
  <si>
    <t>2025/10/27</t>
  </si>
  <si>
    <t>2025-10-27 09:37:12</t>
  </si>
  <si>
    <t>2025-10-27 09:37:13</t>
  </si>
  <si>
    <t>10.25刷卡5988元（5089.8+补贴898.2元）【用户姓名:陈琳；用户手机:15906635788；其他号码: 】</t>
  </si>
  <si>
    <t>陈琳</t>
  </si>
  <si>
    <t>15906635788</t>
  </si>
  <si>
    <t>SKD251025157</t>
  </si>
  <si>
    <t>2025-10-25 14:40:31</t>
  </si>
  <si>
    <t>2025-10-27 09:37:25</t>
  </si>
  <si>
    <t>10.25刷卡5988元（5089.8+补贴898.2元【用户姓名:陈琳；用户手机:15906635788；其他号码: 】</t>
  </si>
  <si>
    <t>SKD251025203</t>
  </si>
  <si>
    <t>2025-10-25 15:29:04</t>
  </si>
  <si>
    <t>2025-10-25 15:29:39</t>
  </si>
  <si>
    <t>RQZ.00006</t>
  </si>
  <si>
    <t>JZT-F5B1燃气灶</t>
  </si>
  <si>
    <t>10.23支付宝700元【用户姓名:张慧慧；用户手机:15869161872；其他号码: 】</t>
  </si>
  <si>
    <t>2025102322001453261435632423</t>
  </si>
  <si>
    <t>SKD251025293</t>
  </si>
  <si>
    <t>微信</t>
  </si>
  <si>
    <t>2025-10-27 09:37:45</t>
  </si>
  <si>
    <t>2025-10-27 09:37:46</t>
  </si>
  <si>
    <t>10.25扫码2079【用户姓名:王安然；用户手机:15940502856；其他号码: 】</t>
  </si>
  <si>
    <t>王安然</t>
  </si>
  <si>
    <t>15940502856</t>
  </si>
  <si>
    <t>4200002945202510256440742494</t>
  </si>
  <si>
    <t>SKD251025299</t>
  </si>
  <si>
    <t>2025-10-25 16:16:55</t>
  </si>
  <si>
    <t>2025-10-25 16:19:30</t>
  </si>
  <si>
    <t>10.25支付宝5988元【用户姓名:钟伟；用户手机:13750843139；其他号码: 】</t>
  </si>
  <si>
    <t>钟伟</t>
  </si>
  <si>
    <t>13750843139</t>
  </si>
  <si>
    <t>2025102522001428631410649164</t>
  </si>
  <si>
    <t>SKD251025319</t>
  </si>
  <si>
    <t>2025-10-25 17:02:50</t>
  </si>
  <si>
    <t>2025-10-25 17:02:52</t>
  </si>
  <si>
    <t>10.25支付宝付1196元【用户姓名:王安然；用户手机:15940502856；其他号码: 】</t>
  </si>
  <si>
    <t>2025102522001437771402485220</t>
  </si>
  <si>
    <t>SKD251025320</t>
  </si>
  <si>
    <t>2025-10-25 17:04:40</t>
  </si>
  <si>
    <t>2025-10-25 17:04:41</t>
  </si>
  <si>
    <t>10.25支付宝付3395元【用户姓名:王安然；用户手机:15940502856；其他号码: 】</t>
  </si>
  <si>
    <t>2025102522001437771459913254</t>
  </si>
  <si>
    <t>SKD251025322</t>
  </si>
  <si>
    <t>2025-10-25 17:14:35</t>
  </si>
  <si>
    <t>2025-10-26 14:39:59</t>
  </si>
  <si>
    <t>DS.00225</t>
  </si>
  <si>
    <t>E80VDS储水式电热水器</t>
  </si>
  <si>
    <t>10.25转账37360.6元【用户姓名:宁波得金智慧科技有限公司；用户手机:13989304419；其他号码: 】</t>
  </si>
  <si>
    <t>13989304419</t>
  </si>
  <si>
    <t>RR.01.00003</t>
  </si>
  <si>
    <t>JSQ31-CLAX燃气快速热水器通用</t>
  </si>
  <si>
    <t>SKD251025323</t>
  </si>
  <si>
    <t>2025-10-27 09:29:14</t>
  </si>
  <si>
    <t>2025-10-26 15:00:25</t>
  </si>
  <si>
    <t>XPL.00019</t>
  </si>
  <si>
    <t>HWM-18F水暖床垫</t>
  </si>
  <si>
    <t>10.23扫码支付1600【用户姓名:毛月萍；用户手机:13586992216；其他号码: 】</t>
  </si>
  <si>
    <t>毛月萍</t>
  </si>
  <si>
    <t>13586992216</t>
  </si>
  <si>
    <t>SKD251026001</t>
  </si>
  <si>
    <t>2025-10-26 08:53:00</t>
  </si>
  <si>
    <t>2025-10-26 14:46:08</t>
  </si>
  <si>
    <t>2025.10.25金华建行2200【用户姓名:严成胜；用户手机: ；其他号码: 】</t>
  </si>
  <si>
    <t>SKD251026032</t>
  </si>
  <si>
    <t>2025-10-27 09:38:23</t>
  </si>
  <si>
    <t>2025-10-27 09:38:24</t>
  </si>
  <si>
    <t>10.25刷卡4791元（3832.8元+补贴958.2元）【用户姓名:袁佳琪；用户手机:15869020797；其他号码: 】</t>
  </si>
  <si>
    <t>袁佳琪</t>
  </si>
  <si>
    <t>15869020797</t>
  </si>
  <si>
    <t>SKD251026035</t>
  </si>
  <si>
    <t>2025-10-27 09:38:34</t>
  </si>
  <si>
    <t>2025-10-27 09:38:35</t>
  </si>
  <si>
    <t>SKD251026047</t>
  </si>
  <si>
    <t>2025-10-27 13:08:10</t>
  </si>
  <si>
    <t>2025-10-27 13:08:11</t>
  </si>
  <si>
    <t>10.25刷卡5119元（4351.15+补贴767.85元）【用户姓名:王黎明；用户手机:13780080165；其他号码: 】</t>
  </si>
  <si>
    <t>王黎明</t>
  </si>
  <si>
    <t>13780080165</t>
  </si>
  <si>
    <t>SKD251026048</t>
  </si>
  <si>
    <t>2025-10-27 10:13:16</t>
  </si>
  <si>
    <t>2025-10-27 13:08:19</t>
  </si>
  <si>
    <t>SKD251026049</t>
  </si>
  <si>
    <t>2025-10-26 11:39:52</t>
  </si>
  <si>
    <t>2025-10-26 14:51:58</t>
  </si>
  <si>
    <t>10.26支付宝800元【用户姓名:陈晶宇；用户手机:18768499914；其他号码: 】</t>
  </si>
  <si>
    <t>陈晶宇</t>
  </si>
  <si>
    <t>18768499914</t>
  </si>
  <si>
    <t>2025102622001483081408739706</t>
  </si>
  <si>
    <t>SKD251026053</t>
  </si>
  <si>
    <t>2025-10-27 09:47:11</t>
  </si>
  <si>
    <t>10.26刷卡3636元（2908.8+补贴727.2元）【用户姓名:赵甄妮；用户手机:18868831226；其他号码: 】</t>
  </si>
  <si>
    <t>赵甄妮</t>
  </si>
  <si>
    <t>18868831226</t>
  </si>
  <si>
    <t>SKD251026054</t>
  </si>
  <si>
    <t>2025-10-26 12:47:41</t>
  </si>
  <si>
    <t>2025-10-26 14:53:50</t>
  </si>
  <si>
    <t>10.25支付宝3369元【用户姓名：徐峰】【用户姓名:徐峰；用户手机:18668166099；其他号码: 】</t>
  </si>
  <si>
    <t>徐峰</t>
  </si>
  <si>
    <t>18668166099</t>
  </si>
  <si>
    <t>2025102522001434441441439003</t>
  </si>
  <si>
    <t>SKD251026055</t>
  </si>
  <si>
    <t>2025-10-26 12:47:46</t>
  </si>
  <si>
    <t>2025-10-27 09:47:19</t>
  </si>
  <si>
    <t>SKD251026056</t>
  </si>
  <si>
    <t>2025-10-27 09:31:16</t>
  </si>
  <si>
    <t>2025-10-26 14:54:13</t>
  </si>
  <si>
    <t>10.26刷卡6700元（5360+补贴1340元）【用户姓名:邵小明；用户手机:13065708380；其他号码: 】</t>
  </si>
  <si>
    <t>邵小明</t>
  </si>
  <si>
    <t>13065708380</t>
  </si>
  <si>
    <t>SKD251026057</t>
  </si>
  <si>
    <t>2025-10-26 12:48:56</t>
  </si>
  <si>
    <t>2025-10-26 14:54:23</t>
  </si>
  <si>
    <t>SKD251026058</t>
  </si>
  <si>
    <t>2025-10-26 12:49:38</t>
  </si>
  <si>
    <t>2025-10-27 09:47:48</t>
  </si>
  <si>
    <t>10.25支付宝3395元【用户姓名:张婷婷；用户手机:13858088600；其他号码: 】</t>
  </si>
  <si>
    <t>张婷婷</t>
  </si>
  <si>
    <t>13858088600</t>
  </si>
  <si>
    <t>2025102522001473031400409935</t>
  </si>
  <si>
    <t>SKD251026059</t>
  </si>
  <si>
    <t>2025-10-26 12:50:37</t>
  </si>
  <si>
    <t>2025-10-26 14:54:47</t>
  </si>
  <si>
    <t>10.26支付宝7200元【用户姓名:沈国生；用户手机:18367141888；其他号码: 】</t>
  </si>
  <si>
    <t>沈国生</t>
  </si>
  <si>
    <t>18367141888</t>
  </si>
  <si>
    <t>'2025102622001459071418653629</t>
  </si>
  <si>
    <t>SKD251026060</t>
  </si>
  <si>
    <t>2025-10-27 09:32:26</t>
  </si>
  <si>
    <t>2025-10-26 15:04:44</t>
  </si>
  <si>
    <t>10.25刷卡2800元(2240元+补贴560元）【用户姓名：张艾嘉】【用户姓名:张艾嘉；用户手机:18151548215；其他号码: 】</t>
  </si>
  <si>
    <t>张艾嘉</t>
  </si>
  <si>
    <t>18151548215</t>
  </si>
  <si>
    <t>SKD251026061</t>
  </si>
  <si>
    <t>2025-10-26 15:05:02</t>
  </si>
  <si>
    <t>2025-10-26 15:05:04</t>
  </si>
  <si>
    <t>SKD251026062</t>
  </si>
  <si>
    <t>2025-10-26 12:54:41</t>
  </si>
  <si>
    <t>2025-10-26 14:56:23</t>
  </si>
  <si>
    <t>10.26支付宝2496元【用户姓名:李高阳；用户手机:13587618051；其他号码: 】</t>
  </si>
  <si>
    <t>13587618051</t>
  </si>
  <si>
    <t>2025102622001497101434223163</t>
  </si>
  <si>
    <t>SKD251026064</t>
  </si>
  <si>
    <t>2025-10-26 12:58:23</t>
  </si>
  <si>
    <t>2025-10-26 14:56:47</t>
  </si>
  <si>
    <t>10.25支付宝836元【用户姓名：张艾嘉】【用户姓名:张艾嘉；用户手机:18151548215；其他号码: 】</t>
  </si>
  <si>
    <t>2025102522001413981431028055</t>
  </si>
  <si>
    <t>SKD251026066</t>
  </si>
  <si>
    <t>2025-10-27 09:33:42</t>
  </si>
  <si>
    <t>2025-10-26 15:05:29</t>
  </si>
  <si>
    <t>YSJ.00031</t>
  </si>
  <si>
    <t xml:space="preserve"> R2000DWWi净水机</t>
  </si>
  <si>
    <t>10.26刷卡5000元（4000元+补贴1000元）【用户姓名：陈菲】【用户姓名:陈菲；用户手机:15757821083；其他号码: 】</t>
  </si>
  <si>
    <t>陈菲</t>
  </si>
  <si>
    <t>15757821083</t>
  </si>
  <si>
    <t>SKD251026068</t>
  </si>
  <si>
    <t>2025-10-26 13:04:18</t>
  </si>
  <si>
    <t>2025-10-26 15:05:39</t>
  </si>
  <si>
    <t>SKD251026069</t>
  </si>
  <si>
    <t>2025-10-26 13:07:19</t>
  </si>
  <si>
    <t>2025-10-26 14:57:34</t>
  </si>
  <si>
    <t>10.26支付宝351元【用户姓名：陈菲】【用户姓名:陈菲；用户手机:15757821083；其他号码: 】</t>
  </si>
  <si>
    <t>2025102622001412531404531628</t>
  </si>
  <si>
    <t>SKD251026078</t>
  </si>
  <si>
    <t>2025-10-26 13:43:06</t>
  </si>
  <si>
    <t>2025-10-26 14:58:01</t>
  </si>
  <si>
    <t>10.26支付宝3990元【用户姓名:方丹红；用户手机:13758284088；其他号码: 】</t>
  </si>
  <si>
    <t>方丹红</t>
  </si>
  <si>
    <t>13758284088</t>
  </si>
  <si>
    <t>2025102622001432051444630702</t>
  </si>
  <si>
    <t>SKD251026079</t>
  </si>
  <si>
    <t>2025-10-26 14:38:55</t>
  </si>
  <si>
    <t>2025-10-27 09:39:04</t>
  </si>
  <si>
    <t>10.26浙江都都装饰有限公司转账20674元【用户姓名: ；用户手机: ；其他号码: 】</t>
  </si>
  <si>
    <t>SKD251026109</t>
  </si>
  <si>
    <t>2025-10-27 09:39:51</t>
  </si>
  <si>
    <t>2025-10-27 09:39:52</t>
  </si>
  <si>
    <t>10.25支付宝1893元【用户姓名:袁佳琪；用户手机:15869020797；其他号码: 】</t>
  </si>
  <si>
    <t>2025102522001429701409867056</t>
  </si>
  <si>
    <t>SKD251026110</t>
  </si>
  <si>
    <t>2025-10-26 16:07:56</t>
  </si>
  <si>
    <t>2025-10-27 09:40:20</t>
  </si>
  <si>
    <t>10.26支付宝1895元【用户姓名:杨致权；用户手机:13064785778；其他号码: 】</t>
  </si>
  <si>
    <t>杨致权</t>
  </si>
  <si>
    <t>13064785778</t>
  </si>
  <si>
    <t>2025102622001446441457347638</t>
  </si>
  <si>
    <t>SKD251026111</t>
  </si>
  <si>
    <t>2025-10-27 09:41:15</t>
  </si>
  <si>
    <t>2025-10-27 09:41:16</t>
  </si>
  <si>
    <t>10.26支付宝3138元【用户姓名:叶坚；用户手机:13606621366；其他号码: 】</t>
  </si>
  <si>
    <t>叶坚</t>
  </si>
  <si>
    <t>13606621366</t>
  </si>
  <si>
    <t>2025102622001496821408686261</t>
  </si>
  <si>
    <t>SKD251026114</t>
  </si>
  <si>
    <t>2025-10-27 09:41:56</t>
  </si>
  <si>
    <t>2025-10-27 09:41:57</t>
  </si>
  <si>
    <t>10.26支付宝350元【用户姓名:倪旭栋；用户手机:13355783541；其他号码: 】</t>
  </si>
  <si>
    <t>2025102622001465641400762022</t>
  </si>
  <si>
    <t>SKD251026129</t>
  </si>
  <si>
    <t>2025-10-27 09:42:25</t>
  </si>
  <si>
    <t>2025-10-27 09:42:26</t>
  </si>
  <si>
    <t>10.26刷卡6966元（5572.8+补贴1393.2元）【用户姓名:唐晓阳；用户手机:13606637577；其他号码: 】</t>
  </si>
  <si>
    <t>唐晓阳</t>
  </si>
  <si>
    <t>13606637577</t>
  </si>
  <si>
    <t>SKD251026130</t>
  </si>
  <si>
    <t>2025-10-26 16:58:49</t>
  </si>
  <si>
    <t>2025-10-27 09:42:34</t>
  </si>
  <si>
    <t>SKD251026131</t>
  </si>
  <si>
    <t>2025-10-27 09:42:55</t>
  </si>
  <si>
    <t>2025-10-27 09:43:12</t>
  </si>
  <si>
    <t>10.26支付宝2984元【用户姓名:周立川；用户手机:15058135363；其他号码: 】</t>
  </si>
  <si>
    <t>周立川</t>
  </si>
  <si>
    <t>15058135363</t>
  </si>
  <si>
    <t>2025102622001467561457069969</t>
  </si>
  <si>
    <t>SKD251026132</t>
  </si>
  <si>
    <t>2025-10-27 09:43:39</t>
  </si>
  <si>
    <t>2025-10-27 09:43:40</t>
  </si>
  <si>
    <t>10.26支付宝4295元【用户姓名:周立川；用户手机:15058135363；其他号码: 】</t>
  </si>
  <si>
    <t>2025102622001467561452243987</t>
  </si>
  <si>
    <t>SKD251027001</t>
  </si>
  <si>
    <t>2025-10-27 08:35:37</t>
  </si>
  <si>
    <t>2025-10-27 09:44:01</t>
  </si>
  <si>
    <t>2025.10.27金华建行2200【用户姓名:严成胜；用户手机: ；其他号码: 】</t>
  </si>
  <si>
    <t>SKD251027041</t>
  </si>
  <si>
    <t>2025-10-27 09:45:18</t>
  </si>
  <si>
    <t>10.26支付宝9600元【用户姓名:张沉沉；用户手机:13029489501；其他号码: 】</t>
  </si>
  <si>
    <t>2025102622001450611424284837</t>
  </si>
  <si>
    <t>SKD251027044</t>
  </si>
  <si>
    <t>2025-10-27 09:48:20</t>
  </si>
  <si>
    <t>2025-10-27 09:48:21</t>
  </si>
  <si>
    <t>10.26刷卡1200元（960+补贴240元）【用户姓名:毛荣军；用户手机: ；其他号码: 】</t>
  </si>
  <si>
    <t>毛荣军</t>
  </si>
  <si>
    <t>SKD251027045</t>
  </si>
  <si>
    <t>2025-10-27 09:40:17</t>
  </si>
  <si>
    <t>2025-10-27 09:48:33</t>
  </si>
  <si>
    <t>SKD251027056</t>
  </si>
  <si>
    <t>2025-10-27 09:49:13</t>
  </si>
  <si>
    <t>2025-10-27 09:49:14</t>
  </si>
  <si>
    <t>10.26中信808【用户姓名:杭州霏铭商贸有限公司；用户手机: 13675874326；其他号码: 】</t>
  </si>
  <si>
    <t xml:space="preserve"> 13675874326</t>
  </si>
  <si>
    <t>SKD251027095</t>
  </si>
  <si>
    <t>2025-10-27 10:16:46</t>
  </si>
  <si>
    <t>2025-10-27 13:08:51</t>
  </si>
  <si>
    <t>2025.10.26支付宝支付5597【用户姓名:颜林；用户手机:13777889072；其他号码: 】</t>
  </si>
  <si>
    <t>颜林</t>
  </si>
  <si>
    <t>13777889072</t>
  </si>
  <si>
    <t>2025102622001469721404912869</t>
  </si>
  <si>
    <t>SKD251027104</t>
  </si>
  <si>
    <t>2025-10-27 13:12:06</t>
  </si>
  <si>
    <t>2025-10-27 13:12:08</t>
  </si>
  <si>
    <t>10.26扫码付4003元【用户姓名: 陈春萍；用户手机:13968104394；其他号码: 】</t>
  </si>
  <si>
    <t xml:space="preserve"> 陈春萍</t>
  </si>
  <si>
    <t>13968104394</t>
  </si>
  <si>
    <t>SKD251027109</t>
  </si>
  <si>
    <t>2025-10-27 10:28:20</t>
  </si>
  <si>
    <t>2025-10-27 13:13:23</t>
  </si>
  <si>
    <t>2025.10.26支付宝支付4002【用户姓名:蒋诚明；用户手机:13588062682；其他号码: 】</t>
  </si>
  <si>
    <t>蒋诚明</t>
  </si>
  <si>
    <t>13588062682</t>
  </si>
  <si>
    <t>2025102622001433871453621478</t>
  </si>
  <si>
    <t>SKD251027143</t>
  </si>
  <si>
    <t>2025-10-27 10:59:07</t>
  </si>
  <si>
    <t>2025-10-27 13:14:41</t>
  </si>
  <si>
    <t>10.26日支付宝4020【用户姓名:李建荣；用户手机:18258283466；其他号码: 】</t>
  </si>
  <si>
    <t>李建荣</t>
  </si>
  <si>
    <t>18258283466</t>
  </si>
  <si>
    <t>2025102623001438161419467110</t>
  </si>
  <si>
    <t>SKD251027164</t>
  </si>
  <si>
    <t>2025-10-27 12:37:20</t>
  </si>
  <si>
    <t>2025-10-27 13:15:02</t>
  </si>
  <si>
    <t>10.26支付宝4180元【用户姓名:袁万紫；用户手机:13750803281；其他号码: 】</t>
  </si>
  <si>
    <t>袁万紫</t>
  </si>
  <si>
    <t>13750803281</t>
  </si>
  <si>
    <t>2025102622001498471408888852</t>
  </si>
  <si>
    <t>SKD251027168</t>
  </si>
  <si>
    <t>2025-10-31 15:31:05</t>
  </si>
  <si>
    <t>2025-10-31 15:31:07</t>
  </si>
  <si>
    <t>10.27日支付宝10258【用户姓名:沈巧凤；用户手机:15858131810；其他号码: 】</t>
  </si>
  <si>
    <t>沈巧凤</t>
  </si>
  <si>
    <t>15858131810</t>
  </si>
  <si>
    <t>2025102723001470681420925052</t>
  </si>
  <si>
    <t>SKD251027170</t>
  </si>
  <si>
    <t>2025-10-27 12:58:15</t>
  </si>
  <si>
    <t>2025-10-27 13:15:53</t>
  </si>
  <si>
    <t>DR.00034</t>
  </si>
  <si>
    <t>EESR-25C8储水式电热水器</t>
  </si>
  <si>
    <t>10.26支付宝3708元【用户姓名:贾羽秀；用户手机:15958131555；其他号码: 】</t>
  </si>
  <si>
    <t>贾羽秀</t>
  </si>
  <si>
    <t>15958131555</t>
  </si>
  <si>
    <t>2025102622001430001446795533</t>
  </si>
  <si>
    <t>SKD251027171</t>
  </si>
  <si>
    <t>2025-10-27 13:16:44</t>
  </si>
  <si>
    <t>2025-10-27 13:16:45</t>
  </si>
  <si>
    <t>10.26扫码付8145元【用户姓名:钟益强；用户手机:13958008027；其他号码: 】</t>
  </si>
  <si>
    <t>钟益强</t>
  </si>
  <si>
    <t>13958008027</t>
  </si>
  <si>
    <t>SKD251027172</t>
  </si>
  <si>
    <t>2025-10-27 13:29:20</t>
  </si>
  <si>
    <t>2025-10-27 13:29:22</t>
  </si>
  <si>
    <t>10.26刷卡3000元（2400+补贴600元）【用户姓名:杨翠容；用户手机:18958124500；其他号码: 】</t>
  </si>
  <si>
    <t>杨翠容</t>
  </si>
  <si>
    <t>18958124500</t>
  </si>
  <si>
    <t>SKD251027173</t>
  </si>
  <si>
    <t>2025-10-27 13:00:08</t>
  </si>
  <si>
    <t>2025-10-27 13:29:30</t>
  </si>
  <si>
    <t>SKD251027174</t>
  </si>
  <si>
    <t>2025-10-27 13:00:46</t>
  </si>
  <si>
    <t>2025-10-27 13:29:53</t>
  </si>
  <si>
    <t>10.26支付宝135元【用户姓名:杨翠容；用户手机:18958124500；其他号码: 】</t>
  </si>
  <si>
    <t>2025102623001468341439315525</t>
  </si>
  <si>
    <t>SKD251027175</t>
  </si>
  <si>
    <t>2025-10-27 13:01:37</t>
  </si>
  <si>
    <t>2025-10-27 13:54:38</t>
  </si>
  <si>
    <t>10.27支付宝3139元【用户姓名:虞立明；用户手机:13906519223；其他号码: 】</t>
  </si>
  <si>
    <t>虞立明</t>
  </si>
  <si>
    <t>13906519223</t>
  </si>
  <si>
    <t>2025102722001421861451230372</t>
  </si>
  <si>
    <t>SKD251027176</t>
  </si>
  <si>
    <t>2025-10-27 13:02:18</t>
  </si>
  <si>
    <t>2025-10-27 13:30:26</t>
  </si>
  <si>
    <t>10.26支付宝3395元【用户姓名:李昊然；用户手机:13296737363；其他号码: 】</t>
  </si>
  <si>
    <t>李昊然</t>
  </si>
  <si>
    <t>13296737363</t>
  </si>
  <si>
    <t>2025102622001475471406833577</t>
  </si>
  <si>
    <t>SKD251027177</t>
  </si>
  <si>
    <t>2025-10-27 13:06:16</t>
  </si>
  <si>
    <t>2025-10-27 14:16:32</t>
  </si>
  <si>
    <t>DRSQ.00036</t>
  </si>
  <si>
    <t>CEWHR-80PEWi储水电热水器</t>
  </si>
  <si>
    <t>换机抵SKTKD251027002【用户姓名:赵瑞祥；用户手机:15201921546；其他号码: 】</t>
  </si>
  <si>
    <t>SKD251027188</t>
  </si>
  <si>
    <t>2025年10月郑旭成结算(换新152）</t>
  </si>
  <si>
    <t>2025-10-27 14:01:21</t>
  </si>
  <si>
    <t>2025-10-27 14:01:23</t>
  </si>
  <si>
    <t>2025年10月26日中信银行收款【用户姓名:2025年10月结算(换新152-160）；用户手机: ；其他号码: 】</t>
  </si>
  <si>
    <t>2025年10月结算(换新152-160）</t>
  </si>
  <si>
    <t>2025年10月朱顺富结算(换新153）</t>
  </si>
  <si>
    <t>2025年10月于永峰结算(换新154）</t>
  </si>
  <si>
    <t>2025年10月客户结算(换新155）</t>
  </si>
  <si>
    <t>2025年10月滕苗青结算(换新156）</t>
  </si>
  <si>
    <t>2025年10月童敏杰结算(换新157）</t>
  </si>
  <si>
    <t>2025年10月朱玲忠结算(换新158）</t>
  </si>
  <si>
    <t>2025年10月客户结算(换新159）</t>
  </si>
  <si>
    <t>2025年10月孟芝兰结算(换新160）</t>
  </si>
  <si>
    <t>SKD251027189</t>
  </si>
  <si>
    <t>2025年10月客户结算(换新161）</t>
  </si>
  <si>
    <t>2025-10-27 14:17:38</t>
  </si>
  <si>
    <t>2025-10-27 14:17:39</t>
  </si>
  <si>
    <t>2025年10月27日中信银行收款【用户姓名:2025年10月客户结算(换新161）；用户手机: ；其他号码: 】</t>
  </si>
  <si>
    <t>SKD251027191</t>
  </si>
  <si>
    <t>2025/10/28</t>
  </si>
  <si>
    <t>2025年10月叶美如结算(换新162）</t>
  </si>
  <si>
    <t>2025-10-29 13:26:07</t>
  </si>
  <si>
    <t>2025-10-29 13:26:09</t>
  </si>
  <si>
    <t>2025年10月28日中信银行收款【用户姓名:2025年10月结算(换新162-165）；用户手机: ；其他号码: 】</t>
  </si>
  <si>
    <t>2025年10月结算(换新162-165）</t>
  </si>
  <si>
    <t>2025年10月林颖艳结算(换新163）</t>
  </si>
  <si>
    <t>2025年10月徐丽萍结算(换新164）</t>
  </si>
  <si>
    <t>2025年10月徐伟东结算(换新165）</t>
  </si>
  <si>
    <t>SKD251027201</t>
  </si>
  <si>
    <t>2025-10-27 14:18:21</t>
  </si>
  <si>
    <t>2025-10-27 14:18:25</t>
  </si>
  <si>
    <t>10.26刷卡2250元(1800元+补贴450元）【用户姓名:郑美华；用户手机:13858153955；其他号码: 】</t>
  </si>
  <si>
    <t>郑美华</t>
  </si>
  <si>
    <t>13858153955</t>
  </si>
  <si>
    <t>SKD251027202</t>
  </si>
  <si>
    <t>2025-10-27 14:18:46</t>
  </si>
  <si>
    <t>2025-10-27 14:18:53</t>
  </si>
  <si>
    <t>SKD251027210</t>
  </si>
  <si>
    <t>2025-10-27 14:41:59</t>
  </si>
  <si>
    <t>2025-10-27 15:15:54</t>
  </si>
  <si>
    <t>JSRSJ.00001</t>
  </si>
  <si>
    <t>S12K1型中央软水机AO软水</t>
  </si>
  <si>
    <t>换型号抵SKTKD251027005【用户姓名:茅莹莹；用户手机:13735539238；其他号码: 】</t>
  </si>
  <si>
    <t>茅莹莹</t>
  </si>
  <si>
    <t>13735539238</t>
  </si>
  <si>
    <t>SKD251027220</t>
  </si>
  <si>
    <t>2025-10-27 15:16:47</t>
  </si>
  <si>
    <t>2025-10-27 15:16:48</t>
  </si>
  <si>
    <t>10.26支付宝3128元【用户姓名:包雅娟；用户手机:13575474719；其他号码: 】</t>
  </si>
  <si>
    <t>包雅娟</t>
  </si>
  <si>
    <t>13575474719</t>
  </si>
  <si>
    <t>2025102622001413611436628070</t>
  </si>
  <si>
    <t>SKD251027233</t>
  </si>
  <si>
    <t>2025-10-27 15:13:44</t>
  </si>
  <si>
    <t>2025-10-27 15:17:18</t>
  </si>
  <si>
    <t>10.27支付宝3788元【用户姓名:熊湘华；用户手机:15988481118；其他号码: 】</t>
  </si>
  <si>
    <t>熊湘华</t>
  </si>
  <si>
    <t>15988481118</t>
  </si>
  <si>
    <t>2025102722001414961444571495</t>
  </si>
  <si>
    <t>SKD251027234</t>
  </si>
  <si>
    <t>2025-10-28 10:14:56</t>
  </si>
  <si>
    <t>2025-10-28 10:14:57</t>
  </si>
  <si>
    <t>10.27刷卡7351元（5880.8+补贴1470.2元）【用户姓名:符陆帅；用户手机:18806504916；其他号码: 】</t>
  </si>
  <si>
    <t>符陆帅</t>
  </si>
  <si>
    <t>18806504916</t>
  </si>
  <si>
    <t>SKD251027235</t>
  </si>
  <si>
    <t>2025-10-27 15:20:16</t>
  </si>
  <si>
    <t>2025-10-28 10:15:05</t>
  </si>
  <si>
    <t>SKD251027243</t>
  </si>
  <si>
    <t>2025-10-27 15:34:44</t>
  </si>
  <si>
    <t>2025-10-27 15:52:05</t>
  </si>
  <si>
    <t>10.27支付宝2986元【用户姓名:陈金峰；用户手机:13735550722；其他号码: 】</t>
  </si>
  <si>
    <t>陈金峰</t>
  </si>
  <si>
    <t>13735550722</t>
  </si>
  <si>
    <t>2025102722001400101451908414</t>
  </si>
  <si>
    <t>SKD251027245</t>
  </si>
  <si>
    <t>2025-10-28 10:15:27</t>
  </si>
  <si>
    <t>2025-10-28 10:15:28</t>
  </si>
  <si>
    <t>10.27扫码付3070元【用户姓名:陆芸；用户手机:13989459496；其他号码: 】</t>
  </si>
  <si>
    <t>陆芸</t>
  </si>
  <si>
    <t>13989459496</t>
  </si>
  <si>
    <t>SKD251027256</t>
  </si>
  <si>
    <t>2025-10-27 15:55:34</t>
  </si>
  <si>
    <t>2025-10-27 15:59:45</t>
  </si>
  <si>
    <t>物流发错货，抵SKTKD251027008【用户姓名:王世傲；用户手机:15257838811；其他号码: 】</t>
  </si>
  <si>
    <t>王世傲</t>
  </si>
  <si>
    <t>15257838811</t>
  </si>
  <si>
    <t>SKD251027260</t>
  </si>
  <si>
    <t>2025-10-27 15:56:48</t>
  </si>
  <si>
    <t>2025-10-27 16:00:01</t>
  </si>
  <si>
    <t>物流发错货，抵SKTKD251027009【用户姓名:王世傲；用户手机:15257838811；其他号码: 】</t>
  </si>
  <si>
    <t>SKD251027295</t>
  </si>
  <si>
    <t>2025-10-27 16:25:45</t>
  </si>
  <si>
    <t>2025-10-27 16:38:33</t>
  </si>
  <si>
    <t>10.27金华建行4162元【用户姓名:郑星；用户手机: ；其他号码: 】</t>
  </si>
  <si>
    <t>SKD251027315</t>
  </si>
  <si>
    <t>2025-10-27 16:48:47</t>
  </si>
  <si>
    <t>2025-10-28 10:16:07</t>
  </si>
  <si>
    <t>10.27支付宝398元【用户姓名:符陆帅；用户手机:18806504916；其他号码: 】</t>
  </si>
  <si>
    <t>2025102722001423111420444126</t>
  </si>
  <si>
    <t>SKD251027317</t>
  </si>
  <si>
    <t>2025-10-28 10:16:38</t>
  </si>
  <si>
    <t>RR.01.00012</t>
  </si>
  <si>
    <t>燃气快速热水器JSQ31-RJS（带附件PJ-2506/PJ-2520）</t>
  </si>
  <si>
    <t>10.27刷卡8000元（6800+补贴1200元）【用户姓名:郭琴；用户手机:15267126980；其他号码: 】</t>
  </si>
  <si>
    <t>郭琴</t>
  </si>
  <si>
    <t>15267126980</t>
  </si>
  <si>
    <t>SKD251027318</t>
  </si>
  <si>
    <t>2025-10-27 16:50:01</t>
  </si>
  <si>
    <t>2025-10-28 10:16:45</t>
  </si>
  <si>
    <t>SKD251028004</t>
  </si>
  <si>
    <t>2025-10-28 10:21:38</t>
  </si>
  <si>
    <t>2025-10-28 13:45:45</t>
  </si>
  <si>
    <t>10.26支付宝3400元【用户姓名:刘玲凤；用户手机: ；其他号码: 】</t>
  </si>
  <si>
    <t>刘玲凤</t>
  </si>
  <si>
    <t>2025102622001494821407874385</t>
  </si>
  <si>
    <t>SKD251028011</t>
  </si>
  <si>
    <t>2025-10-28 09:57:27</t>
  </si>
  <si>
    <t>2025-10-28 10:17:18</t>
  </si>
  <si>
    <t>10.27支付宝850元【用户姓名:曾武；用户手机:13867428900；其他号码: 】</t>
  </si>
  <si>
    <t>曾武</t>
  </si>
  <si>
    <t>13867428900</t>
  </si>
  <si>
    <t>2025102722001438761419068757</t>
  </si>
  <si>
    <t>SKD251028028</t>
  </si>
  <si>
    <t>2025-10-28 10:47:39</t>
  </si>
  <si>
    <t>2025-10-28 13:46:27</t>
  </si>
  <si>
    <t>10.27支付宝3888元【用户姓名:周竞先；用户手机:13958092521；其他号码: 】</t>
  </si>
  <si>
    <t>周竞先</t>
  </si>
  <si>
    <t>13958092521</t>
  </si>
  <si>
    <t>2025102722001479961452060206</t>
  </si>
  <si>
    <t>SKD251028029</t>
  </si>
  <si>
    <t>2025-10-28 10:49:32</t>
  </si>
  <si>
    <t>2025-10-28 13:47:05</t>
  </si>
  <si>
    <t>10.28支付宝2594元【用户姓名:袁志斌；用户手机:15906637138；其他号码: 】</t>
  </si>
  <si>
    <t>袁志斌</t>
  </si>
  <si>
    <t>15906637138</t>
  </si>
  <si>
    <t>2025102822001472971415024604</t>
  </si>
  <si>
    <t>SKD251028030</t>
  </si>
  <si>
    <t>2025-10-28 10:50:14</t>
  </si>
  <si>
    <t>2025-10-28 13:47:20</t>
  </si>
  <si>
    <t>10.28转账20000元【用户姓名: ；用户手机: ；其他号码: 】</t>
  </si>
  <si>
    <t>SKD251028038</t>
  </si>
  <si>
    <t>2025-10-28 11:16:14</t>
  </si>
  <si>
    <t>2025-10-28 13:47:41</t>
  </si>
  <si>
    <t>10.28转账3209.20元【用户姓名:淮安昊天家电有限公司；用户手机:17802532595；其他号码: 】</t>
  </si>
  <si>
    <t>17802532595</t>
  </si>
  <si>
    <t>SKD251028061</t>
  </si>
  <si>
    <t>2025-10-28 13:02:56</t>
  </si>
  <si>
    <t>2025-10-28 13:48:34</t>
  </si>
  <si>
    <t>10.27转账8055元【用户姓名:协建（杭州）贸易有限公司；用户手机:18658818769；其他号码: 】</t>
  </si>
  <si>
    <t>协建（杭州）贸易有限公司</t>
  </si>
  <si>
    <t>18658818769</t>
  </si>
  <si>
    <t>SKD251028062</t>
  </si>
  <si>
    <t>2025-10-28 13:48:58</t>
  </si>
  <si>
    <t>2025-10-28 13:48:59</t>
  </si>
  <si>
    <t>10.27刷卡3636元（2908.8+补贴727.2元）【用户姓名:徐丽雯；用户手机:13588082320；其他号码: 】</t>
  </si>
  <si>
    <t>徐丽雯</t>
  </si>
  <si>
    <t>13588082320</t>
  </si>
  <si>
    <t>SKD251028063</t>
  </si>
  <si>
    <t>2025-10-28 13:05:06</t>
  </si>
  <si>
    <t>2025-10-28 13:49:06</t>
  </si>
  <si>
    <t>SKD251028064</t>
  </si>
  <si>
    <t>2025-10-28 13:06:01</t>
  </si>
  <si>
    <t>2025-10-28 13:49:33</t>
  </si>
  <si>
    <t>10.27支付宝3908元【用户姓名:程仙宝；用户手机:13336084931；其他号码: 】</t>
  </si>
  <si>
    <t>程仙宝</t>
  </si>
  <si>
    <t>13336084931</t>
  </si>
  <si>
    <t>2025102722001444681415824342</t>
  </si>
  <si>
    <t>SKD251028067</t>
  </si>
  <si>
    <t>2025/10/29</t>
  </si>
  <si>
    <t>2025-10-29 10:46:41</t>
  </si>
  <si>
    <t>2025-10-28 14:26:38</t>
  </si>
  <si>
    <t>10.28刷卡3571元（2856.8+补贴714.2元）【用户姓名:余云芬；用户手机:15068815970；其他号码: 】</t>
  </si>
  <si>
    <t>余云芬</t>
  </si>
  <si>
    <t>15068815970</t>
  </si>
  <si>
    <t>SKD251028068</t>
  </si>
  <si>
    <t>2025-10-28 13:10:54</t>
  </si>
  <si>
    <t>2025-10-28 14:26:54</t>
  </si>
  <si>
    <t>SKD251028074</t>
  </si>
  <si>
    <t>2025-10-28 13:23:18</t>
  </si>
  <si>
    <t>2025-10-28 13:50:55</t>
  </si>
  <si>
    <t>10.28转账15000元【用户姓名: ；用户手机: ；其他号码: 】</t>
  </si>
  <si>
    <t>SKD251028075</t>
  </si>
  <si>
    <t>2025-10-28 13:24:47</t>
  </si>
  <si>
    <t>2025-10-28 13:51:16</t>
  </si>
  <si>
    <t>10.28转账11317.80元【用户姓名:宁波得金智慧科技有限公司；用户手机:13486411126；其他号码: 】</t>
  </si>
  <si>
    <t>13486411126</t>
  </si>
  <si>
    <t>RQRS.00054</t>
  </si>
  <si>
    <t>JSQ31-FSCWi燃气快速热水器</t>
  </si>
  <si>
    <t>SKD251028076</t>
  </si>
  <si>
    <t>2025-10-29 10:39:25</t>
  </si>
  <si>
    <t>2025-10-29 10:39:27</t>
  </si>
  <si>
    <t>10.28刷卡5988元(5089.8元+补贴898.3元）【用户姓名:张加良；用户手机:13967182167；其他号码: 】</t>
  </si>
  <si>
    <t>张加良</t>
  </si>
  <si>
    <t>13967182167</t>
  </si>
  <si>
    <t>SKD251028077</t>
  </si>
  <si>
    <t>2025-10-28 13:30:07</t>
  </si>
  <si>
    <t>2025-10-29 10:39:35</t>
  </si>
  <si>
    <t>SKD251028157</t>
  </si>
  <si>
    <t>2025-10-29 10:40:06</t>
  </si>
  <si>
    <t>2025-10-29 10:40:07</t>
  </si>
  <si>
    <t>10.28刷卡2542元(2033.6元+补贴508.4元）【用户姓名:郝丽丽；用户手机:18057195198；其他号码: 】</t>
  </si>
  <si>
    <t>郝丽丽</t>
  </si>
  <si>
    <t>18057195198</t>
  </si>
  <si>
    <t>SKD251028159</t>
  </si>
  <si>
    <t>2025-10-28 14:34:06</t>
  </si>
  <si>
    <t>2025-10-29 10:40:15</t>
  </si>
  <si>
    <t>SKD251028176</t>
  </si>
  <si>
    <t>2025-10-28 14:48:34</t>
  </si>
  <si>
    <t>2025-10-28 14:51:55</t>
  </si>
  <si>
    <t>JSQS.00011</t>
  </si>
  <si>
    <t>BZR100-A3103反渗透净水机</t>
  </si>
  <si>
    <t>10.28转账32400元【用户姓名:绍兴艾欧中嘉环境设备有限公司；用户手机:13575507341；其他号码: 】</t>
  </si>
  <si>
    <t>绍兴艾欧中嘉环境设备有限公司</t>
  </si>
  <si>
    <t>13575507341</t>
  </si>
  <si>
    <t>SKD251028195</t>
  </si>
  <si>
    <t>翁昕</t>
  </si>
  <si>
    <t>截止25.10.28累计未回款71912.5元（预留未送货款）</t>
  </si>
  <si>
    <t>2025-10-28 15:20:44</t>
  </si>
  <si>
    <t>2025-10-28 15:20:59</t>
  </si>
  <si>
    <t>2025年10月28日收到承兑15万【用户姓名: ；用户手机: ；其他号码: 】</t>
  </si>
  <si>
    <t>2025年9月结算（累计未回款）</t>
  </si>
  <si>
    <t>SKD251028217</t>
  </si>
  <si>
    <t>2025-10-28 16:00:24</t>
  </si>
  <si>
    <t>2025-10-28 16:00:25</t>
  </si>
  <si>
    <t>10.27扫码付8006元【用户姓名:单晨超；用户手机:15967318046；其他号码: 】</t>
  </si>
  <si>
    <t>单晨超</t>
  </si>
  <si>
    <t>15967318046</t>
  </si>
  <si>
    <t>SKD251028238</t>
  </si>
  <si>
    <t>2025-10-28 16:03:27</t>
  </si>
  <si>
    <t>2025-10-28 16:03:29</t>
  </si>
  <si>
    <t>10.27转账6983元【用户姓名:湖州中太芯猫科技有限公司；用户手机:18767232762；其他号码: 】</t>
  </si>
  <si>
    <t>18767232762</t>
  </si>
  <si>
    <t>SKD251028240</t>
  </si>
  <si>
    <t>2025-10-29 10:40:44</t>
  </si>
  <si>
    <t>2025-10-29 10:40:45</t>
  </si>
  <si>
    <t>10.28刷卡5200元（4160+补贴1040元）【用户姓名:刘静；用户手机:18857875476；其他号码: 】</t>
  </si>
  <si>
    <t>刘静</t>
  </si>
  <si>
    <t>18857875476</t>
  </si>
  <si>
    <t>SKD251028241</t>
  </si>
  <si>
    <t>2025-10-28 16:07:23</t>
  </si>
  <si>
    <t>2025-10-29 10:40:53</t>
  </si>
  <si>
    <t>SKD251028243</t>
  </si>
  <si>
    <t>2025-10-28 16:08:04</t>
  </si>
  <si>
    <t>2025-10-28 16:08:06</t>
  </si>
  <si>
    <t>10.27中信30887.28元（软件费）【用户姓名: ；用户手机: ；其他号码: 】</t>
  </si>
  <si>
    <t>SKD251028246</t>
  </si>
  <si>
    <t>2025-10-28 16:15:18</t>
  </si>
  <si>
    <t>2025-10-28 16:46:23</t>
  </si>
  <si>
    <t>10.28支付宝873元【用户姓名:刘静；用户手机:18857875476；其他号码: 】</t>
  </si>
  <si>
    <t>2025102822001406741424391921</t>
  </si>
  <si>
    <t>SKD251028248</t>
  </si>
  <si>
    <t>2025-10-28 16:16:46</t>
  </si>
  <si>
    <t>2025-10-28 16:16:47</t>
  </si>
  <si>
    <t>10.28中信10102.4元（软件费）【用户姓名: ；用户手机: ；其他号码: 】</t>
  </si>
  <si>
    <t>SKD251028250</t>
  </si>
  <si>
    <t>2025-10-28 16:42:56</t>
  </si>
  <si>
    <t>2025-10-28 16:42:57</t>
  </si>
  <si>
    <t>10.28转账416.63元（跨越2025年9月运费、顺丰2025年9月运费）【用户姓名:杭州允选科技有限公司；用户手机:15257746926；其他号码: 】</t>
  </si>
  <si>
    <t>SKD251028251</t>
  </si>
  <si>
    <t>2025-10-28 16:24:39</t>
  </si>
  <si>
    <t>2025-10-30 15:52:59</t>
  </si>
  <si>
    <t>10.27转账24350元（罚款）【用户姓名:杭州允选科技有限公司；用户手机:15257746926；其他号码: 】</t>
  </si>
  <si>
    <t>SKD251028252</t>
  </si>
  <si>
    <t>2025-10-28 16:26:09</t>
  </si>
  <si>
    <t>2025-10-28 16:43:23</t>
  </si>
  <si>
    <t>10.27转账24339元【用户姓名: ；用户手机: ；其他号码: 】</t>
  </si>
  <si>
    <t>SKD251028258</t>
  </si>
  <si>
    <t>2025-10-28 16:49:24</t>
  </si>
  <si>
    <t>2025-10-28 16:49:26</t>
  </si>
  <si>
    <t>10.28中信9767.4元（软件费）【用户姓名: ；用户手机: ；其他号码: 】</t>
  </si>
  <si>
    <t>SKD251029009</t>
  </si>
  <si>
    <t>2025/10/30</t>
  </si>
  <si>
    <t>2025-10-30 11:05:02</t>
  </si>
  <si>
    <t>2025-10-30 11:05:04</t>
  </si>
  <si>
    <t>10.28刷卡3350元（2680+补贴670元）【用户姓名:陆娇；用户手机:18758859955；其他号码: 】</t>
  </si>
  <si>
    <t>陆娇</t>
  </si>
  <si>
    <t>18758859955</t>
  </si>
  <si>
    <t>SKD251029011</t>
  </si>
  <si>
    <t>2025-10-30 11:06:10</t>
  </si>
  <si>
    <t>2025-10-30 11:06:11</t>
  </si>
  <si>
    <t>SKD251029019</t>
  </si>
  <si>
    <t>2025-10-29 10:10:41</t>
  </si>
  <si>
    <t>2025-10-29 10:45:02</t>
  </si>
  <si>
    <t>10.29转账5000元【用户姓名: ；用户手机: ；其他号码: 】</t>
  </si>
  <si>
    <t>SKD251029153</t>
  </si>
  <si>
    <t>2025年10月胡军结算(换新166）</t>
  </si>
  <si>
    <t>2025-10-29 13:27:57</t>
  </si>
  <si>
    <t>2025-10-29 13:27:58</t>
  </si>
  <si>
    <t>2025年10月29日中信银行收款【用户姓名:2025年10月结算(换新166-171）；用户手机: ；其他号码: 】</t>
  </si>
  <si>
    <t>2025年10月结算(换新166-171）</t>
  </si>
  <si>
    <t>2025年10月汪春结算(换新167）</t>
  </si>
  <si>
    <t>2025年10月楼女士结算(换新168）</t>
  </si>
  <si>
    <t>2025年10月顾客结算(换新169）</t>
  </si>
  <si>
    <t>2025年10月客户结算(换新170）</t>
  </si>
  <si>
    <t>2025年10月寿吉芳结算(换新171）</t>
  </si>
  <si>
    <t>SKD251029154</t>
  </si>
  <si>
    <t>2025年10月周琴结算(换新172）</t>
  </si>
  <si>
    <t>2025-10-31 15:47:10</t>
  </si>
  <si>
    <t>2025-10-31 15:47:12</t>
  </si>
  <si>
    <t>2025年10月30日中信银行收款【用户姓名:2025年10月结算(换新172-182）；用户手机: ；其他号码: 】</t>
  </si>
  <si>
    <t>2025年10月结算(换新172-182）</t>
  </si>
  <si>
    <t>2025年10月王林宝结算(换新173）</t>
  </si>
  <si>
    <t>2025年10月赵勇结算(换新174）</t>
  </si>
  <si>
    <t>2025年10月钱先生结算(换新175）</t>
  </si>
  <si>
    <t>2025年10月客户结算(换新176）</t>
  </si>
  <si>
    <t>2025年10月沈燕结算(换新177）</t>
  </si>
  <si>
    <t>2025年10月冯东红结算(换新178）</t>
  </si>
  <si>
    <t>2025年10月周媚媚结算(换新179）</t>
  </si>
  <si>
    <t>2025年10月罗伟良结算(换新180）</t>
  </si>
  <si>
    <t>2025年10月郑晨结算(换新181）</t>
  </si>
  <si>
    <t>2025年10月项先生结算(换新182）</t>
  </si>
  <si>
    <t>SKD251029244</t>
  </si>
  <si>
    <t>2025-10-29 15:49:27</t>
  </si>
  <si>
    <t>2025-10-29 15:49:29</t>
  </si>
  <si>
    <t>10.27杭州中信136.9元【用户姓名:金华一启家电有限公司；用户手机: ；其他号码: 】</t>
  </si>
  <si>
    <t>顺丰2025年9月运费</t>
  </si>
  <si>
    <t>SKD251029294</t>
  </si>
  <si>
    <t>2025-10-30 14:03:01</t>
  </si>
  <si>
    <t>2025-10-29 16:18:01</t>
  </si>
  <si>
    <t>10.29扫码付4699元【用户姓名:余思思；用户手机:13806887311；其他号码: 】</t>
  </si>
  <si>
    <t>余思思</t>
  </si>
  <si>
    <t>13806887311</t>
  </si>
  <si>
    <t>SKD251029311</t>
  </si>
  <si>
    <t>2025-10-29 16:25:41</t>
  </si>
  <si>
    <t>2025-10-30 14:00:33</t>
  </si>
  <si>
    <t>10.29支付宝2071元【用户姓名:俞雪婷；用户手机:19857116585；其他号码: 】</t>
  </si>
  <si>
    <t>俞雪婷</t>
  </si>
  <si>
    <t>19857116585</t>
  </si>
  <si>
    <t>2025102922001474371418712461</t>
  </si>
  <si>
    <t>SKD251030005</t>
  </si>
  <si>
    <t>2025-10-30 08:58:08</t>
  </si>
  <si>
    <t>2025-10-30 14:39:55</t>
  </si>
  <si>
    <t>10.29支付宝4800元【用户姓名:高利军；用户手机:15068873778；其他号码: 】</t>
  </si>
  <si>
    <t>高利军</t>
  </si>
  <si>
    <t>15068873778</t>
  </si>
  <si>
    <t>2025102922001474751439155051</t>
  </si>
  <si>
    <t>SKD251030007</t>
  </si>
  <si>
    <t>2025-10-30 08:58:49</t>
  </si>
  <si>
    <t>2025-10-30 14:01:15</t>
  </si>
  <si>
    <t>10.29支付宝47元【用户姓名:高利军；用户手机:15068873778；其他号码: 】</t>
  </si>
  <si>
    <t>2025102922001474751432209903</t>
  </si>
  <si>
    <t>SKD251030009</t>
  </si>
  <si>
    <t>2025-10-30 11:08:24</t>
  </si>
  <si>
    <t>2025-10-30 11:08:26</t>
  </si>
  <si>
    <t>10.29刷卡3636元（2908.8+补贴727.2元）【用户姓名:郎鑫慷；用户手机:19857116585；其他号码: 】</t>
  </si>
  <si>
    <t>郎鑫慷</t>
  </si>
  <si>
    <t>SKD251030010</t>
  </si>
  <si>
    <t>2025-10-30 08:59:50</t>
  </si>
  <si>
    <t>2025-10-30 11:08:34</t>
  </si>
  <si>
    <t>SKD251030025</t>
  </si>
  <si>
    <t>2025-10-30 10:01:23</t>
  </si>
  <si>
    <t>2025-10-30 11:09:10</t>
  </si>
  <si>
    <t>10.30转账4781.4元【用户姓名:宁波得金智慧科技有限公司；用户手机:13989304419；其他号码: 】</t>
  </si>
  <si>
    <t>RQRS.00043</t>
  </si>
  <si>
    <t>JSQ31-WACWi燃气快速热水器通用防冻</t>
  </si>
  <si>
    <t>SKD251030064</t>
  </si>
  <si>
    <t>2025/10/31</t>
  </si>
  <si>
    <t>2025-10-31 11:26:36</t>
  </si>
  <si>
    <t>2025-10-30 16:10:40</t>
  </si>
  <si>
    <t>10.30刷卡（3671元2936.8元+补贴734.2元）【用户姓名:庞全；用户手机:18958124500；其他号码: 】</t>
  </si>
  <si>
    <t>庞全</t>
  </si>
  <si>
    <t>SKD251030066</t>
  </si>
  <si>
    <t>2025-10-30 16:11:02</t>
  </si>
  <si>
    <t>2025-10-30 16:11:03</t>
  </si>
  <si>
    <t>SKD251030077</t>
  </si>
  <si>
    <t>2025-10-30 14:02:14</t>
  </si>
  <si>
    <t>2025-10-30 14:02:16</t>
  </si>
  <si>
    <t>10.29扫码3311【用户姓名:马青华；用户手机:15957962933；其他号码: 】</t>
  </si>
  <si>
    <t>马青华</t>
  </si>
  <si>
    <t>15957962933</t>
  </si>
  <si>
    <t>SKD251030079</t>
  </si>
  <si>
    <t>2025-10-30 14:40:50</t>
  </si>
  <si>
    <t>2025-10-30 14:40:51</t>
  </si>
  <si>
    <t>10.30支付宝付3150元【用户姓名:于贤君；用户手机:13858374310；其他号码: 】</t>
  </si>
  <si>
    <t>于贤君</t>
  </si>
  <si>
    <t>13858374310</t>
  </si>
  <si>
    <t>2025103022001458401429710150</t>
  </si>
  <si>
    <t>SKD251030083</t>
  </si>
  <si>
    <t>2025-10-30 14:28:03</t>
  </si>
  <si>
    <t>2025-10-30 15:13:59</t>
  </si>
  <si>
    <t>DRSQ.00071</t>
  </si>
  <si>
    <t>CEWH-80D1Wi储水式热水器</t>
  </si>
  <si>
    <t>10.30转账2576元【用户姓名:许萍；用户手机:13588001000；其他号码: 】</t>
  </si>
  <si>
    <t>13588001000</t>
  </si>
  <si>
    <t>SKD251030085</t>
  </si>
  <si>
    <t>2025-10-30 14:41:25</t>
  </si>
  <si>
    <t>2025-10-30 14:41:26</t>
  </si>
  <si>
    <t>10.29扫码付6272元【用户姓名:陈晨；用户手机:18261551688；其他号码: 】</t>
  </si>
  <si>
    <t>SKD251030099</t>
  </si>
  <si>
    <t>2025-10-30 15:14:35</t>
  </si>
  <si>
    <t>2025-10-30 15:14:36</t>
  </si>
  <si>
    <t>10.29刷卡3000元（2400+补贴600元）【用户姓名:李靓；用户手机:18657196161；其他号码: 】</t>
  </si>
  <si>
    <t>SKD251030101</t>
  </si>
  <si>
    <t>2025-10-30 14:55:28</t>
  </si>
  <si>
    <t>2025-10-30 15:14:44</t>
  </si>
  <si>
    <t>SKD251030102</t>
  </si>
  <si>
    <t>2025-10-30 15:15:25</t>
  </si>
  <si>
    <t>2025-10-30 15:15:26</t>
  </si>
  <si>
    <t>10.29支付宝543元【用户姓名:李靓；用户手机:18657196161；其他号码: 】</t>
  </si>
  <si>
    <t>2025102922001447511425919756</t>
  </si>
  <si>
    <t>SKD251030109</t>
  </si>
  <si>
    <t>2025-10-30 14:59:12</t>
  </si>
  <si>
    <t>2025-10-30 15:31:46</t>
  </si>
  <si>
    <t>10.30支付宝850元【用户姓名:李耳刚；用户手机:13606811100；其他号码: 】</t>
  </si>
  <si>
    <t>李耳刚</t>
  </si>
  <si>
    <t>13606811100</t>
  </si>
  <si>
    <t>2025103022001485791438299264</t>
  </si>
  <si>
    <t>SKD251030141</t>
  </si>
  <si>
    <t>2025-10-31 11:27:17</t>
  </si>
  <si>
    <t>2025-10-30 16:11:26</t>
  </si>
  <si>
    <t>10.30刷卡2300元（1840+补贴460元）【用户姓名:戴操；用户手机:13957189295；其他号码: 】</t>
  </si>
  <si>
    <t>戴操</t>
  </si>
  <si>
    <t>13957189295</t>
  </si>
  <si>
    <t>SKD251030143</t>
  </si>
  <si>
    <t>2025-10-30 16:11:42</t>
  </si>
  <si>
    <t>2025-10-30 16:11:43</t>
  </si>
  <si>
    <t>SKD251030144</t>
  </si>
  <si>
    <t>2025-10-30 15:51:11</t>
  </si>
  <si>
    <t>2025-10-30 15:51:12</t>
  </si>
  <si>
    <t>10.29中信10102.4元（软件费）【用户姓名: ；用户手机: ；其他号码: 】</t>
  </si>
  <si>
    <t>SKD251030146</t>
  </si>
  <si>
    <t>2025-10-30 15:51:54</t>
  </si>
  <si>
    <t>2025-10-30 15:51:55</t>
  </si>
  <si>
    <t>10.30中信9431.92元（软件费）【用户姓名: ；用户手机: ；其他号码: 】</t>
  </si>
  <si>
    <t>SKD251030153</t>
  </si>
  <si>
    <t>2025-10-30 15:58:41</t>
  </si>
  <si>
    <t>2025-10-30 16:05:37</t>
  </si>
  <si>
    <t>10.30支付宝8145元【用户姓名:陆海燕；用户手机:15924175586；其他号码: 】</t>
  </si>
  <si>
    <t>陆海燕</t>
  </si>
  <si>
    <t>15924175586</t>
  </si>
  <si>
    <t>2025103022001416311454087063</t>
  </si>
  <si>
    <t>SKD251030157</t>
  </si>
  <si>
    <t>2025-10-31 11:27:47</t>
  </si>
  <si>
    <t>2025-10-30 16:12:04</t>
  </si>
  <si>
    <t>10.30刷卡4600元（3680+补贴920元）【用户姓名:葛建红；用户手机:15869161872；其他号码: 】</t>
  </si>
  <si>
    <t>葛建红</t>
  </si>
  <si>
    <t>SKD251030158</t>
  </si>
  <si>
    <t>2025-10-30 16:02:22</t>
  </si>
  <si>
    <t>2025-10-30 16:12:13</t>
  </si>
  <si>
    <t>SKD251030159</t>
  </si>
  <si>
    <t>2025-10-30 16:03:01</t>
  </si>
  <si>
    <t>2025-10-30 16:12:36</t>
  </si>
  <si>
    <t>10.30支付宝508元【用户姓名:葛建红；用户手机:15869161872；其他号码: 】</t>
  </si>
  <si>
    <t>2025103022001438161441193882</t>
  </si>
  <si>
    <t>SKD251030162</t>
  </si>
  <si>
    <t>2025-10-30 16:06:21</t>
  </si>
  <si>
    <t>2025-10-30 16:13:57</t>
  </si>
  <si>
    <t>10.30转账3788元【用户姓名:丽水市宏大化学用料有限公司丽新分公司；用户手机:13738148610；其他号码: 】</t>
  </si>
  <si>
    <t>丽水市宏大化学用料有限公司丽新分公司</t>
  </si>
  <si>
    <t>13738148610</t>
  </si>
  <si>
    <t>SKD251030186</t>
  </si>
  <si>
    <t>2025-10-31 11:28:29</t>
  </si>
  <si>
    <t>2025-10-31 11:28:31</t>
  </si>
  <si>
    <t>10.30扫码付3130元【用户姓名:韩玉英；用户手机:13705813029；其他号码: 】</t>
  </si>
  <si>
    <t>韩玉英</t>
  </si>
  <si>
    <t>13705813029</t>
  </si>
  <si>
    <t>SKD251031002</t>
  </si>
  <si>
    <t>2025-10-31 11:28:51</t>
  </si>
  <si>
    <t>2025-10-31 11:28:52</t>
  </si>
  <si>
    <t>10.29扫码支付2654【用户姓名:徐范；用户手机:13758103174；其他号码: 】</t>
  </si>
  <si>
    <t>徐范</t>
  </si>
  <si>
    <t>13758103174</t>
  </si>
  <si>
    <t>SKD251031009</t>
  </si>
  <si>
    <t>2025-10-31 09:43:42</t>
  </si>
  <si>
    <t>2025-10-31 12:27:38</t>
  </si>
  <si>
    <t>10.30支付宝3688元【用户姓名:贾听令；用户手机:13705714799；其他号码: 】</t>
  </si>
  <si>
    <t>贾听令</t>
  </si>
  <si>
    <t>13705714799</t>
  </si>
  <si>
    <t>2025103022001452801424565846</t>
  </si>
  <si>
    <t>SKD251031016</t>
  </si>
  <si>
    <t>2025-10-31 11:29:18</t>
  </si>
  <si>
    <t>2025-10-31 11:29:19</t>
  </si>
  <si>
    <t>10.30扫码支付2300【用户姓名:陈益飞    ；用户手机:15058504803；其他号码: 】</t>
  </si>
  <si>
    <t xml:space="preserve">陈益飞    </t>
  </si>
  <si>
    <t>15058504803</t>
  </si>
  <si>
    <t>SKD251031017</t>
  </si>
  <si>
    <t>2025-10-31 11:29:46</t>
  </si>
  <si>
    <t>2025-10-31 11:29:47</t>
  </si>
  <si>
    <t>10.30扫码支付3848【用户姓名:何晓莺；用户手机:18857993543；其他号码: 】</t>
  </si>
  <si>
    <t>何晓莺</t>
  </si>
  <si>
    <t>18857993543</t>
  </si>
  <si>
    <t>SKD251031041</t>
  </si>
  <si>
    <t>2025-10-31 11:21:17</t>
  </si>
  <si>
    <t>2025-10-31 11:30:07</t>
  </si>
  <si>
    <t>10.30转账8980元【用户姓名:杭州允选科技有限公司；用户手机:15257746926；其他号码: 】</t>
  </si>
  <si>
    <t>SKD251031051</t>
  </si>
  <si>
    <t>2025-10-31 12:08:08</t>
  </si>
  <si>
    <t>2025-10-31 12:32:14</t>
  </si>
  <si>
    <t>2025.10.31金华建行1839【用户姓名:严成胜；用户手机: ；其他号码: 】</t>
  </si>
  <si>
    <t>SKD251031054</t>
  </si>
  <si>
    <t>2025-10-31 12:38:24</t>
  </si>
  <si>
    <t>2025-10-31 13:00:26</t>
  </si>
  <si>
    <t>10.31转账4239元【用户姓名:浙江雄升新材料科技有限公司；用户手机:13616711162；其他号码: 】</t>
  </si>
  <si>
    <t>浙江雄升新材料科技有限公司</t>
  </si>
  <si>
    <t>13616711162</t>
  </si>
  <si>
    <t>SKD251031055</t>
  </si>
  <si>
    <t>2025-10-31 12:48:41</t>
  </si>
  <si>
    <t>2025-10-31 13:03:26</t>
  </si>
  <si>
    <t>转卖抵SKTKD251031001【用户姓名:张慧慧；用户手机:15869161872；其他号码: 】</t>
  </si>
  <si>
    <t>SKD251031056</t>
  </si>
  <si>
    <t>2025-10-31 12:50:28</t>
  </si>
  <si>
    <t>2025-10-31 13:03:55</t>
  </si>
  <si>
    <t>转卖抵SKTKD251031002【用户姓名:张慧慧；用户手机:15869161872；其他号码: 】</t>
  </si>
  <si>
    <t>SKD251031057</t>
  </si>
  <si>
    <t>2025-10-31 12:52:19</t>
  </si>
  <si>
    <t>2025-10-31 13:05:36</t>
  </si>
  <si>
    <t>转卖抵SKTKD251031003【用户姓名:张慧慧；用户手机:15869161872；其他号码: 】</t>
  </si>
  <si>
    <t>SKD251031060</t>
  </si>
  <si>
    <t>2025-10-31 12:55:51</t>
  </si>
  <si>
    <t>2025-10-31 13:09:54</t>
  </si>
  <si>
    <t>换机抵SKTKD251031004【用户姓名:浙江百灵电气集团有限公司；用户手机:13336105253；其他号码: 】</t>
  </si>
  <si>
    <t>SKD251031062</t>
  </si>
  <si>
    <t>2025-10-31 13:10:25</t>
  </si>
  <si>
    <t>2025-10-31 13:10:26</t>
  </si>
  <si>
    <t>10.30刷卡2789元（2231.20+补贴557.80元）【用户姓名:占水萍；用户手机:13588292908；其他号码: 】</t>
  </si>
  <si>
    <t>占水萍</t>
  </si>
  <si>
    <t>13588292908</t>
  </si>
  <si>
    <t>SKD251031063</t>
  </si>
  <si>
    <t>2025-10-31 13:02:10</t>
  </si>
  <si>
    <t>2025-10-31 13:10:35</t>
  </si>
  <si>
    <t>SKD251031064</t>
  </si>
  <si>
    <t>2025-10-31 13:47:17</t>
  </si>
  <si>
    <t>2025-10-31 14:22:09</t>
  </si>
  <si>
    <t>10.31支付宝3150元【用户姓名:傅柳刚；用户手机:13575700228；其他号码: 】</t>
  </si>
  <si>
    <t>傅柳刚</t>
  </si>
  <si>
    <t>13575700228</t>
  </si>
  <si>
    <t>2025103122001479431421187605</t>
  </si>
  <si>
    <t>SKD251031070</t>
  </si>
  <si>
    <t>2025-10-31 14:13:23</t>
  </si>
  <si>
    <t>2025-10-31 14:23:12</t>
  </si>
  <si>
    <t>10.31支付宝3138元【用户姓名:金兰；用户手机:18657121929；其他号码: 】</t>
  </si>
  <si>
    <t>金兰</t>
  </si>
  <si>
    <t>18657121929</t>
  </si>
  <si>
    <t>2025103123001483661438963790</t>
  </si>
  <si>
    <t>SKD251031071</t>
  </si>
  <si>
    <t>2025-10-31 14:12:59</t>
  </si>
  <si>
    <t>2025-10-31 14:49:10</t>
  </si>
  <si>
    <t>10.31支付宝222元【用户姓名:金兰；用户手机:18657121929；其他号码: 】</t>
  </si>
  <si>
    <t>2025103122001483661435058108</t>
  </si>
  <si>
    <t>SKD251031075</t>
  </si>
  <si>
    <t>2025-10-31 14:14:58</t>
  </si>
  <si>
    <t>2025-10-31 14:26:33</t>
  </si>
  <si>
    <t>10.31转账1618元【用户姓名:泰州锦禧商贸有限公司；用户手机:15996026086；其他号码: 】</t>
  </si>
  <si>
    <t>15996026086</t>
  </si>
  <si>
    <t>SKD251031077</t>
  </si>
  <si>
    <t>2025-10-31 14:16:08</t>
  </si>
  <si>
    <t>2025-10-31 14:27:14</t>
  </si>
  <si>
    <t>10.31转账1500元【用户姓名:朱连凤；用户手机:13606528957；其他号码: 】</t>
  </si>
  <si>
    <t>朱连凤</t>
  </si>
  <si>
    <t>13606528957</t>
  </si>
  <si>
    <t>SKD251031086</t>
  </si>
  <si>
    <t>2025-10-31 15:12:50</t>
  </si>
  <si>
    <t>2025-10-31 15:15:08</t>
  </si>
  <si>
    <t>YSJ.00024</t>
  </si>
  <si>
    <t xml:space="preserve">R2500AB1Ai净水机 </t>
  </si>
  <si>
    <t>10.31转账4238元【用户姓名:黄石市玉祥电器有限公司；用户手机:18924600507；其他号码: 】</t>
  </si>
  <si>
    <t>黄石市玉祥电器有限公司</t>
  </si>
  <si>
    <t>18924600507</t>
  </si>
  <si>
    <t>SKD251031091</t>
  </si>
  <si>
    <t>2025年10月王云江结算(换新183）</t>
  </si>
  <si>
    <t>2025-10-31 15:49:17</t>
  </si>
  <si>
    <t>2025-10-31 15:49:19</t>
  </si>
  <si>
    <t>2025年10月31日中信银行收款【用户姓名:2025年10月结算(换新183-185）；用户手机: ；其他号码: 】</t>
  </si>
  <si>
    <t>2025年10月结算(换新183-185）</t>
  </si>
  <si>
    <t>2025年10月王亨虹结算(换新184）</t>
  </si>
  <si>
    <t>2025年10月客户结算(换新185）</t>
  </si>
  <si>
    <t>SKD251031093</t>
  </si>
  <si>
    <t>2025-10-31 15:45:14</t>
  </si>
  <si>
    <t>2025-10-31 15:50:33</t>
  </si>
  <si>
    <t>10.31杭州中信7490【用户姓名:永康市荣浪家用电器有限公司；用户手机: ；其他号码: 】</t>
  </si>
  <si>
    <t>金华-永康</t>
  </si>
  <si>
    <t>SKD251031096</t>
  </si>
  <si>
    <t>2025-10-31 15:46:25</t>
  </si>
  <si>
    <t>2025-10-31 15:54:32</t>
  </si>
  <si>
    <t>10.31支付宝854元【用户姓名:蒋培龙；用户手机:13396583618；其他号码: 】</t>
  </si>
  <si>
    <t>蒋培龙</t>
  </si>
  <si>
    <t>13396583618</t>
  </si>
  <si>
    <t>2025103122001474091455039141</t>
  </si>
  <si>
    <t>SKD251031116</t>
  </si>
  <si>
    <t>2025-10-31 16:34:52</t>
  </si>
  <si>
    <t>2025-10-31 16:37:43</t>
  </si>
  <si>
    <t>XWJ.00001</t>
  </si>
  <si>
    <t xml:space="preserve">DWQ15-R3Wi洗碗机 </t>
  </si>
  <si>
    <t>10.31支付宝16098元【用户姓名:韩斌；用户手机:19121765659；其他号码: 】</t>
  </si>
  <si>
    <t>韩斌</t>
  </si>
  <si>
    <t>19121765659</t>
  </si>
  <si>
    <t>2025103122001485251410813044</t>
  </si>
  <si>
    <t>SKD251101002</t>
  </si>
  <si>
    <t>2025/11/1</t>
  </si>
  <si>
    <t>2025-11-01 08:56:31</t>
  </si>
  <si>
    <t>2025-11-01 09:13:47</t>
  </si>
  <si>
    <t>10.31杭州兴达京昀电器有限公司转账5万元【用户姓名: ；用户手机: ；其他号码: 】</t>
  </si>
  <si>
    <t>SKD251101035</t>
  </si>
  <si>
    <t>2025-11-01 10:36:58</t>
  </si>
  <si>
    <t>2025-11-01 11:14:54</t>
  </si>
  <si>
    <t>10.31支付宝2860元【用户姓名:石光侠；用户手机:13906512226；其他号码: 】</t>
  </si>
  <si>
    <t>石光侠</t>
  </si>
  <si>
    <t>13906512226</t>
  </si>
  <si>
    <t>2025103122001456681430403582</t>
  </si>
  <si>
    <t>SKD251101039</t>
  </si>
  <si>
    <t>2025-11-01 10:40:23</t>
  </si>
  <si>
    <t>2025-11-01 11:15:34</t>
  </si>
  <si>
    <t>10.31支付宝3788元【用户姓名:张晓平；用户手机:13989810666；其他号码: 】</t>
  </si>
  <si>
    <t>张晓平</t>
  </si>
  <si>
    <t>13989810666</t>
  </si>
  <si>
    <t>2025103122001411751423929682</t>
  </si>
  <si>
    <t>SKD251103162</t>
  </si>
  <si>
    <t>2025/11/3</t>
  </si>
  <si>
    <t>2025-11-03 12:55:54</t>
  </si>
  <si>
    <t>2025-11-03 13:25:13</t>
  </si>
  <si>
    <t>10.31转账1488元【用户姓名:杭州与凡物流有限公司；用户手机:13456766056；其他号码: 】</t>
  </si>
  <si>
    <t>杭州与凡物流有限公司</t>
  </si>
  <si>
    <t>13456766056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</si>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</sst>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#,##0.000000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4" fontId="0" fillId="0" borderId="0" xfId="0" applyNumberFormat="1" applyFont="1" applyAlignment="1"/>
    <xf numFmtId="176" fontId="0" fillId="0" borderId="0" xfId="0" applyNumberFormat="1" applyFont="1" applyAlignment="1"/>
    <xf numFmtId="177" fontId="0" fillId="0" borderId="0" xfId="0" applyNumberFormat="1" applyFont="1" applyAlignment="1"/>
    <xf numFmtId="3" fontId="0" fillId="0" borderId="0" xfId="0" applyNumberFormat="1" applyFont="1" applyAlignment="1"/>
    <xf numFmtId="0" fontId="0" fillId="2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477;&#24030;-&#25910;&#27454;&#36864;&#27454;&#21333;_2025110513105502_13068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.1&#26376;-10&#26376;&#22238;&#27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</sheetNames>
    <sheetDataSet>
      <sheetData sheetId="0">
        <row r="3">
          <cell r="A3" t="str">
            <v>往来单位</v>
          </cell>
          <cell r="B3" t="str">
            <v>求和项:退款金额</v>
          </cell>
        </row>
        <row r="4">
          <cell r="A4" t="str">
            <v> 二轻专卖店以旧换新</v>
          </cell>
          <cell r="B4">
            <v>1000</v>
          </cell>
        </row>
        <row r="5">
          <cell r="A5" t="str">
            <v>（新）滨江第六空间专卖店</v>
          </cell>
          <cell r="B5">
            <v>23893</v>
          </cell>
        </row>
        <row r="6">
          <cell r="A6" t="str">
            <v>:衢州市柯城汇鑫家用电器商行以旧换新</v>
          </cell>
          <cell r="B6">
            <v>8388</v>
          </cell>
        </row>
        <row r="7">
          <cell r="A7" t="str">
            <v>滨江六空8090店</v>
          </cell>
          <cell r="B7">
            <v>59722</v>
          </cell>
        </row>
        <row r="8">
          <cell r="A8" t="str">
            <v>杭州红星美凯龙一号店</v>
          </cell>
          <cell r="B8">
            <v>58364.85</v>
          </cell>
        </row>
        <row r="9">
          <cell r="A9" t="str">
            <v>杭州金蝶零售</v>
          </cell>
          <cell r="B9">
            <v>4400</v>
          </cell>
        </row>
        <row r="10">
          <cell r="A10" t="str">
            <v>杭州临平江南家居专卖店</v>
          </cell>
          <cell r="B10">
            <v>5988</v>
          </cell>
        </row>
        <row r="11">
          <cell r="A11" t="str">
            <v>金华龙腾建材市场专卖店</v>
          </cell>
          <cell r="B11">
            <v>11868</v>
          </cell>
        </row>
        <row r="12">
          <cell r="A12" t="str">
            <v>萧山第六空间专卖店</v>
          </cell>
          <cell r="B12">
            <v>29639</v>
          </cell>
        </row>
        <row r="13">
          <cell r="A13" t="str">
            <v>自营以旧换新特别账户</v>
          </cell>
          <cell r="B13">
            <v>14976</v>
          </cell>
        </row>
        <row r="14">
          <cell r="A14" t="str">
            <v>(空白)</v>
          </cell>
          <cell r="B14">
            <v>218238.85</v>
          </cell>
        </row>
        <row r="15">
          <cell r="A15" t="str">
            <v>总计</v>
          </cell>
          <cell r="B15">
            <v>436477.7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杭州"/>
      <sheetName val="湖州"/>
      <sheetName val="嘉兴"/>
      <sheetName val="金衢"/>
      <sheetName val="台州"/>
      <sheetName val="绍兴"/>
      <sheetName val="温丽 "/>
      <sheetName val="电商 以旧换新"/>
      <sheetName val="区域数据"/>
      <sheetName val="Sheet2"/>
      <sheetName val="Sheet1"/>
    </sheetNames>
    <sheetDataSet>
      <sheetData sheetId="0"/>
      <sheetData sheetId="1">
        <row r="1"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1">
          <cell r="AM1" t="str">
            <v>同比</v>
          </cell>
          <cell r="AN1" t="str">
            <v>1-6月</v>
          </cell>
        </row>
        <row r="1">
          <cell r="AP1" t="str">
            <v>同比</v>
          </cell>
          <cell r="AQ1" t="str">
            <v>7月</v>
          </cell>
        </row>
        <row r="1">
          <cell r="AS1" t="str">
            <v>同比</v>
          </cell>
          <cell r="AT1" t="str">
            <v>1-7月</v>
          </cell>
        </row>
        <row r="1">
          <cell r="AV1" t="str">
            <v>同比</v>
          </cell>
          <cell r="AW1" t="str">
            <v>8月</v>
          </cell>
        </row>
        <row r="1">
          <cell r="AY1" t="str">
            <v>同比</v>
          </cell>
          <cell r="AZ1" t="str">
            <v>1-8月</v>
          </cell>
        </row>
        <row r="1">
          <cell r="BB1" t="str">
            <v>同比</v>
          </cell>
          <cell r="BC1" t="str">
            <v>9月</v>
          </cell>
        </row>
        <row r="1">
          <cell r="BE1" t="str">
            <v>同比</v>
          </cell>
          <cell r="BF1" t="str">
            <v>1-9月</v>
          </cell>
        </row>
        <row r="1">
          <cell r="BH1" t="str">
            <v>同比</v>
          </cell>
          <cell r="BI1" t="str">
            <v>10月</v>
          </cell>
        </row>
        <row r="2">
          <cell r="C2" t="str">
            <v>门店</v>
          </cell>
          <cell r="D2" t="str">
            <v>渠道</v>
          </cell>
          <cell r="E2" t="str">
            <v>渠道细分</v>
          </cell>
          <cell r="F2" t="str">
            <v>大区</v>
          </cell>
          <cell r="G2" t="str">
            <v>市/区/县</v>
          </cell>
          <cell r="H2" t="str">
            <v>业务员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2">
          <cell r="AN2" t="str">
            <v>2024年</v>
          </cell>
          <cell r="AO2" t="str">
            <v>2025年</v>
          </cell>
        </row>
        <row r="2">
          <cell r="AQ2" t="str">
            <v>2024年</v>
          </cell>
          <cell r="AR2" t="str">
            <v>2025年</v>
          </cell>
        </row>
        <row r="2">
          <cell r="AT2" t="str">
            <v>2024年</v>
          </cell>
          <cell r="AU2" t="str">
            <v>2025年</v>
          </cell>
        </row>
        <row r="2">
          <cell r="AW2" t="str">
            <v>2024年</v>
          </cell>
          <cell r="AX2" t="str">
            <v>2025年</v>
          </cell>
        </row>
        <row r="2">
          <cell r="AZ2" t="str">
            <v>2024年</v>
          </cell>
          <cell r="BA2" t="str">
            <v>2025年</v>
          </cell>
        </row>
        <row r="2">
          <cell r="BC2" t="str">
            <v>2024年</v>
          </cell>
          <cell r="BD2" t="str">
            <v>2025年</v>
          </cell>
        </row>
        <row r="2">
          <cell r="BF2" t="str">
            <v>2024年</v>
          </cell>
          <cell r="BG2" t="str">
            <v>2025年</v>
          </cell>
        </row>
        <row r="2">
          <cell r="BI2" t="str">
            <v>2024年</v>
          </cell>
          <cell r="BJ2" t="str">
            <v>2025年</v>
          </cell>
        </row>
        <row r="3">
          <cell r="C3" t="str">
            <v>汇德隆</v>
          </cell>
          <cell r="D3" t="str">
            <v>TOP渠道</v>
          </cell>
          <cell r="E3" t="str">
            <v>TOP渠道</v>
          </cell>
          <cell r="F3" t="str">
            <v>萧山区</v>
          </cell>
          <cell r="G3" t="str">
            <v>萧山区</v>
          </cell>
          <cell r="H3" t="str">
            <v>董培培</v>
          </cell>
          <cell r="I3">
            <v>800</v>
          </cell>
          <cell r="J3">
            <v>100000</v>
          </cell>
          <cell r="K3">
            <v>180000</v>
          </cell>
          <cell r="L3">
            <v>0.8</v>
          </cell>
        </row>
        <row r="3">
          <cell r="N3">
            <v>90000</v>
          </cell>
          <cell r="O3" t="e">
            <v>#DIV/0!</v>
          </cell>
          <cell r="P3">
            <v>100000</v>
          </cell>
          <cell r="Q3">
            <v>270000</v>
          </cell>
          <cell r="R3">
            <v>1.7</v>
          </cell>
          <cell r="S3">
            <v>540000</v>
          </cell>
          <cell r="T3">
            <v>200000</v>
          </cell>
          <cell r="U3">
            <v>-0.62962962962963</v>
          </cell>
          <cell r="V3">
            <v>640000</v>
          </cell>
          <cell r="W3">
            <v>470000</v>
          </cell>
          <cell r="X3">
            <v>-0.265625</v>
          </cell>
          <cell r="Y3">
            <v>550000</v>
          </cell>
          <cell r="Z3">
            <v>692800</v>
          </cell>
          <cell r="AA3">
            <v>0.259636363636364</v>
          </cell>
          <cell r="AB3">
            <v>1190000</v>
          </cell>
          <cell r="AC3">
            <v>1162800</v>
          </cell>
          <cell r="AD3">
            <v>-0.0228571428571429</v>
          </cell>
          <cell r="AE3">
            <v>513000</v>
          </cell>
          <cell r="AF3">
            <v>480000</v>
          </cell>
          <cell r="AG3">
            <v>-0.064327485380117</v>
          </cell>
          <cell r="AH3">
            <v>1703000</v>
          </cell>
          <cell r="AI3">
            <v>1642800</v>
          </cell>
          <cell r="AJ3">
            <v>-0.0353493834409865</v>
          </cell>
          <cell r="AK3">
            <v>350000</v>
          </cell>
          <cell r="AL3">
            <v>180000</v>
          </cell>
          <cell r="AM3">
            <v>-0.485714285714286</v>
          </cell>
          <cell r="AN3">
            <v>2053000</v>
          </cell>
          <cell r="AO3">
            <v>1822800</v>
          </cell>
          <cell r="AP3">
            <v>-0.112128592303945</v>
          </cell>
          <cell r="AQ3">
            <v>200000</v>
          </cell>
          <cell r="AR3">
            <v>420000</v>
          </cell>
          <cell r="AS3">
            <v>1.1</v>
          </cell>
          <cell r="AT3">
            <v>2253000</v>
          </cell>
          <cell r="AU3">
            <v>2242800</v>
          </cell>
          <cell r="AV3">
            <v>-0.00452729693741682</v>
          </cell>
          <cell r="AW3">
            <v>190000</v>
          </cell>
          <cell r="AX3">
            <v>310000</v>
          </cell>
          <cell r="AY3">
            <v>0.631578947368421</v>
          </cell>
          <cell r="AZ3">
            <v>2443000</v>
          </cell>
          <cell r="BA3">
            <v>2552800</v>
          </cell>
          <cell r="BB3">
            <v>0.04494474007368</v>
          </cell>
          <cell r="BC3">
            <v>730000</v>
          </cell>
          <cell r="BD3">
            <v>250000</v>
          </cell>
          <cell r="BE3">
            <v>-0.657534246575342</v>
          </cell>
          <cell r="BF3">
            <v>3173000</v>
          </cell>
          <cell r="BG3">
            <v>2802800</v>
          </cell>
          <cell r="BH3">
            <v>-0.116671919319256</v>
          </cell>
          <cell r="BI3">
            <v>840000</v>
          </cell>
          <cell r="BJ3">
            <v>300000</v>
          </cell>
        </row>
        <row r="4">
          <cell r="C4" t="str">
            <v>萧山汇德隆净水</v>
          </cell>
          <cell r="D4" t="str">
            <v>TOP渠道</v>
          </cell>
          <cell r="E4" t="str">
            <v>TOP渠道</v>
          </cell>
          <cell r="F4" t="str">
            <v>萧山区</v>
          </cell>
          <cell r="G4" t="str">
            <v>萧山区</v>
          </cell>
          <cell r="H4" t="str">
            <v>董培培</v>
          </cell>
        </row>
        <row r="4">
          <cell r="J4">
            <v>109082.35</v>
          </cell>
          <cell r="K4">
            <v>85017.95</v>
          </cell>
          <cell r="L4">
            <v>-0.220607641841233</v>
          </cell>
        </row>
        <row r="4">
          <cell r="N4">
            <v>124698.5</v>
          </cell>
          <cell r="O4" t="e">
            <v>#DIV/0!</v>
          </cell>
          <cell r="P4">
            <v>109082.35</v>
          </cell>
          <cell r="Q4">
            <v>209716.45</v>
          </cell>
          <cell r="R4">
            <v>0.92255163186345</v>
          </cell>
          <cell r="S4">
            <v>98942.87</v>
          </cell>
        </row>
        <row r="4">
          <cell r="U4">
            <v>-1</v>
          </cell>
          <cell r="V4">
            <v>208025.22</v>
          </cell>
          <cell r="W4">
            <v>209716.45</v>
          </cell>
          <cell r="X4">
            <v>0.00812992770780396</v>
          </cell>
          <cell r="Y4">
            <v>96183.1</v>
          </cell>
          <cell r="Z4">
            <v>277266.5</v>
          </cell>
          <cell r="AA4">
            <v>1.88269456900433</v>
          </cell>
          <cell r="AB4">
            <v>304208.32</v>
          </cell>
          <cell r="AC4">
            <v>486982.95</v>
          </cell>
          <cell r="AD4">
            <v>0.600820615294151</v>
          </cell>
          <cell r="AE4">
            <v>108234.5</v>
          </cell>
          <cell r="AF4">
            <v>108269.25</v>
          </cell>
          <cell r="AG4">
            <v>0.00032106213822769</v>
          </cell>
          <cell r="AH4">
            <v>412442.82</v>
          </cell>
          <cell r="AI4">
            <v>595252.2</v>
          </cell>
          <cell r="AJ4">
            <v>0.443235695071622</v>
          </cell>
          <cell r="AK4">
            <v>329415.3</v>
          </cell>
          <cell r="AL4">
            <v>173565</v>
          </cell>
          <cell r="AM4">
            <v>-0.473111904638309</v>
          </cell>
          <cell r="AN4">
            <v>741858.12</v>
          </cell>
          <cell r="AO4">
            <v>768817.2</v>
          </cell>
          <cell r="AP4">
            <v>0.036339940580552</v>
          </cell>
          <cell r="AQ4">
            <v>83070</v>
          </cell>
          <cell r="AR4">
            <v>256417.7</v>
          </cell>
          <cell r="AS4">
            <v>2.08676658240039</v>
          </cell>
          <cell r="AT4">
            <v>824928.12</v>
          </cell>
          <cell r="AU4">
            <v>1025234.9</v>
          </cell>
          <cell r="AV4">
            <v>0.24281725297472</v>
          </cell>
          <cell r="AW4">
            <v>170557.8</v>
          </cell>
          <cell r="AX4">
            <v>110759</v>
          </cell>
          <cell r="AY4">
            <v>-0.350607242823254</v>
          </cell>
          <cell r="AZ4">
            <v>995485.92</v>
          </cell>
          <cell r="BA4">
            <v>1135993.9</v>
          </cell>
          <cell r="BB4">
            <v>0.141145120364937</v>
          </cell>
          <cell r="BC4">
            <v>58082.8</v>
          </cell>
        </row>
        <row r="4">
          <cell r="BE4">
            <v>-1</v>
          </cell>
          <cell r="BF4">
            <v>1053568.72</v>
          </cell>
          <cell r="BG4">
            <v>1135993.9</v>
          </cell>
          <cell r="BH4">
            <v>0.0782342702809171</v>
          </cell>
        </row>
        <row r="4">
          <cell r="BJ4">
            <v>224728.9</v>
          </cell>
        </row>
        <row r="5">
          <cell r="C5" t="str">
            <v>杭州兴达京昀电器有限公司</v>
          </cell>
          <cell r="D5" t="str">
            <v>经销</v>
          </cell>
          <cell r="E5" t="str">
            <v>TOP渠道</v>
          </cell>
          <cell r="F5" t="str">
            <v>临平区</v>
          </cell>
          <cell r="G5" t="str">
            <v>临平区</v>
          </cell>
          <cell r="H5" t="str">
            <v>吴海林</v>
          </cell>
          <cell r="I5">
            <v>130</v>
          </cell>
        </row>
        <row r="5">
          <cell r="K5">
            <v>100000</v>
          </cell>
          <cell r="L5" t="e">
            <v>#DIV/0!</v>
          </cell>
        </row>
        <row r="5">
          <cell r="O5" t="e">
            <v>#DIV/0!</v>
          </cell>
          <cell r="P5">
            <v>0</v>
          </cell>
          <cell r="Q5">
            <v>100000</v>
          </cell>
          <cell r="R5" t="e">
            <v>#DIV/0!</v>
          </cell>
        </row>
        <row r="5">
          <cell r="T5">
            <v>60000</v>
          </cell>
          <cell r="U5" t="e">
            <v>#DIV/0!</v>
          </cell>
          <cell r="V5">
            <v>0</v>
          </cell>
          <cell r="W5">
            <v>160000</v>
          </cell>
          <cell r="X5" t="e">
            <v>#DIV/0!</v>
          </cell>
          <cell r="Y5">
            <v>100000</v>
          </cell>
          <cell r="Z5">
            <v>50000</v>
          </cell>
          <cell r="AA5">
            <v>-0.5</v>
          </cell>
          <cell r="AB5">
            <v>100000</v>
          </cell>
          <cell r="AC5">
            <v>210000</v>
          </cell>
          <cell r="AD5">
            <v>1.1</v>
          </cell>
          <cell r="AE5">
            <v>100000</v>
          </cell>
          <cell r="AF5">
            <v>60000</v>
          </cell>
          <cell r="AG5">
            <v>-0.4</v>
          </cell>
          <cell r="AH5">
            <v>200000</v>
          </cell>
          <cell r="AI5">
            <v>270000</v>
          </cell>
          <cell r="AJ5">
            <v>0.35</v>
          </cell>
          <cell r="AK5">
            <v>100000</v>
          </cell>
          <cell r="AL5">
            <v>120000</v>
          </cell>
          <cell r="AM5">
            <v>0.2</v>
          </cell>
          <cell r="AN5">
            <v>300000</v>
          </cell>
          <cell r="AO5">
            <v>390000</v>
          </cell>
          <cell r="AP5">
            <v>0.3</v>
          </cell>
          <cell r="AQ5">
            <v>100000</v>
          </cell>
          <cell r="AR5">
            <v>100000</v>
          </cell>
          <cell r="AS5">
            <v>0</v>
          </cell>
          <cell r="AT5">
            <v>400000</v>
          </cell>
          <cell r="AU5">
            <v>490000</v>
          </cell>
          <cell r="AV5">
            <v>0.225</v>
          </cell>
          <cell r="AW5">
            <v>100000</v>
          </cell>
          <cell r="AX5">
            <v>50000</v>
          </cell>
          <cell r="AY5">
            <v>-0.5</v>
          </cell>
          <cell r="AZ5">
            <v>500000</v>
          </cell>
          <cell r="BA5">
            <v>540000</v>
          </cell>
          <cell r="BB5">
            <v>0.0800000000000001</v>
          </cell>
          <cell r="BC5">
            <v>100000</v>
          </cell>
          <cell r="BD5">
            <v>100000</v>
          </cell>
          <cell r="BE5">
            <v>0</v>
          </cell>
          <cell r="BF5">
            <v>600000</v>
          </cell>
          <cell r="BG5">
            <v>640000</v>
          </cell>
          <cell r="BH5">
            <v>0.0666666666666667</v>
          </cell>
          <cell r="BI5">
            <v>100000</v>
          </cell>
          <cell r="BJ5">
            <v>100000</v>
          </cell>
        </row>
        <row r="6">
          <cell r="C6" t="str">
            <v>杭州临安一栋电器有限公司</v>
          </cell>
          <cell r="D6" t="str">
            <v>加盟</v>
          </cell>
          <cell r="E6" t="str">
            <v>加盟</v>
          </cell>
          <cell r="F6" t="str">
            <v>临安区</v>
          </cell>
          <cell r="G6" t="str">
            <v>临安区</v>
          </cell>
          <cell r="H6" t="str">
            <v>吴海林</v>
          </cell>
          <cell r="I6">
            <v>190</v>
          </cell>
          <cell r="J6">
            <v>140000</v>
          </cell>
          <cell r="K6">
            <v>41700</v>
          </cell>
          <cell r="L6">
            <v>-0.702142857142857</v>
          </cell>
          <cell r="M6">
            <v>60000</v>
          </cell>
          <cell r="N6">
            <v>27875</v>
          </cell>
          <cell r="O6">
            <v>-0.535416666666667</v>
          </cell>
          <cell r="P6">
            <v>200000</v>
          </cell>
          <cell r="Q6">
            <v>69575</v>
          </cell>
          <cell r="R6">
            <v>-0.652125</v>
          </cell>
          <cell r="S6">
            <v>60000</v>
          </cell>
          <cell r="T6">
            <v>94786</v>
          </cell>
          <cell r="U6">
            <v>0.579766666666667</v>
          </cell>
          <cell r="V6">
            <v>260000</v>
          </cell>
          <cell r="W6">
            <v>164361</v>
          </cell>
          <cell r="X6">
            <v>-0.367842307692308</v>
          </cell>
          <cell r="Y6">
            <v>270219</v>
          </cell>
          <cell r="Z6">
            <v>67000</v>
          </cell>
          <cell r="AA6">
            <v>-0.752052964447356</v>
          </cell>
          <cell r="AB6">
            <v>530219</v>
          </cell>
          <cell r="AC6">
            <v>231361</v>
          </cell>
          <cell r="AD6">
            <v>-0.563650114386697</v>
          </cell>
          <cell r="AE6">
            <v>61019</v>
          </cell>
        </row>
        <row r="6">
          <cell r="AG6">
            <v>-1</v>
          </cell>
          <cell r="AH6">
            <v>591238</v>
          </cell>
          <cell r="AI6">
            <v>231361</v>
          </cell>
          <cell r="AJ6">
            <v>-0.60868381261015</v>
          </cell>
          <cell r="AK6">
            <v>501898</v>
          </cell>
          <cell r="AL6">
            <v>30253.74</v>
          </cell>
          <cell r="AM6">
            <v>-0.939721337801705</v>
          </cell>
          <cell r="AN6">
            <v>1093136</v>
          </cell>
          <cell r="AO6">
            <v>261614.74</v>
          </cell>
          <cell r="AP6">
            <v>-0.760675030371335</v>
          </cell>
        </row>
        <row r="6">
          <cell r="AR6">
            <v>40000</v>
          </cell>
          <cell r="AS6" t="e">
            <v>#DIV/0!</v>
          </cell>
          <cell r="AT6">
            <v>1093136</v>
          </cell>
          <cell r="AU6">
            <v>301614.74</v>
          </cell>
          <cell r="AV6">
            <v>-0.724083060113289</v>
          </cell>
        </row>
        <row r="6">
          <cell r="AX6">
            <v>70000</v>
          </cell>
          <cell r="AY6" t="e">
            <v>#DIV/0!</v>
          </cell>
          <cell r="AZ6">
            <v>1093136</v>
          </cell>
          <cell r="BA6">
            <v>371614.74</v>
          </cell>
          <cell r="BB6">
            <v>-0.660047112161707</v>
          </cell>
          <cell r="BC6">
            <v>43506</v>
          </cell>
          <cell r="BD6">
            <v>30000</v>
          </cell>
          <cell r="BE6">
            <v>-0.310439939318715</v>
          </cell>
          <cell r="BF6">
            <v>1136642</v>
          </cell>
          <cell r="BG6">
            <v>401614.74</v>
          </cell>
          <cell r="BH6">
            <v>-0.646665581599132</v>
          </cell>
          <cell r="BI6">
            <v>89609</v>
          </cell>
          <cell r="BJ6">
            <v>40000</v>
          </cell>
        </row>
        <row r="7">
          <cell r="C7" t="str">
            <v>杭州宏信机电有限公司</v>
          </cell>
          <cell r="D7" t="str">
            <v>加盟</v>
          </cell>
          <cell r="E7" t="str">
            <v>加盟</v>
          </cell>
          <cell r="F7" t="str">
            <v>富阳区</v>
          </cell>
          <cell r="G7" t="str">
            <v>富阳区</v>
          </cell>
          <cell r="H7" t="str">
            <v>吴海林</v>
          </cell>
          <cell r="I7">
            <v>270</v>
          </cell>
          <cell r="J7">
            <v>215180.88</v>
          </cell>
          <cell r="K7">
            <v>10000</v>
          </cell>
          <cell r="L7">
            <v>-0.953527469540974</v>
          </cell>
          <cell r="M7">
            <v>146500</v>
          </cell>
          <cell r="N7">
            <v>83000</v>
          </cell>
          <cell r="O7">
            <v>-0.433447098976109</v>
          </cell>
          <cell r="P7">
            <v>361680.88</v>
          </cell>
          <cell r="Q7">
            <v>93000</v>
          </cell>
          <cell r="R7">
            <v>-0.7428672480558</v>
          </cell>
          <cell r="S7">
            <v>280836</v>
          </cell>
          <cell r="T7">
            <v>71000</v>
          </cell>
          <cell r="U7">
            <v>-0.74718340953439</v>
          </cell>
          <cell r="V7">
            <v>642516.88</v>
          </cell>
          <cell r="W7">
            <v>164000</v>
          </cell>
          <cell r="X7">
            <v>-0.744753787635898</v>
          </cell>
          <cell r="Y7">
            <v>201000</v>
          </cell>
          <cell r="Z7">
            <v>140000</v>
          </cell>
          <cell r="AA7">
            <v>-0.303482587064677</v>
          </cell>
          <cell r="AB7">
            <v>843516.88</v>
          </cell>
          <cell r="AC7">
            <v>304000</v>
          </cell>
          <cell r="AD7">
            <v>-0.639604129795245</v>
          </cell>
          <cell r="AE7">
            <v>182933</v>
          </cell>
          <cell r="AF7">
            <v>70000</v>
          </cell>
          <cell r="AG7">
            <v>-0.617346241520119</v>
          </cell>
          <cell r="AH7">
            <v>1026449.88</v>
          </cell>
          <cell r="AI7">
            <v>374000</v>
          </cell>
          <cell r="AJ7">
            <v>-0.635637348411011</v>
          </cell>
          <cell r="AK7">
            <v>205000</v>
          </cell>
          <cell r="AL7">
            <v>65840</v>
          </cell>
          <cell r="AM7">
            <v>-0.678829268292683</v>
          </cell>
          <cell r="AN7">
            <v>1231449.88</v>
          </cell>
          <cell r="AO7">
            <v>439840</v>
          </cell>
          <cell r="AP7">
            <v>-0.642827526200254</v>
          </cell>
          <cell r="AQ7">
            <v>157000</v>
          </cell>
          <cell r="AR7">
            <v>39000</v>
          </cell>
          <cell r="AS7">
            <v>-0.751592356687898</v>
          </cell>
          <cell r="AT7">
            <v>1388449.88</v>
          </cell>
          <cell r="AU7">
            <v>478840</v>
          </cell>
          <cell r="AV7">
            <v>-0.655126190078968</v>
          </cell>
          <cell r="AW7">
            <v>106000</v>
          </cell>
          <cell r="AX7">
            <v>95500</v>
          </cell>
          <cell r="AY7">
            <v>-0.0990566037735849</v>
          </cell>
          <cell r="AZ7">
            <v>1494449.88</v>
          </cell>
          <cell r="BA7">
            <v>574340</v>
          </cell>
          <cell r="BB7">
            <v>-0.615684669197471</v>
          </cell>
          <cell r="BC7">
            <v>142000</v>
          </cell>
          <cell r="BD7">
            <v>19000</v>
          </cell>
          <cell r="BE7">
            <v>-0.866197183098592</v>
          </cell>
          <cell r="BF7">
            <v>1636449.88</v>
          </cell>
          <cell r="BG7">
            <v>593340</v>
          </cell>
          <cell r="BH7">
            <v>-0.637422442782055</v>
          </cell>
          <cell r="BI7">
            <v>219169</v>
          </cell>
          <cell r="BJ7">
            <v>34000</v>
          </cell>
        </row>
        <row r="8">
          <cell r="C8" t="str">
            <v>桐庐佳尼特水处理设备有限公司</v>
          </cell>
          <cell r="D8" t="str">
            <v>加盟</v>
          </cell>
          <cell r="E8" t="str">
            <v>加盟</v>
          </cell>
          <cell r="F8" t="str">
            <v>桐庐县</v>
          </cell>
          <cell r="G8" t="str">
            <v>桐庐县</v>
          </cell>
          <cell r="H8" t="str">
            <v>吴海林</v>
          </cell>
          <cell r="I8">
            <v>190</v>
          </cell>
          <cell r="J8">
            <v>100000</v>
          </cell>
          <cell r="K8">
            <v>149040</v>
          </cell>
          <cell r="L8">
            <v>0.4904</v>
          </cell>
          <cell r="M8">
            <v>30000</v>
          </cell>
          <cell r="N8">
            <v>72140</v>
          </cell>
          <cell r="O8">
            <v>1.40466666666667</v>
          </cell>
          <cell r="P8">
            <v>130000</v>
          </cell>
          <cell r="Q8">
            <v>221180</v>
          </cell>
          <cell r="R8">
            <v>0.701384615384615</v>
          </cell>
          <cell r="S8">
            <v>70000</v>
          </cell>
          <cell r="T8">
            <v>160000</v>
          </cell>
          <cell r="U8">
            <v>1.28571428571429</v>
          </cell>
          <cell r="V8">
            <v>200000</v>
          </cell>
          <cell r="W8">
            <v>381180</v>
          </cell>
          <cell r="X8">
            <v>0.9059</v>
          </cell>
          <cell r="Y8">
            <v>90000</v>
          </cell>
          <cell r="Z8">
            <v>100000</v>
          </cell>
          <cell r="AA8">
            <v>0.111111111111111</v>
          </cell>
          <cell r="AB8">
            <v>290000</v>
          </cell>
          <cell r="AC8">
            <v>481180</v>
          </cell>
          <cell r="AD8">
            <v>0.659241379310345</v>
          </cell>
          <cell r="AE8">
            <v>65253</v>
          </cell>
          <cell r="AF8">
            <v>90000</v>
          </cell>
          <cell r="AG8">
            <v>0.379246931175578</v>
          </cell>
          <cell r="AH8">
            <v>355253</v>
          </cell>
          <cell r="AI8">
            <v>571180</v>
          </cell>
          <cell r="AJ8">
            <v>0.607811897436475</v>
          </cell>
          <cell r="AK8">
            <v>555000</v>
          </cell>
          <cell r="AL8">
            <v>275000</v>
          </cell>
          <cell r="AM8">
            <v>-0.504504504504504</v>
          </cell>
          <cell r="AN8">
            <v>910253</v>
          </cell>
          <cell r="AO8">
            <v>846180</v>
          </cell>
          <cell r="AP8">
            <v>-0.0703903200538751</v>
          </cell>
        </row>
        <row r="8">
          <cell r="AS8" t="e">
            <v>#DIV/0!</v>
          </cell>
          <cell r="AT8">
            <v>910253</v>
          </cell>
          <cell r="AU8">
            <v>846180</v>
          </cell>
          <cell r="AV8">
            <v>-0.0703903200538751</v>
          </cell>
        </row>
        <row r="8">
          <cell r="AX8">
            <v>30000</v>
          </cell>
          <cell r="AY8" t="e">
            <v>#DIV/0!</v>
          </cell>
          <cell r="AZ8">
            <v>910253</v>
          </cell>
          <cell r="BA8">
            <v>876180</v>
          </cell>
          <cell r="BB8">
            <v>-0.0374324500990384</v>
          </cell>
          <cell r="BC8">
            <v>6799</v>
          </cell>
          <cell r="BD8">
            <v>10000</v>
          </cell>
          <cell r="BE8">
            <v>0.470804530077953</v>
          </cell>
          <cell r="BF8">
            <v>917052</v>
          </cell>
          <cell r="BG8">
            <v>886180</v>
          </cell>
          <cell r="BH8">
            <v>-0.0336643941673973</v>
          </cell>
          <cell r="BI8">
            <v>137020</v>
          </cell>
          <cell r="BJ8">
            <v>100000</v>
          </cell>
        </row>
        <row r="9">
          <cell r="C9" t="str">
            <v>杭州佳威信息科技有限公司</v>
          </cell>
          <cell r="D9" t="str">
            <v>经销</v>
          </cell>
          <cell r="E9" t="str">
            <v>经销</v>
          </cell>
          <cell r="F9" t="str">
            <v>建德市</v>
          </cell>
          <cell r="G9" t="str">
            <v>建德市</v>
          </cell>
          <cell r="H9" t="str">
            <v>吴海林</v>
          </cell>
        </row>
        <row r="9">
          <cell r="J9">
            <v>10000</v>
          </cell>
        </row>
        <row r="9">
          <cell r="L9">
            <v>-1</v>
          </cell>
        </row>
        <row r="9">
          <cell r="O9" t="e">
            <v>#DIV/0!</v>
          </cell>
          <cell r="P9">
            <v>10000</v>
          </cell>
          <cell r="Q9">
            <v>0</v>
          </cell>
          <cell r="R9">
            <v>-1</v>
          </cell>
          <cell r="S9">
            <v>10000</v>
          </cell>
        </row>
        <row r="9">
          <cell r="U9">
            <v>-1</v>
          </cell>
          <cell r="V9">
            <v>20000</v>
          </cell>
          <cell r="W9">
            <v>0</v>
          </cell>
          <cell r="X9">
            <v>-1</v>
          </cell>
          <cell r="Y9">
            <v>10000</v>
          </cell>
        </row>
        <row r="9">
          <cell r="AA9">
            <v>-1</v>
          </cell>
          <cell r="AB9">
            <v>30000</v>
          </cell>
          <cell r="AC9">
            <v>0</v>
          </cell>
          <cell r="AD9">
            <v>-1</v>
          </cell>
        </row>
        <row r="9">
          <cell r="AG9" t="e">
            <v>#DIV/0!</v>
          </cell>
          <cell r="AH9">
            <v>30000</v>
          </cell>
          <cell r="AI9">
            <v>0</v>
          </cell>
          <cell r="AJ9">
            <v>-1</v>
          </cell>
        </row>
        <row r="9">
          <cell r="AM9" t="e">
            <v>#DIV/0!</v>
          </cell>
          <cell r="AN9">
            <v>30000</v>
          </cell>
          <cell r="AO9">
            <v>0</v>
          </cell>
          <cell r="AP9">
            <v>-1</v>
          </cell>
        </row>
        <row r="9">
          <cell r="AS9" t="e">
            <v>#DIV/0!</v>
          </cell>
          <cell r="AT9">
            <v>30000</v>
          </cell>
          <cell r="AU9">
            <v>0</v>
          </cell>
          <cell r="AV9">
            <v>-1</v>
          </cell>
        </row>
        <row r="9">
          <cell r="AY9" t="e">
            <v>#DIV/0!</v>
          </cell>
          <cell r="AZ9">
            <v>30000</v>
          </cell>
          <cell r="BA9">
            <v>0</v>
          </cell>
          <cell r="BB9">
            <v>-1</v>
          </cell>
        </row>
        <row r="9">
          <cell r="BE9" t="e">
            <v>#DIV/0!</v>
          </cell>
          <cell r="BF9">
            <v>30000</v>
          </cell>
          <cell r="BG9">
            <v>0</v>
          </cell>
          <cell r="BH9">
            <v>-1</v>
          </cell>
        </row>
        <row r="10">
          <cell r="C10" t="str">
            <v>杭州京品满屋家电有限公司</v>
          </cell>
          <cell r="D10" t="str">
            <v>经销</v>
          </cell>
          <cell r="E10" t="str">
            <v>经销</v>
          </cell>
          <cell r="F10" t="str">
            <v>淳安县</v>
          </cell>
          <cell r="G10" t="str">
            <v>淳安县</v>
          </cell>
          <cell r="H10" t="str">
            <v>吴海林</v>
          </cell>
          <cell r="I10">
            <v>60</v>
          </cell>
          <cell r="J10">
            <v>10980</v>
          </cell>
          <cell r="K10">
            <v>1887</v>
          </cell>
          <cell r="L10">
            <v>-0.828142076502732</v>
          </cell>
          <cell r="M10">
            <v>10390</v>
          </cell>
        </row>
        <row r="10">
          <cell r="O10">
            <v>-1</v>
          </cell>
          <cell r="P10">
            <v>21370</v>
          </cell>
          <cell r="Q10">
            <v>1887</v>
          </cell>
          <cell r="R10">
            <v>-0.911698642957417</v>
          </cell>
          <cell r="S10">
            <v>20613</v>
          </cell>
          <cell r="T10">
            <v>21472</v>
          </cell>
          <cell r="U10">
            <v>0.0416727308009508</v>
          </cell>
          <cell r="V10">
            <v>41983</v>
          </cell>
          <cell r="W10">
            <v>23359</v>
          </cell>
          <cell r="X10">
            <v>-0.443608127099064</v>
          </cell>
          <cell r="Y10">
            <v>14343</v>
          </cell>
          <cell r="Z10">
            <v>24592</v>
          </cell>
          <cell r="AA10">
            <v>0.71456459597016</v>
          </cell>
          <cell r="AB10">
            <v>56326</v>
          </cell>
          <cell r="AC10">
            <v>47951</v>
          </cell>
          <cell r="AD10">
            <v>-0.148687994886908</v>
          </cell>
          <cell r="AE10">
            <v>10168</v>
          </cell>
          <cell r="AF10">
            <v>35823</v>
          </cell>
          <cell r="AG10">
            <v>2.52311172305271</v>
          </cell>
          <cell r="AH10">
            <v>66494</v>
          </cell>
          <cell r="AI10">
            <v>83774</v>
          </cell>
          <cell r="AJ10">
            <v>0.259873071254549</v>
          </cell>
          <cell r="AK10">
            <v>6124</v>
          </cell>
          <cell r="AL10">
            <v>40090</v>
          </cell>
          <cell r="AM10">
            <v>5.54637491835402</v>
          </cell>
          <cell r="AN10">
            <v>72618</v>
          </cell>
          <cell r="AO10">
            <v>123864</v>
          </cell>
          <cell r="AP10">
            <v>0.705692803437164</v>
          </cell>
        </row>
        <row r="10">
          <cell r="AR10">
            <v>5841</v>
          </cell>
          <cell r="AS10" t="e">
            <v>#DIV/0!</v>
          </cell>
          <cell r="AT10">
            <v>72618</v>
          </cell>
          <cell r="AU10">
            <v>129705</v>
          </cell>
          <cell r="AV10">
            <v>0.786127406428158</v>
          </cell>
          <cell r="AW10">
            <v>9927</v>
          </cell>
          <cell r="AX10">
            <v>19585</v>
          </cell>
          <cell r="AY10">
            <v>0.97290218595749</v>
          </cell>
          <cell r="AZ10">
            <v>82545</v>
          </cell>
          <cell r="BA10">
            <v>149290</v>
          </cell>
          <cell r="BB10">
            <v>0.808589254346114</v>
          </cell>
          <cell r="BC10">
            <v>97064</v>
          </cell>
          <cell r="BD10">
            <v>24536</v>
          </cell>
          <cell r="BE10">
            <v>-0.747218330173906</v>
          </cell>
          <cell r="BF10">
            <v>179609</v>
          </cell>
          <cell r="BG10">
            <v>173826</v>
          </cell>
          <cell r="BH10">
            <v>-0.0321977183771415</v>
          </cell>
          <cell r="BI10">
            <v>75532</v>
          </cell>
        </row>
        <row r="11">
          <cell r="C11" t="str">
            <v>杭州司亿博环境设备有限公司</v>
          </cell>
          <cell r="D11" t="str">
            <v>经销</v>
          </cell>
          <cell r="E11" t="str">
            <v>经销</v>
          </cell>
          <cell r="F11" t="str">
            <v>杭州市区</v>
          </cell>
          <cell r="G11" t="str">
            <v>钱塘区</v>
          </cell>
          <cell r="H11" t="str">
            <v>董培培</v>
          </cell>
          <cell r="I11">
            <v>10</v>
          </cell>
          <cell r="J11">
            <v>11748</v>
          </cell>
        </row>
        <row r="11">
          <cell r="L11">
            <v>-1</v>
          </cell>
          <cell r="M11">
            <v>16445</v>
          </cell>
          <cell r="N11">
            <v>2274</v>
          </cell>
          <cell r="O11">
            <v>-0.861720887807844</v>
          </cell>
          <cell r="P11">
            <v>28193</v>
          </cell>
          <cell r="Q11">
            <v>2274</v>
          </cell>
          <cell r="R11">
            <v>-0.919341680559004</v>
          </cell>
          <cell r="S11">
            <v>800</v>
          </cell>
        </row>
        <row r="11">
          <cell r="U11">
            <v>-1</v>
          </cell>
          <cell r="V11">
            <v>28993</v>
          </cell>
          <cell r="W11">
            <v>2274</v>
          </cell>
          <cell r="X11">
            <v>-0.921567274859449</v>
          </cell>
        </row>
        <row r="11">
          <cell r="Z11">
            <v>2217</v>
          </cell>
          <cell r="AA11" t="e">
            <v>#DIV/0!</v>
          </cell>
          <cell r="AB11">
            <v>28993</v>
          </cell>
          <cell r="AC11">
            <v>4491</v>
          </cell>
          <cell r="AD11">
            <v>-0.84510054151002</v>
          </cell>
          <cell r="AE11">
            <v>19214</v>
          </cell>
          <cell r="AF11">
            <v>13140</v>
          </cell>
          <cell r="AG11">
            <v>-0.316123659831373</v>
          </cell>
          <cell r="AH11">
            <v>48207</v>
          </cell>
          <cell r="AI11">
            <v>17631</v>
          </cell>
          <cell r="AJ11">
            <v>-0.634264733337482</v>
          </cell>
        </row>
        <row r="11">
          <cell r="AM11" t="e">
            <v>#DIV/0!</v>
          </cell>
          <cell r="AN11">
            <v>48207</v>
          </cell>
          <cell r="AO11">
            <v>17631</v>
          </cell>
          <cell r="AP11">
            <v>-0.634264733337482</v>
          </cell>
          <cell r="AQ11">
            <v>4009</v>
          </cell>
          <cell r="AR11">
            <v>3043</v>
          </cell>
          <cell r="AS11">
            <v>-0.24095784484909</v>
          </cell>
          <cell r="AT11">
            <v>52216</v>
          </cell>
          <cell r="AU11">
            <v>20674</v>
          </cell>
          <cell r="AV11">
            <v>-0.60406771870691</v>
          </cell>
          <cell r="AW11">
            <v>10575</v>
          </cell>
        </row>
        <row r="11">
          <cell r="AY11">
            <v>-1</v>
          </cell>
          <cell r="AZ11">
            <v>62791</v>
          </cell>
          <cell r="BA11">
            <v>20674</v>
          </cell>
          <cell r="BB11">
            <v>-0.670748992690035</v>
          </cell>
          <cell r="BC11">
            <v>800</v>
          </cell>
        </row>
        <row r="11">
          <cell r="BE11">
            <v>-1</v>
          </cell>
          <cell r="BF11">
            <v>63591</v>
          </cell>
          <cell r="BG11">
            <v>20674</v>
          </cell>
          <cell r="BH11">
            <v>-0.674891100941957</v>
          </cell>
          <cell r="BI11">
            <v>3078</v>
          </cell>
        </row>
        <row r="12">
          <cell r="C12" t="str">
            <v>杭州五星</v>
          </cell>
          <cell r="D12" t="str">
            <v>五星</v>
          </cell>
          <cell r="E12" t="str">
            <v>五星</v>
          </cell>
          <cell r="F12" t="str">
            <v>杭州市区</v>
          </cell>
          <cell r="G12" t="str">
            <v>市区</v>
          </cell>
          <cell r="H12" t="str">
            <v>李燕霞</v>
          </cell>
          <cell r="I12">
            <v>560</v>
          </cell>
          <cell r="J12">
            <v>-55370.32</v>
          </cell>
          <cell r="K12">
            <v>513987.69</v>
          </cell>
          <cell r="L12">
            <v>-10.282729267232</v>
          </cell>
        </row>
        <row r="12">
          <cell r="N12">
            <v>456944.83</v>
          </cell>
          <cell r="O12" t="e">
            <v>#DIV/0!</v>
          </cell>
          <cell r="P12">
            <v>-55370.32</v>
          </cell>
          <cell r="Q12">
            <v>970932.52</v>
          </cell>
          <cell r="R12">
            <v>-18.5352520989584</v>
          </cell>
        </row>
        <row r="12">
          <cell r="T12">
            <v>639327.2</v>
          </cell>
          <cell r="U12" t="e">
            <v>#DIV/0!</v>
          </cell>
          <cell r="V12">
            <v>-55370.32</v>
          </cell>
          <cell r="W12">
            <v>1610259.72</v>
          </cell>
          <cell r="X12">
            <v>-30.0816401277796</v>
          </cell>
          <cell r="Y12">
            <v>442229.3</v>
          </cell>
          <cell r="Z12">
            <v>380375.22</v>
          </cell>
          <cell r="AA12">
            <v>-0.139868796572276</v>
          </cell>
          <cell r="AB12">
            <v>386858.98</v>
          </cell>
          <cell r="AC12">
            <v>1990634.94</v>
          </cell>
          <cell r="AD12">
            <v>4.1456345668905</v>
          </cell>
          <cell r="AE12">
            <v>309190.52</v>
          </cell>
          <cell r="AF12">
            <v>403454.03</v>
          </cell>
          <cell r="AG12">
            <v>0.304871928156141</v>
          </cell>
          <cell r="AH12">
            <v>696049.5</v>
          </cell>
          <cell r="AI12">
            <v>2394088.97</v>
          </cell>
          <cell r="AJ12">
            <v>2.43953838053184</v>
          </cell>
          <cell r="AK12">
            <v>319675.55</v>
          </cell>
          <cell r="AL12">
            <v>521128.98</v>
          </cell>
          <cell r="AM12">
            <v>0.63018091311644</v>
          </cell>
          <cell r="AN12">
            <v>1015725.05</v>
          </cell>
          <cell r="AO12">
            <v>2915217.95</v>
          </cell>
          <cell r="AP12">
            <v>1.870085708726</v>
          </cell>
          <cell r="AQ12">
            <v>528891.84</v>
          </cell>
          <cell r="AR12">
            <v>152639.86</v>
          </cell>
          <cell r="AS12">
            <v>-0.711396833046243</v>
          </cell>
          <cell r="AT12">
            <v>1544616.89</v>
          </cell>
          <cell r="AU12">
            <v>3067857.81</v>
          </cell>
          <cell r="AV12">
            <v>0.986160989085132</v>
          </cell>
          <cell r="AW12">
            <v>226314.07</v>
          </cell>
        </row>
        <row r="12">
          <cell r="AY12">
            <v>-1</v>
          </cell>
          <cell r="AZ12">
            <v>1770930.96</v>
          </cell>
          <cell r="BA12">
            <v>3067857.81</v>
          </cell>
          <cell r="BB12">
            <v>0.732341846911977</v>
          </cell>
          <cell r="BC12">
            <v>174190.5</v>
          </cell>
        </row>
        <row r="12">
          <cell r="BE12">
            <v>-1</v>
          </cell>
          <cell r="BF12">
            <v>1945121.46</v>
          </cell>
          <cell r="BG12">
            <v>3067857.81</v>
          </cell>
          <cell r="BH12">
            <v>0.577206294356549</v>
          </cell>
          <cell r="BI12">
            <v>471478.84</v>
          </cell>
        </row>
        <row r="13">
          <cell r="C13" t="str">
            <v>杭州临平江南家居专卖店</v>
          </cell>
          <cell r="D13" t="str">
            <v>直营</v>
          </cell>
          <cell r="E13" t="str">
            <v>直营</v>
          </cell>
          <cell r="F13" t="str">
            <v>临平区</v>
          </cell>
          <cell r="G13" t="str">
            <v>临平区</v>
          </cell>
          <cell r="H13" t="str">
            <v>专卖店</v>
          </cell>
          <cell r="I13">
            <v>180</v>
          </cell>
          <cell r="J13">
            <v>103977</v>
          </cell>
          <cell r="K13">
            <v>22066</v>
          </cell>
          <cell r="L13">
            <v>-0.787779989805438</v>
          </cell>
          <cell r="M13">
            <v>19500</v>
          </cell>
          <cell r="N13">
            <v>49149</v>
          </cell>
          <cell r="O13">
            <v>1.52046153846154</v>
          </cell>
          <cell r="P13">
            <v>123477</v>
          </cell>
          <cell r="Q13">
            <v>71215</v>
          </cell>
          <cell r="R13">
            <v>-0.42325291349806</v>
          </cell>
          <cell r="S13">
            <v>113494</v>
          </cell>
          <cell r="T13">
            <v>91366</v>
          </cell>
          <cell r="U13">
            <v>-0.194970659241898</v>
          </cell>
          <cell r="V13">
            <v>236971</v>
          </cell>
          <cell r="W13">
            <v>162581</v>
          </cell>
          <cell r="X13">
            <v>-0.313920268724865</v>
          </cell>
          <cell r="Y13">
            <v>109059</v>
          </cell>
          <cell r="Z13">
            <v>67817</v>
          </cell>
          <cell r="AA13">
            <v>-0.378162279133313</v>
          </cell>
          <cell r="AB13">
            <v>346030</v>
          </cell>
          <cell r="AC13">
            <v>230398</v>
          </cell>
          <cell r="AD13">
            <v>-0.334167557726209</v>
          </cell>
          <cell r="AE13">
            <v>111723</v>
          </cell>
          <cell r="AF13">
            <v>71689</v>
          </cell>
          <cell r="AG13">
            <v>-0.3583326620302</v>
          </cell>
          <cell r="AH13">
            <v>457753</v>
          </cell>
          <cell r="AI13">
            <v>302087</v>
          </cell>
          <cell r="AJ13">
            <v>-0.340065493836196</v>
          </cell>
          <cell r="AK13">
            <v>173284</v>
          </cell>
          <cell r="AL13">
            <v>123804</v>
          </cell>
          <cell r="AM13">
            <v>-0.285542808337758</v>
          </cell>
          <cell r="AN13">
            <v>631037</v>
          </cell>
          <cell r="AO13">
            <v>425891</v>
          </cell>
          <cell r="AP13">
            <v>-0.325093457277466</v>
          </cell>
          <cell r="AQ13">
            <v>72134</v>
          </cell>
          <cell r="AR13">
            <v>47933</v>
          </cell>
          <cell r="AS13">
            <v>-0.33550059611279</v>
          </cell>
          <cell r="AT13">
            <v>703171</v>
          </cell>
          <cell r="AU13">
            <v>473824</v>
          </cell>
          <cell r="AV13">
            <v>-0.326161061818533</v>
          </cell>
          <cell r="AW13">
            <v>94856</v>
          </cell>
          <cell r="AX13">
            <v>51793</v>
          </cell>
          <cell r="AY13">
            <v>-0.453982879311799</v>
          </cell>
          <cell r="AZ13">
            <v>798027</v>
          </cell>
          <cell r="BA13">
            <v>525617</v>
          </cell>
          <cell r="BB13">
            <v>-0.341354365203182</v>
          </cell>
          <cell r="BC13">
            <v>159320</v>
          </cell>
          <cell r="BD13">
            <v>24824</v>
          </cell>
          <cell r="BE13">
            <v>-0.844187798142104</v>
          </cell>
          <cell r="BF13">
            <v>957347</v>
          </cell>
          <cell r="BG13">
            <v>550441</v>
          </cell>
          <cell r="BH13">
            <v>-0.4250350186505</v>
          </cell>
          <cell r="BI13">
            <v>185198.4</v>
          </cell>
          <cell r="BJ13">
            <v>49284</v>
          </cell>
        </row>
        <row r="14">
          <cell r="C14" t="str">
            <v>杭州华泓电器有限公司</v>
          </cell>
          <cell r="D14" t="str">
            <v>经销</v>
          </cell>
          <cell r="E14" t="str">
            <v>经销</v>
          </cell>
          <cell r="F14" t="str">
            <v>萧山区</v>
          </cell>
          <cell r="G14" t="str">
            <v>萧山区</v>
          </cell>
          <cell r="H14" t="str">
            <v>董培培</v>
          </cell>
        </row>
        <row r="14">
          <cell r="J14">
            <v>800</v>
          </cell>
        </row>
        <row r="14">
          <cell r="L14">
            <v>-1</v>
          </cell>
        </row>
        <row r="14">
          <cell r="O14" t="e">
            <v>#DIV/0!</v>
          </cell>
          <cell r="P14">
            <v>800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800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800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800</v>
          </cell>
          <cell r="AI14">
            <v>0</v>
          </cell>
          <cell r="AJ14">
            <v>-1</v>
          </cell>
          <cell r="AK14">
            <v>6071</v>
          </cell>
        </row>
        <row r="14">
          <cell r="AM14">
            <v>-1</v>
          </cell>
          <cell r="AN14">
            <v>6871</v>
          </cell>
          <cell r="AO14">
            <v>0</v>
          </cell>
          <cell r="AP14">
            <v>-1</v>
          </cell>
        </row>
        <row r="14">
          <cell r="AR14">
            <v>4498</v>
          </cell>
          <cell r="AS14" t="e">
            <v>#DIV/0!</v>
          </cell>
          <cell r="AT14">
            <v>6871</v>
          </cell>
          <cell r="AU14">
            <v>4498</v>
          </cell>
          <cell r="AV14">
            <v>-0.345364575753165</v>
          </cell>
          <cell r="AW14">
            <v>6599</v>
          </cell>
          <cell r="AX14">
            <v>13050</v>
          </cell>
          <cell r="AY14">
            <v>0.977572359448401</v>
          </cell>
          <cell r="AZ14">
            <v>13470</v>
          </cell>
          <cell r="BA14">
            <v>17548</v>
          </cell>
          <cell r="BB14">
            <v>0.302746844840386</v>
          </cell>
          <cell r="BC14">
            <v>16646</v>
          </cell>
        </row>
        <row r="14">
          <cell r="BE14">
            <v>-1</v>
          </cell>
          <cell r="BF14">
            <v>30116</v>
          </cell>
          <cell r="BG14">
            <v>17548</v>
          </cell>
          <cell r="BH14">
            <v>-0.417319697170939</v>
          </cell>
          <cell r="BI14">
            <v>8396</v>
          </cell>
        </row>
        <row r="15">
          <cell r="C15" t="str">
            <v>杭州金蝶零售</v>
          </cell>
          <cell r="D15" t="str">
            <v>零售</v>
          </cell>
          <cell r="E15" t="str">
            <v>零售</v>
          </cell>
          <cell r="F15" t="str">
            <v>杭州市区</v>
          </cell>
          <cell r="G15" t="str">
            <v>市区</v>
          </cell>
          <cell r="H15" t="str">
            <v>杭州零售</v>
          </cell>
        </row>
        <row r="15">
          <cell r="J15">
            <v>111956.28</v>
          </cell>
          <cell r="K15">
            <v>76873.34</v>
          </cell>
          <cell r="L15">
            <v>-0.313362859144659</v>
          </cell>
          <cell r="M15">
            <v>43919</v>
          </cell>
          <cell r="N15">
            <v>43284.9</v>
          </cell>
          <cell r="O15">
            <v>-0.014437942576106</v>
          </cell>
          <cell r="P15">
            <v>155875.28</v>
          </cell>
          <cell r="Q15">
            <v>120158.24</v>
          </cell>
          <cell r="R15">
            <v>-0.229138577970798</v>
          </cell>
          <cell r="S15">
            <v>80405.08</v>
          </cell>
          <cell r="T15">
            <v>119148.66</v>
          </cell>
          <cell r="U15">
            <v>0.481854877826127</v>
          </cell>
          <cell r="V15">
            <v>236280.36</v>
          </cell>
          <cell r="W15">
            <v>239306.9</v>
          </cell>
          <cell r="X15">
            <v>0.012809105251067</v>
          </cell>
          <cell r="Y15">
            <v>82108.64</v>
          </cell>
          <cell r="Z15">
            <v>310195.38</v>
          </cell>
          <cell r="AA15">
            <v>2.77786527702809</v>
          </cell>
          <cell r="AB15">
            <v>318389</v>
          </cell>
          <cell r="AC15">
            <v>549502.28</v>
          </cell>
          <cell r="AD15">
            <v>0.725883369086244</v>
          </cell>
          <cell r="AE15">
            <v>209042.8</v>
          </cell>
          <cell r="AF15">
            <v>36281.12</v>
          </cell>
          <cell r="AG15">
            <v>-0.826441666491264</v>
          </cell>
          <cell r="AH15">
            <v>527431.8</v>
          </cell>
          <cell r="AI15">
            <v>585783.4</v>
          </cell>
          <cell r="AJ15">
            <v>0.110633450618639</v>
          </cell>
          <cell r="AK15">
            <v>78620.76</v>
          </cell>
          <cell r="AL15">
            <v>30684.4</v>
          </cell>
          <cell r="AM15">
            <v>-0.609716314113473</v>
          </cell>
          <cell r="AN15">
            <v>606052.56</v>
          </cell>
          <cell r="AO15">
            <v>616467.8</v>
          </cell>
          <cell r="AP15">
            <v>0.0171853741530272</v>
          </cell>
          <cell r="AQ15">
            <v>153937.2</v>
          </cell>
          <cell r="AR15">
            <v>271358.5</v>
          </cell>
          <cell r="AS15">
            <v>0.762787032634087</v>
          </cell>
          <cell r="AT15">
            <v>759989.76</v>
          </cell>
          <cell r="AU15">
            <v>887826.3</v>
          </cell>
          <cell r="AV15">
            <v>0.168208240068919</v>
          </cell>
          <cell r="AW15">
            <v>172756.46</v>
          </cell>
          <cell r="AX15">
            <v>91767.56</v>
          </cell>
          <cell r="AY15">
            <v>-0.468803887275764</v>
          </cell>
          <cell r="AZ15">
            <v>932746.22</v>
          </cell>
          <cell r="BA15">
            <v>979593.86</v>
          </cell>
          <cell r="BB15">
            <v>0.0502254943472193</v>
          </cell>
          <cell r="BC15">
            <v>226467.5</v>
          </cell>
          <cell r="BD15">
            <v>93879.44</v>
          </cell>
          <cell r="BE15">
            <v>-0.585461754997958</v>
          </cell>
          <cell r="BF15">
            <v>1159213.72</v>
          </cell>
          <cell r="BG15">
            <v>1073473.3</v>
          </cell>
          <cell r="BH15">
            <v>-0.0739642902087114</v>
          </cell>
          <cell r="BI15">
            <v>216712.16</v>
          </cell>
          <cell r="BJ15">
            <v>330288.06</v>
          </cell>
        </row>
        <row r="16">
          <cell r="C16" t="str">
            <v>杭州金蝶零售（李燕霞）</v>
          </cell>
          <cell r="D16" t="str">
            <v>零售</v>
          </cell>
          <cell r="E16" t="str">
            <v>零售</v>
          </cell>
          <cell r="F16" t="str">
            <v>杭州市区</v>
          </cell>
          <cell r="G16" t="str">
            <v>市区</v>
          </cell>
          <cell r="H16" t="str">
            <v>李燕霞</v>
          </cell>
        </row>
        <row r="16">
          <cell r="L16" t="e">
            <v>#DIV/0!</v>
          </cell>
        </row>
        <row r="16">
          <cell r="N16">
            <v>6125</v>
          </cell>
          <cell r="O16" t="e">
            <v>#DIV/0!</v>
          </cell>
          <cell r="P16">
            <v>0</v>
          </cell>
          <cell r="Q16">
            <v>6125</v>
          </cell>
          <cell r="R16" t="e">
            <v>#DIV/0!</v>
          </cell>
        </row>
        <row r="16">
          <cell r="U16" t="e">
            <v>#DIV/0!</v>
          </cell>
          <cell r="V16">
            <v>0</v>
          </cell>
          <cell r="W16">
            <v>6125</v>
          </cell>
          <cell r="X16" t="e">
            <v>#DIV/0!</v>
          </cell>
        </row>
        <row r="16">
          <cell r="AA16" t="e">
            <v>#DIV/0!</v>
          </cell>
          <cell r="AB16">
            <v>0</v>
          </cell>
          <cell r="AC16">
            <v>6125</v>
          </cell>
          <cell r="AD16" t="e">
            <v>#DIV/0!</v>
          </cell>
          <cell r="AE16">
            <v>3636</v>
          </cell>
        </row>
        <row r="16">
          <cell r="AG16">
            <v>-1</v>
          </cell>
          <cell r="AH16">
            <v>3636</v>
          </cell>
          <cell r="AI16">
            <v>6125</v>
          </cell>
          <cell r="AJ16">
            <v>0.684543454345435</v>
          </cell>
          <cell r="AK16">
            <v>25759</v>
          </cell>
        </row>
        <row r="16">
          <cell r="AM16">
            <v>-1</v>
          </cell>
          <cell r="AN16">
            <v>29395</v>
          </cell>
          <cell r="AO16">
            <v>6125</v>
          </cell>
          <cell r="AP16">
            <v>-0.791631229800987</v>
          </cell>
        </row>
        <row r="16">
          <cell r="AS16" t="e">
            <v>#DIV/0!</v>
          </cell>
          <cell r="AT16">
            <v>29395</v>
          </cell>
          <cell r="AU16">
            <v>6125</v>
          </cell>
          <cell r="AV16">
            <v>-0.791631229800987</v>
          </cell>
          <cell r="AW16">
            <v>2400</v>
          </cell>
        </row>
        <row r="16">
          <cell r="AY16">
            <v>-1</v>
          </cell>
          <cell r="AZ16">
            <v>31795</v>
          </cell>
          <cell r="BA16">
            <v>6125</v>
          </cell>
          <cell r="BB16">
            <v>-0.807359647743356</v>
          </cell>
          <cell r="BC16">
            <v>29589</v>
          </cell>
        </row>
        <row r="16">
          <cell r="BE16">
            <v>-1</v>
          </cell>
          <cell r="BF16">
            <v>61384</v>
          </cell>
          <cell r="BG16">
            <v>6125</v>
          </cell>
          <cell r="BH16">
            <v>-0.900218297927799</v>
          </cell>
        </row>
        <row r="17">
          <cell r="C17" t="str">
            <v>萧山世纪龙建材专卖店</v>
          </cell>
          <cell r="D17" t="str">
            <v>直营</v>
          </cell>
          <cell r="E17" t="str">
            <v>直营</v>
          </cell>
          <cell r="F17" t="str">
            <v>萧山区</v>
          </cell>
          <cell r="G17" t="str">
            <v>萧山区</v>
          </cell>
          <cell r="H17" t="str">
            <v>专卖店</v>
          </cell>
        </row>
        <row r="17">
          <cell r="J17">
            <v>52801</v>
          </cell>
        </row>
        <row r="17">
          <cell r="L17">
            <v>-1</v>
          </cell>
        </row>
        <row r="17">
          <cell r="O17" t="e">
            <v>#DIV/0!</v>
          </cell>
          <cell r="P17">
            <v>52801</v>
          </cell>
          <cell r="Q17">
            <v>0</v>
          </cell>
          <cell r="R17">
            <v>-1</v>
          </cell>
        </row>
        <row r="17">
          <cell r="U17" t="e">
            <v>#DIV/0!</v>
          </cell>
          <cell r="V17">
            <v>52801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52801</v>
          </cell>
          <cell r="AC17">
            <v>0</v>
          </cell>
          <cell r="AD17">
            <v>-1</v>
          </cell>
        </row>
        <row r="17">
          <cell r="AG17" t="e">
            <v>#DIV/0!</v>
          </cell>
          <cell r="AH17">
            <v>52801</v>
          </cell>
          <cell r="AI17">
            <v>0</v>
          </cell>
          <cell r="AJ17">
            <v>-1</v>
          </cell>
        </row>
        <row r="17">
          <cell r="AM17" t="e">
            <v>#DIV/0!</v>
          </cell>
          <cell r="AN17">
            <v>52801</v>
          </cell>
          <cell r="AO17">
            <v>0</v>
          </cell>
          <cell r="AP17">
            <v>-1</v>
          </cell>
        </row>
        <row r="17">
          <cell r="AS17" t="e">
            <v>#DIV/0!</v>
          </cell>
          <cell r="AT17">
            <v>52801</v>
          </cell>
          <cell r="AU17">
            <v>0</v>
          </cell>
          <cell r="AV17">
            <v>-1</v>
          </cell>
        </row>
        <row r="17">
          <cell r="AY17" t="e">
            <v>#DIV/0!</v>
          </cell>
          <cell r="AZ17">
            <v>52801</v>
          </cell>
          <cell r="BA17">
            <v>0</v>
          </cell>
          <cell r="BB17">
            <v>-1</v>
          </cell>
        </row>
        <row r="17">
          <cell r="BE17" t="e">
            <v>#DIV/0!</v>
          </cell>
          <cell r="BF17">
            <v>52801</v>
          </cell>
          <cell r="BG17">
            <v>0</v>
          </cell>
          <cell r="BH17">
            <v>-1</v>
          </cell>
        </row>
        <row r="18">
          <cell r="C18" t="str">
            <v>（新）古墩新时代专卖店</v>
          </cell>
          <cell r="D18" t="str">
            <v>直营</v>
          </cell>
          <cell r="E18" t="str">
            <v>直营</v>
          </cell>
          <cell r="F18" t="str">
            <v>杭州市区</v>
          </cell>
          <cell r="G18" t="str">
            <v>西湖风景名胜区</v>
          </cell>
          <cell r="H18" t="str">
            <v>专卖店</v>
          </cell>
        </row>
        <row r="18">
          <cell r="J18">
            <v>-16596</v>
          </cell>
        </row>
        <row r="18">
          <cell r="L18">
            <v>-1</v>
          </cell>
        </row>
        <row r="18">
          <cell r="O18" t="e">
            <v>#DIV/0!</v>
          </cell>
          <cell r="P18">
            <v>-16596</v>
          </cell>
          <cell r="Q18">
            <v>0</v>
          </cell>
          <cell r="R18">
            <v>-1</v>
          </cell>
        </row>
        <row r="18">
          <cell r="U18" t="e">
            <v>#DIV/0!</v>
          </cell>
          <cell r="V18">
            <v>-16596</v>
          </cell>
          <cell r="W18">
            <v>0</v>
          </cell>
          <cell r="X18">
            <v>-1</v>
          </cell>
        </row>
        <row r="18">
          <cell r="AA18" t="e">
            <v>#DIV/0!</v>
          </cell>
          <cell r="AB18">
            <v>-16596</v>
          </cell>
          <cell r="AC18">
            <v>0</v>
          </cell>
          <cell r="AD18">
            <v>-1</v>
          </cell>
        </row>
        <row r="18">
          <cell r="AG18" t="e">
            <v>#DIV/0!</v>
          </cell>
          <cell r="AH18">
            <v>-16596</v>
          </cell>
          <cell r="AI18">
            <v>0</v>
          </cell>
          <cell r="AJ18">
            <v>-1</v>
          </cell>
        </row>
        <row r="18">
          <cell r="AM18" t="e">
            <v>#DIV/0!</v>
          </cell>
          <cell r="AN18">
            <v>-16596</v>
          </cell>
          <cell r="AO18">
            <v>0</v>
          </cell>
          <cell r="AP18">
            <v>-1</v>
          </cell>
          <cell r="AQ18">
            <v>500</v>
          </cell>
        </row>
        <row r="18">
          <cell r="AS18">
            <v>-1</v>
          </cell>
          <cell r="AT18">
            <v>-16096</v>
          </cell>
          <cell r="AU18">
            <v>0</v>
          </cell>
          <cell r="AV18">
            <v>-1</v>
          </cell>
        </row>
        <row r="18">
          <cell r="AY18" t="e">
            <v>#DIV/0!</v>
          </cell>
          <cell r="AZ18">
            <v>-16096</v>
          </cell>
          <cell r="BA18">
            <v>0</v>
          </cell>
          <cell r="BB18">
            <v>-1</v>
          </cell>
        </row>
        <row r="18">
          <cell r="BE18" t="e">
            <v>#DIV/0!</v>
          </cell>
          <cell r="BF18">
            <v>-16096</v>
          </cell>
          <cell r="BG18">
            <v>0</v>
          </cell>
          <cell r="BH18">
            <v>-1</v>
          </cell>
        </row>
        <row r="19">
          <cell r="C19" t="str">
            <v>（新）宏丰专卖店</v>
          </cell>
          <cell r="D19" t="str">
            <v>直营</v>
          </cell>
          <cell r="E19" t="str">
            <v>直营</v>
          </cell>
          <cell r="F19" t="str">
            <v>杭州市区</v>
          </cell>
          <cell r="G19" t="str">
            <v>市区</v>
          </cell>
          <cell r="H19" t="str">
            <v>专卖店</v>
          </cell>
        </row>
        <row r="19">
          <cell r="L19" t="e">
            <v>#DIV/0!</v>
          </cell>
          <cell r="M19">
            <v>-3358</v>
          </cell>
        </row>
        <row r="19">
          <cell r="O19">
            <v>-1</v>
          </cell>
          <cell r="P19">
            <v>-3358</v>
          </cell>
          <cell r="Q19">
            <v>0</v>
          </cell>
          <cell r="R19">
            <v>-1</v>
          </cell>
        </row>
        <row r="19">
          <cell r="U19" t="e">
            <v>#DIV/0!</v>
          </cell>
          <cell r="V19">
            <v>-3358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-3358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-3358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-3358</v>
          </cell>
          <cell r="AO19">
            <v>0</v>
          </cell>
          <cell r="AP19">
            <v>-1</v>
          </cell>
        </row>
        <row r="19">
          <cell r="AS19" t="e">
            <v>#DIV/0!</v>
          </cell>
          <cell r="AT19">
            <v>-3358</v>
          </cell>
          <cell r="AU19">
            <v>0</v>
          </cell>
          <cell r="AV19">
            <v>-1</v>
          </cell>
        </row>
        <row r="19">
          <cell r="AY19" t="e">
            <v>#DIV/0!</v>
          </cell>
          <cell r="AZ19">
            <v>-3358</v>
          </cell>
          <cell r="BA19">
            <v>0</v>
          </cell>
          <cell r="BB19">
            <v>-1</v>
          </cell>
        </row>
        <row r="19">
          <cell r="BE19" t="e">
            <v>#DIV/0!</v>
          </cell>
          <cell r="BF19">
            <v>-3358</v>
          </cell>
          <cell r="BG19">
            <v>0</v>
          </cell>
          <cell r="BH19">
            <v>-1</v>
          </cell>
        </row>
        <row r="20">
          <cell r="C20" t="str">
            <v>杭州月星家居超级旗舰店</v>
          </cell>
          <cell r="D20" t="str">
            <v>直营</v>
          </cell>
          <cell r="E20" t="str">
            <v>直营</v>
          </cell>
          <cell r="F20" t="str">
            <v>杭州市区</v>
          </cell>
          <cell r="G20" t="str">
            <v>拱墅区</v>
          </cell>
          <cell r="H20" t="str">
            <v>专卖店</v>
          </cell>
        </row>
        <row r="20">
          <cell r="L20" t="e">
            <v>#DIV/0!</v>
          </cell>
        </row>
        <row r="20">
          <cell r="O20" t="e">
            <v>#DIV/0!</v>
          </cell>
          <cell r="P20">
            <v>0</v>
          </cell>
          <cell r="Q20">
            <v>0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0</v>
          </cell>
          <cell r="X20" t="e">
            <v>#DIV/0!</v>
          </cell>
        </row>
        <row r="20">
          <cell r="AA20" t="e">
            <v>#DIV/0!</v>
          </cell>
          <cell r="AB20">
            <v>0</v>
          </cell>
          <cell r="AC20">
            <v>0</v>
          </cell>
          <cell r="AD20" t="e">
            <v>#DIV/0!</v>
          </cell>
        </row>
        <row r="20">
          <cell r="AG20" t="e">
            <v>#DIV/0!</v>
          </cell>
          <cell r="AH20">
            <v>0</v>
          </cell>
          <cell r="AI20">
            <v>0</v>
          </cell>
          <cell r="AJ20" t="e">
            <v>#DIV/0!</v>
          </cell>
        </row>
        <row r="20">
          <cell r="AM20" t="e">
            <v>#DIV/0!</v>
          </cell>
          <cell r="AN20">
            <v>0</v>
          </cell>
          <cell r="AO20">
            <v>0</v>
          </cell>
          <cell r="AP20" t="e">
            <v>#DIV/0!</v>
          </cell>
        </row>
        <row r="20">
          <cell r="AS20" t="e">
            <v>#DIV/0!</v>
          </cell>
          <cell r="AT20">
            <v>0</v>
          </cell>
          <cell r="AU20">
            <v>0</v>
          </cell>
          <cell r="AV20" t="e">
            <v>#DIV/0!</v>
          </cell>
        </row>
        <row r="20">
          <cell r="AY20" t="e">
            <v>#DIV/0!</v>
          </cell>
          <cell r="AZ20">
            <v>0</v>
          </cell>
          <cell r="BA20">
            <v>0</v>
          </cell>
          <cell r="BB20" t="e">
            <v>#DIV/0!</v>
          </cell>
        </row>
        <row r="20">
          <cell r="BE20" t="e">
            <v>#DIV/0!</v>
          </cell>
          <cell r="BF20">
            <v>0</v>
          </cell>
          <cell r="BG20">
            <v>0</v>
          </cell>
          <cell r="BH20" t="e">
            <v>#DIV/0!</v>
          </cell>
        </row>
        <row r="21">
          <cell r="C21" t="str">
            <v>杭州恒大建材超级旗舰店</v>
          </cell>
          <cell r="D21" t="str">
            <v>直营</v>
          </cell>
          <cell r="E21" t="str">
            <v>直营</v>
          </cell>
          <cell r="F21" t="str">
            <v>杭州市区</v>
          </cell>
          <cell r="G21" t="str">
            <v>钱塘区</v>
          </cell>
          <cell r="H21" t="str">
            <v>专卖店</v>
          </cell>
          <cell r="I21">
            <v>230</v>
          </cell>
          <cell r="J21">
            <v>164507</v>
          </cell>
          <cell r="K21">
            <v>108230.5</v>
          </cell>
          <cell r="L21">
            <v>-0.34209182587975</v>
          </cell>
          <cell r="M21">
            <v>107411</v>
          </cell>
          <cell r="N21">
            <v>59256.4</v>
          </cell>
          <cell r="O21">
            <v>-0.448320935472158</v>
          </cell>
          <cell r="P21">
            <v>271918</v>
          </cell>
          <cell r="Q21">
            <v>167486.9</v>
          </cell>
          <cell r="R21">
            <v>-0.384053648526394</v>
          </cell>
          <cell r="S21">
            <v>318901</v>
          </cell>
          <cell r="T21">
            <v>109309.1</v>
          </cell>
          <cell r="U21">
            <v>-0.65723186819734</v>
          </cell>
          <cell r="V21">
            <v>590819</v>
          </cell>
          <cell r="W21">
            <v>276796</v>
          </cell>
          <cell r="X21">
            <v>-0.531504572466356</v>
          </cell>
          <cell r="Y21">
            <v>286782</v>
          </cell>
          <cell r="Z21">
            <v>130231</v>
          </cell>
          <cell r="AA21">
            <v>-0.545888514620862</v>
          </cell>
          <cell r="AB21">
            <v>877601</v>
          </cell>
          <cell r="AC21">
            <v>407027</v>
          </cell>
          <cell r="AD21">
            <v>-0.536204949629729</v>
          </cell>
          <cell r="AE21">
            <v>277032</v>
          </cell>
          <cell r="AF21">
            <v>123067.1</v>
          </cell>
          <cell r="AG21">
            <v>-0.555765759912212</v>
          </cell>
          <cell r="AH21">
            <v>1154633</v>
          </cell>
          <cell r="AI21">
            <v>530094.1</v>
          </cell>
          <cell r="AJ21">
            <v>-0.540898190160856</v>
          </cell>
          <cell r="AK21">
            <v>219679</v>
          </cell>
          <cell r="AL21">
            <v>158341.8</v>
          </cell>
          <cell r="AM21">
            <v>-0.279212851478749</v>
          </cell>
          <cell r="AN21">
            <v>1374312</v>
          </cell>
          <cell r="AO21">
            <v>688435.9</v>
          </cell>
          <cell r="AP21">
            <v>-0.499068697646532</v>
          </cell>
          <cell r="AQ21">
            <v>159081</v>
          </cell>
          <cell r="AR21">
            <v>49102</v>
          </cell>
          <cell r="AS21">
            <v>-0.691339632011365</v>
          </cell>
          <cell r="AT21">
            <v>1533393</v>
          </cell>
          <cell r="AU21">
            <v>737537.9</v>
          </cell>
          <cell r="AV21">
            <v>-0.519015738300618</v>
          </cell>
          <cell r="AW21">
            <v>201109</v>
          </cell>
          <cell r="AX21">
            <v>28429</v>
          </cell>
          <cell r="AY21">
            <v>-0.858638847590113</v>
          </cell>
          <cell r="AZ21">
            <v>1734502</v>
          </cell>
          <cell r="BA21">
            <v>765966.9</v>
          </cell>
          <cell r="BB21">
            <v>-0.558393763743138</v>
          </cell>
          <cell r="BC21">
            <v>242762.6</v>
          </cell>
          <cell r="BD21">
            <v>54601</v>
          </cell>
          <cell r="BE21">
            <v>-0.775084794774813</v>
          </cell>
          <cell r="BF21">
            <v>1977264.6</v>
          </cell>
          <cell r="BG21">
            <v>820567.9</v>
          </cell>
          <cell r="BH21">
            <v>-0.584998436729207</v>
          </cell>
          <cell r="BI21">
            <v>349831.4</v>
          </cell>
          <cell r="BJ21">
            <v>65384</v>
          </cell>
        </row>
        <row r="22">
          <cell r="C22" t="str">
            <v>二轻爱威专卖店</v>
          </cell>
          <cell r="D22" t="str">
            <v>加盟</v>
          </cell>
          <cell r="E22" t="str">
            <v>加盟</v>
          </cell>
          <cell r="F22" t="str">
            <v>杭州市区</v>
          </cell>
          <cell r="G22" t="str">
            <v>拱墅区</v>
          </cell>
          <cell r="H22" t="str">
            <v>专卖店</v>
          </cell>
        </row>
        <row r="22">
          <cell r="J22">
            <v>78855</v>
          </cell>
          <cell r="K22">
            <v>24931</v>
          </cell>
          <cell r="L22">
            <v>-0.683837423118382</v>
          </cell>
          <cell r="M22">
            <v>39609</v>
          </cell>
          <cell r="N22">
            <v>30583</v>
          </cell>
          <cell r="O22">
            <v>-0.227877502587796</v>
          </cell>
          <cell r="P22">
            <v>118464</v>
          </cell>
          <cell r="Q22">
            <v>55514</v>
          </cell>
          <cell r="R22">
            <v>-0.531385062128579</v>
          </cell>
          <cell r="S22">
            <v>40486</v>
          </cell>
          <cell r="T22">
            <v>10700</v>
          </cell>
          <cell r="U22">
            <v>-0.735711110013338</v>
          </cell>
          <cell r="V22">
            <v>158950</v>
          </cell>
          <cell r="W22">
            <v>66214</v>
          </cell>
          <cell r="X22">
            <v>-0.583428751179616</v>
          </cell>
          <cell r="Y22">
            <v>45990</v>
          </cell>
        </row>
        <row r="22">
          <cell r="AA22">
            <v>-1</v>
          </cell>
          <cell r="AB22">
            <v>204940</v>
          </cell>
          <cell r="AC22">
            <v>66214</v>
          </cell>
          <cell r="AD22">
            <v>-0.676910315214209</v>
          </cell>
          <cell r="AE22">
            <v>26265</v>
          </cell>
          <cell r="AF22">
            <v>-3281.96</v>
          </cell>
          <cell r="AG22">
            <v>-1.12495564439368</v>
          </cell>
          <cell r="AH22">
            <v>231205</v>
          </cell>
          <cell r="AI22">
            <v>62932.04</v>
          </cell>
          <cell r="AJ22">
            <v>-0.727808481650483</v>
          </cell>
          <cell r="AK22">
            <v>67133</v>
          </cell>
        </row>
        <row r="22">
          <cell r="AM22">
            <v>-1</v>
          </cell>
          <cell r="AN22">
            <v>298338</v>
          </cell>
          <cell r="AO22">
            <v>62932.04</v>
          </cell>
          <cell r="AP22">
            <v>-0.789057914177879</v>
          </cell>
          <cell r="AQ22">
            <v>58226</v>
          </cell>
        </row>
        <row r="22">
          <cell r="AS22">
            <v>-1</v>
          </cell>
          <cell r="AT22">
            <v>356564</v>
          </cell>
          <cell r="AU22">
            <v>62932.04</v>
          </cell>
          <cell r="AV22">
            <v>-0.823504223645685</v>
          </cell>
          <cell r="AW22">
            <v>24848</v>
          </cell>
        </row>
        <row r="22">
          <cell r="AY22">
            <v>-1</v>
          </cell>
          <cell r="AZ22">
            <v>381412</v>
          </cell>
          <cell r="BA22">
            <v>62932.04</v>
          </cell>
          <cell r="BB22">
            <v>-0.835002464526549</v>
          </cell>
          <cell r="BC22">
            <v>34493</v>
          </cell>
        </row>
        <row r="22">
          <cell r="BE22">
            <v>-1</v>
          </cell>
          <cell r="BF22">
            <v>415905</v>
          </cell>
          <cell r="BG22">
            <v>62932.04</v>
          </cell>
          <cell r="BH22">
            <v>-0.848686502927351</v>
          </cell>
          <cell r="BI22">
            <v>20231</v>
          </cell>
        </row>
        <row r="23">
          <cell r="C23" t="str">
            <v>（新）滨江第六空间专卖店</v>
          </cell>
          <cell r="D23" t="str">
            <v>直营</v>
          </cell>
          <cell r="E23" t="str">
            <v>直营</v>
          </cell>
          <cell r="F23" t="str">
            <v>杭州市区</v>
          </cell>
          <cell r="G23" t="str">
            <v>滨江区</v>
          </cell>
          <cell r="H23" t="str">
            <v>专卖店</v>
          </cell>
          <cell r="I23">
            <v>280</v>
          </cell>
          <cell r="J23">
            <v>155330</v>
          </cell>
          <cell r="K23">
            <v>156262</v>
          </cell>
          <cell r="L23">
            <v>0.00600012875812794</v>
          </cell>
          <cell r="M23">
            <v>84728</v>
          </cell>
          <cell r="N23">
            <v>143497</v>
          </cell>
          <cell r="O23">
            <v>0.693619582664526</v>
          </cell>
          <cell r="P23">
            <v>240058</v>
          </cell>
          <cell r="Q23">
            <v>299759</v>
          </cell>
          <cell r="R23">
            <v>0.248694065600813</v>
          </cell>
          <cell r="S23">
            <v>296842</v>
          </cell>
          <cell r="T23">
            <v>199854.6</v>
          </cell>
          <cell r="U23">
            <v>-0.326730718698836</v>
          </cell>
          <cell r="V23">
            <v>536900</v>
          </cell>
          <cell r="W23">
            <v>499613.6</v>
          </cell>
          <cell r="X23">
            <v>-0.0694475693797728</v>
          </cell>
          <cell r="Y23">
            <v>180500</v>
          </cell>
          <cell r="Z23">
            <v>131199.7</v>
          </cell>
          <cell r="AA23">
            <v>-0.273131855955679</v>
          </cell>
          <cell r="AB23">
            <v>717400</v>
          </cell>
          <cell r="AC23">
            <v>630813.3</v>
          </cell>
          <cell r="AD23">
            <v>-0.120695149149707</v>
          </cell>
          <cell r="AE23">
            <v>190972</v>
          </cell>
          <cell r="AF23">
            <v>160705</v>
          </cell>
          <cell r="AG23">
            <v>-0.158489202605618</v>
          </cell>
          <cell r="AH23">
            <v>908372</v>
          </cell>
          <cell r="AI23">
            <v>791518.3</v>
          </cell>
          <cell r="AJ23">
            <v>-0.128640799143963</v>
          </cell>
          <cell r="AK23">
            <v>207825</v>
          </cell>
          <cell r="AL23">
            <v>164883</v>
          </cell>
          <cell r="AM23">
            <v>-0.206625766871166</v>
          </cell>
          <cell r="AN23">
            <v>1116197</v>
          </cell>
          <cell r="AO23">
            <v>956401.3</v>
          </cell>
          <cell r="AP23">
            <v>-0.143160839887583</v>
          </cell>
          <cell r="AQ23">
            <v>114990</v>
          </cell>
          <cell r="AR23">
            <v>50432</v>
          </cell>
          <cell r="AS23">
            <v>-0.561422732411514</v>
          </cell>
          <cell r="AT23">
            <v>1231187</v>
          </cell>
          <cell r="AU23">
            <v>1006833.3</v>
          </cell>
          <cell r="AV23">
            <v>-0.182225527072654</v>
          </cell>
          <cell r="AW23">
            <v>62417</v>
          </cell>
          <cell r="AX23">
            <v>52672</v>
          </cell>
          <cell r="AY23">
            <v>-0.156127337103674</v>
          </cell>
          <cell r="AZ23">
            <v>1293604</v>
          </cell>
          <cell r="BA23">
            <v>1059505.3</v>
          </cell>
          <cell r="BB23">
            <v>-0.180966277160553</v>
          </cell>
          <cell r="BC23">
            <v>213083</v>
          </cell>
          <cell r="BD23">
            <v>98642</v>
          </cell>
          <cell r="BE23">
            <v>-0.537072408404237</v>
          </cell>
          <cell r="BF23">
            <v>1506687</v>
          </cell>
          <cell r="BG23">
            <v>1158147.3</v>
          </cell>
          <cell r="BH23">
            <v>-0.231328537380358</v>
          </cell>
          <cell r="BI23">
            <v>304051.4</v>
          </cell>
          <cell r="BJ23">
            <v>85329</v>
          </cell>
        </row>
        <row r="24">
          <cell r="C24" t="str">
            <v>杭州日新人工环境工程有限公司</v>
          </cell>
          <cell r="D24" t="str">
            <v>暖通</v>
          </cell>
          <cell r="E24" t="str">
            <v>暖通</v>
          </cell>
          <cell r="F24" t="str">
            <v>杭州市区</v>
          </cell>
          <cell r="G24" t="str">
            <v>西湖风景名胜区</v>
          </cell>
          <cell r="H24" t="str">
            <v>陈雪君</v>
          </cell>
        </row>
        <row r="24"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0</v>
          </cell>
          <cell r="R24" t="e">
            <v>#DIV/0!</v>
          </cell>
          <cell r="S24">
            <v>790</v>
          </cell>
        </row>
        <row r="24">
          <cell r="U24">
            <v>-1</v>
          </cell>
          <cell r="V24">
            <v>790</v>
          </cell>
          <cell r="W24">
            <v>0</v>
          </cell>
          <cell r="X24">
            <v>-1</v>
          </cell>
        </row>
        <row r="24">
          <cell r="AA24" t="e">
            <v>#DIV/0!</v>
          </cell>
          <cell r="AB24">
            <v>790</v>
          </cell>
          <cell r="AC24">
            <v>0</v>
          </cell>
          <cell r="AD24">
            <v>-1</v>
          </cell>
        </row>
        <row r="24">
          <cell r="AG24" t="e">
            <v>#DIV/0!</v>
          </cell>
          <cell r="AH24">
            <v>790</v>
          </cell>
          <cell r="AI24">
            <v>0</v>
          </cell>
          <cell r="AJ24">
            <v>-1</v>
          </cell>
        </row>
        <row r="24">
          <cell r="AM24" t="e">
            <v>#DIV/0!</v>
          </cell>
          <cell r="AN24">
            <v>790</v>
          </cell>
          <cell r="AO24">
            <v>0</v>
          </cell>
          <cell r="AP24">
            <v>-1</v>
          </cell>
        </row>
        <row r="24">
          <cell r="AS24" t="e">
            <v>#DIV/0!</v>
          </cell>
          <cell r="AT24">
            <v>790</v>
          </cell>
          <cell r="AU24">
            <v>0</v>
          </cell>
          <cell r="AV24">
            <v>-1</v>
          </cell>
        </row>
        <row r="24">
          <cell r="AY24" t="e">
            <v>#DIV/0!</v>
          </cell>
          <cell r="AZ24">
            <v>790</v>
          </cell>
          <cell r="BA24">
            <v>0</v>
          </cell>
          <cell r="BB24">
            <v>-1</v>
          </cell>
        </row>
        <row r="24">
          <cell r="BE24" t="e">
            <v>#DIV/0!</v>
          </cell>
          <cell r="BF24">
            <v>790</v>
          </cell>
          <cell r="BG24">
            <v>0</v>
          </cell>
          <cell r="BH24">
            <v>-1</v>
          </cell>
        </row>
        <row r="25">
          <cell r="C25" t="str">
            <v>杭州汇意商贸有限公司</v>
          </cell>
          <cell r="D25" t="str">
            <v>暖通</v>
          </cell>
          <cell r="E25" t="str">
            <v>暖通</v>
          </cell>
          <cell r="F25" t="str">
            <v>杭州市区</v>
          </cell>
          <cell r="G25" t="str">
            <v>拱墅区</v>
          </cell>
          <cell r="H25" t="str">
            <v>陈雪君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5">
          <cell r="AM25" t="e">
            <v>#DIV/0!</v>
          </cell>
          <cell r="AN25">
            <v>0</v>
          </cell>
          <cell r="AO25">
            <v>0</v>
          </cell>
          <cell r="AP25" t="e">
            <v>#DIV/0!</v>
          </cell>
        </row>
        <row r="25">
          <cell r="AS25" t="e">
            <v>#DIV/0!</v>
          </cell>
          <cell r="AT25">
            <v>0</v>
          </cell>
          <cell r="AU25">
            <v>0</v>
          </cell>
          <cell r="AV25" t="e">
            <v>#DIV/0!</v>
          </cell>
        </row>
        <row r="25">
          <cell r="AY25" t="e">
            <v>#DIV/0!</v>
          </cell>
          <cell r="AZ25">
            <v>0</v>
          </cell>
          <cell r="BA25">
            <v>0</v>
          </cell>
          <cell r="BB25" t="e">
            <v>#DIV/0!</v>
          </cell>
        </row>
        <row r="25">
          <cell r="BE25" t="e">
            <v>#DIV/0!</v>
          </cell>
          <cell r="BF25">
            <v>0</v>
          </cell>
          <cell r="BG25">
            <v>0</v>
          </cell>
          <cell r="BH25" t="e">
            <v>#DIV/0!</v>
          </cell>
          <cell r="BI25">
            <v>12039</v>
          </cell>
        </row>
        <row r="26">
          <cell r="C26" t="str">
            <v>浙江初韵供应链管理有限公司</v>
          </cell>
          <cell r="D26" t="str">
            <v>经销</v>
          </cell>
          <cell r="E26" t="str">
            <v>经销</v>
          </cell>
          <cell r="F26" t="str">
            <v>杭州市区</v>
          </cell>
          <cell r="G26" t="str">
            <v>上城区</v>
          </cell>
          <cell r="H26" t="str">
            <v>董培培</v>
          </cell>
          <cell r="I26">
            <v>24</v>
          </cell>
          <cell r="J26">
            <v>20000</v>
          </cell>
          <cell r="K26">
            <v>10000</v>
          </cell>
          <cell r="L26">
            <v>-0.5</v>
          </cell>
        </row>
        <row r="26">
          <cell r="O26" t="e">
            <v>#DIV/0!</v>
          </cell>
          <cell r="P26">
            <v>20000</v>
          </cell>
          <cell r="Q26">
            <v>10000</v>
          </cell>
          <cell r="R26">
            <v>-0.5</v>
          </cell>
          <cell r="S26">
            <v>40000</v>
          </cell>
          <cell r="T26">
            <v>24752.5</v>
          </cell>
          <cell r="U26">
            <v>-0.3811875</v>
          </cell>
          <cell r="V26">
            <v>60000</v>
          </cell>
          <cell r="W26">
            <v>34752.5</v>
          </cell>
          <cell r="X26">
            <v>-0.420791666666667</v>
          </cell>
          <cell r="Y26">
            <v>30000</v>
          </cell>
        </row>
        <row r="26">
          <cell r="AA26">
            <v>-1</v>
          </cell>
          <cell r="AB26">
            <v>90000</v>
          </cell>
          <cell r="AC26">
            <v>34752.5</v>
          </cell>
          <cell r="AD26">
            <v>-0.613861111111111</v>
          </cell>
          <cell r="AE26">
            <v>40100</v>
          </cell>
        </row>
        <row r="26">
          <cell r="AG26">
            <v>-1</v>
          </cell>
          <cell r="AH26">
            <v>130100</v>
          </cell>
          <cell r="AI26">
            <v>34752.5</v>
          </cell>
          <cell r="AJ26">
            <v>-0.732878554957725</v>
          </cell>
        </row>
        <row r="26">
          <cell r="AM26" t="e">
            <v>#DIV/0!</v>
          </cell>
          <cell r="AN26">
            <v>130100</v>
          </cell>
          <cell r="AO26">
            <v>34752.5</v>
          </cell>
          <cell r="AP26">
            <v>-0.732878554957725</v>
          </cell>
          <cell r="AQ26">
            <v>20000</v>
          </cell>
        </row>
        <row r="26">
          <cell r="AS26">
            <v>-1</v>
          </cell>
          <cell r="AT26">
            <v>150100</v>
          </cell>
          <cell r="AU26">
            <v>34752.5</v>
          </cell>
          <cell r="AV26">
            <v>-0.768471019320453</v>
          </cell>
          <cell r="AW26">
            <v>20000</v>
          </cell>
        </row>
        <row r="26">
          <cell r="AY26">
            <v>-1</v>
          </cell>
          <cell r="AZ26">
            <v>170100</v>
          </cell>
          <cell r="BA26">
            <v>34752.5</v>
          </cell>
          <cell r="BB26">
            <v>-0.795693709582598</v>
          </cell>
        </row>
        <row r="26">
          <cell r="BD26">
            <v>20000</v>
          </cell>
          <cell r="BE26" t="e">
            <v>#DIV/0!</v>
          </cell>
          <cell r="BF26">
            <v>170100</v>
          </cell>
          <cell r="BG26">
            <v>54752.5</v>
          </cell>
          <cell r="BH26">
            <v>-0.678115814226925</v>
          </cell>
          <cell r="BI26">
            <v>11428</v>
          </cell>
        </row>
        <row r="27">
          <cell r="C27" t="str">
            <v>杭州红星美凯龙一号店</v>
          </cell>
          <cell r="D27" t="str">
            <v>直营</v>
          </cell>
          <cell r="E27" t="str">
            <v>直营</v>
          </cell>
          <cell r="F27" t="str">
            <v>杭州市区</v>
          </cell>
          <cell r="G27" t="str">
            <v>西湖风景名胜区</v>
          </cell>
          <cell r="H27" t="str">
            <v>专卖店</v>
          </cell>
          <cell r="I27">
            <v>400</v>
          </cell>
          <cell r="J27">
            <v>304654</v>
          </cell>
          <cell r="K27">
            <v>248878.5</v>
          </cell>
          <cell r="L27">
            <v>-0.183078180493281</v>
          </cell>
          <cell r="M27">
            <v>67549</v>
          </cell>
          <cell r="N27">
            <v>359062</v>
          </cell>
          <cell r="O27">
            <v>4.31557832092259</v>
          </cell>
          <cell r="P27">
            <v>372203</v>
          </cell>
          <cell r="Q27">
            <v>607940.5</v>
          </cell>
          <cell r="R27">
            <v>0.6333573345728</v>
          </cell>
          <cell r="S27">
            <v>191851</v>
          </cell>
          <cell r="T27">
            <v>586860</v>
          </cell>
          <cell r="U27">
            <v>2.05893636207265</v>
          </cell>
          <cell r="V27">
            <v>564054</v>
          </cell>
          <cell r="W27">
            <v>1194800.5</v>
          </cell>
          <cell r="X27">
            <v>1.11823779283544</v>
          </cell>
          <cell r="Y27">
            <v>73138</v>
          </cell>
          <cell r="Z27">
            <v>381502</v>
          </cell>
          <cell r="AA27">
            <v>4.21619404413574</v>
          </cell>
          <cell r="AB27">
            <v>637192</v>
          </cell>
          <cell r="AC27">
            <v>1576302.5</v>
          </cell>
          <cell r="AD27">
            <v>1.47382657032731</v>
          </cell>
          <cell r="AE27">
            <v>208668</v>
          </cell>
          <cell r="AF27">
            <v>418566</v>
          </cell>
          <cell r="AG27">
            <v>1.00589453102536</v>
          </cell>
          <cell r="AH27">
            <v>845860</v>
          </cell>
          <cell r="AI27">
            <v>1994868.5</v>
          </cell>
          <cell r="AJ27">
            <v>1.35839086846523</v>
          </cell>
          <cell r="AK27">
            <v>296204</v>
          </cell>
          <cell r="AL27">
            <v>579201</v>
          </cell>
          <cell r="AM27">
            <v>0.955412485989386</v>
          </cell>
          <cell r="AN27">
            <v>1142064</v>
          </cell>
          <cell r="AO27">
            <v>2574069.5</v>
          </cell>
          <cell r="AP27">
            <v>1.25387500175122</v>
          </cell>
          <cell r="AQ27">
            <v>217892</v>
          </cell>
          <cell r="AR27">
            <v>250281</v>
          </cell>
          <cell r="AS27">
            <v>0.148647036146348</v>
          </cell>
          <cell r="AT27">
            <v>1359956</v>
          </cell>
          <cell r="AU27">
            <v>2824350.5</v>
          </cell>
          <cell r="AV27">
            <v>1.07679549926615</v>
          </cell>
          <cell r="AW27">
            <v>307848</v>
          </cell>
          <cell r="AX27">
            <v>403353</v>
          </cell>
          <cell r="AY27">
            <v>0.310234271458642</v>
          </cell>
          <cell r="AZ27">
            <v>1667804</v>
          </cell>
          <cell r="BA27">
            <v>3227703.5</v>
          </cell>
          <cell r="BB27">
            <v>0.935301450290322</v>
          </cell>
          <cell r="BC27">
            <v>427373</v>
          </cell>
          <cell r="BD27">
            <v>322595</v>
          </cell>
          <cell r="BE27">
            <v>-0.245167570248939</v>
          </cell>
          <cell r="BF27">
            <v>2095177</v>
          </cell>
          <cell r="BG27">
            <v>3550298.5</v>
          </cell>
          <cell r="BH27">
            <v>0.694510058100103</v>
          </cell>
          <cell r="BI27">
            <v>677990.8</v>
          </cell>
          <cell r="BJ27">
            <v>300290.75</v>
          </cell>
        </row>
        <row r="28">
          <cell r="C28" t="str">
            <v>杭州德业电器有限公司</v>
          </cell>
          <cell r="D28" t="str">
            <v>经销</v>
          </cell>
          <cell r="E28" t="str">
            <v>经销</v>
          </cell>
          <cell r="F28" t="str">
            <v>杭州市区</v>
          </cell>
          <cell r="G28" t="str">
            <v>上城区</v>
          </cell>
          <cell r="H28" t="str">
            <v>吴海林</v>
          </cell>
          <cell r="I28">
            <v>0</v>
          </cell>
          <cell r="J28">
            <v>4124</v>
          </cell>
        </row>
        <row r="28">
          <cell r="L28">
            <v>-1</v>
          </cell>
        </row>
        <row r="28">
          <cell r="O28" t="e">
            <v>#DIV/0!</v>
          </cell>
          <cell r="P28">
            <v>4124</v>
          </cell>
          <cell r="Q28">
            <v>0</v>
          </cell>
          <cell r="R28">
            <v>-1</v>
          </cell>
          <cell r="S28">
            <v>4124</v>
          </cell>
        </row>
        <row r="28">
          <cell r="U28">
            <v>-1</v>
          </cell>
          <cell r="V28">
            <v>8248</v>
          </cell>
          <cell r="W28">
            <v>0</v>
          </cell>
          <cell r="X28">
            <v>-1</v>
          </cell>
        </row>
        <row r="28">
          <cell r="AA28" t="e">
            <v>#DIV/0!</v>
          </cell>
          <cell r="AB28">
            <v>8248</v>
          </cell>
          <cell r="AC28">
            <v>0</v>
          </cell>
          <cell r="AD28">
            <v>-1</v>
          </cell>
        </row>
        <row r="28">
          <cell r="AG28" t="e">
            <v>#DIV/0!</v>
          </cell>
          <cell r="AH28">
            <v>8248</v>
          </cell>
          <cell r="AI28">
            <v>0</v>
          </cell>
          <cell r="AJ28">
            <v>-1</v>
          </cell>
        </row>
        <row r="28">
          <cell r="AM28" t="e">
            <v>#DIV/0!</v>
          </cell>
          <cell r="AN28">
            <v>8248</v>
          </cell>
          <cell r="AO28">
            <v>0</v>
          </cell>
          <cell r="AP28">
            <v>-1</v>
          </cell>
        </row>
        <row r="28">
          <cell r="AS28" t="e">
            <v>#DIV/0!</v>
          </cell>
          <cell r="AT28">
            <v>8248</v>
          </cell>
          <cell r="AU28">
            <v>0</v>
          </cell>
          <cell r="AV28">
            <v>-1</v>
          </cell>
        </row>
        <row r="28">
          <cell r="AY28" t="e">
            <v>#DIV/0!</v>
          </cell>
          <cell r="AZ28">
            <v>8248</v>
          </cell>
          <cell r="BA28">
            <v>0</v>
          </cell>
          <cell r="BB28">
            <v>-1</v>
          </cell>
        </row>
        <row r="28">
          <cell r="BE28" t="e">
            <v>#DIV/0!</v>
          </cell>
          <cell r="BF28">
            <v>8248</v>
          </cell>
          <cell r="BG28">
            <v>0</v>
          </cell>
          <cell r="BH28">
            <v>-1</v>
          </cell>
        </row>
        <row r="29">
          <cell r="C29" t="str">
            <v>杭州市余杭区临平街道泽晨材料商行</v>
          </cell>
          <cell r="D29" t="str">
            <v>经销</v>
          </cell>
          <cell r="E29" t="str">
            <v>经销</v>
          </cell>
          <cell r="F29" t="str">
            <v>临平区</v>
          </cell>
          <cell r="G29" t="str">
            <v>临平区</v>
          </cell>
          <cell r="H29" t="str">
            <v>吴海林</v>
          </cell>
        </row>
        <row r="29">
          <cell r="J29">
            <v>10000</v>
          </cell>
        </row>
        <row r="29">
          <cell r="L29">
            <v>-1</v>
          </cell>
        </row>
        <row r="29">
          <cell r="O29" t="e">
            <v>#DIV/0!</v>
          </cell>
          <cell r="P29">
            <v>10000</v>
          </cell>
          <cell r="Q29">
            <v>0</v>
          </cell>
          <cell r="R29">
            <v>-1</v>
          </cell>
        </row>
        <row r="29">
          <cell r="U29" t="e">
            <v>#DIV/0!</v>
          </cell>
          <cell r="V29">
            <v>10000</v>
          </cell>
          <cell r="W29">
            <v>0</v>
          </cell>
          <cell r="X29">
            <v>-1</v>
          </cell>
        </row>
        <row r="29">
          <cell r="AA29" t="e">
            <v>#DIV/0!</v>
          </cell>
          <cell r="AB29">
            <v>10000</v>
          </cell>
          <cell r="AC29">
            <v>0</v>
          </cell>
          <cell r="AD29">
            <v>-1</v>
          </cell>
        </row>
        <row r="29">
          <cell r="AG29" t="e">
            <v>#DIV/0!</v>
          </cell>
          <cell r="AH29">
            <v>10000</v>
          </cell>
          <cell r="AI29">
            <v>0</v>
          </cell>
          <cell r="AJ29">
            <v>-1</v>
          </cell>
        </row>
        <row r="29">
          <cell r="AM29" t="e">
            <v>#DIV/0!</v>
          </cell>
          <cell r="AN29">
            <v>10000</v>
          </cell>
          <cell r="AO29">
            <v>0</v>
          </cell>
          <cell r="AP29">
            <v>-1</v>
          </cell>
        </row>
        <row r="29">
          <cell r="AS29" t="e">
            <v>#DIV/0!</v>
          </cell>
          <cell r="AT29">
            <v>10000</v>
          </cell>
          <cell r="AU29">
            <v>0</v>
          </cell>
          <cell r="AV29">
            <v>-1</v>
          </cell>
          <cell r="AW29">
            <v>491</v>
          </cell>
        </row>
        <row r="29">
          <cell r="AY29">
            <v>-1</v>
          </cell>
          <cell r="AZ29">
            <v>10491</v>
          </cell>
          <cell r="BA29">
            <v>0</v>
          </cell>
          <cell r="BB29">
            <v>-1</v>
          </cell>
        </row>
        <row r="29">
          <cell r="BE29" t="e">
            <v>#DIV/0!</v>
          </cell>
          <cell r="BF29">
            <v>10491</v>
          </cell>
          <cell r="BG29">
            <v>0</v>
          </cell>
          <cell r="BH29">
            <v>-1</v>
          </cell>
        </row>
        <row r="30">
          <cell r="C30" t="str">
            <v>浙江顶戴环境设备有限公司</v>
          </cell>
          <cell r="D30" t="str">
            <v>暖通</v>
          </cell>
          <cell r="E30" t="str">
            <v>暖通</v>
          </cell>
          <cell r="F30" t="str">
            <v>杭州市区</v>
          </cell>
          <cell r="G30" t="str">
            <v>钱塘区</v>
          </cell>
          <cell r="H30" t="str">
            <v>陈雪君</v>
          </cell>
        </row>
        <row r="30">
          <cell r="J30">
            <v>2591</v>
          </cell>
        </row>
        <row r="30">
          <cell r="L30">
            <v>-1</v>
          </cell>
        </row>
        <row r="30">
          <cell r="O30" t="e">
            <v>#DIV/0!</v>
          </cell>
          <cell r="P30">
            <v>2591</v>
          </cell>
          <cell r="Q30">
            <v>0</v>
          </cell>
          <cell r="R30">
            <v>-1</v>
          </cell>
        </row>
        <row r="30">
          <cell r="U30" t="e">
            <v>#DIV/0!</v>
          </cell>
          <cell r="V30">
            <v>2591</v>
          </cell>
          <cell r="W30">
            <v>0</v>
          </cell>
          <cell r="X30">
            <v>-1</v>
          </cell>
        </row>
        <row r="30">
          <cell r="AA30" t="e">
            <v>#DIV/0!</v>
          </cell>
          <cell r="AB30">
            <v>2591</v>
          </cell>
          <cell r="AC30">
            <v>0</v>
          </cell>
          <cell r="AD30">
            <v>-1</v>
          </cell>
        </row>
        <row r="30">
          <cell r="AG30" t="e">
            <v>#DIV/0!</v>
          </cell>
          <cell r="AH30">
            <v>2591</v>
          </cell>
          <cell r="AI30">
            <v>0</v>
          </cell>
          <cell r="AJ30">
            <v>-1</v>
          </cell>
        </row>
        <row r="30">
          <cell r="AM30" t="e">
            <v>#DIV/0!</v>
          </cell>
          <cell r="AN30">
            <v>2591</v>
          </cell>
          <cell r="AO30">
            <v>0</v>
          </cell>
          <cell r="AP30">
            <v>-1</v>
          </cell>
        </row>
        <row r="30">
          <cell r="AS30" t="e">
            <v>#DIV/0!</v>
          </cell>
          <cell r="AT30">
            <v>2591</v>
          </cell>
          <cell r="AU30">
            <v>0</v>
          </cell>
          <cell r="AV30">
            <v>-1</v>
          </cell>
        </row>
        <row r="30">
          <cell r="AY30" t="e">
            <v>#DIV/0!</v>
          </cell>
          <cell r="AZ30">
            <v>2591</v>
          </cell>
          <cell r="BA30">
            <v>0</v>
          </cell>
          <cell r="BB30">
            <v>-1</v>
          </cell>
        </row>
        <row r="30">
          <cell r="BE30" t="e">
            <v>#DIV/0!</v>
          </cell>
          <cell r="BF30">
            <v>2591</v>
          </cell>
          <cell r="BG30">
            <v>0</v>
          </cell>
          <cell r="BH30">
            <v>-1</v>
          </cell>
        </row>
        <row r="31">
          <cell r="C31" t="str">
            <v>浙江元天电子商务有限公司</v>
          </cell>
          <cell r="D31" t="str">
            <v>经销</v>
          </cell>
          <cell r="E31" t="str">
            <v>经销</v>
          </cell>
          <cell r="F31" t="str">
            <v>杭州市区</v>
          </cell>
          <cell r="G31" t="str">
            <v>滨江区</v>
          </cell>
          <cell r="H31" t="str">
            <v>黄颖</v>
          </cell>
          <cell r="I31">
            <v>30</v>
          </cell>
          <cell r="J31">
            <v>20582</v>
          </cell>
          <cell r="K31">
            <v>14679</v>
          </cell>
          <cell r="L31">
            <v>-0.286804003498202</v>
          </cell>
          <cell r="M31">
            <v>3939</v>
          </cell>
        </row>
        <row r="31">
          <cell r="O31">
            <v>-1</v>
          </cell>
          <cell r="P31">
            <v>24521</v>
          </cell>
          <cell r="Q31">
            <v>14679</v>
          </cell>
          <cell r="R31">
            <v>-0.401370254067942</v>
          </cell>
        </row>
        <row r="31">
          <cell r="T31">
            <v>3148</v>
          </cell>
          <cell r="U31" t="e">
            <v>#DIV/0!</v>
          </cell>
          <cell r="V31">
            <v>24521</v>
          </cell>
          <cell r="W31">
            <v>17827</v>
          </cell>
          <cell r="X31">
            <v>-0.272990497940541</v>
          </cell>
          <cell r="Y31">
            <v>23069</v>
          </cell>
          <cell r="Z31">
            <v>13909</v>
          </cell>
          <cell r="AA31">
            <v>-0.397069660583467</v>
          </cell>
          <cell r="AB31">
            <v>47590</v>
          </cell>
          <cell r="AC31">
            <v>31736</v>
          </cell>
          <cell r="AD31">
            <v>-0.333137213700357</v>
          </cell>
          <cell r="AE31">
            <v>27908</v>
          </cell>
          <cell r="AF31">
            <v>8765</v>
          </cell>
          <cell r="AG31">
            <v>-0.685932349147198</v>
          </cell>
          <cell r="AH31">
            <v>75498</v>
          </cell>
          <cell r="AI31">
            <v>40501</v>
          </cell>
          <cell r="AJ31">
            <v>-0.463548703276908</v>
          </cell>
          <cell r="AK31">
            <v>25192</v>
          </cell>
          <cell r="AL31">
            <v>9307</v>
          </cell>
          <cell r="AM31">
            <v>-0.630557319784058</v>
          </cell>
          <cell r="AN31">
            <v>100690</v>
          </cell>
          <cell r="AO31">
            <v>49808</v>
          </cell>
          <cell r="AP31">
            <v>-0.505333200913695</v>
          </cell>
        </row>
        <row r="31">
          <cell r="AR31">
            <v>11183</v>
          </cell>
          <cell r="AS31" t="e">
            <v>#DIV/0!</v>
          </cell>
          <cell r="AT31">
            <v>100690</v>
          </cell>
          <cell r="AU31">
            <v>60991</v>
          </cell>
          <cell r="AV31">
            <v>-0.394269540172808</v>
          </cell>
          <cell r="AW31">
            <v>16800</v>
          </cell>
          <cell r="AX31">
            <v>6109</v>
          </cell>
          <cell r="AY31">
            <v>-0.636369047619048</v>
          </cell>
          <cell r="AZ31">
            <v>117490</v>
          </cell>
          <cell r="BA31">
            <v>67100</v>
          </cell>
          <cell r="BB31">
            <v>-0.42888756489914</v>
          </cell>
          <cell r="BC31">
            <v>24480</v>
          </cell>
        </row>
        <row r="31">
          <cell r="BE31">
            <v>-1</v>
          </cell>
          <cell r="BF31">
            <v>141970</v>
          </cell>
          <cell r="BG31">
            <v>67100</v>
          </cell>
          <cell r="BH31">
            <v>-0.527364936254138</v>
          </cell>
        </row>
        <row r="32">
          <cell r="C32" t="str">
            <v>杭州澎湃电器有限公司</v>
          </cell>
          <cell r="D32" t="str">
            <v>家装</v>
          </cell>
          <cell r="E32" t="str">
            <v>家装</v>
          </cell>
          <cell r="F32" t="str">
            <v>杭州市区</v>
          </cell>
          <cell r="G32" t="str">
            <v>上城区</v>
          </cell>
          <cell r="H32" t="str">
            <v>黄颖</v>
          </cell>
        </row>
        <row r="32">
          <cell r="J32">
            <v>7088</v>
          </cell>
        </row>
        <row r="32">
          <cell r="L32">
            <v>-1</v>
          </cell>
        </row>
        <row r="32">
          <cell r="O32" t="e">
            <v>#DIV/0!</v>
          </cell>
          <cell r="P32">
            <v>7088</v>
          </cell>
          <cell r="Q32">
            <v>0</v>
          </cell>
          <cell r="R32">
            <v>-1</v>
          </cell>
        </row>
        <row r="32">
          <cell r="U32" t="e">
            <v>#DIV/0!</v>
          </cell>
          <cell r="V32">
            <v>7088</v>
          </cell>
          <cell r="W32">
            <v>0</v>
          </cell>
          <cell r="X32">
            <v>-1</v>
          </cell>
        </row>
        <row r="32">
          <cell r="AA32" t="e">
            <v>#DIV/0!</v>
          </cell>
          <cell r="AB32">
            <v>7088</v>
          </cell>
          <cell r="AC32">
            <v>0</v>
          </cell>
          <cell r="AD32">
            <v>-1</v>
          </cell>
        </row>
        <row r="32">
          <cell r="AG32" t="e">
            <v>#DIV/0!</v>
          </cell>
          <cell r="AH32">
            <v>7088</v>
          </cell>
          <cell r="AI32">
            <v>0</v>
          </cell>
          <cell r="AJ32">
            <v>-1</v>
          </cell>
        </row>
        <row r="32">
          <cell r="AM32" t="e">
            <v>#DIV/0!</v>
          </cell>
          <cell r="AN32">
            <v>7088</v>
          </cell>
          <cell r="AO32">
            <v>0</v>
          </cell>
          <cell r="AP32">
            <v>-1</v>
          </cell>
        </row>
        <row r="32">
          <cell r="AS32" t="e">
            <v>#DIV/0!</v>
          </cell>
          <cell r="AT32">
            <v>7088</v>
          </cell>
          <cell r="AU32">
            <v>0</v>
          </cell>
          <cell r="AV32">
            <v>-1</v>
          </cell>
        </row>
        <row r="32">
          <cell r="AY32" t="e">
            <v>#DIV/0!</v>
          </cell>
          <cell r="AZ32">
            <v>7088</v>
          </cell>
          <cell r="BA32">
            <v>0</v>
          </cell>
          <cell r="BB32">
            <v>-1</v>
          </cell>
        </row>
        <row r="32">
          <cell r="BE32" t="e">
            <v>#DIV/0!</v>
          </cell>
          <cell r="BF32">
            <v>7088</v>
          </cell>
          <cell r="BG32">
            <v>0</v>
          </cell>
          <cell r="BH32">
            <v>-1</v>
          </cell>
        </row>
        <row r="33">
          <cell r="C33" t="str">
            <v>杭州中博智能电器有限公司</v>
          </cell>
          <cell r="D33" t="str">
            <v>家装</v>
          </cell>
          <cell r="E33" t="str">
            <v>家装</v>
          </cell>
          <cell r="F33" t="str">
            <v>杭州市区</v>
          </cell>
          <cell r="G33" t="str">
            <v>上城区</v>
          </cell>
          <cell r="H33" t="str">
            <v>黄颖</v>
          </cell>
          <cell r="I33">
            <v>200</v>
          </cell>
          <cell r="J33">
            <v>91657.28</v>
          </cell>
          <cell r="K33">
            <v>218873.82</v>
          </cell>
          <cell r="L33">
            <v>1.38795892699412</v>
          </cell>
        </row>
        <row r="33">
          <cell r="N33">
            <v>131893.4</v>
          </cell>
          <cell r="O33" t="e">
            <v>#DIV/0!</v>
          </cell>
          <cell r="P33">
            <v>91657.28</v>
          </cell>
          <cell r="Q33">
            <v>350767.22</v>
          </cell>
          <cell r="R33">
            <v>2.82694336991017</v>
          </cell>
          <cell r="S33">
            <v>98407.6</v>
          </cell>
          <cell r="T33">
            <v>143496.71</v>
          </cell>
          <cell r="U33">
            <v>0.458187274153622</v>
          </cell>
          <cell r="V33">
            <v>190064.88</v>
          </cell>
          <cell r="W33">
            <v>494263.93</v>
          </cell>
          <cell r="X33">
            <v>1.60050110257087</v>
          </cell>
          <cell r="Y33">
            <v>88389.8</v>
          </cell>
          <cell r="Z33">
            <v>34200.39</v>
          </cell>
          <cell r="AA33">
            <v>-0.613073114771161</v>
          </cell>
          <cell r="AB33">
            <v>278454.68</v>
          </cell>
          <cell r="AC33">
            <v>528464.32</v>
          </cell>
          <cell r="AD33">
            <v>0.897846787850719</v>
          </cell>
          <cell r="AE33">
            <v>181882.45</v>
          </cell>
          <cell r="AF33">
            <v>134290.18</v>
          </cell>
          <cell r="AG33">
            <v>-0.261664992966611</v>
          </cell>
          <cell r="AH33">
            <v>460337.13</v>
          </cell>
          <cell r="AI33">
            <v>662754.5</v>
          </cell>
          <cell r="AJ33">
            <v>0.439715497205277</v>
          </cell>
          <cell r="AK33">
            <v>187566.88</v>
          </cell>
          <cell r="AL33">
            <v>128859.37</v>
          </cell>
          <cell r="AM33">
            <v>-0.31299507674276</v>
          </cell>
          <cell r="AN33">
            <v>647904.01</v>
          </cell>
          <cell r="AO33">
            <v>791613.87</v>
          </cell>
          <cell r="AP33">
            <v>0.221807332231205</v>
          </cell>
          <cell r="AQ33">
            <v>130044.44</v>
          </cell>
          <cell r="AR33">
            <v>273758.72</v>
          </cell>
          <cell r="AS33">
            <v>1.10511668165129</v>
          </cell>
          <cell r="AT33">
            <v>777948.45</v>
          </cell>
          <cell r="AU33">
            <v>1065372.59</v>
          </cell>
          <cell r="AV33">
            <v>0.369464249205715</v>
          </cell>
          <cell r="AW33">
            <v>128967.95</v>
          </cell>
          <cell r="AX33">
            <v>121546.09</v>
          </cell>
          <cell r="AY33">
            <v>-0.0575480962518207</v>
          </cell>
          <cell r="AZ33">
            <v>906916.4</v>
          </cell>
          <cell r="BA33">
            <v>1186918.68</v>
          </cell>
          <cell r="BB33">
            <v>0.308741004132244</v>
          </cell>
          <cell r="BC33">
            <v>101883.54</v>
          </cell>
          <cell r="BD33">
            <v>139207.99</v>
          </cell>
          <cell r="BE33">
            <v>0.366344259337671</v>
          </cell>
          <cell r="BF33">
            <v>1008799.94</v>
          </cell>
          <cell r="BG33">
            <v>1326126.67</v>
          </cell>
          <cell r="BH33">
            <v>0.314558632903963</v>
          </cell>
          <cell r="BI33">
            <v>164644.69</v>
          </cell>
          <cell r="BJ33">
            <v>113351.28</v>
          </cell>
        </row>
        <row r="34">
          <cell r="C34" t="str">
            <v>浙江都都装饰有限公司</v>
          </cell>
          <cell r="D34" t="str">
            <v>家装</v>
          </cell>
          <cell r="E34" t="str">
            <v>家装</v>
          </cell>
          <cell r="F34" t="str">
            <v>杭州市区</v>
          </cell>
          <cell r="G34" t="str">
            <v>拱墅区</v>
          </cell>
          <cell r="H34" t="str">
            <v>黄颖</v>
          </cell>
          <cell r="I34">
            <v>60</v>
          </cell>
          <cell r="J34">
            <v>16779</v>
          </cell>
          <cell r="K34">
            <v>37387</v>
          </cell>
          <cell r="L34">
            <v>1.2282019190655</v>
          </cell>
        </row>
        <row r="34">
          <cell r="O34" t="e">
            <v>#DIV/0!</v>
          </cell>
          <cell r="P34">
            <v>16779</v>
          </cell>
          <cell r="Q34">
            <v>37387</v>
          </cell>
          <cell r="R34">
            <v>1.2282019190655</v>
          </cell>
          <cell r="S34">
            <v>7332</v>
          </cell>
        </row>
        <row r="34">
          <cell r="U34">
            <v>-1</v>
          </cell>
          <cell r="V34">
            <v>24111</v>
          </cell>
          <cell r="W34">
            <v>37387</v>
          </cell>
          <cell r="X34">
            <v>0.550620048940318</v>
          </cell>
          <cell r="Y34">
            <v>49926</v>
          </cell>
          <cell r="Z34">
            <v>71744</v>
          </cell>
          <cell r="AA34">
            <v>0.437006770019629</v>
          </cell>
          <cell r="AB34">
            <v>74037</v>
          </cell>
          <cell r="AC34">
            <v>109131</v>
          </cell>
          <cell r="AD34">
            <v>0.474006240123182</v>
          </cell>
          <cell r="AE34">
            <v>57887</v>
          </cell>
          <cell r="AF34">
            <v>84847</v>
          </cell>
          <cell r="AG34">
            <v>0.465734966400055</v>
          </cell>
          <cell r="AH34">
            <v>131924</v>
          </cell>
          <cell r="AI34">
            <v>193978</v>
          </cell>
          <cell r="AJ34">
            <v>0.470376883660289</v>
          </cell>
          <cell r="AK34">
            <v>40556</v>
          </cell>
          <cell r="AL34">
            <v>161547</v>
          </cell>
          <cell r="AM34">
            <v>2.9833070322517</v>
          </cell>
          <cell r="AN34">
            <v>172480</v>
          </cell>
          <cell r="AO34">
            <v>355525</v>
          </cell>
          <cell r="AP34">
            <v>1.06125347866419</v>
          </cell>
          <cell r="AQ34">
            <v>50598</v>
          </cell>
          <cell r="AR34">
            <v>25131</v>
          </cell>
          <cell r="AS34">
            <v>-0.5033202893395</v>
          </cell>
          <cell r="AT34">
            <v>223078</v>
          </cell>
          <cell r="AU34">
            <v>380656</v>
          </cell>
          <cell r="AV34">
            <v>0.706380727817176</v>
          </cell>
          <cell r="AW34">
            <v>56103</v>
          </cell>
          <cell r="AX34">
            <v>17220</v>
          </cell>
          <cell r="AY34">
            <v>-0.693064542003101</v>
          </cell>
          <cell r="AZ34">
            <v>279181</v>
          </cell>
          <cell r="BA34">
            <v>397876</v>
          </cell>
          <cell r="BB34">
            <v>0.425154290585677</v>
          </cell>
          <cell r="BC34">
            <v>42232</v>
          </cell>
          <cell r="BD34">
            <v>64377</v>
          </cell>
          <cell r="BE34">
            <v>0.524365410115552</v>
          </cell>
          <cell r="BF34">
            <v>321413</v>
          </cell>
          <cell r="BG34">
            <v>462253</v>
          </cell>
          <cell r="BH34">
            <v>0.438190116765657</v>
          </cell>
          <cell r="BI34">
            <v>50318</v>
          </cell>
          <cell r="BJ34">
            <v>46864</v>
          </cell>
        </row>
        <row r="35">
          <cell r="C35" t="str">
            <v>桐庐县城南街道正亿家电经营部</v>
          </cell>
          <cell r="D35" t="str">
            <v>经销</v>
          </cell>
          <cell r="E35" t="str">
            <v>经销</v>
          </cell>
          <cell r="F35" t="str">
            <v>桐庐县</v>
          </cell>
          <cell r="G35" t="str">
            <v>桐庐县</v>
          </cell>
          <cell r="H35" t="str">
            <v>吴海林</v>
          </cell>
          <cell r="I35">
            <v>0</v>
          </cell>
        </row>
        <row r="35">
          <cell r="L35" t="e">
            <v>#DIV/0!</v>
          </cell>
        </row>
        <row r="35">
          <cell r="O35" t="e">
            <v>#DIV/0!</v>
          </cell>
          <cell r="P35">
            <v>0</v>
          </cell>
          <cell r="Q35">
            <v>0</v>
          </cell>
          <cell r="R35" t="e">
            <v>#DIV/0!</v>
          </cell>
          <cell r="S35">
            <v>26405</v>
          </cell>
        </row>
        <row r="35">
          <cell r="U35">
            <v>-1</v>
          </cell>
          <cell r="V35">
            <v>26405</v>
          </cell>
          <cell r="W35">
            <v>0</v>
          </cell>
          <cell r="X35">
            <v>-1</v>
          </cell>
        </row>
        <row r="35">
          <cell r="AA35" t="e">
            <v>#DIV/0!</v>
          </cell>
          <cell r="AB35">
            <v>26405</v>
          </cell>
          <cell r="AC35">
            <v>0</v>
          </cell>
          <cell r="AD35">
            <v>-1</v>
          </cell>
        </row>
        <row r="35">
          <cell r="AG35" t="e">
            <v>#DIV/0!</v>
          </cell>
          <cell r="AH35">
            <v>26405</v>
          </cell>
          <cell r="AI35">
            <v>0</v>
          </cell>
          <cell r="AJ35">
            <v>-1</v>
          </cell>
        </row>
        <row r="35">
          <cell r="AM35" t="e">
            <v>#DIV/0!</v>
          </cell>
          <cell r="AN35">
            <v>26405</v>
          </cell>
          <cell r="AO35">
            <v>0</v>
          </cell>
          <cell r="AP35">
            <v>-1</v>
          </cell>
        </row>
        <row r="35">
          <cell r="AS35" t="e">
            <v>#DIV/0!</v>
          </cell>
          <cell r="AT35">
            <v>26405</v>
          </cell>
          <cell r="AU35">
            <v>0</v>
          </cell>
          <cell r="AV35">
            <v>-1</v>
          </cell>
        </row>
        <row r="35">
          <cell r="AY35" t="e">
            <v>#DIV/0!</v>
          </cell>
          <cell r="AZ35">
            <v>26405</v>
          </cell>
          <cell r="BA35">
            <v>0</v>
          </cell>
          <cell r="BB35">
            <v>-1</v>
          </cell>
        </row>
        <row r="35">
          <cell r="BE35" t="e">
            <v>#DIV/0!</v>
          </cell>
          <cell r="BF35">
            <v>26405</v>
          </cell>
          <cell r="BG35">
            <v>0</v>
          </cell>
          <cell r="BH35">
            <v>-1</v>
          </cell>
        </row>
        <row r="36">
          <cell r="C36" t="str">
            <v>杭州中瑞工程技术有限公司</v>
          </cell>
          <cell r="D36" t="str">
            <v>经销</v>
          </cell>
          <cell r="E36" t="str">
            <v>经销</v>
          </cell>
          <cell r="F36" t="str">
            <v>杭州市区</v>
          </cell>
          <cell r="G36" t="str">
            <v>市区</v>
          </cell>
          <cell r="H36" t="str">
            <v>陈雪君</v>
          </cell>
        </row>
        <row r="36">
          <cell r="J36">
            <v>50000</v>
          </cell>
        </row>
        <row r="36">
          <cell r="L36">
            <v>-1</v>
          </cell>
          <cell r="M36">
            <v>39000</v>
          </cell>
          <cell r="N36">
            <v>20000</v>
          </cell>
          <cell r="O36">
            <v>-0.487179487179487</v>
          </cell>
          <cell r="P36">
            <v>89000</v>
          </cell>
          <cell r="Q36">
            <v>20000</v>
          </cell>
          <cell r="R36">
            <v>-0.775280898876405</v>
          </cell>
          <cell r="S36">
            <v>35000</v>
          </cell>
        </row>
        <row r="36">
          <cell r="U36">
            <v>-1</v>
          </cell>
          <cell r="V36">
            <v>124000</v>
          </cell>
          <cell r="W36">
            <v>20000</v>
          </cell>
          <cell r="X36">
            <v>-0.838709677419355</v>
          </cell>
          <cell r="Y36">
            <v>190000</v>
          </cell>
        </row>
        <row r="36">
          <cell r="AA36">
            <v>-1</v>
          </cell>
          <cell r="AB36">
            <v>314000</v>
          </cell>
          <cell r="AC36">
            <v>20000</v>
          </cell>
          <cell r="AD36">
            <v>-0.936305732484076</v>
          </cell>
          <cell r="AE36">
            <v>50000</v>
          </cell>
        </row>
        <row r="36">
          <cell r="AG36">
            <v>-1</v>
          </cell>
          <cell r="AH36">
            <v>364000</v>
          </cell>
          <cell r="AI36">
            <v>20000</v>
          </cell>
          <cell r="AJ36">
            <v>-0.945054945054945</v>
          </cell>
          <cell r="AK36">
            <v>139500</v>
          </cell>
          <cell r="AL36">
            <v>10000</v>
          </cell>
          <cell r="AM36">
            <v>-0.92831541218638</v>
          </cell>
          <cell r="AN36">
            <v>503500</v>
          </cell>
          <cell r="AO36">
            <v>30000</v>
          </cell>
          <cell r="AP36">
            <v>-0.940417080436941</v>
          </cell>
          <cell r="AQ36">
            <v>52000</v>
          </cell>
        </row>
        <row r="36">
          <cell r="AS36">
            <v>-1</v>
          </cell>
          <cell r="AT36">
            <v>555500</v>
          </cell>
          <cell r="AU36">
            <v>30000</v>
          </cell>
          <cell r="AV36">
            <v>-0.945994599459946</v>
          </cell>
        </row>
        <row r="36">
          <cell r="AY36" t="e">
            <v>#DIV/0!</v>
          </cell>
          <cell r="AZ36">
            <v>555500</v>
          </cell>
          <cell r="BA36">
            <v>30000</v>
          </cell>
          <cell r="BB36">
            <v>-0.945994599459946</v>
          </cell>
          <cell r="BC36">
            <v>30000</v>
          </cell>
          <cell r="BD36">
            <v>32000</v>
          </cell>
          <cell r="BE36">
            <v>0.0666666666666667</v>
          </cell>
          <cell r="BF36">
            <v>585500</v>
          </cell>
          <cell r="BG36">
            <v>62000</v>
          </cell>
          <cell r="BH36">
            <v>-0.894107600341588</v>
          </cell>
          <cell r="BI36">
            <v>27000</v>
          </cell>
        </row>
        <row r="37">
          <cell r="C37" t="str">
            <v>苏宁易购集团股份有限公司苏宁采购中心</v>
          </cell>
          <cell r="D37" t="str">
            <v>经销</v>
          </cell>
          <cell r="E37" t="str">
            <v>经销</v>
          </cell>
          <cell r="F37" t="str">
            <v>杭州市区</v>
          </cell>
          <cell r="G37" t="str">
            <v>市区</v>
          </cell>
          <cell r="H37" t="str">
            <v>陈雪君</v>
          </cell>
        </row>
        <row r="37">
          <cell r="K37">
            <v>5208.12</v>
          </cell>
          <cell r="L37" t="e">
            <v>#DIV/0!</v>
          </cell>
        </row>
        <row r="37">
          <cell r="N37">
            <v>713</v>
          </cell>
          <cell r="O37" t="e">
            <v>#DIV/0!</v>
          </cell>
          <cell r="P37">
            <v>0</v>
          </cell>
          <cell r="Q37">
            <v>5921.12</v>
          </cell>
          <cell r="R37" t="e">
            <v>#DIV/0!</v>
          </cell>
        </row>
        <row r="37">
          <cell r="U37" t="e">
            <v>#DIV/0!</v>
          </cell>
          <cell r="V37">
            <v>0</v>
          </cell>
          <cell r="W37">
            <v>5921.12</v>
          </cell>
          <cell r="X37" t="e">
            <v>#DIV/0!</v>
          </cell>
        </row>
        <row r="37">
          <cell r="AA37" t="e">
            <v>#DIV/0!</v>
          </cell>
          <cell r="AB37">
            <v>0</v>
          </cell>
          <cell r="AC37">
            <v>5921.12</v>
          </cell>
          <cell r="AD37" t="e">
            <v>#DIV/0!</v>
          </cell>
        </row>
        <row r="37">
          <cell r="AG37" t="e">
            <v>#DIV/0!</v>
          </cell>
          <cell r="AH37">
            <v>0</v>
          </cell>
          <cell r="AI37">
            <v>5921.12</v>
          </cell>
          <cell r="AJ37" t="e">
            <v>#DIV/0!</v>
          </cell>
        </row>
        <row r="37">
          <cell r="AM37" t="e">
            <v>#DIV/0!</v>
          </cell>
          <cell r="AN37">
            <v>0</v>
          </cell>
          <cell r="AO37">
            <v>5921.12</v>
          </cell>
          <cell r="AP37" t="e">
            <v>#DIV/0!</v>
          </cell>
          <cell r="AQ37">
            <v>1971.76</v>
          </cell>
        </row>
        <row r="37">
          <cell r="AS37">
            <v>-1</v>
          </cell>
          <cell r="AT37">
            <v>1971.76</v>
          </cell>
          <cell r="AU37">
            <v>5921.12</v>
          </cell>
          <cell r="AV37">
            <v>2.00296182091127</v>
          </cell>
          <cell r="AW37">
            <v>3472.08</v>
          </cell>
        </row>
        <row r="37">
          <cell r="AY37">
            <v>-1</v>
          </cell>
          <cell r="AZ37">
            <v>5443.84</v>
          </cell>
          <cell r="BA37">
            <v>5921.12</v>
          </cell>
          <cell r="BB37">
            <v>0.0876734070068186</v>
          </cell>
          <cell r="BC37">
            <v>885.4</v>
          </cell>
        </row>
        <row r="37">
          <cell r="BE37">
            <v>-1</v>
          </cell>
          <cell r="BF37">
            <v>6329.24</v>
          </cell>
          <cell r="BG37">
            <v>5921.12</v>
          </cell>
          <cell r="BH37">
            <v>-0.0644816755250235</v>
          </cell>
          <cell r="BI37">
            <v>3797.04</v>
          </cell>
        </row>
        <row r="38">
          <cell r="C38" t="str">
            <v>杭州华东家电市场铁人电器商行</v>
          </cell>
          <cell r="D38" t="str">
            <v>经销</v>
          </cell>
          <cell r="E38" t="str">
            <v>经销</v>
          </cell>
          <cell r="F38" t="str">
            <v>杭州市区</v>
          </cell>
          <cell r="G38" t="str">
            <v>市区</v>
          </cell>
          <cell r="H38" t="str">
            <v>李燕霞</v>
          </cell>
          <cell r="I38">
            <v>10</v>
          </cell>
        </row>
        <row r="38">
          <cell r="L38" t="e">
            <v>#DIV/0!</v>
          </cell>
        </row>
        <row r="38">
          <cell r="O38" t="e">
            <v>#DIV/0!</v>
          </cell>
          <cell r="P38">
            <v>0</v>
          </cell>
          <cell r="Q38">
            <v>0</v>
          </cell>
          <cell r="R38" t="e">
            <v>#DIV/0!</v>
          </cell>
        </row>
        <row r="38">
          <cell r="U38" t="e">
            <v>#DIV/0!</v>
          </cell>
          <cell r="V38">
            <v>0</v>
          </cell>
          <cell r="W38">
            <v>0</v>
          </cell>
          <cell r="X38" t="e">
            <v>#DIV/0!</v>
          </cell>
        </row>
        <row r="38">
          <cell r="AA38" t="e">
            <v>#DIV/0!</v>
          </cell>
          <cell r="AB38">
            <v>0</v>
          </cell>
          <cell r="AC38">
            <v>0</v>
          </cell>
          <cell r="AD38" t="e">
            <v>#DIV/0!</v>
          </cell>
        </row>
        <row r="38">
          <cell r="AG38" t="e">
            <v>#DIV/0!</v>
          </cell>
          <cell r="AH38">
            <v>0</v>
          </cell>
          <cell r="AI38">
            <v>0</v>
          </cell>
          <cell r="AJ38" t="e">
            <v>#DIV/0!</v>
          </cell>
        </row>
        <row r="38">
          <cell r="AM38" t="e">
            <v>#DIV/0!</v>
          </cell>
          <cell r="AN38">
            <v>0</v>
          </cell>
          <cell r="AO38">
            <v>0</v>
          </cell>
          <cell r="AP38" t="e">
            <v>#DIV/0!</v>
          </cell>
        </row>
        <row r="38">
          <cell r="AR38">
            <v>6789</v>
          </cell>
          <cell r="AS38" t="e">
            <v>#DIV/0!</v>
          </cell>
          <cell r="AT38">
            <v>0</v>
          </cell>
          <cell r="AU38">
            <v>6789</v>
          </cell>
          <cell r="AV38" t="e">
            <v>#DIV/0!</v>
          </cell>
          <cell r="AW38">
            <v>18173</v>
          </cell>
        </row>
        <row r="38">
          <cell r="AY38">
            <v>-1</v>
          </cell>
          <cell r="AZ38">
            <v>18173</v>
          </cell>
          <cell r="BA38">
            <v>6789</v>
          </cell>
          <cell r="BB38">
            <v>-0.626423815550542</v>
          </cell>
          <cell r="BC38">
            <v>10416</v>
          </cell>
        </row>
        <row r="38">
          <cell r="BE38">
            <v>-1</v>
          </cell>
          <cell r="BF38">
            <v>28589</v>
          </cell>
          <cell r="BG38">
            <v>6789</v>
          </cell>
          <cell r="BH38">
            <v>-0.762531043408304</v>
          </cell>
        </row>
        <row r="38">
          <cell r="BJ38">
            <v>1397.6</v>
          </cell>
        </row>
        <row r="39">
          <cell r="C39" t="str">
            <v>滨江六空8090店</v>
          </cell>
          <cell r="D39" t="str">
            <v>直营</v>
          </cell>
          <cell r="E39" t="str">
            <v>直营</v>
          </cell>
          <cell r="F39" t="str">
            <v>杭州市区</v>
          </cell>
          <cell r="G39" t="str">
            <v>滨江区</v>
          </cell>
          <cell r="H39" t="str">
            <v>专卖店</v>
          </cell>
          <cell r="I39">
            <v>370</v>
          </cell>
        </row>
        <row r="39">
          <cell r="K39">
            <v>128272</v>
          </cell>
          <cell r="L39" t="e">
            <v>#DIV/0!</v>
          </cell>
        </row>
        <row r="39">
          <cell r="N39">
            <v>300432</v>
          </cell>
          <cell r="O39" t="e">
            <v>#DIV/0!</v>
          </cell>
          <cell r="P39">
            <v>0</v>
          </cell>
          <cell r="Q39">
            <v>428704</v>
          </cell>
          <cell r="R39" t="e">
            <v>#DIV/0!</v>
          </cell>
        </row>
        <row r="39">
          <cell r="T39">
            <v>378127</v>
          </cell>
          <cell r="U39" t="e">
            <v>#DIV/0!</v>
          </cell>
          <cell r="V39">
            <v>0</v>
          </cell>
          <cell r="W39">
            <v>806831</v>
          </cell>
          <cell r="X39" t="e">
            <v>#DIV/0!</v>
          </cell>
        </row>
        <row r="39">
          <cell r="Z39">
            <v>418240</v>
          </cell>
          <cell r="AA39" t="e">
            <v>#DIV/0!</v>
          </cell>
          <cell r="AB39">
            <v>0</v>
          </cell>
          <cell r="AC39">
            <v>1225071</v>
          </cell>
          <cell r="AD39" t="e">
            <v>#DIV/0!</v>
          </cell>
        </row>
        <row r="39">
          <cell r="AF39">
            <v>306225</v>
          </cell>
          <cell r="AG39" t="e">
            <v>#DIV/0!</v>
          </cell>
          <cell r="AH39">
            <v>0</v>
          </cell>
          <cell r="AI39">
            <v>1531296</v>
          </cell>
          <cell r="AJ39" t="e">
            <v>#DIV/0!</v>
          </cell>
        </row>
        <row r="39">
          <cell r="AL39">
            <v>574778</v>
          </cell>
          <cell r="AM39" t="e">
            <v>#DIV/0!</v>
          </cell>
          <cell r="AN39">
            <v>0</v>
          </cell>
          <cell r="AO39">
            <v>2106074</v>
          </cell>
          <cell r="AP39" t="e">
            <v>#DIV/0!</v>
          </cell>
        </row>
        <row r="39">
          <cell r="AR39">
            <v>166425</v>
          </cell>
          <cell r="AS39" t="e">
            <v>#DIV/0!</v>
          </cell>
          <cell r="AT39">
            <v>0</v>
          </cell>
          <cell r="AU39">
            <v>2272499</v>
          </cell>
          <cell r="AV39" t="e">
            <v>#DIV/0!</v>
          </cell>
        </row>
        <row r="39">
          <cell r="AX39">
            <v>201205</v>
          </cell>
          <cell r="AY39" t="e">
            <v>#DIV/0!</v>
          </cell>
          <cell r="AZ39">
            <v>0</v>
          </cell>
          <cell r="BA39">
            <v>2473704</v>
          </cell>
          <cell r="BB39" t="e">
            <v>#DIV/0!</v>
          </cell>
          <cell r="BC39">
            <v>16307</v>
          </cell>
          <cell r="BD39">
            <v>218669</v>
          </cell>
          <cell r="BE39">
            <v>12.409517385172</v>
          </cell>
          <cell r="BF39">
            <v>16307</v>
          </cell>
          <cell r="BG39">
            <v>2692373</v>
          </cell>
          <cell r="BH39">
            <v>164.105353529159</v>
          </cell>
          <cell r="BI39">
            <v>397749</v>
          </cell>
          <cell r="BJ39">
            <v>266862</v>
          </cell>
        </row>
        <row r="40">
          <cell r="C40" t="str">
            <v>萧山第六空间专卖店</v>
          </cell>
          <cell r="D40" t="str">
            <v>直营</v>
          </cell>
          <cell r="E40" t="str">
            <v>直营</v>
          </cell>
          <cell r="F40" t="str">
            <v>萧山区</v>
          </cell>
          <cell r="G40" t="str">
            <v>市区</v>
          </cell>
          <cell r="H40" t="str">
            <v>专卖店</v>
          </cell>
          <cell r="I40">
            <v>170</v>
          </cell>
        </row>
        <row r="40">
          <cell r="K40">
            <v>840</v>
          </cell>
          <cell r="L40" t="e">
            <v>#DIV/0!</v>
          </cell>
        </row>
        <row r="40">
          <cell r="N40">
            <v>30008</v>
          </cell>
          <cell r="O40" t="e">
            <v>#DIV/0!</v>
          </cell>
          <cell r="P40">
            <v>0</v>
          </cell>
          <cell r="Q40">
            <v>30848</v>
          </cell>
          <cell r="R40" t="e">
            <v>#DIV/0!</v>
          </cell>
        </row>
        <row r="40">
          <cell r="T40">
            <v>250109.6</v>
          </cell>
          <cell r="U40" t="e">
            <v>#DIV/0!</v>
          </cell>
          <cell r="V40">
            <v>0</v>
          </cell>
          <cell r="W40">
            <v>280957.6</v>
          </cell>
          <cell r="X40" t="e">
            <v>#DIV/0!</v>
          </cell>
        </row>
        <row r="40">
          <cell r="Z40">
            <v>296574</v>
          </cell>
          <cell r="AA40" t="e">
            <v>#DIV/0!</v>
          </cell>
          <cell r="AB40">
            <v>0</v>
          </cell>
          <cell r="AC40">
            <v>577531.6</v>
          </cell>
          <cell r="AD40" t="e">
            <v>#DIV/0!</v>
          </cell>
        </row>
        <row r="40">
          <cell r="AF40">
            <v>255533</v>
          </cell>
          <cell r="AG40" t="e">
            <v>#DIV/0!</v>
          </cell>
          <cell r="AH40">
            <v>0</v>
          </cell>
          <cell r="AI40">
            <v>833064.6</v>
          </cell>
          <cell r="AJ40" t="e">
            <v>#DIV/0!</v>
          </cell>
        </row>
        <row r="40">
          <cell r="AL40">
            <v>386476</v>
          </cell>
          <cell r="AM40" t="e">
            <v>#DIV/0!</v>
          </cell>
          <cell r="AN40">
            <v>0</v>
          </cell>
          <cell r="AO40">
            <v>1219540.6</v>
          </cell>
          <cell r="AP40" t="e">
            <v>#DIV/0!</v>
          </cell>
        </row>
        <row r="40">
          <cell r="AR40">
            <v>63776</v>
          </cell>
          <cell r="AS40" t="e">
            <v>#DIV/0!</v>
          </cell>
          <cell r="AT40">
            <v>0</v>
          </cell>
          <cell r="AU40">
            <v>1283316.6</v>
          </cell>
          <cell r="AV40" t="e">
            <v>#DIV/0!</v>
          </cell>
        </row>
        <row r="40">
          <cell r="AX40">
            <v>105175</v>
          </cell>
          <cell r="AY40" t="e">
            <v>#DIV/0!</v>
          </cell>
          <cell r="AZ40">
            <v>0</v>
          </cell>
          <cell r="BA40">
            <v>1388491.6</v>
          </cell>
          <cell r="BB40" t="e">
            <v>#DIV/0!</v>
          </cell>
        </row>
        <row r="40">
          <cell r="BD40">
            <v>87258</v>
          </cell>
          <cell r="BE40" t="e">
            <v>#DIV/0!</v>
          </cell>
          <cell r="BF40">
            <v>0</v>
          </cell>
          <cell r="BG40">
            <v>1475749.6</v>
          </cell>
          <cell r="BH40" t="e">
            <v>#DIV/0!</v>
          </cell>
        </row>
        <row r="40">
          <cell r="BJ40">
            <v>126173</v>
          </cell>
        </row>
        <row r="41">
          <cell r="C41" t="str">
            <v>政采云</v>
          </cell>
          <cell r="D41" t="str">
            <v>经销</v>
          </cell>
          <cell r="E41" t="str">
            <v>经销</v>
          </cell>
          <cell r="F41" t="str">
            <v>杭州市区</v>
          </cell>
        </row>
        <row r="41">
          <cell r="H41" t="str">
            <v>陈雪君</v>
          </cell>
        </row>
        <row r="41">
          <cell r="L41" t="e">
            <v>#DIV/0!</v>
          </cell>
        </row>
        <row r="41">
          <cell r="O41" t="e">
            <v>#DIV/0!</v>
          </cell>
          <cell r="P41">
            <v>0</v>
          </cell>
          <cell r="Q41">
            <v>0</v>
          </cell>
          <cell r="R41" t="e">
            <v>#DIV/0!</v>
          </cell>
        </row>
        <row r="41">
          <cell r="U41" t="e">
            <v>#DIV/0!</v>
          </cell>
          <cell r="V41">
            <v>0</v>
          </cell>
          <cell r="W41">
            <v>0</v>
          </cell>
          <cell r="X41" t="e">
            <v>#DIV/0!</v>
          </cell>
        </row>
        <row r="41">
          <cell r="AA41" t="e">
            <v>#DIV/0!</v>
          </cell>
          <cell r="AB41">
            <v>0</v>
          </cell>
          <cell r="AC41">
            <v>0</v>
          </cell>
          <cell r="AD41" t="e">
            <v>#DIV/0!</v>
          </cell>
        </row>
        <row r="41">
          <cell r="AG41" t="e">
            <v>#DIV/0!</v>
          </cell>
          <cell r="AH41">
            <v>0</v>
          </cell>
          <cell r="AI41">
            <v>0</v>
          </cell>
          <cell r="AJ41" t="e">
            <v>#DIV/0!</v>
          </cell>
        </row>
        <row r="41">
          <cell r="AM41" t="e">
            <v>#DIV/0!</v>
          </cell>
          <cell r="AN41">
            <v>0</v>
          </cell>
          <cell r="AO41">
            <v>0</v>
          </cell>
          <cell r="AP41" t="e">
            <v>#DIV/0!</v>
          </cell>
        </row>
        <row r="41">
          <cell r="AS41" t="e">
            <v>#DIV/0!</v>
          </cell>
          <cell r="AT41">
            <v>0</v>
          </cell>
          <cell r="AU41">
            <v>0</v>
          </cell>
          <cell r="AV41" t="e">
            <v>#DIV/0!</v>
          </cell>
        </row>
        <row r="41">
          <cell r="AY41" t="e">
            <v>#DIV/0!</v>
          </cell>
          <cell r="AZ41">
            <v>0</v>
          </cell>
          <cell r="BA41">
            <v>0</v>
          </cell>
          <cell r="BB41" t="e">
            <v>#DIV/0!</v>
          </cell>
        </row>
        <row r="41">
          <cell r="BE41" t="e">
            <v>#DIV/0!</v>
          </cell>
          <cell r="BF41">
            <v>0</v>
          </cell>
          <cell r="BG41">
            <v>0</v>
          </cell>
          <cell r="BH41" t="e">
            <v>#DIV/0!</v>
          </cell>
        </row>
        <row r="42">
          <cell r="C42" t="str">
            <v>杭州装家百科电器有限公司</v>
          </cell>
          <cell r="D42" t="str">
            <v>家装</v>
          </cell>
          <cell r="E42" t="str">
            <v>家装</v>
          </cell>
          <cell r="F42" t="str">
            <v>杭州市区</v>
          </cell>
          <cell r="G42" t="str">
            <v>西湖区</v>
          </cell>
          <cell r="H42" t="str">
            <v>黄颖</v>
          </cell>
          <cell r="I42">
            <v>80</v>
          </cell>
        </row>
        <row r="42">
          <cell r="T42">
            <v>10661</v>
          </cell>
          <cell r="U42" t="e">
            <v>#DIV/0!</v>
          </cell>
          <cell r="V42">
            <v>0</v>
          </cell>
          <cell r="W42">
            <v>10661</v>
          </cell>
          <cell r="X42" t="e">
            <v>#DIV/0!</v>
          </cell>
        </row>
        <row r="42">
          <cell r="Z42">
            <v>15411</v>
          </cell>
          <cell r="AA42" t="e">
            <v>#DIV/0!</v>
          </cell>
          <cell r="AB42">
            <v>0</v>
          </cell>
          <cell r="AC42">
            <v>26072</v>
          </cell>
          <cell r="AD42" t="e">
            <v>#DIV/0!</v>
          </cell>
        </row>
        <row r="42">
          <cell r="AF42">
            <v>3348</v>
          </cell>
          <cell r="AG42" t="e">
            <v>#DIV/0!</v>
          </cell>
          <cell r="AH42">
            <v>0</v>
          </cell>
          <cell r="AI42">
            <v>29420</v>
          </cell>
          <cell r="AJ42" t="e">
            <v>#DIV/0!</v>
          </cell>
        </row>
        <row r="42">
          <cell r="AM42" t="e">
            <v>#DIV/0!</v>
          </cell>
          <cell r="AN42">
            <v>0</v>
          </cell>
          <cell r="AO42">
            <v>29420</v>
          </cell>
          <cell r="AP42" t="e">
            <v>#DIV/0!</v>
          </cell>
        </row>
        <row r="42">
          <cell r="AS42" t="e">
            <v>#DIV/0!</v>
          </cell>
          <cell r="AT42">
            <v>0</v>
          </cell>
          <cell r="AU42">
            <v>29420</v>
          </cell>
          <cell r="AV42" t="e">
            <v>#DIV/0!</v>
          </cell>
        </row>
        <row r="42">
          <cell r="AY42" t="e">
            <v>#DIV/0!</v>
          </cell>
          <cell r="AZ42">
            <v>0</v>
          </cell>
          <cell r="BA42">
            <v>29420</v>
          </cell>
          <cell r="BB42" t="e">
            <v>#DIV/0!</v>
          </cell>
        </row>
        <row r="42">
          <cell r="BE42" t="e">
            <v>#DIV/0!</v>
          </cell>
          <cell r="BF42">
            <v>0</v>
          </cell>
          <cell r="BG42">
            <v>29420</v>
          </cell>
          <cell r="BH42" t="e">
            <v>#DIV/0!</v>
          </cell>
        </row>
        <row r="42">
          <cell r="BJ42">
            <v>4590</v>
          </cell>
        </row>
        <row r="43">
          <cell r="C43" t="str">
            <v>贝壳美家供应链管理（浙江）有限责任公司</v>
          </cell>
          <cell r="D43" t="str">
            <v>家装</v>
          </cell>
          <cell r="E43" t="str">
            <v>家装</v>
          </cell>
          <cell r="F43" t="str">
            <v>杭州市区</v>
          </cell>
          <cell r="G43" t="str">
            <v>拱墅区</v>
          </cell>
          <cell r="H43" t="str">
            <v>黄颖</v>
          </cell>
          <cell r="I43">
            <v>200</v>
          </cell>
        </row>
        <row r="43">
          <cell r="T43">
            <v>7250</v>
          </cell>
          <cell r="U43" t="e">
            <v>#DIV/0!</v>
          </cell>
          <cell r="V43">
            <v>0</v>
          </cell>
          <cell r="W43">
            <v>7250</v>
          </cell>
          <cell r="X43" t="e">
            <v>#DIV/0!</v>
          </cell>
        </row>
        <row r="43">
          <cell r="AA43" t="e">
            <v>#DIV/0!</v>
          </cell>
          <cell r="AB43">
            <v>0</v>
          </cell>
          <cell r="AC43">
            <v>7250</v>
          </cell>
          <cell r="AD43" t="e">
            <v>#DIV/0!</v>
          </cell>
        </row>
        <row r="43">
          <cell r="AG43" t="e">
            <v>#DIV/0!</v>
          </cell>
          <cell r="AH43">
            <v>0</v>
          </cell>
          <cell r="AI43">
            <v>7250</v>
          </cell>
          <cell r="AJ43" t="e">
            <v>#DIV/0!</v>
          </cell>
        </row>
        <row r="43">
          <cell r="AM43" t="e">
            <v>#DIV/0!</v>
          </cell>
          <cell r="AN43">
            <v>0</v>
          </cell>
          <cell r="AO43">
            <v>7250</v>
          </cell>
          <cell r="AP43" t="e">
            <v>#DIV/0!</v>
          </cell>
        </row>
        <row r="43">
          <cell r="AR43">
            <v>53816</v>
          </cell>
          <cell r="AS43" t="e">
            <v>#DIV/0!</v>
          </cell>
          <cell r="AT43">
            <v>0</v>
          </cell>
          <cell r="AU43">
            <v>61066</v>
          </cell>
          <cell r="AV43" t="e">
            <v>#DIV/0!</v>
          </cell>
        </row>
        <row r="43">
          <cell r="AX43">
            <v>33555</v>
          </cell>
          <cell r="AY43" t="e">
            <v>#DIV/0!</v>
          </cell>
          <cell r="AZ43">
            <v>0</v>
          </cell>
          <cell r="BA43">
            <v>94621</v>
          </cell>
          <cell r="BB43" t="e">
            <v>#DIV/0!</v>
          </cell>
        </row>
        <row r="43">
          <cell r="BD43">
            <v>12823</v>
          </cell>
          <cell r="BE43" t="e">
            <v>#DIV/0!</v>
          </cell>
          <cell r="BF43">
            <v>0</v>
          </cell>
          <cell r="BG43">
            <v>107444</v>
          </cell>
          <cell r="BH43" t="e">
            <v>#DIV/0!</v>
          </cell>
        </row>
        <row r="43">
          <cell r="BJ43">
            <v>36202</v>
          </cell>
        </row>
        <row r="44">
          <cell r="C44" t="str">
            <v>杭州平野实业有限公司</v>
          </cell>
          <cell r="D44" t="str">
            <v>家装</v>
          </cell>
          <cell r="E44" t="str">
            <v>家装</v>
          </cell>
          <cell r="F44" t="str">
            <v>杭州市区</v>
          </cell>
          <cell r="G44" t="str">
            <v>拱墅区</v>
          </cell>
          <cell r="H44" t="str">
            <v>黄颖</v>
          </cell>
          <cell r="I44">
            <v>25</v>
          </cell>
        </row>
        <row r="44">
          <cell r="AB44">
            <v>0</v>
          </cell>
        </row>
        <row r="44">
          <cell r="AG44" t="e">
            <v>#DIV/0!</v>
          </cell>
          <cell r="AH44">
            <v>0</v>
          </cell>
          <cell r="AI44">
            <v>0</v>
          </cell>
          <cell r="AJ44" t="e">
            <v>#DIV/0!</v>
          </cell>
        </row>
        <row r="44">
          <cell r="AM44" t="e">
            <v>#DIV/0!</v>
          </cell>
          <cell r="AN44">
            <v>0</v>
          </cell>
          <cell r="AO44">
            <v>0</v>
          </cell>
          <cell r="AP44" t="e">
            <v>#DIV/0!</v>
          </cell>
        </row>
        <row r="44">
          <cell r="AS44" t="e">
            <v>#DIV/0!</v>
          </cell>
          <cell r="AT44">
            <v>0</v>
          </cell>
          <cell r="AU44">
            <v>0</v>
          </cell>
          <cell r="AV44" t="e">
            <v>#DIV/0!</v>
          </cell>
        </row>
        <row r="44">
          <cell r="AY44" t="e">
            <v>#DIV/0!</v>
          </cell>
          <cell r="AZ44">
            <v>0</v>
          </cell>
          <cell r="BA44">
            <v>0</v>
          </cell>
          <cell r="BB44" t="e">
            <v>#DIV/0!</v>
          </cell>
        </row>
        <row r="44">
          <cell r="BE44" t="e">
            <v>#DIV/0!</v>
          </cell>
          <cell r="BF44">
            <v>0</v>
          </cell>
          <cell r="BG44">
            <v>0</v>
          </cell>
          <cell r="BH44" t="e">
            <v>#DIV/0!</v>
          </cell>
        </row>
        <row r="45">
          <cell r="C45" t="str">
            <v>杭州速简优装饰工程有限公司</v>
          </cell>
          <cell r="D45" t="str">
            <v>家装</v>
          </cell>
          <cell r="E45" t="str">
            <v>家装</v>
          </cell>
          <cell r="F45" t="str">
            <v>杭州市区</v>
          </cell>
          <cell r="G45" t="str">
            <v>拱墅区</v>
          </cell>
          <cell r="H45" t="str">
            <v>黄颖</v>
          </cell>
          <cell r="I45">
            <v>20</v>
          </cell>
        </row>
        <row r="45">
          <cell r="AG45" t="e">
            <v>#DIV/0!</v>
          </cell>
          <cell r="AH45">
            <v>0</v>
          </cell>
          <cell r="AI45">
            <v>0</v>
          </cell>
          <cell r="AJ45" t="e">
            <v>#DIV/0!</v>
          </cell>
        </row>
        <row r="45">
          <cell r="AM45" t="e">
            <v>#DIV/0!</v>
          </cell>
          <cell r="AN45">
            <v>0</v>
          </cell>
          <cell r="AO45">
            <v>0</v>
          </cell>
          <cell r="AP45" t="e">
            <v>#DIV/0!</v>
          </cell>
        </row>
        <row r="45">
          <cell r="AS45" t="e">
            <v>#DIV/0!</v>
          </cell>
          <cell r="AT45">
            <v>0</v>
          </cell>
          <cell r="AU45">
            <v>0</v>
          </cell>
          <cell r="AV45" t="e">
            <v>#DIV/0!</v>
          </cell>
        </row>
        <row r="45">
          <cell r="AY45" t="e">
            <v>#DIV/0!</v>
          </cell>
          <cell r="AZ45">
            <v>0</v>
          </cell>
          <cell r="BA45">
            <v>0</v>
          </cell>
          <cell r="BB45" t="e">
            <v>#DIV/0!</v>
          </cell>
        </row>
        <row r="45">
          <cell r="BE45" t="e">
            <v>#DIV/0!</v>
          </cell>
          <cell r="BF45">
            <v>0</v>
          </cell>
          <cell r="BG45">
            <v>0</v>
          </cell>
          <cell r="BH45" t="e">
            <v>#DIV/0!</v>
          </cell>
        </row>
        <row r="46">
          <cell r="C46" t="str">
            <v>杭州恒大建材超级旗舰店（浙江云顶贸易有限公司）</v>
          </cell>
          <cell r="D46" t="str">
            <v>家装</v>
          </cell>
          <cell r="E46" t="str">
            <v>家装</v>
          </cell>
          <cell r="F46" t="str">
            <v>杭州市区</v>
          </cell>
          <cell r="G46" t="str">
            <v>拱墅区</v>
          </cell>
          <cell r="H46" t="str">
            <v>黄颖</v>
          </cell>
        </row>
        <row r="46">
          <cell r="AF46">
            <v>13000</v>
          </cell>
          <cell r="AG46" t="e">
            <v>#DIV/0!</v>
          </cell>
          <cell r="AH46">
            <v>0</v>
          </cell>
          <cell r="AI46">
            <v>13000</v>
          </cell>
          <cell r="AJ46" t="e">
            <v>#DIV/0!</v>
          </cell>
        </row>
        <row r="46">
          <cell r="AM46" t="e">
            <v>#DIV/0!</v>
          </cell>
          <cell r="AN46">
            <v>0</v>
          </cell>
          <cell r="AO46">
            <v>13000</v>
          </cell>
          <cell r="AP46" t="e">
            <v>#DIV/0!</v>
          </cell>
        </row>
        <row r="46">
          <cell r="AS46" t="e">
            <v>#DIV/0!</v>
          </cell>
          <cell r="AT46">
            <v>0</v>
          </cell>
          <cell r="AU46">
            <v>13000</v>
          </cell>
          <cell r="AV46" t="e">
            <v>#DIV/0!</v>
          </cell>
        </row>
        <row r="46">
          <cell r="AX46">
            <v>3470</v>
          </cell>
          <cell r="AY46" t="e">
            <v>#DIV/0!</v>
          </cell>
          <cell r="AZ46">
            <v>0</v>
          </cell>
          <cell r="BA46">
            <v>16470</v>
          </cell>
          <cell r="BB46" t="e">
            <v>#DIV/0!</v>
          </cell>
        </row>
        <row r="46">
          <cell r="BE46" t="e">
            <v>#DIV/0!</v>
          </cell>
          <cell r="BF46">
            <v>0</v>
          </cell>
          <cell r="BG46">
            <v>16470</v>
          </cell>
          <cell r="BH46" t="e">
            <v>#DIV/0!</v>
          </cell>
        </row>
        <row r="47">
          <cell r="C47" t="str">
            <v>杭州允选科技有限公司</v>
          </cell>
          <cell r="D47" t="str">
            <v>经销</v>
          </cell>
          <cell r="E47" t="str">
            <v>经销</v>
          </cell>
          <cell r="F47" t="str">
            <v>杭州市区</v>
          </cell>
        </row>
        <row r="47">
          <cell r="H47" t="str">
            <v>陈雪君</v>
          </cell>
        </row>
        <row r="47">
          <cell r="AF47">
            <v>66234</v>
          </cell>
          <cell r="AG47" t="e">
            <v>#DIV/0!</v>
          </cell>
          <cell r="AH47">
            <v>0</v>
          </cell>
          <cell r="AI47">
            <v>66234</v>
          </cell>
          <cell r="AJ47" t="e">
            <v>#DIV/0!</v>
          </cell>
        </row>
        <row r="47">
          <cell r="AL47">
            <v>10341.7</v>
          </cell>
          <cell r="AM47" t="e">
            <v>#DIV/0!</v>
          </cell>
          <cell r="AN47">
            <v>0</v>
          </cell>
          <cell r="AO47">
            <v>76575.7</v>
          </cell>
          <cell r="AP47" t="e">
            <v>#DIV/0!</v>
          </cell>
        </row>
        <row r="47">
          <cell r="AR47">
            <v>12445</v>
          </cell>
          <cell r="AS47" t="e">
            <v>#DIV/0!</v>
          </cell>
          <cell r="AT47">
            <v>0</v>
          </cell>
          <cell r="AU47">
            <v>89020.7</v>
          </cell>
          <cell r="AV47" t="e">
            <v>#DIV/0!</v>
          </cell>
        </row>
        <row r="47">
          <cell r="AX47">
            <v>8999</v>
          </cell>
          <cell r="AY47" t="e">
            <v>#DIV/0!</v>
          </cell>
          <cell r="AZ47">
            <v>0</v>
          </cell>
          <cell r="BA47">
            <v>98019.7</v>
          </cell>
          <cell r="BB47" t="e">
            <v>#DIV/0!</v>
          </cell>
        </row>
        <row r="47">
          <cell r="BD47">
            <v>30503.1</v>
          </cell>
          <cell r="BE47" t="e">
            <v>#DIV/0!</v>
          </cell>
          <cell r="BF47">
            <v>0</v>
          </cell>
          <cell r="BG47">
            <v>128522.8</v>
          </cell>
          <cell r="BH47" t="e">
            <v>#DIV/0!</v>
          </cell>
        </row>
        <row r="47">
          <cell r="BJ47">
            <v>17360</v>
          </cell>
        </row>
        <row r="48">
          <cell r="C48" t="str">
            <v>北京天坛装饰工程有限责任公司杭州分公司</v>
          </cell>
          <cell r="D48" t="str">
            <v>家装</v>
          </cell>
          <cell r="E48" t="str">
            <v>家装</v>
          </cell>
          <cell r="F48" t="str">
            <v>杭州市区</v>
          </cell>
          <cell r="G48" t="str">
            <v>拱墅区</v>
          </cell>
          <cell r="H48" t="str">
            <v>黄颖</v>
          </cell>
          <cell r="I48">
            <v>60</v>
          </cell>
        </row>
        <row r="48">
          <cell r="T48">
            <v>35400</v>
          </cell>
          <cell r="U48" t="e">
            <v>#DIV/0!</v>
          </cell>
          <cell r="V48">
            <v>0</v>
          </cell>
          <cell r="W48">
            <v>35400</v>
          </cell>
          <cell r="X48" t="e">
            <v>#DIV/0!</v>
          </cell>
        </row>
        <row r="48">
          <cell r="AA48" t="e">
            <v>#DIV/0!</v>
          </cell>
          <cell r="AB48">
            <v>0</v>
          </cell>
          <cell r="AC48">
            <v>35400</v>
          </cell>
          <cell r="AD48" t="e">
            <v>#DIV/0!</v>
          </cell>
        </row>
        <row r="48">
          <cell r="AF48">
            <v>27200</v>
          </cell>
          <cell r="AG48" t="e">
            <v>#DIV/0!</v>
          </cell>
          <cell r="AH48">
            <v>0</v>
          </cell>
          <cell r="AI48">
            <v>62600</v>
          </cell>
          <cell r="AJ48" t="e">
            <v>#DIV/0!</v>
          </cell>
        </row>
        <row r="48">
          <cell r="AM48" t="e">
            <v>#DIV/0!</v>
          </cell>
          <cell r="AN48">
            <v>0</v>
          </cell>
          <cell r="AO48">
            <v>62600</v>
          </cell>
          <cell r="AP48" t="e">
            <v>#DIV/0!</v>
          </cell>
        </row>
        <row r="48">
          <cell r="AR48">
            <v>47200</v>
          </cell>
          <cell r="AS48" t="e">
            <v>#DIV/0!</v>
          </cell>
          <cell r="AT48">
            <v>0</v>
          </cell>
          <cell r="AU48">
            <v>109800</v>
          </cell>
          <cell r="AV48" t="e">
            <v>#DIV/0!</v>
          </cell>
        </row>
        <row r="48">
          <cell r="AX48">
            <v>17700</v>
          </cell>
          <cell r="AY48" t="e">
            <v>#DIV/0!</v>
          </cell>
          <cell r="AZ48">
            <v>0</v>
          </cell>
          <cell r="BA48">
            <v>127500</v>
          </cell>
          <cell r="BB48" t="e">
            <v>#DIV/0!</v>
          </cell>
        </row>
        <row r="48">
          <cell r="BD48">
            <v>32450</v>
          </cell>
          <cell r="BE48" t="e">
            <v>#DIV/0!</v>
          </cell>
          <cell r="BF48">
            <v>0</v>
          </cell>
          <cell r="BG48">
            <v>159950</v>
          </cell>
          <cell r="BH48" t="e">
            <v>#DIV/0!</v>
          </cell>
        </row>
        <row r="49">
          <cell r="C49" t="str">
            <v>合计</v>
          </cell>
        </row>
        <row r="49">
          <cell r="I49">
            <v>4549</v>
          </cell>
          <cell r="J49">
            <v>1820726.47</v>
          </cell>
          <cell r="K49">
            <v>2134133.92</v>
          </cell>
          <cell r="L49">
            <v>0.172133187034953</v>
          </cell>
          <cell r="M49">
            <v>665632</v>
          </cell>
          <cell r="N49">
            <v>2030936.03</v>
          </cell>
          <cell r="O49">
            <v>2.05113941336955</v>
          </cell>
          <cell r="P49">
            <v>2486358.47</v>
          </cell>
          <cell r="Q49">
            <v>4165069.95</v>
          </cell>
          <cell r="R49">
            <v>0.675168725771067</v>
          </cell>
          <cell r="S49">
            <v>2335229.55</v>
          </cell>
          <cell r="T49">
            <v>3216768.37</v>
          </cell>
          <cell r="U49">
            <v>0.377495574257357</v>
          </cell>
          <cell r="V49">
            <v>4821588.02</v>
          </cell>
          <cell r="W49">
            <v>7381838.32</v>
          </cell>
          <cell r="X49">
            <v>0.530997316523115</v>
          </cell>
          <cell r="Y49">
            <v>2932936.84</v>
          </cell>
          <cell r="Z49">
            <v>3605274.19</v>
          </cell>
          <cell r="AA49">
            <v>0.229236900307748</v>
          </cell>
          <cell r="AB49">
            <v>7754524.86</v>
          </cell>
          <cell r="AC49">
            <v>10987112.51</v>
          </cell>
          <cell r="AD49">
            <v>0.416864696207835</v>
          </cell>
          <cell r="AE49">
            <v>2754128.27</v>
          </cell>
          <cell r="AF49">
            <v>2967154.72</v>
          </cell>
          <cell r="AG49">
            <v>0.0773480495881187</v>
          </cell>
          <cell r="AH49">
            <v>10508653.13</v>
          </cell>
          <cell r="AI49">
            <v>13954267.23</v>
          </cell>
          <cell r="AJ49">
            <v>0.327883512508705</v>
          </cell>
          <cell r="AK49">
            <v>3834503.49</v>
          </cell>
          <cell r="AL49">
            <v>3744100.99</v>
          </cell>
          <cell r="AM49">
            <v>-0.0235760640812455</v>
          </cell>
          <cell r="AN49">
            <v>14343156.62</v>
          </cell>
          <cell r="AO49">
            <v>17698368.22</v>
          </cell>
          <cell r="AP49">
            <v>0.233924211307957</v>
          </cell>
          <cell r="AQ49">
            <v>2104345.24</v>
          </cell>
          <cell r="AR49">
            <v>2351069.78</v>
          </cell>
          <cell r="AS49">
            <v>0.117245276730353</v>
          </cell>
          <cell r="AT49">
            <v>16447501.86</v>
          </cell>
          <cell r="AU49">
            <v>20049438</v>
          </cell>
          <cell r="AV49">
            <v>0.218995940578663</v>
          </cell>
          <cell r="AW49">
            <v>1930214.36</v>
          </cell>
          <cell r="AX49">
            <v>1841887.65</v>
          </cell>
          <cell r="AY49">
            <v>-0.0457600522669409</v>
          </cell>
          <cell r="AZ49">
            <v>18377716.22</v>
          </cell>
          <cell r="BA49">
            <v>21891325.65</v>
          </cell>
          <cell r="BB49">
            <v>0.191188577946167</v>
          </cell>
          <cell r="BC49">
            <v>2928380.34</v>
          </cell>
          <cell r="BD49">
            <v>1665365.53</v>
          </cell>
          <cell r="BE49">
            <v>-0.43130149207326</v>
          </cell>
          <cell r="BF49">
            <v>21306096.56</v>
          </cell>
          <cell r="BG49">
            <v>23556691.18</v>
          </cell>
          <cell r="BH49">
            <v>0.105631485038197</v>
          </cell>
          <cell r="BI49">
            <v>4365273.73</v>
          </cell>
          <cell r="BJ49">
            <v>2242104.59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6.5500578704" refreshedBy="17108" recordCount="730">
  <cacheSource type="worksheet">
    <worksheetSource ref="A1:DR1048576" sheet="Sheet1"/>
  </cacheSource>
  <cacheFields count="122">
    <cacheField name="单据类型" numFmtId="0">
      <sharedItems containsBlank="1" count="5">
        <s v="现款现货收款单"/>
        <s v="销售收款单"/>
        <m/>
        <s v="采暖与工程收款单"/>
        <s v="合计"/>
      </sharedItems>
    </cacheField>
    <cacheField name="单据编号" numFmtId="0">
      <sharedItems containsBlank="1" count="551">
        <s v="SKD250930106"/>
        <s v="SKD250930107"/>
        <s v="SKD250930109"/>
        <s v="SKD250930111"/>
        <s v="SKD250930134"/>
        <s v="SKD250930136"/>
        <s v="SKD250930225"/>
        <s v="SKD250930227"/>
        <s v="SKD250930231"/>
        <m/>
        <s v="SKD251001016"/>
        <s v="SKD251001018"/>
        <s v="SKD251001020"/>
        <s v="SKD251001021"/>
        <s v="SKD251002016"/>
        <s v="SKD251002032"/>
        <s v="SKD251002033"/>
        <s v="SKD251002034"/>
        <s v="SKD251002077"/>
        <s v="SKD251002078"/>
        <s v="SKD251003058"/>
        <s v="SKD251003063"/>
        <s v="SKD251003091"/>
        <s v="SKD251003092"/>
        <s v="SKD251003135"/>
        <s v="SKD251003136"/>
        <s v="SKD251003149"/>
        <s v="SKD251003150"/>
        <s v="SKD251003152"/>
        <s v="SKD251003153"/>
        <s v="SKD251004017"/>
        <s v="SKD251004018"/>
        <s v="SKD251004050"/>
        <s v="SKD251004086"/>
        <s v="SKD251004087"/>
        <s v="SKD251004088"/>
        <s v="SKD251004089"/>
        <s v="SKD251004090"/>
        <s v="SKD251005062"/>
        <s v="SKD251005064"/>
        <s v="SKD251006015"/>
        <s v="SKD251006017"/>
        <s v="SKD251006018"/>
        <s v="SKD251006019"/>
        <s v="SKD251006020"/>
        <s v="SKD251006021"/>
        <s v="SKD251006027"/>
        <s v="SKD251006030"/>
        <s v="SKD251006031"/>
        <s v="SKD251006032"/>
        <s v="SKD251006034"/>
        <s v="SKD251006048"/>
        <s v="SKD251007024"/>
        <s v="SKD251007074"/>
        <s v="SKD251007075"/>
        <s v="SKD251007108"/>
        <s v="SKD251007183"/>
        <s v="SKD251007184"/>
        <s v="SKD251007193"/>
        <s v="SKD251007195"/>
        <s v="SKD251007204"/>
        <s v="SKD251007330"/>
        <s v="SKD251007372"/>
        <s v="SKD251007422"/>
        <s v="SKD251007424"/>
        <s v="SKD251007427"/>
        <s v="SKD251007433"/>
        <s v="SKD251007434"/>
        <s v="SKD251008031"/>
        <s v="SKD251008036"/>
        <s v="SKD251008114"/>
        <s v="SKD251008116"/>
        <s v="SKD251008123"/>
        <s v="SKD251008129"/>
        <s v="SKD251008140"/>
        <s v="SKD251008144"/>
        <s v="SKD251008155"/>
        <s v="SKD251008171"/>
        <s v="SKD251008238"/>
        <s v="SKD251008239"/>
        <s v="SKD251008240"/>
        <s v="SKD251008241"/>
        <s v="SKD251008252"/>
        <s v="SKD251008255"/>
        <s v="SKD251008267"/>
        <s v="SKD251008272"/>
        <s v="SKD251008277"/>
        <s v="SKD251008312"/>
        <s v="SKD251008348"/>
        <s v="SKD251008349"/>
        <s v="SKD251008367"/>
        <s v="SKD251009029"/>
        <s v="SKD251009067"/>
        <s v="SKD251009180"/>
        <s v="SKD251009181"/>
        <s v="SKD251009195"/>
        <s v="SKD251009196"/>
        <s v="SKD251009197"/>
        <s v="SKD251009198"/>
        <s v="SKD251009201"/>
        <s v="SKD251009203"/>
        <s v="SKD251009222"/>
        <s v="SKD251009227"/>
        <s v="SKD251009228"/>
        <s v="SKD251009230"/>
        <s v="SKD251010035"/>
        <s v="SKD251010036"/>
        <s v="SKD251010037"/>
        <s v="SKD251010038"/>
        <s v="SKD251010039"/>
        <s v="SKD251010180"/>
        <s v="SKD251010199"/>
        <s v="SKD251011018"/>
        <s v="SKD251011019"/>
        <s v="SKD251011066"/>
        <s v="SKD251011166"/>
        <s v="SKD251011167"/>
        <s v="SKD251011172"/>
        <s v="SKD251011173"/>
        <s v="SKD251011174"/>
        <s v="SKD251011202"/>
        <s v="SKD251011222"/>
        <s v="SKD251011225"/>
        <s v="SKD251011253"/>
        <s v="SKD251012009"/>
        <s v="SKD251012029"/>
        <s v="SKD251012030"/>
        <s v="SKD251012031"/>
        <s v="SKD251012032"/>
        <s v="SKD251012033"/>
        <s v="SKD251013001"/>
        <s v="SKD251013012"/>
        <s v="SKD251013013"/>
        <s v="SKD251013015"/>
        <s v="SKD251013050"/>
        <s v="SKD251013101"/>
        <s v="SKD251013104"/>
        <s v="SKD251013105"/>
        <s v="SKD251013121"/>
        <s v="SKD251013142"/>
        <s v="SKD251013180"/>
        <s v="SKD251013242"/>
        <s v="SKD251013243"/>
        <s v="SKD251013254"/>
        <s v="SKD251013255"/>
        <s v="SKD251013262"/>
        <s v="SKD251013263"/>
        <s v="SKD251013264"/>
        <s v="SKD251013266"/>
        <s v="SKD251013267"/>
        <s v="SKD251013268"/>
        <s v="SKD251013272"/>
        <s v="SKD251013279"/>
        <s v="SKD251013280"/>
        <s v="SKD251013292"/>
        <s v="SKD251013320"/>
        <s v="SKD251013322"/>
        <s v="SKD251014002"/>
        <s v="SKD251014010"/>
        <s v="SKD251014022"/>
        <s v="SKD251014043"/>
        <s v="SKD251014044"/>
        <s v="SKD251014046"/>
        <s v="SKD251014047"/>
        <s v="SKD251014048"/>
        <s v="SKD251014049"/>
        <s v="SKD251014050"/>
        <s v="SKD251014058"/>
        <s v="SKD251014063"/>
        <s v="SKD251014065"/>
        <s v="SKD251014066"/>
        <s v="SKD251014068"/>
        <s v="SKD251014069"/>
        <s v="SKD251014070"/>
        <s v="SKD251014079"/>
        <s v="SKD251014080"/>
        <s v="SKD251014108"/>
        <s v="SKD251014109"/>
        <s v="SKD251015005"/>
        <s v="SKD251015006"/>
        <s v="SKD251015010"/>
        <s v="SKD251015026"/>
        <s v="SKD251015032"/>
        <s v="SKD251015033"/>
        <s v="SKD251015035"/>
        <s v="SKD251015063"/>
        <s v="SKD251015126"/>
        <s v="SKD251015224"/>
        <s v="SKD251015225"/>
        <s v="SKD251015276"/>
        <s v="SKD251015278"/>
        <s v="SKD251015285"/>
        <s v="SKD251016048"/>
        <s v="SKD251016050"/>
        <s v="SKD251016055"/>
        <s v="SKD251016080"/>
        <s v="SKD251016086"/>
        <s v="SKD251016112"/>
        <s v="SKD251016118"/>
        <s v="SKD251016122"/>
        <s v="SKD251016128"/>
        <s v="SKD251016148"/>
        <s v="SKD251016149"/>
        <s v="SKD251016150"/>
        <s v="SKD251016151"/>
        <s v="SKD251016154"/>
        <s v="SKD251016155"/>
        <s v="SKD251016156"/>
        <s v="SKD251016162"/>
        <s v="SKD251016175"/>
        <s v="SKD251016177"/>
        <s v="SKD251016201"/>
        <s v="SKD251016202"/>
        <s v="SKD251017001"/>
        <s v="SKD251017012"/>
        <s v="SKD251017015"/>
        <s v="SKD251017041"/>
        <s v="SKD251017056"/>
        <s v="SKD251017067"/>
        <s v="SKD251017089"/>
        <s v="SKD251017090"/>
        <s v="SKD251017105"/>
        <s v="SKD251017106"/>
        <s v="SKD251017107"/>
        <s v="SKD251017108"/>
        <s v="SKD251017113"/>
        <s v="SKD251017169"/>
        <s v="SKD251017170"/>
        <s v="SKD251017171"/>
        <s v="SKD251017203"/>
        <s v="SKD251017221"/>
        <s v="SKD251017261"/>
        <s v="SKD251017271"/>
        <s v="SKD251017301"/>
        <s v="SKD251017302"/>
        <s v="SKD251017303"/>
        <s v="SKD251017304"/>
        <s v="SKD251017307"/>
        <s v="SKD251017308"/>
        <s v="SKD251018006"/>
        <s v="SKD251018024"/>
        <s v="SKD251018025"/>
        <s v="SKD251018030"/>
        <s v="SKD251018032"/>
        <s v="SKD251018033"/>
        <s v="SKD251018034"/>
        <s v="SKD251018054"/>
        <s v="SKD251018070"/>
        <s v="SKD251018079"/>
        <s v="SKD251018080"/>
        <s v="SKD251018081"/>
        <s v="SKD251018082"/>
        <s v="SKD251018083"/>
        <s v="SKD251018119"/>
        <s v="SKD251018120"/>
        <s v="SKD251019044"/>
        <s v="SKD251019045"/>
        <s v="SKD251019047"/>
        <s v="SKD251019048"/>
        <s v="SKD251019049"/>
        <s v="SKD251019050"/>
        <s v="SKD251019057"/>
        <s v="SKD251019062"/>
        <s v="SKD251019069"/>
        <s v="SKD251020019"/>
        <s v="SKD251020021"/>
        <s v="SKD251020023"/>
        <s v="SKD251020028"/>
        <s v="SKD251020030"/>
        <s v="SKD251020031"/>
        <s v="SKD251020040"/>
        <s v="SKD251020044"/>
        <s v="SKD251020102"/>
        <s v="SKD251020103"/>
        <s v="SKD251020114"/>
        <s v="SKD251020116"/>
        <s v="SKD251020125"/>
        <s v="SKD251020131"/>
        <s v="SKD251020144"/>
        <s v="SKD251020152"/>
        <s v="SKD251020157"/>
        <s v="SKD251020158"/>
        <s v="SKD251020175"/>
        <s v="SKD251020177"/>
        <s v="SKD251020184"/>
        <s v="SKD251020326"/>
        <s v="SKD251021070"/>
        <s v="SKD251021095"/>
        <s v="SKD251021104"/>
        <s v="SKD251021105"/>
        <s v="SKD251021106"/>
        <s v="SKD251021152"/>
        <s v="SKD251021154"/>
        <s v="SKD251021243"/>
        <s v="SKD251021247"/>
        <s v="SKD251021260"/>
        <s v="SKD251021300"/>
        <s v="SKD251021301"/>
        <s v="SKD251022005"/>
        <s v="SKD251022008"/>
        <s v="SKD251022010"/>
        <s v="SKD251022011"/>
        <s v="SKD251022018"/>
        <s v="SKD251022020"/>
        <s v="SKD251022049"/>
        <s v="SKD251022099"/>
        <s v="SKD251022100"/>
        <s v="SKD251022101"/>
        <s v="SKD251022102"/>
        <s v="SKD251022103"/>
        <s v="SKD251022104"/>
        <s v="SKD251022105"/>
        <s v="SKD251022106"/>
        <s v="SKD251022108"/>
        <s v="SKD251022109"/>
        <s v="SKD251022110"/>
        <s v="SKD251022111"/>
        <s v="SKD251022112"/>
        <s v="SKD251022113"/>
        <s v="SKD251022115"/>
        <s v="SKD251022124"/>
        <s v="SKD251022126"/>
        <s v="SKD251022130"/>
        <s v="SKD251022131"/>
        <s v="SKD251022132"/>
        <s v="SKD251022133"/>
        <s v="SKD251022134"/>
        <s v="SKD251022135"/>
        <s v="SKD251022139"/>
        <s v="SKD251022140"/>
        <s v="SKD251023003"/>
        <s v="SKD251023004"/>
        <s v="SKD251023007"/>
        <s v="SKD251023010"/>
        <s v="SKD251023011"/>
        <s v="SKD251023019"/>
        <s v="SKD251023021"/>
        <s v="SKD251023037"/>
        <s v="SKD251023038"/>
        <s v="SKD251023043"/>
        <s v="SKD251023061"/>
        <s v="SKD251023075"/>
        <s v="SKD251023079"/>
        <s v="SKD251023096"/>
        <s v="SKD251023104"/>
        <s v="SKD251023112"/>
        <s v="SKD251023116"/>
        <s v="SKD251023121"/>
        <s v="SKD251023132"/>
        <s v="SKD251023133"/>
        <s v="SKD251023135"/>
        <s v="SKD251023139"/>
        <s v="SKD251023141"/>
        <s v="SKD251023151"/>
        <s v="SKD251023152"/>
        <s v="SKD251024006"/>
        <s v="SKD251024018"/>
        <s v="SKD251024030"/>
        <s v="SKD251024052"/>
        <s v="SKD251024053"/>
        <s v="SKD251024066"/>
        <s v="SKD251024069"/>
        <s v="SKD251024122"/>
        <s v="SKD251024123"/>
        <s v="SKD251024127"/>
        <s v="SKD251024133"/>
        <s v="SKD251024135"/>
        <s v="SKD251024136"/>
        <s v="SKD251024137"/>
        <s v="SKD251024138"/>
        <s v="SKD251024163"/>
        <s v="SKD251024164"/>
        <s v="SKD251024169"/>
        <s v="SKD251024178"/>
        <s v="SKD251024179"/>
        <s v="SKD251024182"/>
        <s v="SKD251025056"/>
        <s v="SKD251025068"/>
        <s v="SKD251025069"/>
        <s v="SKD251025098"/>
        <s v="SKD251025100"/>
        <s v="SKD251025103"/>
        <s v="SKD251025106"/>
        <s v="SKD251025143"/>
        <s v="SKD251025155"/>
        <s v="SKD251025157"/>
        <s v="SKD251025203"/>
        <s v="SKD251025293"/>
        <s v="SKD251025299"/>
        <s v="SKD251025319"/>
        <s v="SKD251025320"/>
        <s v="SKD251025322"/>
        <s v="SKD251025323"/>
        <s v="SKD251026001"/>
        <s v="SKD251026032"/>
        <s v="SKD251026035"/>
        <s v="SKD251026047"/>
        <s v="SKD251026048"/>
        <s v="SKD251026049"/>
        <s v="SKD251026053"/>
        <s v="SKD251026054"/>
        <s v="SKD251026055"/>
        <s v="SKD251026056"/>
        <s v="SKD251026057"/>
        <s v="SKD251026058"/>
        <s v="SKD251026059"/>
        <s v="SKD251026060"/>
        <s v="SKD251026061"/>
        <s v="SKD251026062"/>
        <s v="SKD251026064"/>
        <s v="SKD251026066"/>
        <s v="SKD251026068"/>
        <s v="SKD251026069"/>
        <s v="SKD251026078"/>
        <s v="SKD251026079"/>
        <s v="SKD251026109"/>
        <s v="SKD251026110"/>
        <s v="SKD251026111"/>
        <s v="SKD251026114"/>
        <s v="SKD251026129"/>
        <s v="SKD251026130"/>
        <s v="SKD251026131"/>
        <s v="SKD251026132"/>
        <s v="SKD251027001"/>
        <s v="SKD251027041"/>
        <s v="SKD251027044"/>
        <s v="SKD251027045"/>
        <s v="SKD251027056"/>
        <s v="SKD251027095"/>
        <s v="SKD251027104"/>
        <s v="SKD251027109"/>
        <s v="SKD251027143"/>
        <s v="SKD251027164"/>
        <s v="SKD251027168"/>
        <s v="SKD251027170"/>
        <s v="SKD251027171"/>
        <s v="SKD251027172"/>
        <s v="SKD251027173"/>
        <s v="SKD251027174"/>
        <s v="SKD251027175"/>
        <s v="SKD251027176"/>
        <s v="SKD251027177"/>
        <s v="SKD251027188"/>
        <s v="SKD251027189"/>
        <s v="SKD251027191"/>
        <s v="SKD251027201"/>
        <s v="SKD251027202"/>
        <s v="SKD251027210"/>
        <s v="SKD251027220"/>
        <s v="SKD251027233"/>
        <s v="SKD251027234"/>
        <s v="SKD251027235"/>
        <s v="SKD251027243"/>
        <s v="SKD251027245"/>
        <s v="SKD251027256"/>
        <s v="SKD251027260"/>
        <s v="SKD251027295"/>
        <s v="SKD251027315"/>
        <s v="SKD251027317"/>
        <s v="SKD251027318"/>
        <s v="SKD251028004"/>
        <s v="SKD251028011"/>
        <s v="SKD251028028"/>
        <s v="SKD251028029"/>
        <s v="SKD251028030"/>
        <s v="SKD251028038"/>
        <s v="SKD251028061"/>
        <s v="SKD251028062"/>
        <s v="SKD251028063"/>
        <s v="SKD251028064"/>
        <s v="SKD251028067"/>
        <s v="SKD251028068"/>
        <s v="SKD251028074"/>
        <s v="SKD251028075"/>
        <s v="SKD251028076"/>
        <s v="SKD251028077"/>
        <s v="SKD251028157"/>
        <s v="SKD251028159"/>
        <s v="SKD251028176"/>
        <s v="SKD251028195"/>
        <s v="SKD251028217"/>
        <s v="SKD251028238"/>
        <s v="SKD251028240"/>
        <s v="SKD251028241"/>
        <s v="SKD251028243"/>
        <s v="SKD251028246"/>
        <s v="SKD251028248"/>
        <s v="SKD251028250"/>
        <s v="SKD251028251"/>
        <s v="SKD251028252"/>
        <s v="SKD251028258"/>
        <s v="SKD251029009"/>
        <s v="SKD251029011"/>
        <s v="SKD251029019"/>
        <s v="SKD251029153"/>
        <s v="SKD251029154"/>
        <s v="SKD251029244"/>
        <s v="SKD251029294"/>
        <s v="SKD251029311"/>
        <s v="SKD251030005"/>
        <s v="SKD251030007"/>
        <s v="SKD251030009"/>
        <s v="SKD251030010"/>
        <s v="SKD251030025"/>
        <s v="SKD251030064"/>
        <s v="SKD251030066"/>
        <s v="SKD251030077"/>
        <s v="SKD251030079"/>
        <s v="SKD251030083"/>
        <s v="SKD251030085"/>
        <s v="SKD251030099"/>
        <s v="SKD251030101"/>
        <s v="SKD251030102"/>
        <s v="SKD251030109"/>
        <s v="SKD251030141"/>
        <s v="SKD251030143"/>
        <s v="SKD251030144"/>
        <s v="SKD251030146"/>
        <s v="SKD251030153"/>
        <s v="SKD251030157"/>
        <s v="SKD251030158"/>
        <s v="SKD251030159"/>
        <s v="SKD251030162"/>
        <s v="SKD251030186"/>
        <s v="SKD251031002"/>
        <s v="SKD251031009"/>
        <s v="SKD251031016"/>
        <s v="SKD251031017"/>
        <s v="SKD251031041"/>
        <s v="SKD251031051"/>
        <s v="SKD251031054"/>
        <s v="SKD251031055"/>
        <s v="SKD251031056"/>
        <s v="SKD251031057"/>
        <s v="SKD251031060"/>
        <s v="SKD251031062"/>
        <s v="SKD251031063"/>
        <s v="SKD251031064"/>
        <s v="SKD251031070"/>
        <s v="SKD251031071"/>
        <s v="SKD251031075"/>
        <s v="SKD251031077"/>
        <s v="SKD251031086"/>
        <s v="SKD251031091"/>
        <s v="SKD251031093"/>
        <s v="SKD251031096"/>
        <s v="SKD251031116"/>
        <s v="SKD251101002"/>
        <s v="SKD251101035"/>
        <s v="SKD251101039"/>
        <s v="SKD251103162"/>
      </sharedItems>
    </cacheField>
    <cacheField name="客户所属区域" numFmtId="0">
      <sharedItems containsBlank="1" count="5">
        <s v="杭州"/>
        <m/>
        <s v="金华"/>
        <s v="湖州"/>
        <s v="台州"/>
      </sharedItems>
    </cacheField>
    <cacheField name="业务日期" numFmtId="0">
      <sharedItems containsBlank="1" count="32">
        <s v="2025/10/9"/>
        <s v="2025/10/1"/>
        <m/>
        <s v="2025/10/2"/>
        <s v="2025/10/3"/>
        <s v="2025/10/4"/>
        <s v="2025/10/5"/>
        <s v="2025/10/6"/>
        <s v="2025/10/7"/>
        <s v="2025/10/8"/>
        <s v="2025/10/10"/>
        <s v="2025/10/11"/>
        <s v="2025/10/13"/>
        <s v="2025/10/12"/>
        <s v="2025/10/14"/>
        <s v="2025/10/15"/>
        <s v="2025/10/16"/>
        <s v="2025/10/17"/>
        <s v="2025/10/20"/>
        <s v="2025/10/18"/>
        <s v="2025/10/19"/>
        <s v="2025/10/21"/>
        <s v="2025/10/22"/>
        <s v="2025/10/23"/>
        <s v="2025/10/24"/>
        <s v="2025/10/25"/>
        <s v="2025/10/26"/>
        <s v="2025/10/27"/>
        <s v="2025/10/28"/>
        <s v="2025/10/29"/>
        <s v="2025/10/30"/>
        <s v="2025/10/31"/>
      </sharedItems>
    </cacheField>
    <cacheField name="往来单位类型" numFmtId="0">
      <sharedItems containsBlank="1" count="2">
        <s v="客户"/>
        <m/>
      </sharedItems>
    </cacheField>
    <cacheField name="付款单位类型" numFmtId="0">
      <sharedItems containsBlank="1" count="2">
        <s v="客户"/>
        <m/>
      </sharedItems>
    </cacheField>
    <cacheField name="币别" numFmtId="0">
      <sharedItems containsBlank="1" count="2">
        <s v="人民币"/>
        <m/>
      </sharedItems>
    </cacheField>
    <cacheField name="表头-应收金额" numFmtId="0">
      <sharedItems containsString="0" containsBlank="1" containsNumber="1" minValue="0" maxValue="3687940.63" count="410">
        <n v="2855.15"/>
        <n v="503.85"/>
        <n v="2623.2"/>
        <n v="655.8"/>
        <n v="4799.2"/>
        <n v="1199.8"/>
        <n v="11406"/>
        <m/>
        <n v="2991.2"/>
        <n v="747.8"/>
        <n v="2240"/>
        <n v="560"/>
        <n v="4399"/>
        <n v="4059"/>
        <n v="3599"/>
        <n v="2360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17300"/>
        <n v="17592"/>
        <n v="25305"/>
        <n v="22658"/>
        <n v="10731"/>
        <n v="4015.2"/>
        <n v="1003.8"/>
        <n v="5988"/>
        <n v="4351.15"/>
        <n v="767.85"/>
        <n v="3998"/>
        <n v="828"/>
        <n v="3869"/>
        <n v="35000"/>
        <n v="1999"/>
        <n v="350"/>
        <n v="3395"/>
        <n v="3091"/>
        <n v="2863.2"/>
        <n v="715.8"/>
        <n v="4590"/>
        <n v="11696"/>
        <n v="2172"/>
        <n v="1397.6"/>
        <n v="79610"/>
        <n v="5667"/>
        <n v="4791"/>
        <n v="790"/>
        <n v="5872"/>
        <n v="8362"/>
        <n v="3519.2"/>
        <n v="879.8"/>
        <n v="7270"/>
        <n v="2975"/>
        <n v="1240"/>
        <n v="310"/>
        <n v="6502"/>
        <n v="3414"/>
        <n v="808"/>
        <n v="6599.28"/>
        <n v="10000"/>
        <n v="2911.2"/>
        <n v="727.8"/>
        <n v="1600"/>
        <n v="400"/>
        <n v="4124"/>
        <n v="3365"/>
        <n v="30"/>
        <n v="73131"/>
        <n v="3000"/>
        <n v="1488"/>
        <n v="3620"/>
        <n v="2445"/>
        <n v="6616"/>
        <n v="3900"/>
        <n v="2380"/>
        <n v="595"/>
        <n v="3280"/>
        <n v="22330"/>
        <n v="22026"/>
        <n v="20236"/>
        <n v="25706"/>
        <n v="7129.8"/>
        <n v="1258.2"/>
        <n v="4800"/>
        <n v="5904.6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32004"/>
        <n v="12018"/>
        <n v="3701"/>
        <n v="2608"/>
        <n v="188"/>
        <n v="1340"/>
        <n v="4086"/>
        <n v="2972.8"/>
        <n v="743.2"/>
        <n v="4279"/>
        <n v="19733"/>
        <n v="7020"/>
        <n v="4764"/>
        <n v="9847.7"/>
        <n v="15392"/>
        <n v="4400"/>
        <n v="898"/>
        <n v="7000"/>
        <n v="4039"/>
        <n v="6354"/>
        <n v="5100"/>
        <n v="3958"/>
        <n v="6440"/>
        <n v="1310"/>
        <n v="5032.8"/>
        <n v="11629.8"/>
        <n v="162108.3"/>
        <n v="4612.8"/>
        <n v="1153.2"/>
        <n v="62620.6"/>
        <n v="3600"/>
        <n v="2789"/>
        <n v="300000"/>
        <n v="1621"/>
        <n v="4078.4"/>
        <n v="1019.6"/>
        <n v="1560"/>
        <n v="390"/>
        <n v="50000"/>
        <n v="2462.2"/>
        <n v="703.8"/>
        <n v="124.2"/>
        <n v="2950"/>
        <n v="8380"/>
        <n v="2620"/>
        <n v="655"/>
        <n v="4847.2"/>
        <n v="1211.8"/>
        <n v="10972"/>
        <n v="12178"/>
        <n v="3460"/>
        <n v="31288"/>
        <n v="800"/>
        <n v="3180"/>
        <n v="10124"/>
        <n v="4277"/>
        <n v="6917.96"/>
        <n v="3679"/>
        <n v="1960"/>
        <n v="490"/>
        <n v="2715.2"/>
        <n v="678.8"/>
        <n v="242"/>
        <n v="890"/>
        <n v="8148"/>
        <n v="3504"/>
        <n v="4798"/>
        <n v="36202"/>
        <n v="3120"/>
        <n v="113351.2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5999"/>
        <n v="2741"/>
        <n v="3500"/>
        <n v="750"/>
        <n v="2698"/>
        <n v="8000"/>
        <n v="2800"/>
        <n v="3636"/>
        <n v="2558"/>
        <n v="22438"/>
        <n v="17440"/>
        <n v="1760"/>
        <n v="440"/>
        <n v="20000"/>
        <n v="4638"/>
        <n v="4289"/>
        <n v="4458"/>
        <n v="6981"/>
        <n v="1618"/>
        <n v="730"/>
        <n v="2745"/>
        <n v="3299.2"/>
        <n v="824.8"/>
        <n v="9100"/>
        <n v="4249"/>
        <n v="28656"/>
        <n v="14204"/>
        <n v="6000"/>
        <n v="3200"/>
        <n v="295"/>
        <n v="3060"/>
        <n v="3360"/>
        <n v="791"/>
        <n v="1903.2"/>
        <n v="475.8"/>
        <n v="2196"/>
        <n v="549"/>
        <n v="17920"/>
        <n v="5850"/>
        <n v="1440.75"/>
        <n v="1162.7"/>
        <n v="464.65"/>
        <n v="773.9"/>
        <n v="20479"/>
        <n v="2100"/>
        <n v="2300"/>
        <n v="6052.76"/>
        <n v="3291"/>
        <n v="3244"/>
        <n v="811"/>
        <n v="1379"/>
        <n v="6291"/>
        <n v="618"/>
        <n v="6500"/>
        <n v="23664"/>
        <n v="2845.08"/>
        <n v="2597.6"/>
        <n v="649.4"/>
        <n v="5707"/>
        <n v="789"/>
        <n v="93.7"/>
        <n v="0.01"/>
        <n v="3311.2"/>
        <n v="827.8"/>
        <n v="1196"/>
        <n v="2850"/>
        <n v="5238.8"/>
        <n v="5800"/>
        <n v="4048.2"/>
        <n v="2481.7"/>
        <n v="7480.75"/>
        <n v="4299"/>
        <n v="3917"/>
        <n v="3838"/>
        <n v="15739.2"/>
        <n v="2070"/>
        <n v="2360.8"/>
        <n v="590.2"/>
        <n v="3245"/>
        <n v="71511.68"/>
        <n v="6122.84"/>
        <n v="492.3"/>
        <n v="4639"/>
        <n v="26190"/>
        <n v="5430.4"/>
        <n v="1357.6"/>
        <n v="5918"/>
        <n v="12768"/>
        <n v="24051"/>
        <n v="21623"/>
        <n v="770"/>
        <n v="3136"/>
        <n v="3230"/>
        <n v="2984"/>
        <n v="2685.6"/>
        <n v="8364"/>
        <n v="5089.8"/>
        <n v="898.2"/>
        <n v="2079"/>
        <n v="37360.6"/>
        <n v="2200"/>
        <n v="3832.8"/>
        <n v="958.2"/>
        <n v="3369"/>
        <n v="5360"/>
        <n v="7200"/>
        <n v="2496"/>
        <n v="836"/>
        <n v="4000"/>
        <n v="351"/>
        <n v="3990"/>
        <n v="20674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25754"/>
        <n v="3298"/>
        <n v="10632"/>
        <n v="1800"/>
        <n v="450"/>
        <n v="14000"/>
        <n v="3128"/>
        <n v="3788"/>
        <n v="5880.8"/>
        <n v="1470.2"/>
        <n v="2986"/>
        <n v="3070"/>
        <n v="4162"/>
        <n v="6800"/>
        <n v="1200"/>
        <n v="3888"/>
        <n v="2594"/>
        <n v="3209.2"/>
        <n v="8055"/>
        <n v="3908"/>
        <n v="2856.8"/>
        <n v="714.2"/>
        <n v="15000"/>
        <n v="11317.8"/>
        <n v="2033.6"/>
        <n v="508.4"/>
        <n v="23400"/>
        <n v="150000"/>
        <n v="8006"/>
        <n v="6983"/>
        <n v="4160"/>
        <n v="1040"/>
        <n v="30887.28"/>
        <n v="873"/>
        <n v="10102.4"/>
        <n v="416.63"/>
        <n v="24350"/>
        <n v="24339"/>
        <n v="9767.4"/>
        <n v="2680"/>
        <n v="670"/>
        <n v="18473"/>
        <n v="32317"/>
        <n v="136.9"/>
        <n v="4699"/>
        <n v="47"/>
        <n v="4781.4"/>
        <n v="2936.8"/>
        <n v="734.2"/>
        <n v="3311"/>
        <n v="3150"/>
        <n v="2576"/>
        <n v="6272"/>
        <n v="543"/>
        <n v="1840"/>
        <n v="460"/>
        <n v="9431.92"/>
        <n v="3680"/>
        <n v="920"/>
        <n v="508"/>
        <n v="3130"/>
        <n v="2654"/>
        <n v="3688"/>
        <n v="3848"/>
        <n v="8980"/>
        <n v="1839"/>
        <n v="4239"/>
        <n v="8229"/>
        <n v="2231.2"/>
        <n v="557.8"/>
        <n v="222"/>
        <n v="1500"/>
        <n v="4238"/>
        <n v="8559"/>
        <n v="7490"/>
        <n v="854"/>
        <n v="16098"/>
        <n v="2860"/>
        <n v="3687940.63"/>
      </sharedItems>
    </cacheField>
    <cacheField name="表头-实收金额" numFmtId="0">
      <sharedItems containsString="0" containsBlank="1" containsNumber="1" minValue="0" maxValue="3682577.51" count="434">
        <n v="2838.02"/>
        <n v="503.85"/>
        <n v="2607.46"/>
        <n v="655.8"/>
        <n v="4770.4"/>
        <n v="1199.8"/>
        <n v="11331.86"/>
        <m/>
        <n v="2973.25"/>
        <n v="747.8"/>
        <n v="2226.56"/>
        <n v="560"/>
        <n v="4399"/>
        <n v="4050.27"/>
        <n v="3591.26"/>
        <n v="2360"/>
        <n v="2071"/>
        <n v="3439"/>
        <n v="3431.61"/>
        <n v="5220"/>
        <n v="2446.04"/>
        <n v="615.2"/>
        <n v="3639"/>
        <n v="2591"/>
        <n v="2891.35"/>
        <n v="727.2"/>
        <n v="4481"/>
        <n v="6365"/>
        <n v="3695.29"/>
        <n v="929.4"/>
        <n v="5000"/>
        <n v="17187.53"/>
        <n v="17477.65"/>
        <n v="25140.51"/>
        <n v="22510.72"/>
        <n v="10661.25"/>
        <n v="3991.11"/>
        <n v="1003.8"/>
        <n v="5988"/>
        <n v="4325.04"/>
        <n v="767.85"/>
        <n v="3998"/>
        <n v="828"/>
        <n v="3869"/>
        <n v="35000"/>
        <n v="1999"/>
        <n v="350"/>
        <n v="3395"/>
        <n v="3091"/>
        <n v="2846.02"/>
        <n v="715.8"/>
        <n v="4590"/>
        <n v="11619.97"/>
        <n v="2157.88"/>
        <n v="1397.6"/>
        <n v="79610"/>
        <n v="5667"/>
        <n v="4791"/>
        <n v="790"/>
        <n v="5859.38"/>
        <n v="8362"/>
        <n v="3498.08"/>
        <n v="879.8"/>
        <n v="7254.37"/>
        <n v="2975"/>
        <n v="1232.56"/>
        <n v="310"/>
        <n v="6502"/>
        <n v="3406.66"/>
        <n v="808"/>
        <n v="6599.28"/>
        <n v="10000"/>
        <n v="2893.73"/>
        <n v="727.8"/>
        <n v="1590.4"/>
        <n v="400"/>
        <n v="4124"/>
        <n v="3365"/>
        <n v="30"/>
        <n v="73131"/>
        <n v="3000"/>
        <n v="1488"/>
        <n v="3612.22"/>
        <n v="2445"/>
        <n v="6601.78"/>
        <n v="5872"/>
        <n v="3900"/>
        <n v="2365.72"/>
        <n v="595"/>
        <n v="3280"/>
        <n v="22330"/>
        <n v="21893.83"/>
        <n v="20114.58"/>
        <n v="25551.74"/>
        <n v="7129.8"/>
        <n v="1258.2"/>
        <n v="4800"/>
        <n v="5904.6"/>
        <n v="5124"/>
        <n v="1987.2"/>
        <n v="499.8"/>
        <n v="2400"/>
        <n v="2778"/>
        <n v="5871"/>
        <n v="7092.39"/>
        <n v="1783.8"/>
        <n v="32"/>
        <n v="5816"/>
        <n v="4540.49"/>
        <n v="806.1"/>
        <n v="398"/>
        <n v="3108.44"/>
        <n v="781.8"/>
        <n v="10515.53"/>
        <n v="2000"/>
        <n v="4810"/>
        <n v="31795.96"/>
        <n v="11945.89"/>
        <n v="3678.79"/>
        <n v="2602.39"/>
        <n v="29.94"/>
        <n v="187.6"/>
        <n v="6488.02"/>
        <n v="1340"/>
        <n v="4086"/>
        <n v="2954.96"/>
        <n v="743.2"/>
        <n v="4279"/>
        <n v="19733"/>
        <n v="7020"/>
        <n v="4764"/>
        <n v="9847.7"/>
        <n v="15392"/>
        <n v="4400"/>
        <n v="898"/>
        <n v="7000"/>
        <n v="2982"/>
        <n v="4039"/>
        <n v="6354"/>
        <n v="5100"/>
        <n v="3958"/>
        <n v="6440"/>
        <n v="1310"/>
        <n v="2240"/>
        <n v="5002.6"/>
        <n v="11629.8"/>
        <n v="162108.3"/>
        <n v="4585.12"/>
        <n v="1153.2"/>
        <n v="62620.6"/>
        <n v="3600"/>
        <n v="2789"/>
        <n v="300000"/>
        <n v="1621"/>
        <n v="4078.4"/>
        <n v="1019.6"/>
        <n v="1550.64"/>
        <n v="390"/>
        <n v="50000"/>
        <n v="2462.2"/>
        <n v="699.58"/>
        <n v="124.2"/>
        <n v="2950"/>
        <n v="8380"/>
        <n v="2604.28"/>
        <n v="655"/>
        <n v="4818.12"/>
        <n v="1211.8"/>
        <n v="10972"/>
        <n v="12104.94"/>
        <n v="3439.24"/>
        <n v="31100.26"/>
        <n v="798.28"/>
        <n v="3180"/>
        <n v="10124"/>
        <n v="4277"/>
        <n v="6917.96"/>
        <n v="3679"/>
        <n v="1948.24"/>
        <n v="490"/>
        <n v="2698.91"/>
        <n v="678.8"/>
        <n v="242"/>
        <n v="890"/>
        <n v="8148"/>
        <n v="3504"/>
        <n v="4787.68"/>
        <n v="36202"/>
        <n v="3120"/>
        <n v="113351.28"/>
        <n v="1479.07"/>
        <n v="1972.1"/>
        <n v="372"/>
        <n v="496"/>
        <n v="799"/>
        <n v="615.93"/>
        <n v="109.35"/>
        <n v="7351"/>
        <n v="850"/>
        <n v="3379.6"/>
        <n v="600"/>
        <n v="31.81"/>
        <n v="1700"/>
        <n v="994"/>
        <n v="7438.76"/>
        <n v="700"/>
        <n v="2385.6"/>
        <n v="2578"/>
        <n v="5999"/>
        <n v="2741"/>
        <n v="3500"/>
        <n v="748.39"/>
        <n v="2698"/>
        <n v="8000"/>
        <n v="2800"/>
        <n v="3636"/>
        <n v="2558"/>
        <n v="22292.14"/>
        <n v="17326.64"/>
        <n v="1749.44"/>
        <n v="440"/>
        <n v="2855.15"/>
        <n v="750"/>
        <n v="20000"/>
        <n v="4628.03"/>
        <n v="3628.18"/>
        <n v="4279.78"/>
        <n v="4458"/>
        <n v="6981"/>
        <n v="1618"/>
        <n v="730"/>
        <n v="2745"/>
        <n v="3299.2"/>
        <n v="824.8"/>
        <n v="9100"/>
        <n v="4249"/>
        <n v="28484.05"/>
        <n v="14118.76"/>
        <n v="6000"/>
        <n v="3180.8"/>
        <n v="800"/>
        <n v="295"/>
        <n v="3053.42"/>
        <n v="3360"/>
        <n v="791"/>
        <n v="1891.78"/>
        <n v="475.8"/>
        <n v="2182.82"/>
        <n v="549"/>
        <n v="17812.48"/>
        <n v="5850"/>
        <n v="1440.75"/>
        <n v="1162.7"/>
        <n v="464.65"/>
        <n v="773.9"/>
        <n v="20356.11"/>
        <n v="2100"/>
        <n v="2300"/>
        <n v="6052.76"/>
        <n v="3291"/>
        <n v="3224.54"/>
        <n v="811"/>
        <n v="1379"/>
        <n v="6277.47"/>
        <n v="618"/>
        <n v="6291"/>
        <n v="6486.02"/>
        <n v="23664"/>
        <n v="2845.08"/>
        <n v="2582.01"/>
        <n v="649.4"/>
        <n v="5707"/>
        <n v="789"/>
        <n v="93.7"/>
        <n v="0.01"/>
        <n v="3291.33"/>
        <n v="827.8"/>
        <n v="1196"/>
        <n v="2843.87"/>
        <n v="5238.8"/>
        <n v="5800"/>
        <n v="4048.2"/>
        <n v="2481.7"/>
        <n v="7480.75"/>
        <n v="4299"/>
        <n v="3917"/>
        <n v="3838"/>
        <n v="15739.2"/>
        <n v="2070"/>
        <n v="2346.64"/>
        <n v="590.2"/>
        <n v="3245"/>
        <n v="71511.68"/>
        <n v="6122.84"/>
        <n v="492.3"/>
        <n v="4639"/>
        <n v="26190"/>
        <n v="2196"/>
        <n v="5397.82"/>
        <n v="1357.6"/>
        <n v="5918"/>
        <n v="12768"/>
        <n v="23906.67"/>
        <n v="21482.45"/>
        <n v="2793.98"/>
        <n v="770"/>
        <n v="3136"/>
        <n v="3230"/>
        <n v="2977.58"/>
        <n v="2685.6"/>
        <n v="8364"/>
        <n v="5059.26"/>
        <n v="898.2"/>
        <n v="2074.53"/>
        <n v="37360.6"/>
        <n v="1596.56"/>
        <n v="2200"/>
        <n v="3809.8"/>
        <n v="958.2"/>
        <n v="3369"/>
        <n v="5327.84"/>
        <n v="7200"/>
        <n v="2496"/>
        <n v="836"/>
        <n v="3976"/>
        <n v="1000"/>
        <n v="351"/>
        <n v="3990"/>
        <n v="20674"/>
        <n v="1893"/>
        <n v="1895"/>
        <n v="3138"/>
        <n v="5539.36"/>
        <n v="1393.2"/>
        <n v="2984"/>
        <n v="4295"/>
        <n v="9600"/>
        <n v="954.24"/>
        <n v="240"/>
        <n v="5597"/>
        <n v="3994.39"/>
        <n v="4002"/>
        <n v="4020"/>
        <n v="4180"/>
        <n v="10258"/>
        <n v="3708"/>
        <n v="8127.49"/>
        <n v="135"/>
        <n v="3139"/>
        <n v="3270"/>
        <n v="25586.59"/>
        <n v="3278.21"/>
        <n v="10568.2"/>
        <n v="1789.2"/>
        <n v="450"/>
        <n v="14000"/>
        <n v="3128"/>
        <n v="3788"/>
        <n v="5845.52"/>
        <n v="1470.2"/>
        <n v="2986"/>
        <n v="3063.4"/>
        <n v="5880.8"/>
        <n v="4162"/>
        <n v="6759.2"/>
        <n v="1200"/>
        <n v="3400"/>
        <n v="3888"/>
        <n v="2594"/>
        <n v="3209.2"/>
        <n v="8055"/>
        <n v="3908"/>
        <n v="2839.66"/>
        <n v="714.2"/>
        <n v="15000"/>
        <n v="11317.8"/>
        <n v="2021.4"/>
        <n v="508.4"/>
        <n v="23400"/>
        <n v="150000"/>
        <n v="7988.79"/>
        <n v="6983"/>
        <n v="4135.04"/>
        <n v="1040"/>
        <n v="30887.28"/>
        <n v="873"/>
        <n v="10102.4"/>
        <n v="416.63"/>
        <n v="24350"/>
        <n v="24339"/>
        <n v="9767.4"/>
        <n v="2663.92"/>
        <n v="670"/>
        <n v="18362.15"/>
        <n v="32123.07"/>
        <n v="136.9"/>
        <n v="4688.9"/>
        <n v="47"/>
        <n v="4781.4"/>
        <n v="2919.18"/>
        <n v="734.2"/>
        <n v="3303.88"/>
        <n v="3150"/>
        <n v="2576"/>
        <n v="6258.52"/>
        <n v="543"/>
        <n v="1828.96"/>
        <n v="460"/>
        <n v="9431.92"/>
        <n v="8145"/>
        <n v="3657.92"/>
        <n v="920"/>
        <n v="508"/>
        <n v="3123.27"/>
        <n v="2648.29"/>
        <n v="3688"/>
        <n v="2295.05"/>
        <n v="3839.73"/>
        <n v="8980"/>
        <n v="1839"/>
        <n v="4239"/>
        <n v="5430.4"/>
        <n v="8229"/>
        <n v="2217.81"/>
        <n v="557.8"/>
        <n v="222"/>
        <n v="1500"/>
        <n v="4238"/>
        <n v="8507.64"/>
        <n v="7490"/>
        <n v="854"/>
        <n v="16098"/>
        <n v="2860"/>
        <n v="3682577.51"/>
      </sharedItems>
    </cacheField>
    <cacheField name="结算组织" numFmtId="0">
      <sharedItems containsBlank="1" count="2">
        <s v="杭州中冠电器有限公司"/>
        <m/>
      </sharedItems>
    </cacheField>
    <cacheField name="部门" numFmtId="0">
      <sharedItems containsString="0" containsBlank="1" containsNonDate="0" count="1">
        <m/>
      </sharedItems>
    </cacheField>
    <cacheField name="销售组织" numFmtId="0">
      <sharedItems containsBlank="1" count="2">
        <s v="杭州中冠电器有限公司"/>
        <m/>
      </sharedItems>
    </cacheField>
    <cacheField name="往来单位" numFmtId="0">
      <sharedItems containsBlank="1" count="43">
        <s v="杭州红星美凯龙一号店"/>
        <s v="滨江六空8090店"/>
        <s v="自营以旧换新特别账户"/>
        <m/>
        <s v="萧山第六空间专卖店"/>
        <s v="金华龙腾建材市场专卖店"/>
        <s v="衢州市柯城汇鑫家用电器商行"/>
        <s v="湖州金蝶零售"/>
        <s v="杭州临平江南家居专卖店"/>
        <s v="桐庐佳尼特水处理设备有限公司"/>
        <s v="杭州装家百科电器有限公司"/>
        <s v="杭州华东家电市场铁人电器商行"/>
        <s v="杭州金蝶零售"/>
        <s v="义乌颖亿贸易有限公司"/>
        <s v="（新）滨江第六空间专卖店"/>
        <s v="杭州恒大建材超级旗舰店"/>
        <s v="杭州宏信机电有限公司"/>
        <s v="浙江普农家电有限公司"/>
        <s v=":衢州市柯城汇鑫家用电器商行以旧换新"/>
        <s v="兰溪市泽胜电器有限公司"/>
        <s v="萧山汇德隆净水"/>
        <s v="萧山汇德隆家电超市"/>
        <s v="温州吉远电器有限公司"/>
        <s v="杭州允选科技有限公司"/>
        <s v="杭州中博智能电器有限公司"/>
        <s v="贝壳美家供应链管理（浙江）有限责任公司"/>
        <s v=" 二轻专卖店以旧换新"/>
        <s v="台州中嘉电器有限公司"/>
        <s v="杭州瑞艾工程技术服务有限公司"/>
        <s v="绍兴晨涛电器有限公司"/>
        <s v="杭州临安一栋电器有限公司"/>
        <s v="嘉兴艾通电器有限公司"/>
        <s v="无人认领"/>
        <s v="史密斯官方商城"/>
        <s v="艾欧史密斯（中国）水系统有限公司"/>
        <s v="京东五星电器集团宁波电器有限公司（台州）"/>
        <s v="浙江都都装饰有限公司"/>
        <s v="杭州兴达京昀电器有限公司"/>
        <s v="湖州浙北大厦家电有限公司"/>
        <s v="杭州中瑞工程技术有限公司"/>
        <s v="湖州浙北网格家电有限公司"/>
        <s v="金华一启家电有限公司"/>
        <s v="永康市荣浪家用电器有限公司"/>
      </sharedItems>
    </cacheField>
    <cacheField name="销售部门" numFmtId="0">
      <sharedItems containsBlank="1" count="7">
        <s v="杭州大区"/>
        <s v="销管部"/>
        <m/>
        <s v="金华办事处"/>
        <s v="湖州办事处"/>
        <s v="物流部"/>
        <s v="台州办事处"/>
      </sharedItems>
    </cacheField>
    <cacheField name="销售组" numFmtId="0">
      <sharedItems containsString="0" containsBlank="1" containsNonDate="0" count="1">
        <m/>
      </sharedItems>
    </cacheField>
    <cacheField name="收款金额" numFmtId="0">
      <sharedItems containsString="0" containsBlank="1" containsNumber="1" minValue="0" maxValue="3687940.63" count="410">
        <n v="2855.15"/>
        <n v="503.85"/>
        <n v="2623.2"/>
        <n v="655.8"/>
        <n v="4799.2"/>
        <n v="1199.8"/>
        <n v="11406"/>
        <m/>
        <n v="2991.2"/>
        <n v="747.8"/>
        <n v="2240"/>
        <n v="560"/>
        <n v="4399"/>
        <n v="4059"/>
        <n v="3599"/>
        <n v="2360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17300"/>
        <n v="17592"/>
        <n v="25305"/>
        <n v="22658"/>
        <n v="10731"/>
        <n v="4015.2"/>
        <n v="1003.8"/>
        <n v="5988"/>
        <n v="4351.15"/>
        <n v="767.85"/>
        <n v="3998"/>
        <n v="828"/>
        <n v="3869"/>
        <n v="35000"/>
        <n v="1999"/>
        <n v="350"/>
        <n v="3395"/>
        <n v="3091"/>
        <n v="2863.2"/>
        <n v="715.8"/>
        <n v="4590"/>
        <n v="11696"/>
        <n v="2172"/>
        <n v="1397.6"/>
        <n v="79610"/>
        <n v="5667"/>
        <n v="4791"/>
        <n v="790"/>
        <n v="5872"/>
        <n v="8362"/>
        <n v="3519.2"/>
        <n v="879.8"/>
        <n v="7270"/>
        <n v="2975"/>
        <n v="1240"/>
        <n v="310"/>
        <n v="6502"/>
        <n v="3414"/>
        <n v="808"/>
        <n v="6599.28"/>
        <n v="10000"/>
        <n v="2911.2"/>
        <n v="727.8"/>
        <n v="1600"/>
        <n v="400"/>
        <n v="4124"/>
        <n v="3365"/>
        <n v="30"/>
        <n v="73131"/>
        <n v="3000"/>
        <n v="1488"/>
        <n v="3620"/>
        <n v="2445"/>
        <n v="6616"/>
        <n v="3900"/>
        <n v="2380"/>
        <n v="595"/>
        <n v="3280"/>
        <n v="22330"/>
        <n v="22026"/>
        <n v="20236"/>
        <n v="25706"/>
        <n v="7129.8"/>
        <n v="1258.2"/>
        <n v="4800"/>
        <n v="5904.6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32004"/>
        <n v="12018"/>
        <n v="3701"/>
        <n v="2608"/>
        <n v="188"/>
        <n v="1340"/>
        <n v="4086"/>
        <n v="2972.8"/>
        <n v="743.2"/>
        <n v="4279"/>
        <n v="19733"/>
        <n v="7020"/>
        <n v="4764"/>
        <n v="9847.7"/>
        <n v="15392"/>
        <n v="4400"/>
        <n v="898"/>
        <n v="7000"/>
        <n v="4039"/>
        <n v="6354"/>
        <n v="5100"/>
        <n v="3958"/>
        <n v="6440"/>
        <n v="1310"/>
        <n v="5032.8"/>
        <n v="11629.8"/>
        <n v="162108.3"/>
        <n v="4612.8"/>
        <n v="1153.2"/>
        <n v="62620.6"/>
        <n v="3600"/>
        <n v="2789"/>
        <n v="300000"/>
        <n v="1621"/>
        <n v="4078.4"/>
        <n v="1019.6"/>
        <n v="1560"/>
        <n v="390"/>
        <n v="50000"/>
        <n v="2462.2"/>
        <n v="703.8"/>
        <n v="124.2"/>
        <n v="2950"/>
        <n v="8380"/>
        <n v="2620"/>
        <n v="655"/>
        <n v="4847.2"/>
        <n v="1211.8"/>
        <n v="10972"/>
        <n v="12178"/>
        <n v="3460"/>
        <n v="31288"/>
        <n v="800"/>
        <n v="3180"/>
        <n v="10124"/>
        <n v="4277"/>
        <n v="6917.96"/>
        <n v="3679"/>
        <n v="1960"/>
        <n v="490"/>
        <n v="2715.2"/>
        <n v="678.8"/>
        <n v="242"/>
        <n v="890"/>
        <n v="8148"/>
        <n v="3504"/>
        <n v="4798"/>
        <n v="36202"/>
        <n v="3120"/>
        <n v="113351.2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5999"/>
        <n v="2741"/>
        <n v="3500"/>
        <n v="750"/>
        <n v="2698"/>
        <n v="8000"/>
        <n v="2800"/>
        <n v="3636"/>
        <n v="2558"/>
        <n v="22438"/>
        <n v="17440"/>
        <n v="1760"/>
        <n v="440"/>
        <n v="20000"/>
        <n v="4638"/>
        <n v="4289"/>
        <n v="4458"/>
        <n v="6981"/>
        <n v="1618"/>
        <n v="730"/>
        <n v="2745"/>
        <n v="3299.2"/>
        <n v="824.8"/>
        <n v="9100"/>
        <n v="4249"/>
        <n v="28656"/>
        <n v="14204"/>
        <n v="6000"/>
        <n v="3200"/>
        <n v="295"/>
        <n v="3060"/>
        <n v="3360"/>
        <n v="791"/>
        <n v="1903.2"/>
        <n v="475.8"/>
        <n v="2196"/>
        <n v="549"/>
        <n v="17920"/>
        <n v="5850"/>
        <n v="1440.75"/>
        <n v="1162.7"/>
        <n v="464.65"/>
        <n v="773.9"/>
        <n v="20479"/>
        <n v="2100"/>
        <n v="2300"/>
        <n v="6052.76"/>
        <n v="3291"/>
        <n v="3244"/>
        <n v="811"/>
        <n v="1379"/>
        <n v="6291"/>
        <n v="618"/>
        <n v="6500"/>
        <n v="23664"/>
        <n v="2845.08"/>
        <n v="2597.6"/>
        <n v="649.4"/>
        <n v="5707"/>
        <n v="789"/>
        <n v="93.7"/>
        <n v="0.01"/>
        <n v="3311.2"/>
        <n v="827.8"/>
        <n v="1196"/>
        <n v="2850"/>
        <n v="5238.8"/>
        <n v="5800"/>
        <n v="4048.2"/>
        <n v="2481.7"/>
        <n v="7480.75"/>
        <n v="4299"/>
        <n v="3917"/>
        <n v="3838"/>
        <n v="15739.2"/>
        <n v="2070"/>
        <n v="2360.8"/>
        <n v="590.2"/>
        <n v="3245"/>
        <n v="71511.68"/>
        <n v="6122.84"/>
        <n v="492.3"/>
        <n v="4639"/>
        <n v="26190"/>
        <n v="5430.4"/>
        <n v="1357.6"/>
        <n v="5918"/>
        <n v="12768"/>
        <n v="24051"/>
        <n v="21623"/>
        <n v="770"/>
        <n v="3136"/>
        <n v="3230"/>
        <n v="2984"/>
        <n v="2685.6"/>
        <n v="8364"/>
        <n v="5089.8"/>
        <n v="898.2"/>
        <n v="2079"/>
        <n v="37360.6"/>
        <n v="2200"/>
        <n v="3832.8"/>
        <n v="958.2"/>
        <n v="3369"/>
        <n v="5360"/>
        <n v="7200"/>
        <n v="2496"/>
        <n v="836"/>
        <n v="4000"/>
        <n v="351"/>
        <n v="3990"/>
        <n v="20674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25754"/>
        <n v="3298"/>
        <n v="10632"/>
        <n v="1800"/>
        <n v="450"/>
        <n v="14000"/>
        <n v="3128"/>
        <n v="3788"/>
        <n v="5880.8"/>
        <n v="1470.2"/>
        <n v="2986"/>
        <n v="3070"/>
        <n v="4162"/>
        <n v="6800"/>
        <n v="1200"/>
        <n v="3888"/>
        <n v="2594"/>
        <n v="3209.2"/>
        <n v="8055"/>
        <n v="3908"/>
        <n v="2856.8"/>
        <n v="714.2"/>
        <n v="15000"/>
        <n v="11317.8"/>
        <n v="2033.6"/>
        <n v="508.4"/>
        <n v="23400"/>
        <n v="150000"/>
        <n v="8006"/>
        <n v="6983"/>
        <n v="4160"/>
        <n v="1040"/>
        <n v="30887.28"/>
        <n v="873"/>
        <n v="10102.4"/>
        <n v="416.63"/>
        <n v="24350"/>
        <n v="24339"/>
        <n v="9767.4"/>
        <n v="2680"/>
        <n v="670"/>
        <n v="18473"/>
        <n v="32317"/>
        <n v="136.9"/>
        <n v="4699"/>
        <n v="47"/>
        <n v="4781.4"/>
        <n v="2936.8"/>
        <n v="734.2"/>
        <n v="3311"/>
        <n v="3150"/>
        <n v="2576"/>
        <n v="6272"/>
        <n v="543"/>
        <n v="1840"/>
        <n v="460"/>
        <n v="9431.92"/>
        <n v="3680"/>
        <n v="920"/>
        <n v="508"/>
        <n v="3130"/>
        <n v="2654"/>
        <n v="3688"/>
        <n v="3848"/>
        <n v="8980"/>
        <n v="1839"/>
        <n v="4239"/>
        <n v="8229"/>
        <n v="2231.2"/>
        <n v="557.8"/>
        <n v="222"/>
        <n v="1500"/>
        <n v="4238"/>
        <n v="8559"/>
        <n v="7490"/>
        <n v="854"/>
        <n v="16098"/>
        <n v="2860"/>
        <n v="3687940.63"/>
      </sharedItems>
    </cacheField>
    <cacheField name="销售员" numFmtId="0">
      <sharedItems containsBlank="1" count="21">
        <s v="吴红玉"/>
        <m/>
        <s v="葛芬"/>
        <s v="罗清"/>
        <s v="徐美娟"/>
        <s v="潘杏"/>
        <s v="江雯"/>
        <s v="陈中元"/>
        <s v="余亚炜"/>
        <s v="吴海林"/>
        <s v="黄颖"/>
        <s v="何云锋"/>
        <s v="林青云"/>
        <s v="谢士英"/>
        <s v="张小兵"/>
        <s v="王福斌"/>
        <s v="杨立锋"/>
        <s v="董培培"/>
        <s v="陈雪君"/>
        <s v="张斌"/>
        <s v="翁昕"/>
      </sharedItems>
    </cacheField>
    <cacheField name="本位币" numFmtId="0">
      <sharedItems containsBlank="1" count="2">
        <s v="人民币"/>
        <m/>
      </sharedItems>
    </cacheField>
    <cacheField name="汇率类型" numFmtId="0">
      <sharedItems containsBlank="1" count="2">
        <s v="固定汇率"/>
        <m/>
      </sharedItems>
    </cacheField>
    <cacheField name="汇率" numFmtId="0">
      <sharedItems containsString="0" containsBlank="1" containsNumber="1" containsInteger="1" minValue="0" maxValue="1" count="2">
        <n v="1"/>
        <m/>
      </sharedItems>
    </cacheField>
    <cacheField name="表头-应收金额本位币" numFmtId="0">
      <sharedItems containsString="0" containsBlank="1" containsNumber="1" minValue="0" maxValue="3687940.63" count="410">
        <n v="2855.15"/>
        <n v="503.85"/>
        <n v="2623.2"/>
        <n v="655.8"/>
        <n v="4799.2"/>
        <n v="1199.8"/>
        <n v="11406"/>
        <m/>
        <n v="2991.2"/>
        <n v="747.8"/>
        <n v="2240"/>
        <n v="560"/>
        <n v="4399"/>
        <n v="4059"/>
        <n v="3599"/>
        <n v="2360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17300"/>
        <n v="17592"/>
        <n v="25305"/>
        <n v="22658"/>
        <n v="10731"/>
        <n v="4015.2"/>
        <n v="1003.8"/>
        <n v="5988"/>
        <n v="4351.15"/>
        <n v="767.85"/>
        <n v="3998"/>
        <n v="828"/>
        <n v="3869"/>
        <n v="35000"/>
        <n v="1999"/>
        <n v="350"/>
        <n v="3395"/>
        <n v="3091"/>
        <n v="2863.2"/>
        <n v="715.8"/>
        <n v="4590"/>
        <n v="11696"/>
        <n v="2172"/>
        <n v="1397.6"/>
        <n v="79610"/>
        <n v="5667"/>
        <n v="4791"/>
        <n v="790"/>
        <n v="5872"/>
        <n v="8362"/>
        <n v="3519.2"/>
        <n v="879.8"/>
        <n v="7270"/>
        <n v="2975"/>
        <n v="1240"/>
        <n v="310"/>
        <n v="6502"/>
        <n v="3414"/>
        <n v="808"/>
        <n v="6599.28"/>
        <n v="10000"/>
        <n v="2911.2"/>
        <n v="727.8"/>
        <n v="1600"/>
        <n v="400"/>
        <n v="4124"/>
        <n v="3365"/>
        <n v="30"/>
        <n v="73131"/>
        <n v="3000"/>
        <n v="1488"/>
        <n v="3620"/>
        <n v="2445"/>
        <n v="6616"/>
        <n v="3900"/>
        <n v="2380"/>
        <n v="595"/>
        <n v="3280"/>
        <n v="22330"/>
        <n v="22026"/>
        <n v="20236"/>
        <n v="25706"/>
        <n v="7129.8"/>
        <n v="1258.2"/>
        <n v="4800"/>
        <n v="5904.6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32004"/>
        <n v="12018"/>
        <n v="3701"/>
        <n v="2608"/>
        <n v="188"/>
        <n v="1340"/>
        <n v="4086"/>
        <n v="2972.8"/>
        <n v="743.2"/>
        <n v="4279"/>
        <n v="19733"/>
        <n v="7020"/>
        <n v="4764"/>
        <n v="9847.7"/>
        <n v="15392"/>
        <n v="4400"/>
        <n v="898"/>
        <n v="7000"/>
        <n v="4039"/>
        <n v="6354"/>
        <n v="5100"/>
        <n v="3958"/>
        <n v="6440"/>
        <n v="1310"/>
        <n v="5032.8"/>
        <n v="11629.8"/>
        <n v="162108.3"/>
        <n v="4612.8"/>
        <n v="1153.2"/>
        <n v="62620.6"/>
        <n v="3600"/>
        <n v="2789"/>
        <n v="300000"/>
        <n v="1621"/>
        <n v="4078.4"/>
        <n v="1019.6"/>
        <n v="1560"/>
        <n v="390"/>
        <n v="50000"/>
        <n v="2462.2"/>
        <n v="703.8"/>
        <n v="124.2"/>
        <n v="2950"/>
        <n v="8380"/>
        <n v="2620"/>
        <n v="655"/>
        <n v="4847.2"/>
        <n v="1211.8"/>
        <n v="10972"/>
        <n v="12178"/>
        <n v="3460"/>
        <n v="31288"/>
        <n v="800"/>
        <n v="3180"/>
        <n v="10124"/>
        <n v="4277"/>
        <n v="6917.96"/>
        <n v="3679"/>
        <n v="1960"/>
        <n v="490"/>
        <n v="2715.2"/>
        <n v="678.8"/>
        <n v="242"/>
        <n v="890"/>
        <n v="8148"/>
        <n v="3504"/>
        <n v="4798"/>
        <n v="36202"/>
        <n v="3120"/>
        <n v="113351.2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5999"/>
        <n v="2741"/>
        <n v="3500"/>
        <n v="750"/>
        <n v="2698"/>
        <n v="8000"/>
        <n v="2800"/>
        <n v="3636"/>
        <n v="2558"/>
        <n v="22438"/>
        <n v="17440"/>
        <n v="1760"/>
        <n v="440"/>
        <n v="20000"/>
        <n v="4638"/>
        <n v="4289"/>
        <n v="4458"/>
        <n v="6981"/>
        <n v="1618"/>
        <n v="730"/>
        <n v="2745"/>
        <n v="3299.2"/>
        <n v="824.8"/>
        <n v="9100"/>
        <n v="4249"/>
        <n v="28656"/>
        <n v="14204"/>
        <n v="6000"/>
        <n v="3200"/>
        <n v="295"/>
        <n v="3060"/>
        <n v="3360"/>
        <n v="791"/>
        <n v="1903.2"/>
        <n v="475.8"/>
        <n v="2196"/>
        <n v="549"/>
        <n v="17920"/>
        <n v="5850"/>
        <n v="1440.75"/>
        <n v="1162.7"/>
        <n v="464.65"/>
        <n v="773.9"/>
        <n v="20479"/>
        <n v="2100"/>
        <n v="2300"/>
        <n v="6052.76"/>
        <n v="3291"/>
        <n v="3244"/>
        <n v="811"/>
        <n v="1379"/>
        <n v="6291"/>
        <n v="618"/>
        <n v="6500"/>
        <n v="23664"/>
        <n v="2845.08"/>
        <n v="2597.6"/>
        <n v="649.4"/>
        <n v="5707"/>
        <n v="789"/>
        <n v="93.7"/>
        <n v="0.01"/>
        <n v="3311.2"/>
        <n v="827.8"/>
        <n v="1196"/>
        <n v="2850"/>
        <n v="5238.8"/>
        <n v="5800"/>
        <n v="4048.2"/>
        <n v="2481.7"/>
        <n v="7480.75"/>
        <n v="4299"/>
        <n v="3917"/>
        <n v="3838"/>
        <n v="15739.2"/>
        <n v="2070"/>
        <n v="2360.8"/>
        <n v="590.2"/>
        <n v="3245"/>
        <n v="71511.68"/>
        <n v="6122.84"/>
        <n v="492.3"/>
        <n v="4639"/>
        <n v="26190"/>
        <n v="5430.4"/>
        <n v="1357.6"/>
        <n v="5918"/>
        <n v="12768"/>
        <n v="24051"/>
        <n v="21623"/>
        <n v="770"/>
        <n v="3136"/>
        <n v="3230"/>
        <n v="2984"/>
        <n v="2685.6"/>
        <n v="8364"/>
        <n v="5089.8"/>
        <n v="898.2"/>
        <n v="2079"/>
        <n v="37360.6"/>
        <n v="2200"/>
        <n v="3832.8"/>
        <n v="958.2"/>
        <n v="3369"/>
        <n v="5360"/>
        <n v="7200"/>
        <n v="2496"/>
        <n v="836"/>
        <n v="4000"/>
        <n v="351"/>
        <n v="3990"/>
        <n v="20674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25754"/>
        <n v="3298"/>
        <n v="10632"/>
        <n v="1800"/>
        <n v="450"/>
        <n v="14000"/>
        <n v="3128"/>
        <n v="3788"/>
        <n v="5880.8"/>
        <n v="1470.2"/>
        <n v="2986"/>
        <n v="3070"/>
        <n v="4162"/>
        <n v="6800"/>
        <n v="1200"/>
        <n v="3888"/>
        <n v="2594"/>
        <n v="3209.2"/>
        <n v="8055"/>
        <n v="3908"/>
        <n v="2856.8"/>
        <n v="714.2"/>
        <n v="15000"/>
        <n v="11317.8"/>
        <n v="2033.6"/>
        <n v="508.4"/>
        <n v="23400"/>
        <n v="150000"/>
        <n v="8006"/>
        <n v="6983"/>
        <n v="4160"/>
        <n v="1040"/>
        <n v="30887.28"/>
        <n v="873"/>
        <n v="10102.4"/>
        <n v="416.63"/>
        <n v="24350"/>
        <n v="24339"/>
        <n v="9767.4"/>
        <n v="2680"/>
        <n v="670"/>
        <n v="18473"/>
        <n v="32317"/>
        <n v="136.9"/>
        <n v="4699"/>
        <n v="47"/>
        <n v="4781.4"/>
        <n v="2936.8"/>
        <n v="734.2"/>
        <n v="3311"/>
        <n v="3150"/>
        <n v="2576"/>
        <n v="6272"/>
        <n v="543"/>
        <n v="1840"/>
        <n v="460"/>
        <n v="9431.92"/>
        <n v="3680"/>
        <n v="920"/>
        <n v="508"/>
        <n v="3130"/>
        <n v="2654"/>
        <n v="3688"/>
        <n v="3848"/>
        <n v="8980"/>
        <n v="1839"/>
        <n v="4239"/>
        <n v="8229"/>
        <n v="2231.2"/>
        <n v="557.8"/>
        <n v="222"/>
        <n v="1500"/>
        <n v="4238"/>
        <n v="8559"/>
        <n v="7490"/>
        <n v="854"/>
        <n v="16098"/>
        <n v="2860"/>
        <n v="3687940.63"/>
      </sharedItems>
    </cacheField>
    <cacheField name="表头-实收金额本位币" numFmtId="0">
      <sharedItems containsString="0" containsBlank="1" containsNumber="1" minValue="0" maxValue="3682577.51" count="434">
        <n v="2838.02"/>
        <n v="503.85"/>
        <n v="2607.46"/>
        <n v="655.8"/>
        <n v="4770.4"/>
        <n v="1199.8"/>
        <n v="11331.86"/>
        <m/>
        <n v="2973.25"/>
        <n v="747.8"/>
        <n v="2226.56"/>
        <n v="560"/>
        <n v="4399"/>
        <n v="4050.27"/>
        <n v="3591.26"/>
        <n v="2360"/>
        <n v="2071"/>
        <n v="3439"/>
        <n v="3431.61"/>
        <n v="5220"/>
        <n v="2446.04"/>
        <n v="615.2"/>
        <n v="3639"/>
        <n v="2591"/>
        <n v="2891.35"/>
        <n v="727.2"/>
        <n v="4481"/>
        <n v="6365"/>
        <n v="3695.29"/>
        <n v="929.4"/>
        <n v="5000"/>
        <n v="17187.53"/>
        <n v="17477.65"/>
        <n v="25140.51"/>
        <n v="22510.72"/>
        <n v="10661.25"/>
        <n v="3991.11"/>
        <n v="1003.8"/>
        <n v="5988"/>
        <n v="4325.04"/>
        <n v="767.85"/>
        <n v="3998"/>
        <n v="828"/>
        <n v="3869"/>
        <n v="35000"/>
        <n v="1999"/>
        <n v="350"/>
        <n v="3395"/>
        <n v="3091"/>
        <n v="2846.02"/>
        <n v="715.8"/>
        <n v="4590"/>
        <n v="11619.97"/>
        <n v="2157.88"/>
        <n v="1397.6"/>
        <n v="79610"/>
        <n v="5667"/>
        <n v="4791"/>
        <n v="790"/>
        <n v="5859.38"/>
        <n v="8362"/>
        <n v="3498.08"/>
        <n v="879.8"/>
        <n v="7254.37"/>
        <n v="2975"/>
        <n v="1232.56"/>
        <n v="310"/>
        <n v="6502"/>
        <n v="3406.66"/>
        <n v="808"/>
        <n v="6599.28"/>
        <n v="10000"/>
        <n v="2893.73"/>
        <n v="727.8"/>
        <n v="1590.4"/>
        <n v="400"/>
        <n v="4124"/>
        <n v="3365"/>
        <n v="30"/>
        <n v="73131"/>
        <n v="3000"/>
        <n v="1488"/>
        <n v="3612.22"/>
        <n v="2445"/>
        <n v="6601.78"/>
        <n v="5872"/>
        <n v="3900"/>
        <n v="2365.72"/>
        <n v="595"/>
        <n v="3280"/>
        <n v="22330"/>
        <n v="21893.83"/>
        <n v="20114.58"/>
        <n v="25551.74"/>
        <n v="7129.8"/>
        <n v="1258.2"/>
        <n v="4800"/>
        <n v="5904.6"/>
        <n v="5124"/>
        <n v="1987.2"/>
        <n v="499.8"/>
        <n v="2400"/>
        <n v="2778"/>
        <n v="5871"/>
        <n v="7092.39"/>
        <n v="1783.8"/>
        <n v="32"/>
        <n v="5816"/>
        <n v="4540.49"/>
        <n v="806.1"/>
        <n v="398"/>
        <n v="3108.44"/>
        <n v="781.8"/>
        <n v="10515.53"/>
        <n v="2000"/>
        <n v="4810"/>
        <n v="31795.96"/>
        <n v="11945.89"/>
        <n v="3678.79"/>
        <n v="2602.39"/>
        <n v="29.94"/>
        <n v="187.6"/>
        <n v="6488.02"/>
        <n v="1340"/>
        <n v="4086"/>
        <n v="2954.96"/>
        <n v="743.2"/>
        <n v="4279"/>
        <n v="19733"/>
        <n v="7020"/>
        <n v="4764"/>
        <n v="9847.7"/>
        <n v="15392"/>
        <n v="4400"/>
        <n v="898"/>
        <n v="7000"/>
        <n v="2982"/>
        <n v="4039"/>
        <n v="6354"/>
        <n v="5100"/>
        <n v="3958"/>
        <n v="6440"/>
        <n v="1310"/>
        <n v="2240"/>
        <n v="5002.6"/>
        <n v="11629.8"/>
        <n v="162108.3"/>
        <n v="4585.12"/>
        <n v="1153.2"/>
        <n v="62620.6"/>
        <n v="3600"/>
        <n v="2789"/>
        <n v="300000"/>
        <n v="1621"/>
        <n v="4078.4"/>
        <n v="1019.6"/>
        <n v="1550.64"/>
        <n v="390"/>
        <n v="50000"/>
        <n v="2462.2"/>
        <n v="699.58"/>
        <n v="124.2"/>
        <n v="2950"/>
        <n v="8380"/>
        <n v="2604.28"/>
        <n v="655"/>
        <n v="4818.12"/>
        <n v="1211.8"/>
        <n v="10972"/>
        <n v="12104.94"/>
        <n v="3439.24"/>
        <n v="31100.26"/>
        <n v="798.28"/>
        <n v="3180"/>
        <n v="10124"/>
        <n v="4277"/>
        <n v="6917.96"/>
        <n v="3679"/>
        <n v="1948.24"/>
        <n v="490"/>
        <n v="2698.91"/>
        <n v="678.8"/>
        <n v="242"/>
        <n v="890"/>
        <n v="8148"/>
        <n v="3504"/>
        <n v="4787.68"/>
        <n v="36202"/>
        <n v="3120"/>
        <n v="113351.28"/>
        <n v="1479.07"/>
        <n v="1972.1"/>
        <n v="372"/>
        <n v="496"/>
        <n v="799"/>
        <n v="615.93"/>
        <n v="109.35"/>
        <n v="7351"/>
        <n v="850"/>
        <n v="3379.6"/>
        <n v="600"/>
        <n v="31.81"/>
        <n v="1700"/>
        <n v="994"/>
        <n v="7438.76"/>
        <n v="700"/>
        <n v="2385.6"/>
        <n v="2578"/>
        <n v="5999"/>
        <n v="2741"/>
        <n v="3500"/>
        <n v="748.39"/>
        <n v="2698"/>
        <n v="8000"/>
        <n v="2800"/>
        <n v="3636"/>
        <n v="2558"/>
        <n v="22292.14"/>
        <n v="17326.64"/>
        <n v="1749.44"/>
        <n v="440"/>
        <n v="2855.15"/>
        <n v="750"/>
        <n v="20000"/>
        <n v="4628.03"/>
        <n v="3628.18"/>
        <n v="4279.78"/>
        <n v="4458"/>
        <n v="6981"/>
        <n v="1618"/>
        <n v="730"/>
        <n v="2745"/>
        <n v="3299.2"/>
        <n v="824.8"/>
        <n v="9100"/>
        <n v="4249"/>
        <n v="28484.05"/>
        <n v="14118.76"/>
        <n v="6000"/>
        <n v="3180.8"/>
        <n v="800"/>
        <n v="295"/>
        <n v="3053.42"/>
        <n v="3360"/>
        <n v="791"/>
        <n v="1891.78"/>
        <n v="475.8"/>
        <n v="2182.82"/>
        <n v="549"/>
        <n v="17812.48"/>
        <n v="5850"/>
        <n v="1440.75"/>
        <n v="1162.7"/>
        <n v="464.65"/>
        <n v="773.9"/>
        <n v="20356.11"/>
        <n v="2100"/>
        <n v="2300"/>
        <n v="6052.76"/>
        <n v="3291"/>
        <n v="3224.54"/>
        <n v="811"/>
        <n v="1379"/>
        <n v="6277.47"/>
        <n v="618"/>
        <n v="6291"/>
        <n v="6486.02"/>
        <n v="23664"/>
        <n v="2845.08"/>
        <n v="2582.01"/>
        <n v="649.4"/>
        <n v="5707"/>
        <n v="789"/>
        <n v="93.7"/>
        <n v="0.01"/>
        <n v="3291.33"/>
        <n v="827.8"/>
        <n v="1196"/>
        <n v="2843.87"/>
        <n v="5238.8"/>
        <n v="5800"/>
        <n v="4048.2"/>
        <n v="2481.7"/>
        <n v="7480.75"/>
        <n v="4299"/>
        <n v="3917"/>
        <n v="3838"/>
        <n v="15739.2"/>
        <n v="2070"/>
        <n v="2346.64"/>
        <n v="590.2"/>
        <n v="3245"/>
        <n v="71511.68"/>
        <n v="6122.84"/>
        <n v="492.3"/>
        <n v="4639"/>
        <n v="26190"/>
        <n v="2196"/>
        <n v="5397.82"/>
        <n v="1357.6"/>
        <n v="5918"/>
        <n v="12768"/>
        <n v="23906.67"/>
        <n v="21482.45"/>
        <n v="2793.98"/>
        <n v="770"/>
        <n v="3136"/>
        <n v="3230"/>
        <n v="2977.58"/>
        <n v="2685.6"/>
        <n v="8364"/>
        <n v="5059.26"/>
        <n v="898.2"/>
        <n v="2074.53"/>
        <n v="37360.6"/>
        <n v="1596.56"/>
        <n v="2200"/>
        <n v="3809.8"/>
        <n v="958.2"/>
        <n v="3369"/>
        <n v="5327.84"/>
        <n v="7200"/>
        <n v="2496"/>
        <n v="836"/>
        <n v="3976"/>
        <n v="1000"/>
        <n v="351"/>
        <n v="3990"/>
        <n v="20674"/>
        <n v="1893"/>
        <n v="1895"/>
        <n v="3138"/>
        <n v="5539.36"/>
        <n v="1393.2"/>
        <n v="2984"/>
        <n v="4295"/>
        <n v="9600"/>
        <n v="954.24"/>
        <n v="240"/>
        <n v="5597"/>
        <n v="3994.39"/>
        <n v="4002"/>
        <n v="4020"/>
        <n v="4180"/>
        <n v="10258"/>
        <n v="3708"/>
        <n v="8127.49"/>
        <n v="135"/>
        <n v="3139"/>
        <n v="3270"/>
        <n v="25586.59"/>
        <n v="3278.21"/>
        <n v="10568.2"/>
        <n v="1789.2"/>
        <n v="450"/>
        <n v="14000"/>
        <n v="3128"/>
        <n v="3788"/>
        <n v="5845.52"/>
        <n v="1470.2"/>
        <n v="2986"/>
        <n v="3063.4"/>
        <n v="5880.8"/>
        <n v="4162"/>
        <n v="6759.2"/>
        <n v="1200"/>
        <n v="3400"/>
        <n v="3888"/>
        <n v="2594"/>
        <n v="3209.2"/>
        <n v="8055"/>
        <n v="3908"/>
        <n v="2839.66"/>
        <n v="714.2"/>
        <n v="15000"/>
        <n v="11317.8"/>
        <n v="2021.4"/>
        <n v="508.4"/>
        <n v="23400"/>
        <n v="150000"/>
        <n v="7988.79"/>
        <n v="6983"/>
        <n v="4135.04"/>
        <n v="1040"/>
        <n v="30887.28"/>
        <n v="873"/>
        <n v="10102.4"/>
        <n v="416.63"/>
        <n v="24350"/>
        <n v="24339"/>
        <n v="9767.4"/>
        <n v="2663.92"/>
        <n v="670"/>
        <n v="18362.15"/>
        <n v="32123.07"/>
        <n v="136.9"/>
        <n v="4688.9"/>
        <n v="47"/>
        <n v="4781.4"/>
        <n v="2919.18"/>
        <n v="734.2"/>
        <n v="3303.88"/>
        <n v="3150"/>
        <n v="2576"/>
        <n v="6258.52"/>
        <n v="543"/>
        <n v="1828.96"/>
        <n v="460"/>
        <n v="9431.92"/>
        <n v="8145"/>
        <n v="3657.92"/>
        <n v="920"/>
        <n v="508"/>
        <n v="3123.27"/>
        <n v="2648.29"/>
        <n v="3688"/>
        <n v="2295.05"/>
        <n v="3839.73"/>
        <n v="8980"/>
        <n v="1839"/>
        <n v="4239"/>
        <n v="5430.4"/>
        <n v="8229"/>
        <n v="2217.81"/>
        <n v="557.8"/>
        <n v="222"/>
        <n v="1500"/>
        <n v="4238"/>
        <n v="8507.64"/>
        <n v="7490"/>
        <n v="854"/>
        <n v="16098"/>
        <n v="2860"/>
        <n v="3682577.51"/>
      </sharedItems>
    </cacheField>
    <cacheField name="会计核算体系" numFmtId="0">
      <sharedItems containsString="0" containsBlank="1" containsNonDate="0" count="1">
        <m/>
      </sharedItems>
    </cacheField>
    <cacheField name="核销状态" numFmtId="0">
      <sharedItems containsBlank="1" count="4">
        <s v="完全"/>
        <s v="部分"/>
        <m/>
        <s v="空"/>
      </sharedItems>
    </cacheField>
    <cacheField name="长短款本位币" numFmtId="0">
      <sharedItems containsString="0" containsBlank="1" containsNonDate="0" count="1">
        <m/>
      </sharedItems>
    </cacheField>
    <cacheField name="业务类型" numFmtId="0">
      <sharedItems containsBlank="1" count="2">
        <s v="销售业务"/>
        <m/>
      </sharedItems>
    </cacheField>
    <cacheField name="信用检查结果" numFmtId="0">
      <sharedItems containsBlank="1" count="3">
        <s v="信用正常"/>
        <m/>
        <s v="未检查"/>
      </sharedItems>
    </cacheField>
    <cacheField name="结算方式" numFmtId="0">
      <sharedItems containsBlank="1" count="7">
        <s v="转账"/>
        <s v="扫码牌"/>
        <s v="支付宝"/>
        <s v="刷卡"/>
        <s v="银行承兑汇票"/>
        <s v="微信"/>
        <m/>
      </sharedItems>
    </cacheField>
    <cacheField name="收款用途" numFmtId="0">
      <sharedItems containsBlank="1" count="3">
        <s v="预收款"/>
        <s v="销售收款"/>
        <m/>
      </sharedItems>
    </cacheField>
    <cacheField name="预收项目类型" numFmtId="0">
      <sharedItems containsBlank="1" count="2">
        <s v="销售订单"/>
        <m/>
      </sharedItems>
    </cacheField>
    <cacheField name="结算汇率" numFmtId="0">
      <sharedItems containsString="0" containsBlank="1" containsNumber="1" containsInteger="1" minValue="0" maxValue="1" count="2">
        <n v="1"/>
        <m/>
      </sharedItems>
    </cacheField>
    <cacheField name="预收销售订单" numFmtId="0">
      <sharedItems containsBlank="1" count="362">
        <s v="A20250920001308C"/>
        <s v="A20250930000866"/>
        <s v="A20250930000811"/>
        <s v="A20250930003028"/>
        <m/>
        <s v="A20251001004169"/>
        <s v="A20251001004530"/>
        <s v="A20251001008995"/>
        <s v="A20251001006320"/>
        <s v="A20251002000780"/>
        <s v="A20251002000984"/>
        <s v="A20251002002898"/>
        <s v="A20251003000652"/>
        <s v="A20250919005149C"/>
        <s v="A20251003001834"/>
        <s v="A20251003000910"/>
        <s v="A20251002000983"/>
        <s v="XSDD251003011"/>
        <s v="A20251003000556"/>
        <s v="A20251004001163"/>
        <s v="A20251004000621"/>
        <s v="A20251005000961"/>
        <s v="A20251005003831"/>
        <s v="A20251004002463"/>
        <s v="A20251005000626"/>
        <s v="A20251005001561"/>
        <s v="A20251005003812"/>
        <s v="A20251004001948"/>
        <s v="A20251003003449"/>
        <s v="A20251003003447"/>
        <s v="A20251006000832"/>
        <s v="A20251006003074"/>
        <s v="A20251006003379"/>
        <s v="A20250926001718C"/>
        <s v="XSDD251007001"/>
        <s v="A20251007001009"/>
        <s v="A20251007001686"/>
        <s v="A20251006003903"/>
        <s v="A20251004001971"/>
        <s v="A20251005004370"/>
        <s v="A20251007002192"/>
        <s v="A20251006002215"/>
        <s v="A20251007004776"/>
        <s v="A20251007001437"/>
        <s v="A20251007004065"/>
        <s v="A20251008000107"/>
        <s v="A20251008000133"/>
        <s v="XSDD251008006"/>
        <s v="A20251005001725"/>
        <s v="A20251008002003"/>
        <s v="A20251003001834C"/>
        <s v="A20251007006753"/>
        <s v="A20251007004076"/>
        <s v="A20251008001468"/>
        <s v="A20251008002627"/>
        <s v="A20251008004085"/>
        <s v="A20251008005455"/>
        <s v="A20251008007609"/>
        <s v="A20251008004683"/>
        <s v="A20251009000550"/>
        <s v="A20251009002342"/>
        <s v="A20251009001800"/>
        <s v="A20251009001509"/>
        <s v="A20251009002958"/>
        <s v="XSDD250909002C"/>
        <s v="A20251009003526"/>
        <s v="XSDD251009048"/>
        <s v="XSDD251010026"/>
        <s v="XSDD251010025"/>
        <s v="A20251010005671"/>
        <s v="A20251011000639"/>
        <s v="XSDD251011006"/>
        <s v="XSDD251011008"/>
        <s v="A20251011001661"/>
        <s v="A20251011000733"/>
        <s v="XSDD251011005"/>
        <s v="XSDD251011014"/>
        <s v="A20251010003644"/>
        <s v="A20251011001097"/>
        <s v="A20251012001866"/>
        <s v="A20251012001676"/>
        <s v="A20251013000424"/>
        <s v="A20251010006006"/>
        <s v="A20251012001647"/>
        <s v="A20251013000973"/>
        <s v="A20251013000458"/>
        <s v="A20251012004811"/>
        <s v="A20251013001594"/>
        <s v="XSDD251013010"/>
        <s v="A20251012005268"/>
        <s v="A20251012005314"/>
        <s v="XSDD251013019"/>
        <s v="A20251010007089"/>
        <s v="A20251012005144"/>
        <s v="A20251013002496"/>
        <s v="A20251013002814"/>
        <s v="A20251013000313"/>
        <s v="A20251012002796"/>
        <s v="A20251013000974"/>
        <s v="A20251014000643"/>
        <s v="A20251014001237"/>
        <s v="A20251014000230"/>
        <s v="A20251014001551"/>
        <s v="A20251001004530C"/>
        <s v="A20251014001545"/>
        <s v="XSDD251014020"/>
        <s v="XSDD251014018"/>
        <s v="A20251011004155"/>
        <s v="A20251014002592"/>
        <s v="A20251014000675"/>
        <s v="A20251014002571"/>
        <s v="A20250720003712C"/>
        <s v="A20250812003509C"/>
        <s v="XSDD251015002"/>
        <s v="A20251014004402"/>
        <s v="20251015000059"/>
        <s v="A20251013001055"/>
        <s v="A20251015001043"/>
        <s v="A20251009000765"/>
        <s v="A20251015004548"/>
        <s v="A20251015006869"/>
        <s v="XSDD251015031"/>
        <s v="A20251015001475"/>
        <s v="XSDD251016017"/>
        <s v="A20251016001974"/>
        <s v="A20251016003020"/>
        <s v="A20250712005748C"/>
        <s v="A20251016002550"/>
        <s v="XSDD251016014"/>
        <s v="A20251016003587"/>
        <s v="A20251015004649"/>
        <s v="A20251016004214"/>
        <s v="A20251016005271"/>
        <s v="A20251017002013"/>
        <s v="A20251017001720"/>
        <s v="A20251017002166"/>
        <s v="A20251017001883"/>
        <s v="XSDD250819010C"/>
        <s v="XSDD250819010D"/>
        <s v="A20251017002871"/>
        <s v="XSDD251017013"/>
        <s v="XSDD251017019"/>
        <s v="XSDD251017015"/>
        <s v="A20251017003786"/>
        <s v="A20250719001685C"/>
        <s v="A20251017004444"/>
        <s v="A20251018001071"/>
        <s v="A20251018001172"/>
        <s v="A20251018001165"/>
        <s v="A20251018001476"/>
        <s v="A20251018001800"/>
        <s v="A20251018002295"/>
        <s v="A20251018002782"/>
        <s v="A20251018002824"/>
        <s v="A20251018002875"/>
        <s v="A20251019000697"/>
        <s v="A20250819001432C"/>
        <s v="A20251019001780"/>
        <s v="A20251019001740"/>
        <s v="A20251018005628"/>
        <s v="A20251019003320"/>
        <s v="A20251020000295"/>
        <s v="A20251018000420"/>
        <s v="A20251013000189"/>
        <s v="A20251019003326"/>
        <s v="A20251020000460"/>
        <s v="A20251019003525"/>
        <s v="XSDD251020008"/>
        <s v="A20251020000109"/>
        <s v="A20251020001458"/>
        <s v="A20250802002197C"/>
        <s v="A20251020001383"/>
        <s v="A20251020001942"/>
        <s v="A20251020002298"/>
        <s v="XSDD251020019"/>
        <s v="A20251020002353"/>
        <s v="XSDD251020024"/>
        <s v="A20251020003506"/>
        <s v="A20251020003601"/>
        <s v="A20251021002402"/>
        <s v="A20251021003315"/>
        <s v="A20251021001704"/>
        <s v="A20251021003040"/>
        <s v="A20250710003461C"/>
        <s v="A20251021003832"/>
        <s v="XSDD251021012"/>
        <s v="A20251021002386"/>
        <s v="A20251021005203"/>
        <s v="A20251021005683"/>
        <s v="A20251022001934"/>
        <s v="A20251022001992"/>
        <s v="A20251021005303"/>
        <s v="A20251021004770"/>
        <s v="XSDD251022011"/>
        <s v="XSDD251022017"/>
        <s v="A20251021007440"/>
        <s v="A20251022002368"/>
        <s v="A20251022001170"/>
        <s v="A20251022001820"/>
        <s v="XSDD251022018"/>
        <s v="A20251021006855"/>
        <s v="A20251022001997"/>
        <s v="A20251022002369"/>
        <s v="XSDD251022030"/>
        <s v="A20251022001936"/>
        <s v="A20251022001398"/>
        <s v="A20251022002063"/>
        <s v="A20250717001898C"/>
        <s v="A20251023001176"/>
        <s v="A20251023001265"/>
        <s v="A20251023001264"/>
        <s v="A20251023001796"/>
        <s v="A20251023001838"/>
        <s v="XSDD251023015"/>
        <s v="A20251022004134"/>
        <s v="A20251023001954"/>
        <s v="XSDD251023017"/>
        <s v="A20251023003144"/>
        <s v="A20251023001702"/>
        <s v="A20251023001699"/>
        <s v="A20251023002682"/>
        <s v="A20250705000781C"/>
        <s v="A20251023006848"/>
        <s v="XSDD251009050"/>
        <s v="A20251024001610"/>
        <s v="A20250830001277C"/>
        <s v="A20251024004008"/>
        <s v="XSDD251024019"/>
        <s v="XSDD251024021"/>
        <s v="XSDD251024020"/>
        <s v="XSDD251024015"/>
        <s v="A20251024005235"/>
        <s v="A20251024004339"/>
        <s v="A20251024006417"/>
        <s v="A20251025001579"/>
        <s v="A20051025002418"/>
        <s v="A20251025002496"/>
        <s v="A20251025002318"/>
        <s v="A20251025003123"/>
        <s v="A20251025002463"/>
        <s v="A20251025002487"/>
        <s v="A20251025002531"/>
        <s v="A20251025002627"/>
        <s v="A20250803001634C"/>
        <s v="A20251024004011"/>
        <s v="A20251025004989"/>
        <s v="A20251025005260"/>
        <s v="A20251025004988"/>
        <s v="A20251025004987"/>
        <s v="XSDD251025018"/>
        <s v="XSDD251025017"/>
        <s v="A20251024004798"/>
        <s v="A20251026001077"/>
        <s v="A20251026001165"/>
        <s v="A20251026001008"/>
        <s v="A20251026001204"/>
        <s v="A20251025006127"/>
        <s v="A20251026000929"/>
        <s v="A20251025006186"/>
        <s v="A20251026001509"/>
        <s v="A20251026001513"/>
        <s v="A20251026001230"/>
        <s v="A2025102600860"/>
        <s v="XSDD251026004"/>
        <s v="A20251026001965"/>
        <s v="XSDD251026005"/>
        <s v="A20251026003004"/>
        <s v="A20251026001084"/>
        <s v="A20251026004812"/>
        <s v="A20251026003114"/>
        <s v="A20251026004927"/>
        <s v="A20250912002829C"/>
        <s v="A20251026003656"/>
        <s v="A20251026003658"/>
        <s v="A20251026008685"/>
        <s v="A20251026001318"/>
        <s v="A20251026005103"/>
        <s v="A20251026006321"/>
        <s v="A20251026004463"/>
        <s v="A20251026004787"/>
        <s v="A20251027002358"/>
        <s v="A20251026007212"/>
        <s v="A20251027001128"/>
        <s v="A20251026007109"/>
        <s v="XSDD251027018"/>
        <s v="A20251027000813"/>
        <s v="A20251026006371"/>
        <s v="A20251027000720"/>
        <s v="A20251026007091"/>
        <s v="A20251027002941"/>
        <s v="A20251026006427"/>
        <s v="A20251027003694"/>
        <s v="A20251027003631"/>
        <s v="A20251027004035"/>
        <s v="A20251027003665"/>
        <s v="A20250923000771C"/>
        <s v="A20251027003636"/>
        <s v="A20251027004349"/>
        <s v="A20251028001642"/>
        <s v="A20251028002150"/>
        <s v="A20251028001961"/>
        <s v="XSDD251028009"/>
        <s v="20251027005412"/>
        <s v="A20251028001483"/>
        <s v="A20251028001446"/>
        <s v="A20251028003302"/>
        <s v="XSDD251028019"/>
        <s v="XSDD251028018"/>
        <s v="XSDD251028017"/>
        <s v="XSDD251028016"/>
        <s v="A20250812004461C"/>
        <s v="A20250718002949C"/>
        <s v="XSDD251028013"/>
        <s v="A20251027005351"/>
        <s v="A20251027005308"/>
        <s v="XSDD251027044"/>
        <s v="XSDD251027041"/>
        <s v="A20251028004580"/>
        <s v="XSDD251028026"/>
        <s v="A20251029001230"/>
        <s v="A20251029004714"/>
        <s v="A20251029004944"/>
        <s v="A20251029006445"/>
        <s v="A20251029004961"/>
        <s v="XSDD251030006"/>
        <s v="XSDD251030005"/>
        <s v="A20251030001720"/>
        <s v="A20251030000210"/>
        <s v="A20251030001942"/>
        <s v="A20251030000434"/>
        <s v="A20251030000497"/>
        <s v="A20251030000688"/>
        <s v="XSDD251030007"/>
        <s v="A20251030003039"/>
        <s v="A20251029003723"/>
        <s v="A20251030003078"/>
        <s v="A20251030002495"/>
        <s v="XSDD251030013"/>
        <s v="A20251030003703"/>
        <s v="A20251030002948"/>
        <s v="A20251030000196"/>
        <s v="A20251031001393"/>
        <s v="A20251030001941"/>
        <s v="XSDD251031007"/>
        <s v="A20251031002854"/>
        <s v="A20251024004008C"/>
        <s v="A20251024004011C"/>
        <s v="A20251031002431"/>
        <s v="A20250828003104C"/>
        <s v="A20251031002265"/>
        <s v="A20251031003624"/>
        <s v="XSDD251031028"/>
        <s v="XSDD251031011"/>
        <s v="XSDD251031017"/>
        <s v="XSDD251031031"/>
        <s v="A20251031005213"/>
        <s v="A20251031005183"/>
        <s v="A20251031005142"/>
        <s v="A20251031005083"/>
        <s v="A20251101002549"/>
        <s v="A20251101002603"/>
        <s v="A20251103001996"/>
      </sharedItems>
    </cacheField>
    <cacheField name="表体-应收金额" numFmtId="0">
      <sharedItems containsString="0" containsBlank="1" containsNumber="1" minValue="0" maxValue="3687940.63" count="403">
        <n v="2855.15"/>
        <n v="503.85"/>
        <n v="2623.2"/>
        <n v="655.8"/>
        <n v="4799.2"/>
        <n v="1199.8"/>
        <n v="2686"/>
        <n v="2574"/>
        <n v="3460"/>
        <n v="2991.2"/>
        <n v="747.8"/>
        <n v="2240"/>
        <n v="560"/>
        <n v="4399"/>
        <n v="4059"/>
        <n v="3599"/>
        <n v="2360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3290"/>
        <n v="2976"/>
        <n v="2614"/>
        <n v="6002"/>
        <n v="3701"/>
        <n v="2172"/>
        <n v="3932"/>
        <n v="4344"/>
        <n v="4015.2"/>
        <n v="1003.8"/>
        <n v="5988"/>
        <n v="4351.15"/>
        <n v="767.85"/>
        <n v="3998"/>
        <n v="828"/>
        <n v="3869"/>
        <n v="35000"/>
        <n v="1999"/>
        <n v="350"/>
        <n v="3395"/>
        <n v="3091"/>
        <n v="2863.2"/>
        <n v="715.8"/>
        <n v="4590"/>
        <n v="1397.6"/>
        <n v="79610"/>
        <n v="5667"/>
        <n v="4791"/>
        <n v="790"/>
        <n v="5872"/>
        <n v="8362"/>
        <n v="3519.2"/>
        <n v="879.8"/>
        <n v="7270"/>
        <n v="2975"/>
        <n v="1240"/>
        <n v="310"/>
        <n v="6502"/>
        <n v="3414"/>
        <n v="808"/>
        <n v="6599.28"/>
        <n v="10000"/>
        <n v="2911.2"/>
        <n v="727.8"/>
        <n v="1600"/>
        <n v="400"/>
        <n v="4124"/>
        <n v="3365"/>
        <n v="30"/>
        <n v="73131"/>
        <n v="3000"/>
        <n v="1488"/>
        <n v="3620"/>
        <n v="2445"/>
        <n v="6616"/>
        <n v="3900"/>
        <n v="2380"/>
        <n v="595"/>
        <n v="3280"/>
        <n v="22330"/>
        <n v="2372"/>
        <n v="2764"/>
        <n v="7129.8"/>
        <n v="1258.2"/>
        <n v="4800"/>
        <n v="1968.2"/>
        <n v="3936.4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3298"/>
        <n v="2608"/>
        <n v="188"/>
        <n v="1340"/>
        <n v="4086"/>
        <n v="2972.8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4039"/>
        <n v="6354"/>
        <n v="5100"/>
        <n v="3958"/>
        <n v="6440"/>
        <n v="1310"/>
        <n v="5032.8"/>
        <n v="4885.4"/>
        <n v="6744.4"/>
        <n v="162108.3"/>
        <n v="4612.8"/>
        <n v="1153.2"/>
        <n v="62620.6"/>
        <n v="3600"/>
        <n v="2789"/>
        <n v="300000"/>
        <n v="1621"/>
        <n v="4078.4"/>
        <n v="1019.6"/>
        <n v="1560"/>
        <n v="390"/>
        <n v="50000"/>
        <n v="2462.2"/>
        <n v="703.8"/>
        <n v="124.2"/>
        <n v="2950"/>
        <n v="8380"/>
        <n v="2620"/>
        <n v="655"/>
        <n v="4847.2"/>
        <n v="1211.8"/>
        <n v="10972"/>
        <n v="4455"/>
        <n v="3590"/>
        <n v="800"/>
        <n v="3180"/>
        <n v="10124"/>
        <n v="4277"/>
        <n v="6917.96"/>
        <n v="3679"/>
        <n v="1960"/>
        <n v="490"/>
        <n v="2715.2"/>
        <n v="678.8"/>
        <n v="242"/>
        <n v="890"/>
        <n v="8148"/>
        <n v="3504"/>
        <n v="4798"/>
        <n v="36202"/>
        <n v="3120"/>
        <n v="113351.2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5999"/>
        <n v="2741"/>
        <n v="3500"/>
        <n v="750"/>
        <n v="2698"/>
        <n v="8000"/>
        <n v="2800"/>
        <n v="3636"/>
        <n v="2558"/>
        <n v="1760"/>
        <n v="440"/>
        <n v="20000"/>
        <n v="4638"/>
        <n v="4289"/>
        <n v="4458"/>
        <n v="6981"/>
        <n v="1618"/>
        <n v="730"/>
        <n v="2745"/>
        <n v="3299.2"/>
        <n v="824.8"/>
        <n v="9100"/>
        <n v="4249"/>
        <n v="6000"/>
        <n v="3200"/>
        <n v="295"/>
        <n v="1460"/>
        <n v="3360"/>
        <n v="791"/>
        <n v="1903.2"/>
        <n v="475.8"/>
        <n v="2196"/>
        <n v="549"/>
        <n v="5850"/>
        <n v="1440.75"/>
        <n v="1162.7"/>
        <n v="464.65"/>
        <n v="773.9"/>
        <n v="2100"/>
        <n v="2300"/>
        <n v="6052.76"/>
        <n v="3291"/>
        <n v="3244"/>
        <n v="811"/>
        <n v="1379"/>
        <n v="6291"/>
        <n v="618"/>
        <n v="6500"/>
        <n v="23664"/>
        <n v="2845.08"/>
        <n v="2597.6"/>
        <n v="649.4"/>
        <n v="789"/>
        <n v="93.7"/>
        <n v="0.01"/>
        <n v="3311.2"/>
        <n v="827.8"/>
        <n v="1196"/>
        <n v="5238.8"/>
        <n v="5800"/>
        <n v="4048.2"/>
        <n v="2481.7"/>
        <n v="7480.75"/>
        <n v="4299"/>
        <n v="3917"/>
        <n v="3838"/>
        <n v="15739.2"/>
        <n v="2070"/>
        <n v="2360.8"/>
        <n v="590.2"/>
        <n v="3245"/>
        <n v="71511.68"/>
        <n v="6122.84"/>
        <n v="492.3"/>
        <n v="4639"/>
        <n v="26190"/>
        <n v="5430.4"/>
        <n v="1357.6"/>
        <n v="2594"/>
        <n v="12768"/>
        <n v="2815"/>
        <n v="770"/>
        <n v="3136"/>
        <n v="3230"/>
        <n v="2984"/>
        <n v="2685.6"/>
        <n v="2788"/>
        <n v="5089.8"/>
        <n v="898.2"/>
        <n v="2079"/>
        <n v="2000.6"/>
        <n v="35360"/>
        <n v="2200"/>
        <n v="3832.8"/>
        <n v="958.2"/>
        <n v="3369"/>
        <n v="5360"/>
        <n v="2496"/>
        <n v="836"/>
        <n v="4000"/>
        <n v="351"/>
        <n v="3990"/>
        <n v="20674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2246"/>
        <n v="1800"/>
        <n v="450"/>
        <n v="14000"/>
        <n v="3128"/>
        <n v="3788"/>
        <n v="5880.8"/>
        <n v="1470.2"/>
        <n v="2986"/>
        <n v="3070"/>
        <n v="4162"/>
        <n v="6800"/>
        <n v="1200"/>
        <n v="3888"/>
        <n v="3209.2"/>
        <n v="8055"/>
        <n v="3908"/>
        <n v="2856.8"/>
        <n v="714.2"/>
        <n v="15000"/>
        <n v="2787.2"/>
        <n v="3261.7"/>
        <n v="2033.6"/>
        <n v="508.4"/>
        <n v="23400"/>
        <n v="150000"/>
        <n v="2502"/>
        <n v="4160"/>
        <n v="1040"/>
        <n v="30887.28"/>
        <n v="873"/>
        <n v="10102.4"/>
        <n v="416.63"/>
        <n v="24350"/>
        <n v="24339"/>
        <n v="9767.4"/>
        <n v="2680"/>
        <n v="670"/>
        <n v="3901"/>
        <n v="136.9"/>
        <n v="4699"/>
        <n v="47"/>
        <n v="2813.2"/>
        <n v="2936.8"/>
        <n v="734.2"/>
        <n v="3311"/>
        <n v="3150"/>
        <n v="2576"/>
        <n v="6272"/>
        <n v="543"/>
        <n v="1840"/>
        <n v="460"/>
        <n v="9431.92"/>
        <n v="3680"/>
        <n v="920"/>
        <n v="508"/>
        <n v="3130"/>
        <n v="2654"/>
        <n v="3688"/>
        <n v="3848"/>
        <n v="8980"/>
        <n v="1839"/>
        <n v="4239"/>
        <n v="8229"/>
        <n v="2231.2"/>
        <n v="557.8"/>
        <n v="222"/>
        <n v="1500"/>
        <n v="4238"/>
        <n v="7490"/>
        <n v="854"/>
        <n v="5480"/>
        <n v="4128"/>
        <n v="1765"/>
        <n v="4725"/>
        <n v="2860"/>
        <n v="3687940.63"/>
        <m/>
      </sharedItems>
    </cacheField>
    <cacheField name="现金折扣" numFmtId="0">
      <sharedItems containsString="0" containsBlank="1" containsNonDate="0" count="1">
        <m/>
      </sharedItems>
    </cacheField>
    <cacheField name="表头-收款金额本位币" numFmtId="0">
      <sharedItems containsString="0" containsBlank="1" containsNumber="1" minValue="0" maxValue="3531536.63" count="409">
        <n v="2855.15"/>
        <n v="503.85"/>
        <n v="2623.2"/>
        <n v="655.8"/>
        <n v="4799.2"/>
        <n v="1199.8"/>
        <n v="11406"/>
        <m/>
        <n v="2991.2"/>
        <n v="747.8"/>
        <n v="2240"/>
        <n v="560"/>
        <n v="4399"/>
        <n v="4059"/>
        <n v="3599"/>
        <n v="2360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17300"/>
        <n v="17592"/>
        <n v="25305"/>
        <n v="22658"/>
        <n v="10731"/>
        <n v="4015.2"/>
        <n v="1003.8"/>
        <n v="5988"/>
        <n v="4351.15"/>
        <n v="767.85"/>
        <n v="3998"/>
        <n v="828"/>
        <n v="3869"/>
        <n v="35000"/>
        <n v="1999"/>
        <n v="350"/>
        <n v="3395"/>
        <n v="3091"/>
        <n v="2863.2"/>
        <n v="715.8"/>
        <n v="4590"/>
        <n v="11696"/>
        <n v="2172"/>
        <n v="1397.6"/>
        <n v="79610"/>
        <n v="5667"/>
        <n v="4791"/>
        <n v="790"/>
        <n v="5872"/>
        <n v="8362"/>
        <n v="3519.2"/>
        <n v="879.8"/>
        <n v="7270"/>
        <n v="2975"/>
        <n v="1240"/>
        <n v="310"/>
        <n v="6502"/>
        <n v="3414"/>
        <n v="808"/>
        <n v="6599.28"/>
        <n v="10000"/>
        <n v="2911.2"/>
        <n v="727.8"/>
        <n v="1600"/>
        <n v="400"/>
        <n v="4124"/>
        <n v="3365"/>
        <n v="30"/>
        <n v="73131"/>
        <n v="3000"/>
        <n v="1488"/>
        <n v="3620"/>
        <n v="2445"/>
        <n v="6616"/>
        <n v="3900"/>
        <n v="2380"/>
        <n v="595"/>
        <n v="3280"/>
        <n v="22330"/>
        <n v="22026"/>
        <n v="20236"/>
        <n v="25706"/>
        <n v="7129.8"/>
        <n v="1258.2"/>
        <n v="4800"/>
        <n v="5904.6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32004"/>
        <n v="12018"/>
        <n v="3701"/>
        <n v="2608"/>
        <n v="188"/>
        <n v="1340"/>
        <n v="4086"/>
        <n v="2972.8"/>
        <n v="743.2"/>
        <n v="4279"/>
        <n v="19733"/>
        <n v="7020"/>
        <n v="4764"/>
        <n v="9847.7"/>
        <n v="15392"/>
        <n v="4400"/>
        <n v="898"/>
        <n v="7000"/>
        <n v="4039"/>
        <n v="6354"/>
        <n v="5100"/>
        <n v="3958"/>
        <n v="6440"/>
        <n v="1310"/>
        <n v="5032.8"/>
        <n v="11629.8"/>
        <n v="162108.3"/>
        <n v="4612.8"/>
        <n v="1153.2"/>
        <n v="62620.6"/>
        <n v="3600"/>
        <n v="2789"/>
        <n v="300000"/>
        <n v="1621"/>
        <n v="4078.4"/>
        <n v="1019.6"/>
        <n v="1560"/>
        <n v="390"/>
        <n v="50000"/>
        <n v="2462.2"/>
        <n v="703.8"/>
        <n v="124.2"/>
        <n v="2950"/>
        <n v="8380"/>
        <n v="2620"/>
        <n v="655"/>
        <n v="4847.2"/>
        <n v="1211.8"/>
        <n v="10972"/>
        <n v="12178"/>
        <n v="3460"/>
        <n v="31288"/>
        <n v="800"/>
        <n v="3180"/>
        <n v="10124"/>
        <n v="4277"/>
        <n v="6917.96"/>
        <n v="3679"/>
        <n v="1960"/>
        <n v="490"/>
        <n v="2715.2"/>
        <n v="678.8"/>
        <n v="242"/>
        <n v="890"/>
        <n v="8148"/>
        <n v="3504"/>
        <n v="4798"/>
        <n v="36202"/>
        <n v="3120"/>
        <n v="113351.2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5999"/>
        <n v="2741"/>
        <n v="3500"/>
        <n v="750"/>
        <n v="2698"/>
        <n v="8000"/>
        <n v="2800"/>
        <n v="3636"/>
        <n v="2558"/>
        <n v="22438"/>
        <n v="17440"/>
        <n v="1760"/>
        <n v="440"/>
        <n v="20000"/>
        <n v="4638"/>
        <n v="4289"/>
        <n v="4458"/>
        <n v="6981"/>
        <n v="1618"/>
        <n v="730"/>
        <n v="2745"/>
        <n v="3299.2"/>
        <n v="824.8"/>
        <n v="9100"/>
        <n v="4249"/>
        <n v="28656"/>
        <n v="6000"/>
        <n v="3200"/>
        <n v="295"/>
        <n v="3060"/>
        <n v="3360"/>
        <n v="791"/>
        <n v="1903.2"/>
        <n v="475.8"/>
        <n v="2196"/>
        <n v="549"/>
        <n v="17920"/>
        <n v="5850"/>
        <n v="1440.75"/>
        <n v="1162.7"/>
        <n v="464.65"/>
        <n v="773.9"/>
        <n v="20479"/>
        <n v="2100"/>
        <n v="2300"/>
        <n v="6052.76"/>
        <n v="3291"/>
        <n v="3244"/>
        <n v="811"/>
        <n v="1379"/>
        <n v="6291"/>
        <n v="618"/>
        <n v="6500"/>
        <n v="23664"/>
        <n v="2845.08"/>
        <n v="2597.6"/>
        <n v="649.4"/>
        <n v="5707"/>
        <n v="789"/>
        <n v="93.7"/>
        <n v="0.01"/>
        <n v="3311.2"/>
        <n v="827.8"/>
        <n v="1196"/>
        <n v="2850"/>
        <n v="5238.8"/>
        <n v="5800"/>
        <n v="4048.2"/>
        <n v="2481.7"/>
        <n v="7480.75"/>
        <n v="4299"/>
        <n v="3917"/>
        <n v="3838"/>
        <n v="15739.2"/>
        <n v="2070"/>
        <n v="2360.8"/>
        <n v="590.2"/>
        <n v="3245"/>
        <n v="71511.68"/>
        <n v="6122.84"/>
        <n v="492.3"/>
        <n v="4639"/>
        <n v="26190"/>
        <n v="5430.4"/>
        <n v="1357.6"/>
        <n v="5918"/>
        <n v="12768"/>
        <n v="24051"/>
        <n v="21623"/>
        <n v="770"/>
        <n v="3136"/>
        <n v="3230"/>
        <n v="2984"/>
        <n v="2685.6"/>
        <n v="8364"/>
        <n v="5089.8"/>
        <n v="898.2"/>
        <n v="2079"/>
        <n v="37360.6"/>
        <n v="2200"/>
        <n v="3832.8"/>
        <n v="958.2"/>
        <n v="3369"/>
        <n v="5360"/>
        <n v="7200"/>
        <n v="2496"/>
        <n v="836"/>
        <n v="4000"/>
        <n v="351"/>
        <n v="3990"/>
        <n v="20674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25754"/>
        <n v="3298"/>
        <n v="10632"/>
        <n v="1800"/>
        <n v="450"/>
        <n v="14000"/>
        <n v="3128"/>
        <n v="3788"/>
        <n v="5880.8"/>
        <n v="1470.2"/>
        <n v="2986"/>
        <n v="3070"/>
        <n v="4162"/>
        <n v="6800"/>
        <n v="1200"/>
        <n v="3888"/>
        <n v="2594"/>
        <n v="3209.2"/>
        <n v="8055"/>
        <n v="3908"/>
        <n v="2856.8"/>
        <n v="714.2"/>
        <n v="15000"/>
        <n v="11317.8"/>
        <n v="2033.6"/>
        <n v="508.4"/>
        <n v="23400"/>
        <n v="150000"/>
        <n v="8006"/>
        <n v="6983"/>
        <n v="4160"/>
        <n v="1040"/>
        <n v="30887.28"/>
        <n v="873"/>
        <n v="10102.4"/>
        <n v="416.63"/>
        <n v="24350"/>
        <n v="24339"/>
        <n v="9767.4"/>
        <n v="2680"/>
        <n v="670"/>
        <n v="18473"/>
        <n v="32317"/>
        <n v="136.9"/>
        <n v="4699"/>
        <n v="47"/>
        <n v="4781.4"/>
        <n v="2936.8"/>
        <n v="734.2"/>
        <n v="3311"/>
        <n v="3150"/>
        <n v="2576"/>
        <n v="6272"/>
        <n v="543"/>
        <n v="1840"/>
        <n v="460"/>
        <n v="9431.92"/>
        <n v="3680"/>
        <n v="920"/>
        <n v="508"/>
        <n v="3130"/>
        <n v="2654"/>
        <n v="3688"/>
        <n v="3848"/>
        <n v="8980"/>
        <n v="1839"/>
        <n v="4239"/>
        <n v="8229"/>
        <n v="2231.2"/>
        <n v="557.8"/>
        <n v="222"/>
        <n v="1500"/>
        <n v="4238"/>
        <n v="8559"/>
        <n v="7490"/>
        <n v="854"/>
        <n v="16098"/>
        <n v="2860"/>
        <n v="3531536.63"/>
      </sharedItems>
    </cacheField>
    <cacheField name="折后金额" numFmtId="0">
      <sharedItems containsString="0" containsBlank="1" containsNumber="1" minValue="0" maxValue="300000" count="402">
        <n v="2855.15"/>
        <n v="503.85"/>
        <n v="2623.2"/>
        <n v="655.8"/>
        <n v="4799.2"/>
        <n v="1199.8"/>
        <n v="2686"/>
        <n v="2574"/>
        <n v="3460"/>
        <n v="2991.2"/>
        <n v="747.8"/>
        <n v="2240"/>
        <n v="560"/>
        <n v="4399"/>
        <n v="4059"/>
        <n v="3599"/>
        <n v="2360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3290"/>
        <n v="2976"/>
        <n v="2614"/>
        <n v="6002"/>
        <n v="3701"/>
        <n v="2172"/>
        <n v="3932"/>
        <n v="4344"/>
        <n v="4015.2"/>
        <n v="1003.8"/>
        <n v="5988"/>
        <n v="4351.15"/>
        <n v="767.85"/>
        <n v="3998"/>
        <n v="828"/>
        <n v="3869"/>
        <n v="35000"/>
        <n v="1999"/>
        <n v="350"/>
        <n v="3395"/>
        <n v="3091"/>
        <n v="2863.2"/>
        <n v="715.8"/>
        <n v="4590"/>
        <n v="1397.6"/>
        <n v="79610"/>
        <n v="5667"/>
        <n v="4791"/>
        <n v="790"/>
        <n v="5872"/>
        <n v="8362"/>
        <n v="3519.2"/>
        <n v="879.8"/>
        <n v="7270"/>
        <n v="2975"/>
        <n v="1240"/>
        <n v="310"/>
        <n v="6502"/>
        <n v="3414"/>
        <n v="808"/>
        <n v="6599.28"/>
        <n v="10000"/>
        <n v="2911.2"/>
        <n v="727.8"/>
        <n v="1600"/>
        <n v="400"/>
        <n v="4124"/>
        <n v="3365"/>
        <n v="30"/>
        <n v="73131"/>
        <n v="3000"/>
        <n v="1488"/>
        <n v="3620"/>
        <n v="2445"/>
        <n v="6616"/>
        <n v="3900"/>
        <n v="2380"/>
        <n v="595"/>
        <n v="3280"/>
        <n v="22330"/>
        <n v="2372"/>
        <n v="2764"/>
        <n v="7129.8"/>
        <n v="1258.2"/>
        <n v="4800"/>
        <n v="1968.2"/>
        <n v="3936.4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3298"/>
        <n v="2608"/>
        <n v="188"/>
        <n v="1340"/>
        <n v="4086"/>
        <n v="2972.8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4039"/>
        <n v="6354"/>
        <n v="5100"/>
        <n v="3958"/>
        <n v="6440"/>
        <n v="1310"/>
        <n v="5032.8"/>
        <n v="4885.4"/>
        <n v="6744.4"/>
        <n v="162108.3"/>
        <n v="4612.8"/>
        <n v="1153.2"/>
        <n v="62620.6"/>
        <n v="3600"/>
        <n v="2789"/>
        <n v="300000"/>
        <n v="1621"/>
        <n v="4078.4"/>
        <n v="1019.6"/>
        <n v="1560"/>
        <n v="390"/>
        <n v="50000"/>
        <n v="2462.2"/>
        <n v="703.8"/>
        <n v="124.2"/>
        <n v="2950"/>
        <n v="8380"/>
        <n v="2620"/>
        <n v="655"/>
        <n v="4847.2"/>
        <n v="1211.8"/>
        <n v="10972"/>
        <n v="4455"/>
        <n v="3590"/>
        <n v="800"/>
        <n v="3180"/>
        <n v="10124"/>
        <n v="4277"/>
        <n v="6917.96"/>
        <n v="3679"/>
        <n v="1960"/>
        <n v="490"/>
        <n v="2715.2"/>
        <n v="678.8"/>
        <n v="242"/>
        <n v="890"/>
        <n v="8148"/>
        <n v="3504"/>
        <n v="4798"/>
        <n v="36202"/>
        <n v="3120"/>
        <n v="113351.2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5999"/>
        <n v="2741"/>
        <n v="3500"/>
        <n v="750"/>
        <n v="2698"/>
        <n v="8000"/>
        <n v="2800"/>
        <n v="3636"/>
        <n v="2558"/>
        <n v="1760"/>
        <n v="440"/>
        <n v="20000"/>
        <n v="4638"/>
        <n v="4289"/>
        <n v="4458"/>
        <n v="6981"/>
        <n v="1618"/>
        <n v="730"/>
        <n v="2745"/>
        <n v="3299.2"/>
        <n v="824.8"/>
        <n v="9100"/>
        <n v="4249"/>
        <n v="6000"/>
        <n v="3200"/>
        <n v="295"/>
        <n v="1460"/>
        <n v="3360"/>
        <n v="791"/>
        <n v="1903.2"/>
        <n v="475.8"/>
        <n v="2196"/>
        <n v="549"/>
        <n v="5850"/>
        <n v="1440.75"/>
        <n v="1162.7"/>
        <n v="464.65"/>
        <n v="773.9"/>
        <n v="2100"/>
        <n v="2300"/>
        <n v="6052.76"/>
        <n v="3291"/>
        <n v="3244"/>
        <n v="811"/>
        <n v="1379"/>
        <n v="6291"/>
        <n v="618"/>
        <n v="6500"/>
        <n v="23664"/>
        <n v="2845.08"/>
        <n v="2597.6"/>
        <n v="649.4"/>
        <n v="789"/>
        <n v="93.7"/>
        <n v="0.01"/>
        <n v="3311.2"/>
        <n v="827.8"/>
        <n v="1196"/>
        <n v="5238.8"/>
        <n v="5800"/>
        <n v="4048.2"/>
        <n v="2481.7"/>
        <n v="7480.75"/>
        <n v="4299"/>
        <n v="3917"/>
        <n v="3838"/>
        <n v="15739.2"/>
        <n v="2070"/>
        <n v="2360.8"/>
        <n v="590.2"/>
        <n v="3245"/>
        <n v="71511.68"/>
        <n v="6122.84"/>
        <n v="492.3"/>
        <n v="4639"/>
        <n v="26190"/>
        <n v="5430.4"/>
        <n v="1357.6"/>
        <n v="2594"/>
        <n v="12768"/>
        <n v="2815"/>
        <n v="770"/>
        <n v="3136"/>
        <n v="3230"/>
        <n v="2984"/>
        <n v="2685.6"/>
        <n v="2788"/>
        <n v="5089.8"/>
        <n v="898.2"/>
        <n v="2079"/>
        <n v="2000.6"/>
        <n v="35360"/>
        <n v="2200"/>
        <n v="3832.8"/>
        <n v="958.2"/>
        <n v="3369"/>
        <n v="5360"/>
        <n v="2496"/>
        <n v="836"/>
        <n v="4000"/>
        <n v="351"/>
        <n v="3990"/>
        <n v="20674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2246"/>
        <n v="1800"/>
        <n v="450"/>
        <n v="14000"/>
        <n v="3128"/>
        <n v="3788"/>
        <n v="5880.8"/>
        <n v="1470.2"/>
        <n v="2986"/>
        <n v="3070"/>
        <n v="4162"/>
        <n v="6800"/>
        <n v="1200"/>
        <n v="3888"/>
        <n v="3209.2"/>
        <n v="8055"/>
        <n v="3908"/>
        <n v="2856.8"/>
        <n v="714.2"/>
        <n v="15000"/>
        <n v="2787.2"/>
        <n v="3261.7"/>
        <n v="2033.6"/>
        <n v="508.4"/>
        <n v="23400"/>
        <n v="150000"/>
        <n v="2502"/>
        <n v="4160"/>
        <n v="1040"/>
        <n v="30887.28"/>
        <n v="873"/>
        <n v="10102.4"/>
        <n v="416.63"/>
        <n v="24350"/>
        <n v="24339"/>
        <n v="9767.4"/>
        <n v="2680"/>
        <n v="670"/>
        <n v="3901"/>
        <n v="136.9"/>
        <n v="4699"/>
        <n v="47"/>
        <n v="2813.2"/>
        <n v="2936.8"/>
        <n v="734.2"/>
        <n v="3311"/>
        <n v="3150"/>
        <n v="2576"/>
        <n v="6272"/>
        <n v="543"/>
        <n v="1840"/>
        <n v="460"/>
        <n v="9431.92"/>
        <n v="3680"/>
        <n v="920"/>
        <n v="508"/>
        <n v="3130"/>
        <n v="2654"/>
        <n v="3688"/>
        <n v="3848"/>
        <n v="8980"/>
        <n v="1839"/>
        <n v="4239"/>
        <n v="8229"/>
        <n v="2231.2"/>
        <n v="557.8"/>
        <n v="222"/>
        <n v="1500"/>
        <n v="4238"/>
        <n v="7490"/>
        <n v="854"/>
        <n v="5480"/>
        <n v="4128"/>
        <n v="1765"/>
        <n v="4725"/>
        <n v="2860"/>
        <m/>
      </sharedItems>
    </cacheField>
    <cacheField name="手续费" numFmtId="0">
      <sharedItems containsString="0" containsBlank="1" containsNumber="1" minValue="0" maxValue="63.47" count="131">
        <n v="17.13"/>
        <m/>
        <n v="15.74"/>
        <n v="28.8"/>
        <n v="17.46"/>
        <n v="16.73"/>
        <n v="22.49"/>
        <n v="17.95"/>
        <n v="13.44"/>
        <n v="8.73"/>
        <n v="7.74"/>
        <n v="7.39"/>
        <n v="14.76"/>
        <n v="17.45"/>
        <n v="22.31"/>
        <n v="21.39"/>
        <n v="19.35"/>
        <n v="16.99"/>
        <n v="39.01"/>
        <n v="24.06"/>
        <n v="14.12"/>
        <n v="25.56"/>
        <n v="28.23"/>
        <n v="24.09"/>
        <n v="26.11"/>
        <n v="17.18"/>
        <n v="12.62"/>
        <n v="21.12"/>
        <n v="15.63"/>
        <n v="7.44"/>
        <n v="7.34"/>
        <n v="17.47"/>
        <n v="9.6"/>
        <n v="7.78"/>
        <n v="14.22"/>
        <n v="14.28"/>
        <n v="16.12"/>
        <n v="14.23"/>
        <n v="16.58"/>
        <n v="20.76"/>
        <n v="15.44"/>
        <n v="26.06"/>
        <n v="17.86"/>
        <n v="12"/>
        <n v="42.81"/>
        <n v="27.41"/>
        <n v="18.76"/>
        <n v="63.47"/>
        <n v="19.79"/>
        <n v="22.21"/>
        <n v="5.61"/>
        <n v="0.06"/>
        <n v="0.4"/>
        <n v="13.98"/>
        <n v="17.84"/>
        <n v="18"/>
        <n v="30.2"/>
        <n v="27.68"/>
        <n v="9.36"/>
        <n v="4.22"/>
        <n v="15.72"/>
        <n v="29.08"/>
        <n v="26.73"/>
        <n v="21.54"/>
        <n v="1.72"/>
        <n v="11.76"/>
        <n v="16.29"/>
        <n v="10.32"/>
        <n v="8.93"/>
        <n v="11.9"/>
        <n v="3.72"/>
        <n v="20.4"/>
        <n v="0.19"/>
        <n v="6"/>
        <n v="14.4"/>
        <n v="1.61"/>
        <n v="23.34"/>
        <n v="10.56"/>
        <n v="9.97"/>
        <n v="7.82"/>
        <n v="9.22"/>
        <n v="23.59"/>
        <n v="19.2"/>
        <n v="3.44"/>
        <n v="3.14"/>
        <n v="11.42"/>
        <n v="13.18"/>
        <n v="19.46"/>
        <n v="13.53"/>
        <n v="15.59"/>
        <n v="19.87"/>
        <n v="4.3"/>
        <n v="1.83"/>
        <n v="14.16"/>
        <n v="32.58"/>
        <n v="18.3"/>
        <n v="17.96"/>
        <n v="6.02"/>
        <n v="6.42"/>
        <n v="30.54"/>
        <n v="4.47"/>
        <n v="23"/>
        <n v="32.16"/>
        <n v="24"/>
        <n v="33.44"/>
        <n v="5.76"/>
        <n v="8.61"/>
        <n v="17.51"/>
        <n v="14.6"/>
        <n v="10.8"/>
        <n v="35.28"/>
        <n v="6.6"/>
        <n v="40.8"/>
        <n v="17.14"/>
        <n v="12.2"/>
        <n v="8.6"/>
        <n v="24.96"/>
        <n v="16.08"/>
        <n v="23.41"/>
        <n v="10.1"/>
        <n v="17.62"/>
        <n v="7.12"/>
        <n v="13.48"/>
        <n v="11.04"/>
        <n v="22.08"/>
        <n v="6.73"/>
        <n v="5.71"/>
        <n v="4.95"/>
        <n v="8.27"/>
        <n v="13.39"/>
        <n v="13.03"/>
      </sharedItems>
    </cacheField>
    <cacheField name="长短款" numFmtId="0">
      <sharedItems containsString="0" containsBlank="1" containsNonDate="0" count="1">
        <m/>
      </sharedItems>
    </cacheField>
    <cacheField name="表体-实收金额" numFmtId="0">
      <sharedItems containsString="0" containsBlank="1" containsNumber="1" minValue="0" maxValue="3682577.51" count="440">
        <n v="2838.02"/>
        <n v="503.85"/>
        <n v="2607.46"/>
        <n v="655.8"/>
        <n v="4770.4"/>
        <n v="1199.8"/>
        <n v="2668.54"/>
        <n v="2557.27"/>
        <n v="3437.51"/>
        <n v="2973.25"/>
        <n v="747.8"/>
        <n v="2226.56"/>
        <n v="560"/>
        <n v="4399"/>
        <n v="4050.27"/>
        <n v="3591.26"/>
        <n v="2360"/>
        <n v="2071"/>
        <n v="3439"/>
        <n v="3431.61"/>
        <n v="5220"/>
        <n v="2446.04"/>
        <n v="615.2"/>
        <n v="3639"/>
        <n v="2591"/>
        <n v="2891.35"/>
        <n v="727.2"/>
        <n v="4481"/>
        <n v="6365"/>
        <n v="3695.29"/>
        <n v="929.4"/>
        <n v="5000"/>
        <n v="3268.61"/>
        <n v="2956.65"/>
        <n v="2597.01"/>
        <n v="5962.99"/>
        <n v="3676.94"/>
        <n v="2157.88"/>
        <n v="3906.44"/>
        <n v="4315.77"/>
        <n v="3991.11"/>
        <n v="1003.8"/>
        <n v="5988"/>
        <n v="4325.04"/>
        <n v="767.85"/>
        <n v="3998"/>
        <n v="828"/>
        <n v="3869"/>
        <n v="35000"/>
        <n v="1999"/>
        <n v="350"/>
        <n v="3395"/>
        <n v="3091"/>
        <n v="2846.02"/>
        <n v="715.8"/>
        <n v="4590"/>
        <n v="1397.6"/>
        <n v="79610"/>
        <n v="5667"/>
        <n v="4791"/>
        <n v="790"/>
        <n v="5859.38"/>
        <n v="8362"/>
        <n v="3498.08"/>
        <n v="879.8"/>
        <n v="7254.37"/>
        <n v="2975"/>
        <n v="1232.56"/>
        <n v="310"/>
        <n v="6502"/>
        <n v="3406.66"/>
        <n v="808"/>
        <n v="6599.28"/>
        <n v="10000"/>
        <n v="2893.73"/>
        <n v="727.8"/>
        <n v="1590.4"/>
        <n v="400"/>
        <n v="4124"/>
        <n v="3365"/>
        <n v="30"/>
        <n v="73131"/>
        <n v="3000"/>
        <n v="1488"/>
        <n v="3612.22"/>
        <n v="2445"/>
        <n v="6601.78"/>
        <n v="5872"/>
        <n v="3900"/>
        <n v="2365.72"/>
        <n v="595"/>
        <n v="3280"/>
        <n v="22330"/>
        <n v="2669.88"/>
        <n v="2357.77"/>
        <n v="2747.42"/>
        <n v="3439.24"/>
        <n v="2558.56"/>
        <n v="4317.94"/>
        <n v="2958.14"/>
        <n v="7129.8"/>
        <n v="1258.2"/>
        <n v="4800"/>
        <n v="1968.2"/>
        <n v="3936.4"/>
        <n v="5124"/>
        <n v="1987.2"/>
        <n v="499.8"/>
        <n v="2400"/>
        <n v="2778"/>
        <n v="5871"/>
        <n v="7092.39"/>
        <n v="1783.8"/>
        <n v="32"/>
        <n v="5816"/>
        <n v="4540.49"/>
        <n v="806.1"/>
        <n v="398"/>
        <n v="3108.44"/>
        <n v="781.8"/>
        <n v="10515.53"/>
        <n v="2000"/>
        <n v="4810"/>
        <n v="3278.21"/>
        <n v="3678.79"/>
        <n v="2602.39"/>
        <n v="29.94"/>
        <n v="187.6"/>
        <n v="6488.02"/>
        <n v="1340"/>
        <n v="4086"/>
        <n v="2954.96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2982"/>
        <n v="4039"/>
        <n v="6354"/>
        <n v="5100"/>
        <n v="3958"/>
        <n v="6440"/>
        <n v="1310"/>
        <n v="2240"/>
        <n v="5002.6"/>
        <n v="4885.4"/>
        <n v="6744.4"/>
        <n v="162108.3"/>
        <n v="4585.12"/>
        <n v="1153.2"/>
        <n v="62620.6"/>
        <n v="3600"/>
        <n v="2789"/>
        <n v="300000"/>
        <n v="1621"/>
        <n v="4078.4"/>
        <n v="1019.6"/>
        <n v="1550.64"/>
        <n v="390"/>
        <n v="50000"/>
        <n v="2462.2"/>
        <n v="699.58"/>
        <n v="124.2"/>
        <n v="2950"/>
        <n v="8380"/>
        <n v="2604.28"/>
        <n v="655"/>
        <n v="4818.12"/>
        <n v="1211.8"/>
        <n v="10972"/>
        <n v="4428.27"/>
        <n v="3568.46"/>
        <n v="798.28"/>
        <n v="3180"/>
        <n v="10124"/>
        <n v="4277"/>
        <n v="6917.96"/>
        <n v="3679"/>
        <n v="1948.24"/>
        <n v="490"/>
        <n v="2698.91"/>
        <n v="678.8"/>
        <n v="242"/>
        <n v="890"/>
        <n v="8148"/>
        <n v="3504"/>
        <n v="4787.68"/>
        <n v="36202"/>
        <n v="3120"/>
        <n v="113351.28"/>
        <n v="1479.07"/>
        <n v="1972.1"/>
        <n v="372"/>
        <n v="496"/>
        <n v="799"/>
        <n v="615.93"/>
        <n v="109.35"/>
        <n v="7351"/>
        <n v="850"/>
        <n v="3379.6"/>
        <n v="600"/>
        <n v="31.81"/>
        <n v="1700"/>
        <n v="994"/>
        <n v="7438.76"/>
        <n v="700"/>
        <n v="2385.6"/>
        <n v="2578"/>
        <n v="5999"/>
        <n v="2741"/>
        <n v="3500"/>
        <n v="748.39"/>
        <n v="2698"/>
        <n v="8000"/>
        <n v="2800"/>
        <n v="3636"/>
        <n v="2558"/>
        <n v="3566.66"/>
        <n v="1749.44"/>
        <n v="440"/>
        <n v="2855.15"/>
        <n v="750"/>
        <n v="20000"/>
        <n v="4628.03"/>
        <n v="3628.18"/>
        <n v="4279.78"/>
        <n v="4458"/>
        <n v="6981"/>
        <n v="1618"/>
        <n v="730"/>
        <n v="2745"/>
        <n v="3299.2"/>
        <n v="824.8"/>
        <n v="9100"/>
        <n v="4249"/>
        <n v="3908.41"/>
        <n v="6000"/>
        <n v="3180.8"/>
        <n v="800"/>
        <n v="295"/>
        <n v="1596.56"/>
        <n v="1456.86"/>
        <n v="3360"/>
        <n v="791"/>
        <n v="1891.78"/>
        <n v="475.8"/>
        <n v="2182.82"/>
        <n v="549"/>
        <n v="5850"/>
        <n v="1440.75"/>
        <n v="1162.7"/>
        <n v="464.65"/>
        <n v="773.9"/>
        <n v="2100"/>
        <n v="2300"/>
        <n v="6052.76"/>
        <n v="3291"/>
        <n v="3224.54"/>
        <n v="811"/>
        <n v="1379"/>
        <n v="6277.47"/>
        <n v="618"/>
        <n v="6291"/>
        <n v="6486.02"/>
        <n v="23664"/>
        <n v="2845.08"/>
        <n v="2582.01"/>
        <n v="649.4"/>
        <n v="789"/>
        <n v="93.7"/>
        <n v="0.01"/>
        <n v="3291.33"/>
        <n v="827.8"/>
        <n v="1196"/>
        <n v="1995.7"/>
        <n v="848.17"/>
        <n v="5238.8"/>
        <n v="5800"/>
        <n v="4048.2"/>
        <n v="2481.7"/>
        <n v="7480.75"/>
        <n v="4299"/>
        <n v="3917"/>
        <n v="3838"/>
        <n v="15739.2"/>
        <n v="2070"/>
        <n v="2346.64"/>
        <n v="590.2"/>
        <n v="3245"/>
        <n v="71511.68"/>
        <n v="6122.84"/>
        <n v="492.3"/>
        <n v="4639"/>
        <n v="26190"/>
        <n v="2196"/>
        <n v="5397.82"/>
        <n v="1357.6"/>
        <n v="2594"/>
        <n v="12768"/>
        <n v="2796.7"/>
        <n v="2746.04"/>
        <n v="2793.98"/>
        <n v="770"/>
        <n v="3136"/>
        <n v="3230"/>
        <n v="2977.58"/>
        <n v="2685.6"/>
        <n v="2788"/>
        <n v="5059.26"/>
        <n v="898.2"/>
        <n v="2074.53"/>
        <n v="2000.6"/>
        <n v="35360"/>
        <n v="2200"/>
        <n v="3809.8"/>
        <n v="958.2"/>
        <n v="3369"/>
        <n v="5327.84"/>
        <n v="2496"/>
        <n v="836"/>
        <n v="3976"/>
        <n v="1000"/>
        <n v="351"/>
        <n v="3990"/>
        <n v="20674"/>
        <n v="1893"/>
        <n v="1895"/>
        <n v="3138"/>
        <n v="5539.36"/>
        <n v="1393.2"/>
        <n v="2984"/>
        <n v="4295"/>
        <n v="9600"/>
        <n v="954.24"/>
        <n v="240"/>
        <n v="5597"/>
        <n v="3994.39"/>
        <n v="4002"/>
        <n v="4020"/>
        <n v="4180"/>
        <n v="10258"/>
        <n v="3708"/>
        <n v="8127.49"/>
        <n v="135"/>
        <n v="3139"/>
        <n v="3270"/>
        <n v="2231.4"/>
        <n v="1789.2"/>
        <n v="450"/>
        <n v="14000"/>
        <n v="3128"/>
        <n v="3788"/>
        <n v="5845.52"/>
        <n v="1470.2"/>
        <n v="2986"/>
        <n v="3063.4"/>
        <n v="5880.8"/>
        <n v="4162"/>
        <n v="6759.2"/>
        <n v="1200"/>
        <n v="3400"/>
        <n v="3888"/>
        <n v="3209.2"/>
        <n v="8055"/>
        <n v="3908"/>
        <n v="2839.66"/>
        <n v="714.2"/>
        <n v="15000"/>
        <n v="2787.2"/>
        <n v="3261.7"/>
        <n v="2021.4"/>
        <n v="508.4"/>
        <n v="23400"/>
        <n v="150000"/>
        <n v="3994.4"/>
        <n v="2502"/>
        <n v="4135.04"/>
        <n v="1040"/>
        <n v="30887.28"/>
        <n v="873"/>
        <n v="10102.4"/>
        <n v="416.63"/>
        <n v="24350"/>
        <n v="24339"/>
        <n v="9767.4"/>
        <n v="2663.92"/>
        <n v="670"/>
        <n v="3877.59"/>
        <n v="136.9"/>
        <n v="4688.9"/>
        <n v="47"/>
        <n v="2813.2"/>
        <n v="2919.18"/>
        <n v="734.2"/>
        <n v="3303.88"/>
        <n v="3150"/>
        <n v="2576"/>
        <n v="6258.52"/>
        <n v="543"/>
        <n v="1828.96"/>
        <n v="460"/>
        <n v="9431.92"/>
        <n v="8145"/>
        <n v="3657.92"/>
        <n v="920"/>
        <n v="508"/>
        <n v="3123.27"/>
        <n v="2648.29"/>
        <n v="3688"/>
        <n v="2295.05"/>
        <n v="3839.73"/>
        <n v="8980"/>
        <n v="1839"/>
        <n v="4239"/>
        <n v="5430.4"/>
        <n v="8229"/>
        <n v="2217.81"/>
        <n v="557.8"/>
        <n v="222"/>
        <n v="1500"/>
        <n v="4238"/>
        <n v="2158.97"/>
        <n v="7490"/>
        <n v="854"/>
        <n v="5480"/>
        <n v="4128"/>
        <n v="1765"/>
        <n v="4725"/>
        <n v="2860"/>
        <n v="3682577.51"/>
        <m/>
      </sharedItems>
    </cacheField>
    <cacheField name="我方账户名称" numFmtId="0">
      <sharedItems containsBlank="1" count="9">
        <s v="杭州中冠电器有限公司"/>
        <s v="政府以旧换新中转银行"/>
        <s v="杭州中冠电器有限公司支付宝"/>
        <s v="李扬-金华"/>
        <s v="中转银行"/>
        <s v="李扬-嘉兴"/>
        <s v="李扬-杭州"/>
        <s v="尾号8418支付宝"/>
        <m/>
      </sharedItems>
    </cacheField>
    <cacheField name="是否期初单据" numFmtId="0">
      <sharedItems containsBlank="1" count="2">
        <s v="否"/>
        <m/>
      </sharedItems>
    </cacheField>
    <cacheField name="我方开户行" numFmtId="0">
      <sharedItems containsBlank="1" count="9">
        <s v="中信银行杭州钱江支行"/>
        <s v="政府以旧换新中转银行"/>
        <s v="杭州中冠电器有限公司支付宝"/>
        <s v="中国建设银行股份有限公司金华经济开发区支行"/>
        <s v="虚拟银行"/>
        <s v="中国建设银行股份有限公司海宁海洲支行"/>
        <s v="中国建设银行股份有限公司杭州文三路支行"/>
        <s v="网商银行"/>
        <m/>
      </sharedItems>
    </cacheField>
    <cacheField name="来源系统" numFmtId="0">
      <sharedItems containsBlank="1" count="2">
        <s v="手工新增"/>
        <m/>
      </sharedItems>
    </cacheField>
    <cacheField name="对方开户行" numFmtId="0">
      <sharedItems containsBlank="1" count="2">
        <m/>
        <s v="农业银行杭州蒋村支行"/>
      </sharedItems>
    </cacheField>
    <cacheField name="付款单位" numFmtId="0">
      <sharedItems containsBlank="1" count="43">
        <s v="杭州红星美凯龙一号店"/>
        <s v="滨江六空8090店"/>
        <s v="自营以旧换新特别账户"/>
        <m/>
        <s v="萧山第六空间专卖店"/>
        <s v="金华龙腾建材市场专卖店"/>
        <s v="衢州市柯城汇鑫家用电器商行"/>
        <s v="湖州金蝶零售"/>
        <s v="杭州临平江南家居专卖店"/>
        <s v="桐庐佳尼特水处理设备有限公司"/>
        <s v="杭州装家百科电器有限公司"/>
        <s v="杭州华东家电市场铁人电器商行"/>
        <s v="杭州金蝶零售"/>
        <s v="义乌颖亿贸易有限公司"/>
        <s v="（新）滨江第六空间专卖店"/>
        <s v="杭州恒大建材超级旗舰店"/>
        <s v="杭州宏信机电有限公司"/>
        <s v="浙江普农家电有限公司"/>
        <s v=":衢州市柯城汇鑫家用电器商行以旧换新"/>
        <s v="兰溪市泽胜电器有限公司"/>
        <s v="萧山汇德隆净水"/>
        <s v="萧山汇德隆家电超市"/>
        <s v="温州吉远电器有限公司"/>
        <s v="杭州允选科技有限公司"/>
        <s v="杭州中博智能电器有限公司"/>
        <s v="贝壳美家供应链管理（浙江）有限责任公司"/>
        <s v=" 二轻专卖店以旧换新"/>
        <s v="台州中嘉电器有限公司"/>
        <s v="杭州瑞艾工程技术服务有限公司"/>
        <s v="绍兴晨涛电器有限公司"/>
        <s v="杭州临安一栋电器有限公司"/>
        <s v="嘉兴艾通电器有限公司"/>
        <s v="无人认领"/>
        <s v="史密斯官方商城"/>
        <s v="艾欧史密斯（中国）水系统有限公司"/>
        <s v="京东五星电器集团宁波电器有限公司（台州）"/>
        <s v="浙江都都装饰有限公司"/>
        <s v="杭州兴达京昀电器有限公司"/>
        <s v="湖州浙北大厦家电有限公司"/>
        <s v="杭州中瑞工程技术有限公司"/>
        <s v="湖州浙北网格家电有限公司"/>
        <s v="金华一启家电有限公司"/>
        <s v="永康市荣浪家用电器有限公司"/>
      </sharedItems>
    </cacheField>
    <cacheField name="结算号" numFmtId="0">
      <sharedItems containsString="0" containsBlank="1" containsNonDate="0" count="1">
        <m/>
      </sharedItems>
    </cacheField>
    <cacheField name="对方银行账号" numFmtId="0">
      <sharedItems containsBlank="1" count="2">
        <m/>
        <s v="19000701040018551"/>
      </sharedItems>
    </cacheField>
    <cacheField name="对方账户名称" numFmtId="0">
      <sharedItems containsBlank="1" count="2">
        <m/>
        <s v="浙江都都装饰有限公司"/>
      </sharedItems>
    </cacheField>
    <cacheField name="现金折扣本位币" numFmtId="0">
      <sharedItems containsString="0" containsBlank="1" containsNonDate="0" count="1">
        <m/>
      </sharedItems>
    </cacheField>
    <cacheField name="折后金额本位币" numFmtId="0">
      <sharedItems containsString="0" containsBlank="1" containsNumber="1" minValue="0" maxValue="300000" count="402">
        <n v="2855.15"/>
        <n v="503.85"/>
        <n v="2623.2"/>
        <n v="655.8"/>
        <n v="4799.2"/>
        <n v="1199.8"/>
        <n v="2686"/>
        <n v="2574"/>
        <n v="3460"/>
        <n v="2991.2"/>
        <n v="747.8"/>
        <n v="2240"/>
        <n v="560"/>
        <n v="4399"/>
        <n v="4059"/>
        <n v="3599"/>
        <n v="2360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3290"/>
        <n v="2976"/>
        <n v="2614"/>
        <n v="6002"/>
        <n v="3701"/>
        <n v="2172"/>
        <n v="3932"/>
        <n v="4344"/>
        <n v="4015.2"/>
        <n v="1003.8"/>
        <n v="5988"/>
        <n v="4351.15"/>
        <n v="767.85"/>
        <n v="3998"/>
        <n v="828"/>
        <n v="3869"/>
        <n v="35000"/>
        <n v="1999"/>
        <n v="350"/>
        <n v="3395"/>
        <n v="3091"/>
        <n v="2863.2"/>
        <n v="715.8"/>
        <n v="4590"/>
        <n v="1397.6"/>
        <n v="79610"/>
        <n v="5667"/>
        <n v="4791"/>
        <n v="790"/>
        <n v="5872"/>
        <n v="8362"/>
        <n v="3519.2"/>
        <n v="879.8"/>
        <n v="7270"/>
        <n v="2975"/>
        <n v="1240"/>
        <n v="310"/>
        <n v="6502"/>
        <n v="3414"/>
        <n v="808"/>
        <n v="6599.28"/>
        <n v="10000"/>
        <n v="2911.2"/>
        <n v="727.8"/>
        <n v="1600"/>
        <n v="400"/>
        <n v="4124"/>
        <n v="3365"/>
        <n v="30"/>
        <n v="73131"/>
        <n v="3000"/>
        <n v="1488"/>
        <n v="3620"/>
        <n v="2445"/>
        <n v="6616"/>
        <n v="3900"/>
        <n v="2380"/>
        <n v="595"/>
        <n v="3280"/>
        <n v="22330"/>
        <n v="2372"/>
        <n v="2764"/>
        <n v="7129.8"/>
        <n v="1258.2"/>
        <n v="4800"/>
        <n v="1968.2"/>
        <n v="3936.4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3298"/>
        <n v="2608"/>
        <n v="188"/>
        <n v="1340"/>
        <n v="4086"/>
        <n v="2972.8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4039"/>
        <n v="6354"/>
        <n v="5100"/>
        <n v="3958"/>
        <n v="6440"/>
        <n v="1310"/>
        <n v="5032.8"/>
        <n v="4885.4"/>
        <n v="6744.4"/>
        <n v="162108.3"/>
        <n v="4612.8"/>
        <n v="1153.2"/>
        <n v="62620.6"/>
        <n v="3600"/>
        <n v="2789"/>
        <n v="300000"/>
        <n v="1621"/>
        <n v="4078.4"/>
        <n v="1019.6"/>
        <n v="1560"/>
        <n v="390"/>
        <n v="50000"/>
        <n v="2462.2"/>
        <n v="703.8"/>
        <n v="124.2"/>
        <n v="2950"/>
        <n v="8380"/>
        <n v="2620"/>
        <n v="655"/>
        <n v="4847.2"/>
        <n v="1211.8"/>
        <n v="10972"/>
        <n v="4455"/>
        <n v="3590"/>
        <n v="800"/>
        <n v="3180"/>
        <n v="10124"/>
        <n v="4277"/>
        <n v="6917.96"/>
        <n v="3679"/>
        <n v="1960"/>
        <n v="490"/>
        <n v="2715.2"/>
        <n v="678.8"/>
        <n v="242"/>
        <n v="890"/>
        <n v="8148"/>
        <n v="3504"/>
        <n v="4798"/>
        <n v="36202"/>
        <n v="3120"/>
        <n v="113351.2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5999"/>
        <n v="2741"/>
        <n v="3500"/>
        <n v="750"/>
        <n v="2698"/>
        <n v="8000"/>
        <n v="2800"/>
        <n v="3636"/>
        <n v="2558"/>
        <n v="1760"/>
        <n v="440"/>
        <n v="20000"/>
        <n v="4638"/>
        <n v="4289"/>
        <n v="4458"/>
        <n v="6981"/>
        <n v="1618"/>
        <n v="730"/>
        <n v="2745"/>
        <n v="3299.2"/>
        <n v="824.8"/>
        <n v="9100"/>
        <n v="4249"/>
        <n v="6000"/>
        <n v="3200"/>
        <n v="295"/>
        <n v="1460"/>
        <n v="3360"/>
        <n v="791"/>
        <n v="1903.2"/>
        <n v="475.8"/>
        <n v="2196"/>
        <n v="549"/>
        <n v="5850"/>
        <n v="1440.75"/>
        <n v="1162.7"/>
        <n v="464.65"/>
        <n v="773.9"/>
        <n v="2100"/>
        <n v="2300"/>
        <n v="6052.76"/>
        <n v="3291"/>
        <n v="3244"/>
        <n v="811"/>
        <n v="1379"/>
        <n v="6291"/>
        <n v="618"/>
        <n v="6500"/>
        <n v="23664"/>
        <n v="2845.08"/>
        <n v="2597.6"/>
        <n v="649.4"/>
        <n v="789"/>
        <n v="93.7"/>
        <n v="0.01"/>
        <n v="3311.2"/>
        <n v="827.8"/>
        <n v="1196"/>
        <n v="5238.8"/>
        <n v="5800"/>
        <n v="4048.2"/>
        <n v="2481.7"/>
        <n v="7480.75"/>
        <n v="4299"/>
        <n v="3917"/>
        <n v="3838"/>
        <n v="15739.2"/>
        <n v="2070"/>
        <n v="2360.8"/>
        <n v="590.2"/>
        <n v="3245"/>
        <n v="71511.68"/>
        <n v="6122.84"/>
        <n v="492.3"/>
        <n v="4639"/>
        <n v="26190"/>
        <n v="5430.4"/>
        <n v="1357.6"/>
        <n v="2594"/>
        <n v="12768"/>
        <n v="2815"/>
        <n v="770"/>
        <n v="3136"/>
        <n v="3230"/>
        <n v="2984"/>
        <n v="2685.6"/>
        <n v="2788"/>
        <n v="5089.8"/>
        <n v="898.2"/>
        <n v="2079"/>
        <n v="2000.6"/>
        <n v="35360"/>
        <n v="2200"/>
        <n v="3832.8"/>
        <n v="958.2"/>
        <n v="3369"/>
        <n v="5360"/>
        <n v="2496"/>
        <n v="836"/>
        <n v="4000"/>
        <n v="351"/>
        <n v="3990"/>
        <n v="20674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2246"/>
        <n v="1800"/>
        <n v="450"/>
        <n v="14000"/>
        <n v="3128"/>
        <n v="3788"/>
        <n v="5880.8"/>
        <n v="1470.2"/>
        <n v="2986"/>
        <n v="3070"/>
        <n v="4162"/>
        <n v="6800"/>
        <n v="1200"/>
        <n v="3888"/>
        <n v="3209.2"/>
        <n v="8055"/>
        <n v="3908"/>
        <n v="2856.8"/>
        <n v="714.2"/>
        <n v="15000"/>
        <n v="2787.2"/>
        <n v="3261.7"/>
        <n v="2033.6"/>
        <n v="508.4"/>
        <n v="23400"/>
        <n v="150000"/>
        <n v="2502"/>
        <n v="4160"/>
        <n v="1040"/>
        <n v="30887.28"/>
        <n v="873"/>
        <n v="10102.4"/>
        <n v="416.63"/>
        <n v="24350"/>
        <n v="24339"/>
        <n v="9767.4"/>
        <n v="2680"/>
        <n v="670"/>
        <n v="3901"/>
        <n v="136.9"/>
        <n v="4699"/>
        <n v="47"/>
        <n v="2813.2"/>
        <n v="2936.8"/>
        <n v="734.2"/>
        <n v="3311"/>
        <n v="3150"/>
        <n v="2576"/>
        <n v="6272"/>
        <n v="543"/>
        <n v="1840"/>
        <n v="460"/>
        <n v="9431.92"/>
        <n v="3680"/>
        <n v="920"/>
        <n v="508"/>
        <n v="3130"/>
        <n v="2654"/>
        <n v="3688"/>
        <n v="3848"/>
        <n v="8980"/>
        <n v="1839"/>
        <n v="4239"/>
        <n v="8229"/>
        <n v="2231.2"/>
        <n v="557.8"/>
        <n v="222"/>
        <n v="1500"/>
        <n v="4238"/>
        <n v="7490"/>
        <n v="854"/>
        <n v="5480"/>
        <n v="4128"/>
        <n v="1765"/>
        <n v="4725"/>
        <n v="2860"/>
        <m/>
      </sharedItems>
    </cacheField>
    <cacheField name="现销 " numFmtId="0">
      <sharedItems containsBlank="1" count="2">
        <s v="否"/>
        <m/>
      </sharedItems>
    </cacheField>
    <cacheField name="我方银行账号" numFmtId="0">
      <sharedItems containsBlank="1" count="9">
        <s v="7331710182200026317"/>
        <s v="9999999"/>
        <s v="hzzgcw@163.com"/>
        <s v="4367421460407338728"/>
        <s v="00000"/>
        <s v="4367421433147033933"/>
        <s v="1540159980110009442"/>
        <s v="15925668418"/>
        <m/>
      </sharedItems>
    </cacheField>
    <cacheField name="表体-应收金额本位币" numFmtId="0">
      <sharedItems containsString="0" containsBlank="1" containsNumber="1" minValue="0" maxValue="3687940.63" count="403">
        <n v="2855.15"/>
        <n v="503.85"/>
        <n v="2623.2"/>
        <n v="655.8"/>
        <n v="4799.2"/>
        <n v="1199.8"/>
        <n v="2686"/>
        <n v="2574"/>
        <n v="3460"/>
        <n v="2991.2"/>
        <n v="747.8"/>
        <n v="2240"/>
        <n v="560"/>
        <n v="4399"/>
        <n v="4059"/>
        <n v="3599"/>
        <n v="2360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3290"/>
        <n v="2976"/>
        <n v="2614"/>
        <n v="6002"/>
        <n v="3701"/>
        <n v="2172"/>
        <n v="3932"/>
        <n v="4344"/>
        <n v="4015.2"/>
        <n v="1003.8"/>
        <n v="5988"/>
        <n v="4351.15"/>
        <n v="767.85"/>
        <n v="3998"/>
        <n v="828"/>
        <n v="3869"/>
        <n v="35000"/>
        <n v="1999"/>
        <n v="350"/>
        <n v="3395"/>
        <n v="3091"/>
        <n v="2863.2"/>
        <n v="715.8"/>
        <n v="4590"/>
        <n v="1397.6"/>
        <n v="79610"/>
        <n v="5667"/>
        <n v="4791"/>
        <n v="790"/>
        <n v="5872"/>
        <n v="8362"/>
        <n v="3519.2"/>
        <n v="879.8"/>
        <n v="7270"/>
        <n v="2975"/>
        <n v="1240"/>
        <n v="310"/>
        <n v="6502"/>
        <n v="3414"/>
        <n v="808"/>
        <n v="6599.28"/>
        <n v="10000"/>
        <n v="2911.2"/>
        <n v="727.8"/>
        <n v="1600"/>
        <n v="400"/>
        <n v="4124"/>
        <n v="3365"/>
        <n v="30"/>
        <n v="73131"/>
        <n v="3000"/>
        <n v="1488"/>
        <n v="3620"/>
        <n v="2445"/>
        <n v="6616"/>
        <n v="3900"/>
        <n v="2380"/>
        <n v="595"/>
        <n v="3280"/>
        <n v="22330"/>
        <n v="2372"/>
        <n v="2764"/>
        <n v="7129.8"/>
        <n v="1258.2"/>
        <n v="4800"/>
        <n v="1968.2"/>
        <n v="3936.4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3298"/>
        <n v="2608"/>
        <n v="188"/>
        <n v="1340"/>
        <n v="4086"/>
        <n v="2972.8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4039"/>
        <n v="6354"/>
        <n v="5100"/>
        <n v="3958"/>
        <n v="6440"/>
        <n v="1310"/>
        <n v="5032.8"/>
        <n v="4885.4"/>
        <n v="6744.4"/>
        <n v="162108.3"/>
        <n v="4612.8"/>
        <n v="1153.2"/>
        <n v="62620.6"/>
        <n v="3600"/>
        <n v="2789"/>
        <n v="300000"/>
        <n v="1621"/>
        <n v="4078.4"/>
        <n v="1019.6"/>
        <n v="1560"/>
        <n v="390"/>
        <n v="50000"/>
        <n v="2462.2"/>
        <n v="703.8"/>
        <n v="124.2"/>
        <n v="2950"/>
        <n v="8380"/>
        <n v="2620"/>
        <n v="655"/>
        <n v="4847.2"/>
        <n v="1211.8"/>
        <n v="10972"/>
        <n v="4455"/>
        <n v="3590"/>
        <n v="800"/>
        <n v="3180"/>
        <n v="10124"/>
        <n v="4277"/>
        <n v="6917.96"/>
        <n v="3679"/>
        <n v="1960"/>
        <n v="490"/>
        <n v="2715.2"/>
        <n v="678.8"/>
        <n v="242"/>
        <n v="890"/>
        <n v="8148"/>
        <n v="3504"/>
        <n v="4798"/>
        <n v="36202"/>
        <n v="3120"/>
        <n v="113351.2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5999"/>
        <n v="2741"/>
        <n v="3500"/>
        <n v="750"/>
        <n v="2698"/>
        <n v="8000"/>
        <n v="2800"/>
        <n v="3636"/>
        <n v="2558"/>
        <n v="1760"/>
        <n v="440"/>
        <n v="20000"/>
        <n v="4638"/>
        <n v="4289"/>
        <n v="4458"/>
        <n v="6981"/>
        <n v="1618"/>
        <n v="730"/>
        <n v="2745"/>
        <n v="3299.2"/>
        <n v="824.8"/>
        <n v="9100"/>
        <n v="4249"/>
        <n v="6000"/>
        <n v="3200"/>
        <n v="295"/>
        <n v="1460"/>
        <n v="3360"/>
        <n v="791"/>
        <n v="1903.2"/>
        <n v="475.8"/>
        <n v="2196"/>
        <n v="549"/>
        <n v="5850"/>
        <n v="1440.75"/>
        <n v="1162.7"/>
        <n v="464.65"/>
        <n v="773.9"/>
        <n v="2100"/>
        <n v="2300"/>
        <n v="6052.76"/>
        <n v="3291"/>
        <n v="3244"/>
        <n v="811"/>
        <n v="1379"/>
        <n v="6291"/>
        <n v="618"/>
        <n v="6500"/>
        <n v="23664"/>
        <n v="2845.08"/>
        <n v="2597.6"/>
        <n v="649.4"/>
        <n v="789"/>
        <n v="93.7"/>
        <n v="0.01"/>
        <n v="3311.2"/>
        <n v="827.8"/>
        <n v="1196"/>
        <n v="5238.8"/>
        <n v="5800"/>
        <n v="4048.2"/>
        <n v="2481.7"/>
        <n v="7480.75"/>
        <n v="4299"/>
        <n v="3917"/>
        <n v="3838"/>
        <n v="15739.2"/>
        <n v="2070"/>
        <n v="2360.8"/>
        <n v="590.2"/>
        <n v="3245"/>
        <n v="71511.68"/>
        <n v="6122.84"/>
        <n v="492.3"/>
        <n v="4639"/>
        <n v="26190"/>
        <n v="5430.4"/>
        <n v="1357.6"/>
        <n v="2594"/>
        <n v="12768"/>
        <n v="2815"/>
        <n v="770"/>
        <n v="3136"/>
        <n v="3230"/>
        <n v="2984"/>
        <n v="2685.6"/>
        <n v="2788"/>
        <n v="5089.8"/>
        <n v="898.2"/>
        <n v="2079"/>
        <n v="2000.6"/>
        <n v="35360"/>
        <n v="2200"/>
        <n v="3832.8"/>
        <n v="958.2"/>
        <n v="3369"/>
        <n v="5360"/>
        <n v="2496"/>
        <n v="836"/>
        <n v="4000"/>
        <n v="351"/>
        <n v="3990"/>
        <n v="20674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2246"/>
        <n v="1800"/>
        <n v="450"/>
        <n v="14000"/>
        <n v="3128"/>
        <n v="3788"/>
        <n v="5880.8"/>
        <n v="1470.2"/>
        <n v="2986"/>
        <n v="3070"/>
        <n v="4162"/>
        <n v="6800"/>
        <n v="1200"/>
        <n v="3888"/>
        <n v="3209.2"/>
        <n v="8055"/>
        <n v="3908"/>
        <n v="2856.8"/>
        <n v="714.2"/>
        <n v="15000"/>
        <n v="2787.2"/>
        <n v="3261.7"/>
        <n v="2033.6"/>
        <n v="508.4"/>
        <n v="23400"/>
        <n v="150000"/>
        <n v="2502"/>
        <n v="4160"/>
        <n v="1040"/>
        <n v="30887.28"/>
        <n v="873"/>
        <n v="10102.4"/>
        <n v="416.63"/>
        <n v="24350"/>
        <n v="24339"/>
        <n v="9767.4"/>
        <n v="2680"/>
        <n v="670"/>
        <n v="3901"/>
        <n v="136.9"/>
        <n v="4699"/>
        <n v="47"/>
        <n v="2813.2"/>
        <n v="2936.8"/>
        <n v="734.2"/>
        <n v="3311"/>
        <n v="3150"/>
        <n v="2576"/>
        <n v="6272"/>
        <n v="543"/>
        <n v="1840"/>
        <n v="460"/>
        <n v="9431.92"/>
        <n v="3680"/>
        <n v="920"/>
        <n v="508"/>
        <n v="3130"/>
        <n v="2654"/>
        <n v="3688"/>
        <n v="3848"/>
        <n v="8980"/>
        <n v="1839"/>
        <n v="4239"/>
        <n v="8229"/>
        <n v="2231.2"/>
        <n v="557.8"/>
        <n v="222"/>
        <n v="1500"/>
        <n v="4238"/>
        <n v="7490"/>
        <n v="854"/>
        <n v="5480"/>
        <n v="4128"/>
        <n v="1765"/>
        <n v="4725"/>
        <n v="2860"/>
        <n v="3687940.63"/>
        <m/>
      </sharedItems>
    </cacheField>
    <cacheField name="备注" numFmtId="0">
      <sharedItems containsBlank="1" count="194">
        <m/>
        <s v="2025年10月林骞结算(换新1）"/>
        <s v="2025年10月客户结算(换新2）"/>
        <s v="2025年10月吴际华结算(换新3）"/>
        <s v="2025年10月钱冰结算(换新4）"/>
        <s v="2025年10月用户结算(换新5）"/>
        <s v="2025年10月客户结算(换新6）"/>
        <s v="2025年10月唐宇魁结算(换新7）"/>
        <s v="2025年10月侯新波结算(换新8）"/>
        <s v="2025年10月徐露莎结算(换新9）"/>
        <s v="2025年10月徐晓单结算(换新10）"/>
        <s v="2025年10月潘结算(换新11）"/>
        <s v="2025年10月徐耀萍结算(换新12）"/>
        <s v="2025年10月吴凤燕结算(换新13）"/>
        <s v="2025年10月王总结算(换新14）"/>
        <s v="2025年10月客户结算(换新15）"/>
        <s v="2025年10月陆先生结算(换新16）"/>
        <s v="2025年10月古祥结算(换新17）"/>
        <s v="2025年10月楼静洁结算(换新18）"/>
        <s v="2025年10月杨惠民结算(换新19）"/>
        <s v="2025年10月刘小芬结算(换新20）"/>
        <s v="2025年10月潘先生结算(换新21）"/>
        <s v="2025年10月袁秋燕结算(换新22）"/>
        <s v="2025年10月徐效结算(换新23）"/>
        <s v="2025年10月徐倩结算(换新24）"/>
        <s v="2025年10月虎风结算(换新25）"/>
        <s v="2025年10月吴小萍结算(换新26）"/>
        <s v="2025年10月陈星结算(换新27）"/>
        <s v="2025年10月冯新结算(换新28）"/>
        <s v="2025年10月陆丽伟结算(换新29）"/>
        <s v="2025年10月吴军结算(换新30）"/>
        <s v="2025年10月用户结算(换新31）"/>
        <s v="2025年10月客户结算(换新32）"/>
        <s v="2025年10月白希来结算(换新33）"/>
        <s v="2025年10月戴女士结算(换新34）"/>
        <s v="2025年10月周女士结算(换新35）"/>
        <s v="2025年10月客户结算(换新36）"/>
        <s v="2025年10月孙女士结算(换新37）"/>
        <s v="2025年10月章女士结算(换新38）"/>
        <s v="2025年10月客户结算(换新39）"/>
        <s v="截止2025年10月8日累计未回款3635.71元（（7001未开票-3200+165.04+0.25））（期初财务发票问题多3200和多回款165.04/0.25）"/>
        <s v="2025年10月许云华结算(换新40）"/>
        <s v="2025年10月潘杏琴结算(换新41）"/>
        <s v="2025年10月钱菊芬结算(换新42）"/>
        <s v="2025年10月翁女士结算(换新43）"/>
        <s v="2025年10月用户结算(换新44）"/>
        <s v="2025年10月胡红结算(换新45）"/>
        <s v="2025年10月周杰结算(换新46）"/>
        <s v="2025年10月胡月惠结算(换新47）"/>
        <s v="2025年10月沈亚玲结算(换新48）"/>
        <s v="2025年10月陶光春结算(换新49）"/>
        <s v="2025年10月李海桂结算(换新50）"/>
        <s v="2025年10月龙於洋结算(换新51）"/>
        <s v="2025年10月王先生结算(换新52）"/>
        <s v="2025年10月来先生结算(换新53）"/>
        <s v="2025年10月杨媚凤结算(换新54）"/>
        <s v="2025年10月张红雅结算(换新55）"/>
        <s v="2025年10月李建春结算(换新56）"/>
        <s v="2025年10月胡结算(换新57）"/>
        <s v="2025年10月用户结算(换新58）"/>
        <s v="2025年10月叶结算(换新60）"/>
        <s v="2025年10月张丹丹结算(换新59）"/>
        <s v="2025年10月毛玲健结算(换新61）"/>
        <s v="2025年10月邓可玲结算(换新62）"/>
        <s v="2025年10月沈强结算(换新63）"/>
        <s v="2025年10月罗海萍结算(换新64）"/>
        <s v="2025年10月用户结算(换新65）"/>
        <s v="2025年10月于月娟结算(换新66）"/>
        <s v="2025年10月客户结算(换新67）"/>
        <s v="2025年10月吴琼结算(换新68）"/>
        <s v="2025年10月周陆琴结算(换新69）"/>
        <s v="2025年10月陈瑞克结算(换新70）"/>
        <s v="2025年10月客户结算(换新71）"/>
        <s v="2025年10月赵先生结算(换新72）"/>
        <s v="2025年10月张红霞结算(换新73）"/>
        <s v="2025年10月客户结算(换新74）"/>
        <s v="2025年10月张银微结算(换新75）"/>
        <s v="2025年10月唐新忠结算(换新76）"/>
        <s v="2025年10月邵春强结算(换新77）"/>
        <s v="2025年10月张俊喜结算(换新78）"/>
        <s v="2025年10月谢先生结算(换新79）"/>
        <s v="净水截止2025年10月14日累计未回款5250.12元（含总差异少0.27（0.09+0.03））"/>
        <s v="烟灶截止2025年10月14日累计未回款0元"/>
        <s v="2025年10月祝丽平结算(换新80）"/>
        <s v="2025年10月客户结算(换新81）"/>
        <s v="2025年10月俞彩花结算(换新82）"/>
        <s v="2025年10月林海娃结算(换新83）"/>
        <s v="2025年10月叶小红结算(换新84）"/>
        <s v="2025年10月吴晓斌结算(换新85）"/>
        <s v="2025年10月芊杉酒店结算(换新86）"/>
        <s v="2025年10月陈祖强结算(换新87）"/>
        <s v="2025年10月金琰结算(换新88）"/>
        <s v="2025年10月陈明峰结算(换新89）"/>
        <s v="2025年10月沈国英结算(换新90）"/>
        <s v="2025年10月蒋永方结算(换新91）"/>
        <s v="2025年10月客户结算(换新92）"/>
        <s v="2025年10月倪建林结算(换新93）"/>
        <s v="2025年10月夏晓曙结算(换新94）"/>
        <s v="中博金华截止25年10.16号累计剩2455元未回款（国补555+1180+720元未回款）"/>
        <s v="截止25年10月17日累计未回款0元"/>
        <s v="杭州截止25年10.17号累计剩175862.95元未回款（国补176037.95-175多结元未回款）"/>
        <s v="2025年10月沈荣祥结算(换新95）"/>
        <s v="2025年10月金爱钗结算(换新96）"/>
        <s v="2025年10月粱倩结算(换新97）"/>
        <s v="2025年10月徐红燕结算(换新98）"/>
        <s v="2025年10月尤丽君结算(换新99）"/>
        <s v="2025年10月陈祥艳结算(换新100）"/>
        <s v="2025年10月客户结算(换新101）"/>
        <s v="2025年10月汤灿锋结算(换新102）"/>
        <s v="2025年10月陆连芳结算(换新103）"/>
        <s v="2025年10月王坚结算(换新104）"/>
        <s v="2025年10月庞军林结算(换新105）"/>
        <s v="2025年10月徐建华结算(换新107）"/>
        <s v="2025年10月莫寅兰结算(换新106）"/>
        <s v="2025年10月徐瑞法结算(换新113）"/>
        <s v="2025年10月客户结算(换新114）"/>
        <s v="2025年10月肖燕银结算(换新115）"/>
        <s v="2025年10月客户结算(换新116）"/>
        <s v="2025年10月王官明结算(换新117）"/>
        <s v="2025年10月远哥结算(换新118）"/>
        <s v="2025年10月客户结算(换新119）"/>
        <s v="2025年10月叶琦结算(换新120）"/>
        <s v="2025年10月陈娟娟结算(换新121）"/>
        <s v="2025年10月严超杰结算(换新122）"/>
        <s v="2025年10月周小燕结算(换新108）"/>
        <s v="2025年10月成女士结算(换新109）"/>
        <s v="2025年10月殷键栋结算(换新110）"/>
        <s v="2025年10月郑女士结算(换新111）"/>
        <s v="2025年10月卢菊萍结算(换新112）"/>
        <s v="2025年10月蒋燕军结算(换新123）"/>
        <s v="2025年10月徐丹燕结算(换新124）"/>
        <s v="2025年10月客户结算(换新125）"/>
        <s v="2025年10月雷强结算(换新126）"/>
        <s v="2025年10月惠平结算(换新127）"/>
        <s v="2025年10月余正宣结算(换新128）"/>
        <s v="2025年10月沈凌华结算(换新129）"/>
        <s v="2025年10月泮琴坤结算(换新130）"/>
        <s v="2025年10月杭女士结算(换新131）"/>
        <s v="2025年10月周结算(换新132）"/>
        <s v="2025年10月严荣华结算(换新133）"/>
        <s v="2025年10月范芳臻结算(换新134）"/>
        <s v="2025年10月丁结算(换新135）"/>
        <s v="中嘉代开截止25年10月24日累计未回0元"/>
        <s v="2025年10月胡俊结算(换新136）"/>
        <s v="2025年10月贝泽锋结算(换新137）"/>
        <s v="2025年10月缪小平结算(换新138）"/>
        <s v="2025年10月章国权结算(换新139）"/>
        <s v="2025年10月客户结算(换新140）"/>
        <s v="2025年10月陶敦富结算(换新141）"/>
        <s v="2025年10月叶先生结算(换新142）"/>
        <s v="2025年10月周海定结算(换新143）"/>
        <s v="2025年10月黄卫国结算(换新144）"/>
        <s v="2025年10月俞明结算(换新145）"/>
        <s v="2025年10月雷结算(换新146）"/>
        <s v="2025年10月客户结算(换新147）"/>
        <s v="2025年10月郑元豹结算(换新148）"/>
        <s v="2025年10月陈美乐结算(换新149）"/>
        <s v="2025年10月林婕结算(换新150）"/>
        <s v="2025年10月胡可本结算(换新151）"/>
        <s v="2025年10月郑旭成结算(换新152）"/>
        <s v="2025年10月朱顺富结算(换新153）"/>
        <s v="2025年10月于永峰结算(换新154）"/>
        <s v="2025年10月客户结算(换新155）"/>
        <s v="2025年10月滕苗青结算(换新156）"/>
        <s v="2025年10月童敏杰结算(换新157）"/>
        <s v="2025年10月朱玲忠结算(换新158）"/>
        <s v="2025年10月客户结算(换新159）"/>
        <s v="2025年10月孟芝兰结算(换新160）"/>
        <s v="2025年10月客户结算(换新161）"/>
        <s v="2025年10月叶美如结算(换新162）"/>
        <s v="2025年10月林颖艳结算(换新163）"/>
        <s v="2025年10月徐丽萍结算(换新164）"/>
        <s v="2025年10月徐伟东结算(换新165）"/>
        <s v="截止25.10.28累计未回款71912.5元（预留未送货款）"/>
        <s v="2025年10月胡军结算(换新166）"/>
        <s v="2025年10月汪春结算(换新167）"/>
        <s v="2025年10月楼女士结算(换新168）"/>
        <s v="2025年10月顾客结算(换新169）"/>
        <s v="2025年10月客户结算(换新170）"/>
        <s v="2025年10月寿吉芳结算(换新171）"/>
        <s v="2025年10月周琴结算(换新172）"/>
        <s v="2025年10月王林宝结算(换新173）"/>
        <s v="2025年10月赵勇结算(换新174）"/>
        <s v="2025年10月钱先生结算(换新175）"/>
        <s v="2025年10月客户结算(换新176）"/>
        <s v="2025年10月沈燕结算(换新177）"/>
        <s v="2025年10月冯东红结算(换新178）"/>
        <s v="2025年10月周媚媚结算(换新179）"/>
        <s v="2025年10月罗伟良结算(换新180）"/>
        <s v="2025年10月郑晨结算(换新181）"/>
        <s v="2025年10月项先生结算(换新182）"/>
        <s v="2025年10月王云江结算(换新183）"/>
        <s v="2025年10月王亨虹结算(换新184）"/>
        <s v="2025年10月客户结算(换新185）"/>
      </sharedItems>
    </cacheField>
    <cacheField name="勾对" numFmtId="0">
      <sharedItems containsBlank="1" count="2">
        <s v="否"/>
        <m/>
      </sharedItems>
    </cacheField>
    <cacheField name="关联总金额" numFmtId="0">
      <sharedItems containsString="0" containsBlank="1" containsNumber="1" minValue="0" maxValue="1457570.96" count="318">
        <n v="2855.15"/>
        <n v="503.85"/>
        <n v="2623.2"/>
        <n v="655.8"/>
        <n v="4799.2"/>
        <n v="1199.8"/>
        <m/>
        <n v="2991.2"/>
        <n v="747.8"/>
        <n v="2240"/>
        <n v="560"/>
        <n v="4399"/>
        <n v="4059"/>
        <n v="3599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4015.2"/>
        <n v="1003.8"/>
        <n v="5988"/>
        <n v="4351.15"/>
        <n v="767.85"/>
        <n v="3998"/>
        <n v="828"/>
        <n v="3869"/>
        <n v="1999"/>
        <n v="350"/>
        <n v="3395"/>
        <n v="3091"/>
        <n v="2863.2"/>
        <n v="715.8"/>
        <n v="79610"/>
        <n v="5667"/>
        <n v="4791"/>
        <n v="790"/>
        <n v="5872"/>
        <n v="3519.2"/>
        <n v="879.8"/>
        <n v="7270"/>
        <n v="2975"/>
        <n v="1240"/>
        <n v="310"/>
        <n v="6502"/>
        <n v="3414"/>
        <n v="808"/>
        <n v="6599.28"/>
        <n v="2911.2"/>
        <n v="727.8"/>
        <n v="1600"/>
        <n v="400"/>
        <n v="4124"/>
        <n v="3365"/>
        <n v="30"/>
        <n v="1488"/>
        <n v="2445"/>
        <n v="6616"/>
        <n v="3900"/>
        <n v="2380"/>
        <n v="595"/>
        <n v="3280"/>
        <n v="22330"/>
        <n v="7129.8"/>
        <n v="1258.2"/>
        <n v="4800"/>
        <n v="1968.2"/>
        <n v="3936.4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2608"/>
        <n v="188"/>
        <n v="1340"/>
        <n v="4086"/>
        <n v="2972.8"/>
        <n v="743.2"/>
        <n v="4279"/>
        <n v="7020"/>
        <n v="4366"/>
        <n v="3604"/>
        <n v="1798.8"/>
        <n v="2249.5"/>
        <n v="2195.4"/>
        <n v="15392"/>
        <n v="4400"/>
        <n v="898"/>
        <n v="7000"/>
        <n v="5100"/>
        <n v="3958"/>
        <n v="6440"/>
        <n v="1310"/>
        <n v="5032.8"/>
        <n v="4885.4"/>
        <n v="6744.4"/>
        <n v="4612.8"/>
        <n v="1153.2"/>
        <n v="3600"/>
        <n v="2789"/>
        <n v="1621"/>
        <n v="4078.4"/>
        <n v="1019.6"/>
        <n v="1560"/>
        <n v="390"/>
        <n v="2462.2"/>
        <n v="703.8"/>
        <n v="124.2"/>
        <n v="2950"/>
        <n v="2620"/>
        <n v="655"/>
        <n v="4847.2"/>
        <n v="1211.8"/>
        <n v="10972"/>
        <n v="800"/>
        <n v="3180"/>
        <n v="10124"/>
        <n v="6917.96"/>
        <n v="3679"/>
        <n v="1960"/>
        <n v="490"/>
        <n v="2715.2"/>
        <n v="678.8"/>
        <n v="242"/>
        <n v="890"/>
        <n v="4798"/>
        <n v="799"/>
        <n v="619.65"/>
        <n v="109.35"/>
        <n v="7351"/>
        <n v="850"/>
        <n v="3400"/>
        <n v="600"/>
        <n v="1700"/>
        <n v="7438.76"/>
        <n v="700"/>
        <n v="2578"/>
        <n v="2741"/>
        <n v="3500"/>
        <n v="750"/>
        <n v="2698"/>
        <n v="2800"/>
        <n v="3636"/>
        <n v="2558"/>
        <n v="1760"/>
        <n v="440"/>
        <n v="4638"/>
        <n v="4289"/>
        <n v="4458"/>
        <n v="6981"/>
        <n v="1618"/>
        <n v="730"/>
        <n v="2745"/>
        <n v="3299.2"/>
        <n v="824.8"/>
        <n v="9100"/>
        <n v="4249"/>
        <n v="6000"/>
        <n v="3200"/>
        <n v="295"/>
        <n v="1460"/>
        <n v="3360"/>
        <n v="791"/>
        <n v="1903.2"/>
        <n v="475.8"/>
        <n v="2196"/>
        <n v="549"/>
        <n v="5850"/>
        <n v="2100"/>
        <n v="2300"/>
        <n v="6052.76"/>
        <n v="3291"/>
        <n v="3244"/>
        <n v="811"/>
        <n v="1379"/>
        <n v="6291"/>
        <n v="618"/>
        <n v="6500"/>
        <n v="2597.6"/>
        <n v="649.4"/>
        <n v="3311.2"/>
        <n v="827.8"/>
        <n v="1196"/>
        <n v="5800"/>
        <n v="2481.7"/>
        <n v="4299"/>
        <n v="3838"/>
        <n v="2070"/>
        <n v="2360.8"/>
        <n v="590.2"/>
        <n v="3245"/>
        <n v="5430.4"/>
        <n v="1357.6"/>
        <n v="2594"/>
        <n v="12768"/>
        <n v="8000"/>
        <n v="770"/>
        <n v="3136"/>
        <n v="3230"/>
        <n v="2984"/>
        <n v="2685.6"/>
        <n v="2788"/>
        <n v="5089.8"/>
        <n v="898.2"/>
        <n v="2079"/>
        <n v="2000.6"/>
        <n v="35360"/>
        <n v="3832.8"/>
        <n v="958.2"/>
        <n v="3369"/>
        <n v="5360"/>
        <n v="2496"/>
        <n v="836"/>
        <n v="4000"/>
        <n v="1000"/>
        <n v="351"/>
        <n v="3990"/>
        <n v="1893"/>
        <n v="1895"/>
        <n v="3138"/>
        <n v="5572.8"/>
        <n v="1393.2"/>
        <n v="4295"/>
        <n v="5597"/>
        <n v="4003"/>
        <n v="4002"/>
        <n v="4020"/>
        <n v="4180"/>
        <n v="10258"/>
        <n v="3708"/>
        <n v="8145"/>
        <n v="135"/>
        <n v="3139"/>
        <n v="3270"/>
        <n v="1800"/>
        <n v="450"/>
        <n v="14000"/>
        <n v="3128"/>
        <n v="3788"/>
        <n v="5880.8"/>
        <n v="1470.2"/>
        <n v="2986"/>
        <n v="3070"/>
        <n v="6800"/>
        <n v="1200"/>
        <n v="3888"/>
        <n v="3209.2"/>
        <n v="8055"/>
        <n v="3908"/>
        <n v="2856.8"/>
        <n v="714.2"/>
        <n v="2787.2"/>
        <n v="3261.7"/>
        <n v="2033.6"/>
        <n v="508.4"/>
        <n v="23400"/>
        <n v="2502"/>
        <n v="4160"/>
        <n v="1040"/>
        <n v="873"/>
        <n v="2680"/>
        <n v="670"/>
        <n v="4699"/>
        <n v="47"/>
        <n v="2813.2"/>
        <n v="2936.8"/>
        <n v="734.2"/>
        <n v="3311"/>
        <n v="3150"/>
        <n v="2576"/>
        <n v="6272"/>
        <n v="543"/>
        <n v="1840"/>
        <n v="460"/>
        <n v="3680"/>
        <n v="920"/>
        <n v="508"/>
        <n v="3130"/>
        <n v="2654"/>
        <n v="3688"/>
        <n v="3848"/>
        <n v="4239"/>
        <n v="6788"/>
        <n v="8229"/>
        <n v="2231.2"/>
        <n v="557.8"/>
        <n v="222"/>
        <n v="1500"/>
        <n v="4238"/>
        <n v="854"/>
        <n v="5480"/>
        <n v="4128"/>
        <n v="1765"/>
        <n v="4725"/>
        <n v="2860"/>
        <n v="1457570.96"/>
      </sharedItems>
    </cacheField>
    <cacheField name="表体明细-核销状态" numFmtId="0">
      <sharedItems containsBlank="1" count="3">
        <s v="完全"/>
        <s v="空"/>
        <m/>
      </sharedItems>
    </cacheField>
    <cacheField name="表体明细-已核销金额" numFmtId="0">
      <sharedItems containsString="0" containsBlank="1" containsNumber="1" minValue="0" maxValue="1488065.36" count="323">
        <n v="2855.15"/>
        <n v="503.85"/>
        <n v="2623.2"/>
        <n v="655.8"/>
        <n v="4799.2"/>
        <n v="1199.8"/>
        <n v="2686"/>
        <m/>
        <n v="2991.2"/>
        <n v="747.8"/>
        <n v="4399"/>
        <n v="4059"/>
        <n v="3599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4015.2"/>
        <n v="1003.8"/>
        <n v="5988"/>
        <n v="4351.15"/>
        <n v="767.85"/>
        <n v="3998"/>
        <n v="828"/>
        <n v="3869"/>
        <n v="1999"/>
        <n v="350"/>
        <n v="3395"/>
        <n v="3091"/>
        <n v="2863.2"/>
        <n v="715.8"/>
        <n v="79610"/>
        <n v="5667"/>
        <n v="4791"/>
        <n v="790"/>
        <n v="5872"/>
        <n v="3519.2"/>
        <n v="879.8"/>
        <n v="7270"/>
        <n v="2975"/>
        <n v="1240"/>
        <n v="310"/>
        <n v="6502"/>
        <n v="3414"/>
        <n v="808"/>
        <n v="6599.28"/>
        <n v="2911.2"/>
        <n v="727.8"/>
        <n v="1600"/>
        <n v="400"/>
        <n v="4124"/>
        <n v="3365"/>
        <n v="30"/>
        <n v="1488"/>
        <n v="3620"/>
        <n v="2445"/>
        <n v="6616"/>
        <n v="3900"/>
        <n v="2380"/>
        <n v="595"/>
        <n v="3280"/>
        <n v="22330"/>
        <n v="4344"/>
        <n v="4800"/>
        <n v="1968.2"/>
        <n v="3936.4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2608"/>
        <n v="188"/>
        <n v="4086"/>
        <n v="2972.8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3000"/>
        <n v="5100"/>
        <n v="3958"/>
        <n v="6440"/>
        <n v="1310"/>
        <n v="2240"/>
        <n v="560"/>
        <n v="5032.8"/>
        <n v="1258.2"/>
        <n v="4885.4"/>
        <n v="6744.4"/>
        <n v="4612.8"/>
        <n v="1153.2"/>
        <n v="3600"/>
        <n v="2789"/>
        <n v="1621"/>
        <n v="4078.4"/>
        <n v="1019.6"/>
        <n v="1560"/>
        <n v="390"/>
        <n v="2462.2"/>
        <n v="703.8"/>
        <n v="124.2"/>
        <n v="2950"/>
        <n v="2620"/>
        <n v="655"/>
        <n v="4847.2"/>
        <n v="1211.8"/>
        <n v="10972"/>
        <n v="800"/>
        <n v="3180"/>
        <n v="10124"/>
        <n v="6917.96"/>
        <n v="3679"/>
        <n v="1960"/>
        <n v="490"/>
        <n v="2715.2"/>
        <n v="678.8"/>
        <n v="890"/>
        <n v="479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2741"/>
        <n v="3500"/>
        <n v="750"/>
        <n v="2698"/>
        <n v="2800"/>
        <n v="3636"/>
        <n v="2558"/>
        <n v="1760"/>
        <n v="440"/>
        <n v="4638"/>
        <n v="4458"/>
        <n v="6981"/>
        <n v="1618"/>
        <n v="730"/>
        <n v="2745"/>
        <n v="9100"/>
        <n v="4249"/>
        <n v="6000"/>
        <n v="3200"/>
        <n v="295"/>
        <n v="1460"/>
        <n v="3360"/>
        <n v="791"/>
        <n v="1903.2"/>
        <n v="475.8"/>
        <n v="2196"/>
        <n v="549"/>
        <n v="5850"/>
        <n v="2100"/>
        <n v="2300"/>
        <n v="6052.76"/>
        <n v="3291"/>
        <n v="3244"/>
        <n v="811"/>
        <n v="1379"/>
        <n v="6291"/>
        <n v="618"/>
        <n v="6500"/>
        <n v="2597.6"/>
        <n v="649.4"/>
        <n v="3311.2"/>
        <n v="827.8"/>
        <n v="1196"/>
        <n v="5800"/>
        <n v="2481.7"/>
        <n v="4299"/>
        <n v="3838"/>
        <n v="2070"/>
        <n v="2360.8"/>
        <n v="590.2"/>
        <n v="3245"/>
        <n v="4639"/>
        <n v="5430.4"/>
        <n v="1357.6"/>
        <n v="2594"/>
        <n v="12768"/>
        <n v="8000"/>
        <n v="770"/>
        <n v="3136"/>
        <n v="3230"/>
        <n v="2984"/>
        <n v="2685.6"/>
        <n v="2788"/>
        <n v="5089.8"/>
        <n v="898.2"/>
        <n v="2079"/>
        <n v="2000.6"/>
        <n v="35360"/>
        <n v="3832.8"/>
        <n v="958.2"/>
        <n v="3369"/>
        <n v="5360"/>
        <n v="1340"/>
        <n v="2496"/>
        <n v="836"/>
        <n v="4000"/>
        <n v="351"/>
        <n v="3990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1800"/>
        <n v="450"/>
        <n v="14000"/>
        <n v="3128"/>
        <n v="3788"/>
        <n v="5880.8"/>
        <n v="1470.2"/>
        <n v="2986"/>
        <n v="3070"/>
        <n v="6800"/>
        <n v="1200"/>
        <n v="3888"/>
        <n v="3209.2"/>
        <n v="8055"/>
        <n v="3908"/>
        <n v="2856.8"/>
        <n v="714.2"/>
        <n v="2787.2"/>
        <n v="3261.7"/>
        <n v="2033.6"/>
        <n v="508.4"/>
        <n v="23400"/>
        <n v="2502"/>
        <n v="4160"/>
        <n v="1040"/>
        <n v="873"/>
        <n v="2680"/>
        <n v="670"/>
        <n v="4699"/>
        <n v="47"/>
        <n v="2813.2"/>
        <n v="2936.8"/>
        <n v="734.2"/>
        <n v="3311"/>
        <n v="3150"/>
        <n v="2576"/>
        <n v="6272"/>
        <n v="1840"/>
        <n v="460"/>
        <n v="3680"/>
        <n v="920"/>
        <n v="508"/>
        <n v="3130"/>
        <n v="2654"/>
        <n v="3688"/>
        <n v="3848"/>
        <n v="4239"/>
        <n v="8229"/>
        <n v="2231.2"/>
        <n v="557.8"/>
        <n v="222"/>
        <n v="1500"/>
        <n v="4238"/>
        <n v="854"/>
        <n v="5480"/>
        <n v="4128"/>
        <n v="1765"/>
        <n v="4725"/>
        <n v="1488065.36"/>
      </sharedItems>
    </cacheField>
    <cacheField name="手续费本位币" numFmtId="0">
      <sharedItems containsString="0" containsBlank="1" containsNumber="1" minValue="0" maxValue="63.47" count="131">
        <n v="17.13"/>
        <m/>
        <n v="15.74"/>
        <n v="28.8"/>
        <n v="17.46"/>
        <n v="16.73"/>
        <n v="22.49"/>
        <n v="17.95"/>
        <n v="13.44"/>
        <n v="8.73"/>
        <n v="7.74"/>
        <n v="7.39"/>
        <n v="14.76"/>
        <n v="17.45"/>
        <n v="22.31"/>
        <n v="21.39"/>
        <n v="19.35"/>
        <n v="16.99"/>
        <n v="39.01"/>
        <n v="24.06"/>
        <n v="14.12"/>
        <n v="25.56"/>
        <n v="28.23"/>
        <n v="24.09"/>
        <n v="26.11"/>
        <n v="17.18"/>
        <n v="12.62"/>
        <n v="21.12"/>
        <n v="15.63"/>
        <n v="7.44"/>
        <n v="7.34"/>
        <n v="17.47"/>
        <n v="9.6"/>
        <n v="7.78"/>
        <n v="14.22"/>
        <n v="14.28"/>
        <n v="16.12"/>
        <n v="14.23"/>
        <n v="16.58"/>
        <n v="20.76"/>
        <n v="15.44"/>
        <n v="26.06"/>
        <n v="17.86"/>
        <n v="12"/>
        <n v="42.81"/>
        <n v="27.41"/>
        <n v="18.76"/>
        <n v="63.47"/>
        <n v="19.79"/>
        <n v="22.21"/>
        <n v="5.61"/>
        <n v="0.06"/>
        <n v="0.4"/>
        <n v="13.98"/>
        <n v="17.84"/>
        <n v="18"/>
        <n v="30.2"/>
        <n v="27.68"/>
        <n v="9.36"/>
        <n v="4.22"/>
        <n v="15.72"/>
        <n v="29.08"/>
        <n v="26.73"/>
        <n v="21.54"/>
        <n v="1.72"/>
        <n v="11.76"/>
        <n v="16.29"/>
        <n v="10.32"/>
        <n v="8.93"/>
        <n v="11.9"/>
        <n v="3.72"/>
        <n v="20.4"/>
        <n v="0.19"/>
        <n v="6"/>
        <n v="14.4"/>
        <n v="1.61"/>
        <n v="23.34"/>
        <n v="10.56"/>
        <n v="9.97"/>
        <n v="7.82"/>
        <n v="9.22"/>
        <n v="23.59"/>
        <n v="19.2"/>
        <n v="3.44"/>
        <n v="3.14"/>
        <n v="11.42"/>
        <n v="13.18"/>
        <n v="19.46"/>
        <n v="13.53"/>
        <n v="15.59"/>
        <n v="19.87"/>
        <n v="4.3"/>
        <n v="1.83"/>
        <n v="14.16"/>
        <n v="32.58"/>
        <n v="18.3"/>
        <n v="17.96"/>
        <n v="6.02"/>
        <n v="6.42"/>
        <n v="30.54"/>
        <n v="4.47"/>
        <n v="23"/>
        <n v="32.16"/>
        <n v="24"/>
        <n v="33.44"/>
        <n v="5.76"/>
        <n v="8.61"/>
        <n v="17.51"/>
        <n v="14.6"/>
        <n v="10.8"/>
        <n v="35.28"/>
        <n v="6.6"/>
        <n v="40.8"/>
        <n v="17.14"/>
        <n v="12.2"/>
        <n v="8.6"/>
        <n v="24.96"/>
        <n v="16.08"/>
        <n v="23.41"/>
        <n v="10.1"/>
        <n v="17.62"/>
        <n v="7.12"/>
        <n v="13.48"/>
        <n v="11.04"/>
        <n v="22.08"/>
        <n v="6.73"/>
        <n v="5.71"/>
        <n v="4.95"/>
        <n v="8.27"/>
        <n v="13.39"/>
        <n v="13.03"/>
      </sharedItems>
    </cacheField>
    <cacheField name="表体-实收金额本位币" numFmtId="0">
      <sharedItems containsString="0" containsBlank="1" containsNumber="1" minValue="0" maxValue="300000" count="439">
        <n v="2838.02"/>
        <n v="503.85"/>
        <n v="2607.46"/>
        <n v="655.8"/>
        <n v="4770.4"/>
        <n v="1199.8"/>
        <n v="2668.54"/>
        <n v="2557.27"/>
        <n v="3437.51"/>
        <n v="2973.25"/>
        <n v="747.8"/>
        <n v="2226.56"/>
        <n v="560"/>
        <n v="4399"/>
        <n v="4050.27"/>
        <n v="3591.26"/>
        <n v="2360"/>
        <n v="2071"/>
        <n v="3439"/>
        <n v="3431.61"/>
        <n v="5220"/>
        <n v="2446.04"/>
        <n v="615.2"/>
        <n v="3639"/>
        <n v="2591"/>
        <n v="2891.35"/>
        <n v="727.2"/>
        <n v="4481"/>
        <n v="6365"/>
        <n v="3695.29"/>
        <n v="929.4"/>
        <n v="5000"/>
        <n v="3268.61"/>
        <n v="2956.65"/>
        <n v="2597.01"/>
        <n v="5962.99"/>
        <n v="3676.94"/>
        <n v="2157.88"/>
        <n v="3906.44"/>
        <n v="4315.77"/>
        <n v="3991.11"/>
        <n v="1003.8"/>
        <n v="5988"/>
        <n v="4325.04"/>
        <n v="767.85"/>
        <n v="3998"/>
        <n v="828"/>
        <n v="3869"/>
        <n v="35000"/>
        <n v="1999"/>
        <n v="350"/>
        <n v="3395"/>
        <n v="3091"/>
        <n v="2846.02"/>
        <n v="715.8"/>
        <n v="4590"/>
        <n v="1397.6"/>
        <n v="79610"/>
        <n v="5667"/>
        <n v="4791"/>
        <n v="790"/>
        <n v="5859.38"/>
        <n v="8362"/>
        <n v="3498.08"/>
        <n v="879.8"/>
        <n v="7254.37"/>
        <n v="2975"/>
        <n v="1232.56"/>
        <n v="310"/>
        <n v="6502"/>
        <n v="3406.66"/>
        <n v="808"/>
        <n v="6599.28"/>
        <n v="10000"/>
        <n v="2893.73"/>
        <n v="727.8"/>
        <n v="1590.4"/>
        <n v="400"/>
        <n v="4124"/>
        <n v="3365"/>
        <n v="30"/>
        <n v="73131"/>
        <n v="3000"/>
        <n v="1488"/>
        <n v="3612.22"/>
        <n v="2445"/>
        <n v="6601.78"/>
        <n v="5872"/>
        <n v="3900"/>
        <n v="2365.72"/>
        <n v="595"/>
        <n v="3280"/>
        <n v="22330"/>
        <n v="2669.88"/>
        <n v="2357.77"/>
        <n v="2747.42"/>
        <n v="3439.24"/>
        <n v="2558.56"/>
        <n v="4317.94"/>
        <n v="2958.14"/>
        <n v="7129.8"/>
        <n v="1258.2"/>
        <n v="4800"/>
        <n v="1968.2"/>
        <n v="3936.4"/>
        <n v="5124"/>
        <n v="1987.2"/>
        <n v="499.8"/>
        <n v="2400"/>
        <n v="2778"/>
        <n v="5871"/>
        <n v="7092.39"/>
        <n v="1783.8"/>
        <n v="32"/>
        <n v="5816"/>
        <n v="4540.49"/>
        <n v="806.1"/>
        <n v="398"/>
        <n v="3108.44"/>
        <n v="781.8"/>
        <n v="10515.53"/>
        <n v="2000"/>
        <n v="4810"/>
        <n v="3278.21"/>
        <n v="3678.79"/>
        <n v="2602.39"/>
        <n v="29.94"/>
        <n v="187.6"/>
        <n v="6488.02"/>
        <n v="1340"/>
        <n v="4086"/>
        <n v="2954.96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2982"/>
        <n v="4039"/>
        <n v="6354"/>
        <n v="5100"/>
        <n v="3958"/>
        <n v="6440"/>
        <n v="1310"/>
        <n v="2240"/>
        <n v="5002.6"/>
        <n v="4885.4"/>
        <n v="6744.4"/>
        <n v="162108.3"/>
        <n v="4585.12"/>
        <n v="1153.2"/>
        <n v="62620.6"/>
        <n v="3600"/>
        <n v="2789"/>
        <n v="300000"/>
        <n v="1621"/>
        <n v="4078.4"/>
        <n v="1019.6"/>
        <n v="1550.64"/>
        <n v="390"/>
        <n v="50000"/>
        <n v="2462.2"/>
        <n v="699.58"/>
        <n v="124.2"/>
        <n v="2950"/>
        <n v="8380"/>
        <n v="2604.28"/>
        <n v="655"/>
        <n v="4818.12"/>
        <n v="1211.8"/>
        <n v="10972"/>
        <n v="4428.27"/>
        <n v="3568.46"/>
        <n v="798.28"/>
        <n v="3180"/>
        <n v="10124"/>
        <n v="4277"/>
        <n v="6917.96"/>
        <n v="3679"/>
        <n v="1948.24"/>
        <n v="490"/>
        <n v="2698.91"/>
        <n v="678.8"/>
        <n v="242"/>
        <n v="890"/>
        <n v="8148"/>
        <n v="3504"/>
        <n v="4787.68"/>
        <n v="36202"/>
        <n v="3120"/>
        <n v="113351.28"/>
        <n v="1479.07"/>
        <n v="1972.1"/>
        <n v="372"/>
        <n v="496"/>
        <n v="799"/>
        <n v="615.93"/>
        <n v="109.35"/>
        <n v="7351"/>
        <n v="850"/>
        <n v="3379.6"/>
        <n v="600"/>
        <n v="31.81"/>
        <n v="1700"/>
        <n v="994"/>
        <n v="7438.76"/>
        <n v="700"/>
        <n v="2385.6"/>
        <n v="2578"/>
        <n v="5999"/>
        <n v="2741"/>
        <n v="3500"/>
        <n v="748.39"/>
        <n v="2698"/>
        <n v="8000"/>
        <n v="2800"/>
        <n v="3636"/>
        <n v="2558"/>
        <n v="3566.66"/>
        <n v="1749.44"/>
        <n v="440"/>
        <n v="2855.15"/>
        <n v="750"/>
        <n v="20000"/>
        <n v="4628.03"/>
        <n v="3628.18"/>
        <n v="4279.78"/>
        <n v="4458"/>
        <n v="6981"/>
        <n v="1618"/>
        <n v="730"/>
        <n v="2745"/>
        <n v="3299.2"/>
        <n v="824.8"/>
        <n v="9100"/>
        <n v="4249"/>
        <n v="3908.41"/>
        <n v="6000"/>
        <n v="3180.8"/>
        <n v="800"/>
        <n v="295"/>
        <n v="1596.56"/>
        <n v="1456.86"/>
        <n v="3360"/>
        <n v="791"/>
        <n v="1891.78"/>
        <n v="475.8"/>
        <n v="2182.82"/>
        <n v="549"/>
        <n v="5850"/>
        <n v="1440.75"/>
        <n v="1162.7"/>
        <n v="464.65"/>
        <n v="773.9"/>
        <n v="2100"/>
        <n v="2300"/>
        <n v="6052.76"/>
        <n v="3291"/>
        <n v="3224.54"/>
        <n v="811"/>
        <n v="1379"/>
        <n v="6277.47"/>
        <n v="618"/>
        <n v="6291"/>
        <n v="6486.02"/>
        <n v="23664"/>
        <n v="2845.08"/>
        <n v="2582.01"/>
        <n v="649.4"/>
        <n v="789"/>
        <n v="93.7"/>
        <n v="0.01"/>
        <n v="3291.33"/>
        <n v="827.8"/>
        <n v="1196"/>
        <n v="1995.7"/>
        <n v="848.17"/>
        <n v="5238.8"/>
        <n v="5800"/>
        <n v="4048.2"/>
        <n v="2481.7"/>
        <n v="7480.75"/>
        <n v="4299"/>
        <n v="3917"/>
        <n v="3838"/>
        <n v="15739.2"/>
        <n v="2070"/>
        <n v="2346.64"/>
        <n v="590.2"/>
        <n v="3245"/>
        <n v="71511.68"/>
        <n v="6122.84"/>
        <n v="492.3"/>
        <n v="4639"/>
        <n v="26190"/>
        <n v="2196"/>
        <n v="5397.82"/>
        <n v="1357.6"/>
        <n v="2594"/>
        <n v="12768"/>
        <n v="2796.7"/>
        <n v="2746.04"/>
        <n v="2793.98"/>
        <n v="770"/>
        <n v="3136"/>
        <n v="3230"/>
        <n v="2977.58"/>
        <n v="2685.6"/>
        <n v="2788"/>
        <n v="5059.26"/>
        <n v="898.2"/>
        <n v="2074.53"/>
        <n v="2000.6"/>
        <n v="35360"/>
        <n v="2200"/>
        <n v="3809.8"/>
        <n v="958.2"/>
        <n v="3369"/>
        <n v="5327.84"/>
        <n v="2496"/>
        <n v="836"/>
        <n v="3976"/>
        <n v="1000"/>
        <n v="351"/>
        <n v="3990"/>
        <n v="20674"/>
        <n v="1893"/>
        <n v="1895"/>
        <n v="3138"/>
        <n v="5539.36"/>
        <n v="1393.2"/>
        <n v="2984"/>
        <n v="4295"/>
        <n v="9600"/>
        <n v="954.24"/>
        <n v="240"/>
        <n v="5597"/>
        <n v="3994.39"/>
        <n v="4002"/>
        <n v="4020"/>
        <n v="4180"/>
        <n v="10258"/>
        <n v="3708"/>
        <n v="8127.49"/>
        <n v="135"/>
        <n v="3139"/>
        <n v="3270"/>
        <n v="2231.4"/>
        <n v="1789.2"/>
        <n v="450"/>
        <n v="14000"/>
        <n v="3128"/>
        <n v="3788"/>
        <n v="5845.52"/>
        <n v="1470.2"/>
        <n v="2986"/>
        <n v="3063.4"/>
        <n v="5880.8"/>
        <n v="4162"/>
        <n v="6759.2"/>
        <n v="1200"/>
        <n v="3400"/>
        <n v="3888"/>
        <n v="3209.2"/>
        <n v="8055"/>
        <n v="3908"/>
        <n v="2839.66"/>
        <n v="714.2"/>
        <n v="15000"/>
        <n v="2787.2"/>
        <n v="3261.7"/>
        <n v="2021.4"/>
        <n v="508.4"/>
        <n v="23400"/>
        <n v="150000"/>
        <n v="3994.4"/>
        <n v="2502"/>
        <n v="4135.04"/>
        <n v="1040"/>
        <n v="30887.28"/>
        <n v="873"/>
        <n v="10102.4"/>
        <n v="416.63"/>
        <n v="24350"/>
        <n v="24339"/>
        <n v="9767.4"/>
        <n v="2663.92"/>
        <n v="670"/>
        <n v="3877.59"/>
        <n v="136.9"/>
        <n v="4688.9"/>
        <n v="47"/>
        <n v="2813.2"/>
        <n v="2919.18"/>
        <n v="734.2"/>
        <n v="3303.88"/>
        <n v="3150"/>
        <n v="2576"/>
        <n v="6258.52"/>
        <n v="543"/>
        <n v="1828.96"/>
        <n v="460"/>
        <n v="9431.92"/>
        <n v="8145"/>
        <n v="3657.92"/>
        <n v="920"/>
        <n v="508"/>
        <n v="3123.27"/>
        <n v="2648.29"/>
        <n v="3688"/>
        <n v="2295.05"/>
        <n v="3839.73"/>
        <n v="8980"/>
        <n v="1839"/>
        <n v="4239"/>
        <n v="5430.4"/>
        <n v="8229"/>
        <n v="2217.81"/>
        <n v="557.8"/>
        <n v="222"/>
        <n v="1500"/>
        <n v="4238"/>
        <n v="2158.97"/>
        <n v="7490"/>
        <n v="854"/>
        <n v="5480"/>
        <n v="4128"/>
        <n v="1765"/>
        <n v="4725"/>
        <n v="2860"/>
        <m/>
      </sharedItems>
    </cacheField>
    <cacheField name="单据状态" numFmtId="0">
      <sharedItems containsBlank="1" count="2">
        <s v="已审核"/>
        <m/>
      </sharedItems>
    </cacheField>
    <cacheField name="创建人" numFmtId="0">
      <sharedItems containsBlank="1" count="13">
        <s v="陈联"/>
        <s v="葛   芬"/>
        <s v="毛银萍"/>
        <m/>
        <s v="徐美娟"/>
        <s v="周琴"/>
        <s v="王小婷"/>
        <s v="余亚炜"/>
        <s v="谢士英"/>
        <s v="张小兵"/>
        <s v="吴红玉"/>
        <s v="罗清"/>
        <s v="桑玲"/>
      </sharedItems>
    </cacheField>
    <cacheField name="修改人" numFmtId="0">
      <sharedItems containsBlank="1" count="12">
        <s v="桑玲"/>
        <s v="陈联"/>
        <s v="葛   芬"/>
        <m/>
        <s v="王小婷"/>
        <s v="余亚炜"/>
        <s v="谢士英"/>
        <s v="毛银萍"/>
        <s v="张小兵"/>
        <s v="罗清"/>
        <s v="徐美娟"/>
        <s v="刘新颖"/>
      </sharedItems>
    </cacheField>
    <cacheField name="审核人" numFmtId="0">
      <sharedItems containsBlank="1" count="3">
        <s v="桑玲"/>
        <m/>
        <s v="刘新颖"/>
      </sharedItems>
    </cacheField>
    <cacheField name="创建日期" numFmtId="0">
      <sharedItems containsBlank="1" count="35">
        <s v="2025/9/30"/>
        <m/>
        <s v="2025/10/1"/>
        <s v="2025/10/2"/>
        <s v="2025/10/3"/>
        <s v="2025/10/4"/>
        <s v="2025/10/5"/>
        <s v="2025/10/6"/>
        <s v="2025/10/7"/>
        <s v="2025/10/8"/>
        <s v="2025/10/9"/>
        <s v="2025/10/10"/>
        <s v="2025/10/11"/>
        <s v="2025/10/12"/>
        <s v="2025/10/13"/>
        <s v="2025/10/14"/>
        <s v="2025/10/15"/>
        <s v="2025/10/16"/>
        <s v="2025/10/17"/>
        <s v="2025/10/18"/>
        <s v="2025/10/19"/>
        <s v="2025/10/20"/>
        <s v="2025/10/21"/>
        <s v="2025/10/22"/>
        <s v="2025/10/23"/>
        <s v="2025/10/24"/>
        <s v="2025/10/25"/>
        <s v="2025/10/26"/>
        <s v="2025/10/27"/>
        <s v="2025/10/28"/>
        <s v="2025/10/29"/>
        <s v="2025/10/30"/>
        <s v="2025/10/31"/>
        <s v="2025/11/1"/>
        <s v="2025/11/3"/>
      </sharedItems>
    </cacheField>
    <cacheField name="修改日期" numFmtId="0">
      <sharedItems containsBlank="1" count="550">
        <s v="2025-10-17 09:18:50"/>
        <s v="2025-09-30 11:31:23"/>
        <s v="2025-10-17 09:19:21"/>
        <s v="2025-09-30 11:01:08"/>
        <s v="2025-10-17 09:19:56"/>
        <s v="2025-09-30 11:19:53"/>
        <s v="2025-10-07 09:43:51"/>
        <s v="2025-09-30 15:35:08"/>
        <s v="2025-10-07 09:45:20"/>
        <m/>
        <s v="2025-10-07 09:23:52"/>
        <s v="2025-10-01 13:43:52"/>
        <s v="2025-10-07 09:24:21"/>
        <s v="2025-10-01 14:21:40"/>
        <s v="2025-10-02 12:43:47"/>
        <s v="2025-10-02 12:47:37"/>
        <s v="2025-10-07 09:25:24"/>
        <s v="2025-10-02 13:04:23"/>
        <s v="2025-10-02 15:09:04"/>
        <s v="2025-10-03 10:33:47"/>
        <s v="2025-10-07 09:46:14"/>
        <s v="2025-10-03 10:38:21"/>
        <s v="2025-10-07 09:26:43"/>
        <s v="2025-10-03 11:00:29"/>
        <s v="2025-10-07 09:28:05"/>
        <s v="2025-10-03 13:21:40"/>
        <s v="2025-10-07 09:35:42"/>
        <s v="2025-10-03 14:55:28"/>
        <s v="2025-10-03 15:35:22"/>
        <s v="2025-10-03 15:51:44"/>
        <s v="2025-10-07 09:36:15"/>
        <s v="2025-10-04 11:52:01"/>
        <s v="2025-10-04 14:54:45"/>
        <s v="2025-10-07 09:47:48"/>
        <s v="2025-10-07 09:49:21"/>
        <s v="2025-10-07 09:51:38"/>
        <s v="2025-10-07 09:54:16"/>
        <s v="2025-10-07 15:20:36"/>
        <s v="2025-10-07 09:38:46"/>
        <s v="2025-10-05 11:40:57"/>
        <s v="2025-10-06 13:07:16"/>
        <s v="2025-10-07 09:55:13"/>
        <s v="2025-10-06 13:21:29"/>
        <s v="2025-10-06 13:26:13"/>
        <s v="2025-10-06 13:32:19"/>
        <s v="2025-10-06 13:35:18"/>
        <s v="2025-10-06 13:59:54"/>
        <s v="2025-10-06 14:25:43"/>
        <s v="2025-10-06 14:43:59"/>
        <s v="2025-10-06 14:44:35"/>
        <s v="2025-10-06 14:46:42"/>
        <s v="2025-10-06 15:52:17"/>
        <s v="2025-10-07 08:32:23"/>
        <s v="2025-10-07 09:57:00"/>
        <s v="2025-10-07 09:18:58"/>
        <s v="2025-10-07 09:44:30"/>
        <s v="2025-10-07 15:25:22"/>
        <s v="2025-10-10 09:04:45"/>
        <s v="2025-10-07 10:49:24"/>
        <s v="2025-10-07 10:51:50"/>
        <s v="2025-10-07 11:05:10"/>
        <s v="2025-10-07 12:31:16"/>
        <s v="2025-10-07 15:16:50"/>
        <s v="2025-10-07 15:07:37"/>
        <s v="2025-10-07 15:08:12"/>
        <s v="2025-10-07 15:07:06"/>
        <s v="2025-10-08 14:14:04"/>
        <s v="2025-10-07 15:50:12"/>
        <s v="2025-10-08 15:56:07"/>
        <s v="2025-10-08 10:04:12"/>
        <s v="2025-10-08 14:23:16"/>
        <s v="2025-10-08 10:43:22"/>
        <s v="2025-10-08 14:23:50"/>
        <s v="2025-10-08 15:56:30"/>
        <s v="2025-10-08 12:52:36"/>
        <s v="2025-10-08 10:53:19"/>
        <s v="2025-10-08 14:13:04"/>
        <s v="2025-10-08 14:25:20"/>
        <s v="2025-10-08 14:25:49"/>
        <s v="2025-10-09 08:58:59"/>
        <s v="2025-10-08 12:28:46"/>
        <s v="2025-10-08 12:29:27"/>
        <s v="2025-10-09 08:58:18"/>
        <s v="2025-10-08 15:02:51"/>
        <s v="2025-10-08 14:27:58"/>
        <s v="2025-10-08 14:28:35"/>
        <s v="2025-10-08 14:07:43"/>
        <s v="2025-10-08 14:05:58"/>
        <s v="2025-10-09 09:25:27"/>
        <s v="2025-10-08 15:12:05"/>
        <s v="2025-10-08 16:02:54"/>
        <s v="2025-10-09 10:48:26"/>
        <s v="2025-10-09 10:25:16"/>
        <s v="2025-10-09 12:34:15"/>
        <s v="2025-10-09 12:39:00"/>
        <s v="2025-10-09 14:12:40"/>
        <s v="2025-10-27 16:12:24"/>
        <s v="2025-10-10 09:05:09"/>
        <s v="2025-10-09 14:15:12"/>
        <s v="2025-10-09 14:21:22"/>
        <s v="2025-10-09 14:22:04"/>
        <s v="2025-10-09 15:09:24"/>
        <s v="2025-10-10 09:08:38"/>
        <s v="2025-10-11 09:45:27"/>
        <s v="2025-10-13 11:10:30"/>
        <s v="2025-10-10 10:13:54"/>
        <s v="2025-10-10 10:21:33"/>
        <s v="2025-10-10 10:14:47"/>
        <s v="2025-10-10 10:14:48"/>
        <s v="2025-10-10 10:20:40"/>
        <s v="2025-10-10 16:22:16"/>
        <s v="2025-10-11 08:49:32"/>
        <s v="2025-10-11 13:15:43"/>
        <s v="2025-10-11 10:04:43"/>
        <s v="2025-10-11 11:25:01"/>
        <s v="2025-10-11 15:11:43"/>
        <s v="2025-10-11 13:50:38"/>
        <s v="2025-10-13 11:02:22"/>
        <s v="2025-10-11 14:43:25"/>
        <s v="2025-10-11 15:12:48"/>
        <s v="2025-10-11 15:20:39"/>
        <s v="2025-10-11 16:02:23"/>
        <s v="2025-10-11 15:33:10"/>
        <s v="2025-10-11 16:00:26"/>
        <s v="2025-10-12 15:34:11"/>
        <s v="2025-10-13 11:19:46"/>
        <s v="2025-10-12 14:07:27"/>
        <s v="2025-10-13 11:03:17"/>
        <s v="2025-10-12 13:06:27"/>
        <s v="2025-10-12 14:38:20"/>
        <s v="2025-10-13 07:48:10"/>
        <s v="2025-10-13 11:13:20"/>
        <s v="2025-10-13 11:14:43"/>
        <s v="2025-10-16 12:06:18"/>
        <s v="2025-10-13 11:05:06"/>
        <s v="2025-10-13 11:06:04"/>
        <s v="2025-10-13 11:06:34"/>
        <s v="2025-10-13 11:06:59"/>
        <s v="2025-10-13 11:07:21"/>
        <s v="2025-10-13 11:08:11"/>
        <s v="2025-10-13 11:13:31"/>
        <s v="2025-10-13 13:19:26"/>
        <s v="2025-10-28 14:48:39"/>
        <s v="2025-10-13 12:23:52"/>
        <s v="2025-10-13 16:56:06"/>
        <s v="2025-10-13 12:50:18"/>
        <s v="2025-10-13 13:20:56"/>
        <s v="2025-10-13 13:15:39"/>
        <s v="2025-10-14 11:06:46"/>
        <s v="2025-10-13 14:59:36"/>
        <s v="2025-10-13 14:08:22"/>
        <s v="2025-10-13 14:35:28"/>
        <s v="2025-10-13 15:16:25"/>
        <s v="2025-10-13 15:22:06"/>
        <s v="2025-10-13 15:31:57"/>
        <s v="2025-10-13 16:49:55"/>
        <s v="2025-10-13 16:44:22"/>
        <s v="2025-10-14 08:38:51"/>
        <s v="2025-10-14 09:39:44"/>
        <s v="2025-10-14 12:46:11"/>
        <s v="2025-10-14 11:54:48"/>
        <s v="2025-10-14 12:50:15"/>
        <s v="2025-10-14 12:57:56"/>
        <s v="2025-10-14 13:19:52"/>
        <s v="2025-10-14 13:21:13"/>
        <s v="2025-10-15 17:00:35"/>
        <s v="2025-10-14 13:30:52"/>
        <s v="2025-10-14 14:44:32"/>
        <s v="2025-10-14 15:25:30"/>
        <s v="2025-10-14 15:20:02"/>
        <s v="2025-10-14 15:00:19"/>
        <s v="2025-10-14 15:28:09"/>
        <s v="2025-10-14 15:26:56"/>
        <s v="2025-10-23 16:23:54"/>
        <s v="2025-10-14 15:31:49"/>
        <s v="2025-10-14 15:33:51"/>
        <s v="2025-10-14 16:37:19"/>
        <s v="2025-10-14 16:39:01"/>
        <s v="2025-10-15 10:32:39"/>
        <s v="2025-10-15 08:56:29"/>
        <s v="2025-10-15 09:01:25"/>
        <s v="2025-10-15 09:25:52"/>
        <s v="2025-10-15 10:34:19"/>
        <s v="2025-10-15 09:33:31"/>
        <s v="2025-10-15 09:34:44"/>
        <s v="2025-10-15 10:49:19"/>
        <s v="2025-10-15 14:20:20"/>
        <s v="2025-10-15 15:16:08"/>
        <s v="2025-10-15 15:16:25"/>
        <s v="2025-10-15 16:52:59"/>
        <s v="2025-10-15 16:53:13"/>
        <s v="2025-10-15 16:57:32"/>
        <s v="2025-10-16 12:07:58"/>
        <s v="2025-10-16 12:09:19"/>
        <s v="2025-10-21 09:50:46"/>
        <s v="2025-10-16 12:10:19"/>
        <s v="2025-10-16 10:42:52"/>
        <s v="2025-10-23 16:28:29"/>
        <s v="2025-10-16 13:50:59"/>
        <s v="2025-10-16 14:00:03"/>
        <s v="2025-10-16 14:18:25"/>
        <s v="2025-10-17 09:20:57"/>
        <s v="2025-10-16 14:57:28"/>
        <s v="2025-10-16 16:06:34"/>
        <s v="2025-10-16 16:04:45"/>
        <s v="2025-10-17 09:21:34"/>
        <s v="2025-10-16 15:18:34"/>
        <s v="2025-10-16 15:19:01"/>
        <s v="2025-10-16 15:33:55"/>
        <s v="2025-10-16 16:47:48"/>
        <s v="2025-10-16 16:17:01"/>
        <s v="2025-10-16 18:29:06"/>
        <s v="2025-10-16 18:31:28"/>
        <s v="2025-10-17 13:21:37"/>
        <s v="2025-10-17 11:25:27"/>
        <s v="2025-10-17 09:53:51"/>
        <s v="2025-10-17 13:55:48"/>
        <s v="2025-10-17 13:31:55"/>
        <s v="2025-10-17 13:46:35"/>
        <s v="2025-10-17 13:33:21"/>
        <s v="2025-10-17 13:47:02"/>
        <s v="2025-10-17 12:55:42"/>
        <s v="2025-10-21 15:11:07"/>
        <s v="2025-10-17 15:47:31"/>
        <s v="2025-10-17 13:08:46"/>
        <s v="2025-10-17 13:36:14"/>
        <s v="2025-10-17 13:57:03"/>
        <s v="2025-10-17 13:51:20"/>
        <s v="2025-10-17 13:51:56"/>
        <s v="2025-10-17 14:42:53"/>
        <s v="2025-10-17 15:11:46"/>
        <s v="2025-10-17 15:37:32"/>
        <s v="2025-10-21 10:07:18"/>
        <s v="2025-10-18 09:16:50"/>
        <s v="2025-10-17 16:51:06"/>
        <s v="2025-10-21 09:38:22"/>
        <s v="2025-10-17 16:56:29"/>
        <s v="2025-10-21 09:38:55"/>
        <s v="2025-10-17 17:01:07"/>
        <s v="2025-10-18 12:50:08"/>
        <s v="2025-10-18 11:26:04"/>
        <s v="2025-10-23 16:35:22"/>
        <s v="2025-10-18 11:46:05"/>
        <s v="2025-10-21 09:51:42"/>
        <s v="2025-10-18 12:06:52"/>
        <s v="2025-10-18 12:49:09"/>
        <s v="2025-10-21 09:44:53"/>
        <s v="2025-10-18 14:19:05"/>
        <s v="2025-10-18 15:05:27"/>
        <s v="2025-10-21 10:07:58"/>
        <s v="2025-10-18 15:07:53"/>
        <s v="2025-10-21 09:45:47"/>
        <s v="2025-10-18 15:09:34"/>
        <s v="2025-10-21 10:10:34"/>
        <s v="2025-10-21 10:13:11"/>
        <s v="2025-10-21 09:47:05"/>
        <s v="2025-10-19 11:48:12"/>
        <s v="2025-10-19 12:31:27"/>
        <s v="2025-10-19 12:32:11"/>
        <s v="2025-10-19 12:35:54"/>
        <s v="2025-10-19 12:43:45"/>
        <s v="2025-10-21 10:14:43"/>
        <s v="2025-10-19 15:01:28"/>
        <s v="2025-10-19 15:47:38"/>
        <s v="2025-10-20 09:18:52"/>
        <s v="2025-10-21 09:53:33"/>
        <s v="2025-10-20 09:48:05"/>
        <s v="2025-10-20 10:11:05"/>
        <s v="2025-10-20 10:13:10"/>
        <s v="2025-10-20 10:15:08"/>
        <s v="2025-10-20 10:32:26"/>
        <s v="2025-10-20 10:43:53"/>
        <s v="2025-10-20 12:19:05"/>
        <s v="2025-10-20 12:22:28"/>
        <s v="2025-10-20 12:42:12"/>
        <s v="2025-10-20 12:43:28"/>
        <s v="2025-10-21 09:57:37"/>
        <s v="2025-10-20 13:21:40"/>
        <s v="2025-10-20 14:06:41"/>
        <s v="2025-10-22 10:27:03"/>
        <s v="2025-10-21 10:16:01"/>
        <s v="2025-10-20 14:25:45"/>
        <s v="2025-10-21 10:00:16"/>
        <s v="2025-10-20 14:53:09"/>
        <s v="2025-10-20 14:58:21"/>
        <s v="2025-10-21 10:17:43"/>
        <s v="2025-10-21 15:08:15"/>
        <s v="2025-10-21 13:25:24"/>
        <s v="2025-10-22 12:34:17"/>
        <s v="2025-10-21 13:40:04"/>
        <s v="2025-10-21 15:09:24"/>
        <s v="2025-10-21 15:10:07"/>
        <s v="2025-10-21 14:57:16"/>
        <s v="2025-10-22 11:09:32"/>
        <s v="2025-10-22 11:09:50"/>
        <s v="2025-10-22 11:10:22"/>
        <s v="2025-10-22 11:12:54"/>
        <s v="2025-10-22 11:13:59"/>
        <s v="2025-10-22 08:52:57"/>
        <s v="2025-10-22 09:21:54"/>
        <s v="2025-10-22 09:26:46"/>
        <s v="2025-10-22 09:27:10"/>
        <s v="2025-10-22 09:37:34"/>
        <s v="2025-10-22 09:39:51"/>
        <s v="2025-10-25 12:56:19"/>
        <s v="2025-10-22 11:25:20"/>
        <s v="2025-10-23 09:46:40"/>
        <s v="2025-10-22 12:06:37"/>
        <s v="2025-10-22 12:11:43"/>
        <s v="2025-10-22 12:14:17"/>
        <s v="2025-10-22 12:16:33"/>
        <s v="2025-10-22 12:19:07"/>
        <s v="2025-10-22 12:21:36"/>
        <s v="2025-10-22 12:44:12"/>
        <s v="2025-10-23 09:47:15"/>
        <s v="2025-10-22 12:28:34"/>
        <s v="2025-10-22 12:40:53"/>
        <s v="2025-10-23 09:47:49"/>
        <s v="2025-10-22 12:42:12"/>
        <s v="2025-10-22 12:46:20"/>
        <s v="2025-10-22 14:22:13"/>
        <s v="2025-10-22 14:17:30"/>
        <s v="2025-10-22 14:53:15"/>
        <s v="2025-10-22 14:53:55"/>
        <s v="2025-10-22 15:02:47"/>
        <s v="2025-10-22 15:07:49"/>
        <s v="2025-10-22 15:04:37"/>
        <s v="2025-10-22 15:31:19"/>
        <s v="2025-10-22 15:32:38"/>
        <s v="2025-10-22 15:34:00"/>
        <s v="2025-10-23 09:48:43"/>
        <s v="2025-10-23 08:41:31"/>
        <s v="2025-10-23 09:43:24"/>
        <s v="2025-10-23 09:54:33"/>
        <s v="2025-10-23 09:56:47"/>
        <s v="2025-10-23 10:46:25"/>
        <s v="2025-10-23 10:48:35"/>
        <s v="2025-10-24 10:27:11"/>
        <s v="2025-10-23 11:20:54"/>
        <s v="2025-10-23 13:09:22"/>
        <s v="2025-10-23 13:09:58"/>
        <s v="2025-10-23 12:44:37"/>
        <s v="2025-10-23 12:58:58"/>
        <s v="2025-10-23 13:18:12"/>
        <s v="2025-10-23 13:26:27"/>
        <s v="2025-10-23 13:46:18"/>
        <s v="2025-10-23 14:13:53"/>
        <s v="2025-10-23 14:57:37"/>
        <s v="2025-10-23 15:08:42"/>
        <s v="2025-10-23 15:09:25"/>
        <s v="2025-10-23 15:19:26"/>
        <s v="2025-10-23 15:24:02"/>
        <s v="2025-10-23 15:32:49"/>
        <s v="2025-10-24 10:28:17"/>
        <s v="2025-10-23 15:44:14"/>
        <s v="2025-10-24 11:02:04"/>
        <s v="2025-10-24 09:34:35"/>
        <s v="2025-10-27 13:59:03"/>
        <s v="2025-10-24 10:30:48"/>
        <s v="2025-10-24 10:31:40"/>
        <s v="2025-10-24 11:14:20"/>
        <s v="2025-10-24 10:44:30"/>
        <s v="2025-10-24 13:21:09"/>
        <s v="2025-10-24 12:22:50"/>
        <s v="2025-10-24 12:45:43"/>
        <s v="2025-10-24 13:18:23"/>
        <s v="2025-10-24 14:13:59"/>
        <s v="2025-10-24 14:17:54"/>
        <s v="2025-10-24 14:49:41"/>
        <s v="2025-10-24 14:34:09"/>
        <s v="2025-10-24 15:49:54"/>
        <s v="2025-10-24 15:51:02"/>
        <s v="2025-10-24 16:22:07"/>
        <s v="2025-10-25 12:58:31"/>
        <s v="2025-10-27 13:57:39"/>
        <s v="2025-10-25 10:28:59"/>
        <s v="2025-10-25 12:54:11"/>
        <s v="2025-10-25 12:32:56"/>
        <s v="2025-10-25 13:26:28"/>
        <s v="2025-10-25 14:00:25"/>
        <s v="2025-10-25 14:01:08"/>
        <s v="2025-10-27 09:36:50"/>
        <s v="2025-10-25 14:03:11"/>
        <s v="2025-10-25 14:30:56"/>
        <s v="2025-10-27 09:37:12"/>
        <s v="2025-10-25 14:40:31"/>
        <s v="2025-10-25 15:29:04"/>
        <s v="2025-10-27 09:37:45"/>
        <s v="2025-10-25 16:16:55"/>
        <s v="2025-10-25 17:02:50"/>
        <s v="2025-10-25 17:04:40"/>
        <s v="2025-10-25 17:14:35"/>
        <s v="2025-10-27 09:29:14"/>
        <s v="2025-10-26 08:53:00"/>
        <s v="2025-10-27 09:38:23"/>
        <s v="2025-10-27 09:38:34"/>
        <s v="2025-10-27 13:08:10"/>
        <s v="2025-10-27 10:13:16"/>
        <s v="2025-10-26 11:39:52"/>
        <s v="2025-10-27 09:47:11"/>
        <s v="2025-10-26 12:47:41"/>
        <s v="2025-10-26 12:47:46"/>
        <s v="2025-10-27 09:31:16"/>
        <s v="2025-10-26 12:48:56"/>
        <s v="2025-10-26 12:49:38"/>
        <s v="2025-10-26 12:50:37"/>
        <s v="2025-10-27 09:32:26"/>
        <s v="2025-10-26 15:05:02"/>
        <s v="2025-10-26 12:54:41"/>
        <s v="2025-10-26 12:58:23"/>
        <s v="2025-10-27 09:33:42"/>
        <s v="2025-10-26 13:04:18"/>
        <s v="2025-10-26 13:07:19"/>
        <s v="2025-10-26 13:43:06"/>
        <s v="2025-10-26 14:38:55"/>
        <s v="2025-10-27 09:39:51"/>
        <s v="2025-10-26 16:07:56"/>
        <s v="2025-10-27 09:41:15"/>
        <s v="2025-10-27 09:41:56"/>
        <s v="2025-10-27 09:42:25"/>
        <s v="2025-10-26 16:58:49"/>
        <s v="2025-10-27 09:42:55"/>
        <s v="2025-10-27 09:43:39"/>
        <s v="2025-10-27 08:35:37"/>
        <s v="2025-10-27 09:48:20"/>
        <s v="2025-10-27 09:40:17"/>
        <s v="2025-10-27 09:49:13"/>
        <s v="2025-10-27 10:16:46"/>
        <s v="2025-10-27 13:12:06"/>
        <s v="2025-10-27 10:28:20"/>
        <s v="2025-10-27 10:59:07"/>
        <s v="2025-10-27 12:37:20"/>
        <s v="2025-10-31 15:31:05"/>
        <s v="2025-10-27 12:58:15"/>
        <s v="2025-10-27 13:16:44"/>
        <s v="2025-10-27 13:29:20"/>
        <s v="2025-10-27 13:00:08"/>
        <s v="2025-10-27 13:00:46"/>
        <s v="2025-10-27 13:01:37"/>
        <s v="2025-10-27 13:02:18"/>
        <s v="2025-10-27 13:06:16"/>
        <s v="2025-10-27 14:01:21"/>
        <s v="2025-10-27 14:17:38"/>
        <s v="2025-10-29 13:26:07"/>
        <s v="2025-10-27 14:18:21"/>
        <s v="2025-10-27 14:18:46"/>
        <s v="2025-10-27 14:41:59"/>
        <s v="2025-10-27 15:16:47"/>
        <s v="2025-10-27 15:13:44"/>
        <s v="2025-10-28 10:14:56"/>
        <s v="2025-10-27 15:20:16"/>
        <s v="2025-10-27 15:34:44"/>
        <s v="2025-10-28 10:15:27"/>
        <s v="2025-10-27 15:55:34"/>
        <s v="2025-10-27 15:56:48"/>
        <s v="2025-10-27 16:25:45"/>
        <s v="2025-10-27 16:48:47"/>
        <s v="2025-10-28 10:16:38"/>
        <s v="2025-10-27 16:50:01"/>
        <s v="2025-10-28 10:21:38"/>
        <s v="2025-10-28 09:57:27"/>
        <s v="2025-10-28 10:47:39"/>
        <s v="2025-10-28 10:49:32"/>
        <s v="2025-10-28 10:50:14"/>
        <s v="2025-10-28 11:16:14"/>
        <s v="2025-10-28 13:02:56"/>
        <s v="2025-10-28 13:48:58"/>
        <s v="2025-10-28 13:05:06"/>
        <s v="2025-10-28 13:06:01"/>
        <s v="2025-10-29 10:46:41"/>
        <s v="2025-10-28 13:10:54"/>
        <s v="2025-10-28 13:23:18"/>
        <s v="2025-10-28 13:24:47"/>
        <s v="2025-10-29 10:39:25"/>
        <s v="2025-10-28 13:30:07"/>
        <s v="2025-10-29 10:40:06"/>
        <s v="2025-10-28 14:34:06"/>
        <s v="2025-10-28 14:48:34"/>
        <s v="2025-10-28 15:20:44"/>
        <s v="2025-10-28 16:00:24"/>
        <s v="2025-10-28 16:03:27"/>
        <s v="2025-10-29 10:40:44"/>
        <s v="2025-10-28 16:07:23"/>
        <s v="2025-10-28 16:08:04"/>
        <s v="2025-10-28 16:15:18"/>
        <s v="2025-10-28 16:16:46"/>
        <s v="2025-10-28 16:42:56"/>
        <s v="2025-10-28 16:24:39"/>
        <s v="2025-10-28 16:26:09"/>
        <s v="2025-10-28 16:49:24"/>
        <s v="2025-10-30 11:05:02"/>
        <s v="2025-10-30 11:06:10"/>
        <s v="2025-10-29 10:10:41"/>
        <s v="2025-10-29 13:27:57"/>
        <s v="2025-10-31 15:47:10"/>
        <s v="2025-10-29 15:49:27"/>
        <s v="2025-10-30 14:03:01"/>
        <s v="2025-10-29 16:25:41"/>
        <s v="2025-10-30 08:58:08"/>
        <s v="2025-10-30 08:58:49"/>
        <s v="2025-10-30 11:08:24"/>
        <s v="2025-10-30 08:59:50"/>
        <s v="2025-10-30 10:01:23"/>
        <s v="2025-10-31 11:26:36"/>
        <s v="2025-10-30 16:11:02"/>
        <s v="2025-10-30 14:02:14"/>
        <s v="2025-10-30 14:40:50"/>
        <s v="2025-10-30 14:28:03"/>
        <s v="2025-10-30 14:41:25"/>
        <s v="2025-10-30 15:14:35"/>
        <s v="2025-10-30 14:55:28"/>
        <s v="2025-10-30 15:15:25"/>
        <s v="2025-10-30 14:59:12"/>
        <s v="2025-10-31 11:27:17"/>
        <s v="2025-10-30 16:11:42"/>
        <s v="2025-10-30 15:51:11"/>
        <s v="2025-10-30 15:51:54"/>
        <s v="2025-10-30 15:58:41"/>
        <s v="2025-10-31 11:27:47"/>
        <s v="2025-10-30 16:02:22"/>
        <s v="2025-10-30 16:03:01"/>
        <s v="2025-10-30 16:06:21"/>
        <s v="2025-10-31 11:28:29"/>
        <s v="2025-10-31 11:28:51"/>
        <s v="2025-10-31 09:43:42"/>
        <s v="2025-10-31 11:29:18"/>
        <s v="2025-10-31 11:29:46"/>
        <s v="2025-10-31 11:21:17"/>
        <s v="2025-10-31 12:08:08"/>
        <s v="2025-10-31 12:38:24"/>
        <s v="2025-10-31 12:48:41"/>
        <s v="2025-10-31 12:50:28"/>
        <s v="2025-10-31 12:52:19"/>
        <s v="2025-10-31 12:55:51"/>
        <s v="2025-10-31 13:10:25"/>
        <s v="2025-10-31 13:02:10"/>
        <s v="2025-10-31 13:47:17"/>
        <s v="2025-10-31 14:13:23"/>
        <s v="2025-10-31 14:12:59"/>
        <s v="2025-10-31 14:14:58"/>
        <s v="2025-10-31 14:16:08"/>
        <s v="2025-10-31 15:12:50"/>
        <s v="2025-10-31 15:49:17"/>
        <s v="2025-10-31 15:45:14"/>
        <s v="2025-10-31 15:46:25"/>
        <s v="2025-10-31 16:34:52"/>
        <s v="2025-11-01 08:56:31"/>
        <s v="2025-11-01 10:36:58"/>
        <s v="2025-11-01 10:40:23"/>
        <s v="2025-11-03 12:55:54"/>
      </sharedItems>
    </cacheField>
    <cacheField name="审核日期" numFmtId="0">
      <sharedItems containsBlank="1" count="551">
        <s v="2025-09-30 12:53:56"/>
        <s v="2025-09-30 12:54:11"/>
        <s v="2025-09-30 12:56:06"/>
        <s v="2025-09-30 12:56:35"/>
        <s v="2025-09-30 12:57:26"/>
        <s v="2025-09-30 12:57:43"/>
        <s v="2025-10-07 09:43:52"/>
        <s v="2025-10-07 09:44:01"/>
        <s v="2025-10-07 09:45:21"/>
        <m/>
        <s v="2025-10-02 12:41:01"/>
        <s v="2025-10-02 12:41:11"/>
        <s v="2025-10-02 12:41:22"/>
        <s v="2025-10-02 12:41:56"/>
        <s v="2025-10-02 12:44:05"/>
        <s v="2025-10-02 12:48:11"/>
        <s v="2025-10-03 14:57:42"/>
        <s v="2025-10-03 14:55:29"/>
        <s v="2025-10-03 14:49:21"/>
        <s v="2025-10-03 14:49:04"/>
        <s v="2025-10-07 09:46:14"/>
        <s v="2025-10-03 14:48:41"/>
        <s v="2025-10-03 14:50:55"/>
        <s v="2025-10-03 14:51:18"/>
        <s v="2025-10-07 09:28:06"/>
        <s v="2025-10-03 14:45:23"/>
        <s v="2025-10-06 14:23:59"/>
        <s v="2025-10-06 14:24:13"/>
        <s v="2025-10-03 15:38:27"/>
        <s v="2025-10-03 15:52:39"/>
        <s v="2025-10-06 12:53:16"/>
        <s v="2025-10-06 12:53:31"/>
        <s v="2025-10-06 12:54:03"/>
        <s v="2025-10-07 09:47:49"/>
        <s v="2025-10-07 09:49:22"/>
        <s v="2025-10-07 09:51:39"/>
        <s v="2025-10-07 09:54:17"/>
        <s v="2025-10-07 15:20:38"/>
        <s v="2025-10-06 12:54:42"/>
        <s v="2025-10-06 12:54:57"/>
        <s v="2025-10-06 14:25:26"/>
        <s v="2025-10-07 09:55:15"/>
        <s v="2025-10-07 09:55:29"/>
        <s v="2025-10-06 14:25:50"/>
        <s v="2025-10-06 14:26:07"/>
        <s v="2025-10-06 14:26:30"/>
        <s v="2025-10-06 14:28:47"/>
        <s v="2025-10-06 14:27:20"/>
        <s v="2025-10-06 15:06:20"/>
        <s v="2025-10-06 15:06:35"/>
        <s v="2025-10-06 15:06:56"/>
        <s v="2025-10-07 09:55:53"/>
        <s v="2025-10-07 09:56:33"/>
        <s v="2025-10-07 09:57:02"/>
        <s v="2025-10-07 09:57:17"/>
        <s v="2025-10-07 10:00:03"/>
        <s v="2025-10-07 15:25:24"/>
        <s v="2025-10-10 09:04:46"/>
        <s v="2025-10-07 15:06:33"/>
        <s v="2025-10-07 15:06:51"/>
        <s v="2025-10-07 15:16:16"/>
        <s v="2025-10-07 15:16:46"/>
        <s v="2025-10-07 15:17:43"/>
        <s v="2025-10-07 15:07:38"/>
        <s v="2025-10-07 15:08:13"/>
        <s v="2025-10-07 15:08:32"/>
        <s v="2025-10-08 14:14:05"/>
        <s v="2025-10-08 14:14:13"/>
        <s v="2025-10-08 15:56:08"/>
        <s v="2025-10-08 14:22:49"/>
        <s v="2025-10-08 14:23:16"/>
        <s v="2025-10-08 14:23:24"/>
        <s v="2025-10-08 14:23:51"/>
        <s v="2025-10-08 15:56:31"/>
        <s v="2025-10-08 14:24:40"/>
        <s v="2025-10-08 14:12:40"/>
        <s v="2025-10-08 14:13:05"/>
        <s v="2025-10-08 14:25:21"/>
        <s v="2025-10-08 14:25:50"/>
        <s v="2025-10-09 08:59:00"/>
        <s v="2025-10-09 08:59:07"/>
        <s v="2025-10-08 14:26:09"/>
        <s v="2025-10-08 15:02:33"/>
        <s v="2025-10-08 15:02:52"/>
        <s v="2025-10-08 14:28:00"/>
        <s v="2025-10-08 14:28:36"/>
        <s v="2025-10-08 14:30:40"/>
        <s v="2025-10-08 14:31:26"/>
        <s v="2025-10-09 10:41:57"/>
        <s v="2025-10-08 15:33:37"/>
        <s v="2025-10-08 16:07:44"/>
        <s v="2025-10-09 10:48:28"/>
        <s v="2025-10-09 10:44:42"/>
        <s v="2025-10-09 15:02:55"/>
        <s v="2025-10-09 12:39:01"/>
        <s v="2025-10-09 15:03:25"/>
        <s v="2025-10-27 16:12:25"/>
        <s v="2025-10-10 09:05:10"/>
        <s v="2025-10-10 09:05:18"/>
        <s v="2025-10-09 15:07:20"/>
        <s v="2025-10-09 15:07:42"/>
        <s v="2025-10-09 15:23:00"/>
        <s v="2025-10-10 09:08:39"/>
        <s v="2025-10-11 09:45:28"/>
        <s v="2025-10-13 11:10:31"/>
        <s v="2025-10-10 10:18:38"/>
        <s v="2025-10-10 10:21:34"/>
        <s v="2025-10-10 10:21:44"/>
        <s v="2025-10-10 10:19:02"/>
        <s v="2025-10-10 10:20:41"/>
        <s v="2025-10-10 16:24:04"/>
        <s v="2025-10-11 09:40:19"/>
        <s v="2025-10-11 13:15:45"/>
        <s v="2025-10-11 13:15:56"/>
        <s v="2025-10-11 13:14:17"/>
        <s v="2025-10-11 15:11:49"/>
        <s v="2025-10-11 14:42:58"/>
        <s v="2025-10-13 11:02:23"/>
        <s v="2025-10-13 11:02:31"/>
        <s v="2025-10-11 15:12:49"/>
        <s v="2025-10-11 15:30:35"/>
        <s v="2025-10-11 16:02:24"/>
        <s v="2025-10-11 16:02:36"/>
        <s v="2025-10-11 16:03:16"/>
        <s v="2025-10-12 16:04:41"/>
        <s v="2025-10-12 15:08:05"/>
        <s v="2025-10-12 15:08:14"/>
        <s v="2025-10-13 11:03:18"/>
        <s v="2025-10-13 11:03:26"/>
        <s v="2025-10-12 15:06:44"/>
        <s v="2025-10-13 11:04:01"/>
        <s v="2025-10-13 11:13:22"/>
        <s v="2025-10-13 11:14:44"/>
        <s v="2025-10-16 12:06:19"/>
        <s v="2025-10-13 11:05:07"/>
        <s v="2025-10-13 11:06:05"/>
        <s v="2025-10-13 11:06:35"/>
        <s v="2025-10-13 11:07:00"/>
        <s v="2025-10-13 11:07:23"/>
        <s v="2025-10-13 11:08:12"/>
        <s v="2025-10-13 11:16:16"/>
        <s v="2025-10-13 13:19:28"/>
        <s v="2025-10-28 14:48:41"/>
        <s v="2025-10-13 13:33:25"/>
        <s v="2025-10-14 09:04:46"/>
        <s v="2025-10-13 13:20:18"/>
        <s v="2025-10-13 13:20:57"/>
        <s v="2025-10-13 13:27:16"/>
        <s v="2025-10-14 12:40:50"/>
        <s v="2025-10-13 14:59:37"/>
        <s v="2025-10-13 14:59:50"/>
        <s v="2025-10-13 15:20:49"/>
        <s v="2025-10-13 15:21:26"/>
        <s v="2025-10-13 15:22:07"/>
        <s v="2025-10-13 16:49:08"/>
        <s v="2025-10-13 16:49:56"/>
        <s v="2025-10-13 16:50:22"/>
        <s v="2025-10-14 09:04:08"/>
        <s v="2025-10-14 13:05:03"/>
        <s v="2025-10-14 12:48:50"/>
        <s v="2025-10-14 12:49:20"/>
        <s v="2025-10-14 12:50:16"/>
        <s v="2025-10-14 13:05:33"/>
        <s v="2025-10-14 14:41:37"/>
        <s v="2025-10-14 14:42:10"/>
        <s v="2025-10-14 15:30:27"/>
        <s v="2025-10-14 15:30:41"/>
        <s v="2025-10-14 14:45:32"/>
        <s v="2025-10-14 15:28:32"/>
        <s v="2025-10-14 15:20:03"/>
        <s v="2025-10-14 15:20:16"/>
        <s v="2025-10-14 15:28:43"/>
        <s v="2025-10-14 15:26:57"/>
        <s v="2025-10-23 16:23:56"/>
        <s v="2025-10-14 15:31:50"/>
        <s v="2025-10-14 15:35:23"/>
        <s v="2025-10-15 14:24:40"/>
        <s v="2025-10-15 14:25:09"/>
        <s v="2025-10-15 10:32:40"/>
        <s v="2025-10-15 10:32:56"/>
        <s v="2025-10-15 10:33:16"/>
        <s v="2025-10-15 10:33:44"/>
        <s v="2025-10-15 10:34:19"/>
        <s v="2025-10-15 10:34:30"/>
        <s v="2025-10-15 10:37:13"/>
        <s v="2025-10-15 14:18:02"/>
        <s v="2025-10-15 14:20:21"/>
        <s v="2025-10-15 15:16:10"/>
        <s v="2025-10-15 15:16:26"/>
        <s v="2025-10-15 16:53:01"/>
        <s v="2025-10-15 16:53:14"/>
        <s v="2025-10-16 12:06:49"/>
        <s v="2025-10-16 12:07:59"/>
        <s v="2025-10-16 12:09:20"/>
        <s v="2025-10-21 09:50:48"/>
        <s v="2025-10-16 12:10:20"/>
        <s v="2025-10-16 12:10:46"/>
        <s v="2025-10-23 16:28:31"/>
        <s v="2025-10-16 14:12:50"/>
        <s v="2025-10-16 14:11:50"/>
        <s v="2025-10-16 14:49:08"/>
        <s v="2025-10-16 15:55:47"/>
        <s v="2025-10-16 15:55:58"/>
        <s v="2025-10-16 16:06:35"/>
        <s v="2025-10-16 16:06:41"/>
        <s v="2025-10-16 15:56:33"/>
        <s v="2025-10-16 15:56:50"/>
        <s v="2025-10-16 15:57:23"/>
        <s v="2025-10-16 15:57:42"/>
        <s v="2025-10-16 16:51:37"/>
        <s v="2025-10-16 16:51:10"/>
        <s v="2025-10-17 09:04:08"/>
        <s v="2025-10-17 09:04:18"/>
        <s v="2025-10-17 13:21:38"/>
        <s v="2025-10-17 13:21:58"/>
        <s v="2025-10-17 13:24:25"/>
        <s v="2025-10-17 13:55:49"/>
        <s v="2025-10-17 13:31:56"/>
        <s v="2025-10-17 13:46:37"/>
        <s v="2025-10-17 13:33:22"/>
        <s v="2025-10-17 13:47:03"/>
        <s v="2025-10-17 13:34:36"/>
        <s v="2025-10-17 15:49:02"/>
        <s v="2025-10-17 15:49:13"/>
        <s v="2025-10-17 13:35:31"/>
        <s v="2025-10-17 13:36:15"/>
        <s v="2025-10-17 13:57:12"/>
        <s v="2025-10-17 13:57:28"/>
        <s v="2025-10-17 13:57:56"/>
        <s v="2025-10-17 14:42:54"/>
        <s v="2025-10-17 15:42:56"/>
        <s v="2025-10-17 15:44:57"/>
        <s v="2025-10-21 10:07:19"/>
        <s v="2025-10-18 09:18:48"/>
        <s v="2025-10-18 10:03:42"/>
        <s v="2025-10-18 10:02:57"/>
        <s v="2025-10-18 10:03:04"/>
        <s v="2025-10-18 10:05:44"/>
        <s v="2025-10-18 10:05:48"/>
        <s v="2025-10-18 13:21:59"/>
        <s v="2025-10-18 11:32:17"/>
        <s v="2025-10-23 16:35:23"/>
        <s v="2025-10-18 13:02:34"/>
        <s v="2025-10-21 09:51:43"/>
        <s v="2025-10-18 13:14:47"/>
        <s v="2025-10-18 12:57:02"/>
        <s v="2025-10-21 09:44:54"/>
        <s v="2025-10-18 15:09:03"/>
        <s v="2025-10-19 14:58:46"/>
        <s v="2025-10-21 10:07:59"/>
        <s v="2025-10-21 10:08:15"/>
        <s v="2025-10-18 15:40:20"/>
        <s v="2025-10-18 15:40:17"/>
        <s v="2025-10-21 10:10:35"/>
        <s v="2025-10-21 10:13:13"/>
        <s v="2025-10-19 15:07:49"/>
        <s v="2025-10-19 15:07:59"/>
        <s v="2025-10-19 15:02:06"/>
        <s v="2025-10-19 15:02:39"/>
        <s v="2025-10-20 09:26:21"/>
        <s v="2025-10-19 15:04:35"/>
        <s v="2025-10-21 10:14:44"/>
        <s v="2025-10-19 15:05:32"/>
        <s v="2025-10-20 10:18:00"/>
        <s v="2025-10-20 09:27:02"/>
        <s v="2025-10-21 09:53:35"/>
        <s v="2025-10-20 09:48:07"/>
        <s v="2025-10-20 10:19:56"/>
        <s v="2025-10-20 10:21:19"/>
        <s v="2025-10-20 10:31:57"/>
        <s v="2025-10-20 10:34:37"/>
        <s v="2025-10-20 10:59:27"/>
        <s v="2025-10-20 13:12:38"/>
        <s v="2025-10-20 13:10:51"/>
        <s v="2025-10-20 12:47:59"/>
        <s v="2025-10-20 12:48:15"/>
        <s v="2025-10-21 09:58:08"/>
        <s v="2025-10-20 13:34:17"/>
        <s v="2025-10-20 14:09:16"/>
        <s v="2025-10-22 10:27:04"/>
        <s v="2025-10-21 10:16:02"/>
        <s v="2025-10-20 14:26:36"/>
        <s v="2025-10-20 15:06:20"/>
        <s v="2025-10-20 15:06:14"/>
        <s v="2025-10-20 15:08:04"/>
        <s v="2025-10-21 10:17:45"/>
        <s v="2025-10-21 15:08:17"/>
        <s v="2025-10-21 15:08:45"/>
        <s v="2025-10-21 15:17:07"/>
        <s v="2025-10-21 15:17:19"/>
        <s v="2025-10-21 15:09:25"/>
        <s v="2025-10-21 15:10:08"/>
        <s v="2025-10-21 15:10:15"/>
        <s v="2025-10-22 11:09:34"/>
        <s v="2025-10-22 11:09:51"/>
        <s v="2025-10-22 11:10:23"/>
        <s v="2025-10-22 11:12:55"/>
        <s v="2025-10-22 11:14:00"/>
        <s v="2025-10-22 11:14:22"/>
        <s v="2025-10-22 09:21:55"/>
        <s v="2025-10-22 09:26:48"/>
        <s v="2025-10-22 09:27:11"/>
        <s v="2025-10-22 12:38:35"/>
        <s v="2025-10-22 09:39:52"/>
        <s v="2025-10-25 12:56:20"/>
        <s v="2025-10-22 12:39:03"/>
        <s v="2025-10-22 12:48:54"/>
        <s v="2025-10-22 12:49:11"/>
        <s v="2025-10-22 12:41:30"/>
        <s v="2025-10-22 12:41:54"/>
        <s v="2025-10-22 12:42:18"/>
        <s v="2025-10-22 12:42:36"/>
        <s v="2025-10-22 12:43:06"/>
        <s v="2025-10-22 12:44:12"/>
        <s v="2025-10-22 12:49:27"/>
        <s v="2025-10-22 12:49:41"/>
        <s v="2025-10-22 12:44:37"/>
        <s v="2025-10-22 12:49:50"/>
        <s v="2025-10-22 12:49:59"/>
        <s v="2025-10-22 12:46:21"/>
        <s v="2025-10-22 14:22:15"/>
        <s v="2025-10-22 14:22:40"/>
        <s v="2025-10-22 15:06:17"/>
        <s v="2025-10-22 15:06:48"/>
        <s v="2025-10-22 15:07:24"/>
        <s v="2025-10-22 15:07:49"/>
        <s v="2025-10-22 15:07:58"/>
        <s v="2025-10-22 15:31:20"/>
        <s v="2025-10-22 15:32:40"/>
        <s v="2025-10-22 15:34:01"/>
        <s v="2025-10-23 09:48:44"/>
        <s v="2025-10-23 09:48:58"/>
        <s v="2025-10-23 09:53:52"/>
        <s v="2025-10-23 09:54:35"/>
        <s v="2025-10-23 10:47:14"/>
        <s v="2025-10-23 10:46:27"/>
        <s v="2025-10-23 10:48:36"/>
        <s v="2025-10-23 13:08:27"/>
        <s v="2025-10-23 13:08:44"/>
        <s v="2025-10-23 13:09:23"/>
        <s v="2025-10-23 13:09:59"/>
        <s v="2025-10-23 13:20:26"/>
        <s v="2025-10-23 13:11:55"/>
        <s v="2025-10-23 13:20:46"/>
        <s v="2025-10-23 13:43:11"/>
        <s v="2025-10-23 13:46:19"/>
        <s v="2025-10-23 14:34:23"/>
        <s v="2025-10-23 15:10:18"/>
        <s v="2025-10-23 15:20:30"/>
        <s v="2025-10-23 15:20:56"/>
        <s v="2025-10-23 15:21:41"/>
        <s v="2025-10-23 15:24:03"/>
        <s v="2025-10-23 16:55:14"/>
        <s v="2025-10-24 10:28:18"/>
        <s v="2025-10-24 10:28:25"/>
        <s v="2025-10-24 11:03:30"/>
        <s v="2025-10-24 10:29:08"/>
        <s v="2025-10-27 14:03:03"/>
        <s v="2025-10-24 10:30:49"/>
        <s v="2025-10-24 10:31:41"/>
        <s v="2025-10-24 13:19:52"/>
        <s v="2025-10-24 10:58:28"/>
        <s v="2025-10-24 13:21:11"/>
        <s v="2025-10-24 13:21:20"/>
        <s v="2025-10-24 13:21:40"/>
        <s v="2025-10-24 13:29:49"/>
        <s v="2025-10-24 14:52:44"/>
        <s v="2025-10-24 14:49:13"/>
        <s v="2025-10-24 14:49:42"/>
        <s v="2025-10-24 14:49:50"/>
        <s v="2025-10-24 15:50:33"/>
        <s v="2025-10-24 15:51:52"/>
        <s v="2025-10-24 16:25:34"/>
        <s v="2025-10-25 12:58:33"/>
        <s v="2025-10-27 13:57:41"/>
        <s v="2025-10-25 10:29:02"/>
        <s v="2025-10-25 12:54:13"/>
        <s v="2025-10-25 13:33:30"/>
        <s v="2025-10-25 13:34:23"/>
        <s v="2025-10-25 15:17:49"/>
        <s v="2025-10-25 15:18:08"/>
        <s v="2025-10-27 09:36:51"/>
        <s v="2025-10-25 15:18:36"/>
        <s v="2025-10-25 15:14:24"/>
        <s v="2025-10-27 09:37:13"/>
        <s v="2025-10-27 09:37:25"/>
        <s v="2025-10-25 15:29:39"/>
        <s v="2025-10-27 09:37:46"/>
        <s v="2025-10-25 16:19:30"/>
        <s v="2025-10-25 17:02:52"/>
        <s v="2025-10-25 17:04:41"/>
        <s v="2025-10-26 14:39:59"/>
        <s v="2025-10-26 15:00:25"/>
        <s v="2025-10-26 14:46:08"/>
        <s v="2025-10-27 09:38:24"/>
        <s v="2025-10-27 09:38:35"/>
        <s v="2025-10-27 13:08:11"/>
        <s v="2025-10-27 13:08:19"/>
        <s v="2025-10-26 14:51:58"/>
        <s v="2025-10-27 09:47:11"/>
        <s v="2025-10-26 14:53:50"/>
        <s v="2025-10-27 09:47:19"/>
        <s v="2025-10-26 14:54:13"/>
        <s v="2025-10-26 14:54:23"/>
        <s v="2025-10-27 09:47:48"/>
        <s v="2025-10-26 14:54:47"/>
        <s v="2025-10-26 15:04:44"/>
        <s v="2025-10-26 15:05:04"/>
        <s v="2025-10-26 14:56:23"/>
        <s v="2025-10-26 14:56:47"/>
        <s v="2025-10-26 15:05:29"/>
        <s v="2025-10-26 15:05:39"/>
        <s v="2025-10-26 14:57:34"/>
        <s v="2025-10-26 14:58:01"/>
        <s v="2025-10-27 09:39:04"/>
        <s v="2025-10-27 09:39:52"/>
        <s v="2025-10-27 09:40:20"/>
        <s v="2025-10-27 09:41:16"/>
        <s v="2025-10-27 09:41:57"/>
        <s v="2025-10-27 09:42:26"/>
        <s v="2025-10-27 09:42:34"/>
        <s v="2025-10-27 09:43:12"/>
        <s v="2025-10-27 09:43:40"/>
        <s v="2025-10-27 09:44:01"/>
        <s v="2025-10-27 09:45:18"/>
        <s v="2025-10-27 09:48:21"/>
        <s v="2025-10-27 09:48:33"/>
        <s v="2025-10-27 09:49:14"/>
        <s v="2025-10-27 13:08:51"/>
        <s v="2025-10-27 13:12:08"/>
        <s v="2025-10-27 13:13:23"/>
        <s v="2025-10-27 13:14:41"/>
        <s v="2025-10-27 13:15:02"/>
        <s v="2025-10-31 15:31:07"/>
        <s v="2025-10-27 13:15:53"/>
        <s v="2025-10-27 13:16:45"/>
        <s v="2025-10-27 13:29:22"/>
        <s v="2025-10-27 13:29:30"/>
        <s v="2025-10-27 13:29:53"/>
        <s v="2025-10-27 13:54:38"/>
        <s v="2025-10-27 13:30:26"/>
        <s v="2025-10-27 14:16:32"/>
        <s v="2025-10-27 14:01:23"/>
        <s v="2025-10-27 14:17:39"/>
        <s v="2025-10-29 13:26:09"/>
        <s v="2025-10-27 14:18:25"/>
        <s v="2025-10-27 14:18:53"/>
        <s v="2025-10-27 15:15:54"/>
        <s v="2025-10-27 15:16:48"/>
        <s v="2025-10-27 15:17:18"/>
        <s v="2025-10-28 10:14:57"/>
        <s v="2025-10-28 10:15:05"/>
        <s v="2025-10-27 15:52:05"/>
        <s v="2025-10-28 10:15:28"/>
        <s v="2025-10-27 15:59:45"/>
        <s v="2025-10-27 16:00:01"/>
        <s v="2025-10-27 16:38:33"/>
        <s v="2025-10-28 10:16:07"/>
        <s v="2025-10-28 10:16:38"/>
        <s v="2025-10-28 10:16:45"/>
        <s v="2025-10-28 13:45:45"/>
        <s v="2025-10-28 10:17:18"/>
        <s v="2025-10-28 13:46:27"/>
        <s v="2025-10-28 13:47:05"/>
        <s v="2025-10-28 13:47:20"/>
        <s v="2025-10-28 13:47:41"/>
        <s v="2025-10-28 13:48:34"/>
        <s v="2025-10-28 13:48:59"/>
        <s v="2025-10-28 13:49:06"/>
        <s v="2025-10-28 13:49:33"/>
        <s v="2025-10-28 14:26:38"/>
        <s v="2025-10-28 14:26:54"/>
        <s v="2025-10-28 13:50:55"/>
        <s v="2025-10-28 13:51:16"/>
        <s v="2025-10-29 10:39:27"/>
        <s v="2025-10-29 10:39:35"/>
        <s v="2025-10-29 10:40:07"/>
        <s v="2025-10-29 10:40:15"/>
        <s v="2025-10-28 14:51:55"/>
        <s v="2025-10-28 15:20:59"/>
        <s v="2025-10-28 16:00:25"/>
        <s v="2025-10-28 16:03:29"/>
        <s v="2025-10-29 10:40:45"/>
        <s v="2025-10-29 10:40:53"/>
        <s v="2025-10-28 16:08:06"/>
        <s v="2025-10-28 16:46:23"/>
        <s v="2025-10-28 16:16:47"/>
        <s v="2025-10-28 16:42:57"/>
        <s v="2025-10-30 15:52:59"/>
        <s v="2025-10-28 16:43:23"/>
        <s v="2025-10-28 16:49:26"/>
        <s v="2025-10-30 11:05:04"/>
        <s v="2025-10-30 11:06:11"/>
        <s v="2025-10-29 10:45:02"/>
        <s v="2025-10-29 13:27:58"/>
        <s v="2025-10-31 15:47:12"/>
        <s v="2025-10-29 15:49:29"/>
        <s v="2025-10-29 16:18:01"/>
        <s v="2025-10-30 14:00:33"/>
        <s v="2025-10-30 14:39:55"/>
        <s v="2025-10-30 14:01:15"/>
        <s v="2025-10-30 11:08:26"/>
        <s v="2025-10-30 11:08:34"/>
        <s v="2025-10-30 11:09:10"/>
        <s v="2025-10-30 16:10:40"/>
        <s v="2025-10-30 16:11:03"/>
        <s v="2025-10-30 14:02:16"/>
        <s v="2025-10-30 14:40:51"/>
        <s v="2025-10-30 15:13:59"/>
        <s v="2025-10-30 14:41:26"/>
        <s v="2025-10-30 15:14:36"/>
        <s v="2025-10-30 15:14:44"/>
        <s v="2025-10-30 15:15:26"/>
        <s v="2025-10-30 15:31:46"/>
        <s v="2025-10-30 16:11:26"/>
        <s v="2025-10-30 16:11:43"/>
        <s v="2025-10-30 15:51:12"/>
        <s v="2025-10-30 15:51:55"/>
        <s v="2025-10-30 16:05:37"/>
        <s v="2025-10-30 16:12:04"/>
        <s v="2025-10-30 16:12:13"/>
        <s v="2025-10-30 16:12:36"/>
        <s v="2025-10-30 16:13:57"/>
        <s v="2025-10-31 11:28:31"/>
        <s v="2025-10-31 11:28:52"/>
        <s v="2025-10-31 12:27:38"/>
        <s v="2025-10-31 11:29:19"/>
        <s v="2025-10-31 11:29:47"/>
        <s v="2025-10-31 11:30:07"/>
        <s v="2025-10-31 12:32:14"/>
        <s v="2025-10-31 13:00:26"/>
        <s v="2025-10-31 13:03:26"/>
        <s v="2025-10-31 13:03:55"/>
        <s v="2025-10-31 13:05:36"/>
        <s v="2025-10-31 13:09:54"/>
        <s v="2025-10-31 13:10:26"/>
        <s v="2025-10-31 13:10:35"/>
        <s v="2025-10-31 14:22:09"/>
        <s v="2025-10-31 14:23:12"/>
        <s v="2025-10-31 14:49:10"/>
        <s v="2025-10-31 14:26:33"/>
        <s v="2025-10-31 14:27:14"/>
        <s v="2025-10-31 15:15:08"/>
        <s v="2025-10-31 15:49:19"/>
        <s v="2025-10-31 15:50:33"/>
        <s v="2025-10-31 15:54:32"/>
        <s v="2025-10-31 16:37:43"/>
        <s v="2025-11-01 09:13:47"/>
        <s v="2025-11-01 11:14:54"/>
        <s v="2025-11-01 11:15:34"/>
        <s v="2025-11-03 13:25:13"/>
      </sharedItems>
    </cacheField>
    <cacheField name="作废人" numFmtId="0">
      <sharedItems containsString="0" containsBlank="1" containsNonDate="0" count="1">
        <m/>
      </sharedItems>
    </cacheField>
    <cacheField name="作废日期" numFmtId="0">
      <sharedItems containsString="0" containsBlank="1" containsNonDate="0" count="1">
        <m/>
      </sharedItems>
    </cacheField>
    <cacheField name="作废状态" numFmtId="0">
      <sharedItems containsBlank="1" count="2">
        <s v="否"/>
        <m/>
      </sharedItems>
    </cacheField>
    <cacheField name="收款金额2" numFmtId="0">
      <sharedItems containsString="0" containsBlank="1" containsNumber="1" minValue="0" maxValue="3687940.63" count="403">
        <n v="2855.15"/>
        <n v="503.85"/>
        <n v="2623.2"/>
        <n v="655.8"/>
        <n v="4799.2"/>
        <n v="1199.8"/>
        <n v="2686"/>
        <n v="2574"/>
        <n v="3460"/>
        <n v="2991.2"/>
        <n v="747.8"/>
        <n v="2240"/>
        <n v="560"/>
        <n v="4399"/>
        <n v="4059"/>
        <n v="3599"/>
        <n v="2360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3290"/>
        <n v="2976"/>
        <n v="2614"/>
        <n v="6002"/>
        <n v="3701"/>
        <n v="2172"/>
        <n v="3932"/>
        <n v="4344"/>
        <n v="4015.2"/>
        <n v="1003.8"/>
        <n v="5988"/>
        <n v="4351.15"/>
        <n v="767.85"/>
        <n v="3998"/>
        <n v="828"/>
        <n v="3869"/>
        <n v="35000"/>
        <n v="1999"/>
        <n v="350"/>
        <n v="3395"/>
        <n v="3091"/>
        <n v="2863.2"/>
        <n v="715.8"/>
        <n v="4590"/>
        <n v="1397.6"/>
        <n v="79610"/>
        <n v="5667"/>
        <n v="4791"/>
        <n v="790"/>
        <n v="5872"/>
        <n v="8362"/>
        <n v="3519.2"/>
        <n v="879.8"/>
        <n v="7270"/>
        <n v="2975"/>
        <n v="1240"/>
        <n v="310"/>
        <n v="6502"/>
        <n v="3414"/>
        <n v="808"/>
        <n v="6599.28"/>
        <n v="10000"/>
        <n v="2911.2"/>
        <n v="727.8"/>
        <n v="1600"/>
        <n v="400"/>
        <n v="4124"/>
        <n v="3365"/>
        <n v="30"/>
        <n v="73131"/>
        <n v="3000"/>
        <n v="1488"/>
        <n v="3620"/>
        <n v="2445"/>
        <n v="6616"/>
        <n v="3900"/>
        <n v="2380"/>
        <n v="595"/>
        <n v="3280"/>
        <n v="22330"/>
        <n v="2372"/>
        <n v="2764"/>
        <n v="7129.8"/>
        <n v="1258.2"/>
        <n v="4800"/>
        <n v="1968.2"/>
        <n v="3936.4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3298"/>
        <n v="2608"/>
        <n v="188"/>
        <n v="1340"/>
        <n v="4086"/>
        <n v="2972.8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4039"/>
        <n v="6354"/>
        <n v="5100"/>
        <n v="3958"/>
        <n v="6440"/>
        <n v="1310"/>
        <n v="5032.8"/>
        <n v="4885.4"/>
        <n v="6744.4"/>
        <n v="162108.3"/>
        <n v="4612.8"/>
        <n v="1153.2"/>
        <n v="62620.6"/>
        <n v="3600"/>
        <n v="2789"/>
        <n v="300000"/>
        <n v="1621"/>
        <n v="4078.4"/>
        <n v="1019.6"/>
        <n v="1560"/>
        <n v="390"/>
        <n v="50000"/>
        <n v="2462.2"/>
        <n v="703.8"/>
        <n v="124.2"/>
        <n v="2950"/>
        <n v="8380"/>
        <n v="2620"/>
        <n v="655"/>
        <n v="4847.2"/>
        <n v="1211.8"/>
        <n v="10972"/>
        <n v="4455"/>
        <n v="3590"/>
        <n v="800"/>
        <n v="3180"/>
        <n v="10124"/>
        <n v="4277"/>
        <n v="6917.96"/>
        <n v="3679"/>
        <n v="1960"/>
        <n v="490"/>
        <n v="2715.2"/>
        <n v="678.8"/>
        <n v="242"/>
        <n v="890"/>
        <n v="8148"/>
        <n v="3504"/>
        <n v="4798"/>
        <n v="36202"/>
        <n v="3120"/>
        <n v="113351.2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5999"/>
        <n v="2741"/>
        <n v="3500"/>
        <n v="750"/>
        <n v="2698"/>
        <n v="8000"/>
        <n v="2800"/>
        <n v="3636"/>
        <n v="2558"/>
        <n v="1760"/>
        <n v="440"/>
        <n v="20000"/>
        <n v="4638"/>
        <n v="4289"/>
        <n v="4458"/>
        <n v="6981"/>
        <n v="1618"/>
        <n v="730"/>
        <n v="2745"/>
        <n v="3299.2"/>
        <n v="824.8"/>
        <n v="9100"/>
        <n v="4249"/>
        <n v="6000"/>
        <n v="3200"/>
        <n v="295"/>
        <n v="1460"/>
        <n v="3360"/>
        <n v="791"/>
        <n v="1903.2"/>
        <n v="475.8"/>
        <n v="2196"/>
        <n v="549"/>
        <n v="5850"/>
        <n v="1440.75"/>
        <n v="1162.7"/>
        <n v="464.65"/>
        <n v="773.9"/>
        <n v="2100"/>
        <n v="2300"/>
        <n v="6052.76"/>
        <n v="3291"/>
        <n v="3244"/>
        <n v="811"/>
        <n v="1379"/>
        <n v="6291"/>
        <n v="618"/>
        <n v="6500"/>
        <n v="23664"/>
        <n v="2845.08"/>
        <n v="2597.6"/>
        <n v="649.4"/>
        <n v="789"/>
        <n v="93.7"/>
        <n v="0.01"/>
        <n v="3311.2"/>
        <n v="827.8"/>
        <n v="1196"/>
        <n v="5238.8"/>
        <n v="5800"/>
        <n v="4048.2"/>
        <n v="2481.7"/>
        <n v="7480.75"/>
        <n v="4299"/>
        <n v="3917"/>
        <n v="3838"/>
        <n v="15739.2"/>
        <n v="2070"/>
        <n v="2360.8"/>
        <n v="590.2"/>
        <n v="3245"/>
        <n v="71511.68"/>
        <n v="6122.84"/>
        <n v="492.3"/>
        <n v="4639"/>
        <n v="26190"/>
        <n v="5430.4"/>
        <n v="1357.6"/>
        <n v="2594"/>
        <n v="12768"/>
        <n v="2815"/>
        <n v="770"/>
        <n v="3136"/>
        <n v="3230"/>
        <n v="2984"/>
        <n v="2685.6"/>
        <n v="2788"/>
        <n v="5089.8"/>
        <n v="898.2"/>
        <n v="2079"/>
        <n v="2000.6"/>
        <n v="35360"/>
        <n v="2200"/>
        <n v="3832.8"/>
        <n v="958.2"/>
        <n v="3369"/>
        <n v="5360"/>
        <n v="2496"/>
        <n v="836"/>
        <n v="4000"/>
        <n v="351"/>
        <n v="3990"/>
        <n v="20674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2246"/>
        <n v="1800"/>
        <n v="450"/>
        <n v="14000"/>
        <n v="3128"/>
        <n v="3788"/>
        <n v="5880.8"/>
        <n v="1470.2"/>
        <n v="2986"/>
        <n v="3070"/>
        <n v="4162"/>
        <n v="6800"/>
        <n v="1200"/>
        <n v="3888"/>
        <n v="3209.2"/>
        <n v="8055"/>
        <n v="3908"/>
        <n v="2856.8"/>
        <n v="714.2"/>
        <n v="15000"/>
        <n v="2787.2"/>
        <n v="3261.7"/>
        <n v="2033.6"/>
        <n v="508.4"/>
        <n v="23400"/>
        <n v="150000"/>
        <n v="2502"/>
        <n v="4160"/>
        <n v="1040"/>
        <n v="30887.28"/>
        <n v="873"/>
        <n v="10102.4"/>
        <n v="416.63"/>
        <n v="24350"/>
        <n v="24339"/>
        <n v="9767.4"/>
        <n v="2680"/>
        <n v="670"/>
        <n v="3901"/>
        <n v="136.9"/>
        <n v="4699"/>
        <n v="47"/>
        <n v="2813.2"/>
        <n v="2936.8"/>
        <n v="734.2"/>
        <n v="3311"/>
        <n v="3150"/>
        <n v="2576"/>
        <n v="6272"/>
        <n v="543"/>
        <n v="1840"/>
        <n v="460"/>
        <n v="9431.92"/>
        <n v="3680"/>
        <n v="920"/>
        <n v="508"/>
        <n v="3130"/>
        <n v="2654"/>
        <n v="3688"/>
        <n v="3848"/>
        <n v="8980"/>
        <n v="1839"/>
        <n v="4239"/>
        <n v="8229"/>
        <n v="2231.2"/>
        <n v="557.8"/>
        <n v="222"/>
        <n v="1500"/>
        <n v="4238"/>
        <n v="7490"/>
        <n v="854"/>
        <n v="5480"/>
        <n v="4128"/>
        <n v="1765"/>
        <n v="4725"/>
        <n v="2860"/>
        <n v="3687940.63"/>
        <m/>
      </sharedItems>
    </cacheField>
    <cacheField name="内部账号" numFmtId="0">
      <sharedItems containsString="0" containsBlank="1" containsNonDate="0" count="1">
        <m/>
      </sharedItems>
    </cacheField>
    <cacheField name="内部账户名称" numFmtId="0">
      <sharedItems containsString="0" containsBlank="1" containsNonDate="0" count="1">
        <m/>
      </sharedItems>
    </cacheField>
    <cacheField name="现金账号" numFmtId="0">
      <sharedItems containsString="0" containsBlank="1" containsNonDate="0" count="1">
        <m/>
      </sharedItems>
    </cacheField>
    <cacheField name="收款组织" numFmtId="0">
      <sharedItems containsBlank="1" count="2">
        <s v="杭州中冠电器有限公司"/>
        <m/>
      </sharedItems>
    </cacheField>
    <cacheField name="退款关联金额" numFmtId="0">
      <sharedItems containsString="0" containsBlank="1" containsNumber="1" minValue="0" maxValue="1488065.36" count="323">
        <n v="2855.15"/>
        <n v="503.85"/>
        <n v="2623.2"/>
        <n v="655.8"/>
        <n v="4799.2"/>
        <n v="1199.8"/>
        <n v="2686"/>
        <m/>
        <n v="2991.2"/>
        <n v="747.8"/>
        <n v="4399"/>
        <n v="4059"/>
        <n v="3599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4015.2"/>
        <n v="1003.8"/>
        <n v="5988"/>
        <n v="4351.15"/>
        <n v="767.85"/>
        <n v="3998"/>
        <n v="828"/>
        <n v="3869"/>
        <n v="1999"/>
        <n v="350"/>
        <n v="3395"/>
        <n v="3091"/>
        <n v="2863.2"/>
        <n v="715.8"/>
        <n v="79610"/>
        <n v="5667"/>
        <n v="4791"/>
        <n v="790"/>
        <n v="5872"/>
        <n v="3519.2"/>
        <n v="879.8"/>
        <n v="7270"/>
        <n v="2975"/>
        <n v="1240"/>
        <n v="310"/>
        <n v="6502"/>
        <n v="3414"/>
        <n v="808"/>
        <n v="6599.28"/>
        <n v="2911.2"/>
        <n v="727.8"/>
        <n v="1600"/>
        <n v="400"/>
        <n v="4124"/>
        <n v="3365"/>
        <n v="30"/>
        <n v="1488"/>
        <n v="3620"/>
        <n v="2445"/>
        <n v="6616"/>
        <n v="3900"/>
        <n v="2380"/>
        <n v="595"/>
        <n v="3280"/>
        <n v="22330"/>
        <n v="4344"/>
        <n v="4800"/>
        <n v="1968.2"/>
        <n v="3936.4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2608"/>
        <n v="188"/>
        <n v="4086"/>
        <n v="2972.8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3000"/>
        <n v="5100"/>
        <n v="3958"/>
        <n v="6440"/>
        <n v="1310"/>
        <n v="2240"/>
        <n v="560"/>
        <n v="5032.8"/>
        <n v="1258.2"/>
        <n v="4885.4"/>
        <n v="6744.4"/>
        <n v="4612.8"/>
        <n v="1153.2"/>
        <n v="3600"/>
        <n v="2789"/>
        <n v="1621"/>
        <n v="4078.4"/>
        <n v="1019.6"/>
        <n v="1560"/>
        <n v="390"/>
        <n v="2462.2"/>
        <n v="703.8"/>
        <n v="124.2"/>
        <n v="2950"/>
        <n v="2620"/>
        <n v="655"/>
        <n v="4847.2"/>
        <n v="1211.8"/>
        <n v="10972"/>
        <n v="800"/>
        <n v="3180"/>
        <n v="10124"/>
        <n v="6917.96"/>
        <n v="3679"/>
        <n v="1960"/>
        <n v="490"/>
        <n v="2715.2"/>
        <n v="678.8"/>
        <n v="890"/>
        <n v="479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2741"/>
        <n v="3500"/>
        <n v="750"/>
        <n v="2698"/>
        <n v="2800"/>
        <n v="3636"/>
        <n v="2558"/>
        <n v="1760"/>
        <n v="440"/>
        <n v="4638"/>
        <n v="4458"/>
        <n v="6981"/>
        <n v="1618"/>
        <n v="730"/>
        <n v="2745"/>
        <n v="9100"/>
        <n v="4249"/>
        <n v="6000"/>
        <n v="3200"/>
        <n v="295"/>
        <n v="1460"/>
        <n v="3360"/>
        <n v="791"/>
        <n v="1903.2"/>
        <n v="475.8"/>
        <n v="2196"/>
        <n v="549"/>
        <n v="5850"/>
        <n v="2100"/>
        <n v="2300"/>
        <n v="6052.76"/>
        <n v="3291"/>
        <n v="3244"/>
        <n v="811"/>
        <n v="1379"/>
        <n v="6291"/>
        <n v="618"/>
        <n v="6500"/>
        <n v="2597.6"/>
        <n v="649.4"/>
        <n v="3311.2"/>
        <n v="827.8"/>
        <n v="1196"/>
        <n v="5800"/>
        <n v="2481.7"/>
        <n v="4299"/>
        <n v="3838"/>
        <n v="2070"/>
        <n v="2360.8"/>
        <n v="590.2"/>
        <n v="3245"/>
        <n v="4639"/>
        <n v="5430.4"/>
        <n v="1357.6"/>
        <n v="2594"/>
        <n v="12768"/>
        <n v="8000"/>
        <n v="770"/>
        <n v="3136"/>
        <n v="3230"/>
        <n v="2984"/>
        <n v="2685.6"/>
        <n v="2788"/>
        <n v="5089.8"/>
        <n v="898.2"/>
        <n v="2079"/>
        <n v="2000.6"/>
        <n v="35360"/>
        <n v="3832.8"/>
        <n v="958.2"/>
        <n v="3369"/>
        <n v="5360"/>
        <n v="1340"/>
        <n v="2496"/>
        <n v="836"/>
        <n v="4000"/>
        <n v="351"/>
        <n v="3990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1800"/>
        <n v="450"/>
        <n v="14000"/>
        <n v="3128"/>
        <n v="3788"/>
        <n v="5880.8"/>
        <n v="1470.2"/>
        <n v="2986"/>
        <n v="3070"/>
        <n v="6800"/>
        <n v="1200"/>
        <n v="3888"/>
        <n v="3209.2"/>
        <n v="8055"/>
        <n v="3908"/>
        <n v="2856.8"/>
        <n v="714.2"/>
        <n v="2787.2"/>
        <n v="3261.7"/>
        <n v="2033.6"/>
        <n v="508.4"/>
        <n v="23400"/>
        <n v="2502"/>
        <n v="4160"/>
        <n v="1040"/>
        <n v="873"/>
        <n v="2680"/>
        <n v="670"/>
        <n v="4699"/>
        <n v="47"/>
        <n v="2813.2"/>
        <n v="2936.8"/>
        <n v="734.2"/>
        <n v="3311"/>
        <n v="3150"/>
        <n v="2576"/>
        <n v="6272"/>
        <n v="1840"/>
        <n v="460"/>
        <n v="3680"/>
        <n v="920"/>
        <n v="508"/>
        <n v="3130"/>
        <n v="2654"/>
        <n v="3688"/>
        <n v="3848"/>
        <n v="4239"/>
        <n v="8229"/>
        <n v="2231.2"/>
        <n v="557.8"/>
        <n v="222"/>
        <n v="1500"/>
        <n v="4238"/>
        <n v="854"/>
        <n v="5480"/>
        <n v="4128"/>
        <n v="1765"/>
        <n v="4725"/>
        <n v="1488065.36"/>
      </sharedItems>
    </cacheField>
    <cacheField name="保证金转货款金额" numFmtId="0">
      <sharedItems containsString="0" containsBlank="1" containsNonDate="0" count="1">
        <m/>
      </sharedItems>
    </cacheField>
    <cacheField name="结算币别" numFmtId="0">
      <sharedItems containsBlank="1" count="2">
        <s v="人民币"/>
        <m/>
      </sharedItems>
    </cacheField>
    <cacheField name="B2C业务" numFmtId="0">
      <sharedItems containsBlank="1" count="2">
        <s v="否"/>
        <m/>
      </sharedItems>
    </cacheField>
    <cacheField name="登账日期" numFmtId="0">
      <sharedItems containsBlank="1" count="32">
        <s v="2025/10/9"/>
        <s v="2025/10/1"/>
        <s v="2025/10/2"/>
        <s v="2025/10/3"/>
        <s v="2025/10/4"/>
        <s v="2025/10/5"/>
        <s v="2025/10/6"/>
        <s v="2025/10/7"/>
        <s v="2025/10/8"/>
        <s v="2025/10/10"/>
        <s v="2025/10/11"/>
        <s v="2025/10/13"/>
        <s v="2025/10/12"/>
        <s v="2025/10/14"/>
        <s v="2025/10/15"/>
        <s v="2025/10/16"/>
        <s v="2025/10/17"/>
        <s v="2025/10/20"/>
        <s v="2025/10/18"/>
        <s v="2025/10/19"/>
        <s v="2025/10/21"/>
        <s v="2025/10/22"/>
        <s v="2025/10/23"/>
        <s v="2025/10/24"/>
        <s v="2025/10/25"/>
        <s v="2025/10/26"/>
        <s v="2025/10/27"/>
        <s v="2025/10/28"/>
        <s v="2025/10/29"/>
        <s v="2025/10/30"/>
        <s v="2025/10/31"/>
        <m/>
      </sharedItems>
    </cacheField>
    <cacheField name="是否登账" numFmtId="0">
      <sharedItems containsBlank="1" count="2">
        <s v="是"/>
        <m/>
      </sharedItems>
    </cacheField>
    <cacheField name="物料编码" numFmtId="0">
      <sharedItems containsBlank="1" count="104">
        <s v="RQRS.00006"/>
        <s v="DRSQ.00060"/>
        <s v="SXX(G.00003"/>
        <m/>
        <s v="DR.00103"/>
        <s v="DRSQ.00070"/>
        <s v="DRSQ.00026"/>
        <s v="RQRS.00050"/>
        <s v="DRSQ.00039"/>
        <s v="YSJ.00056"/>
        <s v="DRSQ.00027"/>
        <s v="DRSQ.00067"/>
        <s v="YSJ.00042"/>
        <s v="RQRS.00009"/>
        <s v="YSJ.00013"/>
        <s v="YSJ.00040"/>
        <s v="YYJ.00008"/>
        <s v="RQRS.00010"/>
        <s v="RQRS.00002"/>
        <s v="DR.00133"/>
        <s v="DR.00184"/>
        <s v="JS.00037"/>
        <s v="DR.00104"/>
        <s v="DRSQ.00061"/>
        <s v="JS.09.00010"/>
        <s v="DR.00011-1"/>
        <s v="YSJ.00030"/>
        <s v="YSJ.00014"/>
        <s v="RR.00026"/>
        <s v="DRSQ.00052"/>
        <s v="DR.00180"/>
        <s v="YSJ.00003"/>
        <s v="DR.00033"/>
        <s v="DR.00134"/>
        <s v="DRSQ.00058"/>
        <s v="RQRS.00030"/>
        <s v="JSQZ.00001"/>
        <s v="YSJ.00048"/>
        <s v="DR.00181"/>
        <s v="DRSQ.00064"/>
        <s v="BGL.0.00384"/>
        <s v="JS.09.00028"/>
        <s v="DRSQ.00042"/>
        <s v="DR.00085"/>
        <s v="YSJ.00021"/>
        <s v="WF.00003"/>
        <s v="JSRSJ.00003"/>
        <s v="CMKCG0006"/>
        <s v="YTRB.00007"/>
        <s v="RQRS.00003"/>
        <s v="JS.01.00019"/>
        <s v="JS.09.00032"/>
        <s v="KX.00003"/>
        <s v="RQZ.00001"/>
        <s v="KX.00010"/>
        <s v="RQBGL.00009"/>
        <s v="YYJ.00011"/>
        <s v="RQRS.00015"/>
        <s v="YSJ.00034"/>
        <s v="RQRS.00048"/>
        <s v="DR.00183"/>
        <s v="DRSQ.00033"/>
        <s v="YYJ.00014"/>
        <s v="DRSQ.00066"/>
        <s v="RQRS.00024"/>
        <s v="RQ.00007"/>
        <s v="DS.00224"/>
        <s v="RQRS.00017"/>
        <s v="DR.01.00001"/>
        <s v="DR.00084"/>
        <s v="DR.00115"/>
        <s v="DR.00182"/>
        <s v="RQRS.00031"/>
        <s v="RR.01.00004"/>
        <s v="RQRS.00023"/>
        <s v="KFJ.00001"/>
        <s v="RQRS.00046"/>
        <s v="RQZ.00005"/>
        <s v="DR.00107"/>
        <s v="YSJ.00050"/>
        <s v="YJ.00847"/>
        <s v="DS.00147"/>
        <s v="YSJ.00009"/>
        <s v="RQRS.00053"/>
        <s v="DR.00128"/>
        <s v="YYJ.00021"/>
        <s v="DRSQ.00063"/>
        <s v="LDFT.00006"/>
        <s v="DR.00151"/>
        <s v="RQZ.00006"/>
        <s v="DS.00225"/>
        <s v="RR.01.00003"/>
        <s v="XPL.00019"/>
        <s v="YSJ.00031"/>
        <s v="DR.00034"/>
        <s v="DRSQ.00036"/>
        <s v="JSRSJ.00001"/>
        <s v="RR.01.00012"/>
        <s v="RQRS.00054"/>
        <s v="JSQS.00011"/>
        <s v="RQRS.00043"/>
        <s v="DRSQ.00071"/>
        <s v="YSJ.00024"/>
        <s v="XWJ.00001"/>
      </sharedItems>
    </cacheField>
    <cacheField name="物料名称" numFmtId="0">
      <sharedItems containsBlank="1" count="104">
        <s v="JSQ31-CLD燃气快速热水器"/>
        <s v="CEWH-60D5Wi储水式热水器"/>
        <s v="洗衣机XQG100-XE0WI"/>
        <m/>
        <s v="EWH-60DA储水式电热水器"/>
        <s v="CEWH-60D1BWi储水式热水器"/>
        <s v="  EWH-60HGCWi薄型电热水器  "/>
        <s v="JSW31-VOSWi燃气热水器（含排烟组件总成403879-079）"/>
        <s v="CEWH-100KWi电热水器"/>
        <s v="APM-HC1 管线机"/>
        <s v=" EWH-80HGCWi薄型电热水器"/>
        <s v="CEWH-60D1Wi储水电热水器"/>
        <s v="R1700FWi饮水机"/>
        <s v="JSQ31-CSCAi燃气快速热水器通用"/>
        <s v="DR1800HF2Ai反渗透净水机"/>
        <s v="R2000FWi饮水机"/>
        <s v="CXW-200-Q3AWi易清洁顶侧双吸油烟机"/>
        <s v="JSQ31-VJSAi燃气快速热水器（传统面板）"/>
        <s v="JSQ31-LN燃气热水器"/>
        <s v="EWH-6B2储水式电热水器"/>
        <s v="CTE-80J1佳尼特电热水器   "/>
        <s v="PF25C1前置过滤器"/>
        <s v="EWH-80DA储水式电热水器"/>
        <s v="CEWH-60D5BWi储水式热水器"/>
        <s v="BZR100-A2111"/>
        <s v="EWH-40MINIwi储水式电热水器"/>
        <s v="R1600DWWi净水机 "/>
        <s v="DR1600HF2Ai反渗透净水机 "/>
        <s v="JSQ33-MJSX燃气热水器"/>
        <s v="CEWH-60D3BWi壁挂电热水器多功率"/>
        <s v="CTE-60E1佳尼特电热水器   "/>
        <s v=" DR2000HF2反渗透净水机 "/>
        <s v="EESR-20C8储水式电热水器"/>
        <s v="EWH-10B2储水式电热水器2000W"/>
        <s v="CEWH-60WKBWi壁挂电热水器"/>
        <s v="JSQ31-CSCWI燃气快速热水器"/>
        <s v="PF-DA1前置过滤器"/>
        <s v="DR1800SWi型直饮水机"/>
        <s v="CTE-80E1佳尼特电热水器   "/>
        <s v="CEWH-60D3Wi储水式热水器"/>
        <s v="L1PB26-V3燃气采暖热水炉（配烟管5520220）"/>
        <s v="CCR800-1(L)年服务卡"/>
        <s v="CEWHR-50PEWi储水电热水器"/>
        <s v="CEWH-60R1S-3热水器"/>
        <s v="DR2000DC1型反渗透净水机"/>
        <s v="材料总额（采暖临时用）"/>
        <s v="S12G1中央软水机"/>
        <s v="JSQ31-ESCAi 燃气热水器"/>
        <s v="HPI-40D1.0B热泵电热水器一级能效超静音整体热泵"/>
        <s v="JSQ31-MN5燃气热水器"/>
        <s v="DR2000HF1型反渗透净水机AO成品"/>
        <s v="BTR800-EH30B年服务卡"/>
        <s v="KZQ45-M1Wi蒸烤一体烤箱"/>
        <s v="JZT-F3B1S燃气灶通用地区"/>
        <s v="KZQ45-M5NWi烤箱"/>
        <s v="LL1GBQ33-E10壁挂炉（配烟管403315-021）"/>
        <s v="CXW-350-Q2CWi 顶侧双吸油烟机"/>
        <s v="JSQ31-VJSAi(玻璃面板) 燃气快速热水器"/>
        <s v="R1400F型净水机"/>
        <s v="JSLQ28-AJEWi燃气热水器"/>
        <s v="CTE-60J1佳尼特电热水器  "/>
        <s v="CEWHR-60PEWi储水电热水器"/>
        <s v=" CXW-200-S5AWi（含风机箱409639-074，共两件）油烟机 "/>
        <s v="CEWH-80D3Wi储水式热水器"/>
        <s v="JSQ48-MJSWi燃气快速热水器"/>
        <s v="EMGP-50C燃气容积热水器（含风机附件箱，共两件）"/>
        <s v="E60VDS储水式电热水器"/>
        <s v="JSQ26-ESCAi 燃气快速热水器通用防冻"/>
        <s v="CEWH-60BS-B储水电热水器"/>
        <s v="CEWH-50R1S-3热水器"/>
        <s v="CEWH-80A0储水式电热水器"/>
        <s v="CTE-50J1佳尼特电热水器   "/>
        <s v="JSQ31-QJSAi燃气快速热水器通用"/>
        <s v="JSQ26-CLAX燃气快速热水器通用"/>
        <s v="JSQ40-MJSWi燃气快速热水器"/>
        <s v="CWT-EP-C01咖啡机"/>
        <s v="JSLQ28-ACEWi 燃气热水器"/>
        <s v="JZT-V2B2S史密斯 灶具"/>
        <s v="EWH-50DA储水式电热水器"/>
        <s v="R1800SWi型直饮水机"/>
        <s v="JSW31-VOSWi燃气热水器（样机含排烟组件 403879-079）"/>
        <s v="AEH-80热泵热水器"/>
        <s v="R2000RC9型反渗透净水机AO家用净水 "/>
        <s v="JSQ31-CLB燃气快速热水器"/>
        <s v="EWH-10A2储水式电热水器"/>
        <s v="CXW-400-Z3AWI（409639-174/ 409639-180 两件)油烟机"/>
        <s v="CEWH-50D3Wi储水式热水器"/>
        <s v="HPA-80E1.5ZWi分体热泵（含室外机500617-441 /500630-157）"/>
        <s v="EES-50D容积电热水器"/>
        <s v="JZT-F5B1燃气灶"/>
        <s v="E80VDS储水式电热水器"/>
        <s v="JSQ31-CLAX燃气快速热水器通用"/>
        <s v="HWM-18F水暖床垫"/>
        <s v=" R2000DWWi净水机"/>
        <s v="EESR-25C8储水式电热水器"/>
        <s v="CEWHR-80PEWi储水电热水器"/>
        <s v="S12K1型中央软水机AO软水"/>
        <s v="燃气快速热水器JSQ31-RJS（带附件PJ-2506/PJ-2520）"/>
        <s v="JSQ31-FSCWi燃气快速热水器"/>
        <s v="BZR100-A3103反渗透净水机"/>
        <s v="JSQ31-WACWi燃气快速热水器通用防冻"/>
        <s v="CEWH-80D1Wi储水式热水器"/>
        <s v="R2500AB1Ai净水机 "/>
        <s v="DWQ15-R3Wi洗碗机 "/>
      </sharedItems>
    </cacheField>
    <cacheField name="销售订单号" numFmtId="0">
      <sharedItems containsBlank="1" count="362">
        <s v="A20250920001308C"/>
        <s v="A20250930000866"/>
        <s v="A20250930000811"/>
        <s v="A20250930003028"/>
        <m/>
        <s v="A20251001004169"/>
        <s v="A20251001004530"/>
        <s v="A20251001008995"/>
        <s v="A20251001006320"/>
        <s v="A20251002000780"/>
        <s v="A20251002000984"/>
        <s v="A20251002002898"/>
        <s v="A20251003000652"/>
        <s v="A20250919005149C"/>
        <s v="A20251003001834"/>
        <s v="A20251003000910"/>
        <s v="A20251002000983"/>
        <s v="XSDD251003011"/>
        <s v="A20251003000556"/>
        <s v="A20251004001163"/>
        <s v="A20251004000621"/>
        <s v="A20251005000961"/>
        <s v="A20251005003831"/>
        <s v="A20251004002463"/>
        <s v="A20251005000626"/>
        <s v="A20251005001561"/>
        <s v="A20251005003812"/>
        <s v="A20251004001948"/>
        <s v="A20251003003449"/>
        <s v="A20251003003447"/>
        <s v="A20251006000832"/>
        <s v="A20251006003074"/>
        <s v="A20251006003379"/>
        <s v="A20250926001718C"/>
        <s v="XSDD251007001"/>
        <s v="A20251007001009"/>
        <s v="A20251007001686"/>
        <s v="A20251006003903"/>
        <s v="A20251004001971"/>
        <s v="A20251005004370"/>
        <s v="A20251007002192"/>
        <s v="A20251006002215"/>
        <s v="A20251007004776"/>
        <s v="A20251007001437"/>
        <s v="A20251007004065"/>
        <s v="A20251008000107"/>
        <s v="A20251008000133"/>
        <s v="XSDD251008006"/>
        <s v="A20251005001725"/>
        <s v="A20251008002003"/>
        <s v="A20251003001834C"/>
        <s v="A20251007006753"/>
        <s v="A20251007004076"/>
        <s v="A20251008001468"/>
        <s v="A20251008002627"/>
        <s v="A20251008004085"/>
        <s v="A20251008005455"/>
        <s v="A20251008007609"/>
        <s v="A20251008004683"/>
        <s v="A20251009000550"/>
        <s v="A20251009002342"/>
        <s v="A20251009001800"/>
        <s v="A20251009001509"/>
        <s v="A20251009002958"/>
        <s v="XSDD250909002C"/>
        <s v="A20251009003526"/>
        <s v="XSDD251009048"/>
        <s v="XSDD251010026"/>
        <s v="XSDD251010025"/>
        <s v="A20251010005671"/>
        <s v="A20251011000639"/>
        <s v="XSDD251011006"/>
        <s v="XSDD251011008"/>
        <s v="A20251011001661"/>
        <s v="A20251011000733"/>
        <s v="XSDD251011005"/>
        <s v="XSDD251011014"/>
        <s v="A20251010003644"/>
        <s v="A20251011001097"/>
        <s v="A20251012001866"/>
        <s v="A20251012001676"/>
        <s v="A20251013000424"/>
        <s v="A20251010006006"/>
        <s v="A20251012001647"/>
        <s v="A20251013000973"/>
        <s v="A20251013000458"/>
        <s v="A20251012004811"/>
        <s v="A20251013001594"/>
        <s v="XSDD251013010"/>
        <s v="A20251012005268"/>
        <s v="A20251012005314"/>
        <s v="XSDD251013019"/>
        <s v="A20251010007089"/>
        <s v="A20251012005144"/>
        <s v="A20251013002496"/>
        <s v="A20251013002814"/>
        <s v="A20251013000313"/>
        <s v="A20251012002796"/>
        <s v="A20251013000974"/>
        <s v="A20251014000643"/>
        <s v="A20251014001237"/>
        <s v="A20251014000230"/>
        <s v="A20251014001551"/>
        <s v="A20251001004530C"/>
        <s v="A20251014001545"/>
        <s v="XSDD251014020"/>
        <s v="XSDD251014018"/>
        <s v="A20251011004155"/>
        <s v="A20251014002592"/>
        <s v="A20251014000675"/>
        <s v="A20251014002571"/>
        <s v="A20250720003712C"/>
        <s v="A20250812003509C"/>
        <s v="XSDD251015002"/>
        <s v="A20251014004402"/>
        <s v="20251015000059"/>
        <s v="A20251013001055"/>
        <s v="A20251015001043"/>
        <s v="A20251009000765"/>
        <s v="A20251015004548"/>
        <s v="A20251015006869"/>
        <s v="XSDD251015031"/>
        <s v="A20251015001475"/>
        <s v="XSDD251016017"/>
        <s v="A20251016001974"/>
        <s v="A20251016003020"/>
        <s v="A20250712005748C"/>
        <s v="A20251016002550"/>
        <s v="XSDD251016014"/>
        <s v="A20251016003587"/>
        <s v="A20251015004649"/>
        <s v="A20251016004214"/>
        <s v="A20251016005271"/>
        <s v="A20251017002013"/>
        <s v="A20251017001720"/>
        <s v="A20251017002166"/>
        <s v="A20251017001883"/>
        <s v="XSDD250819010C"/>
        <s v="XSDD250819010D"/>
        <s v="A20251017002871"/>
        <s v="XSDD251017013"/>
        <s v="XSDD251017019"/>
        <s v="XSDD251017015"/>
        <s v="A20251017003786"/>
        <s v="A20250719001685C"/>
        <s v="A20251017004444"/>
        <s v="A20251018001071"/>
        <s v="A20251018001172"/>
        <s v="A20251018001165"/>
        <s v="A20251018001476"/>
        <s v="A20251018001800"/>
        <s v="A20251018002295"/>
        <s v="A20251018002782"/>
        <s v="A20251018002824"/>
        <s v="A20251018002875"/>
        <s v="A20251019000697"/>
        <s v="A20250819001432C"/>
        <s v="A20251019001780"/>
        <s v="A20251019001740"/>
        <s v="A20251018005628"/>
        <s v="A20251019003320"/>
        <s v="A20251020000295"/>
        <s v="A20251018000420"/>
        <s v="A20251013000189"/>
        <s v="A20251019003326"/>
        <s v="A20251020000460"/>
        <s v="A20251019003525"/>
        <s v="XSDD251020008"/>
        <s v="A20251020000109"/>
        <s v="A20251020001458"/>
        <s v="A20250802002197C"/>
        <s v="A20251020001383"/>
        <s v="A20251020001942"/>
        <s v="A20251020002298"/>
        <s v="XSDD251020019"/>
        <s v="A20251020002353"/>
        <s v="XSDD251020024"/>
        <s v="A20251020003506"/>
        <s v="A20251020003601"/>
        <s v="A20251021002402"/>
        <s v="A20251021003315"/>
        <s v="A20251021001704"/>
        <s v="A20251021003040"/>
        <s v="A20250710003461C"/>
        <s v="A20251021003832"/>
        <s v="XSDD251021012"/>
        <s v="A20251021002386"/>
        <s v="A20251021005203"/>
        <s v="A20251021005683"/>
        <s v="A20251022001934"/>
        <s v="A20251022001992"/>
        <s v="A20251021005303"/>
        <s v="A20251021004770"/>
        <s v="XSDD251022011"/>
        <s v="XSDD251022017"/>
        <s v="A20251021007440"/>
        <s v="A20251022002368"/>
        <s v="A20251022001170"/>
        <s v="A20251022001820"/>
        <s v="XSDD251022018"/>
        <s v="A20251021006855"/>
        <s v="A20251022001997"/>
        <s v="A20251022002369"/>
        <s v="XSDD251022030"/>
        <s v="A20251022001936"/>
        <s v="A20251022001398"/>
        <s v="A20251022002063"/>
        <s v="A20250717001898C"/>
        <s v="A20251023001176"/>
        <s v="A20251023001265"/>
        <s v="A20251023001264"/>
        <s v="A20251023001796"/>
        <s v="A20251023001838"/>
        <s v="XSDD251023015"/>
        <s v="A20251022004134"/>
        <s v="A20251023001954"/>
        <s v="XSDD251023017"/>
        <s v="A20251023003144"/>
        <s v="A20251023001702"/>
        <s v="A20251023001699"/>
        <s v="A20251023002682"/>
        <s v="A20250705000781C"/>
        <s v="A20251023006848"/>
        <s v="XSDD251009050"/>
        <s v="A20251024001610"/>
        <s v="A20250830001277C"/>
        <s v="A20251024004008"/>
        <s v="XSDD251024019"/>
        <s v="XSDD251024021"/>
        <s v="XSDD251024020"/>
        <s v="XSDD251024015"/>
        <s v="A20251024005235"/>
        <s v="A20251024004339"/>
        <s v="A20251024006417"/>
        <s v="A20251025001579"/>
        <s v="A20051025002418"/>
        <s v="A20251025002496"/>
        <s v="A20251025002318"/>
        <s v="A20251025003123"/>
        <s v="A20251025002463"/>
        <s v="A20251025002487"/>
        <s v="A20251025002531"/>
        <s v="A20251025002627"/>
        <s v="A20250803001634C"/>
        <s v="A20251024004011"/>
        <s v="A20251025004989"/>
        <s v="A20251025005260"/>
        <s v="A20251025004988"/>
        <s v="A20251025004987"/>
        <s v="XSDD251025018"/>
        <s v="XSDD251025017"/>
        <s v="A20251024004798"/>
        <s v="A20251026001077"/>
        <s v="A20251026001165"/>
        <s v="A20251026001008"/>
        <s v="A20251026001204"/>
        <s v="A20251025006127"/>
        <s v="A20251026000929"/>
        <s v="A20251025006186"/>
        <s v="A20251026001509"/>
        <s v="A20251026001513"/>
        <s v="A20251026001230"/>
        <s v="A2025102600860"/>
        <s v="XSDD251026004"/>
        <s v="A20251026001965"/>
        <s v="XSDD251026005"/>
        <s v="A20251026003004"/>
        <s v="A20251026001084"/>
        <s v="A20251026004812"/>
        <s v="A20251026003114"/>
        <s v="A20251026004927"/>
        <s v="A20250912002829C"/>
        <s v="A20251026003656"/>
        <s v="A20251026003658"/>
        <s v="A20251026008685"/>
        <s v="A20251026001318"/>
        <s v="A20251026005103"/>
        <s v="A20251026006321"/>
        <s v="A20251026004463"/>
        <s v="A20251026004787"/>
        <s v="A20251027002358"/>
        <s v="A20251026007212"/>
        <s v="A20251027001128"/>
        <s v="A20251026007109"/>
        <s v="XSDD251027018"/>
        <s v="A20251027000813"/>
        <s v="A20251026006371"/>
        <s v="A20251027000720"/>
        <s v="A20251026007091"/>
        <s v="A20251027002941"/>
        <s v="A20251026006427"/>
        <s v="A20251027003694"/>
        <s v="A20251027003631"/>
        <s v="A20251027004035"/>
        <s v="A20251027003665"/>
        <s v="A20250923000771C"/>
        <s v="A20251027003636"/>
        <s v="A20251027004349"/>
        <s v="A20251028001642"/>
        <s v="A20251028002150"/>
        <s v="A20251028001961"/>
        <s v="XSDD251028009"/>
        <s v="20251027005412"/>
        <s v="A20251028001483"/>
        <s v="A20251028001446"/>
        <s v="A20251028003302"/>
        <s v="XSDD251028019"/>
        <s v="XSDD251028018"/>
        <s v="XSDD251028017"/>
        <s v="XSDD251028016"/>
        <s v="A20250812004461C"/>
        <s v="A20250718002949C"/>
        <s v="XSDD251028013"/>
        <s v="A20251027005351"/>
        <s v="A20251027005308"/>
        <s v="XSDD251027044"/>
        <s v="XSDD251027041"/>
        <s v="A20251028004580"/>
        <s v="XSDD251028026"/>
        <s v="A20251029001230"/>
        <s v="A20251029004714"/>
        <s v="A20251029004944"/>
        <s v="A20251029006445"/>
        <s v="A20251029004961"/>
        <s v="XSDD251030006"/>
        <s v="XSDD251030005"/>
        <s v="A20251030001720"/>
        <s v="A20251030000210"/>
        <s v="A20251030001942"/>
        <s v="A20251030000434"/>
        <s v="A20251030000497"/>
        <s v="A20251030000688"/>
        <s v="XSDD251030007"/>
        <s v="A20251030003039"/>
        <s v="A20251029003723"/>
        <s v="A20251030003078"/>
        <s v="A20251030002495"/>
        <s v="XSDD251030013"/>
        <s v="A20251030003703"/>
        <s v="A20251030002948"/>
        <s v="A20251030000196"/>
        <s v="A20251031001393"/>
        <s v="A20251030001941"/>
        <s v="XSDD251031007"/>
        <s v="A20251031002854"/>
        <s v="A20251024004008C"/>
        <s v="A20251024004011C"/>
        <s v="A20251031002431"/>
        <s v="A20250828003104C"/>
        <s v="A20251031002265"/>
        <s v="A20251031003624"/>
        <s v="XSDD251031028"/>
        <s v="XSDD251031011"/>
        <s v="XSDD251031017"/>
        <s v="XSDD251031031"/>
        <s v="A20251031005213"/>
        <s v="A20251031005183"/>
        <s v="A20251031005142"/>
        <s v="A20251031005083"/>
        <s v="A20251101002549"/>
        <s v="A20251101002603"/>
        <s v="A20251103001996"/>
      </sharedItems>
    </cacheField>
    <cacheField name="订单行号" numFmtId="0">
      <sharedItems containsString="0" containsBlank="1" containsNumber="1" containsInteger="1" minValue="0" maxValue="4" count="5">
        <n v="1"/>
        <m/>
        <n v="2"/>
        <n v="3"/>
        <n v="4"/>
      </sharedItems>
    </cacheField>
    <cacheField name="是否转销" numFmtId="0">
      <sharedItems containsBlank="1" count="2">
        <s v="否"/>
        <m/>
      </sharedItems>
    </cacheField>
    <cacheField name="核销方式" numFmtId="0">
      <sharedItems containsString="0" containsBlank="1" containsNonDate="0" count="1">
        <m/>
      </sharedItems>
    </cacheField>
    <cacheField name="扫描点" numFmtId="0">
      <sharedItems containsString="0" containsBlank="1" containsNonDate="0" count="1">
        <m/>
      </sharedItems>
    </cacheField>
    <cacheField name="备注2" numFmtId="0">
      <sharedItems containsBlank="1" count="468">
        <s v="9.30刷卡3359元（2855.15+补贴503.85元）【用户姓名:廖永芳；用户手机:13777883190；其他号码: 】"/>
        <s v="9.30刷卡3279元（2623.2元+补贴655.8元）【用户姓名：吴璐瑶】【用户姓名:吴璐瑶；用户手机:18757218931；其他号码: 】"/>
        <s v="9.30刷卡5999元（4799.2元+补贴1199.8元）【用户姓名：田昆明】【用户姓名:田昆明；用户手机:13958183811；其他号码: 】"/>
        <s v="9.30刷卡3359元（2855.15+补贴503.85元）【用户姓名:王静涵；用户手机:15990178595；其他号码: 】"/>
        <s v="2025年10月1日中信银行收款【用户姓名:2025年10月结算(换新1-4）；用户手机: ；其他号码: 】"/>
        <m/>
        <s v="10.1刷卡3739元(2991.2元+补贴747.8元）【用户姓名：钱江】【用户姓名:钱江；用户手机:15381018947；其他号码: 】"/>
        <s v="10.1刷卡2800元(2240元+补贴560元）【用户姓名：洪二香】【用户姓名:洪二香；用户手机:13738157701；其他号码: 】"/>
        <s v="10.1号王旭支付宝转账4399元【用户姓名:王旭；用户手机:15157146987；其他号码: 】"/>
        <s v="10.1号扫码支付4059【用户姓名:诸葛伟；用户手机:15258992858；其他号码: 】"/>
        <s v="10.2扫码支付3599【用户姓名:林爱花；用户手机:13857981322；其他号码: 】"/>
        <s v="10.2金华建行2360【用户姓名:郑星；用户手机: ；其他号码: 】"/>
        <s v="10.2支付宝2071元【用户姓名:张艳佳；用户手机:18357002327；其他号码: 】"/>
        <s v="10.2支付宝3439元【用户姓名:吴苏萍；用户手机:13666640691；其他号码: 】"/>
        <s v="10.2扫码付3439元【用户姓名:吴苏萍；用户手机:13666640691；其他号码: 】"/>
        <s v="10.2支付宝5220元【用户姓名:郑笑平；用户手机:13575840935；其他号码: 】"/>
        <s v="10.1刷卡3076元（2460.8+补贴615.20元）【用户姓名:李冬梅；用户手机:13705719928；其他号码: 】"/>
        <s v="10.3支付宝转账3639元（用户名 王旭东）【用户姓名:王旭东；用户手机:13750837396；其他号码: 】"/>
        <s v="10.3支付宝2591元【用户姓名:金丽敏；用户手机:13335710581；其他号码: 】"/>
        <s v="10.2刷卡3636元（2908.8+补贴727.20元）【用户姓名:张艳佳；用户手机:18357002327；其他号码: 】"/>
        <s v="10.3转账4481元【用户姓名:湖州中太芯猫科技有限公司；用户手机:1315725269；其他号码: 】"/>
        <s v="10.3支付宝6365元【用户姓名:陈海军；用户手机:13616539181；其他号码: 】"/>
        <s v="10.3刷卡4647元(3717.6元+补贴929.4元）（用户名 刘利）【用户姓名:刘利；用户手机:15268117016；其他号码: 】"/>
        <s v="10.4扫码转支付宝5000元【用户姓名:徐广东；用户手机:13683762291；其他号码: 】"/>
        <s v="2025年10月2日中信银行收款【用户姓名:2025年10月结算(换新5-10）；用户手机: ；其他号码: 】"/>
        <s v="2025年10月3日中信银行收款【用户姓名:2025年10月结算(换新11-16）；用户手机: ；其他号码: 】"/>
        <s v="2025年10月4日中信银行收款【用户姓名:2025年10月结算(换新17-24）；用户手机: ；其他号码: 】"/>
        <s v="2025年10月5日中信银行收款【用户姓名:2025年10月结算(换新25-31）；用户手机: ；其他号码: 】"/>
        <s v="2025年10月6日中信银行收款【用户姓名:2025年10月结算(换新32-34）；用户手机: ；其他号码: 】"/>
        <s v="10.4刷卡5019元(4015.2元+补贴1003.8元）（用户名 冯泽英）【用户姓名:冯泽英；用户手机:13094805606；其他号码: 】"/>
        <s v="10.5支付宝转账5988元【用户姓名:陈垚明；用户手机:1869000650；其他号码: 】"/>
        <s v="10.4刷卡5119元（4351.15+补贴767.85元）【用户姓名:李蒙；用户手机:18626892539；其他号码: 】"/>
        <s v="10.5支付宝3998元【用户姓名:高骏；用户手机:13335711339；其他号码: 】"/>
        <s v="10.5支付宝828元【用户姓名:王永林；用户手机:18968906210；其他号码: 】"/>
        <s v="10.5支付宝3869元【用户姓名:周国成；用户手机:15805710535；其他号码: 】"/>
        <s v="10.6转账35000元【用户姓名: ；用户手机: ；其他号码: 】"/>
        <s v="10.3支付宝1999元【用户姓名:姜文东；用户手机:13857108921；其他号码: 】"/>
        <s v="10.3支付宝350元【用户姓名:曾城洲；用户手机:18988475722；其他号码: 】"/>
        <s v="10.3支付宝3395元【用户姓名:曾城洲；用户手机:18988475722；其他号码: 】"/>
        <s v="10.6支付宝3395元【用户姓名:何志鹏；用户手机:15868169479；其他号码: 】"/>
        <s v="10.6支付宝3998【用户姓名:叶成光；用户手机:13867460339；其他号码: 】"/>
        <s v="10.6支付宝3091元【用户姓名:吕祝平；用户手机:13306810636；其他号码: 】"/>
        <s v="10.5刷卡3579元（2863.2元+补贴715.8元）【用户姓名:吴健；用户手机:18668139761；其他号码: 】"/>
        <s v="10.7转账4590元【用户姓名: ；用户手机: ；其他号码: 】"/>
        <s v="2025年10月7日中信银行收款【用户姓名:2025年10月结算(换新35-38）；用户手机: ；其他号码: 】"/>
        <s v="2025年10月8日中信银行收款【用户姓名:2025年10月结算(换新39）；用户手机: ；其他号码: 】"/>
        <s v="10.7转账1397.60元【用户姓名:祝振权；用户手机: ；其他号码: 】"/>
        <s v="10.6转账79610元【用户姓名:浙江本越环保科技有限公司；用户手机:18815151934；其他号码: 】"/>
        <s v="10.7支付宝5667元【用户姓名:周红燕；用户手机:13858079575；其他号码: 】"/>
        <s v="10.7支付宝转账4791元【用户姓名:项延杰；用户手机:15561836777；其他号码: 】"/>
        <s v="10.6支付宝转账790元（用户名 陈金才）【用户姓名:陈金才；用户手机:15088600687；其他号码: 】"/>
        <s v="10.3扫码付5872元【用户姓名:周海英；用户手机:15888840126；其他号码: 】"/>
        <s v="10.5扫码付5872元【用户姓名:马遇伯；用户手机:15267076317；其他号码: 】"/>
        <s v="2025.10.7杭州中信8362【用户姓名:义乌颖亿贸易有限公司；用户手机: ；其他号码: 】"/>
        <s v="10. 6刷卡4399元(3519.2元+补贴879.8元）（用户名 陆思岚）【用户姓名:陆思岚；用户手机:13606562973；其他号码: 】"/>
        <s v="10.6扫码付7270元【用户姓名:杨利月；用户手机:13275120002；其他号码: 】"/>
        <s v="2025.10.07支付宝支付2975【用户姓名:章亦华；用户手机:13362868111；其他号码: 】"/>
        <s v="10.2刷卡1550元（1240+补贴310元）【用户姓名:章浩军；用户手机:15658113566；其他号码: 】"/>
        <s v="10.7支付宝6502元【用户姓名:于洋；用户手机:13588412880；其他号码: 】"/>
        <s v="10.7扫码付3414元【用户姓名:杨逸；用户手机:18658186665；其他号码: 】"/>
        <s v="10.7转账808元【用户姓名:杭州霏铭商贸有限公司；用户手机:15157180122；其他号码: 】"/>
        <s v="10.8转账6599.28元【用户姓名:宁波得金智慧科技有限公司；用户手机:15056822913；其他号码: 】"/>
        <s v="10.8转账10000元【用户姓名: ；用户手机: ；其他号码: 】"/>
        <s v="10.5支付宝3439元【用户姓名:何伟建；用户手机:13805713570；其他号码: 】"/>
        <s v="10. 7刷卡3739元(2991.2元+补贴747.8元）（用户名 邵之介）【用户姓名:邵之介；用户手机:18857141922；其他号码: 】"/>
        <s v="10.8刷卡3639元（2911.2元+补贴727.8元）【用户姓名:王旭东；用户手机:13750837396；其他号码: 】"/>
        <s v="10.7刷卡2000元(1600元+补贴400元）（用户名 方海云）【用户姓名:方海云；用户手机:15224068217；其他号码: 】"/>
        <s v="10.7支付宝4124元【用户姓名:于洋；用户手机:13588412880；其他号码: 】"/>
        <s v="10.8支付宝3395元【用户姓名:洪员清；用户手机:13958689012；其他号码: 】"/>
        <s v="10.8支付宝3365元【用户姓名:章宽友；用户手机:13989837661；其他号码: 】"/>
        <s v="10.8支付宝30元【用户姓名:章宽友；用户手机:13989837661；其他号码: 】"/>
        <s v="2025年10月8日杭州中信73131【用户姓名:浙江普农家电有限公司；用户手机: ；其他号码: 】"/>
        <s v="10.8转账3000元【用户姓名: ；用户手机: ；其他号码: 】"/>
        <s v="2025.10.8支付宝付款1488【用户姓名:徐昭；用户手机:18858117800；其他号码: 】"/>
        <s v="10.8号扫码支付3620【用户姓名:王清湄；用户手机:18266949630；其他号码: 】"/>
        <s v="10.8支付宝2445元【用户姓名:柴青；用户手机:13738060068；其他号码: 】"/>
        <s v="10.9转账5000元【用户姓名: ；用户手机: ；其他号码: 】"/>
        <s v="10.8扫码支付6616【用户姓名:朱建华；用户手机:13757903999；其他号码: 】"/>
        <s v="10.8支付宝5872元【用户姓名:蒋杰；用户手机:15068066151；其他号码: 】"/>
        <s v="10.8转账3900元【用户姓名：杭州联元厨具有限公司】【用户姓名:杭州联元厨具有限公司；用户手机:15268835123；其他号码: 】"/>
        <s v="10.9刷卡2975元（2380元+补贴595元）【用户姓名:张桥；用户手机:13968692266；其他号码: 】"/>
        <s v="10.9支付宝3280元【用户姓名:朱敏；用户手机:13868091188；其他号码: 】"/>
        <s v="10.9支付宝2591元【用户姓名:臧红；用户手机:13905819419；其他号码: 】"/>
        <s v="10.9转账22330元【用户姓名:杭州汇芝暖通设备有限公司；用户手机:18067946277；其他号码: 】"/>
        <s v="2025年10月9日中信银行收款【用户姓名:2025年10月结算(换新40-47）；用户手机: ；其他号码: 】"/>
        <s v="2025年10月10日中信银行收款【用户姓名:2025年10月结算(换新48-54）；用户手机: ；其他号码: 】"/>
        <s v="2025年10月11日中信银行收款【用户姓名:2025年10月结算(换新55-63）；用户手机: ；其他号码: 】"/>
        <s v="9.8刷卡8388支付7129.8以旧换新补贴1258.2【用户姓名:郑红燕；用户手机:17858210016；其他号码: 】"/>
        <s v="10.9刷卡4399元（3519.2+补贴879.8元）【用户姓名:杨雪娟；用户手机:18758887263；其他号码: 】"/>
        <s v="10.9转账4800元【用户姓名:德帕姆(杭州)泵业科技有限公司；用户手机:13606503642；其他号码: 】"/>
        <s v="10.10转账5904.60元【用户姓名:宁波得金智慧科技有限公司；用户手机:15869521084；其他号码: 】"/>
        <s v="10月10日转账5124【用户姓名:杭州鸿建建筑工程有限公司；用户手机:18857110081；其他号码: 】"/>
        <s v="10.10刷卡2499元（1999.2+补贴499.8元）【用户姓名:童高锋；用户手机:18057196392；其他号码: 】"/>
        <s v="10.11支付宝2400【用户姓名:汤剑武；用户手机:13636477118；其他号码: 】"/>
        <s v="10月11日支付宝2778元【用户姓名:张超；用户手机:13567119867；其他号码: 】"/>
        <s v="10.10支付宝转账5871元【用户姓名：陈卫东】【用户姓名:陈卫东；用户手机:15558020273；其他号码: 】"/>
        <s v="10.11刷卡8919（7135.2＋补贴1783.8）用户姓名沈亚13666614206【用户姓名:沈亚；用户手机:13666614206；其他号码: 】"/>
        <s v="10.11支付宝32元【用户姓名:沈亚；用户手机:13666614206；其他号码: 】"/>
        <s v="泰州锦禧商贸有限公司10.11打入中信5816元【用户姓名:泰州锦禧商贸有限公司；用户手机:18652866040；其他号码: 】"/>
        <s v="10.10刷卡5374元（4567.9元+806.1元）【用户姓名：冯春凤】【用户姓名:冯春凤；用户手机:18968089167；其他号码: 】"/>
        <s v="10.11支付宝398元【用户姓名:沈亚；用户手机:13666614206；其他号码: 】"/>
        <s v="2025.10.11金华建行2400【用户姓名:严成胜；用户手机: ；其他号码: 】"/>
        <s v="10.12刷卡3909元(3127.2+补贴781.8元）（用户名 陈羲龙）【用户姓名:陈羲龙；用户手机:17706420919；其他号码: 】"/>
        <s v="10.12刷卡12579元（10579+补贴2000元）【用户姓名:袁雪丽；用户手机:13017918271；其他号码: 】"/>
        <s v="10.12转账10000元【用户姓名: ；用户手机: ；其他号码: 】"/>
        <s v="10.12支付宝4810元【用户姓名:施申亚；用户手机:13735493827；其他号码: 】"/>
        <s v="2025年10月12日中信银行收款【用户姓名:2025年10月结算(换新64-74）；用户手机: ；其他号码: 】"/>
        <s v="2025年10月13日中信银行收款【用户姓名:2025年10月结算(换新75-78）；用户手机: ；其他号码: 】"/>
        <s v="2025年10月14日中信银行收款【用户姓名:谢先生；用户手机: ；其他号码: 】"/>
        <s v="10.13支付宝2071元【用户姓名:李高阳；用户手机:15858164998；其他号码: 】"/>
        <s v="10.10扫码支付2608【用户姓名:李文佳；用户手机:15957917609；其他号码: 】"/>
        <s v="10.10扫码支付30元【用户姓名:李文佳；用户手机:15957917609；其他号码: 】"/>
        <s v="10.11扫码支付188元【用户姓名:李文佳；用户手机:15957917609；其他号码: 】"/>
        <s v="10.12扫码支付6502【用户姓名:杜国群；用户手机:13506584031；其他号码: 】"/>
        <s v="10.13支付宝1340元【用户姓名:陈广；用户手机:18668003808；其他号码: 】"/>
        <s v="10.13转账4086元【用户姓名:杭州华鼎进出口有限公司；用户手机:15314607226；其他号码: 】"/>
        <s v="10.12刷卡3716元(2972.8+补贴743.2元）（用户名 孙志刚）【用户姓名:孙志刚；用户手机:13588015476；其他号码: 】"/>
        <s v="10.13支付宝4279元【用户姓名:王昇；用户手机:13958071015；其他号码: 】"/>
        <s v="10.10支付宝19733元【用户姓名:陆荣德；用户手机:13805729029；其他号码: 】"/>
        <s v="10.13转账7020元【用户姓名:桐庐佳尼特水处理设备有限公司；用户手机:13868175169；其他号码: 】"/>
        <s v="10.12支付宝4764元【用户姓名:柴波；用户手机:15167136006；其他号码: 】"/>
        <s v="王方燕25.10.13打入嘉兴建行9847.7元【用户姓名:嘉兴苏宁样机王方燕；用户手机: ；其他号码: 】"/>
        <s v="10.14抵15392元抵SKTKD251014001【用户姓名:陆荣徳；用户手机:13805729029；其他号码: 】"/>
        <s v="10.12刷卡3279元(2623.2元+补贴655.8元）（用户名 胡素娥）【用户姓名:胡素娥；用户手机:15372011731；其他号码: 】"/>
        <s v="10.13支付宝4400元【用户姓名:金艳；用户手机:15158115000；其他号码: 】"/>
        <s v="10.13转账898元【用户姓名:袁芳；用户手机:13735439514；其他号码: 】"/>
        <s v="10.12转账4481元【用户姓名:杭州中熠芯猫科技有限公司；用户手机:15957257720；其他号码: 】"/>
        <s v="10.12支付宝7000元【用户姓名:张牡芬；用户手机:17816850215；其他号码: 】"/>
        <s v="10.11刷卡3000元【用户姓名：葛芬】【用户姓名:葛芬；用户手机: ；其他号码: 】"/>
        <s v="10.13支付宝3395元【用户姓名:陈广；用户手机:18668003808；其他号码: 】"/>
        <s v="2025.10.14金华建行4039【用户姓名:严成胜；用户手机: ；其他号码: 】"/>
        <s v="10.14金华建行6354【用户姓名:郑星；用户手机: ；其他号码: 】"/>
        <s v="10.14支付宝5100【用户姓名:钟正祥；用户手机:13067965778；其他号码: 】"/>
        <s v="10.14支付宝3958元【用户姓名:胡云静；用户手机:15967126474；其他号码: 】"/>
        <s v="10.13中信6440元【用户姓名:杭州扎美珂暖通设备有限公司；用户手机:18868716312；其他号码: 】"/>
        <s v="10.14支付宝1310元【用户姓名:吴怡蒲；用户手机:15968144469；其他号码: 】"/>
        <s v="顾客名字错误，空进空退抵SKTKD251014004【用户姓名:洪二香；用户手机:13738157701；其他号码: 】"/>
        <s v="顾客名字错误，空进空退抵SKTKD251014005【用户姓名:洪二香；用户手机:13738157701；其他号码: 】"/>
        <s v="10.14刷卡6291元（5032.8+补贴1258.2元）【用户姓名:吴怡蒲；用户手机:15968144469；其他号码: 】"/>
        <s v="10.14转账11629.80元【用户姓名:泰州锦禧商贸有限公司；用户手机:18652866040；其他号码: 】"/>
        <s v="2025年10月14日汇德隆净水打入中信银行1621083元【用户姓名: ；用户手机: ；其他号码: 】"/>
        <s v="10.11刷卡5766元（4612.8+补贴1153.2元）【用户姓名:郁佳斌；用户手机:15824477050；其他号码: 】"/>
        <s v="2025年10月14日汇德隆烟灶打入中信银行回款62620.6元【用户姓名: ；用户手机: ；其他号码: 】"/>
        <s v="10.14支付宝3600元【用户姓名:刘丹群；用户手机:17826868097；其他号码: 】"/>
        <s v="10.14支付宝2789元【用户姓名:俞馨怡；用户手机:17858529170；其他号码: 】"/>
        <s v="汇德隆家电超市10.14中信银行300000元整【用户姓名: ；用户手机: ；其他号码: 】"/>
        <s v="10.14转账1621元【用户姓名:杭州中熠芯猫科技有限公司；用户手机:15857190638；其他号码: 】"/>
        <s v="杨立锋转卖罗飞阳抵SKTKD251009002【用户姓名:杨立锋；用户手机:15906665157；其他号码: 】"/>
        <s v="杨立锋转卖罗飞阳抵SKTKD251009003【用户姓名:杨立锋；用户手机:15906665157；其他号码: 】"/>
        <s v="10.14刷卡1950元（1560+补贴390元）【用户姓名:龙光珍；用户手机:15068159174；其他号码: 】"/>
        <s v="温州吉远电器有限公司25.10.15打入中信5万【用户姓名: ；用户手机: ；其他号码: 】"/>
        <s v="10.14转账2462.20元【用户姓名:宁波得金智慧科技有限公司；用户手机:13989808868；其他号码: 】"/>
        <s v="10.14刷卡828元（703.8+补贴124.20元）【用户姓名:李霞；用户手机:18268818110；其他号码: 】"/>
        <s v="10.14支付宝2950元【用户姓名:朱照红；用户手机:13906886816；其他号码: 】"/>
        <s v="10.15转账8380元（【用户姓名:杭州允选科技有限公司；用户手机:15257746926；其他号码: 】"/>
        <s v="10.12扫码5872元【用户姓名:夏林梅；用户手机:15858218361；其他号码: 】"/>
        <s v="10.10刷卡3275元（2620元+补贴655元）【用户姓名:张磊；用户手机:13858186125；其他号码: 】"/>
        <s v="10.7刷卡6059元（4847.20+补贴1211.80元）【用户姓名:金惠珍；用户手机:19157676797；其他号码: 】"/>
        <s v="10.15转账10972元【用户姓名：浙江百灵电气集团有限公司】【用户姓名:浙江百灵电气集团有限公司；用户手机:13336105253；其他号码: 】"/>
        <s v="2025年10月15日中信银行收款【用户姓名:2025年10月结算(换新80-83）；用户手机: ；其他号码: 】"/>
        <s v="2025年10月16日中信银行收款【用户姓名:2025年10月叶小红结算(换新84）；用户手机: ；其他号码: 】"/>
        <s v="2025年10月17日中信银行收款【用户姓名:2025年10月结算(换新85-94）；用户手机: ；其他号码: 】"/>
        <s v="10.15扫码牌800元【用户姓名：曹洋】【用户姓名:曹洋；用户手机:18814833660；其他号码: 】"/>
        <s v="10.15转账3180元【用户姓名:湖州中太芯猫科技有限公司；用户手机:18757233608；其他号码: 】"/>
        <s v="10.15转账10124元【用户姓名：倪旭栋】【用户姓名:倪旭栋；用户手机:13355783541；其他号码: 】"/>
        <s v="2025.10.16金华建行4277【用户姓名:严成胜；用户手机: ；其他号码: 】"/>
        <s v="10.16转账6917.96元【用户姓名:宁波得金智慧科技有限公司；用户手机:13056960869；其他号码: 】"/>
        <s v="10.16支付宝3679元【用户姓名:张丽；用户手机:13867114688；其他号码: 】"/>
        <s v="10.16刷卡3636元（2908.8+补贴727.2元）【用户姓名:孙志佳；用户手机:18067974675；其他号码: 】"/>
        <s v="10.15刷卡2450元（1960+补贴490元）【用户姓名:刘勒；用户手机:13867133070；其他号码: 】"/>
        <s v="10.16刷卡3394元（2715.2+补贴678.8元）【用户姓名:孙淑芸；用户手机:13588831203；其他号码: 】"/>
        <s v="10.16支付宝242【用户姓名:孙淑芸；用户手机:13588831203；其他号码: 】"/>
        <s v="2025.10.16支付宝付款890【用户姓名:杨红伟；用户手机:13906518292；其他号码: 】"/>
        <s v="10.15支付宝890元【用户姓名:叶承德；用户手机:13958101437；其他号码: 】"/>
        <s v="2026.10.16支付宝支付3439【用户姓名:朱维明；用户手机:13588163990；其他号码: 】"/>
        <s v="2025年10月16号中信收到8148元，【用户姓名:杭州中博智能电器有限公司；用户手机: ；其他号码: 】"/>
        <s v="10.16扫码付4798元【用户姓名:周建；用户手机:18042018900；其他号码:13757124203】"/>
        <s v="2025年10月16日电汇中信36202元【用户姓名:贝壳美家供应链管理（浙江）有限责任公司；用户手机: ；其他号码: 】"/>
        <s v="10.17金华建行3120元【用户姓名:郑星；用户手机: ；其他号码: 】"/>
        <s v="2025年10月17日电汇中信113351.2元【用户姓名:杭州中博智能电器有限公司；用户手机: ；其他号码: 】"/>
        <s v="10.15刷卡1860元（1488+补贴372元）（用户名 金恵珍）【用户姓名:金惠珍；用户手机: ；其他号码: 】"/>
        <s v="10.13刷卡2480元（1984+补贴496元）（用户名 葛芬）【用户姓名:葛芬；用户手机: ；其他号码: 】"/>
        <s v="10.17支付宝799元【用户姓名:鲁迁；用户手机:13958058865；其他号码: 】"/>
        <s v="10.17刷卡729元（619.65+补贴109.35元）【用户姓名:张晓莉；用户手机:18119944112；其他号码: 】"/>
        <s v="10.17支付宝7351元【用户姓名:李靓；用户手机:18657196161；其他号码: 】"/>
        <s v="10.17支付宝转账850元【用户姓名:徐大卫；用户手机:13588880066；其他号码: 】"/>
        <s v="10.16刷卡4000元（3400+补贴600元）【用户姓名:夏顺兰；用户手机:13003695518；其他号码: 】"/>
        <s v="10.16支付宝400元【用户姓名:夏顺兰；用户手机:13003695518；其他号码: 】"/>
        <s v="10.11刷卡32元【用户姓名:杨立锋；用户手机: ；其他号码: 】"/>
        <s v="10.17支付宝1700元【用户姓名:钟明亮；用户手机:13600514329；其他号码: 】"/>
        <s v="10.17转账建行1700元【用户姓名:朱海燕；用户手机:13506857485；其他号码:13777301652】"/>
        <s v="10.16刷卡1000元【用户姓名:张勤宝；用户手机: ；其他号码: 】"/>
        <s v="10.17转账7438.76元【用户姓名:宁波得金智慧科技有限公司；用户手机:18167226579；其他号码: 】"/>
        <s v="10.17支付宝转账700元（用户名 高延飞）【用户姓名:高延飞；用户手机:13906539068；其他号码: 】"/>
        <s v="10.17刷卡3000元(2400元+补贴600元）（用户名 高延飞）【用户姓名:高延飞；用户手机:13906539068；其他号码: 】"/>
        <s v="10.16刷卡2975元（2380+补贴595元）【用户姓名:戚明火；用户手机:13868188828；其他号码: 】"/>
        <s v="10.17支付宝2578元【用户姓名:朱霆；用户手机:13819182682；其他号码: 】"/>
        <s v="2025.10.18金华建行5999【用户姓名:严成胜；用户手机: ；其他号码: 】"/>
        <s v="10.18支付宝转账2741元（用户名 苗天汉）【用户姓名:苗天汉；用户手机:15824491418；其他号码: 】"/>
        <s v="10.18日支付宝3500【用户姓名:林雅琴；用户手机:15867143068；其他号码: 】"/>
        <s v="10.18扫码牌750元【用户姓名:曹洋；用户手机:18814833660；其他号码: 】"/>
        <s v="25.10.18支付宝2698【用户姓名:吴利军；用户手机:13757150185；其他号码: 】"/>
        <s v="10.18转账8000元【用户姓名: ；用户手机: ；其他号码: 】"/>
        <s v="10.18支付宝2800元【用户姓名：常红银】【用户姓名:常红银；用户手机:15958128642；其他号码: 】"/>
        <s v="10.18支付宝付3636元（用户名 陈兵）【用户姓名:陈兵；用户手机:13804642200；其他号码: 】"/>
        <s v="10.18支付宝2558元【用户姓名:陈谦茜；用户手机:15088673019；其他号码: 】"/>
        <s v="10.18刷卡4399元（3519.2+补贴879.8元）【用户姓名:苏卫东；用户手机:13196045136；其他号码: 】"/>
        <s v="10.17刷卡3636元（2908.8+补贴727.2元）【用户姓名:黄晓玲；用户手机:13757191915；其他号码: 】"/>
        <s v="2025年10月18日中信银行收款【用户姓名:2025年10月结算(换新95-101）；用户手机: ；其他号码: 】"/>
        <s v="2025年10月19日中信银行收款【用户姓名:2025年10月结算(换新102-107）；用户手机: ；其他号码: 】"/>
        <s v="10. 19刷卡2200元(1760元+补贴440元）（用户名 徐敏）【用户姓名:徐敏；用户手机:13575751820；其他号码: 】"/>
        <s v="转卖郭力琴抵SKTKD251009004【用户姓名:马强；用户手机:15267462050；其他号码: 】"/>
        <s v="转卖郭力琴抵SKTKD251009005【用户姓名:马强；用户手机:15267462050；其他号码: 】"/>
        <s v="10.19支付宝750元【用户姓名:宋应学；用户手机:15867144182；其他号码: 】"/>
        <s v="10.19转账20000元【用户姓名: ；用户手机: ；其他号码: 】"/>
        <s v="10.19扫码付4638元【用户姓名:张建利；用户手机:13867162570；其他号码: 】"/>
        <s v="10.18支付宝3439元【用户姓名:熊欢；用户手机:18368821150；其他号码: 】"/>
        <s v="10.19支付宝4399元【用户姓名:朱霆；用户手机:13819182682；其他号码: 】"/>
        <s v="10.20支付宝5100元【用户姓名:毛小荣；用户手机:15158873858；其他号码: 】"/>
        <s v="10.18扫码支付3636元【用户姓名:朱灵燕；用户手机:13516982880；其他号码: 】"/>
        <s v="10.12扫码支付4289【用户姓名:徐兰娟；用户手机:13867979554；其他号码: 】"/>
        <s v="10.19支付宝2778元【用户姓名:金赛英；用户手机:13958001909；其他号码: 】"/>
        <s v="10.19支付宝4458元【用户姓名:陈忠民；用户手机:13906524139；其他号码: 】"/>
        <s v="10.19支付宝6981元【用户姓名:缪如意；用户手机:15968198874；其他号码: 】"/>
        <s v="10.20转账1618元【用户姓名:泰州锦禧商贸有限公司；用户手机:15161076093；其他号码: 】"/>
        <s v="10.20支付宝付730元（用户名 倪建俊）【用户姓名:倪建俊；用户手机:13857199815；其他号码: 】"/>
        <s v="10.20号孙艳支付宝转账2745元【用户姓名:孙艳；用户手机:15297276003；其他号码: 】"/>
        <s v="10.20转账3000元【用户姓名: ；用户手机: ；其他号码: 】"/>
        <s v="抵SKTKD251020010-国补倒票-徐兰娟国补名额给劳剑巧【用户姓名:徐兰娟；用户手机:13867979554；其他号码:13456769488】"/>
        <s v="抵SKTKD251020011-国补倒票-徐兰娟国补名额给劳剑巧【用户姓名:徐兰娟；用户手机:13867979554；其他号码:13456769488】"/>
        <s v="10.20中信9100【用户姓名:金华汇隆电子设备有限公司；用户手机:13017970011；其他号码: 】"/>
        <s v="10.20支付宝4249元【用户姓名:姚丽；用户手机:13071846433；其他号码: 】"/>
        <s v="10.20支付宝4400元【用户姓名:董选思；用户手机:15372353997；其他号码: 】"/>
        <s v="2025年10月21日中信银行收款【用户姓名:2025年10月结算(换新113-122）；用户手机: ；其他号码: 】"/>
        <s v="2025年10月20日中信银行收款【用户姓名:2025年10月结算(换新108-112）；用户手机: ；其他号码: 】"/>
        <s v="10.20转账支付宝6000元【用户姓名:李总；用户手机:13905718722；其他号码: 】"/>
        <s v="10.20刷卡4000元(3200元+补贴800元）（用户名 王爱娣）【用户姓名:王爱娣；用户手机:13516724856；其他号码: 】"/>
        <s v="10.20支付宝付295元（用户名 王爱娣）【用户姓名:王爱娣；用户手机:13516724856；其他号码: 】"/>
        <s v="10.20扫码付3060元（用户名 徐小倩）【用户姓名:徐小倩；用户手机:13777485710；其他号码: 】"/>
        <s v="10.21支付宝付3360元【用户姓名:蒋景仙；用户手机:13968195599；其他号码: 】"/>
        <s v="10.21支付宝791元【用户姓名:童素婷；用户手机:13615813273；其他号码: 】"/>
        <s v="10.21刷卡2379元(1903.2元+补贴475.8元）（用户名 朱家琪）【用户姓名:朱家琪；用户手机:13335811912；其他号码: 】"/>
        <s v="10.21支付宝790元【用户姓名:鲁杭燕；用户手机:15825514982；其他号码: 】"/>
        <s v="10.20刷卡2745元（2196+补贴549元）【用户姓名:王泽琪；用户手机:13386516090；其他号码: 】"/>
        <s v="10.21刷卡4000元(3200元+补贴800元）【用户姓名:庄勇；用户手机:13857198001；其他号码: 】"/>
        <s v="10.21支付宝付295元【用户姓名:庄勇；用户手机:13857198001；其他号码: 】"/>
        <s v="2025年10月22日中信银行收款【用户姓名:2025年10月结算(换新123-128）；用户手机: ；其他号码: 】"/>
        <s v="10.21扫码支付4059【用户姓名:黄乐；用户手机:13867970040；其他号码: 】"/>
        <s v="10.21转账5850元【用户姓名:杭州联元厨具有限公司；用户手机:15268835123；其他号码: 】"/>
        <s v="10.13中信1440.75元（跨越2025年9月运费、顺丰2025年9月运费）【用户姓名: ；用户手机: ；其他号码: 】"/>
        <s v="10.16中信1162.7元（跨越2025年9月运费、华商2025年9月运费、顺丰2025年9月运费）【用户姓名: ；用户手机: ；其他号码: 】"/>
        <s v="10.16中信464.65元（跨越2025年9月运费、华商2025年9月运费、顺丰2025年9月运费）【用户姓名: ；用户手机: ；其他号码: 】"/>
        <s v="10.21支付宝898元【用户姓名:章全；用户手机:13905819174；其他号码: 】"/>
        <s v="10.21中信773.9元（跨越2025年9月运费、华商2025年9月运费）【用户姓名: ；用户手机: ；其他号码: 】"/>
        <s v="2025年10月23日中信银行收款【用户姓名:2025年10月结算(换新129-135）；用户手机: ；其他号码: 】"/>
        <s v="10.22支付宝791元【用户姓名:屈新雅；用户手机:15857392858；其他号码: 】"/>
        <s v="10.22刷卡3579元（2863.2元+补贴715.80元）【用户姓名：沈国伟】【用户姓名:沈国伟；用户手机:13325716909；其他号码: 】"/>
        <s v="10.22转账10000元【用户姓名: ；用户手机: ；其他号码: 】"/>
        <s v="10.21支付宝2100元【用户姓名:王泽源；用户手机:19819732198；其他号码: 】"/>
        <s v="10.21支付宝2300元【用户姓名:余碧英；用户手机:13325810268；其他号码: 】"/>
        <s v="10.22转账6052.76元【用户姓名:淮安昊天家电有限公司；用户手机:18251027222；其他号码: 】"/>
        <s v="10.21转账3291元【用户姓名:湖州中太芯猫科技有限公司；用户手机:13372417002；其他号码: 】"/>
        <s v="10.21扫码3636【用户姓名:袁梦；用户手机:13396584838；其他号码: 】"/>
        <s v="10.22刷卡4055元（3244+补贴811元）【用户姓名:郭李平；用户手机:17300949927；其他号码: 】"/>
        <s v="10.21转账1621元【用户姓名：许萍】【用户姓名:许萍；用户手机:15906716505；其他号码: 】"/>
        <s v="10.22刷卡2200元(1760元+补贴440元）【用户姓名：胡闰颖】【用户姓名:胡闰颖；用户手机:13335815921；其他号码: 】"/>
        <s v="10.22支付宝1379元【用户姓名:胡闰颖；用户手机:13335815921；其他号码: 】"/>
        <s v="10.21日扫码中信6291【用户姓名:姚莉娜；用户手机:15869127486；其他号码: 】"/>
        <s v="10.20支付宝4399元【用户姓名:郭凯凯；用户手机:15858157459；其他号码: 】"/>
        <s v="10.22支付宝398元【用户姓名:郭李平；用户手机:17300949927；其他号码: 】"/>
        <s v="10.18转账618元【用户姓名:谢培喜；用户手机:***；其他号码: 】"/>
        <s v="10.21支付宝6291元【用户姓名:万畅；用户手机:18221033128；其他号码: 】"/>
        <s v="10.21刷卡6291元（5032.80+补贴1258.20元）【用户姓名:刘旭霞；用户手机:15397155118；其他号码: 】"/>
        <s v="10.21扫码付6500元【用户姓名:陈晨；用户手机:18261551688；其他号码: 】"/>
        <s v="10.22中信23664元（2025年8月会员卡费用）【用户姓名: ；用户手机: ；其他号码: 】"/>
        <s v="10.22中信2845.08元（跨越2025年9月运费、华商2025年9月运费、顺丰2025年9月运费）【用户姓名: ；用户手机: ；其他号码: 】"/>
        <s v="10.22刷卡3247元（2597.6+补贴649.4元）【用户姓名:张佳炜；用户手机:13868188828；其他号码: 】"/>
        <s v="10.23支付宝791元【用户姓名:黄小露；用户手机:18606719515；其他号码: 】"/>
        <s v="10.22转账5707元【用户姓名:杨波；用户手机:15381128661；其他号码: 】"/>
        <s v="10.9转账789元【用户姓名:湖州中太芯猫科技有限公司；用户手机: ；其他号码: 】"/>
        <s v="10.23中信93.7元（顺丰2025年9月运费）【用户姓名: ；用户手机: ；其他号码: 】"/>
        <s v="北京京东世纪贸易有限公司供应商账户验证【用户姓名: ；用户手机: ；其他号码: 】"/>
        <s v="10.23刷卡4139元(3311.2元+补贴827.8元）（用户名 杨金忠）【用户姓名:杨金忠；用户手机:13685753921；其他号码: 】"/>
        <s v="10.22支付宝1196元【用户姓名:吕龙戚；用户手机:15867029111；其他号码: 】"/>
        <s v="10.22扫码支付2850【用户姓名:徐志华；用户手机:18606793888；其他号码: 】"/>
        <s v="2025年10月23日中信收到电汇5238.8元【用户姓名: ；用户手机: ；其他号码: 】"/>
        <s v="10.23支付宝5800元【用户姓名:顾惠娟；用户手机:15906677011；其他号码: 】"/>
        <s v="2025年10月16日中信收到电汇4048.2元【用户姓名: ；用户手机: ；其他号码: 】"/>
        <s v="10.23转账2481.70元【用户姓名:宁波得金智慧科技有限公司；用户手机:18067218052；其他号码: 】"/>
        <s v="10.23中信7480.75元（2025.10.6-2026.4.5湖州办事处中瑞售后承担房租物业费税点）【用户姓名: ；用户手机: ；其他号码: 】"/>
        <s v="10.23支付宝4299元【用户姓名:李少兰；用户手机:13957181677；其他号码: 】"/>
        <s v="10.23金华建行3917元【用户姓名:郑星；用户手机: ；其他号码: 】"/>
        <s v="10.23支付宝2950元【用户姓名:赵瑞祥；用户手机:15201921546；其他号码: 】"/>
        <s v="10.23支付宝3838元【用户姓名:赵瑞祥；用户手机:15201921546；其他号码: 】"/>
        <s v="10.23转账20000元【用户姓名: ；用户手机: ；其他号码: 】"/>
        <s v="2025.10.23中信15739.2元（仓储服务费）【用户姓名: ；用户手机: ；其他号码: 】"/>
        <s v="2025.10.23支付宝支付2070【用户姓名:应燕霞；用户手机:13456935333；其他号码: 】"/>
        <s v="10.23刷卡2951元（2360.8+补贴590.2元）【用户姓名:童华波；用户手机:13093703130；其他号码: 】"/>
        <s v="10.23支付宝890元【用户姓名:宋腾飞；用户手机:15967147783；其他号码: 】"/>
        <s v="10.8转账3245元【用户姓名:湖州中太芯猫科技有限公司；用户手机:18268203882；其他号码: 】"/>
        <s v="2025年10月24日承兑【用户姓名: ；用户手机: ；其他号码: 】"/>
        <s v="10.23中信6122.84元（跨越2025年9月运费）【用户姓名: ；用户手机: ；其他号码: 】"/>
        <s v="10.23中信492.3元（顺丰2025年9月运费）【用户姓名: ；用户手机: ；其他号码: 】"/>
        <s v="10.23支付宝4639元【用户姓名:殷耀成；用户手机:18106507350；其他号码: 】"/>
        <s v="10.24支付宝付800元（用户名 陈鑫月）【用户姓名:陈鑫月；用户手机:13957199599；其他号码: 】"/>
        <s v="10.23刷卡3359元（2855.15+补贴503.85元）【用户姓名:叶文来；用户手机:13735804886；其他号码: 】"/>
        <s v="10.24浙江都都装饰有限公司转账26190元【用户姓名: ；用户手机: ；其他号码: 】"/>
        <s v="10.24转账10000元【用户姓名: ；用户手机: ；其他号码: 】"/>
        <s v="2025.10.24金华建行2196【用户姓名:严成胜；用户手机: ；其他号码: 】"/>
        <s v="10.24杭州兴达京昀电器有限公司转账5万元【用户姓名: ；用户手机: ；其他号码: 】"/>
        <s v="10.23刷卡6788元（5430.4+补贴1357.6元）【用户姓名:张慧慧；用户手机:15869161872；其他号码: 】"/>
        <s v="10.24转账5918元【用户姓名:浙江云顶贸易有限公司；用户手机:18969163290；其他号码: 】"/>
        <s v="10.24转账12768元【用户姓名:宁波得金智慧科技有限公司；用户手机:13906612920；其他号码: 】"/>
        <s v="10.24支付宝898元【用户姓名:龚晓群；用户手机:13157178826；其他号码: 】"/>
        <s v="2025年10月24日中信银行收款【用户姓名:2025年10月结算(换新136-143）；用户手机: ；其他号码: 】"/>
        <s v="2025年10月25日中信银行收款【用户姓名:2025年10月结算(换新144-151）；用户手机: ；其他号码: 】"/>
        <s v="10.24扫码中信2800【用户姓名:房烈龙；用户手机:13906502648；其他号码: 】"/>
        <s v="10.24支付宝付850元【用户姓名:戴胜男；用户手机:13376093902；其他号码: 】"/>
        <s v="10.25支付宝8000元【用户姓名:张亚安；用户手机:13906512695；其他号码: 】"/>
        <s v="10.24号陈蓝支付宝转账770元【用户姓名:陈蓝；用户手机:13666622588；其他号码: 】"/>
        <s v="10.25支付宝3136元【用户姓名:李良松；用户手机:13588043498；其他号码: 】"/>
        <s v="10.25支付宝3230元【用户姓名:程丽梅；用户手机:13666654336；其他号码: 】"/>
        <s v="10.25扫码付2984元【用户姓名:封珍保；用户手机:13777499293；其他号码: 】"/>
        <s v="10.24支付宝2685.6元【用户姓名:张沉沉；用户手机:13029489501；其他号码: 】"/>
        <s v="10.25转账8364元【用户姓名:浙江云顶贸易有限公司；用户手机:13588757264；其他号码: 】"/>
        <s v="10.25刷卡5988元（5089.8+补贴898.2元）【用户姓名:陈琳；用户手机:15906635788；其他号码: 】"/>
        <s v="10.25刷卡5988元（5089.8+补贴898.2元【用户姓名:陈琳；用户手机:15906635788；其他号码: 】"/>
        <s v="10.23支付宝700元【用户姓名:张慧慧；用户手机:15869161872；其他号码: 】"/>
        <s v="10.25扫码2079【用户姓名:王安然；用户手机:15940502856；其他号码: 】"/>
        <s v="10.25支付宝5988元【用户姓名:钟伟；用户手机:13750843139；其他号码: 】"/>
        <s v="10.25支付宝付1196元【用户姓名:王安然；用户手机:15940502856；其他号码: 】"/>
        <s v="10.25支付宝付3395元【用户姓名:王安然；用户手机:15940502856；其他号码: 】"/>
        <s v="10.25转账37360.6元【用户姓名:宁波得金智慧科技有限公司；用户手机:13989304419；其他号码: 】"/>
        <s v="10.23扫码支付1600【用户姓名:毛月萍；用户手机:13586992216；其他号码: 】"/>
        <s v="2025.10.25金华建行2200【用户姓名:严成胜；用户手机: ；其他号码: 】"/>
        <s v="10.25刷卡4791元（3832.8元+补贴958.2元）【用户姓名:袁佳琪；用户手机:15869020797；其他号码: 】"/>
        <s v="10.25刷卡5119元（4351.15+补贴767.85元）【用户姓名:王黎明；用户手机:13780080165；其他号码: 】"/>
        <s v="10.26支付宝800元【用户姓名:陈晶宇；用户手机:18768499914；其他号码: 】"/>
        <s v="10.26刷卡3636元（2908.8+补贴727.2元）【用户姓名:赵甄妮；用户手机:18868831226；其他号码: 】"/>
        <s v="10.25支付宝3369元【用户姓名：徐峰】【用户姓名:徐峰；用户手机:18668166099；其他号码: 】"/>
        <s v="10.26刷卡6700元（5360+补贴1340元）【用户姓名:邵小明；用户手机:13065708380；其他号码: 】"/>
        <s v="10.25支付宝3395元【用户姓名:张婷婷；用户手机:13858088600；其他号码: 】"/>
        <s v="10.26支付宝7200元【用户姓名:沈国生；用户手机:18367141888；其他号码: 】"/>
        <s v="10.25刷卡2800元(2240元+补贴560元）【用户姓名：张艾嘉】【用户姓名:张艾嘉；用户手机:18151548215；其他号码: 】"/>
        <s v="10.26支付宝2496元【用户姓名:李高阳；用户手机:13587618051；其他号码: 】"/>
        <s v="10.25支付宝836元【用户姓名：张艾嘉】【用户姓名:张艾嘉；用户手机:18151548215；其他号码: 】"/>
        <s v="10.26刷卡5000元（4000元+补贴1000元）【用户姓名：陈菲】【用户姓名:陈菲；用户手机:15757821083；其他号码: 】"/>
        <s v="10.26支付宝351元【用户姓名：陈菲】【用户姓名:陈菲；用户手机:15757821083；其他号码: 】"/>
        <s v="10.26支付宝3990元【用户姓名:方丹红；用户手机:13758284088；其他号码: 】"/>
        <s v="10.26浙江都都装饰有限公司转账20674元【用户姓名: ；用户手机: ；其他号码: 】"/>
        <s v="10.25支付宝1893元【用户姓名:袁佳琪；用户手机:15869020797；其他号码: 】"/>
        <s v="10.26支付宝1895元【用户姓名:杨致权；用户手机:13064785778；其他号码: 】"/>
        <s v="10.26支付宝3138元【用户姓名:叶坚；用户手机:13606621366；其他号码: 】"/>
        <s v="10.26支付宝350元【用户姓名:倪旭栋；用户手机:13355783541；其他号码: 】"/>
        <s v="10.26刷卡6966元（5572.8+补贴1393.2元）【用户姓名:唐晓阳；用户手机:13606637577；其他号码: 】"/>
        <s v="10.26支付宝2984元【用户姓名:周立川；用户手机:15058135363；其他号码: 】"/>
        <s v="10.26支付宝4295元【用户姓名:周立川；用户手机:15058135363；其他号码: 】"/>
        <s v="2025.10.27金华建行2200【用户姓名:严成胜；用户手机: ；其他号码: 】"/>
        <s v="10.26支付宝9600元【用户姓名:张沉沉；用户手机:13029489501；其他号码: 】"/>
        <s v="10.26刷卡1200元（960+补贴240元）【用户姓名:毛荣军；用户手机: ；其他号码: 】"/>
        <s v="10.26中信808【用户姓名:杭州霏铭商贸有限公司；用户手机: 13675874326；其他号码: 】"/>
        <s v="2025.10.26支付宝支付5597【用户姓名:颜林；用户手机:13777889072；其他号码: 】"/>
        <s v="10.26扫码付4003元【用户姓名: 陈春萍；用户手机:13968104394；其他号码: 】"/>
        <s v="2025.10.26支付宝支付4002【用户姓名:蒋诚明；用户手机:13588062682；其他号码: 】"/>
        <s v="10.26日支付宝4020【用户姓名:李建荣；用户手机:18258283466；其他号码: 】"/>
        <s v="10.26支付宝4180元【用户姓名:袁万紫；用户手机:13750803281；其他号码: 】"/>
        <s v="10.27日支付宝10258【用户姓名:沈巧凤；用户手机:15858131810；其他号码: 】"/>
        <s v="10.26支付宝3708元【用户姓名:贾羽秀；用户手机:15958131555；其他号码: 】"/>
        <s v="10.26扫码付8145元【用户姓名:钟益强；用户手机:13958008027；其他号码: 】"/>
        <s v="10.26刷卡3000元（2400+补贴600元）【用户姓名:杨翠容；用户手机:18958124500；其他号码: 】"/>
        <s v="10.26支付宝135元【用户姓名:杨翠容；用户手机:18958124500；其他号码: 】"/>
        <s v="10.27支付宝3139元【用户姓名:虞立明；用户手机:13906519223；其他号码: 】"/>
        <s v="10.26支付宝3395元【用户姓名:李昊然；用户手机:13296737363；其他号码: 】"/>
        <s v="换机抵SKTKD251027002【用户姓名:赵瑞祥；用户手机:15201921546；其他号码: 】"/>
        <s v="2025年10月26日中信银行收款【用户姓名:2025年10月结算(换新152-160）；用户手机: ；其他号码: 】"/>
        <s v="2025年10月27日中信银行收款【用户姓名:2025年10月客户结算(换新161）；用户手机: ；其他号码: 】"/>
        <s v="2025年10月28日中信银行收款【用户姓名:2025年10月结算(换新162-165）；用户手机: ；其他号码: 】"/>
        <s v="10.26刷卡2250元(1800元+补贴450元）【用户姓名:郑美华；用户手机:13858153955；其他号码: 】"/>
        <s v="换型号抵SKTKD251027005【用户姓名:茅莹莹；用户手机:13735539238；其他号码: 】"/>
        <s v="10.26支付宝3128元【用户姓名:包雅娟；用户手机:13575474719；其他号码: 】"/>
        <s v="10.27支付宝3788元【用户姓名:熊湘华；用户手机:15988481118；其他号码: 】"/>
        <s v="10.27刷卡7351元（5880.8+补贴1470.2元）【用户姓名:符陆帅；用户手机:18806504916；其他号码: 】"/>
        <s v="10.27支付宝2986元【用户姓名:陈金峰；用户手机:13735550722；其他号码: 】"/>
        <s v="10.27扫码付3070元【用户姓名:陆芸；用户手机:13989459496；其他号码: 】"/>
        <s v="物流发错货，抵SKTKD251027008【用户姓名:王世傲；用户手机:15257838811；其他号码: 】"/>
        <s v="物流发错货，抵SKTKD251027009【用户姓名:王世傲；用户手机:15257838811；其他号码: 】"/>
        <s v="10.27金华建行4162元【用户姓名:郑星；用户手机: ；其他号码: 】"/>
        <s v="10.27支付宝398元【用户姓名:符陆帅；用户手机:18806504916；其他号码: 】"/>
        <s v="10.27刷卡8000元（6800+补贴1200元）【用户姓名:郭琴；用户手机:15267126980；其他号码: 】"/>
        <s v="10.26支付宝3400元【用户姓名:刘玲凤；用户手机: ；其他号码: 】"/>
        <s v="10.27支付宝850元【用户姓名:曾武；用户手机:13867428900；其他号码: 】"/>
        <s v="10.27支付宝3888元【用户姓名:周竞先；用户手机:13958092521；其他号码: 】"/>
        <s v="10.28支付宝2594元【用户姓名:袁志斌；用户手机:15906637138；其他号码: 】"/>
        <s v="10.28转账20000元【用户姓名: ；用户手机: ；其他号码: 】"/>
        <s v="10.28转账3209.20元【用户姓名:淮安昊天家电有限公司；用户手机:17802532595；其他号码: 】"/>
        <s v="10.27转账8055元【用户姓名:协建（杭州）贸易有限公司；用户手机:18658818769；其他号码: 】"/>
        <s v="10.27刷卡3636元（2908.8+补贴727.2元）【用户姓名:徐丽雯；用户手机:13588082320；其他号码: 】"/>
        <s v="10.27支付宝3908元【用户姓名:程仙宝；用户手机:13336084931；其他号码: 】"/>
        <s v="10.28刷卡3571元（2856.8+补贴714.2元）【用户姓名:余云芬；用户手机:15068815970；其他号码: 】"/>
        <s v="10.28转账15000元【用户姓名: ；用户手机: ；其他号码: 】"/>
        <s v="10.28转账11317.80元【用户姓名:宁波得金智慧科技有限公司；用户手机:13486411126；其他号码: 】"/>
        <s v="10.28刷卡5988元(5089.8元+补贴898.3元）【用户姓名:张加良；用户手机:13967182167；其他号码: 】"/>
        <s v="10.28刷卡2542元(2033.6元+补贴508.4元）【用户姓名:郝丽丽；用户手机:18057195198；其他号码: 】"/>
        <s v="10.28转账32400元【用户姓名:绍兴艾欧中嘉环境设备有限公司；用户手机:13575507341；其他号码: 】"/>
        <s v="2025年10月28日收到承兑15万【用户姓名: ；用户手机: ；其他号码: 】"/>
        <s v="10.27扫码付8006元【用户姓名:单晨超；用户手机:15967318046；其他号码: 】"/>
        <s v="10.27转账6983元【用户姓名:湖州中太芯猫科技有限公司；用户手机:18767232762；其他号码: 】"/>
        <s v="10.28刷卡5200元（4160+补贴1040元）【用户姓名:刘静；用户手机:18857875476；其他号码: 】"/>
        <s v="10.27中信30887.28元（软件费）【用户姓名: ；用户手机: ；其他号码: 】"/>
        <s v="10.28支付宝873元【用户姓名:刘静；用户手机:18857875476；其他号码: 】"/>
        <s v="10.28中信10102.4元（软件费）【用户姓名: ；用户手机: ；其他号码: 】"/>
        <s v="10.28转账416.63元（跨越2025年9月运费、顺丰2025年9月运费）【用户姓名:杭州允选科技有限公司；用户手机:15257746926；其他号码: 】"/>
        <s v="10.27转账24350元（罚款）【用户姓名:杭州允选科技有限公司；用户手机:15257746926；其他号码: 】"/>
        <s v="10.27转账24339元【用户姓名: ；用户手机: ；其他号码: 】"/>
        <s v="10.28中信9767.4元（软件费）【用户姓名: ；用户手机: ；其他号码: 】"/>
        <s v="10.28刷卡3350元（2680+补贴670元）【用户姓名:陆娇；用户手机:18758859955；其他号码: 】"/>
        <s v="10.29转账5000元【用户姓名: ；用户手机: ；其他号码: 】"/>
        <s v="2025年10月29日中信银行收款【用户姓名:2025年10月结算(换新166-171）；用户手机: ；其他号码: 】"/>
        <s v="2025年10月30日中信银行收款【用户姓名:2025年10月结算(换新172-182）；用户手机: ；其他号码: 】"/>
        <s v="10.27杭州中信136.9元【用户姓名:金华一启家电有限公司；用户手机: ；其他号码: 】"/>
        <s v="10.29扫码付4699元【用户姓名:余思思；用户手机:13806887311；其他号码: 】"/>
        <s v="10.29支付宝2071元【用户姓名:俞雪婷；用户手机:19857116585；其他号码: 】"/>
        <s v="10.29支付宝4800元【用户姓名:高利军；用户手机:15068873778；其他号码: 】"/>
        <s v="10.29支付宝47元【用户姓名:高利军；用户手机:15068873778；其他号码: 】"/>
        <s v="10.29刷卡3636元（2908.8+补贴727.2元）【用户姓名:郎鑫慷；用户手机:19857116585；其他号码: 】"/>
        <s v="10.30转账4781.4元【用户姓名:宁波得金智慧科技有限公司；用户手机:13989304419；其他号码: 】"/>
        <s v="10.30刷卡（3671元2936.8元+补贴734.2元）【用户姓名:庞全；用户手机:18958124500；其他号码: 】"/>
        <s v="10.29扫码3311【用户姓名:马青华；用户手机:15957962933；其他号码: 】"/>
        <s v="10.30支付宝付3150元【用户姓名:于贤君；用户手机:13858374310；其他号码: 】"/>
        <s v="10.30转账2576元【用户姓名:许萍；用户手机:13588001000；其他号码: 】"/>
        <s v="10.29扫码付6272元【用户姓名:陈晨；用户手机:18261551688；其他号码: 】"/>
        <s v="10.29刷卡3000元（2400+补贴600元）【用户姓名:李靓；用户手机:18657196161；其他号码: 】"/>
        <s v="10.29支付宝543元【用户姓名:李靓；用户手机:18657196161；其他号码: 】"/>
        <s v="10.30支付宝850元【用户姓名:李耳刚；用户手机:13606811100；其他号码: 】"/>
        <s v="10.30刷卡2300元（1840+补贴460元）【用户姓名:戴操；用户手机:13957189295；其他号码: 】"/>
        <s v="10.29中信10102.4元（软件费）【用户姓名: ；用户手机: ；其他号码: 】"/>
        <s v="10.30中信9431.92元（软件费）【用户姓名: ；用户手机: ；其他号码: 】"/>
        <s v="10.30支付宝8145元【用户姓名:陆海燕；用户手机:15924175586；其他号码: 】"/>
        <s v="10.30刷卡4600元（3680+补贴920元）【用户姓名:葛建红；用户手机:15869161872；其他号码: 】"/>
        <s v="10.30支付宝508元【用户姓名:葛建红；用户手机:15869161872；其他号码: 】"/>
        <s v="10.30转账3788元【用户姓名:丽水市宏大化学用料有限公司丽新分公司；用户手机:13738148610；其他号码: 】"/>
        <s v="10.30扫码付3130元【用户姓名:韩玉英；用户手机:13705813029；其他号码: 】"/>
        <s v="10.29扫码支付2654【用户姓名:徐范；用户手机:13758103174；其他号码: 】"/>
        <s v="10.30支付宝3688元【用户姓名:贾听令；用户手机:13705714799；其他号码: 】"/>
        <s v="10.30扫码支付2300【用户姓名:陈益飞    ；用户手机:15058504803；其他号码: 】"/>
        <s v="10.30扫码支付3848【用户姓名:何晓莺；用户手机:18857993543；其他号码: 】"/>
        <s v="10.30转账8980元【用户姓名:杭州允选科技有限公司；用户手机:15257746926；其他号码: 】"/>
        <s v="2025.10.31金华建行1839【用户姓名:严成胜；用户手机: ；其他号码: 】"/>
        <s v="10.31转账4239元【用户姓名:浙江雄升新材料科技有限公司；用户手机:13616711162；其他号码: 】"/>
        <s v="转卖抵SKTKD251031001【用户姓名:张慧慧；用户手机:15869161872；其他号码: 】"/>
        <s v="转卖抵SKTKD251031002【用户姓名:张慧慧；用户手机:15869161872；其他号码: 】"/>
        <s v="转卖抵SKTKD251031003【用户姓名:张慧慧；用户手机:15869161872；其他号码: 】"/>
        <s v="换机抵SKTKD251031004【用户姓名:浙江百灵电气集团有限公司；用户手机:13336105253；其他号码: 】"/>
        <s v="10.30刷卡2789元（2231.20+补贴557.80元）【用户姓名:占水萍；用户手机:13588292908；其他号码: 】"/>
        <s v="10.31支付宝3150元【用户姓名:傅柳刚；用户手机:13575700228；其他号码: 】"/>
        <s v="10.31支付宝3138元【用户姓名:金兰；用户手机:18657121929；其他号码: 】"/>
        <s v="10.31支付宝222元【用户姓名:金兰；用户手机:18657121929；其他号码: 】"/>
        <s v="10.31转账1618元【用户姓名:泰州锦禧商贸有限公司；用户手机:15996026086；其他号码: 】"/>
        <s v="10.31转账1500元【用户姓名:朱连凤；用户手机:13606528957；其他号码: 】"/>
        <s v="10.31转账4238元【用户姓名:黄石市玉祥电器有限公司；用户手机:18924600507；其他号码: 】"/>
        <s v="2025年10月31日中信银行收款【用户姓名:2025年10月结算(换新183-185）；用户手机: ；其他号码: 】"/>
        <s v="10.31杭州中信7490【用户姓名:永康市荣浪家用电器有限公司；用户手机: ；其他号码: 】"/>
        <s v="10.31支付宝854元【用户姓名:蒋培龙；用户手机:13396583618；其他号码: 】"/>
        <s v="10.31支付宝16098元【用户姓名:韩斌；用户手机:19121765659；其他号码: 】"/>
        <s v="10.31杭州兴达京昀电器有限公司转账5万元【用户姓名: ；用户手机: ；其他号码: 】"/>
        <s v="10.31支付宝2860元【用户姓名:石光侠；用户手机:13906512226；其他号码: 】"/>
        <s v="10.31支付宝3788元【用户姓名:张晓平；用户手机:13989810666；其他号码: 】"/>
        <s v="10.31转账1488元【用户姓名:杭州与凡物流有限公司；用户手机:13456766056；其他号码: 】"/>
      </sharedItems>
    </cacheField>
    <cacheField name="已核销金额本位币" numFmtId="0">
      <sharedItems containsString="0" containsBlank="1" containsNumber="1" minValue="0" maxValue="79610" count="322">
        <n v="2855.15"/>
        <n v="503.85"/>
        <n v="2623.2"/>
        <n v="655.8"/>
        <n v="4799.2"/>
        <n v="1199.8"/>
        <n v="2686"/>
        <m/>
        <n v="2991.2"/>
        <n v="747.8"/>
        <n v="4399"/>
        <n v="4059"/>
        <n v="3599"/>
        <n v="2071"/>
        <n v="3439"/>
        <n v="5220"/>
        <n v="2460.8"/>
        <n v="615.2"/>
        <n v="3639"/>
        <n v="2591"/>
        <n v="2908.8"/>
        <n v="727.2"/>
        <n v="4481"/>
        <n v="6365"/>
        <n v="3717.6"/>
        <n v="929.4"/>
        <n v="5000"/>
        <n v="4015.2"/>
        <n v="1003.8"/>
        <n v="5988"/>
        <n v="4351.15"/>
        <n v="767.85"/>
        <n v="3998"/>
        <n v="828"/>
        <n v="3869"/>
        <n v="1999"/>
        <n v="350"/>
        <n v="3395"/>
        <n v="3091"/>
        <n v="2863.2"/>
        <n v="715.8"/>
        <n v="79610"/>
        <n v="5667"/>
        <n v="4791"/>
        <n v="790"/>
        <n v="5872"/>
        <n v="3519.2"/>
        <n v="879.8"/>
        <n v="7270"/>
        <n v="2975"/>
        <n v="1240"/>
        <n v="310"/>
        <n v="6502"/>
        <n v="3414"/>
        <n v="808"/>
        <n v="6599.28"/>
        <n v="2911.2"/>
        <n v="727.8"/>
        <n v="1600"/>
        <n v="400"/>
        <n v="4124"/>
        <n v="3365"/>
        <n v="30"/>
        <n v="1488"/>
        <n v="3620"/>
        <n v="2445"/>
        <n v="6616"/>
        <n v="3900"/>
        <n v="2380"/>
        <n v="595"/>
        <n v="3280"/>
        <n v="22330"/>
        <n v="4344"/>
        <n v="4800"/>
        <n v="1968.2"/>
        <n v="3936.4"/>
        <n v="5124"/>
        <n v="1999.2"/>
        <n v="499.8"/>
        <n v="2400"/>
        <n v="2778"/>
        <n v="5871"/>
        <n v="7135.2"/>
        <n v="1783.8"/>
        <n v="32"/>
        <n v="5816"/>
        <n v="4567.9"/>
        <n v="806.1"/>
        <n v="398"/>
        <n v="3127.2"/>
        <n v="781.8"/>
        <n v="10579"/>
        <n v="2000"/>
        <n v="4810"/>
        <n v="2608"/>
        <n v="188"/>
        <n v="4086"/>
        <n v="2972.8"/>
        <n v="743.2"/>
        <n v="4279"/>
        <n v="19733"/>
        <n v="7020"/>
        <n v="4366"/>
        <n v="3604"/>
        <n v="1798.8"/>
        <n v="2249.5"/>
        <n v="2195.4"/>
        <n v="15392"/>
        <n v="4400"/>
        <n v="898"/>
        <n v="7000"/>
        <n v="3000"/>
        <n v="5100"/>
        <n v="3958"/>
        <n v="6440"/>
        <n v="1310"/>
        <n v="2240"/>
        <n v="560"/>
        <n v="5032.8"/>
        <n v="1258.2"/>
        <n v="4885.4"/>
        <n v="6744.4"/>
        <n v="4612.8"/>
        <n v="1153.2"/>
        <n v="3600"/>
        <n v="2789"/>
        <n v="1621"/>
        <n v="4078.4"/>
        <n v="1019.6"/>
        <n v="1560"/>
        <n v="390"/>
        <n v="2462.2"/>
        <n v="703.8"/>
        <n v="124.2"/>
        <n v="2950"/>
        <n v="2620"/>
        <n v="655"/>
        <n v="4847.2"/>
        <n v="1211.8"/>
        <n v="10972"/>
        <n v="800"/>
        <n v="3180"/>
        <n v="10124"/>
        <n v="6917.96"/>
        <n v="3679"/>
        <n v="1960"/>
        <n v="490"/>
        <n v="2715.2"/>
        <n v="678.8"/>
        <n v="890"/>
        <n v="4798"/>
        <n v="1984"/>
        <n v="372"/>
        <n v="496"/>
        <n v="799"/>
        <n v="619.65"/>
        <n v="109.35"/>
        <n v="7351"/>
        <n v="850"/>
        <n v="3400"/>
        <n v="600"/>
        <n v="1700"/>
        <n v="1000"/>
        <n v="7438.76"/>
        <n v="700"/>
        <n v="2578"/>
        <n v="2741"/>
        <n v="3500"/>
        <n v="750"/>
        <n v="2698"/>
        <n v="2800"/>
        <n v="3636"/>
        <n v="2558"/>
        <n v="1760"/>
        <n v="440"/>
        <n v="4638"/>
        <n v="4458"/>
        <n v="6981"/>
        <n v="1618"/>
        <n v="730"/>
        <n v="2745"/>
        <n v="9100"/>
        <n v="4249"/>
        <n v="6000"/>
        <n v="3200"/>
        <n v="295"/>
        <n v="1460"/>
        <n v="3360"/>
        <n v="791"/>
        <n v="1903.2"/>
        <n v="475.8"/>
        <n v="2196"/>
        <n v="549"/>
        <n v="5850"/>
        <n v="2100"/>
        <n v="2300"/>
        <n v="6052.76"/>
        <n v="3291"/>
        <n v="3244"/>
        <n v="811"/>
        <n v="1379"/>
        <n v="6291"/>
        <n v="618"/>
        <n v="6500"/>
        <n v="2597.6"/>
        <n v="649.4"/>
        <n v="3311.2"/>
        <n v="827.8"/>
        <n v="1196"/>
        <n v="5800"/>
        <n v="2481.7"/>
        <n v="4299"/>
        <n v="3838"/>
        <n v="2070"/>
        <n v="2360.8"/>
        <n v="590.2"/>
        <n v="3245"/>
        <n v="4639"/>
        <n v="5430.4"/>
        <n v="1357.6"/>
        <n v="2594"/>
        <n v="12768"/>
        <n v="8000"/>
        <n v="770"/>
        <n v="3136"/>
        <n v="3230"/>
        <n v="2984"/>
        <n v="2685.6"/>
        <n v="2788"/>
        <n v="5089.8"/>
        <n v="898.2"/>
        <n v="2079"/>
        <n v="2000.6"/>
        <n v="35360"/>
        <n v="3832.8"/>
        <n v="958.2"/>
        <n v="3369"/>
        <n v="5360"/>
        <n v="1340"/>
        <n v="2496"/>
        <n v="836"/>
        <n v="4000"/>
        <n v="351"/>
        <n v="3990"/>
        <n v="1893"/>
        <n v="1895"/>
        <n v="3138"/>
        <n v="5572.8"/>
        <n v="1393.2"/>
        <n v="4295"/>
        <n v="9600"/>
        <n v="960"/>
        <n v="240"/>
        <n v="5597"/>
        <n v="4003"/>
        <n v="4002"/>
        <n v="4020"/>
        <n v="4180"/>
        <n v="10258"/>
        <n v="3708"/>
        <n v="8145"/>
        <n v="135"/>
        <n v="3139"/>
        <n v="3270"/>
        <n v="1800"/>
        <n v="450"/>
        <n v="14000"/>
        <n v="3128"/>
        <n v="3788"/>
        <n v="5880.8"/>
        <n v="1470.2"/>
        <n v="2986"/>
        <n v="3070"/>
        <n v="6800"/>
        <n v="1200"/>
        <n v="3888"/>
        <n v="3209.2"/>
        <n v="8055"/>
        <n v="3908"/>
        <n v="2856.8"/>
        <n v="714.2"/>
        <n v="2787.2"/>
        <n v="3261.7"/>
        <n v="2033.6"/>
        <n v="508.4"/>
        <n v="23400"/>
        <n v="2502"/>
        <n v="4160"/>
        <n v="1040"/>
        <n v="873"/>
        <n v="2680"/>
        <n v="670"/>
        <n v="4699"/>
        <n v="47"/>
        <n v="2813.2"/>
        <n v="2936.8"/>
        <n v="734.2"/>
        <n v="3311"/>
        <n v="3150"/>
        <n v="2576"/>
        <n v="6272"/>
        <n v="1840"/>
        <n v="460"/>
        <n v="3680"/>
        <n v="920"/>
        <n v="508"/>
        <n v="3130"/>
        <n v="2654"/>
        <n v="3688"/>
        <n v="3848"/>
        <n v="4239"/>
        <n v="8229"/>
        <n v="2231.2"/>
        <n v="557.8"/>
        <n v="222"/>
        <n v="1500"/>
        <n v="4238"/>
        <n v="854"/>
        <n v="5480"/>
        <n v="4128"/>
        <n v="1765"/>
        <n v="4725"/>
      </sharedItems>
    </cacheField>
    <cacheField name="第三方单据编号" numFmtId="0">
      <sharedItems containsString="0" containsBlank="1" containsNonDate="0" count="1">
        <m/>
      </sharedItems>
    </cacheField>
    <cacheField name="结算本位币" numFmtId="0">
      <sharedItems containsBlank="1" count="2">
        <s v="人民币"/>
        <m/>
      </sharedItems>
    </cacheField>
    <cacheField name="结算汇率类型" numFmtId="0">
      <sharedItems containsBlank="1" count="2">
        <s v="固定汇率"/>
        <m/>
      </sharedItems>
    </cacheField>
    <cacheField name="POS参考号" numFmtId="0">
      <sharedItems containsString="0" containsBlank="1" containsNonDate="0" count="1">
        <m/>
      </sharedItems>
    </cacheField>
    <cacheField name="收据号码" numFmtId="0">
      <sharedItems containsString="0" containsBlank="1" containsNonDate="0" count="1">
        <m/>
      </sharedItems>
    </cacheField>
    <cacheField name="公司提单号" numFmtId="0">
      <sharedItems containsString="0" containsBlank="1" containsNonDate="0" count="1">
        <m/>
      </sharedItems>
    </cacheField>
    <cacheField name="收款来源" numFmtId="0">
      <sharedItems containsString="0" containsBlank="1" containsNonDate="0" count="1">
        <m/>
      </sharedItems>
    </cacheField>
    <cacheField name="客户分组" numFmtId="0">
      <sharedItems containsBlank="1" count="18">
        <s v="杭州地区客户"/>
        <s v="杭州-主城"/>
        <m/>
        <s v="杭州-萧山"/>
        <s v="金华-主城"/>
        <s v="衢州-主城"/>
        <s v="湖州-主城"/>
        <s v="杭州-余杭"/>
        <s v="杭州-桐庐"/>
        <s v="金华-义乌"/>
        <s v="杭州-富阳"/>
        <s v="金华-兰溪"/>
        <s v="内部组织"/>
        <s v="二级网点"/>
        <s v="杭州-临安"/>
        <s v="soldto客户"/>
        <s v="台州-椒江"/>
        <s v="金华-永康"/>
      </sharedItems>
    </cacheField>
    <cacheField name="安装/维修工单号" numFmtId="0">
      <sharedItems containsString="0" containsBlank="1" containsNonDate="0" count="1">
        <m/>
      </sharedItems>
    </cacheField>
    <cacheField name="销售订单号(核销)" numFmtId="0">
      <sharedItems containsString="0" containsBlank="1" containsNonDate="0" count="1">
        <m/>
      </sharedItems>
    </cacheField>
    <cacheField name="凭小票" numFmtId="0">
      <sharedItems containsBlank="1" count="2">
        <s v="否"/>
        <m/>
      </sharedItems>
    </cacheField>
    <cacheField name="复核日期" numFmtId="0">
      <sharedItems containsString="0" containsBlank="1" containsNonDate="0" count="1">
        <m/>
      </sharedItems>
    </cacheField>
    <cacheField name="复核状态" numFmtId="0">
      <sharedItems containsString="0" containsBlank="1" containsNonDate="0" count="1">
        <m/>
      </sharedItems>
    </cacheField>
    <cacheField name="复核人" numFmtId="0">
      <sharedItems containsString="0" containsBlank="1" containsNonDate="0" count="1">
        <m/>
      </sharedItems>
    </cacheField>
    <cacheField name="核对标识" numFmtId="0">
      <sharedItems containsString="0" containsBlank="1" containsNonDate="0" count="1">
        <m/>
      </sharedItems>
    </cacheField>
    <cacheField name="师傅姓名" numFmtId="0">
      <sharedItems containsString="0" containsBlank="1" containsNonDate="0" count="1">
        <m/>
      </sharedItems>
    </cacheField>
    <cacheField name="已转账金额" numFmtId="0">
      <sharedItems containsString="0" containsBlank="1" containsNonDate="0" count="1">
        <m/>
      </sharedItems>
    </cacheField>
    <cacheField name="转账状态" numFmtId="0">
      <sharedItems containsBlank="1" count="2">
        <s v="未关闭"/>
        <m/>
      </sharedItems>
    </cacheField>
    <cacheField name="费用承担部门" numFmtId="0">
      <sharedItems containsString="0" containsBlank="1" containsNonDate="0" count="1">
        <m/>
      </sharedItems>
    </cacheField>
    <cacheField name="公司承担减免金额" numFmtId="0">
      <sharedItems containsString="0" containsBlank="1" containsNumber="1" containsInteger="1" minValue="0" maxValue="0" count="2">
        <m/>
        <n v="0"/>
      </sharedItems>
    </cacheField>
    <cacheField name="AO承担减免金额" numFmtId="0">
      <sharedItems containsString="0" containsBlank="1" containsNumber="1" containsInteger="1" minValue="0" maxValue="0" count="2">
        <m/>
        <n v="0"/>
      </sharedItems>
    </cacheField>
    <cacheField name="费用项目" numFmtId="0">
      <sharedItems containsString="0" containsBlank="1" containsNonDate="0" count="1">
        <m/>
      </sharedItems>
    </cacheField>
    <cacheField name="商场对账单号" numFmtId="0">
      <sharedItems containsString="0" containsBlank="1" containsNonDate="0" count="1">
        <m/>
      </sharedItems>
    </cacheField>
    <cacheField name="采暖合同编号" numFmtId="0">
      <sharedItems containsString="0" containsBlank="1" containsNonDate="0" count="1">
        <m/>
      </sharedItems>
    </cacheField>
    <cacheField name="用户姓名(单据头)" numFmtId="0">
      <sharedItems containsBlank="1" count="328">
        <s v="廖永芳"/>
        <s v="吴璐瑶"/>
        <s v="田昆明"/>
        <s v="王静涵"/>
        <s v="2025年10月结算(换新1-4）"/>
        <m/>
        <s v="钱江"/>
        <s v="洪二香"/>
        <s v="王旭"/>
        <s v="诸葛伟"/>
        <s v="林爱花"/>
        <s v="郑星"/>
        <s v="张艳佳"/>
        <s v="吴苏萍"/>
        <s v="郑笑平"/>
        <s v="李冬梅"/>
        <s v="王旭东"/>
        <s v="金丽敏"/>
        <s v="湖州中太芯猫科技有限公司"/>
        <s v="陈海军"/>
        <s v="刘利"/>
        <s v="徐广东"/>
        <s v="2025年10月结算(换新5-10）"/>
        <s v="2025年10月结算(换新11-16）"/>
        <s v="2025年10月结算(换新17-24）"/>
        <s v="2025年10月结算(换新25-31）"/>
        <s v="2025年10月结算(换新32-34）"/>
        <s v="冯泽英"/>
        <s v="陈垚明"/>
        <s v="李蒙"/>
        <s v="高骏"/>
        <s v="王永林"/>
        <s v="周国成"/>
        <s v="姜文东"/>
        <s v="曾城洲"/>
        <s v="何志鹏"/>
        <s v="叶成光"/>
        <s v="吕祝平"/>
        <s v="吴健"/>
        <s v="2025年10月结算(换新35-38）"/>
        <s v="2025年10月结算(换新39）"/>
        <s v="祝振权"/>
        <s v="浙江本越环保科技有限公司"/>
        <s v="周红燕"/>
        <s v="项延杰"/>
        <s v="陈金才"/>
        <s v="周海英"/>
        <s v="马遇伯"/>
        <s v="义乌颖亿贸易有限公司"/>
        <s v="陆思岚"/>
        <s v="杨利月"/>
        <s v="章亦华"/>
        <s v="章浩军"/>
        <s v="于洋"/>
        <s v="杨逸"/>
        <s v="杭州霏铭商贸有限公司"/>
        <s v="宁波得金智慧科技有限公司"/>
        <s v="何伟建"/>
        <s v="邵之介"/>
        <s v="方海云"/>
        <s v="洪员清"/>
        <s v="章宽友"/>
        <s v="浙江普农家电有限公司"/>
        <s v="徐昭"/>
        <s v="王清湄"/>
        <s v="柴青"/>
        <s v="朱建华"/>
        <s v="蒋杰"/>
        <s v="杭州联元厨具有限公司"/>
        <s v="张桥"/>
        <s v="朱敏"/>
        <s v="臧红"/>
        <s v="杭州汇芝暖通设备有限公司"/>
        <s v="2025年10月结算(换新40-47）"/>
        <s v="2025年10月结算(换新48-54）"/>
        <s v="2025年10月结算(换新55-63）"/>
        <s v="郑红燕"/>
        <s v="杨雪娟"/>
        <s v="德帕姆(杭州)泵业科技有限公司"/>
        <s v="杭州鸿建建筑工程有限公司"/>
        <s v="童高锋"/>
        <s v="汤剑武"/>
        <s v="张超"/>
        <s v="陈卫东"/>
        <s v="沈亚"/>
        <s v="泰州锦禧商贸有限公司"/>
        <s v="冯春凤"/>
        <s v="严成胜"/>
        <s v="陈羲龙"/>
        <s v="袁雪丽"/>
        <s v="施申亚"/>
        <s v="2025年10月结算(换新64-74）"/>
        <s v="2025年10月结算(换新75-78）"/>
        <s v="谢先生"/>
        <s v="李高阳"/>
        <s v="李文佳"/>
        <s v="杜国群"/>
        <s v="陈广"/>
        <s v="杭州华鼎进出口有限公司"/>
        <s v="孙志刚"/>
        <s v="王昇"/>
        <s v="陆荣德"/>
        <s v="桐庐佳尼特水处理设备有限公司"/>
        <s v="柴波"/>
        <s v="嘉兴苏宁样机王方燕"/>
        <s v="陆荣徳"/>
        <s v="胡素娥"/>
        <s v="金艳"/>
        <s v="袁芳"/>
        <s v="杭州中熠芯猫科技有限公司"/>
        <s v="张牡芬"/>
        <s v="葛芬"/>
        <s v="钟正祥"/>
        <s v="胡云静"/>
        <s v="杭州扎美珂暖通设备有限公司"/>
        <s v="吴怡蒲"/>
        <s v="郁佳斌"/>
        <s v="刘丹群"/>
        <s v="俞馨怡"/>
        <s v="杨立锋"/>
        <s v="龙光珍"/>
        <s v="李霞"/>
        <s v="朱照红"/>
        <s v="杭州允选科技有限公司"/>
        <s v="夏林梅"/>
        <s v="张磊"/>
        <s v="金惠珍"/>
        <s v="浙江百灵电气集团有限公司"/>
        <s v="2025年10月结算(换新80-83）"/>
        <s v="2025年10月叶小红结算(换新84）"/>
        <s v="2025年10月结算(换新85-94）"/>
        <s v="曹洋"/>
        <s v="倪旭栋"/>
        <s v="张丽"/>
        <s v="孙志佳"/>
        <s v="刘勒"/>
        <s v="孙淑芸"/>
        <s v="杨红伟"/>
        <s v="叶承德"/>
        <s v="朱维明"/>
        <s v="杭州中博智能电器有限公司"/>
        <s v="周建"/>
        <s v="贝壳美家供应链管理（浙江）有限责任公司"/>
        <s v="鲁迁"/>
        <s v="张晓莉"/>
        <s v="李靓"/>
        <s v="徐大卫"/>
        <s v="夏顺兰"/>
        <s v="钟明亮"/>
        <s v="朱海燕"/>
        <s v="张勤宝"/>
        <s v="高延飞"/>
        <s v="戚明火"/>
        <s v="朱霆"/>
        <s v="苗天汉"/>
        <s v="林雅琴"/>
        <s v="吴利军"/>
        <s v="常红银"/>
        <s v="陈兵"/>
        <s v="陈谦茜"/>
        <s v="苏卫东"/>
        <s v="黄晓玲"/>
        <s v="2025年10月结算(换新95-101）"/>
        <s v="2025年10月结算(换新102-107）"/>
        <s v="徐敏"/>
        <s v="马强"/>
        <s v="宋应学"/>
        <s v="张建利"/>
        <s v="熊欢"/>
        <s v="毛小荣"/>
        <s v="朱灵燕"/>
        <s v="徐兰娟"/>
        <s v="金赛英"/>
        <s v="陈忠民"/>
        <s v="缪如意"/>
        <s v="倪建俊"/>
        <s v="孙艳"/>
        <s v="金华汇隆电子设备有限公司"/>
        <s v="姚丽"/>
        <s v="董选思"/>
        <s v="2025年10月结算(换新113-122）"/>
        <s v="2025年10月结算(换新108-112）"/>
        <s v="李总"/>
        <s v="王爱娣"/>
        <s v="徐小倩"/>
        <s v="蒋景仙"/>
        <s v="童素婷"/>
        <s v="朱家琪"/>
        <s v="鲁杭燕"/>
        <s v="王泽琪"/>
        <s v="庄勇"/>
        <s v="2025年10月结算(换新123-128）"/>
        <s v="黄乐"/>
        <s v="章全"/>
        <s v="2025年10月结算(换新129-135）"/>
        <s v="屈新雅"/>
        <s v="沈国伟"/>
        <s v="王泽源"/>
        <s v="余碧英"/>
        <s v="淮安昊天家电有限公司"/>
        <s v="袁梦"/>
        <s v="郭李平"/>
        <s v="许萍"/>
        <s v="胡闰颖"/>
        <s v="姚莉娜"/>
        <s v="郭凯凯"/>
        <s v="谢培喜"/>
        <s v="万畅"/>
        <s v="刘旭霞"/>
        <s v="陈晨"/>
        <s v="张佳炜"/>
        <s v="黄小露"/>
        <s v="杨波"/>
        <s v="杨金忠"/>
        <s v="吕龙戚"/>
        <s v="徐志华"/>
        <s v="顾惠娟"/>
        <s v="李少兰"/>
        <s v="赵瑞祥"/>
        <s v="应燕霞"/>
        <s v="童华波"/>
        <s v="宋腾飞"/>
        <s v="殷耀成"/>
        <s v="陈鑫月"/>
        <s v="叶文来"/>
        <s v="张慧慧"/>
        <s v="浙江云顶贸易有限公司"/>
        <s v="龚晓群"/>
        <s v="2025年10月结算(换新136-143）"/>
        <s v="2025年10月结算(换新144-151）"/>
        <s v="房烈龙"/>
        <s v="戴胜男"/>
        <s v="张亚安"/>
        <s v="陈蓝"/>
        <s v="李良松"/>
        <s v="程丽梅"/>
        <s v="封珍保"/>
        <s v="张沉沉"/>
        <s v="陈琳"/>
        <s v="王安然"/>
        <s v="钟伟"/>
        <s v="毛月萍"/>
        <s v="袁佳琪"/>
        <s v="王黎明"/>
        <s v="陈晶宇"/>
        <s v="赵甄妮"/>
        <s v="徐峰"/>
        <s v="邵小明"/>
        <s v="张婷婷"/>
        <s v="沈国生"/>
        <s v="张艾嘉"/>
        <s v="陈菲"/>
        <s v="方丹红"/>
        <s v="杨致权"/>
        <s v="叶坚"/>
        <s v="唐晓阳"/>
        <s v="周立川"/>
        <s v="毛荣军"/>
        <s v="颜林"/>
        <s v=" 陈春萍"/>
        <s v="蒋诚明"/>
        <s v="李建荣"/>
        <s v="袁万紫"/>
        <s v="沈巧凤"/>
        <s v="贾羽秀"/>
        <s v="钟益强"/>
        <s v="杨翠容"/>
        <s v="虞立明"/>
        <s v="李昊然"/>
        <s v="2025年10月结算(换新152-160）"/>
        <s v="2025年10月客户结算(换新161）"/>
        <s v="2025年10月结算(换新162-165）"/>
        <s v="郑美华"/>
        <s v="茅莹莹"/>
        <s v="包雅娟"/>
        <s v="熊湘华"/>
        <s v="符陆帅"/>
        <s v="陈金峰"/>
        <s v="陆芸"/>
        <s v="王世傲"/>
        <s v="郭琴"/>
        <s v="刘玲凤"/>
        <s v="曾武"/>
        <s v="周竞先"/>
        <s v="袁志斌"/>
        <s v="协建（杭州）贸易有限公司"/>
        <s v="徐丽雯"/>
        <s v="程仙宝"/>
        <s v="余云芬"/>
        <s v="张加良"/>
        <s v="郝丽丽"/>
        <s v="绍兴艾欧中嘉环境设备有限公司"/>
        <s v="单晨超"/>
        <s v="刘静"/>
        <s v="陆娇"/>
        <s v="2025年10月结算(换新166-171）"/>
        <s v="2025年10月结算(换新172-182）"/>
        <s v="金华一启家电有限公司"/>
        <s v="余思思"/>
        <s v="俞雪婷"/>
        <s v="高利军"/>
        <s v="郎鑫慷"/>
        <s v="庞全"/>
        <s v="马青华"/>
        <s v="于贤君"/>
        <s v="李耳刚"/>
        <s v="戴操"/>
        <s v="陆海燕"/>
        <s v="葛建红"/>
        <s v="丽水市宏大化学用料有限公司丽新分公司"/>
        <s v="韩玉英"/>
        <s v="徐范"/>
        <s v="贾听令"/>
        <s v="陈益飞    "/>
        <s v="何晓莺"/>
        <s v="浙江雄升新材料科技有限公司"/>
        <s v="占水萍"/>
        <s v="傅柳刚"/>
        <s v="金兰"/>
        <s v="朱连凤"/>
        <s v="黄石市玉祥电器有限公司"/>
        <s v="2025年10月结算(换新183-185）"/>
        <s v="永康市荣浪家用电器有限公司"/>
        <s v="蒋培龙"/>
        <s v="韩斌"/>
        <s v="石光侠"/>
        <s v="张晓平"/>
        <s v="杭州与凡物流有限公司"/>
      </sharedItems>
    </cacheField>
    <cacheField name="用户手机(单据头)" numFmtId="0">
      <sharedItems containsBlank="1" count="298">
        <s v="13777883190"/>
        <s v="18757218931"/>
        <s v="13958183811"/>
        <s v="15990178595"/>
        <m/>
        <s v="15381018947"/>
        <s v="13738157701"/>
        <s v="15157146987"/>
        <s v="15258992858"/>
        <s v="13857981322"/>
        <s v="18357002327"/>
        <s v="13666640691"/>
        <s v="13575840935"/>
        <s v="13705719928"/>
        <s v="13750837396"/>
        <s v="13335710581"/>
        <s v="1315725269"/>
        <s v="13616539181"/>
        <s v="15268117016"/>
        <s v="13683762291"/>
        <s v="13094805606"/>
        <s v="1869000650"/>
        <s v="18626892539"/>
        <s v="13335711339"/>
        <s v="18968906210"/>
        <s v="15805710535"/>
        <s v="13857108921"/>
        <s v="18988475722"/>
        <s v="15868169479"/>
        <s v="13867460339"/>
        <s v="13306810636"/>
        <s v="18668139761"/>
        <s v="18815151934"/>
        <s v="13858079575"/>
        <s v="15561836777"/>
        <s v="15088600687"/>
        <s v="15888840126"/>
        <s v="15267076317"/>
        <s v="13606562973"/>
        <s v="13275120002"/>
        <s v="13362868111"/>
        <s v="15658113566"/>
        <s v="13588412880"/>
        <s v="18658186665"/>
        <s v="15157180122"/>
        <s v="15056822913"/>
        <s v="13805713570"/>
        <s v="18857141922"/>
        <s v="15224068217"/>
        <s v="13958689012"/>
        <s v="13989837661"/>
        <s v="18858117800"/>
        <s v="18266949630"/>
        <s v="13738060068"/>
        <s v="13757903999"/>
        <s v="15068066151"/>
        <s v="15268835123"/>
        <s v="13968692266"/>
        <s v="13868091188"/>
        <s v="13905819419"/>
        <s v="18067946277"/>
        <s v="17858210016"/>
        <s v="18758887263"/>
        <s v="13606503642"/>
        <s v="15869521084"/>
        <s v="18857110081"/>
        <s v="18057196392"/>
        <s v="13636477118"/>
        <s v="13567119867"/>
        <s v="15558020273"/>
        <s v="13666614206"/>
        <s v="18652866040"/>
        <s v="18968089167"/>
        <s v="17706420919"/>
        <s v="13017918271"/>
        <s v="13735493827"/>
        <s v="15858164998"/>
        <s v="15957917609"/>
        <s v="13506584031"/>
        <s v="18668003808"/>
        <s v="15314607226"/>
        <s v="13588015476"/>
        <s v="13958071015"/>
        <s v="13805729029"/>
        <s v="13868175169"/>
        <s v="15167136006"/>
        <s v="15372011731"/>
        <s v="15158115000"/>
        <s v="13735439514"/>
        <s v="15957257720"/>
        <s v="17816850215"/>
        <s v="13067965778"/>
        <s v="15967126474"/>
        <s v="18868716312"/>
        <s v="15968144469"/>
        <s v="15824477050"/>
        <s v="17826868097"/>
        <s v="17858529170"/>
        <s v="15857190638"/>
        <s v="15906665157"/>
        <s v="15068159174"/>
        <s v="13989808868"/>
        <s v="18268818110"/>
        <s v="13906886816"/>
        <s v="15257746926"/>
        <s v="15858218361"/>
        <s v="13858186125"/>
        <s v="19157676797"/>
        <s v="13336105253"/>
        <s v="18814833660"/>
        <s v="18757233608"/>
        <s v="13355783541"/>
        <s v="13056960869"/>
        <s v="13867114688"/>
        <s v="18067974675"/>
        <s v="13867133070"/>
        <s v="13588831203"/>
        <s v="13906518292"/>
        <s v="13958101437"/>
        <s v="13588163990"/>
        <s v="18042018900"/>
        <s v="13958058865"/>
        <s v="18119944112"/>
        <s v="18657196161"/>
        <s v="13588880066"/>
        <s v="13003695518"/>
        <s v="13600514329"/>
        <s v="13506857485"/>
        <s v="18167226579"/>
        <s v="13906539068"/>
        <s v="13868188828"/>
        <s v="13819182682"/>
        <s v="15824491418"/>
        <s v="15867143068"/>
        <s v="13757150185"/>
        <s v="15958128642"/>
        <s v="13804642200"/>
        <s v="15088673019"/>
        <s v="13196045136"/>
        <s v="13757191915"/>
        <s v="13575751820"/>
        <s v="15267462050"/>
        <s v="15867144182"/>
        <s v="13867162570"/>
        <s v="18368821150"/>
        <s v="15158873858"/>
        <s v="13516982880"/>
        <s v="13867979554"/>
        <s v="13958001909"/>
        <s v="13906524139"/>
        <s v="15968198874"/>
        <s v="15161076093"/>
        <s v="13857199815"/>
        <s v="15297276003"/>
        <s v="13017970011"/>
        <s v="13071846433"/>
        <s v="15372353997"/>
        <s v="13905718722"/>
        <s v="13516724856"/>
        <s v="13777485710"/>
        <s v="13968195599"/>
        <s v="13615813273"/>
        <s v="13335811912"/>
        <s v="15825514982"/>
        <s v="13386516090"/>
        <s v="13857198001"/>
        <s v="13867970040"/>
        <s v="13905819174"/>
        <s v="15857392858"/>
        <s v="13325716909"/>
        <s v="19819732198"/>
        <s v="13325810268"/>
        <s v="18251027222"/>
        <s v="13372417002"/>
        <s v="13396584838"/>
        <s v="17300949927"/>
        <s v="15906716505"/>
        <s v="13335815921"/>
        <s v="15869127486"/>
        <s v="15858157459"/>
        <s v="***"/>
        <s v="18221033128"/>
        <s v="15397155118"/>
        <s v="18261551688"/>
        <s v="18606719515"/>
        <s v="15381128661"/>
        <s v="13685753921"/>
        <s v="15867029111"/>
        <s v="18606793888"/>
        <s v="15906677011"/>
        <s v="18067218052"/>
        <s v="13957181677"/>
        <s v="15201921546"/>
        <s v="13456935333"/>
        <s v="13093703130"/>
        <s v="15967147783"/>
        <s v="18268203882"/>
        <s v="18106507350"/>
        <s v="13957199599"/>
        <s v="13735804886"/>
        <s v="15869161872"/>
        <s v="18969163290"/>
        <s v="13906612920"/>
        <s v="13157178826"/>
        <s v="13906502648"/>
        <s v="13376093902"/>
        <s v="13906512695"/>
        <s v="13666622588"/>
        <s v="13588043498"/>
        <s v="13666654336"/>
        <s v="13777499293"/>
        <s v="13029489501"/>
        <s v="13588757264"/>
        <s v="15906635788"/>
        <s v="15940502856"/>
        <s v="13750843139"/>
        <s v="13989304419"/>
        <s v="13586992216"/>
        <s v="15869020797"/>
        <s v="13780080165"/>
        <s v="18768499914"/>
        <s v="18868831226"/>
        <s v="18668166099"/>
        <s v="13065708380"/>
        <s v="13858088600"/>
        <s v="18367141888"/>
        <s v="18151548215"/>
        <s v="13587618051"/>
        <s v="15757821083"/>
        <s v="13758284088"/>
        <s v="13064785778"/>
        <s v="13606621366"/>
        <s v="13606637577"/>
        <s v="15058135363"/>
        <s v=" 13675874326"/>
        <s v="13777889072"/>
        <s v="13968104394"/>
        <s v="13588062682"/>
        <s v="18258283466"/>
        <s v="13750803281"/>
        <s v="15858131810"/>
        <s v="15958131555"/>
        <s v="13958008027"/>
        <s v="18958124500"/>
        <s v="13906519223"/>
        <s v="13296737363"/>
        <s v="13858153955"/>
        <s v="13735539238"/>
        <s v="13575474719"/>
        <s v="15988481118"/>
        <s v="18806504916"/>
        <s v="13735550722"/>
        <s v="13989459496"/>
        <s v="15257838811"/>
        <s v="15267126980"/>
        <s v="13867428900"/>
        <s v="13958092521"/>
        <s v="15906637138"/>
        <s v="17802532595"/>
        <s v="18658818769"/>
        <s v="13588082320"/>
        <s v="13336084931"/>
        <s v="15068815970"/>
        <s v="13486411126"/>
        <s v="13967182167"/>
        <s v="18057195198"/>
        <s v="13575507341"/>
        <s v="15967318046"/>
        <s v="18767232762"/>
        <s v="18857875476"/>
        <s v="18758859955"/>
        <s v="13806887311"/>
        <s v="19857116585"/>
        <s v="15068873778"/>
        <s v="15957962933"/>
        <s v="13858374310"/>
        <s v="13588001000"/>
        <s v="13606811100"/>
        <s v="13957189295"/>
        <s v="15924175586"/>
        <s v="13738148610"/>
        <s v="13705813029"/>
        <s v="13758103174"/>
        <s v="13705714799"/>
        <s v="15058504803"/>
        <s v="18857993543"/>
        <s v="13616711162"/>
        <s v="13588292908"/>
        <s v="13575700228"/>
        <s v="18657121929"/>
        <s v="15996026086"/>
        <s v="13606528957"/>
        <s v="18924600507"/>
        <s v="13396583618"/>
        <s v="19121765659"/>
        <s v="13906512226"/>
        <s v="13989810666"/>
        <s v="13456766056"/>
      </sharedItems>
    </cacheField>
    <cacheField name="其他号码(单据头)" numFmtId="0">
      <sharedItems containsBlank="1" count="4">
        <m/>
        <s v="13757124203"/>
        <s v="13777301652"/>
        <s v="13456769488"/>
      </sharedItems>
    </cacheField>
    <cacheField name="门店承担费用" numFmtId="0">
      <sharedItems containsString="0" containsBlank="1" containsNonDate="0" count="1">
        <m/>
      </sharedItems>
    </cacheField>
    <cacheField name="费用承担门店（非挂账)" numFmtId="0">
      <sharedItems containsString="0" containsBlank="1" containsNonDate="0" count="1">
        <m/>
      </sharedItems>
    </cacheField>
    <cacheField name="费用承担员工(非挂账)" numFmtId="0">
      <sharedItems containsString="0" containsBlank="1" containsNonDate="0" count="1">
        <m/>
      </sharedItems>
    </cacheField>
    <cacheField name="员工承担费用" numFmtId="0">
      <sharedItems containsString="0" containsBlank="1" containsNonDate="0" count="1">
        <m/>
      </sharedItems>
    </cacheField>
    <cacheField name="结算人员备注" numFmtId="0">
      <sharedItems containsBlank="1" count="221">
        <m/>
        <s v="2025年10月结算(换新1-4）"/>
        <s v="2025100122001464461405582215"/>
        <s v="'2025100222001400021430908377"/>
        <s v="2025100222001431571449156527"/>
        <s v="'2025100222001431511430156610"/>
        <s v="2025100322001459741433588445"/>
        <s v="'2025100322001453241419896070"/>
        <s v="2025100322001438391430215115"/>
        <s v="2025100422001497631442263144"/>
        <s v="2025年10月结算(换新5-10）"/>
        <s v="2025年10月结算(换新11-16）"/>
        <s v="2025年10月结算(换新17-24）"/>
        <s v="2025年10月结算(换新25-31）"/>
        <s v="2025年10月结算(换新32-34）"/>
        <s v="2025100522001427851426692205"/>
        <s v="2025100522001424201415448887"/>
        <s v="2025100522001457641445790253"/>
        <s v="'2025100522001439511449364436"/>
        <s v="'2025100322001404301430791680"/>
        <s v="2025100322001483231432801313"/>
        <s v="2025100322001483231430072112"/>
        <s v="'2025100622001463731420729190"/>
        <s v="2025100622001406721457173777"/>
        <s v="2025100622001446031447301883"/>
        <s v="2025年10月结算(换新35-38）"/>
        <s v="2025年10月结算(换新39）"/>
        <s v="2025100722001409581452386654"/>
        <s v="2025100722001480941429674315"/>
        <s v="2025100622001422151440873414"/>
        <s v="2025100722001477741405201285"/>
        <s v="2025100722001423181418137035"/>
        <s v="2025100522001448201457996768"/>
        <s v="2025100722001423181417907046"/>
        <s v="2025100822001441681408295464"/>
        <s v="2025100822001417161405876291_x000a__x000a_2025100822001417161412233285"/>
        <s v="2025100822001417161412233285"/>
        <s v="2025年9月结算"/>
        <s v="2025100822001491221404907885"/>
        <s v="2025100822001491641408013838"/>
        <s v="2025100822001466161410184092"/>
        <s v="2025100922001423061407124483"/>
        <s v="2025100922001470241405644446"/>
        <s v="2025年10月结算(换新40-47）"/>
        <s v="2025年10月结算(换新48-54）"/>
        <s v="2025年10月结算(换新55-63）"/>
        <s v="抵SKTKD251010001-已送货，空进空出-改客户名字"/>
        <s v="抵SKTKD251010002-已送货，空进空出-改客户名字"/>
        <s v="2025101123001431811418018101"/>
        <s v="交易订单号：2025101122001464241423446236"/>
        <s v="2025101022001422161428271212"/>
        <s v="2025101122001403361418765733"/>
        <s v="2025101122001403361416639931"/>
        <s v="'2025101222001439801403346027"/>
        <s v="2025年10月结算(换新64-74）"/>
        <s v="2025年10月结算(换新75-78）"/>
        <s v="2025年10月谢先生结算(换新79）"/>
        <s v="2025101322001497101453171344"/>
        <s v="2025101322001419761439314161"/>
        <s v="2025101322001460001417988813"/>
        <s v="2025101022001427831408384123"/>
        <s v="'2025101222001432091437911532"/>
        <s v="2025101322001498041437650778"/>
        <s v="2025101322001430861417666895"/>
        <s v="2025101222001404141445649128"/>
        <s v="2025101322001419761432449072"/>
        <s v="2025101422001479671407338892"/>
        <s v="2025101422001462201424376544"/>
        <s v="2025101422001440281405077131"/>
        <s v="2025年7.10～9.9商场结算净水"/>
        <s v="2025年6.10～9.9商场结算（烟灶）"/>
        <s v="2025101422001405621443602812"/>
        <s v="2025101422001405791453400717"/>
        <s v="2025101422001427521430443509"/>
        <s v="2025年10月结算(换新80-83）"/>
        <s v="2025年10月叶小红结算(换新84）"/>
        <s v="2025年10月结算(换新85-94）"/>
        <s v="2025101522001482171413112763"/>
        <s v="2025101522001465641449952571"/>
        <s v="2025101622001416461427634305"/>
        <s v="2025101622001413021401752604"/>
        <s v="2025101622001460461437517643"/>
        <s v="2025101523001440401448742389"/>
        <s v="2025101622001410771413883507"/>
        <s v="中博2025年4月结算（金华）"/>
        <s v="中博2025年6月结算（金华）"/>
        <s v="2025年8月结算"/>
        <s v="中博2025年9月结算（杭州）"/>
        <s v="2025101722001414891450248851"/>
        <s v="2025101722001447511404149797"/>
        <s v="2025101722001487621408267229"/>
        <s v="2025101622001472271426927109"/>
        <s v="2025101722001405291416794536"/>
        <s v="未送货，现退款"/>
        <s v="2025101722001409001426599095"/>
        <s v="2025101722001496961430050743"/>
        <s v="2025101822001445511411852577"/>
        <s v="2025101822001478021409960960"/>
        <s v="2025101822001482171419958083"/>
        <s v="2025101822001460321401060098"/>
        <s v="2025101823001490601443018969"/>
        <s v="2025101822001473861417066613"/>
        <s v="2025101822001450221405502116"/>
        <s v="2025年10月结算(换新95-101）"/>
        <s v="2025年10月结算(换新102-107）"/>
        <s v="2025101922001498371411949506"/>
        <s v="2025101822001469311436288983"/>
        <s v="2025101922001496961450021565"/>
        <s v="2025102022001471971413877426"/>
        <s v="2025101922001449591436831587"/>
        <s v="2025101922001481151409855173"/>
        <s v="2025101923001494291433057877"/>
        <s v="2025102022001431751414205492"/>
        <s v="2025102022001480651404008125"/>
        <s v="6.8刷卡4124支付3299.2以旧换新补贴824.8"/>
        <s v="2025102022001429461453481527"/>
        <s v="2025102023001426781427877334"/>
        <s v="2025年10月结算(换新113-122）"/>
        <s v="2025年10月结算(换新108-112）"/>
        <s v="2025102022001472601454177018"/>
        <s v="2025102122001477941454501791"/>
        <s v="2025102122001439351444644972"/>
        <s v="2025102122001451621446011253"/>
        <s v="2025102122001494211437710615"/>
        <s v="2025年10月结算(换新123-128）"/>
        <s v="2025102122001440741438397177"/>
        <s v="2025年10月结算(换新129-135）"/>
        <s v="2025102222001433871421144306"/>
        <s v="2025102122001447281440287675"/>
        <s v="2025102122001475431427842012"/>
        <s v="2025102222001405271430365012"/>
        <s v="2025102022001453671457909260"/>
        <s v="2025102222001480631454814934"/>
        <s v="2025102122001404461423295489"/>
        <s v="30"/>
        <s v="2025102322001480361430127794"/>
        <s v="无库存，暂挂余额"/>
        <s v="2025102222001401271450990972"/>
        <s v="微商城2025年9月结算"/>
        <s v="2025102322001498761458564184"/>
        <s v="o2o京东壁挂炉全款2025年9月结算陈菊(杭州）"/>
        <s v="2025102322001450891428451915"/>
        <s v="2025102322001403151445171405"/>
        <s v="2025102322001403151438712445"/>
        <s v="2025102322001420371445662599"/>
        <s v="2025102322001480401450673136"/>
        <s v="2025年7-8月结算商场结算单号205961861#（中嘉代开）"/>
        <s v="2025102322001461351410571888"/>
        <s v="2025102422001411491449251032"/>
        <s v="2025102423001427571402479385"/>
        <s v="2025年10月结算(换新136-143）"/>
        <s v="2025年10月结算(换新144-151）"/>
        <s v="2025102422001406221459190642"/>
        <s v="2025102522001496671420732355"/>
        <s v="2025102422001406911436959245"/>
        <s v="'2025102522001400691417921874"/>
        <s v="2025102522001416761404340353"/>
        <s v="2025102422001450611411480792"/>
        <s v="2025102322001453261435632423"/>
        <s v="4200002945202510256440742494"/>
        <s v="2025102522001428631410649164"/>
        <s v="2025102522001437771402485220"/>
        <s v="2025102522001437771459913254"/>
        <s v="2025102622001483081408739706"/>
        <s v="2025102522001434441441439003"/>
        <s v="2025102522001473031400409935"/>
        <s v="'2025102622001459071418653629"/>
        <s v="2025102622001497101434223163"/>
        <s v="2025102522001413981431028055"/>
        <s v="2025102622001412531404531628"/>
        <s v="2025102622001432051444630702"/>
        <s v="2025102522001429701409867056"/>
        <s v="2025102622001446441457347638"/>
        <s v="2025102622001496821408686261"/>
        <s v="2025102622001465641400762022"/>
        <s v="2025102622001467561457069969"/>
        <s v="2025102622001467561452243987"/>
        <s v="2025102622001450611424284837"/>
        <s v="2025102622001469721404912869"/>
        <s v="2025102622001433871453621478"/>
        <s v="2025102623001438161419467110"/>
        <s v="2025102622001498471408888852"/>
        <s v="2025102723001470681420925052"/>
        <s v="2025102622001430001446795533"/>
        <s v="2025102623001468341439315525"/>
        <s v="2025102722001421861451230372"/>
        <s v="2025102622001475471406833577"/>
        <s v="2025年10月结算(换新152-160）"/>
        <s v="2025年10月客户结算(换新161）"/>
        <s v="2025年10月结算(换新162-165）"/>
        <s v="2025102622001413611436628070"/>
        <s v="2025102722001414961444571495"/>
        <s v="2025102722001400101451908414"/>
        <s v="2025102722001423111420444126"/>
        <s v="2025102622001494821407874385"/>
        <s v="2025102722001438761419068757"/>
        <s v="2025102722001479961452060206"/>
        <s v="2025102822001472971415024604"/>
        <s v="2025102722001444681415824342"/>
        <s v="2025年9月结算（累计未回款）"/>
        <s v="2025102822001406741424391921"/>
        <s v="2025年10月结算(换新166-171）"/>
        <s v="2025年10月结算(换新172-182）"/>
        <s v="顺丰2025年9月运费"/>
        <s v="2025102922001474371418712461"/>
        <s v="2025102922001474751439155051"/>
        <s v="2025102922001474751432209903"/>
        <s v="2025103022001458401429710150"/>
        <s v="2025102922001447511425919756"/>
        <s v="2025103022001485791438299264"/>
        <s v="2025103022001416311454087063"/>
        <s v="2025103022001438161441193882"/>
        <s v="2025103022001452801424565846"/>
        <s v="2025103122001479431421187605"/>
        <s v="2025103123001483661438963790"/>
        <s v="2025103122001483661435058108"/>
        <s v="2025年10月结算(换新183-185）"/>
        <s v="2025103122001474091455039141"/>
        <s v="2025103122001485251410813044"/>
        <s v="2025103122001456681430403582"/>
        <s v="202510312200141175142392968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0"/>
    <x v="1"/>
    <x v="1"/>
    <x v="0"/>
    <x v="0"/>
    <x v="0"/>
    <x v="0"/>
    <x v="0"/>
    <x v="0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0"/>
    <x v="1"/>
    <x v="1"/>
    <x v="1"/>
    <x v="0"/>
    <x v="1"/>
    <x v="1"/>
    <x v="0"/>
    <x v="1"/>
    <x v="0"/>
    <x v="0"/>
    <x v="0"/>
    <x v="0"/>
    <x v="0"/>
    <x v="0"/>
    <x v="0"/>
    <x v="1"/>
    <x v="0"/>
    <x v="1"/>
    <x v="1"/>
    <x v="0"/>
    <x v="0"/>
    <x v="1"/>
    <x v="0"/>
    <x v="1"/>
    <x v="1"/>
    <x v="1"/>
    <x v="0"/>
    <x v="0"/>
    <x v="1"/>
    <x v="0"/>
    <x v="0"/>
    <x v="1"/>
    <x v="1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"/>
    <x v="0"/>
    <x v="0"/>
    <x v="0"/>
    <x v="0"/>
    <x v="0"/>
    <x v="2"/>
    <x v="2"/>
    <x v="0"/>
    <x v="0"/>
    <x v="0"/>
    <x v="1"/>
    <x v="0"/>
    <x v="0"/>
    <x v="2"/>
    <x v="1"/>
    <x v="0"/>
    <x v="0"/>
    <x v="0"/>
    <x v="2"/>
    <x v="2"/>
    <x v="0"/>
    <x v="0"/>
    <x v="0"/>
    <x v="0"/>
    <x v="0"/>
    <x v="0"/>
    <x v="0"/>
    <x v="0"/>
    <x v="0"/>
    <x v="1"/>
    <x v="2"/>
    <x v="0"/>
    <x v="2"/>
    <x v="2"/>
    <x v="2"/>
    <x v="0"/>
    <x v="2"/>
    <x v="0"/>
    <x v="0"/>
    <x v="0"/>
    <x v="0"/>
    <x v="0"/>
    <x v="1"/>
    <x v="0"/>
    <x v="0"/>
    <x v="0"/>
    <x v="0"/>
    <x v="2"/>
    <x v="0"/>
    <x v="0"/>
    <x v="2"/>
    <x v="0"/>
    <x v="0"/>
    <x v="2"/>
    <x v="0"/>
    <x v="2"/>
    <x v="2"/>
    <x v="2"/>
    <x v="0"/>
    <x v="1"/>
    <x v="0"/>
    <x v="0"/>
    <x v="0"/>
    <x v="2"/>
    <x v="2"/>
    <x v="0"/>
    <x v="0"/>
    <x v="0"/>
    <x v="2"/>
    <x v="0"/>
    <x v="0"/>
    <x v="0"/>
    <x v="0"/>
    <x v="2"/>
    <x v="0"/>
    <x v="0"/>
    <x v="0"/>
    <x v="0"/>
    <x v="0"/>
    <x v="1"/>
    <x v="1"/>
    <x v="1"/>
    <x v="0"/>
    <x v="0"/>
    <x v="0"/>
    <x v="0"/>
    <x v="1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</r>
  <r>
    <x v="0"/>
    <x v="3"/>
    <x v="0"/>
    <x v="0"/>
    <x v="0"/>
    <x v="0"/>
    <x v="0"/>
    <x v="3"/>
    <x v="3"/>
    <x v="0"/>
    <x v="0"/>
    <x v="0"/>
    <x v="1"/>
    <x v="0"/>
    <x v="0"/>
    <x v="3"/>
    <x v="2"/>
    <x v="0"/>
    <x v="0"/>
    <x v="0"/>
    <x v="3"/>
    <x v="3"/>
    <x v="0"/>
    <x v="0"/>
    <x v="0"/>
    <x v="0"/>
    <x v="0"/>
    <x v="0"/>
    <x v="0"/>
    <x v="0"/>
    <x v="0"/>
    <x v="1"/>
    <x v="3"/>
    <x v="0"/>
    <x v="3"/>
    <x v="3"/>
    <x v="1"/>
    <x v="0"/>
    <x v="3"/>
    <x v="1"/>
    <x v="0"/>
    <x v="1"/>
    <x v="0"/>
    <x v="0"/>
    <x v="1"/>
    <x v="0"/>
    <x v="0"/>
    <x v="0"/>
    <x v="0"/>
    <x v="3"/>
    <x v="0"/>
    <x v="1"/>
    <x v="3"/>
    <x v="0"/>
    <x v="0"/>
    <x v="3"/>
    <x v="0"/>
    <x v="3"/>
    <x v="1"/>
    <x v="3"/>
    <x v="0"/>
    <x v="1"/>
    <x v="2"/>
    <x v="0"/>
    <x v="0"/>
    <x v="3"/>
    <x v="3"/>
    <x v="0"/>
    <x v="0"/>
    <x v="0"/>
    <x v="3"/>
    <x v="0"/>
    <x v="0"/>
    <x v="0"/>
    <x v="0"/>
    <x v="3"/>
    <x v="0"/>
    <x v="0"/>
    <x v="0"/>
    <x v="0"/>
    <x v="0"/>
    <x v="1"/>
    <x v="1"/>
    <x v="1"/>
    <x v="0"/>
    <x v="0"/>
    <x v="0"/>
    <x v="0"/>
    <x v="1"/>
    <x v="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</r>
  <r>
    <x v="0"/>
    <x v="4"/>
    <x v="0"/>
    <x v="0"/>
    <x v="0"/>
    <x v="0"/>
    <x v="0"/>
    <x v="4"/>
    <x v="4"/>
    <x v="0"/>
    <x v="0"/>
    <x v="0"/>
    <x v="1"/>
    <x v="0"/>
    <x v="0"/>
    <x v="4"/>
    <x v="2"/>
    <x v="0"/>
    <x v="0"/>
    <x v="0"/>
    <x v="4"/>
    <x v="4"/>
    <x v="0"/>
    <x v="0"/>
    <x v="0"/>
    <x v="0"/>
    <x v="0"/>
    <x v="0"/>
    <x v="0"/>
    <x v="0"/>
    <x v="0"/>
    <x v="2"/>
    <x v="4"/>
    <x v="0"/>
    <x v="4"/>
    <x v="4"/>
    <x v="3"/>
    <x v="0"/>
    <x v="4"/>
    <x v="0"/>
    <x v="0"/>
    <x v="0"/>
    <x v="0"/>
    <x v="0"/>
    <x v="1"/>
    <x v="0"/>
    <x v="0"/>
    <x v="0"/>
    <x v="0"/>
    <x v="4"/>
    <x v="0"/>
    <x v="0"/>
    <x v="4"/>
    <x v="0"/>
    <x v="0"/>
    <x v="4"/>
    <x v="0"/>
    <x v="4"/>
    <x v="3"/>
    <x v="4"/>
    <x v="0"/>
    <x v="1"/>
    <x v="0"/>
    <x v="0"/>
    <x v="0"/>
    <x v="4"/>
    <x v="4"/>
    <x v="0"/>
    <x v="0"/>
    <x v="0"/>
    <x v="4"/>
    <x v="0"/>
    <x v="0"/>
    <x v="0"/>
    <x v="0"/>
    <x v="4"/>
    <x v="0"/>
    <x v="0"/>
    <x v="0"/>
    <x v="0"/>
    <x v="0"/>
    <x v="2"/>
    <x v="2"/>
    <x v="2"/>
    <x v="0"/>
    <x v="0"/>
    <x v="0"/>
    <x v="0"/>
    <x v="2"/>
    <x v="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</r>
  <r>
    <x v="0"/>
    <x v="5"/>
    <x v="0"/>
    <x v="0"/>
    <x v="0"/>
    <x v="0"/>
    <x v="0"/>
    <x v="5"/>
    <x v="5"/>
    <x v="0"/>
    <x v="0"/>
    <x v="0"/>
    <x v="1"/>
    <x v="0"/>
    <x v="0"/>
    <x v="5"/>
    <x v="2"/>
    <x v="0"/>
    <x v="0"/>
    <x v="0"/>
    <x v="5"/>
    <x v="5"/>
    <x v="0"/>
    <x v="0"/>
    <x v="0"/>
    <x v="0"/>
    <x v="0"/>
    <x v="0"/>
    <x v="0"/>
    <x v="0"/>
    <x v="0"/>
    <x v="2"/>
    <x v="5"/>
    <x v="0"/>
    <x v="5"/>
    <x v="5"/>
    <x v="1"/>
    <x v="0"/>
    <x v="5"/>
    <x v="1"/>
    <x v="0"/>
    <x v="1"/>
    <x v="0"/>
    <x v="0"/>
    <x v="1"/>
    <x v="0"/>
    <x v="0"/>
    <x v="0"/>
    <x v="0"/>
    <x v="5"/>
    <x v="0"/>
    <x v="1"/>
    <x v="5"/>
    <x v="0"/>
    <x v="0"/>
    <x v="5"/>
    <x v="0"/>
    <x v="5"/>
    <x v="1"/>
    <x v="5"/>
    <x v="0"/>
    <x v="1"/>
    <x v="2"/>
    <x v="0"/>
    <x v="0"/>
    <x v="5"/>
    <x v="5"/>
    <x v="0"/>
    <x v="0"/>
    <x v="0"/>
    <x v="5"/>
    <x v="0"/>
    <x v="0"/>
    <x v="0"/>
    <x v="0"/>
    <x v="5"/>
    <x v="0"/>
    <x v="0"/>
    <x v="0"/>
    <x v="0"/>
    <x v="0"/>
    <x v="2"/>
    <x v="2"/>
    <x v="2"/>
    <x v="0"/>
    <x v="0"/>
    <x v="0"/>
    <x v="0"/>
    <x v="2"/>
    <x v="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</r>
  <r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</r>
  <r>
    <x v="0"/>
    <x v="7"/>
    <x v="0"/>
    <x v="0"/>
    <x v="0"/>
    <x v="0"/>
    <x v="0"/>
    <x v="1"/>
    <x v="1"/>
    <x v="0"/>
    <x v="0"/>
    <x v="0"/>
    <x v="0"/>
    <x v="0"/>
    <x v="0"/>
    <x v="1"/>
    <x v="0"/>
    <x v="0"/>
    <x v="0"/>
    <x v="0"/>
    <x v="1"/>
    <x v="1"/>
    <x v="0"/>
    <x v="0"/>
    <x v="0"/>
    <x v="0"/>
    <x v="0"/>
    <x v="0"/>
    <x v="0"/>
    <x v="0"/>
    <x v="0"/>
    <x v="3"/>
    <x v="1"/>
    <x v="0"/>
    <x v="1"/>
    <x v="1"/>
    <x v="1"/>
    <x v="0"/>
    <x v="1"/>
    <x v="1"/>
    <x v="0"/>
    <x v="1"/>
    <x v="0"/>
    <x v="0"/>
    <x v="0"/>
    <x v="0"/>
    <x v="0"/>
    <x v="0"/>
    <x v="0"/>
    <x v="1"/>
    <x v="0"/>
    <x v="1"/>
    <x v="1"/>
    <x v="0"/>
    <x v="0"/>
    <x v="1"/>
    <x v="0"/>
    <x v="1"/>
    <x v="1"/>
    <x v="1"/>
    <x v="0"/>
    <x v="0"/>
    <x v="1"/>
    <x v="0"/>
    <x v="0"/>
    <x v="7"/>
    <x v="7"/>
    <x v="0"/>
    <x v="0"/>
    <x v="0"/>
    <x v="1"/>
    <x v="0"/>
    <x v="0"/>
    <x v="0"/>
    <x v="0"/>
    <x v="1"/>
    <x v="0"/>
    <x v="0"/>
    <x v="0"/>
    <x v="0"/>
    <x v="0"/>
    <x v="0"/>
    <x v="0"/>
    <x v="3"/>
    <x v="0"/>
    <x v="0"/>
    <x v="0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</r>
  <r>
    <x v="1"/>
    <x v="8"/>
    <x v="0"/>
    <x v="1"/>
    <x v="0"/>
    <x v="0"/>
    <x v="0"/>
    <x v="6"/>
    <x v="6"/>
    <x v="0"/>
    <x v="0"/>
    <x v="0"/>
    <x v="2"/>
    <x v="1"/>
    <x v="0"/>
    <x v="6"/>
    <x v="3"/>
    <x v="0"/>
    <x v="0"/>
    <x v="0"/>
    <x v="6"/>
    <x v="6"/>
    <x v="0"/>
    <x v="1"/>
    <x v="0"/>
    <x v="0"/>
    <x v="0"/>
    <x v="0"/>
    <x v="1"/>
    <x v="1"/>
    <x v="0"/>
    <x v="4"/>
    <x v="6"/>
    <x v="0"/>
    <x v="6"/>
    <x v="6"/>
    <x v="4"/>
    <x v="0"/>
    <x v="6"/>
    <x v="0"/>
    <x v="0"/>
    <x v="0"/>
    <x v="0"/>
    <x v="0"/>
    <x v="2"/>
    <x v="0"/>
    <x v="0"/>
    <x v="0"/>
    <x v="0"/>
    <x v="6"/>
    <x v="0"/>
    <x v="0"/>
    <x v="6"/>
    <x v="1"/>
    <x v="0"/>
    <x v="6"/>
    <x v="0"/>
    <x v="6"/>
    <x v="4"/>
    <x v="6"/>
    <x v="0"/>
    <x v="2"/>
    <x v="0"/>
    <x v="0"/>
    <x v="0"/>
    <x v="8"/>
    <x v="8"/>
    <x v="0"/>
    <x v="0"/>
    <x v="0"/>
    <x v="6"/>
    <x v="0"/>
    <x v="0"/>
    <x v="0"/>
    <x v="0"/>
    <x v="6"/>
    <x v="0"/>
    <x v="0"/>
    <x v="0"/>
    <x v="1"/>
    <x v="0"/>
    <x v="3"/>
    <x v="3"/>
    <x v="4"/>
    <x v="1"/>
    <x v="0"/>
    <x v="0"/>
    <x v="0"/>
    <x v="4"/>
    <x v="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0"/>
    <x v="0"/>
    <x v="0"/>
    <x v="1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5"/>
    <x v="0"/>
    <x v="7"/>
    <x v="0"/>
    <x v="1"/>
    <x v="0"/>
    <x v="1"/>
    <x v="0"/>
    <x v="3"/>
    <x v="0"/>
    <x v="0"/>
    <x v="0"/>
    <x v="0"/>
    <x v="7"/>
    <x v="1"/>
    <x v="0"/>
    <x v="7"/>
    <x v="2"/>
    <x v="0"/>
    <x v="6"/>
    <x v="1"/>
    <x v="7"/>
    <x v="5"/>
    <x v="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3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4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10"/>
    <x v="0"/>
    <x v="0"/>
    <x v="0"/>
    <x v="0"/>
    <x v="0"/>
    <x v="8"/>
    <x v="8"/>
    <x v="0"/>
    <x v="0"/>
    <x v="0"/>
    <x v="1"/>
    <x v="0"/>
    <x v="0"/>
    <x v="8"/>
    <x v="2"/>
    <x v="0"/>
    <x v="0"/>
    <x v="0"/>
    <x v="8"/>
    <x v="8"/>
    <x v="0"/>
    <x v="0"/>
    <x v="0"/>
    <x v="0"/>
    <x v="0"/>
    <x v="0"/>
    <x v="0"/>
    <x v="0"/>
    <x v="0"/>
    <x v="5"/>
    <x v="9"/>
    <x v="0"/>
    <x v="8"/>
    <x v="9"/>
    <x v="7"/>
    <x v="0"/>
    <x v="9"/>
    <x v="0"/>
    <x v="0"/>
    <x v="0"/>
    <x v="0"/>
    <x v="0"/>
    <x v="1"/>
    <x v="0"/>
    <x v="0"/>
    <x v="0"/>
    <x v="0"/>
    <x v="9"/>
    <x v="0"/>
    <x v="0"/>
    <x v="9"/>
    <x v="0"/>
    <x v="0"/>
    <x v="7"/>
    <x v="0"/>
    <x v="8"/>
    <x v="7"/>
    <x v="9"/>
    <x v="0"/>
    <x v="1"/>
    <x v="0"/>
    <x v="0"/>
    <x v="2"/>
    <x v="10"/>
    <x v="10"/>
    <x v="0"/>
    <x v="0"/>
    <x v="0"/>
    <x v="9"/>
    <x v="0"/>
    <x v="0"/>
    <x v="0"/>
    <x v="0"/>
    <x v="8"/>
    <x v="0"/>
    <x v="0"/>
    <x v="0"/>
    <x v="0"/>
    <x v="0"/>
    <x v="4"/>
    <x v="4"/>
    <x v="5"/>
    <x v="0"/>
    <x v="0"/>
    <x v="0"/>
    <x v="0"/>
    <x v="6"/>
    <x v="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6"/>
    <x v="5"/>
    <x v="0"/>
    <x v="0"/>
    <x v="0"/>
    <x v="0"/>
    <x v="0"/>
    <x v="0"/>
  </r>
  <r>
    <x v="0"/>
    <x v="11"/>
    <x v="0"/>
    <x v="0"/>
    <x v="0"/>
    <x v="0"/>
    <x v="0"/>
    <x v="9"/>
    <x v="9"/>
    <x v="0"/>
    <x v="0"/>
    <x v="0"/>
    <x v="1"/>
    <x v="0"/>
    <x v="0"/>
    <x v="9"/>
    <x v="2"/>
    <x v="0"/>
    <x v="0"/>
    <x v="0"/>
    <x v="9"/>
    <x v="9"/>
    <x v="0"/>
    <x v="0"/>
    <x v="0"/>
    <x v="0"/>
    <x v="0"/>
    <x v="0"/>
    <x v="0"/>
    <x v="0"/>
    <x v="0"/>
    <x v="5"/>
    <x v="10"/>
    <x v="0"/>
    <x v="9"/>
    <x v="10"/>
    <x v="1"/>
    <x v="0"/>
    <x v="10"/>
    <x v="1"/>
    <x v="0"/>
    <x v="1"/>
    <x v="0"/>
    <x v="0"/>
    <x v="1"/>
    <x v="0"/>
    <x v="0"/>
    <x v="0"/>
    <x v="0"/>
    <x v="10"/>
    <x v="0"/>
    <x v="1"/>
    <x v="10"/>
    <x v="0"/>
    <x v="0"/>
    <x v="8"/>
    <x v="0"/>
    <x v="9"/>
    <x v="1"/>
    <x v="10"/>
    <x v="0"/>
    <x v="1"/>
    <x v="2"/>
    <x v="0"/>
    <x v="2"/>
    <x v="11"/>
    <x v="11"/>
    <x v="0"/>
    <x v="0"/>
    <x v="0"/>
    <x v="10"/>
    <x v="0"/>
    <x v="0"/>
    <x v="0"/>
    <x v="0"/>
    <x v="9"/>
    <x v="0"/>
    <x v="0"/>
    <x v="0"/>
    <x v="0"/>
    <x v="0"/>
    <x v="4"/>
    <x v="4"/>
    <x v="5"/>
    <x v="0"/>
    <x v="0"/>
    <x v="0"/>
    <x v="0"/>
    <x v="6"/>
    <x v="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6"/>
    <x v="5"/>
    <x v="0"/>
    <x v="0"/>
    <x v="0"/>
    <x v="0"/>
    <x v="0"/>
    <x v="0"/>
  </r>
  <r>
    <x v="0"/>
    <x v="12"/>
    <x v="0"/>
    <x v="0"/>
    <x v="0"/>
    <x v="0"/>
    <x v="0"/>
    <x v="10"/>
    <x v="10"/>
    <x v="0"/>
    <x v="0"/>
    <x v="0"/>
    <x v="1"/>
    <x v="0"/>
    <x v="0"/>
    <x v="10"/>
    <x v="2"/>
    <x v="0"/>
    <x v="0"/>
    <x v="0"/>
    <x v="10"/>
    <x v="10"/>
    <x v="0"/>
    <x v="3"/>
    <x v="0"/>
    <x v="0"/>
    <x v="0"/>
    <x v="0"/>
    <x v="0"/>
    <x v="0"/>
    <x v="0"/>
    <x v="6"/>
    <x v="11"/>
    <x v="0"/>
    <x v="10"/>
    <x v="11"/>
    <x v="8"/>
    <x v="0"/>
    <x v="11"/>
    <x v="0"/>
    <x v="0"/>
    <x v="0"/>
    <x v="0"/>
    <x v="0"/>
    <x v="1"/>
    <x v="0"/>
    <x v="0"/>
    <x v="0"/>
    <x v="0"/>
    <x v="11"/>
    <x v="0"/>
    <x v="0"/>
    <x v="11"/>
    <x v="0"/>
    <x v="0"/>
    <x v="9"/>
    <x v="1"/>
    <x v="7"/>
    <x v="8"/>
    <x v="11"/>
    <x v="0"/>
    <x v="1"/>
    <x v="0"/>
    <x v="0"/>
    <x v="2"/>
    <x v="12"/>
    <x v="12"/>
    <x v="0"/>
    <x v="0"/>
    <x v="0"/>
    <x v="11"/>
    <x v="0"/>
    <x v="0"/>
    <x v="0"/>
    <x v="0"/>
    <x v="7"/>
    <x v="0"/>
    <x v="0"/>
    <x v="0"/>
    <x v="0"/>
    <x v="0"/>
    <x v="5"/>
    <x v="5"/>
    <x v="6"/>
    <x v="0"/>
    <x v="0"/>
    <x v="0"/>
    <x v="0"/>
    <x v="7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"/>
    <x v="6"/>
    <x v="0"/>
    <x v="0"/>
    <x v="0"/>
    <x v="0"/>
    <x v="0"/>
    <x v="0"/>
  </r>
  <r>
    <x v="0"/>
    <x v="13"/>
    <x v="0"/>
    <x v="0"/>
    <x v="0"/>
    <x v="0"/>
    <x v="0"/>
    <x v="11"/>
    <x v="11"/>
    <x v="0"/>
    <x v="0"/>
    <x v="0"/>
    <x v="1"/>
    <x v="0"/>
    <x v="0"/>
    <x v="11"/>
    <x v="2"/>
    <x v="0"/>
    <x v="0"/>
    <x v="0"/>
    <x v="11"/>
    <x v="11"/>
    <x v="0"/>
    <x v="3"/>
    <x v="0"/>
    <x v="0"/>
    <x v="0"/>
    <x v="0"/>
    <x v="0"/>
    <x v="0"/>
    <x v="0"/>
    <x v="6"/>
    <x v="12"/>
    <x v="0"/>
    <x v="11"/>
    <x v="12"/>
    <x v="1"/>
    <x v="0"/>
    <x v="12"/>
    <x v="1"/>
    <x v="0"/>
    <x v="1"/>
    <x v="0"/>
    <x v="0"/>
    <x v="1"/>
    <x v="0"/>
    <x v="0"/>
    <x v="0"/>
    <x v="0"/>
    <x v="12"/>
    <x v="0"/>
    <x v="1"/>
    <x v="12"/>
    <x v="0"/>
    <x v="0"/>
    <x v="10"/>
    <x v="1"/>
    <x v="7"/>
    <x v="1"/>
    <x v="12"/>
    <x v="0"/>
    <x v="1"/>
    <x v="2"/>
    <x v="0"/>
    <x v="2"/>
    <x v="13"/>
    <x v="13"/>
    <x v="0"/>
    <x v="0"/>
    <x v="0"/>
    <x v="12"/>
    <x v="0"/>
    <x v="0"/>
    <x v="0"/>
    <x v="0"/>
    <x v="7"/>
    <x v="0"/>
    <x v="0"/>
    <x v="0"/>
    <x v="0"/>
    <x v="0"/>
    <x v="5"/>
    <x v="5"/>
    <x v="6"/>
    <x v="0"/>
    <x v="0"/>
    <x v="0"/>
    <x v="0"/>
    <x v="7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"/>
    <x v="6"/>
    <x v="0"/>
    <x v="0"/>
    <x v="0"/>
    <x v="0"/>
    <x v="0"/>
    <x v="0"/>
  </r>
  <r>
    <x v="0"/>
    <x v="14"/>
    <x v="0"/>
    <x v="1"/>
    <x v="0"/>
    <x v="0"/>
    <x v="0"/>
    <x v="12"/>
    <x v="12"/>
    <x v="0"/>
    <x v="0"/>
    <x v="0"/>
    <x v="4"/>
    <x v="0"/>
    <x v="0"/>
    <x v="12"/>
    <x v="4"/>
    <x v="0"/>
    <x v="0"/>
    <x v="0"/>
    <x v="12"/>
    <x v="12"/>
    <x v="0"/>
    <x v="0"/>
    <x v="0"/>
    <x v="0"/>
    <x v="0"/>
    <x v="0"/>
    <x v="0"/>
    <x v="0"/>
    <x v="0"/>
    <x v="7"/>
    <x v="13"/>
    <x v="0"/>
    <x v="12"/>
    <x v="13"/>
    <x v="1"/>
    <x v="0"/>
    <x v="13"/>
    <x v="2"/>
    <x v="0"/>
    <x v="2"/>
    <x v="0"/>
    <x v="0"/>
    <x v="4"/>
    <x v="0"/>
    <x v="0"/>
    <x v="0"/>
    <x v="0"/>
    <x v="13"/>
    <x v="0"/>
    <x v="2"/>
    <x v="13"/>
    <x v="0"/>
    <x v="0"/>
    <x v="11"/>
    <x v="0"/>
    <x v="10"/>
    <x v="1"/>
    <x v="13"/>
    <x v="0"/>
    <x v="4"/>
    <x v="0"/>
    <x v="0"/>
    <x v="3"/>
    <x v="14"/>
    <x v="14"/>
    <x v="0"/>
    <x v="0"/>
    <x v="0"/>
    <x v="13"/>
    <x v="0"/>
    <x v="0"/>
    <x v="0"/>
    <x v="0"/>
    <x v="10"/>
    <x v="0"/>
    <x v="0"/>
    <x v="0"/>
    <x v="1"/>
    <x v="0"/>
    <x v="6"/>
    <x v="6"/>
    <x v="7"/>
    <x v="0"/>
    <x v="0"/>
    <x v="0"/>
    <x v="0"/>
    <x v="8"/>
    <x v="1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8"/>
    <x v="7"/>
    <x v="0"/>
    <x v="0"/>
    <x v="0"/>
    <x v="0"/>
    <x v="0"/>
    <x v="2"/>
  </r>
  <r>
    <x v="0"/>
    <x v="15"/>
    <x v="2"/>
    <x v="3"/>
    <x v="0"/>
    <x v="0"/>
    <x v="0"/>
    <x v="13"/>
    <x v="13"/>
    <x v="0"/>
    <x v="0"/>
    <x v="0"/>
    <x v="5"/>
    <x v="3"/>
    <x v="0"/>
    <x v="13"/>
    <x v="5"/>
    <x v="0"/>
    <x v="0"/>
    <x v="0"/>
    <x v="13"/>
    <x v="13"/>
    <x v="0"/>
    <x v="0"/>
    <x v="0"/>
    <x v="0"/>
    <x v="0"/>
    <x v="1"/>
    <x v="0"/>
    <x v="0"/>
    <x v="0"/>
    <x v="8"/>
    <x v="14"/>
    <x v="0"/>
    <x v="13"/>
    <x v="14"/>
    <x v="9"/>
    <x v="0"/>
    <x v="14"/>
    <x v="0"/>
    <x v="0"/>
    <x v="0"/>
    <x v="0"/>
    <x v="0"/>
    <x v="5"/>
    <x v="0"/>
    <x v="0"/>
    <x v="0"/>
    <x v="0"/>
    <x v="14"/>
    <x v="0"/>
    <x v="0"/>
    <x v="14"/>
    <x v="0"/>
    <x v="0"/>
    <x v="12"/>
    <x v="0"/>
    <x v="11"/>
    <x v="9"/>
    <x v="14"/>
    <x v="0"/>
    <x v="5"/>
    <x v="0"/>
    <x v="0"/>
    <x v="3"/>
    <x v="15"/>
    <x v="15"/>
    <x v="0"/>
    <x v="0"/>
    <x v="0"/>
    <x v="14"/>
    <x v="0"/>
    <x v="0"/>
    <x v="0"/>
    <x v="0"/>
    <x v="11"/>
    <x v="0"/>
    <x v="0"/>
    <x v="0"/>
    <x v="2"/>
    <x v="0"/>
    <x v="7"/>
    <x v="7"/>
    <x v="8"/>
    <x v="0"/>
    <x v="0"/>
    <x v="0"/>
    <x v="0"/>
    <x v="9"/>
    <x v="11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9"/>
    <x v="8"/>
    <x v="0"/>
    <x v="0"/>
    <x v="0"/>
    <x v="0"/>
    <x v="0"/>
    <x v="0"/>
  </r>
  <r>
    <x v="0"/>
    <x v="16"/>
    <x v="2"/>
    <x v="4"/>
    <x v="0"/>
    <x v="0"/>
    <x v="0"/>
    <x v="14"/>
    <x v="14"/>
    <x v="0"/>
    <x v="0"/>
    <x v="0"/>
    <x v="5"/>
    <x v="3"/>
    <x v="0"/>
    <x v="14"/>
    <x v="5"/>
    <x v="0"/>
    <x v="0"/>
    <x v="0"/>
    <x v="14"/>
    <x v="14"/>
    <x v="0"/>
    <x v="0"/>
    <x v="0"/>
    <x v="0"/>
    <x v="0"/>
    <x v="1"/>
    <x v="0"/>
    <x v="0"/>
    <x v="0"/>
    <x v="9"/>
    <x v="15"/>
    <x v="0"/>
    <x v="14"/>
    <x v="15"/>
    <x v="10"/>
    <x v="0"/>
    <x v="15"/>
    <x v="0"/>
    <x v="0"/>
    <x v="0"/>
    <x v="0"/>
    <x v="0"/>
    <x v="5"/>
    <x v="0"/>
    <x v="0"/>
    <x v="0"/>
    <x v="0"/>
    <x v="15"/>
    <x v="0"/>
    <x v="0"/>
    <x v="15"/>
    <x v="0"/>
    <x v="0"/>
    <x v="13"/>
    <x v="0"/>
    <x v="12"/>
    <x v="10"/>
    <x v="15"/>
    <x v="0"/>
    <x v="5"/>
    <x v="0"/>
    <x v="0"/>
    <x v="3"/>
    <x v="16"/>
    <x v="16"/>
    <x v="0"/>
    <x v="0"/>
    <x v="0"/>
    <x v="15"/>
    <x v="0"/>
    <x v="0"/>
    <x v="0"/>
    <x v="0"/>
    <x v="12"/>
    <x v="0"/>
    <x v="0"/>
    <x v="0"/>
    <x v="3"/>
    <x v="0"/>
    <x v="8"/>
    <x v="8"/>
    <x v="9"/>
    <x v="0"/>
    <x v="0"/>
    <x v="0"/>
    <x v="0"/>
    <x v="10"/>
    <x v="12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10"/>
    <x v="9"/>
    <x v="0"/>
    <x v="0"/>
    <x v="0"/>
    <x v="0"/>
    <x v="0"/>
    <x v="0"/>
  </r>
  <r>
    <x v="1"/>
    <x v="17"/>
    <x v="2"/>
    <x v="3"/>
    <x v="0"/>
    <x v="0"/>
    <x v="0"/>
    <x v="15"/>
    <x v="15"/>
    <x v="0"/>
    <x v="0"/>
    <x v="0"/>
    <x v="6"/>
    <x v="3"/>
    <x v="0"/>
    <x v="15"/>
    <x v="6"/>
    <x v="0"/>
    <x v="0"/>
    <x v="0"/>
    <x v="15"/>
    <x v="15"/>
    <x v="0"/>
    <x v="3"/>
    <x v="0"/>
    <x v="0"/>
    <x v="0"/>
    <x v="0"/>
    <x v="1"/>
    <x v="1"/>
    <x v="0"/>
    <x v="4"/>
    <x v="16"/>
    <x v="0"/>
    <x v="15"/>
    <x v="16"/>
    <x v="1"/>
    <x v="0"/>
    <x v="16"/>
    <x v="3"/>
    <x v="0"/>
    <x v="3"/>
    <x v="0"/>
    <x v="0"/>
    <x v="6"/>
    <x v="0"/>
    <x v="0"/>
    <x v="0"/>
    <x v="0"/>
    <x v="16"/>
    <x v="0"/>
    <x v="3"/>
    <x v="16"/>
    <x v="0"/>
    <x v="0"/>
    <x v="6"/>
    <x v="1"/>
    <x v="7"/>
    <x v="1"/>
    <x v="16"/>
    <x v="0"/>
    <x v="6"/>
    <x v="4"/>
    <x v="0"/>
    <x v="3"/>
    <x v="17"/>
    <x v="17"/>
    <x v="0"/>
    <x v="0"/>
    <x v="0"/>
    <x v="16"/>
    <x v="0"/>
    <x v="0"/>
    <x v="0"/>
    <x v="0"/>
    <x v="7"/>
    <x v="0"/>
    <x v="0"/>
    <x v="0"/>
    <x v="2"/>
    <x v="0"/>
    <x v="3"/>
    <x v="3"/>
    <x v="4"/>
    <x v="1"/>
    <x v="0"/>
    <x v="0"/>
    <x v="0"/>
    <x v="11"/>
    <x v="7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11"/>
    <x v="4"/>
    <x v="0"/>
    <x v="0"/>
    <x v="0"/>
    <x v="0"/>
    <x v="0"/>
    <x v="0"/>
  </r>
  <r>
    <x v="0"/>
    <x v="18"/>
    <x v="0"/>
    <x v="3"/>
    <x v="0"/>
    <x v="0"/>
    <x v="0"/>
    <x v="16"/>
    <x v="16"/>
    <x v="0"/>
    <x v="0"/>
    <x v="0"/>
    <x v="0"/>
    <x v="0"/>
    <x v="0"/>
    <x v="16"/>
    <x v="0"/>
    <x v="0"/>
    <x v="0"/>
    <x v="0"/>
    <x v="16"/>
    <x v="16"/>
    <x v="0"/>
    <x v="0"/>
    <x v="0"/>
    <x v="0"/>
    <x v="0"/>
    <x v="0"/>
    <x v="0"/>
    <x v="0"/>
    <x v="0"/>
    <x v="10"/>
    <x v="17"/>
    <x v="0"/>
    <x v="16"/>
    <x v="17"/>
    <x v="1"/>
    <x v="0"/>
    <x v="17"/>
    <x v="2"/>
    <x v="0"/>
    <x v="2"/>
    <x v="0"/>
    <x v="0"/>
    <x v="0"/>
    <x v="0"/>
    <x v="0"/>
    <x v="0"/>
    <x v="0"/>
    <x v="17"/>
    <x v="0"/>
    <x v="2"/>
    <x v="17"/>
    <x v="0"/>
    <x v="0"/>
    <x v="14"/>
    <x v="0"/>
    <x v="13"/>
    <x v="1"/>
    <x v="17"/>
    <x v="0"/>
    <x v="0"/>
    <x v="1"/>
    <x v="0"/>
    <x v="3"/>
    <x v="18"/>
    <x v="18"/>
    <x v="0"/>
    <x v="0"/>
    <x v="0"/>
    <x v="17"/>
    <x v="0"/>
    <x v="0"/>
    <x v="0"/>
    <x v="0"/>
    <x v="13"/>
    <x v="0"/>
    <x v="0"/>
    <x v="0"/>
    <x v="2"/>
    <x v="0"/>
    <x v="9"/>
    <x v="9"/>
    <x v="10"/>
    <x v="0"/>
    <x v="0"/>
    <x v="0"/>
    <x v="0"/>
    <x v="12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10"/>
    <x v="0"/>
    <x v="0"/>
    <x v="0"/>
    <x v="0"/>
    <x v="0"/>
    <x v="3"/>
  </r>
  <r>
    <x v="0"/>
    <x v="19"/>
    <x v="0"/>
    <x v="3"/>
    <x v="0"/>
    <x v="0"/>
    <x v="0"/>
    <x v="17"/>
    <x v="17"/>
    <x v="0"/>
    <x v="0"/>
    <x v="0"/>
    <x v="0"/>
    <x v="0"/>
    <x v="0"/>
    <x v="17"/>
    <x v="0"/>
    <x v="0"/>
    <x v="0"/>
    <x v="0"/>
    <x v="17"/>
    <x v="17"/>
    <x v="0"/>
    <x v="0"/>
    <x v="0"/>
    <x v="0"/>
    <x v="0"/>
    <x v="0"/>
    <x v="0"/>
    <x v="0"/>
    <x v="0"/>
    <x v="11"/>
    <x v="18"/>
    <x v="0"/>
    <x v="17"/>
    <x v="18"/>
    <x v="1"/>
    <x v="0"/>
    <x v="18"/>
    <x v="2"/>
    <x v="0"/>
    <x v="2"/>
    <x v="0"/>
    <x v="0"/>
    <x v="0"/>
    <x v="0"/>
    <x v="0"/>
    <x v="0"/>
    <x v="0"/>
    <x v="18"/>
    <x v="0"/>
    <x v="2"/>
    <x v="18"/>
    <x v="0"/>
    <x v="0"/>
    <x v="15"/>
    <x v="0"/>
    <x v="14"/>
    <x v="1"/>
    <x v="18"/>
    <x v="0"/>
    <x v="0"/>
    <x v="1"/>
    <x v="0"/>
    <x v="3"/>
    <x v="19"/>
    <x v="19"/>
    <x v="0"/>
    <x v="0"/>
    <x v="0"/>
    <x v="18"/>
    <x v="0"/>
    <x v="0"/>
    <x v="0"/>
    <x v="0"/>
    <x v="14"/>
    <x v="0"/>
    <x v="0"/>
    <x v="0"/>
    <x v="2"/>
    <x v="0"/>
    <x v="4"/>
    <x v="4"/>
    <x v="11"/>
    <x v="0"/>
    <x v="0"/>
    <x v="0"/>
    <x v="0"/>
    <x v="13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"/>
    <x v="11"/>
    <x v="0"/>
    <x v="0"/>
    <x v="0"/>
    <x v="0"/>
    <x v="0"/>
    <x v="4"/>
  </r>
  <r>
    <x v="1"/>
    <x v="20"/>
    <x v="0"/>
    <x v="4"/>
    <x v="0"/>
    <x v="0"/>
    <x v="0"/>
    <x v="17"/>
    <x v="18"/>
    <x v="0"/>
    <x v="0"/>
    <x v="0"/>
    <x v="0"/>
    <x v="0"/>
    <x v="0"/>
    <x v="17"/>
    <x v="0"/>
    <x v="0"/>
    <x v="0"/>
    <x v="0"/>
    <x v="17"/>
    <x v="18"/>
    <x v="0"/>
    <x v="0"/>
    <x v="0"/>
    <x v="0"/>
    <x v="0"/>
    <x v="1"/>
    <x v="1"/>
    <x v="1"/>
    <x v="0"/>
    <x v="4"/>
    <x v="18"/>
    <x v="0"/>
    <x v="17"/>
    <x v="18"/>
    <x v="11"/>
    <x v="0"/>
    <x v="19"/>
    <x v="0"/>
    <x v="0"/>
    <x v="0"/>
    <x v="0"/>
    <x v="0"/>
    <x v="0"/>
    <x v="0"/>
    <x v="0"/>
    <x v="0"/>
    <x v="0"/>
    <x v="18"/>
    <x v="0"/>
    <x v="0"/>
    <x v="18"/>
    <x v="0"/>
    <x v="0"/>
    <x v="6"/>
    <x v="0"/>
    <x v="14"/>
    <x v="11"/>
    <x v="19"/>
    <x v="0"/>
    <x v="0"/>
    <x v="0"/>
    <x v="0"/>
    <x v="4"/>
    <x v="20"/>
    <x v="20"/>
    <x v="0"/>
    <x v="0"/>
    <x v="0"/>
    <x v="18"/>
    <x v="0"/>
    <x v="0"/>
    <x v="0"/>
    <x v="0"/>
    <x v="14"/>
    <x v="0"/>
    <x v="0"/>
    <x v="0"/>
    <x v="3"/>
    <x v="0"/>
    <x v="3"/>
    <x v="3"/>
    <x v="4"/>
    <x v="1"/>
    <x v="0"/>
    <x v="0"/>
    <x v="0"/>
    <x v="14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"/>
    <x v="11"/>
    <x v="0"/>
    <x v="0"/>
    <x v="0"/>
    <x v="0"/>
    <x v="0"/>
    <x v="0"/>
  </r>
  <r>
    <x v="0"/>
    <x v="21"/>
    <x v="0"/>
    <x v="3"/>
    <x v="0"/>
    <x v="0"/>
    <x v="0"/>
    <x v="18"/>
    <x v="19"/>
    <x v="0"/>
    <x v="0"/>
    <x v="0"/>
    <x v="0"/>
    <x v="0"/>
    <x v="0"/>
    <x v="18"/>
    <x v="0"/>
    <x v="0"/>
    <x v="0"/>
    <x v="0"/>
    <x v="18"/>
    <x v="19"/>
    <x v="0"/>
    <x v="0"/>
    <x v="0"/>
    <x v="0"/>
    <x v="0"/>
    <x v="0"/>
    <x v="0"/>
    <x v="0"/>
    <x v="0"/>
    <x v="12"/>
    <x v="19"/>
    <x v="0"/>
    <x v="18"/>
    <x v="19"/>
    <x v="1"/>
    <x v="0"/>
    <x v="20"/>
    <x v="2"/>
    <x v="0"/>
    <x v="2"/>
    <x v="0"/>
    <x v="0"/>
    <x v="0"/>
    <x v="0"/>
    <x v="0"/>
    <x v="0"/>
    <x v="0"/>
    <x v="19"/>
    <x v="0"/>
    <x v="2"/>
    <x v="19"/>
    <x v="0"/>
    <x v="0"/>
    <x v="16"/>
    <x v="0"/>
    <x v="15"/>
    <x v="1"/>
    <x v="20"/>
    <x v="0"/>
    <x v="0"/>
    <x v="1"/>
    <x v="0"/>
    <x v="4"/>
    <x v="21"/>
    <x v="21"/>
    <x v="0"/>
    <x v="0"/>
    <x v="0"/>
    <x v="19"/>
    <x v="0"/>
    <x v="0"/>
    <x v="0"/>
    <x v="0"/>
    <x v="15"/>
    <x v="0"/>
    <x v="0"/>
    <x v="0"/>
    <x v="2"/>
    <x v="0"/>
    <x v="10"/>
    <x v="10"/>
    <x v="12"/>
    <x v="0"/>
    <x v="0"/>
    <x v="0"/>
    <x v="0"/>
    <x v="15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12"/>
    <x v="0"/>
    <x v="0"/>
    <x v="0"/>
    <x v="0"/>
    <x v="0"/>
    <x v="5"/>
  </r>
  <r>
    <x v="0"/>
    <x v="22"/>
    <x v="0"/>
    <x v="0"/>
    <x v="0"/>
    <x v="0"/>
    <x v="0"/>
    <x v="19"/>
    <x v="20"/>
    <x v="0"/>
    <x v="0"/>
    <x v="0"/>
    <x v="0"/>
    <x v="0"/>
    <x v="0"/>
    <x v="19"/>
    <x v="0"/>
    <x v="0"/>
    <x v="0"/>
    <x v="0"/>
    <x v="19"/>
    <x v="20"/>
    <x v="0"/>
    <x v="0"/>
    <x v="0"/>
    <x v="0"/>
    <x v="0"/>
    <x v="0"/>
    <x v="0"/>
    <x v="0"/>
    <x v="0"/>
    <x v="13"/>
    <x v="20"/>
    <x v="0"/>
    <x v="19"/>
    <x v="20"/>
    <x v="12"/>
    <x v="0"/>
    <x v="21"/>
    <x v="0"/>
    <x v="0"/>
    <x v="0"/>
    <x v="0"/>
    <x v="0"/>
    <x v="0"/>
    <x v="0"/>
    <x v="0"/>
    <x v="0"/>
    <x v="0"/>
    <x v="20"/>
    <x v="0"/>
    <x v="0"/>
    <x v="20"/>
    <x v="0"/>
    <x v="0"/>
    <x v="17"/>
    <x v="0"/>
    <x v="16"/>
    <x v="12"/>
    <x v="21"/>
    <x v="0"/>
    <x v="0"/>
    <x v="0"/>
    <x v="0"/>
    <x v="4"/>
    <x v="22"/>
    <x v="22"/>
    <x v="0"/>
    <x v="0"/>
    <x v="0"/>
    <x v="20"/>
    <x v="0"/>
    <x v="0"/>
    <x v="0"/>
    <x v="0"/>
    <x v="16"/>
    <x v="0"/>
    <x v="0"/>
    <x v="0"/>
    <x v="0"/>
    <x v="0"/>
    <x v="11"/>
    <x v="11"/>
    <x v="13"/>
    <x v="0"/>
    <x v="0"/>
    <x v="0"/>
    <x v="0"/>
    <x v="16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13"/>
    <x v="0"/>
    <x v="0"/>
    <x v="0"/>
    <x v="0"/>
    <x v="0"/>
    <x v="0"/>
  </r>
  <r>
    <x v="0"/>
    <x v="23"/>
    <x v="0"/>
    <x v="0"/>
    <x v="0"/>
    <x v="0"/>
    <x v="0"/>
    <x v="20"/>
    <x v="21"/>
    <x v="0"/>
    <x v="0"/>
    <x v="0"/>
    <x v="0"/>
    <x v="0"/>
    <x v="0"/>
    <x v="20"/>
    <x v="0"/>
    <x v="0"/>
    <x v="0"/>
    <x v="0"/>
    <x v="20"/>
    <x v="21"/>
    <x v="0"/>
    <x v="0"/>
    <x v="0"/>
    <x v="0"/>
    <x v="0"/>
    <x v="0"/>
    <x v="0"/>
    <x v="0"/>
    <x v="0"/>
    <x v="13"/>
    <x v="21"/>
    <x v="0"/>
    <x v="20"/>
    <x v="21"/>
    <x v="1"/>
    <x v="0"/>
    <x v="22"/>
    <x v="1"/>
    <x v="0"/>
    <x v="1"/>
    <x v="0"/>
    <x v="0"/>
    <x v="0"/>
    <x v="0"/>
    <x v="0"/>
    <x v="0"/>
    <x v="0"/>
    <x v="21"/>
    <x v="0"/>
    <x v="1"/>
    <x v="21"/>
    <x v="0"/>
    <x v="0"/>
    <x v="18"/>
    <x v="0"/>
    <x v="17"/>
    <x v="1"/>
    <x v="22"/>
    <x v="0"/>
    <x v="0"/>
    <x v="1"/>
    <x v="0"/>
    <x v="4"/>
    <x v="23"/>
    <x v="23"/>
    <x v="0"/>
    <x v="0"/>
    <x v="0"/>
    <x v="21"/>
    <x v="0"/>
    <x v="0"/>
    <x v="0"/>
    <x v="0"/>
    <x v="17"/>
    <x v="0"/>
    <x v="0"/>
    <x v="0"/>
    <x v="0"/>
    <x v="0"/>
    <x v="11"/>
    <x v="11"/>
    <x v="13"/>
    <x v="0"/>
    <x v="0"/>
    <x v="0"/>
    <x v="0"/>
    <x v="16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13"/>
    <x v="0"/>
    <x v="0"/>
    <x v="0"/>
    <x v="0"/>
    <x v="0"/>
    <x v="0"/>
  </r>
  <r>
    <x v="0"/>
    <x v="24"/>
    <x v="0"/>
    <x v="4"/>
    <x v="0"/>
    <x v="0"/>
    <x v="0"/>
    <x v="21"/>
    <x v="22"/>
    <x v="0"/>
    <x v="0"/>
    <x v="0"/>
    <x v="1"/>
    <x v="0"/>
    <x v="0"/>
    <x v="21"/>
    <x v="2"/>
    <x v="0"/>
    <x v="0"/>
    <x v="0"/>
    <x v="21"/>
    <x v="22"/>
    <x v="0"/>
    <x v="0"/>
    <x v="0"/>
    <x v="0"/>
    <x v="0"/>
    <x v="0"/>
    <x v="0"/>
    <x v="0"/>
    <x v="0"/>
    <x v="14"/>
    <x v="22"/>
    <x v="0"/>
    <x v="21"/>
    <x v="22"/>
    <x v="1"/>
    <x v="0"/>
    <x v="23"/>
    <x v="2"/>
    <x v="0"/>
    <x v="2"/>
    <x v="0"/>
    <x v="0"/>
    <x v="1"/>
    <x v="0"/>
    <x v="0"/>
    <x v="0"/>
    <x v="0"/>
    <x v="22"/>
    <x v="0"/>
    <x v="2"/>
    <x v="22"/>
    <x v="0"/>
    <x v="0"/>
    <x v="19"/>
    <x v="0"/>
    <x v="18"/>
    <x v="1"/>
    <x v="23"/>
    <x v="0"/>
    <x v="1"/>
    <x v="0"/>
    <x v="0"/>
    <x v="4"/>
    <x v="24"/>
    <x v="24"/>
    <x v="0"/>
    <x v="0"/>
    <x v="0"/>
    <x v="22"/>
    <x v="0"/>
    <x v="0"/>
    <x v="0"/>
    <x v="0"/>
    <x v="18"/>
    <x v="0"/>
    <x v="0"/>
    <x v="0"/>
    <x v="3"/>
    <x v="0"/>
    <x v="4"/>
    <x v="4"/>
    <x v="14"/>
    <x v="0"/>
    <x v="0"/>
    <x v="0"/>
    <x v="0"/>
    <x v="17"/>
    <x v="1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"/>
    <x v="14"/>
    <x v="0"/>
    <x v="0"/>
    <x v="0"/>
    <x v="0"/>
    <x v="0"/>
    <x v="6"/>
  </r>
  <r>
    <x v="0"/>
    <x v="25"/>
    <x v="0"/>
    <x v="4"/>
    <x v="0"/>
    <x v="0"/>
    <x v="0"/>
    <x v="22"/>
    <x v="23"/>
    <x v="0"/>
    <x v="0"/>
    <x v="0"/>
    <x v="0"/>
    <x v="0"/>
    <x v="0"/>
    <x v="22"/>
    <x v="0"/>
    <x v="0"/>
    <x v="0"/>
    <x v="0"/>
    <x v="22"/>
    <x v="23"/>
    <x v="0"/>
    <x v="0"/>
    <x v="0"/>
    <x v="0"/>
    <x v="0"/>
    <x v="0"/>
    <x v="0"/>
    <x v="0"/>
    <x v="0"/>
    <x v="15"/>
    <x v="23"/>
    <x v="0"/>
    <x v="22"/>
    <x v="23"/>
    <x v="1"/>
    <x v="0"/>
    <x v="24"/>
    <x v="2"/>
    <x v="0"/>
    <x v="2"/>
    <x v="0"/>
    <x v="0"/>
    <x v="0"/>
    <x v="0"/>
    <x v="0"/>
    <x v="0"/>
    <x v="0"/>
    <x v="23"/>
    <x v="0"/>
    <x v="2"/>
    <x v="23"/>
    <x v="0"/>
    <x v="0"/>
    <x v="20"/>
    <x v="0"/>
    <x v="19"/>
    <x v="1"/>
    <x v="24"/>
    <x v="0"/>
    <x v="0"/>
    <x v="1"/>
    <x v="0"/>
    <x v="4"/>
    <x v="25"/>
    <x v="25"/>
    <x v="0"/>
    <x v="0"/>
    <x v="0"/>
    <x v="23"/>
    <x v="0"/>
    <x v="0"/>
    <x v="0"/>
    <x v="0"/>
    <x v="19"/>
    <x v="0"/>
    <x v="0"/>
    <x v="0"/>
    <x v="3"/>
    <x v="0"/>
    <x v="5"/>
    <x v="5"/>
    <x v="15"/>
    <x v="0"/>
    <x v="0"/>
    <x v="0"/>
    <x v="0"/>
    <x v="18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"/>
    <x v="15"/>
    <x v="0"/>
    <x v="0"/>
    <x v="0"/>
    <x v="0"/>
    <x v="0"/>
    <x v="7"/>
  </r>
  <r>
    <x v="0"/>
    <x v="26"/>
    <x v="0"/>
    <x v="0"/>
    <x v="0"/>
    <x v="0"/>
    <x v="0"/>
    <x v="23"/>
    <x v="24"/>
    <x v="0"/>
    <x v="0"/>
    <x v="0"/>
    <x v="0"/>
    <x v="0"/>
    <x v="0"/>
    <x v="23"/>
    <x v="0"/>
    <x v="0"/>
    <x v="0"/>
    <x v="0"/>
    <x v="23"/>
    <x v="24"/>
    <x v="0"/>
    <x v="0"/>
    <x v="0"/>
    <x v="0"/>
    <x v="0"/>
    <x v="0"/>
    <x v="0"/>
    <x v="0"/>
    <x v="0"/>
    <x v="16"/>
    <x v="24"/>
    <x v="0"/>
    <x v="23"/>
    <x v="24"/>
    <x v="13"/>
    <x v="0"/>
    <x v="25"/>
    <x v="0"/>
    <x v="0"/>
    <x v="0"/>
    <x v="0"/>
    <x v="0"/>
    <x v="0"/>
    <x v="0"/>
    <x v="0"/>
    <x v="0"/>
    <x v="0"/>
    <x v="24"/>
    <x v="0"/>
    <x v="0"/>
    <x v="24"/>
    <x v="0"/>
    <x v="0"/>
    <x v="21"/>
    <x v="0"/>
    <x v="20"/>
    <x v="13"/>
    <x v="25"/>
    <x v="0"/>
    <x v="0"/>
    <x v="0"/>
    <x v="0"/>
    <x v="4"/>
    <x v="26"/>
    <x v="26"/>
    <x v="0"/>
    <x v="0"/>
    <x v="0"/>
    <x v="24"/>
    <x v="0"/>
    <x v="0"/>
    <x v="0"/>
    <x v="0"/>
    <x v="20"/>
    <x v="0"/>
    <x v="0"/>
    <x v="0"/>
    <x v="0"/>
    <x v="0"/>
    <x v="12"/>
    <x v="12"/>
    <x v="16"/>
    <x v="0"/>
    <x v="0"/>
    <x v="0"/>
    <x v="0"/>
    <x v="19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10"/>
    <x v="0"/>
    <x v="0"/>
    <x v="0"/>
    <x v="0"/>
    <x v="0"/>
    <x v="0"/>
  </r>
  <r>
    <x v="0"/>
    <x v="27"/>
    <x v="0"/>
    <x v="0"/>
    <x v="0"/>
    <x v="0"/>
    <x v="0"/>
    <x v="24"/>
    <x v="25"/>
    <x v="0"/>
    <x v="0"/>
    <x v="0"/>
    <x v="0"/>
    <x v="0"/>
    <x v="0"/>
    <x v="24"/>
    <x v="0"/>
    <x v="0"/>
    <x v="0"/>
    <x v="0"/>
    <x v="24"/>
    <x v="25"/>
    <x v="0"/>
    <x v="0"/>
    <x v="0"/>
    <x v="0"/>
    <x v="0"/>
    <x v="0"/>
    <x v="0"/>
    <x v="0"/>
    <x v="0"/>
    <x v="16"/>
    <x v="25"/>
    <x v="0"/>
    <x v="24"/>
    <x v="25"/>
    <x v="1"/>
    <x v="0"/>
    <x v="26"/>
    <x v="1"/>
    <x v="0"/>
    <x v="1"/>
    <x v="0"/>
    <x v="0"/>
    <x v="0"/>
    <x v="0"/>
    <x v="0"/>
    <x v="0"/>
    <x v="0"/>
    <x v="25"/>
    <x v="0"/>
    <x v="1"/>
    <x v="25"/>
    <x v="0"/>
    <x v="0"/>
    <x v="22"/>
    <x v="0"/>
    <x v="21"/>
    <x v="1"/>
    <x v="26"/>
    <x v="0"/>
    <x v="0"/>
    <x v="1"/>
    <x v="0"/>
    <x v="4"/>
    <x v="27"/>
    <x v="27"/>
    <x v="0"/>
    <x v="0"/>
    <x v="0"/>
    <x v="25"/>
    <x v="0"/>
    <x v="0"/>
    <x v="0"/>
    <x v="0"/>
    <x v="21"/>
    <x v="0"/>
    <x v="0"/>
    <x v="0"/>
    <x v="0"/>
    <x v="0"/>
    <x v="12"/>
    <x v="12"/>
    <x v="16"/>
    <x v="0"/>
    <x v="0"/>
    <x v="0"/>
    <x v="0"/>
    <x v="19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10"/>
    <x v="0"/>
    <x v="0"/>
    <x v="0"/>
    <x v="0"/>
    <x v="0"/>
    <x v="0"/>
  </r>
  <r>
    <x v="0"/>
    <x v="28"/>
    <x v="3"/>
    <x v="4"/>
    <x v="0"/>
    <x v="0"/>
    <x v="0"/>
    <x v="25"/>
    <x v="26"/>
    <x v="0"/>
    <x v="0"/>
    <x v="0"/>
    <x v="7"/>
    <x v="4"/>
    <x v="0"/>
    <x v="25"/>
    <x v="7"/>
    <x v="0"/>
    <x v="0"/>
    <x v="0"/>
    <x v="25"/>
    <x v="26"/>
    <x v="0"/>
    <x v="0"/>
    <x v="0"/>
    <x v="0"/>
    <x v="0"/>
    <x v="0"/>
    <x v="0"/>
    <x v="0"/>
    <x v="0"/>
    <x v="17"/>
    <x v="26"/>
    <x v="0"/>
    <x v="25"/>
    <x v="26"/>
    <x v="1"/>
    <x v="0"/>
    <x v="27"/>
    <x v="0"/>
    <x v="0"/>
    <x v="0"/>
    <x v="0"/>
    <x v="0"/>
    <x v="7"/>
    <x v="0"/>
    <x v="0"/>
    <x v="0"/>
    <x v="0"/>
    <x v="26"/>
    <x v="0"/>
    <x v="0"/>
    <x v="26"/>
    <x v="0"/>
    <x v="0"/>
    <x v="23"/>
    <x v="0"/>
    <x v="22"/>
    <x v="1"/>
    <x v="27"/>
    <x v="0"/>
    <x v="0"/>
    <x v="1"/>
    <x v="0"/>
    <x v="4"/>
    <x v="28"/>
    <x v="28"/>
    <x v="0"/>
    <x v="0"/>
    <x v="0"/>
    <x v="26"/>
    <x v="0"/>
    <x v="0"/>
    <x v="0"/>
    <x v="0"/>
    <x v="22"/>
    <x v="0"/>
    <x v="0"/>
    <x v="0"/>
    <x v="3"/>
    <x v="0"/>
    <x v="13"/>
    <x v="13"/>
    <x v="17"/>
    <x v="0"/>
    <x v="0"/>
    <x v="0"/>
    <x v="0"/>
    <x v="20"/>
    <x v="22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18"/>
    <x v="16"/>
    <x v="0"/>
    <x v="0"/>
    <x v="0"/>
    <x v="0"/>
    <x v="0"/>
    <x v="0"/>
  </r>
  <r>
    <x v="0"/>
    <x v="29"/>
    <x v="0"/>
    <x v="4"/>
    <x v="0"/>
    <x v="0"/>
    <x v="0"/>
    <x v="26"/>
    <x v="27"/>
    <x v="0"/>
    <x v="0"/>
    <x v="0"/>
    <x v="4"/>
    <x v="0"/>
    <x v="0"/>
    <x v="26"/>
    <x v="4"/>
    <x v="0"/>
    <x v="0"/>
    <x v="0"/>
    <x v="26"/>
    <x v="27"/>
    <x v="0"/>
    <x v="0"/>
    <x v="0"/>
    <x v="0"/>
    <x v="0"/>
    <x v="0"/>
    <x v="0"/>
    <x v="0"/>
    <x v="0"/>
    <x v="18"/>
    <x v="27"/>
    <x v="0"/>
    <x v="26"/>
    <x v="27"/>
    <x v="1"/>
    <x v="0"/>
    <x v="28"/>
    <x v="2"/>
    <x v="0"/>
    <x v="2"/>
    <x v="0"/>
    <x v="0"/>
    <x v="4"/>
    <x v="0"/>
    <x v="0"/>
    <x v="0"/>
    <x v="0"/>
    <x v="27"/>
    <x v="0"/>
    <x v="2"/>
    <x v="27"/>
    <x v="0"/>
    <x v="0"/>
    <x v="24"/>
    <x v="0"/>
    <x v="23"/>
    <x v="1"/>
    <x v="28"/>
    <x v="0"/>
    <x v="0"/>
    <x v="1"/>
    <x v="0"/>
    <x v="4"/>
    <x v="29"/>
    <x v="29"/>
    <x v="0"/>
    <x v="0"/>
    <x v="0"/>
    <x v="27"/>
    <x v="0"/>
    <x v="0"/>
    <x v="0"/>
    <x v="0"/>
    <x v="23"/>
    <x v="0"/>
    <x v="0"/>
    <x v="0"/>
    <x v="3"/>
    <x v="0"/>
    <x v="14"/>
    <x v="14"/>
    <x v="18"/>
    <x v="0"/>
    <x v="0"/>
    <x v="0"/>
    <x v="0"/>
    <x v="21"/>
    <x v="23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9"/>
    <x v="17"/>
    <x v="0"/>
    <x v="0"/>
    <x v="0"/>
    <x v="0"/>
    <x v="0"/>
    <x v="8"/>
  </r>
  <r>
    <x v="0"/>
    <x v="30"/>
    <x v="0"/>
    <x v="0"/>
    <x v="0"/>
    <x v="0"/>
    <x v="0"/>
    <x v="27"/>
    <x v="28"/>
    <x v="0"/>
    <x v="0"/>
    <x v="0"/>
    <x v="1"/>
    <x v="0"/>
    <x v="0"/>
    <x v="27"/>
    <x v="2"/>
    <x v="0"/>
    <x v="0"/>
    <x v="0"/>
    <x v="27"/>
    <x v="28"/>
    <x v="0"/>
    <x v="0"/>
    <x v="0"/>
    <x v="0"/>
    <x v="0"/>
    <x v="0"/>
    <x v="0"/>
    <x v="0"/>
    <x v="0"/>
    <x v="19"/>
    <x v="28"/>
    <x v="0"/>
    <x v="27"/>
    <x v="28"/>
    <x v="14"/>
    <x v="0"/>
    <x v="29"/>
    <x v="0"/>
    <x v="0"/>
    <x v="0"/>
    <x v="0"/>
    <x v="0"/>
    <x v="1"/>
    <x v="0"/>
    <x v="0"/>
    <x v="0"/>
    <x v="0"/>
    <x v="28"/>
    <x v="0"/>
    <x v="0"/>
    <x v="28"/>
    <x v="0"/>
    <x v="0"/>
    <x v="25"/>
    <x v="0"/>
    <x v="24"/>
    <x v="14"/>
    <x v="29"/>
    <x v="0"/>
    <x v="1"/>
    <x v="0"/>
    <x v="0"/>
    <x v="5"/>
    <x v="30"/>
    <x v="30"/>
    <x v="0"/>
    <x v="0"/>
    <x v="0"/>
    <x v="28"/>
    <x v="0"/>
    <x v="0"/>
    <x v="0"/>
    <x v="0"/>
    <x v="24"/>
    <x v="0"/>
    <x v="0"/>
    <x v="0"/>
    <x v="0"/>
    <x v="0"/>
    <x v="15"/>
    <x v="15"/>
    <x v="19"/>
    <x v="0"/>
    <x v="0"/>
    <x v="0"/>
    <x v="0"/>
    <x v="22"/>
    <x v="2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"/>
    <x v="18"/>
    <x v="0"/>
    <x v="0"/>
    <x v="0"/>
    <x v="0"/>
    <x v="0"/>
    <x v="0"/>
  </r>
  <r>
    <x v="0"/>
    <x v="31"/>
    <x v="0"/>
    <x v="0"/>
    <x v="0"/>
    <x v="0"/>
    <x v="0"/>
    <x v="28"/>
    <x v="29"/>
    <x v="0"/>
    <x v="0"/>
    <x v="0"/>
    <x v="1"/>
    <x v="0"/>
    <x v="0"/>
    <x v="28"/>
    <x v="2"/>
    <x v="0"/>
    <x v="0"/>
    <x v="0"/>
    <x v="28"/>
    <x v="29"/>
    <x v="0"/>
    <x v="0"/>
    <x v="0"/>
    <x v="0"/>
    <x v="0"/>
    <x v="0"/>
    <x v="0"/>
    <x v="0"/>
    <x v="0"/>
    <x v="19"/>
    <x v="29"/>
    <x v="0"/>
    <x v="28"/>
    <x v="29"/>
    <x v="1"/>
    <x v="0"/>
    <x v="30"/>
    <x v="1"/>
    <x v="0"/>
    <x v="1"/>
    <x v="0"/>
    <x v="0"/>
    <x v="1"/>
    <x v="0"/>
    <x v="0"/>
    <x v="0"/>
    <x v="0"/>
    <x v="29"/>
    <x v="0"/>
    <x v="1"/>
    <x v="29"/>
    <x v="0"/>
    <x v="0"/>
    <x v="26"/>
    <x v="0"/>
    <x v="25"/>
    <x v="1"/>
    <x v="30"/>
    <x v="0"/>
    <x v="1"/>
    <x v="2"/>
    <x v="0"/>
    <x v="5"/>
    <x v="31"/>
    <x v="31"/>
    <x v="0"/>
    <x v="0"/>
    <x v="0"/>
    <x v="29"/>
    <x v="0"/>
    <x v="0"/>
    <x v="0"/>
    <x v="0"/>
    <x v="25"/>
    <x v="0"/>
    <x v="0"/>
    <x v="0"/>
    <x v="0"/>
    <x v="0"/>
    <x v="15"/>
    <x v="15"/>
    <x v="19"/>
    <x v="0"/>
    <x v="0"/>
    <x v="0"/>
    <x v="0"/>
    <x v="22"/>
    <x v="2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"/>
    <x v="18"/>
    <x v="0"/>
    <x v="0"/>
    <x v="0"/>
    <x v="0"/>
    <x v="0"/>
    <x v="0"/>
  </r>
  <r>
    <x v="0"/>
    <x v="32"/>
    <x v="0"/>
    <x v="5"/>
    <x v="0"/>
    <x v="0"/>
    <x v="0"/>
    <x v="29"/>
    <x v="30"/>
    <x v="0"/>
    <x v="0"/>
    <x v="0"/>
    <x v="8"/>
    <x v="0"/>
    <x v="0"/>
    <x v="29"/>
    <x v="8"/>
    <x v="0"/>
    <x v="0"/>
    <x v="0"/>
    <x v="29"/>
    <x v="30"/>
    <x v="0"/>
    <x v="0"/>
    <x v="0"/>
    <x v="0"/>
    <x v="0"/>
    <x v="0"/>
    <x v="0"/>
    <x v="0"/>
    <x v="0"/>
    <x v="20"/>
    <x v="30"/>
    <x v="0"/>
    <x v="29"/>
    <x v="30"/>
    <x v="1"/>
    <x v="0"/>
    <x v="31"/>
    <x v="2"/>
    <x v="0"/>
    <x v="2"/>
    <x v="0"/>
    <x v="0"/>
    <x v="8"/>
    <x v="0"/>
    <x v="0"/>
    <x v="0"/>
    <x v="0"/>
    <x v="30"/>
    <x v="0"/>
    <x v="2"/>
    <x v="30"/>
    <x v="0"/>
    <x v="0"/>
    <x v="27"/>
    <x v="0"/>
    <x v="26"/>
    <x v="1"/>
    <x v="31"/>
    <x v="0"/>
    <x v="7"/>
    <x v="5"/>
    <x v="0"/>
    <x v="5"/>
    <x v="32"/>
    <x v="32"/>
    <x v="0"/>
    <x v="0"/>
    <x v="0"/>
    <x v="30"/>
    <x v="0"/>
    <x v="0"/>
    <x v="0"/>
    <x v="0"/>
    <x v="26"/>
    <x v="0"/>
    <x v="0"/>
    <x v="0"/>
    <x v="4"/>
    <x v="0"/>
    <x v="16"/>
    <x v="16"/>
    <x v="20"/>
    <x v="0"/>
    <x v="0"/>
    <x v="0"/>
    <x v="0"/>
    <x v="23"/>
    <x v="26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21"/>
    <x v="19"/>
    <x v="0"/>
    <x v="0"/>
    <x v="0"/>
    <x v="0"/>
    <x v="0"/>
    <x v="9"/>
  </r>
  <r>
    <x v="1"/>
    <x v="33"/>
    <x v="0"/>
    <x v="3"/>
    <x v="0"/>
    <x v="0"/>
    <x v="0"/>
    <x v="30"/>
    <x v="31"/>
    <x v="0"/>
    <x v="0"/>
    <x v="0"/>
    <x v="2"/>
    <x v="1"/>
    <x v="0"/>
    <x v="30"/>
    <x v="3"/>
    <x v="0"/>
    <x v="0"/>
    <x v="0"/>
    <x v="30"/>
    <x v="31"/>
    <x v="0"/>
    <x v="3"/>
    <x v="0"/>
    <x v="0"/>
    <x v="0"/>
    <x v="0"/>
    <x v="1"/>
    <x v="1"/>
    <x v="0"/>
    <x v="4"/>
    <x v="31"/>
    <x v="0"/>
    <x v="30"/>
    <x v="31"/>
    <x v="15"/>
    <x v="0"/>
    <x v="32"/>
    <x v="0"/>
    <x v="0"/>
    <x v="0"/>
    <x v="0"/>
    <x v="0"/>
    <x v="2"/>
    <x v="0"/>
    <x v="0"/>
    <x v="0"/>
    <x v="0"/>
    <x v="31"/>
    <x v="0"/>
    <x v="0"/>
    <x v="31"/>
    <x v="5"/>
    <x v="0"/>
    <x v="6"/>
    <x v="1"/>
    <x v="7"/>
    <x v="15"/>
    <x v="32"/>
    <x v="0"/>
    <x v="2"/>
    <x v="0"/>
    <x v="0"/>
    <x v="5"/>
    <x v="33"/>
    <x v="33"/>
    <x v="0"/>
    <x v="0"/>
    <x v="0"/>
    <x v="31"/>
    <x v="0"/>
    <x v="0"/>
    <x v="0"/>
    <x v="0"/>
    <x v="7"/>
    <x v="0"/>
    <x v="0"/>
    <x v="0"/>
    <x v="2"/>
    <x v="0"/>
    <x v="3"/>
    <x v="3"/>
    <x v="4"/>
    <x v="1"/>
    <x v="0"/>
    <x v="0"/>
    <x v="0"/>
    <x v="24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2"/>
    <x v="4"/>
    <x v="0"/>
    <x v="0"/>
    <x v="0"/>
    <x v="0"/>
    <x v="0"/>
    <x v="1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16"/>
    <x v="0"/>
    <x v="33"/>
    <x v="0"/>
    <x v="1"/>
    <x v="0"/>
    <x v="1"/>
    <x v="0"/>
    <x v="3"/>
    <x v="0"/>
    <x v="0"/>
    <x v="0"/>
    <x v="0"/>
    <x v="32"/>
    <x v="1"/>
    <x v="0"/>
    <x v="32"/>
    <x v="6"/>
    <x v="0"/>
    <x v="6"/>
    <x v="1"/>
    <x v="7"/>
    <x v="16"/>
    <x v="33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16"/>
    <x v="0"/>
    <x v="33"/>
    <x v="0"/>
    <x v="1"/>
    <x v="0"/>
    <x v="1"/>
    <x v="0"/>
    <x v="3"/>
    <x v="0"/>
    <x v="0"/>
    <x v="0"/>
    <x v="0"/>
    <x v="32"/>
    <x v="1"/>
    <x v="0"/>
    <x v="32"/>
    <x v="7"/>
    <x v="0"/>
    <x v="6"/>
    <x v="1"/>
    <x v="7"/>
    <x v="16"/>
    <x v="33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8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9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0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4"/>
    <x v="0"/>
    <x v="4"/>
    <x v="0"/>
    <x v="0"/>
    <x v="0"/>
    <x v="31"/>
    <x v="32"/>
    <x v="0"/>
    <x v="0"/>
    <x v="0"/>
    <x v="2"/>
    <x v="1"/>
    <x v="0"/>
    <x v="31"/>
    <x v="3"/>
    <x v="0"/>
    <x v="0"/>
    <x v="0"/>
    <x v="31"/>
    <x v="32"/>
    <x v="0"/>
    <x v="3"/>
    <x v="0"/>
    <x v="0"/>
    <x v="0"/>
    <x v="0"/>
    <x v="1"/>
    <x v="1"/>
    <x v="0"/>
    <x v="4"/>
    <x v="8"/>
    <x v="0"/>
    <x v="31"/>
    <x v="8"/>
    <x v="6"/>
    <x v="0"/>
    <x v="8"/>
    <x v="0"/>
    <x v="0"/>
    <x v="0"/>
    <x v="0"/>
    <x v="0"/>
    <x v="2"/>
    <x v="0"/>
    <x v="0"/>
    <x v="0"/>
    <x v="0"/>
    <x v="8"/>
    <x v="0"/>
    <x v="0"/>
    <x v="8"/>
    <x v="11"/>
    <x v="0"/>
    <x v="6"/>
    <x v="1"/>
    <x v="7"/>
    <x v="6"/>
    <x v="8"/>
    <x v="0"/>
    <x v="2"/>
    <x v="0"/>
    <x v="0"/>
    <x v="5"/>
    <x v="34"/>
    <x v="34"/>
    <x v="0"/>
    <x v="0"/>
    <x v="0"/>
    <x v="8"/>
    <x v="0"/>
    <x v="0"/>
    <x v="0"/>
    <x v="0"/>
    <x v="7"/>
    <x v="0"/>
    <x v="0"/>
    <x v="0"/>
    <x v="3"/>
    <x v="0"/>
    <x v="3"/>
    <x v="3"/>
    <x v="4"/>
    <x v="1"/>
    <x v="0"/>
    <x v="0"/>
    <x v="0"/>
    <x v="25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3"/>
    <x v="4"/>
    <x v="0"/>
    <x v="0"/>
    <x v="0"/>
    <x v="0"/>
    <x v="0"/>
    <x v="11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2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3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4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15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3"/>
    <x v="0"/>
    <x v="7"/>
    <x v="33"/>
    <x v="17"/>
    <x v="0"/>
    <x v="34"/>
    <x v="0"/>
    <x v="1"/>
    <x v="0"/>
    <x v="1"/>
    <x v="0"/>
    <x v="3"/>
    <x v="0"/>
    <x v="0"/>
    <x v="0"/>
    <x v="0"/>
    <x v="33"/>
    <x v="1"/>
    <x v="0"/>
    <x v="33"/>
    <x v="16"/>
    <x v="0"/>
    <x v="6"/>
    <x v="1"/>
    <x v="7"/>
    <x v="17"/>
    <x v="34"/>
    <x v="1"/>
    <x v="3"/>
    <x v="3"/>
    <x v="1"/>
    <x v="1"/>
    <x v="9"/>
    <x v="9"/>
    <x v="0"/>
    <x v="0"/>
    <x v="1"/>
    <x v="33"/>
    <x v="0"/>
    <x v="0"/>
    <x v="0"/>
    <x v="1"/>
    <x v="7"/>
    <x v="0"/>
    <x v="1"/>
    <x v="1"/>
    <x v="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5"/>
    <x v="0"/>
    <x v="5"/>
    <x v="0"/>
    <x v="0"/>
    <x v="0"/>
    <x v="32"/>
    <x v="33"/>
    <x v="0"/>
    <x v="0"/>
    <x v="0"/>
    <x v="2"/>
    <x v="1"/>
    <x v="0"/>
    <x v="32"/>
    <x v="3"/>
    <x v="0"/>
    <x v="0"/>
    <x v="0"/>
    <x v="32"/>
    <x v="33"/>
    <x v="0"/>
    <x v="3"/>
    <x v="0"/>
    <x v="0"/>
    <x v="0"/>
    <x v="0"/>
    <x v="1"/>
    <x v="1"/>
    <x v="0"/>
    <x v="4"/>
    <x v="6"/>
    <x v="0"/>
    <x v="32"/>
    <x v="6"/>
    <x v="4"/>
    <x v="0"/>
    <x v="6"/>
    <x v="0"/>
    <x v="0"/>
    <x v="0"/>
    <x v="0"/>
    <x v="0"/>
    <x v="2"/>
    <x v="0"/>
    <x v="0"/>
    <x v="0"/>
    <x v="0"/>
    <x v="6"/>
    <x v="0"/>
    <x v="0"/>
    <x v="6"/>
    <x v="17"/>
    <x v="0"/>
    <x v="6"/>
    <x v="1"/>
    <x v="7"/>
    <x v="4"/>
    <x v="6"/>
    <x v="0"/>
    <x v="2"/>
    <x v="0"/>
    <x v="0"/>
    <x v="5"/>
    <x v="35"/>
    <x v="35"/>
    <x v="0"/>
    <x v="0"/>
    <x v="0"/>
    <x v="6"/>
    <x v="0"/>
    <x v="0"/>
    <x v="0"/>
    <x v="0"/>
    <x v="7"/>
    <x v="0"/>
    <x v="0"/>
    <x v="0"/>
    <x v="4"/>
    <x v="0"/>
    <x v="3"/>
    <x v="3"/>
    <x v="4"/>
    <x v="1"/>
    <x v="0"/>
    <x v="0"/>
    <x v="0"/>
    <x v="26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4"/>
    <x v="4"/>
    <x v="0"/>
    <x v="0"/>
    <x v="0"/>
    <x v="0"/>
    <x v="0"/>
    <x v="12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8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4"/>
    <x v="0"/>
    <x v="7"/>
    <x v="34"/>
    <x v="18"/>
    <x v="0"/>
    <x v="35"/>
    <x v="0"/>
    <x v="1"/>
    <x v="0"/>
    <x v="1"/>
    <x v="0"/>
    <x v="3"/>
    <x v="0"/>
    <x v="0"/>
    <x v="0"/>
    <x v="0"/>
    <x v="34"/>
    <x v="1"/>
    <x v="0"/>
    <x v="34"/>
    <x v="19"/>
    <x v="0"/>
    <x v="6"/>
    <x v="1"/>
    <x v="7"/>
    <x v="18"/>
    <x v="35"/>
    <x v="1"/>
    <x v="3"/>
    <x v="3"/>
    <x v="1"/>
    <x v="1"/>
    <x v="9"/>
    <x v="9"/>
    <x v="0"/>
    <x v="0"/>
    <x v="1"/>
    <x v="34"/>
    <x v="0"/>
    <x v="0"/>
    <x v="0"/>
    <x v="1"/>
    <x v="7"/>
    <x v="0"/>
    <x v="1"/>
    <x v="1"/>
    <x v="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20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21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22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5"/>
    <x v="0"/>
    <x v="7"/>
    <x v="35"/>
    <x v="19"/>
    <x v="0"/>
    <x v="36"/>
    <x v="0"/>
    <x v="1"/>
    <x v="0"/>
    <x v="1"/>
    <x v="0"/>
    <x v="3"/>
    <x v="0"/>
    <x v="0"/>
    <x v="0"/>
    <x v="0"/>
    <x v="35"/>
    <x v="1"/>
    <x v="0"/>
    <x v="35"/>
    <x v="23"/>
    <x v="0"/>
    <x v="6"/>
    <x v="1"/>
    <x v="7"/>
    <x v="19"/>
    <x v="36"/>
    <x v="1"/>
    <x v="3"/>
    <x v="3"/>
    <x v="1"/>
    <x v="1"/>
    <x v="9"/>
    <x v="9"/>
    <x v="0"/>
    <x v="0"/>
    <x v="1"/>
    <x v="35"/>
    <x v="0"/>
    <x v="0"/>
    <x v="0"/>
    <x v="1"/>
    <x v="7"/>
    <x v="0"/>
    <x v="1"/>
    <x v="1"/>
    <x v="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6"/>
    <x v="0"/>
    <x v="7"/>
    <x v="36"/>
    <x v="20"/>
    <x v="0"/>
    <x v="37"/>
    <x v="0"/>
    <x v="1"/>
    <x v="0"/>
    <x v="1"/>
    <x v="0"/>
    <x v="3"/>
    <x v="0"/>
    <x v="0"/>
    <x v="0"/>
    <x v="0"/>
    <x v="36"/>
    <x v="1"/>
    <x v="0"/>
    <x v="36"/>
    <x v="24"/>
    <x v="0"/>
    <x v="6"/>
    <x v="1"/>
    <x v="7"/>
    <x v="20"/>
    <x v="37"/>
    <x v="1"/>
    <x v="3"/>
    <x v="3"/>
    <x v="1"/>
    <x v="1"/>
    <x v="9"/>
    <x v="9"/>
    <x v="0"/>
    <x v="0"/>
    <x v="1"/>
    <x v="36"/>
    <x v="0"/>
    <x v="0"/>
    <x v="0"/>
    <x v="1"/>
    <x v="7"/>
    <x v="0"/>
    <x v="1"/>
    <x v="1"/>
    <x v="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6"/>
    <x v="0"/>
    <x v="6"/>
    <x v="0"/>
    <x v="0"/>
    <x v="0"/>
    <x v="33"/>
    <x v="34"/>
    <x v="0"/>
    <x v="0"/>
    <x v="0"/>
    <x v="2"/>
    <x v="1"/>
    <x v="0"/>
    <x v="33"/>
    <x v="3"/>
    <x v="0"/>
    <x v="0"/>
    <x v="0"/>
    <x v="33"/>
    <x v="34"/>
    <x v="0"/>
    <x v="3"/>
    <x v="0"/>
    <x v="0"/>
    <x v="0"/>
    <x v="0"/>
    <x v="1"/>
    <x v="1"/>
    <x v="0"/>
    <x v="4"/>
    <x v="6"/>
    <x v="0"/>
    <x v="33"/>
    <x v="6"/>
    <x v="4"/>
    <x v="0"/>
    <x v="6"/>
    <x v="0"/>
    <x v="0"/>
    <x v="0"/>
    <x v="0"/>
    <x v="0"/>
    <x v="2"/>
    <x v="0"/>
    <x v="0"/>
    <x v="0"/>
    <x v="0"/>
    <x v="6"/>
    <x v="0"/>
    <x v="0"/>
    <x v="6"/>
    <x v="25"/>
    <x v="0"/>
    <x v="6"/>
    <x v="1"/>
    <x v="7"/>
    <x v="4"/>
    <x v="6"/>
    <x v="0"/>
    <x v="2"/>
    <x v="0"/>
    <x v="0"/>
    <x v="5"/>
    <x v="36"/>
    <x v="36"/>
    <x v="0"/>
    <x v="0"/>
    <x v="0"/>
    <x v="6"/>
    <x v="0"/>
    <x v="0"/>
    <x v="0"/>
    <x v="0"/>
    <x v="7"/>
    <x v="0"/>
    <x v="0"/>
    <x v="0"/>
    <x v="5"/>
    <x v="0"/>
    <x v="3"/>
    <x v="3"/>
    <x v="4"/>
    <x v="1"/>
    <x v="0"/>
    <x v="0"/>
    <x v="0"/>
    <x v="27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"/>
    <x v="4"/>
    <x v="0"/>
    <x v="0"/>
    <x v="0"/>
    <x v="0"/>
    <x v="0"/>
    <x v="13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26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7"/>
    <x v="0"/>
    <x v="7"/>
    <x v="37"/>
    <x v="21"/>
    <x v="0"/>
    <x v="38"/>
    <x v="0"/>
    <x v="1"/>
    <x v="0"/>
    <x v="1"/>
    <x v="0"/>
    <x v="3"/>
    <x v="0"/>
    <x v="0"/>
    <x v="0"/>
    <x v="0"/>
    <x v="37"/>
    <x v="1"/>
    <x v="0"/>
    <x v="37"/>
    <x v="27"/>
    <x v="0"/>
    <x v="6"/>
    <x v="1"/>
    <x v="7"/>
    <x v="21"/>
    <x v="38"/>
    <x v="1"/>
    <x v="3"/>
    <x v="3"/>
    <x v="1"/>
    <x v="1"/>
    <x v="9"/>
    <x v="9"/>
    <x v="0"/>
    <x v="0"/>
    <x v="1"/>
    <x v="37"/>
    <x v="0"/>
    <x v="0"/>
    <x v="0"/>
    <x v="1"/>
    <x v="7"/>
    <x v="0"/>
    <x v="1"/>
    <x v="1"/>
    <x v="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8"/>
    <x v="0"/>
    <x v="7"/>
    <x v="38"/>
    <x v="22"/>
    <x v="0"/>
    <x v="39"/>
    <x v="0"/>
    <x v="1"/>
    <x v="0"/>
    <x v="1"/>
    <x v="0"/>
    <x v="3"/>
    <x v="0"/>
    <x v="0"/>
    <x v="0"/>
    <x v="0"/>
    <x v="38"/>
    <x v="1"/>
    <x v="0"/>
    <x v="38"/>
    <x v="28"/>
    <x v="0"/>
    <x v="6"/>
    <x v="1"/>
    <x v="7"/>
    <x v="22"/>
    <x v="39"/>
    <x v="1"/>
    <x v="3"/>
    <x v="3"/>
    <x v="1"/>
    <x v="1"/>
    <x v="9"/>
    <x v="9"/>
    <x v="0"/>
    <x v="0"/>
    <x v="1"/>
    <x v="38"/>
    <x v="0"/>
    <x v="0"/>
    <x v="0"/>
    <x v="1"/>
    <x v="7"/>
    <x v="0"/>
    <x v="1"/>
    <x v="1"/>
    <x v="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29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5"/>
    <x v="0"/>
    <x v="7"/>
    <x v="0"/>
    <x v="1"/>
    <x v="0"/>
    <x v="1"/>
    <x v="0"/>
    <x v="3"/>
    <x v="0"/>
    <x v="0"/>
    <x v="0"/>
    <x v="0"/>
    <x v="7"/>
    <x v="1"/>
    <x v="0"/>
    <x v="7"/>
    <x v="30"/>
    <x v="0"/>
    <x v="6"/>
    <x v="1"/>
    <x v="7"/>
    <x v="5"/>
    <x v="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16"/>
    <x v="0"/>
    <x v="33"/>
    <x v="0"/>
    <x v="1"/>
    <x v="0"/>
    <x v="1"/>
    <x v="0"/>
    <x v="3"/>
    <x v="0"/>
    <x v="0"/>
    <x v="0"/>
    <x v="0"/>
    <x v="32"/>
    <x v="1"/>
    <x v="0"/>
    <x v="32"/>
    <x v="31"/>
    <x v="0"/>
    <x v="6"/>
    <x v="1"/>
    <x v="7"/>
    <x v="16"/>
    <x v="33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7"/>
    <x v="0"/>
    <x v="7"/>
    <x v="0"/>
    <x v="0"/>
    <x v="0"/>
    <x v="34"/>
    <x v="35"/>
    <x v="0"/>
    <x v="0"/>
    <x v="0"/>
    <x v="2"/>
    <x v="1"/>
    <x v="0"/>
    <x v="34"/>
    <x v="3"/>
    <x v="0"/>
    <x v="0"/>
    <x v="0"/>
    <x v="34"/>
    <x v="35"/>
    <x v="0"/>
    <x v="3"/>
    <x v="0"/>
    <x v="0"/>
    <x v="0"/>
    <x v="0"/>
    <x v="1"/>
    <x v="1"/>
    <x v="0"/>
    <x v="4"/>
    <x v="38"/>
    <x v="0"/>
    <x v="34"/>
    <x v="38"/>
    <x v="22"/>
    <x v="0"/>
    <x v="39"/>
    <x v="0"/>
    <x v="0"/>
    <x v="0"/>
    <x v="0"/>
    <x v="0"/>
    <x v="2"/>
    <x v="0"/>
    <x v="0"/>
    <x v="0"/>
    <x v="0"/>
    <x v="38"/>
    <x v="0"/>
    <x v="0"/>
    <x v="38"/>
    <x v="32"/>
    <x v="0"/>
    <x v="6"/>
    <x v="1"/>
    <x v="7"/>
    <x v="22"/>
    <x v="39"/>
    <x v="0"/>
    <x v="2"/>
    <x v="0"/>
    <x v="0"/>
    <x v="5"/>
    <x v="37"/>
    <x v="37"/>
    <x v="0"/>
    <x v="0"/>
    <x v="0"/>
    <x v="38"/>
    <x v="0"/>
    <x v="0"/>
    <x v="0"/>
    <x v="0"/>
    <x v="7"/>
    <x v="0"/>
    <x v="0"/>
    <x v="0"/>
    <x v="6"/>
    <x v="0"/>
    <x v="3"/>
    <x v="3"/>
    <x v="4"/>
    <x v="1"/>
    <x v="0"/>
    <x v="0"/>
    <x v="0"/>
    <x v="28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"/>
    <x v="4"/>
    <x v="0"/>
    <x v="0"/>
    <x v="0"/>
    <x v="0"/>
    <x v="0"/>
    <x v="14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33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5"/>
    <x v="0"/>
    <x v="7"/>
    <x v="35"/>
    <x v="19"/>
    <x v="0"/>
    <x v="36"/>
    <x v="0"/>
    <x v="1"/>
    <x v="0"/>
    <x v="1"/>
    <x v="0"/>
    <x v="3"/>
    <x v="0"/>
    <x v="0"/>
    <x v="0"/>
    <x v="0"/>
    <x v="35"/>
    <x v="1"/>
    <x v="0"/>
    <x v="35"/>
    <x v="34"/>
    <x v="0"/>
    <x v="6"/>
    <x v="1"/>
    <x v="7"/>
    <x v="19"/>
    <x v="36"/>
    <x v="1"/>
    <x v="3"/>
    <x v="3"/>
    <x v="1"/>
    <x v="1"/>
    <x v="9"/>
    <x v="9"/>
    <x v="0"/>
    <x v="0"/>
    <x v="1"/>
    <x v="35"/>
    <x v="0"/>
    <x v="0"/>
    <x v="0"/>
    <x v="1"/>
    <x v="7"/>
    <x v="0"/>
    <x v="1"/>
    <x v="1"/>
    <x v="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8"/>
    <x v="0"/>
    <x v="0"/>
    <x v="0"/>
    <x v="0"/>
    <x v="0"/>
    <x v="35"/>
    <x v="36"/>
    <x v="0"/>
    <x v="0"/>
    <x v="0"/>
    <x v="1"/>
    <x v="0"/>
    <x v="0"/>
    <x v="35"/>
    <x v="2"/>
    <x v="0"/>
    <x v="0"/>
    <x v="0"/>
    <x v="35"/>
    <x v="36"/>
    <x v="0"/>
    <x v="0"/>
    <x v="0"/>
    <x v="0"/>
    <x v="0"/>
    <x v="0"/>
    <x v="0"/>
    <x v="0"/>
    <x v="0"/>
    <x v="21"/>
    <x v="39"/>
    <x v="0"/>
    <x v="35"/>
    <x v="39"/>
    <x v="23"/>
    <x v="0"/>
    <x v="40"/>
    <x v="0"/>
    <x v="0"/>
    <x v="0"/>
    <x v="0"/>
    <x v="0"/>
    <x v="1"/>
    <x v="0"/>
    <x v="0"/>
    <x v="0"/>
    <x v="0"/>
    <x v="39"/>
    <x v="0"/>
    <x v="0"/>
    <x v="39"/>
    <x v="0"/>
    <x v="0"/>
    <x v="28"/>
    <x v="0"/>
    <x v="27"/>
    <x v="23"/>
    <x v="40"/>
    <x v="0"/>
    <x v="1"/>
    <x v="0"/>
    <x v="0"/>
    <x v="6"/>
    <x v="38"/>
    <x v="38"/>
    <x v="0"/>
    <x v="0"/>
    <x v="0"/>
    <x v="39"/>
    <x v="0"/>
    <x v="0"/>
    <x v="0"/>
    <x v="0"/>
    <x v="27"/>
    <x v="0"/>
    <x v="0"/>
    <x v="0"/>
    <x v="0"/>
    <x v="0"/>
    <x v="10"/>
    <x v="10"/>
    <x v="21"/>
    <x v="0"/>
    <x v="0"/>
    <x v="0"/>
    <x v="0"/>
    <x v="29"/>
    <x v="2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7"/>
    <x v="20"/>
    <x v="0"/>
    <x v="0"/>
    <x v="0"/>
    <x v="0"/>
    <x v="0"/>
    <x v="0"/>
  </r>
  <r>
    <x v="0"/>
    <x v="39"/>
    <x v="0"/>
    <x v="0"/>
    <x v="0"/>
    <x v="0"/>
    <x v="0"/>
    <x v="36"/>
    <x v="37"/>
    <x v="0"/>
    <x v="0"/>
    <x v="0"/>
    <x v="1"/>
    <x v="0"/>
    <x v="0"/>
    <x v="36"/>
    <x v="2"/>
    <x v="0"/>
    <x v="0"/>
    <x v="0"/>
    <x v="36"/>
    <x v="37"/>
    <x v="0"/>
    <x v="0"/>
    <x v="0"/>
    <x v="0"/>
    <x v="0"/>
    <x v="0"/>
    <x v="0"/>
    <x v="0"/>
    <x v="0"/>
    <x v="21"/>
    <x v="40"/>
    <x v="0"/>
    <x v="36"/>
    <x v="40"/>
    <x v="1"/>
    <x v="0"/>
    <x v="41"/>
    <x v="1"/>
    <x v="0"/>
    <x v="1"/>
    <x v="0"/>
    <x v="0"/>
    <x v="1"/>
    <x v="0"/>
    <x v="0"/>
    <x v="0"/>
    <x v="0"/>
    <x v="40"/>
    <x v="0"/>
    <x v="1"/>
    <x v="40"/>
    <x v="0"/>
    <x v="0"/>
    <x v="29"/>
    <x v="0"/>
    <x v="28"/>
    <x v="1"/>
    <x v="41"/>
    <x v="0"/>
    <x v="1"/>
    <x v="2"/>
    <x v="0"/>
    <x v="6"/>
    <x v="39"/>
    <x v="39"/>
    <x v="0"/>
    <x v="0"/>
    <x v="0"/>
    <x v="40"/>
    <x v="0"/>
    <x v="0"/>
    <x v="0"/>
    <x v="0"/>
    <x v="28"/>
    <x v="0"/>
    <x v="0"/>
    <x v="0"/>
    <x v="0"/>
    <x v="0"/>
    <x v="10"/>
    <x v="10"/>
    <x v="21"/>
    <x v="0"/>
    <x v="0"/>
    <x v="0"/>
    <x v="0"/>
    <x v="29"/>
    <x v="2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7"/>
    <x v="20"/>
    <x v="0"/>
    <x v="0"/>
    <x v="0"/>
    <x v="0"/>
    <x v="0"/>
    <x v="0"/>
  </r>
  <r>
    <x v="0"/>
    <x v="40"/>
    <x v="0"/>
    <x v="6"/>
    <x v="0"/>
    <x v="0"/>
    <x v="0"/>
    <x v="37"/>
    <x v="38"/>
    <x v="0"/>
    <x v="0"/>
    <x v="0"/>
    <x v="8"/>
    <x v="0"/>
    <x v="0"/>
    <x v="37"/>
    <x v="8"/>
    <x v="0"/>
    <x v="0"/>
    <x v="0"/>
    <x v="37"/>
    <x v="38"/>
    <x v="0"/>
    <x v="0"/>
    <x v="0"/>
    <x v="0"/>
    <x v="0"/>
    <x v="0"/>
    <x v="0"/>
    <x v="0"/>
    <x v="0"/>
    <x v="22"/>
    <x v="41"/>
    <x v="0"/>
    <x v="37"/>
    <x v="41"/>
    <x v="1"/>
    <x v="0"/>
    <x v="42"/>
    <x v="2"/>
    <x v="0"/>
    <x v="2"/>
    <x v="0"/>
    <x v="0"/>
    <x v="8"/>
    <x v="0"/>
    <x v="0"/>
    <x v="0"/>
    <x v="0"/>
    <x v="41"/>
    <x v="0"/>
    <x v="2"/>
    <x v="41"/>
    <x v="0"/>
    <x v="0"/>
    <x v="30"/>
    <x v="0"/>
    <x v="29"/>
    <x v="1"/>
    <x v="42"/>
    <x v="0"/>
    <x v="7"/>
    <x v="5"/>
    <x v="0"/>
    <x v="7"/>
    <x v="40"/>
    <x v="40"/>
    <x v="0"/>
    <x v="0"/>
    <x v="0"/>
    <x v="41"/>
    <x v="0"/>
    <x v="0"/>
    <x v="0"/>
    <x v="0"/>
    <x v="29"/>
    <x v="0"/>
    <x v="0"/>
    <x v="0"/>
    <x v="5"/>
    <x v="0"/>
    <x v="17"/>
    <x v="17"/>
    <x v="22"/>
    <x v="0"/>
    <x v="0"/>
    <x v="0"/>
    <x v="0"/>
    <x v="30"/>
    <x v="29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28"/>
    <x v="21"/>
    <x v="0"/>
    <x v="0"/>
    <x v="0"/>
    <x v="0"/>
    <x v="0"/>
    <x v="15"/>
  </r>
  <r>
    <x v="0"/>
    <x v="41"/>
    <x v="0"/>
    <x v="0"/>
    <x v="0"/>
    <x v="0"/>
    <x v="0"/>
    <x v="38"/>
    <x v="39"/>
    <x v="0"/>
    <x v="0"/>
    <x v="0"/>
    <x v="0"/>
    <x v="0"/>
    <x v="0"/>
    <x v="38"/>
    <x v="0"/>
    <x v="0"/>
    <x v="0"/>
    <x v="0"/>
    <x v="38"/>
    <x v="39"/>
    <x v="0"/>
    <x v="0"/>
    <x v="0"/>
    <x v="0"/>
    <x v="0"/>
    <x v="0"/>
    <x v="0"/>
    <x v="0"/>
    <x v="0"/>
    <x v="23"/>
    <x v="42"/>
    <x v="0"/>
    <x v="38"/>
    <x v="42"/>
    <x v="24"/>
    <x v="0"/>
    <x v="43"/>
    <x v="0"/>
    <x v="0"/>
    <x v="0"/>
    <x v="0"/>
    <x v="0"/>
    <x v="0"/>
    <x v="0"/>
    <x v="0"/>
    <x v="0"/>
    <x v="0"/>
    <x v="42"/>
    <x v="0"/>
    <x v="0"/>
    <x v="42"/>
    <x v="0"/>
    <x v="0"/>
    <x v="31"/>
    <x v="0"/>
    <x v="30"/>
    <x v="24"/>
    <x v="43"/>
    <x v="0"/>
    <x v="0"/>
    <x v="0"/>
    <x v="0"/>
    <x v="7"/>
    <x v="41"/>
    <x v="41"/>
    <x v="0"/>
    <x v="0"/>
    <x v="0"/>
    <x v="42"/>
    <x v="0"/>
    <x v="0"/>
    <x v="0"/>
    <x v="0"/>
    <x v="30"/>
    <x v="0"/>
    <x v="0"/>
    <x v="0"/>
    <x v="0"/>
    <x v="0"/>
    <x v="18"/>
    <x v="18"/>
    <x v="23"/>
    <x v="0"/>
    <x v="0"/>
    <x v="0"/>
    <x v="0"/>
    <x v="31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"/>
    <x v="22"/>
    <x v="0"/>
    <x v="0"/>
    <x v="0"/>
    <x v="0"/>
    <x v="0"/>
    <x v="0"/>
  </r>
  <r>
    <x v="0"/>
    <x v="42"/>
    <x v="0"/>
    <x v="0"/>
    <x v="0"/>
    <x v="0"/>
    <x v="0"/>
    <x v="39"/>
    <x v="40"/>
    <x v="0"/>
    <x v="0"/>
    <x v="0"/>
    <x v="0"/>
    <x v="0"/>
    <x v="0"/>
    <x v="39"/>
    <x v="0"/>
    <x v="0"/>
    <x v="0"/>
    <x v="0"/>
    <x v="39"/>
    <x v="40"/>
    <x v="0"/>
    <x v="0"/>
    <x v="0"/>
    <x v="0"/>
    <x v="0"/>
    <x v="0"/>
    <x v="0"/>
    <x v="0"/>
    <x v="0"/>
    <x v="23"/>
    <x v="43"/>
    <x v="0"/>
    <x v="39"/>
    <x v="43"/>
    <x v="1"/>
    <x v="0"/>
    <x v="44"/>
    <x v="1"/>
    <x v="0"/>
    <x v="1"/>
    <x v="0"/>
    <x v="0"/>
    <x v="0"/>
    <x v="0"/>
    <x v="0"/>
    <x v="0"/>
    <x v="0"/>
    <x v="43"/>
    <x v="0"/>
    <x v="1"/>
    <x v="43"/>
    <x v="0"/>
    <x v="0"/>
    <x v="32"/>
    <x v="0"/>
    <x v="31"/>
    <x v="1"/>
    <x v="44"/>
    <x v="0"/>
    <x v="0"/>
    <x v="1"/>
    <x v="0"/>
    <x v="7"/>
    <x v="42"/>
    <x v="42"/>
    <x v="0"/>
    <x v="0"/>
    <x v="0"/>
    <x v="43"/>
    <x v="0"/>
    <x v="0"/>
    <x v="0"/>
    <x v="0"/>
    <x v="31"/>
    <x v="0"/>
    <x v="0"/>
    <x v="0"/>
    <x v="0"/>
    <x v="0"/>
    <x v="18"/>
    <x v="18"/>
    <x v="23"/>
    <x v="0"/>
    <x v="0"/>
    <x v="0"/>
    <x v="0"/>
    <x v="31"/>
    <x v="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"/>
    <x v="22"/>
    <x v="0"/>
    <x v="0"/>
    <x v="0"/>
    <x v="0"/>
    <x v="0"/>
    <x v="0"/>
  </r>
  <r>
    <x v="0"/>
    <x v="43"/>
    <x v="0"/>
    <x v="6"/>
    <x v="0"/>
    <x v="0"/>
    <x v="0"/>
    <x v="40"/>
    <x v="41"/>
    <x v="0"/>
    <x v="0"/>
    <x v="0"/>
    <x v="0"/>
    <x v="0"/>
    <x v="0"/>
    <x v="40"/>
    <x v="0"/>
    <x v="0"/>
    <x v="0"/>
    <x v="0"/>
    <x v="40"/>
    <x v="41"/>
    <x v="0"/>
    <x v="0"/>
    <x v="0"/>
    <x v="0"/>
    <x v="0"/>
    <x v="0"/>
    <x v="0"/>
    <x v="0"/>
    <x v="0"/>
    <x v="24"/>
    <x v="44"/>
    <x v="0"/>
    <x v="40"/>
    <x v="44"/>
    <x v="1"/>
    <x v="0"/>
    <x v="45"/>
    <x v="2"/>
    <x v="0"/>
    <x v="2"/>
    <x v="0"/>
    <x v="0"/>
    <x v="0"/>
    <x v="0"/>
    <x v="0"/>
    <x v="0"/>
    <x v="0"/>
    <x v="44"/>
    <x v="0"/>
    <x v="2"/>
    <x v="44"/>
    <x v="0"/>
    <x v="0"/>
    <x v="33"/>
    <x v="0"/>
    <x v="32"/>
    <x v="1"/>
    <x v="45"/>
    <x v="0"/>
    <x v="0"/>
    <x v="1"/>
    <x v="0"/>
    <x v="7"/>
    <x v="43"/>
    <x v="43"/>
    <x v="0"/>
    <x v="0"/>
    <x v="0"/>
    <x v="44"/>
    <x v="0"/>
    <x v="0"/>
    <x v="0"/>
    <x v="0"/>
    <x v="32"/>
    <x v="0"/>
    <x v="0"/>
    <x v="0"/>
    <x v="5"/>
    <x v="0"/>
    <x v="4"/>
    <x v="4"/>
    <x v="24"/>
    <x v="0"/>
    <x v="0"/>
    <x v="0"/>
    <x v="0"/>
    <x v="32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"/>
    <x v="23"/>
    <x v="0"/>
    <x v="0"/>
    <x v="0"/>
    <x v="0"/>
    <x v="0"/>
    <x v="16"/>
  </r>
  <r>
    <x v="0"/>
    <x v="44"/>
    <x v="0"/>
    <x v="6"/>
    <x v="0"/>
    <x v="0"/>
    <x v="0"/>
    <x v="41"/>
    <x v="42"/>
    <x v="0"/>
    <x v="0"/>
    <x v="0"/>
    <x v="0"/>
    <x v="0"/>
    <x v="0"/>
    <x v="41"/>
    <x v="0"/>
    <x v="0"/>
    <x v="0"/>
    <x v="0"/>
    <x v="41"/>
    <x v="42"/>
    <x v="0"/>
    <x v="0"/>
    <x v="0"/>
    <x v="0"/>
    <x v="0"/>
    <x v="0"/>
    <x v="0"/>
    <x v="0"/>
    <x v="0"/>
    <x v="25"/>
    <x v="45"/>
    <x v="0"/>
    <x v="41"/>
    <x v="45"/>
    <x v="1"/>
    <x v="0"/>
    <x v="46"/>
    <x v="2"/>
    <x v="0"/>
    <x v="2"/>
    <x v="0"/>
    <x v="0"/>
    <x v="0"/>
    <x v="0"/>
    <x v="0"/>
    <x v="0"/>
    <x v="0"/>
    <x v="45"/>
    <x v="0"/>
    <x v="2"/>
    <x v="45"/>
    <x v="0"/>
    <x v="0"/>
    <x v="34"/>
    <x v="0"/>
    <x v="33"/>
    <x v="1"/>
    <x v="46"/>
    <x v="0"/>
    <x v="0"/>
    <x v="1"/>
    <x v="0"/>
    <x v="7"/>
    <x v="44"/>
    <x v="44"/>
    <x v="0"/>
    <x v="0"/>
    <x v="0"/>
    <x v="45"/>
    <x v="0"/>
    <x v="0"/>
    <x v="0"/>
    <x v="0"/>
    <x v="33"/>
    <x v="0"/>
    <x v="0"/>
    <x v="0"/>
    <x v="5"/>
    <x v="0"/>
    <x v="19"/>
    <x v="19"/>
    <x v="25"/>
    <x v="0"/>
    <x v="0"/>
    <x v="0"/>
    <x v="0"/>
    <x v="33"/>
    <x v="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1"/>
    <x v="24"/>
    <x v="0"/>
    <x v="0"/>
    <x v="0"/>
    <x v="0"/>
    <x v="0"/>
    <x v="17"/>
  </r>
  <r>
    <x v="0"/>
    <x v="45"/>
    <x v="0"/>
    <x v="6"/>
    <x v="0"/>
    <x v="0"/>
    <x v="0"/>
    <x v="42"/>
    <x v="43"/>
    <x v="0"/>
    <x v="0"/>
    <x v="0"/>
    <x v="0"/>
    <x v="0"/>
    <x v="0"/>
    <x v="42"/>
    <x v="0"/>
    <x v="0"/>
    <x v="0"/>
    <x v="0"/>
    <x v="42"/>
    <x v="43"/>
    <x v="0"/>
    <x v="0"/>
    <x v="0"/>
    <x v="0"/>
    <x v="0"/>
    <x v="0"/>
    <x v="0"/>
    <x v="0"/>
    <x v="0"/>
    <x v="26"/>
    <x v="46"/>
    <x v="0"/>
    <x v="42"/>
    <x v="46"/>
    <x v="1"/>
    <x v="0"/>
    <x v="47"/>
    <x v="2"/>
    <x v="0"/>
    <x v="2"/>
    <x v="0"/>
    <x v="0"/>
    <x v="0"/>
    <x v="0"/>
    <x v="0"/>
    <x v="0"/>
    <x v="0"/>
    <x v="46"/>
    <x v="0"/>
    <x v="2"/>
    <x v="46"/>
    <x v="0"/>
    <x v="0"/>
    <x v="35"/>
    <x v="0"/>
    <x v="34"/>
    <x v="1"/>
    <x v="47"/>
    <x v="0"/>
    <x v="0"/>
    <x v="1"/>
    <x v="0"/>
    <x v="7"/>
    <x v="45"/>
    <x v="45"/>
    <x v="0"/>
    <x v="0"/>
    <x v="0"/>
    <x v="46"/>
    <x v="0"/>
    <x v="0"/>
    <x v="0"/>
    <x v="0"/>
    <x v="34"/>
    <x v="0"/>
    <x v="0"/>
    <x v="0"/>
    <x v="5"/>
    <x v="0"/>
    <x v="4"/>
    <x v="4"/>
    <x v="26"/>
    <x v="0"/>
    <x v="0"/>
    <x v="0"/>
    <x v="0"/>
    <x v="34"/>
    <x v="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2"/>
    <x v="25"/>
    <x v="0"/>
    <x v="0"/>
    <x v="0"/>
    <x v="0"/>
    <x v="0"/>
    <x v="18"/>
  </r>
  <r>
    <x v="1"/>
    <x v="46"/>
    <x v="0"/>
    <x v="7"/>
    <x v="0"/>
    <x v="0"/>
    <x v="0"/>
    <x v="43"/>
    <x v="44"/>
    <x v="0"/>
    <x v="0"/>
    <x v="0"/>
    <x v="9"/>
    <x v="0"/>
    <x v="0"/>
    <x v="43"/>
    <x v="9"/>
    <x v="0"/>
    <x v="0"/>
    <x v="0"/>
    <x v="43"/>
    <x v="44"/>
    <x v="0"/>
    <x v="3"/>
    <x v="0"/>
    <x v="0"/>
    <x v="0"/>
    <x v="0"/>
    <x v="1"/>
    <x v="1"/>
    <x v="0"/>
    <x v="4"/>
    <x v="47"/>
    <x v="0"/>
    <x v="43"/>
    <x v="47"/>
    <x v="1"/>
    <x v="0"/>
    <x v="48"/>
    <x v="0"/>
    <x v="0"/>
    <x v="0"/>
    <x v="0"/>
    <x v="0"/>
    <x v="9"/>
    <x v="0"/>
    <x v="0"/>
    <x v="0"/>
    <x v="0"/>
    <x v="47"/>
    <x v="0"/>
    <x v="0"/>
    <x v="47"/>
    <x v="0"/>
    <x v="0"/>
    <x v="6"/>
    <x v="1"/>
    <x v="7"/>
    <x v="1"/>
    <x v="48"/>
    <x v="0"/>
    <x v="0"/>
    <x v="1"/>
    <x v="0"/>
    <x v="7"/>
    <x v="46"/>
    <x v="46"/>
    <x v="0"/>
    <x v="0"/>
    <x v="0"/>
    <x v="47"/>
    <x v="0"/>
    <x v="0"/>
    <x v="0"/>
    <x v="0"/>
    <x v="7"/>
    <x v="0"/>
    <x v="0"/>
    <x v="0"/>
    <x v="6"/>
    <x v="0"/>
    <x v="3"/>
    <x v="3"/>
    <x v="4"/>
    <x v="1"/>
    <x v="0"/>
    <x v="0"/>
    <x v="0"/>
    <x v="35"/>
    <x v="7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7"/>
    <x v="0"/>
    <x v="4"/>
    <x v="0"/>
    <x v="0"/>
    <x v="0"/>
    <x v="44"/>
    <x v="45"/>
    <x v="0"/>
    <x v="0"/>
    <x v="0"/>
    <x v="0"/>
    <x v="0"/>
    <x v="0"/>
    <x v="44"/>
    <x v="0"/>
    <x v="0"/>
    <x v="0"/>
    <x v="0"/>
    <x v="44"/>
    <x v="45"/>
    <x v="0"/>
    <x v="0"/>
    <x v="0"/>
    <x v="0"/>
    <x v="0"/>
    <x v="0"/>
    <x v="0"/>
    <x v="0"/>
    <x v="0"/>
    <x v="27"/>
    <x v="48"/>
    <x v="0"/>
    <x v="44"/>
    <x v="48"/>
    <x v="1"/>
    <x v="0"/>
    <x v="49"/>
    <x v="2"/>
    <x v="0"/>
    <x v="2"/>
    <x v="0"/>
    <x v="0"/>
    <x v="0"/>
    <x v="0"/>
    <x v="0"/>
    <x v="0"/>
    <x v="0"/>
    <x v="48"/>
    <x v="0"/>
    <x v="2"/>
    <x v="48"/>
    <x v="0"/>
    <x v="0"/>
    <x v="36"/>
    <x v="0"/>
    <x v="35"/>
    <x v="1"/>
    <x v="49"/>
    <x v="0"/>
    <x v="0"/>
    <x v="1"/>
    <x v="0"/>
    <x v="7"/>
    <x v="47"/>
    <x v="47"/>
    <x v="0"/>
    <x v="0"/>
    <x v="0"/>
    <x v="48"/>
    <x v="0"/>
    <x v="0"/>
    <x v="0"/>
    <x v="0"/>
    <x v="35"/>
    <x v="0"/>
    <x v="0"/>
    <x v="0"/>
    <x v="3"/>
    <x v="0"/>
    <x v="20"/>
    <x v="20"/>
    <x v="27"/>
    <x v="0"/>
    <x v="0"/>
    <x v="0"/>
    <x v="0"/>
    <x v="36"/>
    <x v="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3"/>
    <x v="26"/>
    <x v="0"/>
    <x v="0"/>
    <x v="0"/>
    <x v="0"/>
    <x v="0"/>
    <x v="19"/>
  </r>
  <r>
    <x v="0"/>
    <x v="48"/>
    <x v="0"/>
    <x v="4"/>
    <x v="0"/>
    <x v="0"/>
    <x v="0"/>
    <x v="45"/>
    <x v="46"/>
    <x v="0"/>
    <x v="0"/>
    <x v="0"/>
    <x v="4"/>
    <x v="0"/>
    <x v="0"/>
    <x v="45"/>
    <x v="4"/>
    <x v="0"/>
    <x v="0"/>
    <x v="0"/>
    <x v="45"/>
    <x v="46"/>
    <x v="0"/>
    <x v="0"/>
    <x v="0"/>
    <x v="0"/>
    <x v="0"/>
    <x v="0"/>
    <x v="0"/>
    <x v="0"/>
    <x v="0"/>
    <x v="28"/>
    <x v="49"/>
    <x v="0"/>
    <x v="45"/>
    <x v="49"/>
    <x v="1"/>
    <x v="0"/>
    <x v="50"/>
    <x v="2"/>
    <x v="0"/>
    <x v="2"/>
    <x v="0"/>
    <x v="0"/>
    <x v="4"/>
    <x v="0"/>
    <x v="0"/>
    <x v="0"/>
    <x v="0"/>
    <x v="49"/>
    <x v="0"/>
    <x v="2"/>
    <x v="49"/>
    <x v="0"/>
    <x v="0"/>
    <x v="37"/>
    <x v="0"/>
    <x v="36"/>
    <x v="1"/>
    <x v="50"/>
    <x v="0"/>
    <x v="0"/>
    <x v="1"/>
    <x v="0"/>
    <x v="7"/>
    <x v="48"/>
    <x v="48"/>
    <x v="0"/>
    <x v="0"/>
    <x v="0"/>
    <x v="49"/>
    <x v="0"/>
    <x v="0"/>
    <x v="0"/>
    <x v="0"/>
    <x v="36"/>
    <x v="0"/>
    <x v="0"/>
    <x v="0"/>
    <x v="3"/>
    <x v="0"/>
    <x v="21"/>
    <x v="21"/>
    <x v="28"/>
    <x v="0"/>
    <x v="0"/>
    <x v="0"/>
    <x v="0"/>
    <x v="37"/>
    <x v="36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34"/>
    <x v="27"/>
    <x v="0"/>
    <x v="0"/>
    <x v="0"/>
    <x v="0"/>
    <x v="0"/>
    <x v="20"/>
  </r>
  <r>
    <x v="0"/>
    <x v="49"/>
    <x v="0"/>
    <x v="4"/>
    <x v="0"/>
    <x v="0"/>
    <x v="0"/>
    <x v="46"/>
    <x v="47"/>
    <x v="0"/>
    <x v="0"/>
    <x v="0"/>
    <x v="4"/>
    <x v="0"/>
    <x v="0"/>
    <x v="46"/>
    <x v="4"/>
    <x v="0"/>
    <x v="0"/>
    <x v="0"/>
    <x v="46"/>
    <x v="47"/>
    <x v="0"/>
    <x v="0"/>
    <x v="0"/>
    <x v="0"/>
    <x v="0"/>
    <x v="0"/>
    <x v="0"/>
    <x v="0"/>
    <x v="0"/>
    <x v="29"/>
    <x v="50"/>
    <x v="0"/>
    <x v="46"/>
    <x v="50"/>
    <x v="1"/>
    <x v="0"/>
    <x v="51"/>
    <x v="2"/>
    <x v="0"/>
    <x v="2"/>
    <x v="0"/>
    <x v="0"/>
    <x v="4"/>
    <x v="0"/>
    <x v="0"/>
    <x v="0"/>
    <x v="0"/>
    <x v="50"/>
    <x v="0"/>
    <x v="2"/>
    <x v="50"/>
    <x v="0"/>
    <x v="0"/>
    <x v="38"/>
    <x v="0"/>
    <x v="37"/>
    <x v="1"/>
    <x v="51"/>
    <x v="0"/>
    <x v="0"/>
    <x v="1"/>
    <x v="0"/>
    <x v="7"/>
    <x v="49"/>
    <x v="49"/>
    <x v="0"/>
    <x v="0"/>
    <x v="0"/>
    <x v="50"/>
    <x v="0"/>
    <x v="0"/>
    <x v="0"/>
    <x v="0"/>
    <x v="37"/>
    <x v="0"/>
    <x v="0"/>
    <x v="0"/>
    <x v="3"/>
    <x v="0"/>
    <x v="12"/>
    <x v="12"/>
    <x v="29"/>
    <x v="0"/>
    <x v="0"/>
    <x v="0"/>
    <x v="0"/>
    <x v="38"/>
    <x v="37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34"/>
    <x v="27"/>
    <x v="0"/>
    <x v="0"/>
    <x v="0"/>
    <x v="0"/>
    <x v="0"/>
    <x v="21"/>
  </r>
  <r>
    <x v="0"/>
    <x v="50"/>
    <x v="0"/>
    <x v="7"/>
    <x v="0"/>
    <x v="0"/>
    <x v="0"/>
    <x v="46"/>
    <x v="47"/>
    <x v="0"/>
    <x v="0"/>
    <x v="0"/>
    <x v="0"/>
    <x v="0"/>
    <x v="0"/>
    <x v="46"/>
    <x v="0"/>
    <x v="0"/>
    <x v="0"/>
    <x v="0"/>
    <x v="46"/>
    <x v="47"/>
    <x v="0"/>
    <x v="0"/>
    <x v="0"/>
    <x v="0"/>
    <x v="0"/>
    <x v="2"/>
    <x v="0"/>
    <x v="0"/>
    <x v="0"/>
    <x v="30"/>
    <x v="50"/>
    <x v="0"/>
    <x v="46"/>
    <x v="50"/>
    <x v="1"/>
    <x v="0"/>
    <x v="51"/>
    <x v="2"/>
    <x v="0"/>
    <x v="2"/>
    <x v="0"/>
    <x v="0"/>
    <x v="0"/>
    <x v="0"/>
    <x v="0"/>
    <x v="0"/>
    <x v="0"/>
    <x v="50"/>
    <x v="0"/>
    <x v="2"/>
    <x v="50"/>
    <x v="0"/>
    <x v="0"/>
    <x v="38"/>
    <x v="0"/>
    <x v="37"/>
    <x v="1"/>
    <x v="51"/>
    <x v="0"/>
    <x v="0"/>
    <x v="1"/>
    <x v="0"/>
    <x v="7"/>
    <x v="50"/>
    <x v="50"/>
    <x v="0"/>
    <x v="0"/>
    <x v="0"/>
    <x v="50"/>
    <x v="0"/>
    <x v="0"/>
    <x v="0"/>
    <x v="0"/>
    <x v="37"/>
    <x v="0"/>
    <x v="0"/>
    <x v="0"/>
    <x v="6"/>
    <x v="0"/>
    <x v="12"/>
    <x v="12"/>
    <x v="30"/>
    <x v="0"/>
    <x v="0"/>
    <x v="0"/>
    <x v="0"/>
    <x v="39"/>
    <x v="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5"/>
    <x v="28"/>
    <x v="0"/>
    <x v="0"/>
    <x v="0"/>
    <x v="0"/>
    <x v="0"/>
    <x v="22"/>
  </r>
  <r>
    <x v="0"/>
    <x v="51"/>
    <x v="0"/>
    <x v="7"/>
    <x v="0"/>
    <x v="0"/>
    <x v="0"/>
    <x v="40"/>
    <x v="41"/>
    <x v="0"/>
    <x v="0"/>
    <x v="0"/>
    <x v="0"/>
    <x v="0"/>
    <x v="0"/>
    <x v="40"/>
    <x v="0"/>
    <x v="0"/>
    <x v="0"/>
    <x v="0"/>
    <x v="40"/>
    <x v="41"/>
    <x v="0"/>
    <x v="0"/>
    <x v="0"/>
    <x v="0"/>
    <x v="0"/>
    <x v="0"/>
    <x v="0"/>
    <x v="0"/>
    <x v="0"/>
    <x v="31"/>
    <x v="44"/>
    <x v="0"/>
    <x v="40"/>
    <x v="44"/>
    <x v="1"/>
    <x v="0"/>
    <x v="45"/>
    <x v="2"/>
    <x v="0"/>
    <x v="2"/>
    <x v="0"/>
    <x v="0"/>
    <x v="0"/>
    <x v="0"/>
    <x v="0"/>
    <x v="0"/>
    <x v="0"/>
    <x v="44"/>
    <x v="0"/>
    <x v="2"/>
    <x v="44"/>
    <x v="0"/>
    <x v="0"/>
    <x v="33"/>
    <x v="0"/>
    <x v="32"/>
    <x v="1"/>
    <x v="45"/>
    <x v="0"/>
    <x v="0"/>
    <x v="1"/>
    <x v="0"/>
    <x v="7"/>
    <x v="51"/>
    <x v="51"/>
    <x v="0"/>
    <x v="0"/>
    <x v="0"/>
    <x v="44"/>
    <x v="0"/>
    <x v="0"/>
    <x v="0"/>
    <x v="0"/>
    <x v="32"/>
    <x v="0"/>
    <x v="0"/>
    <x v="0"/>
    <x v="6"/>
    <x v="0"/>
    <x v="22"/>
    <x v="22"/>
    <x v="31"/>
    <x v="0"/>
    <x v="0"/>
    <x v="0"/>
    <x v="0"/>
    <x v="4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6"/>
    <x v="29"/>
    <x v="0"/>
    <x v="0"/>
    <x v="0"/>
    <x v="0"/>
    <x v="0"/>
    <x v="23"/>
  </r>
  <r>
    <x v="0"/>
    <x v="52"/>
    <x v="0"/>
    <x v="7"/>
    <x v="0"/>
    <x v="0"/>
    <x v="0"/>
    <x v="47"/>
    <x v="48"/>
    <x v="0"/>
    <x v="0"/>
    <x v="0"/>
    <x v="0"/>
    <x v="0"/>
    <x v="0"/>
    <x v="47"/>
    <x v="0"/>
    <x v="0"/>
    <x v="0"/>
    <x v="0"/>
    <x v="47"/>
    <x v="48"/>
    <x v="0"/>
    <x v="0"/>
    <x v="0"/>
    <x v="0"/>
    <x v="0"/>
    <x v="0"/>
    <x v="0"/>
    <x v="0"/>
    <x v="0"/>
    <x v="32"/>
    <x v="51"/>
    <x v="0"/>
    <x v="47"/>
    <x v="51"/>
    <x v="1"/>
    <x v="0"/>
    <x v="52"/>
    <x v="2"/>
    <x v="0"/>
    <x v="2"/>
    <x v="0"/>
    <x v="0"/>
    <x v="0"/>
    <x v="0"/>
    <x v="0"/>
    <x v="0"/>
    <x v="0"/>
    <x v="51"/>
    <x v="0"/>
    <x v="2"/>
    <x v="51"/>
    <x v="0"/>
    <x v="0"/>
    <x v="39"/>
    <x v="0"/>
    <x v="38"/>
    <x v="1"/>
    <x v="52"/>
    <x v="0"/>
    <x v="0"/>
    <x v="1"/>
    <x v="0"/>
    <x v="8"/>
    <x v="52"/>
    <x v="52"/>
    <x v="0"/>
    <x v="0"/>
    <x v="0"/>
    <x v="51"/>
    <x v="0"/>
    <x v="0"/>
    <x v="0"/>
    <x v="0"/>
    <x v="38"/>
    <x v="0"/>
    <x v="0"/>
    <x v="0"/>
    <x v="6"/>
    <x v="0"/>
    <x v="11"/>
    <x v="11"/>
    <x v="32"/>
    <x v="0"/>
    <x v="0"/>
    <x v="0"/>
    <x v="0"/>
    <x v="41"/>
    <x v="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7"/>
    <x v="30"/>
    <x v="0"/>
    <x v="0"/>
    <x v="0"/>
    <x v="0"/>
    <x v="0"/>
    <x v="24"/>
  </r>
  <r>
    <x v="0"/>
    <x v="53"/>
    <x v="0"/>
    <x v="0"/>
    <x v="0"/>
    <x v="0"/>
    <x v="0"/>
    <x v="48"/>
    <x v="49"/>
    <x v="0"/>
    <x v="0"/>
    <x v="0"/>
    <x v="1"/>
    <x v="0"/>
    <x v="0"/>
    <x v="48"/>
    <x v="2"/>
    <x v="0"/>
    <x v="0"/>
    <x v="0"/>
    <x v="48"/>
    <x v="49"/>
    <x v="0"/>
    <x v="0"/>
    <x v="0"/>
    <x v="0"/>
    <x v="0"/>
    <x v="0"/>
    <x v="0"/>
    <x v="0"/>
    <x v="0"/>
    <x v="33"/>
    <x v="52"/>
    <x v="0"/>
    <x v="48"/>
    <x v="52"/>
    <x v="25"/>
    <x v="0"/>
    <x v="53"/>
    <x v="0"/>
    <x v="0"/>
    <x v="0"/>
    <x v="0"/>
    <x v="0"/>
    <x v="1"/>
    <x v="0"/>
    <x v="0"/>
    <x v="0"/>
    <x v="0"/>
    <x v="52"/>
    <x v="0"/>
    <x v="0"/>
    <x v="52"/>
    <x v="0"/>
    <x v="0"/>
    <x v="40"/>
    <x v="0"/>
    <x v="39"/>
    <x v="25"/>
    <x v="53"/>
    <x v="0"/>
    <x v="0"/>
    <x v="0"/>
    <x v="0"/>
    <x v="8"/>
    <x v="53"/>
    <x v="53"/>
    <x v="0"/>
    <x v="0"/>
    <x v="0"/>
    <x v="52"/>
    <x v="0"/>
    <x v="0"/>
    <x v="0"/>
    <x v="0"/>
    <x v="39"/>
    <x v="0"/>
    <x v="0"/>
    <x v="0"/>
    <x v="0"/>
    <x v="0"/>
    <x v="23"/>
    <x v="23"/>
    <x v="33"/>
    <x v="0"/>
    <x v="0"/>
    <x v="0"/>
    <x v="0"/>
    <x v="42"/>
    <x v="3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8"/>
    <x v="31"/>
    <x v="0"/>
    <x v="0"/>
    <x v="0"/>
    <x v="0"/>
    <x v="0"/>
    <x v="0"/>
  </r>
  <r>
    <x v="0"/>
    <x v="54"/>
    <x v="0"/>
    <x v="0"/>
    <x v="0"/>
    <x v="0"/>
    <x v="0"/>
    <x v="49"/>
    <x v="50"/>
    <x v="0"/>
    <x v="0"/>
    <x v="0"/>
    <x v="1"/>
    <x v="0"/>
    <x v="0"/>
    <x v="49"/>
    <x v="2"/>
    <x v="0"/>
    <x v="0"/>
    <x v="0"/>
    <x v="49"/>
    <x v="50"/>
    <x v="0"/>
    <x v="0"/>
    <x v="0"/>
    <x v="0"/>
    <x v="0"/>
    <x v="0"/>
    <x v="0"/>
    <x v="0"/>
    <x v="0"/>
    <x v="33"/>
    <x v="53"/>
    <x v="0"/>
    <x v="49"/>
    <x v="53"/>
    <x v="1"/>
    <x v="0"/>
    <x v="54"/>
    <x v="1"/>
    <x v="0"/>
    <x v="1"/>
    <x v="0"/>
    <x v="0"/>
    <x v="1"/>
    <x v="0"/>
    <x v="0"/>
    <x v="0"/>
    <x v="0"/>
    <x v="53"/>
    <x v="0"/>
    <x v="1"/>
    <x v="53"/>
    <x v="0"/>
    <x v="0"/>
    <x v="41"/>
    <x v="0"/>
    <x v="40"/>
    <x v="1"/>
    <x v="54"/>
    <x v="0"/>
    <x v="0"/>
    <x v="1"/>
    <x v="0"/>
    <x v="8"/>
    <x v="54"/>
    <x v="54"/>
    <x v="0"/>
    <x v="0"/>
    <x v="0"/>
    <x v="53"/>
    <x v="0"/>
    <x v="0"/>
    <x v="0"/>
    <x v="0"/>
    <x v="40"/>
    <x v="0"/>
    <x v="0"/>
    <x v="0"/>
    <x v="0"/>
    <x v="0"/>
    <x v="23"/>
    <x v="23"/>
    <x v="33"/>
    <x v="0"/>
    <x v="0"/>
    <x v="0"/>
    <x v="0"/>
    <x v="42"/>
    <x v="4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8"/>
    <x v="31"/>
    <x v="0"/>
    <x v="0"/>
    <x v="0"/>
    <x v="0"/>
    <x v="0"/>
    <x v="0"/>
  </r>
  <r>
    <x v="1"/>
    <x v="55"/>
    <x v="0"/>
    <x v="8"/>
    <x v="0"/>
    <x v="0"/>
    <x v="0"/>
    <x v="50"/>
    <x v="51"/>
    <x v="0"/>
    <x v="0"/>
    <x v="0"/>
    <x v="10"/>
    <x v="0"/>
    <x v="0"/>
    <x v="50"/>
    <x v="10"/>
    <x v="0"/>
    <x v="0"/>
    <x v="0"/>
    <x v="50"/>
    <x v="51"/>
    <x v="0"/>
    <x v="3"/>
    <x v="0"/>
    <x v="0"/>
    <x v="0"/>
    <x v="0"/>
    <x v="1"/>
    <x v="1"/>
    <x v="0"/>
    <x v="4"/>
    <x v="54"/>
    <x v="0"/>
    <x v="50"/>
    <x v="54"/>
    <x v="1"/>
    <x v="0"/>
    <x v="55"/>
    <x v="0"/>
    <x v="0"/>
    <x v="0"/>
    <x v="0"/>
    <x v="0"/>
    <x v="10"/>
    <x v="0"/>
    <x v="0"/>
    <x v="0"/>
    <x v="0"/>
    <x v="54"/>
    <x v="0"/>
    <x v="0"/>
    <x v="54"/>
    <x v="0"/>
    <x v="0"/>
    <x v="6"/>
    <x v="1"/>
    <x v="7"/>
    <x v="1"/>
    <x v="55"/>
    <x v="0"/>
    <x v="0"/>
    <x v="1"/>
    <x v="0"/>
    <x v="8"/>
    <x v="55"/>
    <x v="55"/>
    <x v="0"/>
    <x v="0"/>
    <x v="0"/>
    <x v="54"/>
    <x v="0"/>
    <x v="0"/>
    <x v="0"/>
    <x v="0"/>
    <x v="7"/>
    <x v="0"/>
    <x v="0"/>
    <x v="0"/>
    <x v="7"/>
    <x v="0"/>
    <x v="3"/>
    <x v="3"/>
    <x v="4"/>
    <x v="1"/>
    <x v="0"/>
    <x v="0"/>
    <x v="0"/>
    <x v="43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56"/>
    <x v="0"/>
    <x v="8"/>
    <x v="0"/>
    <x v="0"/>
    <x v="0"/>
    <x v="51"/>
    <x v="52"/>
    <x v="0"/>
    <x v="0"/>
    <x v="0"/>
    <x v="2"/>
    <x v="1"/>
    <x v="0"/>
    <x v="51"/>
    <x v="3"/>
    <x v="0"/>
    <x v="0"/>
    <x v="0"/>
    <x v="51"/>
    <x v="52"/>
    <x v="0"/>
    <x v="3"/>
    <x v="0"/>
    <x v="0"/>
    <x v="0"/>
    <x v="0"/>
    <x v="1"/>
    <x v="1"/>
    <x v="0"/>
    <x v="4"/>
    <x v="7"/>
    <x v="0"/>
    <x v="51"/>
    <x v="7"/>
    <x v="5"/>
    <x v="0"/>
    <x v="7"/>
    <x v="0"/>
    <x v="0"/>
    <x v="0"/>
    <x v="0"/>
    <x v="0"/>
    <x v="2"/>
    <x v="0"/>
    <x v="0"/>
    <x v="0"/>
    <x v="0"/>
    <x v="7"/>
    <x v="0"/>
    <x v="0"/>
    <x v="7"/>
    <x v="35"/>
    <x v="0"/>
    <x v="6"/>
    <x v="1"/>
    <x v="7"/>
    <x v="5"/>
    <x v="7"/>
    <x v="0"/>
    <x v="2"/>
    <x v="0"/>
    <x v="0"/>
    <x v="8"/>
    <x v="56"/>
    <x v="56"/>
    <x v="0"/>
    <x v="0"/>
    <x v="0"/>
    <x v="7"/>
    <x v="0"/>
    <x v="0"/>
    <x v="0"/>
    <x v="0"/>
    <x v="7"/>
    <x v="0"/>
    <x v="0"/>
    <x v="0"/>
    <x v="7"/>
    <x v="0"/>
    <x v="3"/>
    <x v="3"/>
    <x v="4"/>
    <x v="1"/>
    <x v="0"/>
    <x v="0"/>
    <x v="0"/>
    <x v="44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9"/>
    <x v="4"/>
    <x v="0"/>
    <x v="0"/>
    <x v="0"/>
    <x v="0"/>
    <x v="0"/>
    <x v="25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36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37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16"/>
    <x v="0"/>
    <x v="33"/>
    <x v="0"/>
    <x v="1"/>
    <x v="0"/>
    <x v="1"/>
    <x v="0"/>
    <x v="3"/>
    <x v="0"/>
    <x v="0"/>
    <x v="0"/>
    <x v="0"/>
    <x v="32"/>
    <x v="1"/>
    <x v="0"/>
    <x v="32"/>
    <x v="38"/>
    <x v="0"/>
    <x v="6"/>
    <x v="1"/>
    <x v="7"/>
    <x v="16"/>
    <x v="33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57"/>
    <x v="0"/>
    <x v="9"/>
    <x v="0"/>
    <x v="0"/>
    <x v="0"/>
    <x v="52"/>
    <x v="53"/>
    <x v="0"/>
    <x v="0"/>
    <x v="0"/>
    <x v="2"/>
    <x v="1"/>
    <x v="0"/>
    <x v="52"/>
    <x v="3"/>
    <x v="0"/>
    <x v="0"/>
    <x v="0"/>
    <x v="52"/>
    <x v="53"/>
    <x v="0"/>
    <x v="3"/>
    <x v="0"/>
    <x v="0"/>
    <x v="0"/>
    <x v="0"/>
    <x v="1"/>
    <x v="1"/>
    <x v="0"/>
    <x v="4"/>
    <x v="36"/>
    <x v="0"/>
    <x v="52"/>
    <x v="36"/>
    <x v="20"/>
    <x v="0"/>
    <x v="37"/>
    <x v="0"/>
    <x v="0"/>
    <x v="0"/>
    <x v="0"/>
    <x v="0"/>
    <x v="2"/>
    <x v="0"/>
    <x v="0"/>
    <x v="0"/>
    <x v="0"/>
    <x v="36"/>
    <x v="0"/>
    <x v="0"/>
    <x v="36"/>
    <x v="39"/>
    <x v="0"/>
    <x v="6"/>
    <x v="1"/>
    <x v="7"/>
    <x v="20"/>
    <x v="37"/>
    <x v="0"/>
    <x v="2"/>
    <x v="0"/>
    <x v="0"/>
    <x v="8"/>
    <x v="57"/>
    <x v="57"/>
    <x v="0"/>
    <x v="0"/>
    <x v="0"/>
    <x v="36"/>
    <x v="0"/>
    <x v="0"/>
    <x v="0"/>
    <x v="0"/>
    <x v="7"/>
    <x v="0"/>
    <x v="0"/>
    <x v="0"/>
    <x v="8"/>
    <x v="0"/>
    <x v="3"/>
    <x v="3"/>
    <x v="4"/>
    <x v="1"/>
    <x v="0"/>
    <x v="0"/>
    <x v="0"/>
    <x v="45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0"/>
    <x v="4"/>
    <x v="0"/>
    <x v="0"/>
    <x v="0"/>
    <x v="0"/>
    <x v="0"/>
    <x v="26"/>
  </r>
  <r>
    <x v="1"/>
    <x v="58"/>
    <x v="0"/>
    <x v="8"/>
    <x v="0"/>
    <x v="0"/>
    <x v="0"/>
    <x v="53"/>
    <x v="54"/>
    <x v="0"/>
    <x v="0"/>
    <x v="0"/>
    <x v="11"/>
    <x v="0"/>
    <x v="0"/>
    <x v="53"/>
    <x v="10"/>
    <x v="0"/>
    <x v="0"/>
    <x v="0"/>
    <x v="53"/>
    <x v="54"/>
    <x v="0"/>
    <x v="3"/>
    <x v="0"/>
    <x v="0"/>
    <x v="0"/>
    <x v="0"/>
    <x v="1"/>
    <x v="1"/>
    <x v="0"/>
    <x v="4"/>
    <x v="55"/>
    <x v="0"/>
    <x v="53"/>
    <x v="55"/>
    <x v="1"/>
    <x v="0"/>
    <x v="56"/>
    <x v="0"/>
    <x v="0"/>
    <x v="0"/>
    <x v="0"/>
    <x v="0"/>
    <x v="11"/>
    <x v="0"/>
    <x v="0"/>
    <x v="0"/>
    <x v="0"/>
    <x v="55"/>
    <x v="0"/>
    <x v="0"/>
    <x v="55"/>
    <x v="0"/>
    <x v="0"/>
    <x v="6"/>
    <x v="1"/>
    <x v="7"/>
    <x v="1"/>
    <x v="56"/>
    <x v="0"/>
    <x v="0"/>
    <x v="1"/>
    <x v="0"/>
    <x v="8"/>
    <x v="58"/>
    <x v="58"/>
    <x v="0"/>
    <x v="0"/>
    <x v="0"/>
    <x v="55"/>
    <x v="0"/>
    <x v="0"/>
    <x v="0"/>
    <x v="0"/>
    <x v="7"/>
    <x v="0"/>
    <x v="0"/>
    <x v="0"/>
    <x v="7"/>
    <x v="0"/>
    <x v="3"/>
    <x v="3"/>
    <x v="4"/>
    <x v="1"/>
    <x v="0"/>
    <x v="0"/>
    <x v="0"/>
    <x v="46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1"/>
    <x v="4"/>
    <x v="0"/>
    <x v="0"/>
    <x v="0"/>
    <x v="0"/>
    <x v="0"/>
    <x v="0"/>
  </r>
  <r>
    <x v="0"/>
    <x v="59"/>
    <x v="0"/>
    <x v="7"/>
    <x v="0"/>
    <x v="0"/>
    <x v="0"/>
    <x v="54"/>
    <x v="55"/>
    <x v="0"/>
    <x v="0"/>
    <x v="0"/>
    <x v="12"/>
    <x v="1"/>
    <x v="0"/>
    <x v="54"/>
    <x v="11"/>
    <x v="0"/>
    <x v="0"/>
    <x v="0"/>
    <x v="54"/>
    <x v="55"/>
    <x v="0"/>
    <x v="0"/>
    <x v="0"/>
    <x v="0"/>
    <x v="0"/>
    <x v="0"/>
    <x v="0"/>
    <x v="0"/>
    <x v="0"/>
    <x v="34"/>
    <x v="56"/>
    <x v="0"/>
    <x v="54"/>
    <x v="56"/>
    <x v="1"/>
    <x v="0"/>
    <x v="57"/>
    <x v="0"/>
    <x v="0"/>
    <x v="0"/>
    <x v="0"/>
    <x v="0"/>
    <x v="12"/>
    <x v="0"/>
    <x v="0"/>
    <x v="0"/>
    <x v="0"/>
    <x v="56"/>
    <x v="0"/>
    <x v="0"/>
    <x v="56"/>
    <x v="0"/>
    <x v="0"/>
    <x v="42"/>
    <x v="0"/>
    <x v="41"/>
    <x v="1"/>
    <x v="57"/>
    <x v="0"/>
    <x v="0"/>
    <x v="1"/>
    <x v="0"/>
    <x v="8"/>
    <x v="59"/>
    <x v="59"/>
    <x v="0"/>
    <x v="0"/>
    <x v="0"/>
    <x v="56"/>
    <x v="0"/>
    <x v="0"/>
    <x v="0"/>
    <x v="0"/>
    <x v="41"/>
    <x v="0"/>
    <x v="0"/>
    <x v="0"/>
    <x v="6"/>
    <x v="0"/>
    <x v="24"/>
    <x v="24"/>
    <x v="34"/>
    <x v="0"/>
    <x v="0"/>
    <x v="0"/>
    <x v="0"/>
    <x v="47"/>
    <x v="4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2"/>
    <x v="32"/>
    <x v="0"/>
    <x v="0"/>
    <x v="0"/>
    <x v="0"/>
    <x v="0"/>
    <x v="0"/>
  </r>
  <r>
    <x v="0"/>
    <x v="60"/>
    <x v="0"/>
    <x v="8"/>
    <x v="0"/>
    <x v="0"/>
    <x v="0"/>
    <x v="55"/>
    <x v="56"/>
    <x v="0"/>
    <x v="0"/>
    <x v="0"/>
    <x v="0"/>
    <x v="0"/>
    <x v="0"/>
    <x v="55"/>
    <x v="0"/>
    <x v="0"/>
    <x v="0"/>
    <x v="0"/>
    <x v="55"/>
    <x v="56"/>
    <x v="0"/>
    <x v="0"/>
    <x v="0"/>
    <x v="0"/>
    <x v="0"/>
    <x v="0"/>
    <x v="0"/>
    <x v="0"/>
    <x v="0"/>
    <x v="35"/>
    <x v="57"/>
    <x v="0"/>
    <x v="55"/>
    <x v="57"/>
    <x v="1"/>
    <x v="0"/>
    <x v="58"/>
    <x v="2"/>
    <x v="0"/>
    <x v="2"/>
    <x v="0"/>
    <x v="0"/>
    <x v="0"/>
    <x v="0"/>
    <x v="0"/>
    <x v="0"/>
    <x v="0"/>
    <x v="57"/>
    <x v="0"/>
    <x v="2"/>
    <x v="57"/>
    <x v="0"/>
    <x v="0"/>
    <x v="43"/>
    <x v="0"/>
    <x v="42"/>
    <x v="1"/>
    <x v="58"/>
    <x v="0"/>
    <x v="0"/>
    <x v="1"/>
    <x v="0"/>
    <x v="8"/>
    <x v="60"/>
    <x v="60"/>
    <x v="0"/>
    <x v="0"/>
    <x v="0"/>
    <x v="57"/>
    <x v="0"/>
    <x v="0"/>
    <x v="0"/>
    <x v="0"/>
    <x v="42"/>
    <x v="0"/>
    <x v="0"/>
    <x v="0"/>
    <x v="7"/>
    <x v="0"/>
    <x v="25"/>
    <x v="25"/>
    <x v="35"/>
    <x v="0"/>
    <x v="0"/>
    <x v="0"/>
    <x v="0"/>
    <x v="48"/>
    <x v="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3"/>
    <x v="33"/>
    <x v="0"/>
    <x v="0"/>
    <x v="0"/>
    <x v="0"/>
    <x v="0"/>
    <x v="27"/>
  </r>
  <r>
    <x v="0"/>
    <x v="61"/>
    <x v="0"/>
    <x v="8"/>
    <x v="0"/>
    <x v="0"/>
    <x v="0"/>
    <x v="56"/>
    <x v="57"/>
    <x v="0"/>
    <x v="0"/>
    <x v="0"/>
    <x v="4"/>
    <x v="0"/>
    <x v="0"/>
    <x v="56"/>
    <x v="4"/>
    <x v="0"/>
    <x v="0"/>
    <x v="0"/>
    <x v="56"/>
    <x v="57"/>
    <x v="0"/>
    <x v="0"/>
    <x v="0"/>
    <x v="0"/>
    <x v="0"/>
    <x v="0"/>
    <x v="0"/>
    <x v="0"/>
    <x v="0"/>
    <x v="36"/>
    <x v="58"/>
    <x v="0"/>
    <x v="56"/>
    <x v="58"/>
    <x v="1"/>
    <x v="0"/>
    <x v="59"/>
    <x v="2"/>
    <x v="0"/>
    <x v="2"/>
    <x v="0"/>
    <x v="0"/>
    <x v="4"/>
    <x v="0"/>
    <x v="0"/>
    <x v="0"/>
    <x v="0"/>
    <x v="58"/>
    <x v="0"/>
    <x v="2"/>
    <x v="58"/>
    <x v="0"/>
    <x v="0"/>
    <x v="44"/>
    <x v="0"/>
    <x v="43"/>
    <x v="1"/>
    <x v="59"/>
    <x v="0"/>
    <x v="4"/>
    <x v="1"/>
    <x v="0"/>
    <x v="8"/>
    <x v="61"/>
    <x v="61"/>
    <x v="0"/>
    <x v="0"/>
    <x v="0"/>
    <x v="58"/>
    <x v="0"/>
    <x v="0"/>
    <x v="0"/>
    <x v="0"/>
    <x v="43"/>
    <x v="0"/>
    <x v="0"/>
    <x v="0"/>
    <x v="7"/>
    <x v="0"/>
    <x v="26"/>
    <x v="26"/>
    <x v="36"/>
    <x v="0"/>
    <x v="0"/>
    <x v="0"/>
    <x v="0"/>
    <x v="49"/>
    <x v="43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44"/>
    <x v="34"/>
    <x v="0"/>
    <x v="0"/>
    <x v="0"/>
    <x v="0"/>
    <x v="0"/>
    <x v="28"/>
  </r>
  <r>
    <x v="0"/>
    <x v="62"/>
    <x v="0"/>
    <x v="7"/>
    <x v="0"/>
    <x v="0"/>
    <x v="0"/>
    <x v="57"/>
    <x v="58"/>
    <x v="0"/>
    <x v="0"/>
    <x v="0"/>
    <x v="1"/>
    <x v="0"/>
    <x v="0"/>
    <x v="57"/>
    <x v="2"/>
    <x v="0"/>
    <x v="0"/>
    <x v="0"/>
    <x v="57"/>
    <x v="58"/>
    <x v="0"/>
    <x v="0"/>
    <x v="0"/>
    <x v="0"/>
    <x v="0"/>
    <x v="0"/>
    <x v="0"/>
    <x v="0"/>
    <x v="0"/>
    <x v="37"/>
    <x v="59"/>
    <x v="0"/>
    <x v="57"/>
    <x v="59"/>
    <x v="1"/>
    <x v="0"/>
    <x v="60"/>
    <x v="2"/>
    <x v="0"/>
    <x v="2"/>
    <x v="0"/>
    <x v="0"/>
    <x v="1"/>
    <x v="0"/>
    <x v="0"/>
    <x v="0"/>
    <x v="0"/>
    <x v="59"/>
    <x v="0"/>
    <x v="2"/>
    <x v="59"/>
    <x v="0"/>
    <x v="0"/>
    <x v="45"/>
    <x v="0"/>
    <x v="44"/>
    <x v="1"/>
    <x v="60"/>
    <x v="0"/>
    <x v="1"/>
    <x v="2"/>
    <x v="0"/>
    <x v="8"/>
    <x v="62"/>
    <x v="62"/>
    <x v="0"/>
    <x v="0"/>
    <x v="0"/>
    <x v="59"/>
    <x v="0"/>
    <x v="0"/>
    <x v="0"/>
    <x v="0"/>
    <x v="44"/>
    <x v="0"/>
    <x v="0"/>
    <x v="0"/>
    <x v="6"/>
    <x v="0"/>
    <x v="19"/>
    <x v="19"/>
    <x v="37"/>
    <x v="0"/>
    <x v="0"/>
    <x v="0"/>
    <x v="0"/>
    <x v="50"/>
    <x v="4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5"/>
    <x v="35"/>
    <x v="0"/>
    <x v="0"/>
    <x v="0"/>
    <x v="0"/>
    <x v="0"/>
    <x v="29"/>
  </r>
  <r>
    <x v="0"/>
    <x v="63"/>
    <x v="0"/>
    <x v="5"/>
    <x v="0"/>
    <x v="0"/>
    <x v="0"/>
    <x v="58"/>
    <x v="59"/>
    <x v="0"/>
    <x v="0"/>
    <x v="0"/>
    <x v="0"/>
    <x v="0"/>
    <x v="0"/>
    <x v="58"/>
    <x v="0"/>
    <x v="0"/>
    <x v="0"/>
    <x v="0"/>
    <x v="58"/>
    <x v="59"/>
    <x v="0"/>
    <x v="0"/>
    <x v="0"/>
    <x v="0"/>
    <x v="0"/>
    <x v="1"/>
    <x v="0"/>
    <x v="0"/>
    <x v="0"/>
    <x v="38"/>
    <x v="60"/>
    <x v="0"/>
    <x v="58"/>
    <x v="60"/>
    <x v="26"/>
    <x v="0"/>
    <x v="61"/>
    <x v="0"/>
    <x v="0"/>
    <x v="0"/>
    <x v="0"/>
    <x v="0"/>
    <x v="0"/>
    <x v="0"/>
    <x v="0"/>
    <x v="0"/>
    <x v="0"/>
    <x v="60"/>
    <x v="0"/>
    <x v="0"/>
    <x v="60"/>
    <x v="0"/>
    <x v="0"/>
    <x v="46"/>
    <x v="0"/>
    <x v="45"/>
    <x v="26"/>
    <x v="61"/>
    <x v="0"/>
    <x v="0"/>
    <x v="0"/>
    <x v="0"/>
    <x v="8"/>
    <x v="63"/>
    <x v="63"/>
    <x v="0"/>
    <x v="0"/>
    <x v="0"/>
    <x v="60"/>
    <x v="0"/>
    <x v="0"/>
    <x v="0"/>
    <x v="0"/>
    <x v="45"/>
    <x v="0"/>
    <x v="0"/>
    <x v="0"/>
    <x v="4"/>
    <x v="0"/>
    <x v="27"/>
    <x v="27"/>
    <x v="38"/>
    <x v="0"/>
    <x v="0"/>
    <x v="0"/>
    <x v="0"/>
    <x v="51"/>
    <x v="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6"/>
    <x v="36"/>
    <x v="0"/>
    <x v="0"/>
    <x v="0"/>
    <x v="0"/>
    <x v="0"/>
    <x v="0"/>
  </r>
  <r>
    <x v="0"/>
    <x v="64"/>
    <x v="0"/>
    <x v="7"/>
    <x v="0"/>
    <x v="0"/>
    <x v="0"/>
    <x v="58"/>
    <x v="59"/>
    <x v="0"/>
    <x v="0"/>
    <x v="0"/>
    <x v="1"/>
    <x v="0"/>
    <x v="0"/>
    <x v="58"/>
    <x v="2"/>
    <x v="0"/>
    <x v="0"/>
    <x v="0"/>
    <x v="58"/>
    <x v="59"/>
    <x v="0"/>
    <x v="0"/>
    <x v="0"/>
    <x v="0"/>
    <x v="0"/>
    <x v="1"/>
    <x v="0"/>
    <x v="0"/>
    <x v="0"/>
    <x v="39"/>
    <x v="60"/>
    <x v="0"/>
    <x v="58"/>
    <x v="60"/>
    <x v="26"/>
    <x v="0"/>
    <x v="61"/>
    <x v="0"/>
    <x v="0"/>
    <x v="0"/>
    <x v="0"/>
    <x v="0"/>
    <x v="1"/>
    <x v="0"/>
    <x v="0"/>
    <x v="0"/>
    <x v="0"/>
    <x v="60"/>
    <x v="0"/>
    <x v="0"/>
    <x v="60"/>
    <x v="0"/>
    <x v="0"/>
    <x v="46"/>
    <x v="0"/>
    <x v="45"/>
    <x v="26"/>
    <x v="61"/>
    <x v="0"/>
    <x v="0"/>
    <x v="0"/>
    <x v="0"/>
    <x v="8"/>
    <x v="64"/>
    <x v="64"/>
    <x v="0"/>
    <x v="0"/>
    <x v="0"/>
    <x v="60"/>
    <x v="0"/>
    <x v="0"/>
    <x v="0"/>
    <x v="0"/>
    <x v="45"/>
    <x v="0"/>
    <x v="0"/>
    <x v="0"/>
    <x v="6"/>
    <x v="0"/>
    <x v="27"/>
    <x v="27"/>
    <x v="39"/>
    <x v="0"/>
    <x v="0"/>
    <x v="0"/>
    <x v="0"/>
    <x v="52"/>
    <x v="4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7"/>
    <x v="37"/>
    <x v="0"/>
    <x v="0"/>
    <x v="0"/>
    <x v="0"/>
    <x v="0"/>
    <x v="0"/>
  </r>
  <r>
    <x v="1"/>
    <x v="65"/>
    <x v="2"/>
    <x v="8"/>
    <x v="0"/>
    <x v="0"/>
    <x v="0"/>
    <x v="59"/>
    <x v="60"/>
    <x v="0"/>
    <x v="0"/>
    <x v="0"/>
    <x v="13"/>
    <x v="3"/>
    <x v="0"/>
    <x v="59"/>
    <x v="12"/>
    <x v="0"/>
    <x v="0"/>
    <x v="0"/>
    <x v="59"/>
    <x v="60"/>
    <x v="0"/>
    <x v="3"/>
    <x v="0"/>
    <x v="0"/>
    <x v="0"/>
    <x v="0"/>
    <x v="1"/>
    <x v="1"/>
    <x v="0"/>
    <x v="4"/>
    <x v="61"/>
    <x v="0"/>
    <x v="59"/>
    <x v="61"/>
    <x v="1"/>
    <x v="0"/>
    <x v="62"/>
    <x v="0"/>
    <x v="0"/>
    <x v="0"/>
    <x v="0"/>
    <x v="0"/>
    <x v="13"/>
    <x v="0"/>
    <x v="0"/>
    <x v="0"/>
    <x v="0"/>
    <x v="61"/>
    <x v="0"/>
    <x v="0"/>
    <x v="61"/>
    <x v="0"/>
    <x v="0"/>
    <x v="6"/>
    <x v="1"/>
    <x v="7"/>
    <x v="1"/>
    <x v="62"/>
    <x v="0"/>
    <x v="6"/>
    <x v="4"/>
    <x v="0"/>
    <x v="8"/>
    <x v="65"/>
    <x v="65"/>
    <x v="0"/>
    <x v="0"/>
    <x v="0"/>
    <x v="61"/>
    <x v="0"/>
    <x v="0"/>
    <x v="0"/>
    <x v="0"/>
    <x v="7"/>
    <x v="0"/>
    <x v="0"/>
    <x v="0"/>
    <x v="7"/>
    <x v="0"/>
    <x v="3"/>
    <x v="3"/>
    <x v="4"/>
    <x v="1"/>
    <x v="0"/>
    <x v="0"/>
    <x v="0"/>
    <x v="53"/>
    <x v="7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48"/>
    <x v="4"/>
    <x v="0"/>
    <x v="0"/>
    <x v="0"/>
    <x v="0"/>
    <x v="0"/>
    <x v="0"/>
  </r>
  <r>
    <x v="0"/>
    <x v="66"/>
    <x v="0"/>
    <x v="0"/>
    <x v="0"/>
    <x v="0"/>
    <x v="0"/>
    <x v="60"/>
    <x v="61"/>
    <x v="0"/>
    <x v="0"/>
    <x v="0"/>
    <x v="1"/>
    <x v="0"/>
    <x v="0"/>
    <x v="60"/>
    <x v="2"/>
    <x v="0"/>
    <x v="0"/>
    <x v="0"/>
    <x v="60"/>
    <x v="61"/>
    <x v="0"/>
    <x v="0"/>
    <x v="0"/>
    <x v="0"/>
    <x v="0"/>
    <x v="3"/>
    <x v="0"/>
    <x v="0"/>
    <x v="0"/>
    <x v="40"/>
    <x v="62"/>
    <x v="0"/>
    <x v="60"/>
    <x v="62"/>
    <x v="27"/>
    <x v="0"/>
    <x v="63"/>
    <x v="0"/>
    <x v="0"/>
    <x v="0"/>
    <x v="0"/>
    <x v="0"/>
    <x v="1"/>
    <x v="0"/>
    <x v="0"/>
    <x v="0"/>
    <x v="0"/>
    <x v="62"/>
    <x v="0"/>
    <x v="0"/>
    <x v="62"/>
    <x v="0"/>
    <x v="0"/>
    <x v="47"/>
    <x v="0"/>
    <x v="46"/>
    <x v="27"/>
    <x v="63"/>
    <x v="0"/>
    <x v="1"/>
    <x v="0"/>
    <x v="0"/>
    <x v="8"/>
    <x v="66"/>
    <x v="66"/>
    <x v="0"/>
    <x v="0"/>
    <x v="0"/>
    <x v="62"/>
    <x v="0"/>
    <x v="0"/>
    <x v="0"/>
    <x v="0"/>
    <x v="46"/>
    <x v="0"/>
    <x v="0"/>
    <x v="0"/>
    <x v="0"/>
    <x v="0"/>
    <x v="6"/>
    <x v="6"/>
    <x v="40"/>
    <x v="0"/>
    <x v="0"/>
    <x v="0"/>
    <x v="0"/>
    <x v="54"/>
    <x v="4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9"/>
    <x v="38"/>
    <x v="0"/>
    <x v="0"/>
    <x v="0"/>
    <x v="0"/>
    <x v="0"/>
    <x v="0"/>
  </r>
  <r>
    <x v="0"/>
    <x v="67"/>
    <x v="0"/>
    <x v="0"/>
    <x v="0"/>
    <x v="0"/>
    <x v="0"/>
    <x v="61"/>
    <x v="62"/>
    <x v="0"/>
    <x v="0"/>
    <x v="0"/>
    <x v="1"/>
    <x v="0"/>
    <x v="0"/>
    <x v="61"/>
    <x v="2"/>
    <x v="0"/>
    <x v="0"/>
    <x v="0"/>
    <x v="61"/>
    <x v="62"/>
    <x v="0"/>
    <x v="0"/>
    <x v="0"/>
    <x v="0"/>
    <x v="0"/>
    <x v="3"/>
    <x v="0"/>
    <x v="0"/>
    <x v="0"/>
    <x v="40"/>
    <x v="63"/>
    <x v="0"/>
    <x v="61"/>
    <x v="63"/>
    <x v="1"/>
    <x v="0"/>
    <x v="64"/>
    <x v="1"/>
    <x v="0"/>
    <x v="1"/>
    <x v="0"/>
    <x v="0"/>
    <x v="1"/>
    <x v="0"/>
    <x v="0"/>
    <x v="0"/>
    <x v="0"/>
    <x v="63"/>
    <x v="0"/>
    <x v="1"/>
    <x v="63"/>
    <x v="0"/>
    <x v="0"/>
    <x v="48"/>
    <x v="0"/>
    <x v="47"/>
    <x v="1"/>
    <x v="64"/>
    <x v="0"/>
    <x v="1"/>
    <x v="2"/>
    <x v="0"/>
    <x v="8"/>
    <x v="67"/>
    <x v="67"/>
    <x v="0"/>
    <x v="0"/>
    <x v="0"/>
    <x v="63"/>
    <x v="0"/>
    <x v="0"/>
    <x v="0"/>
    <x v="0"/>
    <x v="47"/>
    <x v="0"/>
    <x v="0"/>
    <x v="0"/>
    <x v="0"/>
    <x v="0"/>
    <x v="6"/>
    <x v="6"/>
    <x v="40"/>
    <x v="0"/>
    <x v="0"/>
    <x v="0"/>
    <x v="0"/>
    <x v="54"/>
    <x v="4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9"/>
    <x v="38"/>
    <x v="0"/>
    <x v="0"/>
    <x v="0"/>
    <x v="0"/>
    <x v="0"/>
    <x v="0"/>
  </r>
  <r>
    <x v="0"/>
    <x v="68"/>
    <x v="0"/>
    <x v="8"/>
    <x v="0"/>
    <x v="0"/>
    <x v="0"/>
    <x v="62"/>
    <x v="63"/>
    <x v="0"/>
    <x v="0"/>
    <x v="0"/>
    <x v="14"/>
    <x v="0"/>
    <x v="0"/>
    <x v="62"/>
    <x v="13"/>
    <x v="0"/>
    <x v="0"/>
    <x v="0"/>
    <x v="62"/>
    <x v="63"/>
    <x v="0"/>
    <x v="0"/>
    <x v="0"/>
    <x v="0"/>
    <x v="0"/>
    <x v="0"/>
    <x v="0"/>
    <x v="0"/>
    <x v="0"/>
    <x v="41"/>
    <x v="64"/>
    <x v="0"/>
    <x v="62"/>
    <x v="64"/>
    <x v="28"/>
    <x v="0"/>
    <x v="65"/>
    <x v="0"/>
    <x v="0"/>
    <x v="0"/>
    <x v="0"/>
    <x v="0"/>
    <x v="14"/>
    <x v="0"/>
    <x v="0"/>
    <x v="0"/>
    <x v="0"/>
    <x v="64"/>
    <x v="0"/>
    <x v="0"/>
    <x v="64"/>
    <x v="0"/>
    <x v="0"/>
    <x v="49"/>
    <x v="0"/>
    <x v="48"/>
    <x v="28"/>
    <x v="65"/>
    <x v="0"/>
    <x v="8"/>
    <x v="0"/>
    <x v="0"/>
    <x v="9"/>
    <x v="68"/>
    <x v="68"/>
    <x v="0"/>
    <x v="0"/>
    <x v="0"/>
    <x v="64"/>
    <x v="0"/>
    <x v="0"/>
    <x v="0"/>
    <x v="0"/>
    <x v="48"/>
    <x v="0"/>
    <x v="0"/>
    <x v="0"/>
    <x v="7"/>
    <x v="0"/>
    <x v="28"/>
    <x v="28"/>
    <x v="41"/>
    <x v="0"/>
    <x v="0"/>
    <x v="0"/>
    <x v="0"/>
    <x v="55"/>
    <x v="4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0"/>
    <x v="39"/>
    <x v="0"/>
    <x v="0"/>
    <x v="0"/>
    <x v="0"/>
    <x v="0"/>
    <x v="0"/>
  </r>
  <r>
    <x v="0"/>
    <x v="69"/>
    <x v="0"/>
    <x v="8"/>
    <x v="0"/>
    <x v="0"/>
    <x v="0"/>
    <x v="63"/>
    <x v="64"/>
    <x v="0"/>
    <x v="0"/>
    <x v="0"/>
    <x v="14"/>
    <x v="0"/>
    <x v="0"/>
    <x v="63"/>
    <x v="13"/>
    <x v="0"/>
    <x v="0"/>
    <x v="0"/>
    <x v="63"/>
    <x v="64"/>
    <x v="0"/>
    <x v="0"/>
    <x v="0"/>
    <x v="0"/>
    <x v="0"/>
    <x v="0"/>
    <x v="0"/>
    <x v="0"/>
    <x v="0"/>
    <x v="42"/>
    <x v="65"/>
    <x v="0"/>
    <x v="63"/>
    <x v="65"/>
    <x v="1"/>
    <x v="0"/>
    <x v="66"/>
    <x v="2"/>
    <x v="0"/>
    <x v="2"/>
    <x v="0"/>
    <x v="0"/>
    <x v="14"/>
    <x v="0"/>
    <x v="0"/>
    <x v="0"/>
    <x v="0"/>
    <x v="65"/>
    <x v="0"/>
    <x v="2"/>
    <x v="65"/>
    <x v="0"/>
    <x v="0"/>
    <x v="50"/>
    <x v="0"/>
    <x v="49"/>
    <x v="1"/>
    <x v="66"/>
    <x v="0"/>
    <x v="8"/>
    <x v="6"/>
    <x v="0"/>
    <x v="9"/>
    <x v="69"/>
    <x v="69"/>
    <x v="0"/>
    <x v="0"/>
    <x v="0"/>
    <x v="65"/>
    <x v="0"/>
    <x v="0"/>
    <x v="0"/>
    <x v="0"/>
    <x v="49"/>
    <x v="0"/>
    <x v="0"/>
    <x v="0"/>
    <x v="7"/>
    <x v="0"/>
    <x v="29"/>
    <x v="29"/>
    <x v="42"/>
    <x v="0"/>
    <x v="0"/>
    <x v="0"/>
    <x v="0"/>
    <x v="56"/>
    <x v="4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1"/>
    <x v="40"/>
    <x v="0"/>
    <x v="0"/>
    <x v="0"/>
    <x v="0"/>
    <x v="0"/>
    <x v="30"/>
  </r>
  <r>
    <x v="0"/>
    <x v="70"/>
    <x v="0"/>
    <x v="0"/>
    <x v="0"/>
    <x v="0"/>
    <x v="0"/>
    <x v="64"/>
    <x v="65"/>
    <x v="0"/>
    <x v="0"/>
    <x v="0"/>
    <x v="1"/>
    <x v="0"/>
    <x v="0"/>
    <x v="64"/>
    <x v="2"/>
    <x v="0"/>
    <x v="0"/>
    <x v="0"/>
    <x v="64"/>
    <x v="65"/>
    <x v="0"/>
    <x v="0"/>
    <x v="0"/>
    <x v="0"/>
    <x v="0"/>
    <x v="0"/>
    <x v="0"/>
    <x v="0"/>
    <x v="0"/>
    <x v="43"/>
    <x v="66"/>
    <x v="0"/>
    <x v="64"/>
    <x v="66"/>
    <x v="29"/>
    <x v="0"/>
    <x v="67"/>
    <x v="0"/>
    <x v="0"/>
    <x v="0"/>
    <x v="0"/>
    <x v="0"/>
    <x v="1"/>
    <x v="0"/>
    <x v="0"/>
    <x v="0"/>
    <x v="0"/>
    <x v="66"/>
    <x v="0"/>
    <x v="0"/>
    <x v="66"/>
    <x v="0"/>
    <x v="0"/>
    <x v="51"/>
    <x v="0"/>
    <x v="50"/>
    <x v="29"/>
    <x v="67"/>
    <x v="0"/>
    <x v="0"/>
    <x v="0"/>
    <x v="0"/>
    <x v="9"/>
    <x v="70"/>
    <x v="70"/>
    <x v="0"/>
    <x v="0"/>
    <x v="0"/>
    <x v="66"/>
    <x v="0"/>
    <x v="0"/>
    <x v="0"/>
    <x v="0"/>
    <x v="50"/>
    <x v="0"/>
    <x v="0"/>
    <x v="0"/>
    <x v="0"/>
    <x v="0"/>
    <x v="30"/>
    <x v="30"/>
    <x v="43"/>
    <x v="0"/>
    <x v="0"/>
    <x v="0"/>
    <x v="0"/>
    <x v="57"/>
    <x v="5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2"/>
    <x v="41"/>
    <x v="0"/>
    <x v="0"/>
    <x v="0"/>
    <x v="0"/>
    <x v="0"/>
    <x v="0"/>
  </r>
  <r>
    <x v="0"/>
    <x v="71"/>
    <x v="0"/>
    <x v="0"/>
    <x v="0"/>
    <x v="0"/>
    <x v="0"/>
    <x v="65"/>
    <x v="66"/>
    <x v="0"/>
    <x v="0"/>
    <x v="0"/>
    <x v="1"/>
    <x v="0"/>
    <x v="0"/>
    <x v="65"/>
    <x v="2"/>
    <x v="0"/>
    <x v="0"/>
    <x v="0"/>
    <x v="65"/>
    <x v="66"/>
    <x v="0"/>
    <x v="0"/>
    <x v="0"/>
    <x v="0"/>
    <x v="0"/>
    <x v="0"/>
    <x v="0"/>
    <x v="0"/>
    <x v="0"/>
    <x v="43"/>
    <x v="67"/>
    <x v="0"/>
    <x v="65"/>
    <x v="67"/>
    <x v="1"/>
    <x v="0"/>
    <x v="68"/>
    <x v="1"/>
    <x v="0"/>
    <x v="1"/>
    <x v="0"/>
    <x v="0"/>
    <x v="1"/>
    <x v="0"/>
    <x v="0"/>
    <x v="0"/>
    <x v="0"/>
    <x v="67"/>
    <x v="0"/>
    <x v="1"/>
    <x v="67"/>
    <x v="0"/>
    <x v="0"/>
    <x v="52"/>
    <x v="0"/>
    <x v="51"/>
    <x v="1"/>
    <x v="68"/>
    <x v="0"/>
    <x v="0"/>
    <x v="1"/>
    <x v="0"/>
    <x v="9"/>
    <x v="71"/>
    <x v="71"/>
    <x v="0"/>
    <x v="0"/>
    <x v="0"/>
    <x v="67"/>
    <x v="0"/>
    <x v="0"/>
    <x v="0"/>
    <x v="0"/>
    <x v="51"/>
    <x v="0"/>
    <x v="0"/>
    <x v="0"/>
    <x v="0"/>
    <x v="0"/>
    <x v="30"/>
    <x v="30"/>
    <x v="43"/>
    <x v="0"/>
    <x v="0"/>
    <x v="0"/>
    <x v="0"/>
    <x v="57"/>
    <x v="5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2"/>
    <x v="41"/>
    <x v="0"/>
    <x v="0"/>
    <x v="0"/>
    <x v="0"/>
    <x v="0"/>
    <x v="0"/>
  </r>
  <r>
    <x v="0"/>
    <x v="72"/>
    <x v="0"/>
    <x v="8"/>
    <x v="0"/>
    <x v="0"/>
    <x v="0"/>
    <x v="66"/>
    <x v="67"/>
    <x v="0"/>
    <x v="0"/>
    <x v="0"/>
    <x v="1"/>
    <x v="0"/>
    <x v="0"/>
    <x v="66"/>
    <x v="2"/>
    <x v="0"/>
    <x v="0"/>
    <x v="0"/>
    <x v="66"/>
    <x v="67"/>
    <x v="0"/>
    <x v="0"/>
    <x v="0"/>
    <x v="0"/>
    <x v="0"/>
    <x v="0"/>
    <x v="0"/>
    <x v="0"/>
    <x v="0"/>
    <x v="44"/>
    <x v="68"/>
    <x v="0"/>
    <x v="66"/>
    <x v="68"/>
    <x v="1"/>
    <x v="0"/>
    <x v="69"/>
    <x v="2"/>
    <x v="0"/>
    <x v="2"/>
    <x v="0"/>
    <x v="0"/>
    <x v="1"/>
    <x v="0"/>
    <x v="0"/>
    <x v="0"/>
    <x v="0"/>
    <x v="68"/>
    <x v="0"/>
    <x v="2"/>
    <x v="68"/>
    <x v="0"/>
    <x v="0"/>
    <x v="53"/>
    <x v="0"/>
    <x v="52"/>
    <x v="1"/>
    <x v="69"/>
    <x v="0"/>
    <x v="0"/>
    <x v="0"/>
    <x v="0"/>
    <x v="9"/>
    <x v="72"/>
    <x v="72"/>
    <x v="0"/>
    <x v="0"/>
    <x v="0"/>
    <x v="68"/>
    <x v="0"/>
    <x v="0"/>
    <x v="0"/>
    <x v="0"/>
    <x v="52"/>
    <x v="0"/>
    <x v="0"/>
    <x v="0"/>
    <x v="7"/>
    <x v="0"/>
    <x v="31"/>
    <x v="31"/>
    <x v="44"/>
    <x v="0"/>
    <x v="0"/>
    <x v="0"/>
    <x v="0"/>
    <x v="58"/>
    <x v="5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3"/>
    <x v="42"/>
    <x v="0"/>
    <x v="0"/>
    <x v="0"/>
    <x v="0"/>
    <x v="0"/>
    <x v="31"/>
  </r>
  <r>
    <x v="0"/>
    <x v="73"/>
    <x v="0"/>
    <x v="9"/>
    <x v="0"/>
    <x v="0"/>
    <x v="0"/>
    <x v="67"/>
    <x v="68"/>
    <x v="0"/>
    <x v="0"/>
    <x v="0"/>
    <x v="14"/>
    <x v="0"/>
    <x v="0"/>
    <x v="67"/>
    <x v="13"/>
    <x v="0"/>
    <x v="0"/>
    <x v="0"/>
    <x v="67"/>
    <x v="68"/>
    <x v="0"/>
    <x v="0"/>
    <x v="0"/>
    <x v="0"/>
    <x v="0"/>
    <x v="0"/>
    <x v="0"/>
    <x v="0"/>
    <x v="0"/>
    <x v="45"/>
    <x v="69"/>
    <x v="0"/>
    <x v="67"/>
    <x v="69"/>
    <x v="30"/>
    <x v="0"/>
    <x v="70"/>
    <x v="0"/>
    <x v="0"/>
    <x v="0"/>
    <x v="0"/>
    <x v="0"/>
    <x v="14"/>
    <x v="0"/>
    <x v="0"/>
    <x v="0"/>
    <x v="0"/>
    <x v="69"/>
    <x v="0"/>
    <x v="0"/>
    <x v="69"/>
    <x v="0"/>
    <x v="0"/>
    <x v="54"/>
    <x v="0"/>
    <x v="53"/>
    <x v="30"/>
    <x v="70"/>
    <x v="0"/>
    <x v="0"/>
    <x v="0"/>
    <x v="0"/>
    <x v="9"/>
    <x v="73"/>
    <x v="73"/>
    <x v="0"/>
    <x v="0"/>
    <x v="0"/>
    <x v="69"/>
    <x v="0"/>
    <x v="0"/>
    <x v="0"/>
    <x v="0"/>
    <x v="53"/>
    <x v="0"/>
    <x v="0"/>
    <x v="0"/>
    <x v="8"/>
    <x v="0"/>
    <x v="32"/>
    <x v="32"/>
    <x v="45"/>
    <x v="0"/>
    <x v="0"/>
    <x v="0"/>
    <x v="0"/>
    <x v="59"/>
    <x v="5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4"/>
    <x v="43"/>
    <x v="0"/>
    <x v="0"/>
    <x v="0"/>
    <x v="0"/>
    <x v="0"/>
    <x v="0"/>
  </r>
  <r>
    <x v="0"/>
    <x v="74"/>
    <x v="0"/>
    <x v="8"/>
    <x v="0"/>
    <x v="0"/>
    <x v="0"/>
    <x v="68"/>
    <x v="69"/>
    <x v="0"/>
    <x v="0"/>
    <x v="0"/>
    <x v="15"/>
    <x v="0"/>
    <x v="0"/>
    <x v="68"/>
    <x v="14"/>
    <x v="0"/>
    <x v="0"/>
    <x v="0"/>
    <x v="68"/>
    <x v="69"/>
    <x v="0"/>
    <x v="0"/>
    <x v="0"/>
    <x v="0"/>
    <x v="0"/>
    <x v="0"/>
    <x v="0"/>
    <x v="0"/>
    <x v="0"/>
    <x v="46"/>
    <x v="70"/>
    <x v="0"/>
    <x v="68"/>
    <x v="70"/>
    <x v="1"/>
    <x v="0"/>
    <x v="71"/>
    <x v="0"/>
    <x v="0"/>
    <x v="0"/>
    <x v="0"/>
    <x v="0"/>
    <x v="15"/>
    <x v="0"/>
    <x v="0"/>
    <x v="0"/>
    <x v="0"/>
    <x v="70"/>
    <x v="0"/>
    <x v="0"/>
    <x v="70"/>
    <x v="0"/>
    <x v="0"/>
    <x v="55"/>
    <x v="0"/>
    <x v="54"/>
    <x v="1"/>
    <x v="71"/>
    <x v="0"/>
    <x v="0"/>
    <x v="1"/>
    <x v="0"/>
    <x v="9"/>
    <x v="74"/>
    <x v="74"/>
    <x v="0"/>
    <x v="0"/>
    <x v="0"/>
    <x v="70"/>
    <x v="0"/>
    <x v="0"/>
    <x v="0"/>
    <x v="0"/>
    <x v="54"/>
    <x v="0"/>
    <x v="0"/>
    <x v="0"/>
    <x v="7"/>
    <x v="0"/>
    <x v="33"/>
    <x v="33"/>
    <x v="46"/>
    <x v="0"/>
    <x v="0"/>
    <x v="0"/>
    <x v="0"/>
    <x v="60"/>
    <x v="5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5"/>
    <x v="44"/>
    <x v="0"/>
    <x v="0"/>
    <x v="0"/>
    <x v="0"/>
    <x v="0"/>
    <x v="0"/>
  </r>
  <r>
    <x v="0"/>
    <x v="75"/>
    <x v="0"/>
    <x v="9"/>
    <x v="0"/>
    <x v="0"/>
    <x v="0"/>
    <x v="69"/>
    <x v="70"/>
    <x v="0"/>
    <x v="0"/>
    <x v="0"/>
    <x v="12"/>
    <x v="1"/>
    <x v="0"/>
    <x v="69"/>
    <x v="11"/>
    <x v="0"/>
    <x v="0"/>
    <x v="0"/>
    <x v="69"/>
    <x v="70"/>
    <x v="0"/>
    <x v="0"/>
    <x v="0"/>
    <x v="0"/>
    <x v="0"/>
    <x v="0"/>
    <x v="0"/>
    <x v="0"/>
    <x v="0"/>
    <x v="47"/>
    <x v="71"/>
    <x v="0"/>
    <x v="69"/>
    <x v="71"/>
    <x v="1"/>
    <x v="0"/>
    <x v="72"/>
    <x v="0"/>
    <x v="0"/>
    <x v="0"/>
    <x v="0"/>
    <x v="0"/>
    <x v="12"/>
    <x v="0"/>
    <x v="0"/>
    <x v="0"/>
    <x v="0"/>
    <x v="71"/>
    <x v="0"/>
    <x v="0"/>
    <x v="71"/>
    <x v="0"/>
    <x v="0"/>
    <x v="56"/>
    <x v="0"/>
    <x v="55"/>
    <x v="1"/>
    <x v="72"/>
    <x v="0"/>
    <x v="0"/>
    <x v="1"/>
    <x v="0"/>
    <x v="9"/>
    <x v="75"/>
    <x v="75"/>
    <x v="0"/>
    <x v="0"/>
    <x v="0"/>
    <x v="71"/>
    <x v="0"/>
    <x v="0"/>
    <x v="0"/>
    <x v="0"/>
    <x v="55"/>
    <x v="0"/>
    <x v="0"/>
    <x v="0"/>
    <x v="8"/>
    <x v="0"/>
    <x v="34"/>
    <x v="34"/>
    <x v="47"/>
    <x v="0"/>
    <x v="0"/>
    <x v="0"/>
    <x v="0"/>
    <x v="61"/>
    <x v="5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45"/>
    <x v="0"/>
    <x v="0"/>
    <x v="0"/>
    <x v="0"/>
    <x v="0"/>
    <x v="0"/>
  </r>
  <r>
    <x v="1"/>
    <x v="76"/>
    <x v="0"/>
    <x v="9"/>
    <x v="0"/>
    <x v="0"/>
    <x v="0"/>
    <x v="70"/>
    <x v="71"/>
    <x v="0"/>
    <x v="0"/>
    <x v="0"/>
    <x v="16"/>
    <x v="0"/>
    <x v="0"/>
    <x v="70"/>
    <x v="9"/>
    <x v="0"/>
    <x v="0"/>
    <x v="0"/>
    <x v="70"/>
    <x v="71"/>
    <x v="0"/>
    <x v="3"/>
    <x v="0"/>
    <x v="0"/>
    <x v="0"/>
    <x v="0"/>
    <x v="1"/>
    <x v="1"/>
    <x v="0"/>
    <x v="4"/>
    <x v="72"/>
    <x v="0"/>
    <x v="70"/>
    <x v="72"/>
    <x v="1"/>
    <x v="0"/>
    <x v="73"/>
    <x v="0"/>
    <x v="0"/>
    <x v="0"/>
    <x v="0"/>
    <x v="0"/>
    <x v="16"/>
    <x v="0"/>
    <x v="0"/>
    <x v="0"/>
    <x v="0"/>
    <x v="72"/>
    <x v="0"/>
    <x v="0"/>
    <x v="72"/>
    <x v="0"/>
    <x v="0"/>
    <x v="6"/>
    <x v="1"/>
    <x v="7"/>
    <x v="1"/>
    <x v="73"/>
    <x v="0"/>
    <x v="0"/>
    <x v="0"/>
    <x v="0"/>
    <x v="9"/>
    <x v="76"/>
    <x v="76"/>
    <x v="0"/>
    <x v="0"/>
    <x v="0"/>
    <x v="72"/>
    <x v="0"/>
    <x v="0"/>
    <x v="0"/>
    <x v="0"/>
    <x v="7"/>
    <x v="0"/>
    <x v="0"/>
    <x v="0"/>
    <x v="8"/>
    <x v="0"/>
    <x v="3"/>
    <x v="3"/>
    <x v="4"/>
    <x v="1"/>
    <x v="0"/>
    <x v="0"/>
    <x v="0"/>
    <x v="62"/>
    <x v="7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77"/>
    <x v="0"/>
    <x v="6"/>
    <x v="0"/>
    <x v="0"/>
    <x v="0"/>
    <x v="17"/>
    <x v="17"/>
    <x v="0"/>
    <x v="0"/>
    <x v="0"/>
    <x v="12"/>
    <x v="0"/>
    <x v="0"/>
    <x v="17"/>
    <x v="10"/>
    <x v="0"/>
    <x v="0"/>
    <x v="0"/>
    <x v="17"/>
    <x v="17"/>
    <x v="0"/>
    <x v="0"/>
    <x v="0"/>
    <x v="0"/>
    <x v="0"/>
    <x v="0"/>
    <x v="0"/>
    <x v="0"/>
    <x v="0"/>
    <x v="48"/>
    <x v="18"/>
    <x v="0"/>
    <x v="17"/>
    <x v="18"/>
    <x v="1"/>
    <x v="0"/>
    <x v="18"/>
    <x v="2"/>
    <x v="0"/>
    <x v="2"/>
    <x v="0"/>
    <x v="0"/>
    <x v="12"/>
    <x v="0"/>
    <x v="0"/>
    <x v="0"/>
    <x v="0"/>
    <x v="18"/>
    <x v="0"/>
    <x v="2"/>
    <x v="18"/>
    <x v="0"/>
    <x v="0"/>
    <x v="15"/>
    <x v="0"/>
    <x v="14"/>
    <x v="1"/>
    <x v="18"/>
    <x v="0"/>
    <x v="0"/>
    <x v="0"/>
    <x v="0"/>
    <x v="9"/>
    <x v="77"/>
    <x v="77"/>
    <x v="0"/>
    <x v="0"/>
    <x v="0"/>
    <x v="18"/>
    <x v="0"/>
    <x v="0"/>
    <x v="0"/>
    <x v="0"/>
    <x v="14"/>
    <x v="0"/>
    <x v="0"/>
    <x v="0"/>
    <x v="5"/>
    <x v="0"/>
    <x v="4"/>
    <x v="4"/>
    <x v="48"/>
    <x v="0"/>
    <x v="0"/>
    <x v="0"/>
    <x v="0"/>
    <x v="63"/>
    <x v="1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7"/>
    <x v="46"/>
    <x v="0"/>
    <x v="0"/>
    <x v="0"/>
    <x v="0"/>
    <x v="0"/>
    <x v="32"/>
  </r>
  <r>
    <x v="0"/>
    <x v="78"/>
    <x v="0"/>
    <x v="0"/>
    <x v="0"/>
    <x v="0"/>
    <x v="0"/>
    <x v="8"/>
    <x v="8"/>
    <x v="0"/>
    <x v="0"/>
    <x v="0"/>
    <x v="1"/>
    <x v="0"/>
    <x v="0"/>
    <x v="8"/>
    <x v="2"/>
    <x v="0"/>
    <x v="0"/>
    <x v="0"/>
    <x v="8"/>
    <x v="8"/>
    <x v="0"/>
    <x v="0"/>
    <x v="0"/>
    <x v="0"/>
    <x v="0"/>
    <x v="0"/>
    <x v="0"/>
    <x v="0"/>
    <x v="0"/>
    <x v="49"/>
    <x v="9"/>
    <x v="0"/>
    <x v="8"/>
    <x v="9"/>
    <x v="7"/>
    <x v="0"/>
    <x v="9"/>
    <x v="0"/>
    <x v="0"/>
    <x v="0"/>
    <x v="0"/>
    <x v="0"/>
    <x v="1"/>
    <x v="0"/>
    <x v="0"/>
    <x v="0"/>
    <x v="0"/>
    <x v="9"/>
    <x v="0"/>
    <x v="0"/>
    <x v="9"/>
    <x v="0"/>
    <x v="0"/>
    <x v="7"/>
    <x v="0"/>
    <x v="8"/>
    <x v="7"/>
    <x v="9"/>
    <x v="0"/>
    <x v="1"/>
    <x v="0"/>
    <x v="0"/>
    <x v="9"/>
    <x v="78"/>
    <x v="78"/>
    <x v="0"/>
    <x v="0"/>
    <x v="0"/>
    <x v="9"/>
    <x v="0"/>
    <x v="0"/>
    <x v="0"/>
    <x v="0"/>
    <x v="8"/>
    <x v="0"/>
    <x v="0"/>
    <x v="0"/>
    <x v="0"/>
    <x v="0"/>
    <x v="4"/>
    <x v="4"/>
    <x v="49"/>
    <x v="0"/>
    <x v="0"/>
    <x v="0"/>
    <x v="0"/>
    <x v="64"/>
    <x v="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8"/>
    <x v="47"/>
    <x v="0"/>
    <x v="0"/>
    <x v="0"/>
    <x v="0"/>
    <x v="0"/>
    <x v="0"/>
  </r>
  <r>
    <x v="0"/>
    <x v="79"/>
    <x v="0"/>
    <x v="0"/>
    <x v="0"/>
    <x v="0"/>
    <x v="0"/>
    <x v="71"/>
    <x v="72"/>
    <x v="0"/>
    <x v="0"/>
    <x v="0"/>
    <x v="1"/>
    <x v="0"/>
    <x v="0"/>
    <x v="71"/>
    <x v="2"/>
    <x v="0"/>
    <x v="0"/>
    <x v="0"/>
    <x v="71"/>
    <x v="72"/>
    <x v="0"/>
    <x v="0"/>
    <x v="0"/>
    <x v="0"/>
    <x v="0"/>
    <x v="0"/>
    <x v="0"/>
    <x v="0"/>
    <x v="0"/>
    <x v="50"/>
    <x v="73"/>
    <x v="0"/>
    <x v="71"/>
    <x v="73"/>
    <x v="31"/>
    <x v="0"/>
    <x v="74"/>
    <x v="0"/>
    <x v="0"/>
    <x v="0"/>
    <x v="0"/>
    <x v="0"/>
    <x v="1"/>
    <x v="0"/>
    <x v="0"/>
    <x v="0"/>
    <x v="0"/>
    <x v="73"/>
    <x v="0"/>
    <x v="0"/>
    <x v="73"/>
    <x v="0"/>
    <x v="0"/>
    <x v="57"/>
    <x v="0"/>
    <x v="56"/>
    <x v="31"/>
    <x v="74"/>
    <x v="0"/>
    <x v="0"/>
    <x v="0"/>
    <x v="0"/>
    <x v="9"/>
    <x v="79"/>
    <x v="79"/>
    <x v="0"/>
    <x v="0"/>
    <x v="0"/>
    <x v="73"/>
    <x v="0"/>
    <x v="0"/>
    <x v="0"/>
    <x v="0"/>
    <x v="56"/>
    <x v="0"/>
    <x v="0"/>
    <x v="0"/>
    <x v="0"/>
    <x v="0"/>
    <x v="4"/>
    <x v="4"/>
    <x v="50"/>
    <x v="0"/>
    <x v="0"/>
    <x v="0"/>
    <x v="0"/>
    <x v="65"/>
    <x v="5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"/>
    <x v="14"/>
    <x v="0"/>
    <x v="0"/>
    <x v="0"/>
    <x v="0"/>
    <x v="0"/>
    <x v="0"/>
  </r>
  <r>
    <x v="0"/>
    <x v="80"/>
    <x v="0"/>
    <x v="0"/>
    <x v="0"/>
    <x v="0"/>
    <x v="0"/>
    <x v="72"/>
    <x v="73"/>
    <x v="0"/>
    <x v="0"/>
    <x v="0"/>
    <x v="1"/>
    <x v="0"/>
    <x v="0"/>
    <x v="72"/>
    <x v="2"/>
    <x v="0"/>
    <x v="0"/>
    <x v="0"/>
    <x v="72"/>
    <x v="73"/>
    <x v="0"/>
    <x v="0"/>
    <x v="0"/>
    <x v="0"/>
    <x v="0"/>
    <x v="0"/>
    <x v="0"/>
    <x v="0"/>
    <x v="0"/>
    <x v="50"/>
    <x v="74"/>
    <x v="0"/>
    <x v="72"/>
    <x v="74"/>
    <x v="1"/>
    <x v="0"/>
    <x v="75"/>
    <x v="1"/>
    <x v="0"/>
    <x v="1"/>
    <x v="0"/>
    <x v="0"/>
    <x v="1"/>
    <x v="0"/>
    <x v="0"/>
    <x v="0"/>
    <x v="0"/>
    <x v="74"/>
    <x v="0"/>
    <x v="1"/>
    <x v="74"/>
    <x v="0"/>
    <x v="0"/>
    <x v="58"/>
    <x v="0"/>
    <x v="57"/>
    <x v="1"/>
    <x v="75"/>
    <x v="0"/>
    <x v="0"/>
    <x v="1"/>
    <x v="0"/>
    <x v="9"/>
    <x v="80"/>
    <x v="80"/>
    <x v="0"/>
    <x v="0"/>
    <x v="0"/>
    <x v="74"/>
    <x v="0"/>
    <x v="0"/>
    <x v="0"/>
    <x v="0"/>
    <x v="57"/>
    <x v="0"/>
    <x v="0"/>
    <x v="0"/>
    <x v="0"/>
    <x v="0"/>
    <x v="4"/>
    <x v="4"/>
    <x v="50"/>
    <x v="0"/>
    <x v="0"/>
    <x v="0"/>
    <x v="0"/>
    <x v="65"/>
    <x v="5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"/>
    <x v="14"/>
    <x v="0"/>
    <x v="0"/>
    <x v="0"/>
    <x v="0"/>
    <x v="0"/>
    <x v="0"/>
  </r>
  <r>
    <x v="0"/>
    <x v="81"/>
    <x v="0"/>
    <x v="0"/>
    <x v="0"/>
    <x v="0"/>
    <x v="0"/>
    <x v="9"/>
    <x v="9"/>
    <x v="0"/>
    <x v="0"/>
    <x v="0"/>
    <x v="1"/>
    <x v="0"/>
    <x v="0"/>
    <x v="9"/>
    <x v="2"/>
    <x v="0"/>
    <x v="0"/>
    <x v="0"/>
    <x v="9"/>
    <x v="9"/>
    <x v="0"/>
    <x v="0"/>
    <x v="0"/>
    <x v="0"/>
    <x v="0"/>
    <x v="0"/>
    <x v="0"/>
    <x v="0"/>
    <x v="0"/>
    <x v="49"/>
    <x v="10"/>
    <x v="0"/>
    <x v="9"/>
    <x v="10"/>
    <x v="1"/>
    <x v="0"/>
    <x v="10"/>
    <x v="1"/>
    <x v="0"/>
    <x v="1"/>
    <x v="0"/>
    <x v="0"/>
    <x v="1"/>
    <x v="0"/>
    <x v="0"/>
    <x v="0"/>
    <x v="0"/>
    <x v="10"/>
    <x v="0"/>
    <x v="1"/>
    <x v="10"/>
    <x v="0"/>
    <x v="0"/>
    <x v="8"/>
    <x v="0"/>
    <x v="9"/>
    <x v="1"/>
    <x v="10"/>
    <x v="0"/>
    <x v="1"/>
    <x v="2"/>
    <x v="0"/>
    <x v="9"/>
    <x v="81"/>
    <x v="81"/>
    <x v="0"/>
    <x v="0"/>
    <x v="0"/>
    <x v="10"/>
    <x v="0"/>
    <x v="0"/>
    <x v="0"/>
    <x v="0"/>
    <x v="9"/>
    <x v="0"/>
    <x v="0"/>
    <x v="0"/>
    <x v="0"/>
    <x v="0"/>
    <x v="4"/>
    <x v="4"/>
    <x v="49"/>
    <x v="0"/>
    <x v="0"/>
    <x v="0"/>
    <x v="0"/>
    <x v="64"/>
    <x v="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8"/>
    <x v="47"/>
    <x v="0"/>
    <x v="0"/>
    <x v="0"/>
    <x v="0"/>
    <x v="0"/>
    <x v="0"/>
  </r>
  <r>
    <x v="0"/>
    <x v="82"/>
    <x v="0"/>
    <x v="0"/>
    <x v="0"/>
    <x v="0"/>
    <x v="0"/>
    <x v="73"/>
    <x v="74"/>
    <x v="0"/>
    <x v="0"/>
    <x v="0"/>
    <x v="1"/>
    <x v="0"/>
    <x v="0"/>
    <x v="73"/>
    <x v="2"/>
    <x v="0"/>
    <x v="0"/>
    <x v="0"/>
    <x v="73"/>
    <x v="74"/>
    <x v="0"/>
    <x v="0"/>
    <x v="0"/>
    <x v="0"/>
    <x v="0"/>
    <x v="0"/>
    <x v="0"/>
    <x v="0"/>
    <x v="0"/>
    <x v="51"/>
    <x v="75"/>
    <x v="0"/>
    <x v="73"/>
    <x v="75"/>
    <x v="32"/>
    <x v="0"/>
    <x v="76"/>
    <x v="0"/>
    <x v="0"/>
    <x v="0"/>
    <x v="0"/>
    <x v="0"/>
    <x v="1"/>
    <x v="0"/>
    <x v="0"/>
    <x v="0"/>
    <x v="0"/>
    <x v="75"/>
    <x v="0"/>
    <x v="0"/>
    <x v="75"/>
    <x v="0"/>
    <x v="0"/>
    <x v="59"/>
    <x v="0"/>
    <x v="58"/>
    <x v="32"/>
    <x v="76"/>
    <x v="0"/>
    <x v="1"/>
    <x v="0"/>
    <x v="0"/>
    <x v="9"/>
    <x v="82"/>
    <x v="82"/>
    <x v="0"/>
    <x v="0"/>
    <x v="0"/>
    <x v="75"/>
    <x v="0"/>
    <x v="0"/>
    <x v="0"/>
    <x v="0"/>
    <x v="58"/>
    <x v="0"/>
    <x v="0"/>
    <x v="0"/>
    <x v="0"/>
    <x v="0"/>
    <x v="30"/>
    <x v="30"/>
    <x v="51"/>
    <x v="0"/>
    <x v="0"/>
    <x v="0"/>
    <x v="0"/>
    <x v="66"/>
    <x v="5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9"/>
    <x v="48"/>
    <x v="0"/>
    <x v="0"/>
    <x v="0"/>
    <x v="0"/>
    <x v="0"/>
    <x v="0"/>
  </r>
  <r>
    <x v="0"/>
    <x v="83"/>
    <x v="0"/>
    <x v="0"/>
    <x v="0"/>
    <x v="0"/>
    <x v="0"/>
    <x v="74"/>
    <x v="75"/>
    <x v="0"/>
    <x v="0"/>
    <x v="0"/>
    <x v="1"/>
    <x v="0"/>
    <x v="0"/>
    <x v="74"/>
    <x v="2"/>
    <x v="0"/>
    <x v="0"/>
    <x v="0"/>
    <x v="74"/>
    <x v="75"/>
    <x v="0"/>
    <x v="0"/>
    <x v="0"/>
    <x v="0"/>
    <x v="0"/>
    <x v="0"/>
    <x v="0"/>
    <x v="0"/>
    <x v="0"/>
    <x v="51"/>
    <x v="76"/>
    <x v="0"/>
    <x v="74"/>
    <x v="76"/>
    <x v="1"/>
    <x v="0"/>
    <x v="77"/>
    <x v="1"/>
    <x v="0"/>
    <x v="1"/>
    <x v="0"/>
    <x v="0"/>
    <x v="1"/>
    <x v="0"/>
    <x v="0"/>
    <x v="0"/>
    <x v="0"/>
    <x v="76"/>
    <x v="0"/>
    <x v="1"/>
    <x v="76"/>
    <x v="0"/>
    <x v="0"/>
    <x v="60"/>
    <x v="0"/>
    <x v="59"/>
    <x v="1"/>
    <x v="77"/>
    <x v="0"/>
    <x v="1"/>
    <x v="0"/>
    <x v="0"/>
    <x v="9"/>
    <x v="83"/>
    <x v="83"/>
    <x v="0"/>
    <x v="0"/>
    <x v="0"/>
    <x v="76"/>
    <x v="0"/>
    <x v="0"/>
    <x v="0"/>
    <x v="0"/>
    <x v="59"/>
    <x v="0"/>
    <x v="0"/>
    <x v="0"/>
    <x v="0"/>
    <x v="0"/>
    <x v="30"/>
    <x v="30"/>
    <x v="51"/>
    <x v="0"/>
    <x v="0"/>
    <x v="0"/>
    <x v="0"/>
    <x v="66"/>
    <x v="5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9"/>
    <x v="48"/>
    <x v="0"/>
    <x v="0"/>
    <x v="0"/>
    <x v="0"/>
    <x v="0"/>
    <x v="0"/>
  </r>
  <r>
    <x v="0"/>
    <x v="84"/>
    <x v="0"/>
    <x v="8"/>
    <x v="0"/>
    <x v="0"/>
    <x v="0"/>
    <x v="75"/>
    <x v="76"/>
    <x v="0"/>
    <x v="0"/>
    <x v="0"/>
    <x v="1"/>
    <x v="0"/>
    <x v="0"/>
    <x v="75"/>
    <x v="2"/>
    <x v="0"/>
    <x v="0"/>
    <x v="0"/>
    <x v="75"/>
    <x v="76"/>
    <x v="0"/>
    <x v="0"/>
    <x v="0"/>
    <x v="0"/>
    <x v="0"/>
    <x v="2"/>
    <x v="0"/>
    <x v="0"/>
    <x v="0"/>
    <x v="52"/>
    <x v="77"/>
    <x v="0"/>
    <x v="75"/>
    <x v="77"/>
    <x v="1"/>
    <x v="0"/>
    <x v="78"/>
    <x v="2"/>
    <x v="0"/>
    <x v="2"/>
    <x v="0"/>
    <x v="0"/>
    <x v="1"/>
    <x v="0"/>
    <x v="0"/>
    <x v="0"/>
    <x v="0"/>
    <x v="77"/>
    <x v="0"/>
    <x v="2"/>
    <x v="77"/>
    <x v="0"/>
    <x v="0"/>
    <x v="61"/>
    <x v="0"/>
    <x v="60"/>
    <x v="1"/>
    <x v="78"/>
    <x v="0"/>
    <x v="0"/>
    <x v="0"/>
    <x v="0"/>
    <x v="9"/>
    <x v="84"/>
    <x v="84"/>
    <x v="0"/>
    <x v="0"/>
    <x v="0"/>
    <x v="77"/>
    <x v="0"/>
    <x v="0"/>
    <x v="0"/>
    <x v="0"/>
    <x v="60"/>
    <x v="0"/>
    <x v="0"/>
    <x v="0"/>
    <x v="7"/>
    <x v="0"/>
    <x v="35"/>
    <x v="35"/>
    <x v="52"/>
    <x v="0"/>
    <x v="0"/>
    <x v="0"/>
    <x v="0"/>
    <x v="67"/>
    <x v="6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3"/>
    <x v="42"/>
    <x v="0"/>
    <x v="0"/>
    <x v="0"/>
    <x v="0"/>
    <x v="0"/>
    <x v="33"/>
  </r>
  <r>
    <x v="0"/>
    <x v="85"/>
    <x v="0"/>
    <x v="9"/>
    <x v="0"/>
    <x v="0"/>
    <x v="0"/>
    <x v="46"/>
    <x v="47"/>
    <x v="0"/>
    <x v="0"/>
    <x v="0"/>
    <x v="15"/>
    <x v="0"/>
    <x v="0"/>
    <x v="46"/>
    <x v="14"/>
    <x v="0"/>
    <x v="0"/>
    <x v="0"/>
    <x v="46"/>
    <x v="47"/>
    <x v="0"/>
    <x v="0"/>
    <x v="0"/>
    <x v="0"/>
    <x v="0"/>
    <x v="0"/>
    <x v="0"/>
    <x v="0"/>
    <x v="0"/>
    <x v="53"/>
    <x v="50"/>
    <x v="0"/>
    <x v="46"/>
    <x v="50"/>
    <x v="1"/>
    <x v="0"/>
    <x v="51"/>
    <x v="2"/>
    <x v="0"/>
    <x v="2"/>
    <x v="0"/>
    <x v="0"/>
    <x v="15"/>
    <x v="0"/>
    <x v="0"/>
    <x v="0"/>
    <x v="0"/>
    <x v="50"/>
    <x v="0"/>
    <x v="2"/>
    <x v="50"/>
    <x v="0"/>
    <x v="0"/>
    <x v="38"/>
    <x v="0"/>
    <x v="37"/>
    <x v="1"/>
    <x v="51"/>
    <x v="0"/>
    <x v="0"/>
    <x v="0"/>
    <x v="0"/>
    <x v="9"/>
    <x v="85"/>
    <x v="85"/>
    <x v="0"/>
    <x v="0"/>
    <x v="0"/>
    <x v="50"/>
    <x v="0"/>
    <x v="0"/>
    <x v="0"/>
    <x v="0"/>
    <x v="37"/>
    <x v="0"/>
    <x v="0"/>
    <x v="0"/>
    <x v="8"/>
    <x v="0"/>
    <x v="12"/>
    <x v="12"/>
    <x v="53"/>
    <x v="0"/>
    <x v="0"/>
    <x v="0"/>
    <x v="0"/>
    <x v="68"/>
    <x v="3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60"/>
    <x v="49"/>
    <x v="0"/>
    <x v="0"/>
    <x v="0"/>
    <x v="0"/>
    <x v="0"/>
    <x v="34"/>
  </r>
  <r>
    <x v="0"/>
    <x v="86"/>
    <x v="0"/>
    <x v="9"/>
    <x v="0"/>
    <x v="0"/>
    <x v="0"/>
    <x v="76"/>
    <x v="77"/>
    <x v="0"/>
    <x v="0"/>
    <x v="0"/>
    <x v="8"/>
    <x v="0"/>
    <x v="0"/>
    <x v="76"/>
    <x v="8"/>
    <x v="0"/>
    <x v="0"/>
    <x v="0"/>
    <x v="76"/>
    <x v="77"/>
    <x v="0"/>
    <x v="0"/>
    <x v="0"/>
    <x v="0"/>
    <x v="0"/>
    <x v="0"/>
    <x v="0"/>
    <x v="0"/>
    <x v="0"/>
    <x v="54"/>
    <x v="78"/>
    <x v="0"/>
    <x v="76"/>
    <x v="78"/>
    <x v="1"/>
    <x v="0"/>
    <x v="79"/>
    <x v="2"/>
    <x v="0"/>
    <x v="2"/>
    <x v="0"/>
    <x v="0"/>
    <x v="8"/>
    <x v="0"/>
    <x v="0"/>
    <x v="0"/>
    <x v="0"/>
    <x v="78"/>
    <x v="0"/>
    <x v="2"/>
    <x v="78"/>
    <x v="0"/>
    <x v="0"/>
    <x v="62"/>
    <x v="0"/>
    <x v="61"/>
    <x v="1"/>
    <x v="79"/>
    <x v="0"/>
    <x v="7"/>
    <x v="1"/>
    <x v="0"/>
    <x v="9"/>
    <x v="86"/>
    <x v="86"/>
    <x v="0"/>
    <x v="0"/>
    <x v="0"/>
    <x v="78"/>
    <x v="0"/>
    <x v="0"/>
    <x v="0"/>
    <x v="0"/>
    <x v="61"/>
    <x v="0"/>
    <x v="0"/>
    <x v="0"/>
    <x v="8"/>
    <x v="0"/>
    <x v="12"/>
    <x v="12"/>
    <x v="54"/>
    <x v="0"/>
    <x v="0"/>
    <x v="0"/>
    <x v="0"/>
    <x v="69"/>
    <x v="61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61"/>
    <x v="50"/>
    <x v="0"/>
    <x v="0"/>
    <x v="0"/>
    <x v="0"/>
    <x v="0"/>
    <x v="35"/>
  </r>
  <r>
    <x v="0"/>
    <x v="87"/>
    <x v="0"/>
    <x v="9"/>
    <x v="0"/>
    <x v="0"/>
    <x v="0"/>
    <x v="77"/>
    <x v="78"/>
    <x v="0"/>
    <x v="0"/>
    <x v="0"/>
    <x v="8"/>
    <x v="0"/>
    <x v="0"/>
    <x v="77"/>
    <x v="8"/>
    <x v="0"/>
    <x v="0"/>
    <x v="0"/>
    <x v="77"/>
    <x v="78"/>
    <x v="0"/>
    <x v="0"/>
    <x v="0"/>
    <x v="0"/>
    <x v="0"/>
    <x v="0"/>
    <x v="0"/>
    <x v="0"/>
    <x v="0"/>
    <x v="54"/>
    <x v="79"/>
    <x v="0"/>
    <x v="77"/>
    <x v="79"/>
    <x v="1"/>
    <x v="0"/>
    <x v="80"/>
    <x v="2"/>
    <x v="0"/>
    <x v="2"/>
    <x v="0"/>
    <x v="0"/>
    <x v="8"/>
    <x v="0"/>
    <x v="0"/>
    <x v="0"/>
    <x v="0"/>
    <x v="79"/>
    <x v="0"/>
    <x v="2"/>
    <x v="79"/>
    <x v="0"/>
    <x v="0"/>
    <x v="63"/>
    <x v="0"/>
    <x v="62"/>
    <x v="1"/>
    <x v="80"/>
    <x v="0"/>
    <x v="0"/>
    <x v="1"/>
    <x v="0"/>
    <x v="9"/>
    <x v="87"/>
    <x v="87"/>
    <x v="0"/>
    <x v="0"/>
    <x v="0"/>
    <x v="79"/>
    <x v="0"/>
    <x v="0"/>
    <x v="0"/>
    <x v="0"/>
    <x v="62"/>
    <x v="0"/>
    <x v="0"/>
    <x v="0"/>
    <x v="8"/>
    <x v="0"/>
    <x v="12"/>
    <x v="12"/>
    <x v="54"/>
    <x v="0"/>
    <x v="0"/>
    <x v="0"/>
    <x v="0"/>
    <x v="70"/>
    <x v="62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61"/>
    <x v="50"/>
    <x v="0"/>
    <x v="0"/>
    <x v="0"/>
    <x v="0"/>
    <x v="0"/>
    <x v="36"/>
  </r>
  <r>
    <x v="1"/>
    <x v="88"/>
    <x v="2"/>
    <x v="9"/>
    <x v="0"/>
    <x v="0"/>
    <x v="0"/>
    <x v="78"/>
    <x v="79"/>
    <x v="0"/>
    <x v="0"/>
    <x v="0"/>
    <x v="17"/>
    <x v="3"/>
    <x v="0"/>
    <x v="78"/>
    <x v="6"/>
    <x v="0"/>
    <x v="0"/>
    <x v="0"/>
    <x v="78"/>
    <x v="79"/>
    <x v="0"/>
    <x v="3"/>
    <x v="0"/>
    <x v="0"/>
    <x v="0"/>
    <x v="0"/>
    <x v="1"/>
    <x v="1"/>
    <x v="0"/>
    <x v="4"/>
    <x v="80"/>
    <x v="0"/>
    <x v="78"/>
    <x v="80"/>
    <x v="1"/>
    <x v="0"/>
    <x v="81"/>
    <x v="0"/>
    <x v="0"/>
    <x v="0"/>
    <x v="0"/>
    <x v="0"/>
    <x v="17"/>
    <x v="0"/>
    <x v="0"/>
    <x v="0"/>
    <x v="0"/>
    <x v="80"/>
    <x v="0"/>
    <x v="0"/>
    <x v="80"/>
    <x v="40"/>
    <x v="0"/>
    <x v="6"/>
    <x v="1"/>
    <x v="7"/>
    <x v="1"/>
    <x v="81"/>
    <x v="0"/>
    <x v="6"/>
    <x v="7"/>
    <x v="0"/>
    <x v="9"/>
    <x v="88"/>
    <x v="88"/>
    <x v="0"/>
    <x v="0"/>
    <x v="0"/>
    <x v="80"/>
    <x v="0"/>
    <x v="0"/>
    <x v="0"/>
    <x v="0"/>
    <x v="7"/>
    <x v="0"/>
    <x v="0"/>
    <x v="0"/>
    <x v="8"/>
    <x v="0"/>
    <x v="3"/>
    <x v="3"/>
    <x v="4"/>
    <x v="1"/>
    <x v="0"/>
    <x v="0"/>
    <x v="0"/>
    <x v="71"/>
    <x v="7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62"/>
    <x v="4"/>
    <x v="0"/>
    <x v="0"/>
    <x v="0"/>
    <x v="0"/>
    <x v="0"/>
    <x v="37"/>
  </r>
  <r>
    <x v="1"/>
    <x v="89"/>
    <x v="0"/>
    <x v="9"/>
    <x v="0"/>
    <x v="0"/>
    <x v="0"/>
    <x v="79"/>
    <x v="80"/>
    <x v="0"/>
    <x v="0"/>
    <x v="0"/>
    <x v="16"/>
    <x v="0"/>
    <x v="0"/>
    <x v="79"/>
    <x v="9"/>
    <x v="0"/>
    <x v="0"/>
    <x v="0"/>
    <x v="79"/>
    <x v="80"/>
    <x v="0"/>
    <x v="3"/>
    <x v="0"/>
    <x v="0"/>
    <x v="0"/>
    <x v="0"/>
    <x v="1"/>
    <x v="1"/>
    <x v="0"/>
    <x v="4"/>
    <x v="81"/>
    <x v="0"/>
    <x v="79"/>
    <x v="81"/>
    <x v="1"/>
    <x v="0"/>
    <x v="82"/>
    <x v="0"/>
    <x v="0"/>
    <x v="0"/>
    <x v="0"/>
    <x v="0"/>
    <x v="16"/>
    <x v="0"/>
    <x v="0"/>
    <x v="0"/>
    <x v="0"/>
    <x v="81"/>
    <x v="0"/>
    <x v="0"/>
    <x v="81"/>
    <x v="0"/>
    <x v="0"/>
    <x v="6"/>
    <x v="1"/>
    <x v="7"/>
    <x v="1"/>
    <x v="82"/>
    <x v="0"/>
    <x v="0"/>
    <x v="1"/>
    <x v="0"/>
    <x v="9"/>
    <x v="89"/>
    <x v="89"/>
    <x v="0"/>
    <x v="0"/>
    <x v="0"/>
    <x v="81"/>
    <x v="0"/>
    <x v="0"/>
    <x v="0"/>
    <x v="0"/>
    <x v="7"/>
    <x v="0"/>
    <x v="0"/>
    <x v="0"/>
    <x v="8"/>
    <x v="0"/>
    <x v="3"/>
    <x v="3"/>
    <x v="4"/>
    <x v="1"/>
    <x v="0"/>
    <x v="0"/>
    <x v="0"/>
    <x v="72"/>
    <x v="7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90"/>
    <x v="0"/>
    <x v="9"/>
    <x v="0"/>
    <x v="0"/>
    <x v="0"/>
    <x v="80"/>
    <x v="81"/>
    <x v="0"/>
    <x v="0"/>
    <x v="0"/>
    <x v="14"/>
    <x v="0"/>
    <x v="0"/>
    <x v="80"/>
    <x v="13"/>
    <x v="0"/>
    <x v="0"/>
    <x v="0"/>
    <x v="80"/>
    <x v="81"/>
    <x v="0"/>
    <x v="0"/>
    <x v="0"/>
    <x v="0"/>
    <x v="0"/>
    <x v="0"/>
    <x v="0"/>
    <x v="0"/>
    <x v="0"/>
    <x v="55"/>
    <x v="82"/>
    <x v="0"/>
    <x v="80"/>
    <x v="82"/>
    <x v="1"/>
    <x v="0"/>
    <x v="83"/>
    <x v="2"/>
    <x v="0"/>
    <x v="2"/>
    <x v="0"/>
    <x v="0"/>
    <x v="14"/>
    <x v="0"/>
    <x v="0"/>
    <x v="0"/>
    <x v="0"/>
    <x v="82"/>
    <x v="0"/>
    <x v="2"/>
    <x v="82"/>
    <x v="0"/>
    <x v="0"/>
    <x v="64"/>
    <x v="0"/>
    <x v="63"/>
    <x v="1"/>
    <x v="83"/>
    <x v="0"/>
    <x v="8"/>
    <x v="6"/>
    <x v="0"/>
    <x v="9"/>
    <x v="90"/>
    <x v="90"/>
    <x v="0"/>
    <x v="0"/>
    <x v="0"/>
    <x v="82"/>
    <x v="0"/>
    <x v="0"/>
    <x v="0"/>
    <x v="0"/>
    <x v="63"/>
    <x v="0"/>
    <x v="0"/>
    <x v="0"/>
    <x v="8"/>
    <x v="0"/>
    <x v="36"/>
    <x v="36"/>
    <x v="55"/>
    <x v="0"/>
    <x v="0"/>
    <x v="0"/>
    <x v="0"/>
    <x v="73"/>
    <x v="6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63"/>
    <x v="51"/>
    <x v="0"/>
    <x v="0"/>
    <x v="0"/>
    <x v="0"/>
    <x v="0"/>
    <x v="38"/>
  </r>
  <r>
    <x v="0"/>
    <x v="91"/>
    <x v="2"/>
    <x v="0"/>
    <x v="0"/>
    <x v="0"/>
    <x v="0"/>
    <x v="81"/>
    <x v="82"/>
    <x v="0"/>
    <x v="0"/>
    <x v="0"/>
    <x v="5"/>
    <x v="3"/>
    <x v="0"/>
    <x v="81"/>
    <x v="5"/>
    <x v="0"/>
    <x v="0"/>
    <x v="0"/>
    <x v="81"/>
    <x v="82"/>
    <x v="0"/>
    <x v="0"/>
    <x v="0"/>
    <x v="0"/>
    <x v="0"/>
    <x v="1"/>
    <x v="1"/>
    <x v="1"/>
    <x v="0"/>
    <x v="4"/>
    <x v="83"/>
    <x v="0"/>
    <x v="81"/>
    <x v="83"/>
    <x v="33"/>
    <x v="0"/>
    <x v="84"/>
    <x v="0"/>
    <x v="0"/>
    <x v="0"/>
    <x v="0"/>
    <x v="0"/>
    <x v="5"/>
    <x v="0"/>
    <x v="0"/>
    <x v="0"/>
    <x v="0"/>
    <x v="83"/>
    <x v="0"/>
    <x v="0"/>
    <x v="83"/>
    <x v="0"/>
    <x v="0"/>
    <x v="6"/>
    <x v="0"/>
    <x v="64"/>
    <x v="33"/>
    <x v="84"/>
    <x v="0"/>
    <x v="5"/>
    <x v="0"/>
    <x v="0"/>
    <x v="10"/>
    <x v="91"/>
    <x v="91"/>
    <x v="0"/>
    <x v="0"/>
    <x v="0"/>
    <x v="83"/>
    <x v="0"/>
    <x v="0"/>
    <x v="0"/>
    <x v="0"/>
    <x v="64"/>
    <x v="0"/>
    <x v="0"/>
    <x v="0"/>
    <x v="0"/>
    <x v="0"/>
    <x v="3"/>
    <x v="3"/>
    <x v="4"/>
    <x v="1"/>
    <x v="0"/>
    <x v="0"/>
    <x v="0"/>
    <x v="74"/>
    <x v="64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64"/>
    <x v="52"/>
    <x v="0"/>
    <x v="0"/>
    <x v="0"/>
    <x v="0"/>
    <x v="0"/>
    <x v="0"/>
  </r>
  <r>
    <x v="0"/>
    <x v="92"/>
    <x v="0"/>
    <x v="9"/>
    <x v="0"/>
    <x v="0"/>
    <x v="0"/>
    <x v="82"/>
    <x v="83"/>
    <x v="0"/>
    <x v="0"/>
    <x v="0"/>
    <x v="15"/>
    <x v="0"/>
    <x v="0"/>
    <x v="82"/>
    <x v="14"/>
    <x v="0"/>
    <x v="0"/>
    <x v="0"/>
    <x v="82"/>
    <x v="83"/>
    <x v="0"/>
    <x v="0"/>
    <x v="0"/>
    <x v="0"/>
    <x v="0"/>
    <x v="0"/>
    <x v="0"/>
    <x v="0"/>
    <x v="0"/>
    <x v="56"/>
    <x v="84"/>
    <x v="0"/>
    <x v="82"/>
    <x v="84"/>
    <x v="1"/>
    <x v="0"/>
    <x v="85"/>
    <x v="2"/>
    <x v="0"/>
    <x v="2"/>
    <x v="0"/>
    <x v="0"/>
    <x v="15"/>
    <x v="0"/>
    <x v="0"/>
    <x v="0"/>
    <x v="0"/>
    <x v="84"/>
    <x v="0"/>
    <x v="2"/>
    <x v="84"/>
    <x v="0"/>
    <x v="0"/>
    <x v="65"/>
    <x v="0"/>
    <x v="65"/>
    <x v="1"/>
    <x v="85"/>
    <x v="0"/>
    <x v="0"/>
    <x v="1"/>
    <x v="0"/>
    <x v="10"/>
    <x v="92"/>
    <x v="92"/>
    <x v="0"/>
    <x v="0"/>
    <x v="0"/>
    <x v="84"/>
    <x v="0"/>
    <x v="0"/>
    <x v="0"/>
    <x v="0"/>
    <x v="65"/>
    <x v="0"/>
    <x v="0"/>
    <x v="0"/>
    <x v="8"/>
    <x v="0"/>
    <x v="5"/>
    <x v="5"/>
    <x v="56"/>
    <x v="0"/>
    <x v="0"/>
    <x v="0"/>
    <x v="0"/>
    <x v="75"/>
    <x v="6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65"/>
    <x v="53"/>
    <x v="0"/>
    <x v="0"/>
    <x v="0"/>
    <x v="0"/>
    <x v="0"/>
    <x v="39"/>
  </r>
  <r>
    <x v="1"/>
    <x v="93"/>
    <x v="0"/>
    <x v="0"/>
    <x v="0"/>
    <x v="0"/>
    <x v="0"/>
    <x v="29"/>
    <x v="30"/>
    <x v="0"/>
    <x v="0"/>
    <x v="0"/>
    <x v="16"/>
    <x v="0"/>
    <x v="0"/>
    <x v="29"/>
    <x v="9"/>
    <x v="0"/>
    <x v="0"/>
    <x v="0"/>
    <x v="29"/>
    <x v="30"/>
    <x v="0"/>
    <x v="3"/>
    <x v="0"/>
    <x v="0"/>
    <x v="0"/>
    <x v="0"/>
    <x v="1"/>
    <x v="1"/>
    <x v="0"/>
    <x v="4"/>
    <x v="30"/>
    <x v="0"/>
    <x v="29"/>
    <x v="30"/>
    <x v="1"/>
    <x v="0"/>
    <x v="31"/>
    <x v="0"/>
    <x v="0"/>
    <x v="0"/>
    <x v="0"/>
    <x v="0"/>
    <x v="16"/>
    <x v="0"/>
    <x v="0"/>
    <x v="0"/>
    <x v="0"/>
    <x v="30"/>
    <x v="0"/>
    <x v="0"/>
    <x v="30"/>
    <x v="0"/>
    <x v="0"/>
    <x v="6"/>
    <x v="1"/>
    <x v="7"/>
    <x v="1"/>
    <x v="31"/>
    <x v="0"/>
    <x v="0"/>
    <x v="1"/>
    <x v="0"/>
    <x v="10"/>
    <x v="93"/>
    <x v="93"/>
    <x v="0"/>
    <x v="0"/>
    <x v="0"/>
    <x v="30"/>
    <x v="0"/>
    <x v="0"/>
    <x v="0"/>
    <x v="0"/>
    <x v="7"/>
    <x v="0"/>
    <x v="0"/>
    <x v="0"/>
    <x v="0"/>
    <x v="0"/>
    <x v="3"/>
    <x v="3"/>
    <x v="4"/>
    <x v="1"/>
    <x v="0"/>
    <x v="0"/>
    <x v="0"/>
    <x v="76"/>
    <x v="7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94"/>
    <x v="2"/>
    <x v="0"/>
    <x v="0"/>
    <x v="0"/>
    <x v="0"/>
    <x v="83"/>
    <x v="84"/>
    <x v="0"/>
    <x v="0"/>
    <x v="0"/>
    <x v="5"/>
    <x v="3"/>
    <x v="0"/>
    <x v="83"/>
    <x v="5"/>
    <x v="0"/>
    <x v="0"/>
    <x v="0"/>
    <x v="83"/>
    <x v="84"/>
    <x v="0"/>
    <x v="0"/>
    <x v="0"/>
    <x v="0"/>
    <x v="0"/>
    <x v="1"/>
    <x v="0"/>
    <x v="0"/>
    <x v="0"/>
    <x v="57"/>
    <x v="85"/>
    <x v="0"/>
    <x v="83"/>
    <x v="85"/>
    <x v="34"/>
    <x v="0"/>
    <x v="86"/>
    <x v="0"/>
    <x v="0"/>
    <x v="0"/>
    <x v="0"/>
    <x v="0"/>
    <x v="5"/>
    <x v="0"/>
    <x v="0"/>
    <x v="0"/>
    <x v="0"/>
    <x v="85"/>
    <x v="0"/>
    <x v="0"/>
    <x v="85"/>
    <x v="0"/>
    <x v="0"/>
    <x v="66"/>
    <x v="0"/>
    <x v="66"/>
    <x v="34"/>
    <x v="86"/>
    <x v="0"/>
    <x v="5"/>
    <x v="0"/>
    <x v="0"/>
    <x v="10"/>
    <x v="94"/>
    <x v="94"/>
    <x v="0"/>
    <x v="0"/>
    <x v="0"/>
    <x v="85"/>
    <x v="0"/>
    <x v="0"/>
    <x v="0"/>
    <x v="0"/>
    <x v="66"/>
    <x v="0"/>
    <x v="0"/>
    <x v="0"/>
    <x v="0"/>
    <x v="0"/>
    <x v="37"/>
    <x v="37"/>
    <x v="57"/>
    <x v="0"/>
    <x v="0"/>
    <x v="0"/>
    <x v="0"/>
    <x v="77"/>
    <x v="66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66"/>
    <x v="54"/>
    <x v="0"/>
    <x v="0"/>
    <x v="0"/>
    <x v="0"/>
    <x v="0"/>
    <x v="0"/>
  </r>
  <r>
    <x v="0"/>
    <x v="95"/>
    <x v="0"/>
    <x v="9"/>
    <x v="0"/>
    <x v="0"/>
    <x v="0"/>
    <x v="58"/>
    <x v="85"/>
    <x v="0"/>
    <x v="0"/>
    <x v="0"/>
    <x v="0"/>
    <x v="0"/>
    <x v="0"/>
    <x v="58"/>
    <x v="0"/>
    <x v="0"/>
    <x v="0"/>
    <x v="0"/>
    <x v="58"/>
    <x v="85"/>
    <x v="0"/>
    <x v="0"/>
    <x v="0"/>
    <x v="0"/>
    <x v="0"/>
    <x v="0"/>
    <x v="0"/>
    <x v="0"/>
    <x v="0"/>
    <x v="58"/>
    <x v="60"/>
    <x v="0"/>
    <x v="58"/>
    <x v="60"/>
    <x v="1"/>
    <x v="0"/>
    <x v="87"/>
    <x v="2"/>
    <x v="0"/>
    <x v="2"/>
    <x v="0"/>
    <x v="0"/>
    <x v="0"/>
    <x v="0"/>
    <x v="0"/>
    <x v="0"/>
    <x v="0"/>
    <x v="60"/>
    <x v="0"/>
    <x v="2"/>
    <x v="60"/>
    <x v="0"/>
    <x v="0"/>
    <x v="46"/>
    <x v="0"/>
    <x v="45"/>
    <x v="1"/>
    <x v="87"/>
    <x v="0"/>
    <x v="0"/>
    <x v="1"/>
    <x v="0"/>
    <x v="10"/>
    <x v="95"/>
    <x v="95"/>
    <x v="0"/>
    <x v="0"/>
    <x v="0"/>
    <x v="60"/>
    <x v="0"/>
    <x v="0"/>
    <x v="0"/>
    <x v="0"/>
    <x v="45"/>
    <x v="0"/>
    <x v="0"/>
    <x v="0"/>
    <x v="8"/>
    <x v="0"/>
    <x v="27"/>
    <x v="27"/>
    <x v="58"/>
    <x v="0"/>
    <x v="0"/>
    <x v="0"/>
    <x v="0"/>
    <x v="78"/>
    <x v="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7"/>
    <x v="55"/>
    <x v="0"/>
    <x v="0"/>
    <x v="0"/>
    <x v="0"/>
    <x v="0"/>
    <x v="40"/>
  </r>
  <r>
    <x v="0"/>
    <x v="96"/>
    <x v="0"/>
    <x v="9"/>
    <x v="0"/>
    <x v="0"/>
    <x v="0"/>
    <x v="84"/>
    <x v="86"/>
    <x v="0"/>
    <x v="0"/>
    <x v="0"/>
    <x v="1"/>
    <x v="0"/>
    <x v="0"/>
    <x v="84"/>
    <x v="2"/>
    <x v="0"/>
    <x v="0"/>
    <x v="0"/>
    <x v="84"/>
    <x v="86"/>
    <x v="0"/>
    <x v="0"/>
    <x v="0"/>
    <x v="0"/>
    <x v="0"/>
    <x v="0"/>
    <x v="0"/>
    <x v="0"/>
    <x v="0"/>
    <x v="59"/>
    <x v="86"/>
    <x v="0"/>
    <x v="84"/>
    <x v="86"/>
    <x v="1"/>
    <x v="0"/>
    <x v="88"/>
    <x v="0"/>
    <x v="0"/>
    <x v="0"/>
    <x v="0"/>
    <x v="0"/>
    <x v="1"/>
    <x v="0"/>
    <x v="0"/>
    <x v="0"/>
    <x v="0"/>
    <x v="86"/>
    <x v="0"/>
    <x v="0"/>
    <x v="86"/>
    <x v="0"/>
    <x v="0"/>
    <x v="67"/>
    <x v="0"/>
    <x v="67"/>
    <x v="1"/>
    <x v="88"/>
    <x v="0"/>
    <x v="1"/>
    <x v="0"/>
    <x v="0"/>
    <x v="10"/>
    <x v="96"/>
    <x v="96"/>
    <x v="0"/>
    <x v="0"/>
    <x v="0"/>
    <x v="86"/>
    <x v="0"/>
    <x v="0"/>
    <x v="0"/>
    <x v="0"/>
    <x v="67"/>
    <x v="0"/>
    <x v="0"/>
    <x v="0"/>
    <x v="8"/>
    <x v="0"/>
    <x v="38"/>
    <x v="38"/>
    <x v="59"/>
    <x v="0"/>
    <x v="0"/>
    <x v="0"/>
    <x v="0"/>
    <x v="79"/>
    <x v="6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68"/>
    <x v="56"/>
    <x v="0"/>
    <x v="0"/>
    <x v="0"/>
    <x v="0"/>
    <x v="0"/>
    <x v="0"/>
  </r>
  <r>
    <x v="0"/>
    <x v="97"/>
    <x v="0"/>
    <x v="10"/>
    <x v="0"/>
    <x v="0"/>
    <x v="0"/>
    <x v="85"/>
    <x v="87"/>
    <x v="0"/>
    <x v="0"/>
    <x v="0"/>
    <x v="1"/>
    <x v="0"/>
    <x v="0"/>
    <x v="85"/>
    <x v="2"/>
    <x v="0"/>
    <x v="0"/>
    <x v="0"/>
    <x v="85"/>
    <x v="87"/>
    <x v="0"/>
    <x v="0"/>
    <x v="0"/>
    <x v="0"/>
    <x v="0"/>
    <x v="0"/>
    <x v="0"/>
    <x v="0"/>
    <x v="0"/>
    <x v="60"/>
    <x v="87"/>
    <x v="0"/>
    <x v="85"/>
    <x v="87"/>
    <x v="35"/>
    <x v="0"/>
    <x v="89"/>
    <x v="0"/>
    <x v="0"/>
    <x v="0"/>
    <x v="0"/>
    <x v="0"/>
    <x v="1"/>
    <x v="0"/>
    <x v="0"/>
    <x v="0"/>
    <x v="0"/>
    <x v="87"/>
    <x v="0"/>
    <x v="0"/>
    <x v="87"/>
    <x v="0"/>
    <x v="0"/>
    <x v="68"/>
    <x v="0"/>
    <x v="68"/>
    <x v="35"/>
    <x v="89"/>
    <x v="0"/>
    <x v="0"/>
    <x v="0"/>
    <x v="0"/>
    <x v="10"/>
    <x v="97"/>
    <x v="97"/>
    <x v="0"/>
    <x v="0"/>
    <x v="0"/>
    <x v="87"/>
    <x v="0"/>
    <x v="0"/>
    <x v="0"/>
    <x v="0"/>
    <x v="68"/>
    <x v="0"/>
    <x v="0"/>
    <x v="0"/>
    <x v="9"/>
    <x v="0"/>
    <x v="39"/>
    <x v="39"/>
    <x v="60"/>
    <x v="0"/>
    <x v="0"/>
    <x v="0"/>
    <x v="0"/>
    <x v="80"/>
    <x v="6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69"/>
    <x v="57"/>
    <x v="0"/>
    <x v="0"/>
    <x v="0"/>
    <x v="0"/>
    <x v="0"/>
    <x v="0"/>
  </r>
  <r>
    <x v="0"/>
    <x v="98"/>
    <x v="0"/>
    <x v="10"/>
    <x v="0"/>
    <x v="0"/>
    <x v="0"/>
    <x v="86"/>
    <x v="88"/>
    <x v="0"/>
    <x v="0"/>
    <x v="0"/>
    <x v="1"/>
    <x v="0"/>
    <x v="0"/>
    <x v="86"/>
    <x v="2"/>
    <x v="0"/>
    <x v="0"/>
    <x v="0"/>
    <x v="86"/>
    <x v="88"/>
    <x v="0"/>
    <x v="0"/>
    <x v="0"/>
    <x v="0"/>
    <x v="0"/>
    <x v="0"/>
    <x v="0"/>
    <x v="0"/>
    <x v="0"/>
    <x v="60"/>
    <x v="88"/>
    <x v="0"/>
    <x v="86"/>
    <x v="88"/>
    <x v="1"/>
    <x v="0"/>
    <x v="90"/>
    <x v="1"/>
    <x v="0"/>
    <x v="1"/>
    <x v="0"/>
    <x v="0"/>
    <x v="1"/>
    <x v="0"/>
    <x v="0"/>
    <x v="0"/>
    <x v="0"/>
    <x v="88"/>
    <x v="0"/>
    <x v="1"/>
    <x v="88"/>
    <x v="0"/>
    <x v="0"/>
    <x v="69"/>
    <x v="0"/>
    <x v="69"/>
    <x v="1"/>
    <x v="90"/>
    <x v="0"/>
    <x v="0"/>
    <x v="1"/>
    <x v="0"/>
    <x v="10"/>
    <x v="98"/>
    <x v="98"/>
    <x v="0"/>
    <x v="0"/>
    <x v="0"/>
    <x v="88"/>
    <x v="0"/>
    <x v="0"/>
    <x v="0"/>
    <x v="0"/>
    <x v="69"/>
    <x v="0"/>
    <x v="0"/>
    <x v="0"/>
    <x v="9"/>
    <x v="0"/>
    <x v="39"/>
    <x v="39"/>
    <x v="60"/>
    <x v="0"/>
    <x v="0"/>
    <x v="0"/>
    <x v="0"/>
    <x v="80"/>
    <x v="6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69"/>
    <x v="57"/>
    <x v="0"/>
    <x v="0"/>
    <x v="0"/>
    <x v="0"/>
    <x v="0"/>
    <x v="0"/>
  </r>
  <r>
    <x v="0"/>
    <x v="99"/>
    <x v="0"/>
    <x v="0"/>
    <x v="0"/>
    <x v="0"/>
    <x v="0"/>
    <x v="87"/>
    <x v="89"/>
    <x v="0"/>
    <x v="0"/>
    <x v="0"/>
    <x v="12"/>
    <x v="0"/>
    <x v="0"/>
    <x v="87"/>
    <x v="10"/>
    <x v="0"/>
    <x v="0"/>
    <x v="0"/>
    <x v="87"/>
    <x v="89"/>
    <x v="0"/>
    <x v="0"/>
    <x v="0"/>
    <x v="0"/>
    <x v="0"/>
    <x v="0"/>
    <x v="0"/>
    <x v="0"/>
    <x v="0"/>
    <x v="61"/>
    <x v="89"/>
    <x v="0"/>
    <x v="87"/>
    <x v="89"/>
    <x v="1"/>
    <x v="0"/>
    <x v="91"/>
    <x v="2"/>
    <x v="0"/>
    <x v="2"/>
    <x v="0"/>
    <x v="0"/>
    <x v="12"/>
    <x v="0"/>
    <x v="0"/>
    <x v="0"/>
    <x v="0"/>
    <x v="89"/>
    <x v="0"/>
    <x v="2"/>
    <x v="89"/>
    <x v="0"/>
    <x v="0"/>
    <x v="70"/>
    <x v="0"/>
    <x v="70"/>
    <x v="1"/>
    <x v="91"/>
    <x v="0"/>
    <x v="0"/>
    <x v="1"/>
    <x v="0"/>
    <x v="10"/>
    <x v="99"/>
    <x v="99"/>
    <x v="0"/>
    <x v="0"/>
    <x v="0"/>
    <x v="89"/>
    <x v="0"/>
    <x v="0"/>
    <x v="0"/>
    <x v="0"/>
    <x v="70"/>
    <x v="0"/>
    <x v="0"/>
    <x v="0"/>
    <x v="0"/>
    <x v="0"/>
    <x v="23"/>
    <x v="23"/>
    <x v="61"/>
    <x v="0"/>
    <x v="0"/>
    <x v="0"/>
    <x v="0"/>
    <x v="81"/>
    <x v="7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0"/>
    <x v="58"/>
    <x v="0"/>
    <x v="0"/>
    <x v="0"/>
    <x v="0"/>
    <x v="0"/>
    <x v="41"/>
  </r>
  <r>
    <x v="0"/>
    <x v="100"/>
    <x v="0"/>
    <x v="0"/>
    <x v="0"/>
    <x v="0"/>
    <x v="0"/>
    <x v="22"/>
    <x v="23"/>
    <x v="0"/>
    <x v="0"/>
    <x v="0"/>
    <x v="12"/>
    <x v="0"/>
    <x v="0"/>
    <x v="22"/>
    <x v="10"/>
    <x v="0"/>
    <x v="0"/>
    <x v="0"/>
    <x v="22"/>
    <x v="23"/>
    <x v="0"/>
    <x v="0"/>
    <x v="0"/>
    <x v="0"/>
    <x v="0"/>
    <x v="0"/>
    <x v="0"/>
    <x v="0"/>
    <x v="0"/>
    <x v="62"/>
    <x v="23"/>
    <x v="0"/>
    <x v="22"/>
    <x v="23"/>
    <x v="1"/>
    <x v="0"/>
    <x v="24"/>
    <x v="2"/>
    <x v="0"/>
    <x v="2"/>
    <x v="0"/>
    <x v="0"/>
    <x v="12"/>
    <x v="0"/>
    <x v="0"/>
    <x v="0"/>
    <x v="0"/>
    <x v="23"/>
    <x v="0"/>
    <x v="2"/>
    <x v="23"/>
    <x v="0"/>
    <x v="0"/>
    <x v="20"/>
    <x v="0"/>
    <x v="19"/>
    <x v="1"/>
    <x v="24"/>
    <x v="0"/>
    <x v="0"/>
    <x v="1"/>
    <x v="0"/>
    <x v="10"/>
    <x v="100"/>
    <x v="100"/>
    <x v="0"/>
    <x v="0"/>
    <x v="0"/>
    <x v="23"/>
    <x v="0"/>
    <x v="0"/>
    <x v="0"/>
    <x v="0"/>
    <x v="19"/>
    <x v="0"/>
    <x v="0"/>
    <x v="0"/>
    <x v="0"/>
    <x v="0"/>
    <x v="11"/>
    <x v="11"/>
    <x v="62"/>
    <x v="0"/>
    <x v="0"/>
    <x v="0"/>
    <x v="0"/>
    <x v="82"/>
    <x v="1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1"/>
    <x v="59"/>
    <x v="0"/>
    <x v="0"/>
    <x v="0"/>
    <x v="0"/>
    <x v="0"/>
    <x v="42"/>
  </r>
  <r>
    <x v="0"/>
    <x v="101"/>
    <x v="0"/>
    <x v="0"/>
    <x v="0"/>
    <x v="0"/>
    <x v="0"/>
    <x v="88"/>
    <x v="90"/>
    <x v="0"/>
    <x v="0"/>
    <x v="0"/>
    <x v="12"/>
    <x v="0"/>
    <x v="0"/>
    <x v="88"/>
    <x v="10"/>
    <x v="0"/>
    <x v="0"/>
    <x v="0"/>
    <x v="88"/>
    <x v="90"/>
    <x v="0"/>
    <x v="0"/>
    <x v="0"/>
    <x v="0"/>
    <x v="0"/>
    <x v="0"/>
    <x v="0"/>
    <x v="0"/>
    <x v="0"/>
    <x v="63"/>
    <x v="90"/>
    <x v="0"/>
    <x v="88"/>
    <x v="90"/>
    <x v="1"/>
    <x v="0"/>
    <x v="92"/>
    <x v="0"/>
    <x v="0"/>
    <x v="0"/>
    <x v="0"/>
    <x v="0"/>
    <x v="12"/>
    <x v="0"/>
    <x v="0"/>
    <x v="0"/>
    <x v="0"/>
    <x v="90"/>
    <x v="0"/>
    <x v="0"/>
    <x v="90"/>
    <x v="0"/>
    <x v="0"/>
    <x v="71"/>
    <x v="0"/>
    <x v="71"/>
    <x v="1"/>
    <x v="92"/>
    <x v="0"/>
    <x v="0"/>
    <x v="1"/>
    <x v="0"/>
    <x v="10"/>
    <x v="101"/>
    <x v="101"/>
    <x v="0"/>
    <x v="0"/>
    <x v="0"/>
    <x v="90"/>
    <x v="0"/>
    <x v="0"/>
    <x v="0"/>
    <x v="0"/>
    <x v="71"/>
    <x v="0"/>
    <x v="0"/>
    <x v="0"/>
    <x v="0"/>
    <x v="0"/>
    <x v="33"/>
    <x v="33"/>
    <x v="63"/>
    <x v="0"/>
    <x v="0"/>
    <x v="0"/>
    <x v="0"/>
    <x v="83"/>
    <x v="7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2"/>
    <x v="60"/>
    <x v="0"/>
    <x v="0"/>
    <x v="0"/>
    <x v="0"/>
    <x v="0"/>
    <x v="0"/>
  </r>
  <r>
    <x v="1"/>
    <x v="102"/>
    <x v="0"/>
    <x v="0"/>
    <x v="0"/>
    <x v="0"/>
    <x v="0"/>
    <x v="89"/>
    <x v="91"/>
    <x v="0"/>
    <x v="0"/>
    <x v="0"/>
    <x v="2"/>
    <x v="1"/>
    <x v="0"/>
    <x v="89"/>
    <x v="3"/>
    <x v="0"/>
    <x v="0"/>
    <x v="0"/>
    <x v="89"/>
    <x v="91"/>
    <x v="0"/>
    <x v="3"/>
    <x v="0"/>
    <x v="0"/>
    <x v="0"/>
    <x v="0"/>
    <x v="1"/>
    <x v="1"/>
    <x v="0"/>
    <x v="4"/>
    <x v="6"/>
    <x v="0"/>
    <x v="89"/>
    <x v="6"/>
    <x v="36"/>
    <x v="0"/>
    <x v="93"/>
    <x v="0"/>
    <x v="0"/>
    <x v="0"/>
    <x v="0"/>
    <x v="0"/>
    <x v="2"/>
    <x v="0"/>
    <x v="0"/>
    <x v="0"/>
    <x v="0"/>
    <x v="6"/>
    <x v="0"/>
    <x v="0"/>
    <x v="6"/>
    <x v="41"/>
    <x v="0"/>
    <x v="6"/>
    <x v="1"/>
    <x v="7"/>
    <x v="36"/>
    <x v="93"/>
    <x v="0"/>
    <x v="2"/>
    <x v="0"/>
    <x v="0"/>
    <x v="10"/>
    <x v="102"/>
    <x v="102"/>
    <x v="0"/>
    <x v="0"/>
    <x v="0"/>
    <x v="6"/>
    <x v="0"/>
    <x v="0"/>
    <x v="0"/>
    <x v="0"/>
    <x v="7"/>
    <x v="0"/>
    <x v="0"/>
    <x v="0"/>
    <x v="0"/>
    <x v="0"/>
    <x v="3"/>
    <x v="3"/>
    <x v="4"/>
    <x v="1"/>
    <x v="0"/>
    <x v="0"/>
    <x v="0"/>
    <x v="84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3"/>
    <x v="4"/>
    <x v="0"/>
    <x v="0"/>
    <x v="0"/>
    <x v="0"/>
    <x v="0"/>
    <x v="43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91"/>
    <x v="0"/>
    <x v="7"/>
    <x v="91"/>
    <x v="37"/>
    <x v="0"/>
    <x v="94"/>
    <x v="0"/>
    <x v="1"/>
    <x v="0"/>
    <x v="1"/>
    <x v="0"/>
    <x v="3"/>
    <x v="0"/>
    <x v="0"/>
    <x v="0"/>
    <x v="0"/>
    <x v="91"/>
    <x v="1"/>
    <x v="0"/>
    <x v="91"/>
    <x v="42"/>
    <x v="0"/>
    <x v="6"/>
    <x v="1"/>
    <x v="7"/>
    <x v="37"/>
    <x v="94"/>
    <x v="1"/>
    <x v="3"/>
    <x v="3"/>
    <x v="1"/>
    <x v="1"/>
    <x v="9"/>
    <x v="9"/>
    <x v="0"/>
    <x v="0"/>
    <x v="1"/>
    <x v="91"/>
    <x v="0"/>
    <x v="0"/>
    <x v="0"/>
    <x v="1"/>
    <x v="7"/>
    <x v="0"/>
    <x v="1"/>
    <x v="1"/>
    <x v="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43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92"/>
    <x v="0"/>
    <x v="7"/>
    <x v="92"/>
    <x v="38"/>
    <x v="0"/>
    <x v="95"/>
    <x v="0"/>
    <x v="1"/>
    <x v="0"/>
    <x v="1"/>
    <x v="0"/>
    <x v="3"/>
    <x v="0"/>
    <x v="0"/>
    <x v="0"/>
    <x v="0"/>
    <x v="92"/>
    <x v="1"/>
    <x v="0"/>
    <x v="92"/>
    <x v="44"/>
    <x v="0"/>
    <x v="6"/>
    <x v="1"/>
    <x v="7"/>
    <x v="38"/>
    <x v="95"/>
    <x v="1"/>
    <x v="3"/>
    <x v="3"/>
    <x v="1"/>
    <x v="1"/>
    <x v="9"/>
    <x v="9"/>
    <x v="0"/>
    <x v="0"/>
    <x v="1"/>
    <x v="92"/>
    <x v="0"/>
    <x v="0"/>
    <x v="0"/>
    <x v="1"/>
    <x v="7"/>
    <x v="0"/>
    <x v="1"/>
    <x v="1"/>
    <x v="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45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46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47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48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103"/>
    <x v="0"/>
    <x v="10"/>
    <x v="0"/>
    <x v="0"/>
    <x v="0"/>
    <x v="90"/>
    <x v="92"/>
    <x v="0"/>
    <x v="0"/>
    <x v="0"/>
    <x v="2"/>
    <x v="1"/>
    <x v="0"/>
    <x v="90"/>
    <x v="3"/>
    <x v="0"/>
    <x v="0"/>
    <x v="0"/>
    <x v="90"/>
    <x v="92"/>
    <x v="0"/>
    <x v="1"/>
    <x v="0"/>
    <x v="0"/>
    <x v="0"/>
    <x v="0"/>
    <x v="1"/>
    <x v="1"/>
    <x v="0"/>
    <x v="4"/>
    <x v="7"/>
    <x v="0"/>
    <x v="90"/>
    <x v="7"/>
    <x v="40"/>
    <x v="0"/>
    <x v="97"/>
    <x v="0"/>
    <x v="0"/>
    <x v="0"/>
    <x v="0"/>
    <x v="0"/>
    <x v="2"/>
    <x v="0"/>
    <x v="0"/>
    <x v="0"/>
    <x v="0"/>
    <x v="7"/>
    <x v="0"/>
    <x v="0"/>
    <x v="7"/>
    <x v="49"/>
    <x v="0"/>
    <x v="6"/>
    <x v="1"/>
    <x v="7"/>
    <x v="40"/>
    <x v="97"/>
    <x v="0"/>
    <x v="2"/>
    <x v="0"/>
    <x v="0"/>
    <x v="10"/>
    <x v="103"/>
    <x v="103"/>
    <x v="0"/>
    <x v="0"/>
    <x v="0"/>
    <x v="7"/>
    <x v="0"/>
    <x v="0"/>
    <x v="0"/>
    <x v="0"/>
    <x v="7"/>
    <x v="0"/>
    <x v="0"/>
    <x v="0"/>
    <x v="9"/>
    <x v="0"/>
    <x v="3"/>
    <x v="3"/>
    <x v="4"/>
    <x v="1"/>
    <x v="0"/>
    <x v="0"/>
    <x v="0"/>
    <x v="85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4"/>
    <x v="4"/>
    <x v="0"/>
    <x v="0"/>
    <x v="0"/>
    <x v="0"/>
    <x v="0"/>
    <x v="44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50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51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52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8"/>
    <x v="0"/>
    <x v="7"/>
    <x v="38"/>
    <x v="41"/>
    <x v="0"/>
    <x v="98"/>
    <x v="0"/>
    <x v="1"/>
    <x v="0"/>
    <x v="1"/>
    <x v="0"/>
    <x v="3"/>
    <x v="0"/>
    <x v="0"/>
    <x v="0"/>
    <x v="0"/>
    <x v="38"/>
    <x v="1"/>
    <x v="0"/>
    <x v="38"/>
    <x v="53"/>
    <x v="0"/>
    <x v="6"/>
    <x v="0"/>
    <x v="72"/>
    <x v="41"/>
    <x v="98"/>
    <x v="1"/>
    <x v="3"/>
    <x v="3"/>
    <x v="1"/>
    <x v="1"/>
    <x v="9"/>
    <x v="9"/>
    <x v="0"/>
    <x v="0"/>
    <x v="1"/>
    <x v="38"/>
    <x v="0"/>
    <x v="0"/>
    <x v="0"/>
    <x v="1"/>
    <x v="72"/>
    <x v="0"/>
    <x v="1"/>
    <x v="1"/>
    <x v="9"/>
    <x v="0"/>
    <x v="3"/>
    <x v="3"/>
    <x v="4"/>
    <x v="1"/>
    <x v="1"/>
    <x v="0"/>
    <x v="0"/>
    <x v="5"/>
    <x v="72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54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40"/>
    <x v="0"/>
    <x v="97"/>
    <x v="0"/>
    <x v="1"/>
    <x v="0"/>
    <x v="1"/>
    <x v="0"/>
    <x v="3"/>
    <x v="0"/>
    <x v="0"/>
    <x v="0"/>
    <x v="0"/>
    <x v="7"/>
    <x v="1"/>
    <x v="0"/>
    <x v="7"/>
    <x v="55"/>
    <x v="0"/>
    <x v="6"/>
    <x v="1"/>
    <x v="7"/>
    <x v="40"/>
    <x v="9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104"/>
    <x v="0"/>
    <x v="11"/>
    <x v="0"/>
    <x v="0"/>
    <x v="0"/>
    <x v="91"/>
    <x v="93"/>
    <x v="0"/>
    <x v="0"/>
    <x v="0"/>
    <x v="2"/>
    <x v="1"/>
    <x v="0"/>
    <x v="91"/>
    <x v="3"/>
    <x v="0"/>
    <x v="0"/>
    <x v="0"/>
    <x v="91"/>
    <x v="93"/>
    <x v="0"/>
    <x v="3"/>
    <x v="0"/>
    <x v="0"/>
    <x v="0"/>
    <x v="0"/>
    <x v="1"/>
    <x v="1"/>
    <x v="0"/>
    <x v="4"/>
    <x v="6"/>
    <x v="0"/>
    <x v="91"/>
    <x v="6"/>
    <x v="36"/>
    <x v="0"/>
    <x v="93"/>
    <x v="0"/>
    <x v="0"/>
    <x v="0"/>
    <x v="0"/>
    <x v="0"/>
    <x v="2"/>
    <x v="0"/>
    <x v="0"/>
    <x v="0"/>
    <x v="0"/>
    <x v="6"/>
    <x v="0"/>
    <x v="0"/>
    <x v="6"/>
    <x v="56"/>
    <x v="0"/>
    <x v="6"/>
    <x v="1"/>
    <x v="7"/>
    <x v="36"/>
    <x v="93"/>
    <x v="0"/>
    <x v="2"/>
    <x v="0"/>
    <x v="0"/>
    <x v="10"/>
    <x v="104"/>
    <x v="104"/>
    <x v="0"/>
    <x v="0"/>
    <x v="0"/>
    <x v="6"/>
    <x v="0"/>
    <x v="0"/>
    <x v="0"/>
    <x v="0"/>
    <x v="7"/>
    <x v="0"/>
    <x v="0"/>
    <x v="0"/>
    <x v="10"/>
    <x v="0"/>
    <x v="3"/>
    <x v="3"/>
    <x v="4"/>
    <x v="1"/>
    <x v="0"/>
    <x v="0"/>
    <x v="0"/>
    <x v="86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5"/>
    <x v="4"/>
    <x v="0"/>
    <x v="0"/>
    <x v="0"/>
    <x v="0"/>
    <x v="0"/>
    <x v="45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57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58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42"/>
    <x v="0"/>
    <x v="99"/>
    <x v="0"/>
    <x v="1"/>
    <x v="0"/>
    <x v="1"/>
    <x v="0"/>
    <x v="3"/>
    <x v="0"/>
    <x v="0"/>
    <x v="0"/>
    <x v="0"/>
    <x v="32"/>
    <x v="1"/>
    <x v="0"/>
    <x v="32"/>
    <x v="59"/>
    <x v="0"/>
    <x v="6"/>
    <x v="1"/>
    <x v="7"/>
    <x v="42"/>
    <x v="99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1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42"/>
    <x v="0"/>
    <x v="99"/>
    <x v="0"/>
    <x v="1"/>
    <x v="0"/>
    <x v="1"/>
    <x v="0"/>
    <x v="3"/>
    <x v="0"/>
    <x v="0"/>
    <x v="0"/>
    <x v="0"/>
    <x v="32"/>
    <x v="1"/>
    <x v="0"/>
    <x v="32"/>
    <x v="60"/>
    <x v="0"/>
    <x v="6"/>
    <x v="1"/>
    <x v="7"/>
    <x v="42"/>
    <x v="99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1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61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42"/>
    <x v="0"/>
    <x v="99"/>
    <x v="0"/>
    <x v="1"/>
    <x v="0"/>
    <x v="1"/>
    <x v="0"/>
    <x v="3"/>
    <x v="0"/>
    <x v="0"/>
    <x v="0"/>
    <x v="0"/>
    <x v="32"/>
    <x v="1"/>
    <x v="0"/>
    <x v="32"/>
    <x v="62"/>
    <x v="0"/>
    <x v="6"/>
    <x v="1"/>
    <x v="7"/>
    <x v="42"/>
    <x v="99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1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63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40"/>
    <x v="0"/>
    <x v="97"/>
    <x v="0"/>
    <x v="1"/>
    <x v="0"/>
    <x v="1"/>
    <x v="0"/>
    <x v="3"/>
    <x v="0"/>
    <x v="0"/>
    <x v="0"/>
    <x v="0"/>
    <x v="7"/>
    <x v="1"/>
    <x v="0"/>
    <x v="7"/>
    <x v="64"/>
    <x v="0"/>
    <x v="6"/>
    <x v="1"/>
    <x v="7"/>
    <x v="40"/>
    <x v="9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1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105"/>
    <x v="2"/>
    <x v="10"/>
    <x v="0"/>
    <x v="0"/>
    <x v="0"/>
    <x v="92"/>
    <x v="94"/>
    <x v="0"/>
    <x v="0"/>
    <x v="0"/>
    <x v="18"/>
    <x v="3"/>
    <x v="0"/>
    <x v="92"/>
    <x v="6"/>
    <x v="0"/>
    <x v="0"/>
    <x v="0"/>
    <x v="92"/>
    <x v="94"/>
    <x v="0"/>
    <x v="3"/>
    <x v="0"/>
    <x v="0"/>
    <x v="0"/>
    <x v="3"/>
    <x v="0"/>
    <x v="0"/>
    <x v="0"/>
    <x v="64"/>
    <x v="93"/>
    <x v="0"/>
    <x v="92"/>
    <x v="93"/>
    <x v="1"/>
    <x v="0"/>
    <x v="100"/>
    <x v="4"/>
    <x v="0"/>
    <x v="4"/>
    <x v="0"/>
    <x v="0"/>
    <x v="18"/>
    <x v="0"/>
    <x v="0"/>
    <x v="0"/>
    <x v="0"/>
    <x v="93"/>
    <x v="0"/>
    <x v="4"/>
    <x v="93"/>
    <x v="0"/>
    <x v="0"/>
    <x v="72"/>
    <x v="1"/>
    <x v="7"/>
    <x v="1"/>
    <x v="100"/>
    <x v="0"/>
    <x v="6"/>
    <x v="4"/>
    <x v="0"/>
    <x v="11"/>
    <x v="105"/>
    <x v="105"/>
    <x v="0"/>
    <x v="0"/>
    <x v="0"/>
    <x v="93"/>
    <x v="0"/>
    <x v="0"/>
    <x v="0"/>
    <x v="0"/>
    <x v="7"/>
    <x v="0"/>
    <x v="0"/>
    <x v="0"/>
    <x v="9"/>
    <x v="0"/>
    <x v="40"/>
    <x v="40"/>
    <x v="64"/>
    <x v="0"/>
    <x v="0"/>
    <x v="0"/>
    <x v="0"/>
    <x v="87"/>
    <x v="7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76"/>
    <x v="61"/>
    <x v="0"/>
    <x v="0"/>
    <x v="0"/>
    <x v="0"/>
    <x v="0"/>
    <x v="46"/>
  </r>
  <r>
    <x v="0"/>
    <x v="106"/>
    <x v="0"/>
    <x v="10"/>
    <x v="0"/>
    <x v="0"/>
    <x v="0"/>
    <x v="60"/>
    <x v="61"/>
    <x v="0"/>
    <x v="0"/>
    <x v="0"/>
    <x v="0"/>
    <x v="0"/>
    <x v="0"/>
    <x v="60"/>
    <x v="0"/>
    <x v="0"/>
    <x v="0"/>
    <x v="0"/>
    <x v="60"/>
    <x v="61"/>
    <x v="0"/>
    <x v="0"/>
    <x v="0"/>
    <x v="0"/>
    <x v="0"/>
    <x v="0"/>
    <x v="0"/>
    <x v="0"/>
    <x v="0"/>
    <x v="65"/>
    <x v="62"/>
    <x v="0"/>
    <x v="60"/>
    <x v="62"/>
    <x v="27"/>
    <x v="0"/>
    <x v="63"/>
    <x v="0"/>
    <x v="0"/>
    <x v="0"/>
    <x v="0"/>
    <x v="0"/>
    <x v="0"/>
    <x v="0"/>
    <x v="0"/>
    <x v="0"/>
    <x v="0"/>
    <x v="62"/>
    <x v="0"/>
    <x v="0"/>
    <x v="62"/>
    <x v="0"/>
    <x v="0"/>
    <x v="47"/>
    <x v="0"/>
    <x v="46"/>
    <x v="27"/>
    <x v="63"/>
    <x v="0"/>
    <x v="0"/>
    <x v="0"/>
    <x v="0"/>
    <x v="11"/>
    <x v="106"/>
    <x v="106"/>
    <x v="0"/>
    <x v="0"/>
    <x v="0"/>
    <x v="62"/>
    <x v="0"/>
    <x v="0"/>
    <x v="0"/>
    <x v="0"/>
    <x v="46"/>
    <x v="0"/>
    <x v="0"/>
    <x v="0"/>
    <x v="9"/>
    <x v="0"/>
    <x v="6"/>
    <x v="6"/>
    <x v="65"/>
    <x v="0"/>
    <x v="0"/>
    <x v="0"/>
    <x v="0"/>
    <x v="88"/>
    <x v="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7"/>
    <x v="62"/>
    <x v="0"/>
    <x v="0"/>
    <x v="0"/>
    <x v="0"/>
    <x v="0"/>
    <x v="0"/>
  </r>
  <r>
    <x v="0"/>
    <x v="107"/>
    <x v="0"/>
    <x v="10"/>
    <x v="0"/>
    <x v="0"/>
    <x v="0"/>
    <x v="61"/>
    <x v="62"/>
    <x v="0"/>
    <x v="0"/>
    <x v="0"/>
    <x v="0"/>
    <x v="0"/>
    <x v="0"/>
    <x v="61"/>
    <x v="0"/>
    <x v="0"/>
    <x v="0"/>
    <x v="0"/>
    <x v="61"/>
    <x v="62"/>
    <x v="0"/>
    <x v="0"/>
    <x v="0"/>
    <x v="0"/>
    <x v="0"/>
    <x v="0"/>
    <x v="0"/>
    <x v="0"/>
    <x v="0"/>
    <x v="65"/>
    <x v="63"/>
    <x v="0"/>
    <x v="61"/>
    <x v="63"/>
    <x v="1"/>
    <x v="0"/>
    <x v="64"/>
    <x v="1"/>
    <x v="0"/>
    <x v="1"/>
    <x v="0"/>
    <x v="0"/>
    <x v="0"/>
    <x v="0"/>
    <x v="0"/>
    <x v="0"/>
    <x v="0"/>
    <x v="63"/>
    <x v="0"/>
    <x v="1"/>
    <x v="63"/>
    <x v="0"/>
    <x v="0"/>
    <x v="48"/>
    <x v="0"/>
    <x v="47"/>
    <x v="1"/>
    <x v="64"/>
    <x v="0"/>
    <x v="0"/>
    <x v="1"/>
    <x v="0"/>
    <x v="11"/>
    <x v="107"/>
    <x v="107"/>
    <x v="0"/>
    <x v="0"/>
    <x v="0"/>
    <x v="63"/>
    <x v="0"/>
    <x v="0"/>
    <x v="0"/>
    <x v="0"/>
    <x v="47"/>
    <x v="0"/>
    <x v="0"/>
    <x v="0"/>
    <x v="9"/>
    <x v="0"/>
    <x v="6"/>
    <x v="6"/>
    <x v="65"/>
    <x v="0"/>
    <x v="0"/>
    <x v="0"/>
    <x v="0"/>
    <x v="88"/>
    <x v="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7"/>
    <x v="62"/>
    <x v="0"/>
    <x v="0"/>
    <x v="0"/>
    <x v="0"/>
    <x v="0"/>
    <x v="0"/>
  </r>
  <r>
    <x v="0"/>
    <x v="108"/>
    <x v="2"/>
    <x v="10"/>
    <x v="0"/>
    <x v="0"/>
    <x v="0"/>
    <x v="93"/>
    <x v="95"/>
    <x v="0"/>
    <x v="0"/>
    <x v="0"/>
    <x v="18"/>
    <x v="3"/>
    <x v="0"/>
    <x v="93"/>
    <x v="6"/>
    <x v="0"/>
    <x v="0"/>
    <x v="0"/>
    <x v="93"/>
    <x v="95"/>
    <x v="0"/>
    <x v="3"/>
    <x v="0"/>
    <x v="0"/>
    <x v="0"/>
    <x v="0"/>
    <x v="0"/>
    <x v="0"/>
    <x v="0"/>
    <x v="64"/>
    <x v="94"/>
    <x v="0"/>
    <x v="93"/>
    <x v="94"/>
    <x v="1"/>
    <x v="0"/>
    <x v="101"/>
    <x v="4"/>
    <x v="0"/>
    <x v="4"/>
    <x v="0"/>
    <x v="0"/>
    <x v="18"/>
    <x v="0"/>
    <x v="0"/>
    <x v="0"/>
    <x v="0"/>
    <x v="94"/>
    <x v="0"/>
    <x v="4"/>
    <x v="94"/>
    <x v="0"/>
    <x v="0"/>
    <x v="73"/>
    <x v="1"/>
    <x v="7"/>
    <x v="1"/>
    <x v="101"/>
    <x v="0"/>
    <x v="6"/>
    <x v="4"/>
    <x v="0"/>
    <x v="11"/>
    <x v="108"/>
    <x v="108"/>
    <x v="0"/>
    <x v="0"/>
    <x v="0"/>
    <x v="94"/>
    <x v="0"/>
    <x v="0"/>
    <x v="0"/>
    <x v="0"/>
    <x v="7"/>
    <x v="0"/>
    <x v="0"/>
    <x v="0"/>
    <x v="9"/>
    <x v="0"/>
    <x v="40"/>
    <x v="40"/>
    <x v="64"/>
    <x v="0"/>
    <x v="0"/>
    <x v="0"/>
    <x v="0"/>
    <x v="87"/>
    <x v="7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76"/>
    <x v="61"/>
    <x v="0"/>
    <x v="0"/>
    <x v="0"/>
    <x v="0"/>
    <x v="0"/>
    <x v="47"/>
  </r>
  <r>
    <x v="0"/>
    <x v="109"/>
    <x v="0"/>
    <x v="0"/>
    <x v="0"/>
    <x v="0"/>
    <x v="0"/>
    <x v="94"/>
    <x v="96"/>
    <x v="0"/>
    <x v="0"/>
    <x v="0"/>
    <x v="12"/>
    <x v="5"/>
    <x v="0"/>
    <x v="94"/>
    <x v="15"/>
    <x v="0"/>
    <x v="0"/>
    <x v="0"/>
    <x v="94"/>
    <x v="96"/>
    <x v="0"/>
    <x v="0"/>
    <x v="0"/>
    <x v="0"/>
    <x v="0"/>
    <x v="0"/>
    <x v="0"/>
    <x v="0"/>
    <x v="0"/>
    <x v="66"/>
    <x v="95"/>
    <x v="0"/>
    <x v="94"/>
    <x v="95"/>
    <x v="1"/>
    <x v="0"/>
    <x v="102"/>
    <x v="0"/>
    <x v="0"/>
    <x v="0"/>
    <x v="0"/>
    <x v="0"/>
    <x v="12"/>
    <x v="0"/>
    <x v="0"/>
    <x v="0"/>
    <x v="0"/>
    <x v="95"/>
    <x v="0"/>
    <x v="0"/>
    <x v="95"/>
    <x v="0"/>
    <x v="0"/>
    <x v="74"/>
    <x v="0"/>
    <x v="73"/>
    <x v="1"/>
    <x v="102"/>
    <x v="0"/>
    <x v="0"/>
    <x v="0"/>
    <x v="0"/>
    <x v="11"/>
    <x v="109"/>
    <x v="109"/>
    <x v="0"/>
    <x v="0"/>
    <x v="0"/>
    <x v="95"/>
    <x v="0"/>
    <x v="0"/>
    <x v="0"/>
    <x v="0"/>
    <x v="73"/>
    <x v="0"/>
    <x v="0"/>
    <x v="0"/>
    <x v="0"/>
    <x v="0"/>
    <x v="41"/>
    <x v="41"/>
    <x v="66"/>
    <x v="0"/>
    <x v="0"/>
    <x v="0"/>
    <x v="0"/>
    <x v="89"/>
    <x v="7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8"/>
    <x v="63"/>
    <x v="0"/>
    <x v="0"/>
    <x v="0"/>
    <x v="0"/>
    <x v="0"/>
    <x v="0"/>
  </r>
  <r>
    <x v="0"/>
    <x v="110"/>
    <x v="0"/>
    <x v="10"/>
    <x v="0"/>
    <x v="0"/>
    <x v="0"/>
    <x v="95"/>
    <x v="97"/>
    <x v="0"/>
    <x v="0"/>
    <x v="0"/>
    <x v="12"/>
    <x v="1"/>
    <x v="0"/>
    <x v="95"/>
    <x v="11"/>
    <x v="0"/>
    <x v="0"/>
    <x v="0"/>
    <x v="95"/>
    <x v="97"/>
    <x v="0"/>
    <x v="0"/>
    <x v="0"/>
    <x v="0"/>
    <x v="0"/>
    <x v="0"/>
    <x v="0"/>
    <x v="0"/>
    <x v="0"/>
    <x v="67"/>
    <x v="96"/>
    <x v="0"/>
    <x v="95"/>
    <x v="96"/>
    <x v="1"/>
    <x v="0"/>
    <x v="103"/>
    <x v="0"/>
    <x v="0"/>
    <x v="0"/>
    <x v="0"/>
    <x v="0"/>
    <x v="12"/>
    <x v="0"/>
    <x v="0"/>
    <x v="0"/>
    <x v="0"/>
    <x v="96"/>
    <x v="0"/>
    <x v="0"/>
    <x v="96"/>
    <x v="0"/>
    <x v="0"/>
    <x v="75"/>
    <x v="0"/>
    <x v="74"/>
    <x v="1"/>
    <x v="103"/>
    <x v="0"/>
    <x v="0"/>
    <x v="1"/>
    <x v="0"/>
    <x v="11"/>
    <x v="110"/>
    <x v="110"/>
    <x v="0"/>
    <x v="0"/>
    <x v="0"/>
    <x v="96"/>
    <x v="0"/>
    <x v="0"/>
    <x v="0"/>
    <x v="0"/>
    <x v="74"/>
    <x v="0"/>
    <x v="0"/>
    <x v="0"/>
    <x v="9"/>
    <x v="0"/>
    <x v="42"/>
    <x v="42"/>
    <x v="67"/>
    <x v="0"/>
    <x v="0"/>
    <x v="0"/>
    <x v="0"/>
    <x v="90"/>
    <x v="7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6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68"/>
    <x v="97"/>
    <x v="0"/>
    <x v="7"/>
    <x v="97"/>
    <x v="1"/>
    <x v="0"/>
    <x v="104"/>
    <x v="0"/>
    <x v="1"/>
    <x v="0"/>
    <x v="1"/>
    <x v="0"/>
    <x v="3"/>
    <x v="0"/>
    <x v="0"/>
    <x v="0"/>
    <x v="0"/>
    <x v="97"/>
    <x v="1"/>
    <x v="0"/>
    <x v="97"/>
    <x v="0"/>
    <x v="0"/>
    <x v="76"/>
    <x v="0"/>
    <x v="75"/>
    <x v="1"/>
    <x v="104"/>
    <x v="1"/>
    <x v="3"/>
    <x v="3"/>
    <x v="1"/>
    <x v="1"/>
    <x v="9"/>
    <x v="9"/>
    <x v="0"/>
    <x v="0"/>
    <x v="1"/>
    <x v="97"/>
    <x v="0"/>
    <x v="0"/>
    <x v="0"/>
    <x v="1"/>
    <x v="75"/>
    <x v="0"/>
    <x v="1"/>
    <x v="1"/>
    <x v="9"/>
    <x v="0"/>
    <x v="42"/>
    <x v="42"/>
    <x v="68"/>
    <x v="0"/>
    <x v="1"/>
    <x v="0"/>
    <x v="0"/>
    <x v="5"/>
    <x v="75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111"/>
    <x v="0"/>
    <x v="10"/>
    <x v="0"/>
    <x v="0"/>
    <x v="0"/>
    <x v="96"/>
    <x v="98"/>
    <x v="0"/>
    <x v="0"/>
    <x v="0"/>
    <x v="15"/>
    <x v="0"/>
    <x v="0"/>
    <x v="96"/>
    <x v="14"/>
    <x v="0"/>
    <x v="0"/>
    <x v="0"/>
    <x v="96"/>
    <x v="98"/>
    <x v="0"/>
    <x v="0"/>
    <x v="0"/>
    <x v="0"/>
    <x v="0"/>
    <x v="0"/>
    <x v="0"/>
    <x v="0"/>
    <x v="0"/>
    <x v="69"/>
    <x v="98"/>
    <x v="0"/>
    <x v="96"/>
    <x v="98"/>
    <x v="1"/>
    <x v="0"/>
    <x v="105"/>
    <x v="0"/>
    <x v="0"/>
    <x v="0"/>
    <x v="0"/>
    <x v="0"/>
    <x v="15"/>
    <x v="0"/>
    <x v="0"/>
    <x v="0"/>
    <x v="0"/>
    <x v="98"/>
    <x v="0"/>
    <x v="0"/>
    <x v="98"/>
    <x v="0"/>
    <x v="0"/>
    <x v="77"/>
    <x v="0"/>
    <x v="76"/>
    <x v="1"/>
    <x v="105"/>
    <x v="0"/>
    <x v="9"/>
    <x v="1"/>
    <x v="0"/>
    <x v="11"/>
    <x v="111"/>
    <x v="111"/>
    <x v="0"/>
    <x v="0"/>
    <x v="0"/>
    <x v="98"/>
    <x v="0"/>
    <x v="0"/>
    <x v="0"/>
    <x v="0"/>
    <x v="76"/>
    <x v="0"/>
    <x v="0"/>
    <x v="0"/>
    <x v="9"/>
    <x v="0"/>
    <x v="33"/>
    <x v="33"/>
    <x v="69"/>
    <x v="0"/>
    <x v="0"/>
    <x v="0"/>
    <x v="0"/>
    <x v="91"/>
    <x v="7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9"/>
    <x v="65"/>
    <x v="0"/>
    <x v="0"/>
    <x v="0"/>
    <x v="0"/>
    <x v="0"/>
    <x v="0"/>
  </r>
  <r>
    <x v="0"/>
    <x v="112"/>
    <x v="0"/>
    <x v="11"/>
    <x v="0"/>
    <x v="0"/>
    <x v="0"/>
    <x v="97"/>
    <x v="99"/>
    <x v="0"/>
    <x v="0"/>
    <x v="0"/>
    <x v="0"/>
    <x v="0"/>
    <x v="0"/>
    <x v="97"/>
    <x v="0"/>
    <x v="0"/>
    <x v="0"/>
    <x v="0"/>
    <x v="97"/>
    <x v="99"/>
    <x v="0"/>
    <x v="0"/>
    <x v="0"/>
    <x v="0"/>
    <x v="0"/>
    <x v="0"/>
    <x v="0"/>
    <x v="0"/>
    <x v="0"/>
    <x v="70"/>
    <x v="99"/>
    <x v="0"/>
    <x v="97"/>
    <x v="99"/>
    <x v="43"/>
    <x v="0"/>
    <x v="106"/>
    <x v="0"/>
    <x v="0"/>
    <x v="0"/>
    <x v="0"/>
    <x v="0"/>
    <x v="0"/>
    <x v="0"/>
    <x v="0"/>
    <x v="0"/>
    <x v="0"/>
    <x v="99"/>
    <x v="0"/>
    <x v="0"/>
    <x v="99"/>
    <x v="0"/>
    <x v="0"/>
    <x v="78"/>
    <x v="0"/>
    <x v="77"/>
    <x v="43"/>
    <x v="106"/>
    <x v="0"/>
    <x v="0"/>
    <x v="0"/>
    <x v="0"/>
    <x v="12"/>
    <x v="112"/>
    <x v="112"/>
    <x v="0"/>
    <x v="0"/>
    <x v="0"/>
    <x v="99"/>
    <x v="0"/>
    <x v="0"/>
    <x v="0"/>
    <x v="0"/>
    <x v="77"/>
    <x v="0"/>
    <x v="0"/>
    <x v="0"/>
    <x v="10"/>
    <x v="0"/>
    <x v="38"/>
    <x v="38"/>
    <x v="70"/>
    <x v="0"/>
    <x v="0"/>
    <x v="0"/>
    <x v="0"/>
    <x v="92"/>
    <x v="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0"/>
    <x v="66"/>
    <x v="0"/>
    <x v="0"/>
    <x v="0"/>
    <x v="0"/>
    <x v="0"/>
    <x v="0"/>
  </r>
  <r>
    <x v="0"/>
    <x v="113"/>
    <x v="0"/>
    <x v="11"/>
    <x v="0"/>
    <x v="0"/>
    <x v="0"/>
    <x v="98"/>
    <x v="100"/>
    <x v="0"/>
    <x v="0"/>
    <x v="0"/>
    <x v="0"/>
    <x v="0"/>
    <x v="0"/>
    <x v="98"/>
    <x v="0"/>
    <x v="0"/>
    <x v="0"/>
    <x v="0"/>
    <x v="98"/>
    <x v="100"/>
    <x v="0"/>
    <x v="0"/>
    <x v="0"/>
    <x v="0"/>
    <x v="0"/>
    <x v="0"/>
    <x v="0"/>
    <x v="0"/>
    <x v="0"/>
    <x v="70"/>
    <x v="100"/>
    <x v="0"/>
    <x v="98"/>
    <x v="100"/>
    <x v="1"/>
    <x v="0"/>
    <x v="107"/>
    <x v="1"/>
    <x v="0"/>
    <x v="1"/>
    <x v="0"/>
    <x v="0"/>
    <x v="0"/>
    <x v="0"/>
    <x v="0"/>
    <x v="0"/>
    <x v="0"/>
    <x v="100"/>
    <x v="0"/>
    <x v="1"/>
    <x v="100"/>
    <x v="0"/>
    <x v="0"/>
    <x v="79"/>
    <x v="0"/>
    <x v="78"/>
    <x v="1"/>
    <x v="107"/>
    <x v="0"/>
    <x v="0"/>
    <x v="1"/>
    <x v="0"/>
    <x v="12"/>
    <x v="113"/>
    <x v="113"/>
    <x v="0"/>
    <x v="0"/>
    <x v="0"/>
    <x v="100"/>
    <x v="0"/>
    <x v="0"/>
    <x v="0"/>
    <x v="0"/>
    <x v="78"/>
    <x v="0"/>
    <x v="0"/>
    <x v="0"/>
    <x v="10"/>
    <x v="0"/>
    <x v="38"/>
    <x v="38"/>
    <x v="70"/>
    <x v="0"/>
    <x v="0"/>
    <x v="0"/>
    <x v="0"/>
    <x v="92"/>
    <x v="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0"/>
    <x v="66"/>
    <x v="0"/>
    <x v="0"/>
    <x v="0"/>
    <x v="0"/>
    <x v="0"/>
    <x v="0"/>
  </r>
  <r>
    <x v="0"/>
    <x v="114"/>
    <x v="0"/>
    <x v="11"/>
    <x v="0"/>
    <x v="0"/>
    <x v="0"/>
    <x v="99"/>
    <x v="101"/>
    <x v="0"/>
    <x v="0"/>
    <x v="0"/>
    <x v="15"/>
    <x v="0"/>
    <x v="0"/>
    <x v="99"/>
    <x v="14"/>
    <x v="0"/>
    <x v="0"/>
    <x v="0"/>
    <x v="99"/>
    <x v="101"/>
    <x v="0"/>
    <x v="0"/>
    <x v="0"/>
    <x v="0"/>
    <x v="0"/>
    <x v="0"/>
    <x v="0"/>
    <x v="0"/>
    <x v="0"/>
    <x v="71"/>
    <x v="101"/>
    <x v="0"/>
    <x v="99"/>
    <x v="101"/>
    <x v="1"/>
    <x v="0"/>
    <x v="108"/>
    <x v="2"/>
    <x v="0"/>
    <x v="2"/>
    <x v="0"/>
    <x v="0"/>
    <x v="15"/>
    <x v="0"/>
    <x v="0"/>
    <x v="0"/>
    <x v="0"/>
    <x v="101"/>
    <x v="0"/>
    <x v="2"/>
    <x v="101"/>
    <x v="0"/>
    <x v="0"/>
    <x v="80"/>
    <x v="0"/>
    <x v="79"/>
    <x v="1"/>
    <x v="108"/>
    <x v="0"/>
    <x v="9"/>
    <x v="8"/>
    <x v="0"/>
    <x v="12"/>
    <x v="114"/>
    <x v="114"/>
    <x v="0"/>
    <x v="0"/>
    <x v="0"/>
    <x v="101"/>
    <x v="0"/>
    <x v="0"/>
    <x v="0"/>
    <x v="0"/>
    <x v="79"/>
    <x v="0"/>
    <x v="0"/>
    <x v="0"/>
    <x v="10"/>
    <x v="0"/>
    <x v="20"/>
    <x v="20"/>
    <x v="71"/>
    <x v="0"/>
    <x v="0"/>
    <x v="0"/>
    <x v="0"/>
    <x v="93"/>
    <x v="7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1"/>
    <x v="67"/>
    <x v="0"/>
    <x v="0"/>
    <x v="0"/>
    <x v="0"/>
    <x v="0"/>
    <x v="48"/>
  </r>
  <r>
    <x v="0"/>
    <x v="115"/>
    <x v="0"/>
    <x v="11"/>
    <x v="0"/>
    <x v="0"/>
    <x v="0"/>
    <x v="100"/>
    <x v="102"/>
    <x v="0"/>
    <x v="0"/>
    <x v="0"/>
    <x v="0"/>
    <x v="0"/>
    <x v="0"/>
    <x v="100"/>
    <x v="0"/>
    <x v="0"/>
    <x v="0"/>
    <x v="0"/>
    <x v="100"/>
    <x v="102"/>
    <x v="0"/>
    <x v="0"/>
    <x v="0"/>
    <x v="0"/>
    <x v="0"/>
    <x v="0"/>
    <x v="0"/>
    <x v="0"/>
    <x v="0"/>
    <x v="72"/>
    <x v="102"/>
    <x v="0"/>
    <x v="100"/>
    <x v="102"/>
    <x v="1"/>
    <x v="0"/>
    <x v="109"/>
    <x v="2"/>
    <x v="0"/>
    <x v="2"/>
    <x v="0"/>
    <x v="0"/>
    <x v="0"/>
    <x v="0"/>
    <x v="0"/>
    <x v="0"/>
    <x v="0"/>
    <x v="102"/>
    <x v="0"/>
    <x v="2"/>
    <x v="102"/>
    <x v="0"/>
    <x v="0"/>
    <x v="81"/>
    <x v="0"/>
    <x v="80"/>
    <x v="1"/>
    <x v="109"/>
    <x v="0"/>
    <x v="10"/>
    <x v="0"/>
    <x v="0"/>
    <x v="12"/>
    <x v="115"/>
    <x v="115"/>
    <x v="0"/>
    <x v="0"/>
    <x v="0"/>
    <x v="102"/>
    <x v="0"/>
    <x v="0"/>
    <x v="0"/>
    <x v="0"/>
    <x v="80"/>
    <x v="0"/>
    <x v="0"/>
    <x v="0"/>
    <x v="10"/>
    <x v="0"/>
    <x v="43"/>
    <x v="43"/>
    <x v="72"/>
    <x v="0"/>
    <x v="0"/>
    <x v="0"/>
    <x v="0"/>
    <x v="94"/>
    <x v="8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2"/>
    <x v="68"/>
    <x v="0"/>
    <x v="0"/>
    <x v="0"/>
    <x v="0"/>
    <x v="0"/>
    <x v="49"/>
  </r>
  <r>
    <x v="0"/>
    <x v="116"/>
    <x v="0"/>
    <x v="10"/>
    <x v="0"/>
    <x v="0"/>
    <x v="0"/>
    <x v="101"/>
    <x v="103"/>
    <x v="0"/>
    <x v="0"/>
    <x v="0"/>
    <x v="1"/>
    <x v="0"/>
    <x v="0"/>
    <x v="101"/>
    <x v="2"/>
    <x v="0"/>
    <x v="0"/>
    <x v="0"/>
    <x v="101"/>
    <x v="103"/>
    <x v="0"/>
    <x v="0"/>
    <x v="0"/>
    <x v="0"/>
    <x v="0"/>
    <x v="2"/>
    <x v="0"/>
    <x v="0"/>
    <x v="0"/>
    <x v="73"/>
    <x v="103"/>
    <x v="0"/>
    <x v="101"/>
    <x v="103"/>
    <x v="1"/>
    <x v="0"/>
    <x v="110"/>
    <x v="2"/>
    <x v="0"/>
    <x v="2"/>
    <x v="0"/>
    <x v="0"/>
    <x v="1"/>
    <x v="0"/>
    <x v="0"/>
    <x v="0"/>
    <x v="0"/>
    <x v="103"/>
    <x v="0"/>
    <x v="2"/>
    <x v="103"/>
    <x v="0"/>
    <x v="0"/>
    <x v="82"/>
    <x v="0"/>
    <x v="81"/>
    <x v="1"/>
    <x v="110"/>
    <x v="0"/>
    <x v="1"/>
    <x v="2"/>
    <x v="0"/>
    <x v="12"/>
    <x v="116"/>
    <x v="116"/>
    <x v="0"/>
    <x v="0"/>
    <x v="0"/>
    <x v="103"/>
    <x v="0"/>
    <x v="0"/>
    <x v="0"/>
    <x v="0"/>
    <x v="81"/>
    <x v="0"/>
    <x v="0"/>
    <x v="0"/>
    <x v="9"/>
    <x v="0"/>
    <x v="27"/>
    <x v="27"/>
    <x v="73"/>
    <x v="0"/>
    <x v="0"/>
    <x v="0"/>
    <x v="0"/>
    <x v="95"/>
    <x v="8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3"/>
    <x v="69"/>
    <x v="0"/>
    <x v="0"/>
    <x v="0"/>
    <x v="0"/>
    <x v="0"/>
    <x v="50"/>
  </r>
  <r>
    <x v="0"/>
    <x v="117"/>
    <x v="0"/>
    <x v="12"/>
    <x v="0"/>
    <x v="0"/>
    <x v="0"/>
    <x v="102"/>
    <x v="104"/>
    <x v="0"/>
    <x v="0"/>
    <x v="0"/>
    <x v="0"/>
    <x v="0"/>
    <x v="0"/>
    <x v="102"/>
    <x v="16"/>
    <x v="0"/>
    <x v="0"/>
    <x v="0"/>
    <x v="102"/>
    <x v="104"/>
    <x v="0"/>
    <x v="0"/>
    <x v="0"/>
    <x v="0"/>
    <x v="0"/>
    <x v="0"/>
    <x v="0"/>
    <x v="0"/>
    <x v="0"/>
    <x v="74"/>
    <x v="104"/>
    <x v="0"/>
    <x v="102"/>
    <x v="104"/>
    <x v="44"/>
    <x v="0"/>
    <x v="111"/>
    <x v="0"/>
    <x v="0"/>
    <x v="0"/>
    <x v="0"/>
    <x v="0"/>
    <x v="0"/>
    <x v="0"/>
    <x v="0"/>
    <x v="0"/>
    <x v="0"/>
    <x v="104"/>
    <x v="0"/>
    <x v="0"/>
    <x v="104"/>
    <x v="0"/>
    <x v="0"/>
    <x v="83"/>
    <x v="0"/>
    <x v="82"/>
    <x v="44"/>
    <x v="111"/>
    <x v="0"/>
    <x v="10"/>
    <x v="0"/>
    <x v="0"/>
    <x v="12"/>
    <x v="117"/>
    <x v="117"/>
    <x v="0"/>
    <x v="0"/>
    <x v="0"/>
    <x v="104"/>
    <x v="0"/>
    <x v="0"/>
    <x v="0"/>
    <x v="0"/>
    <x v="82"/>
    <x v="0"/>
    <x v="0"/>
    <x v="0"/>
    <x v="11"/>
    <x v="0"/>
    <x v="44"/>
    <x v="44"/>
    <x v="74"/>
    <x v="0"/>
    <x v="0"/>
    <x v="0"/>
    <x v="0"/>
    <x v="96"/>
    <x v="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4"/>
    <x v="70"/>
    <x v="0"/>
    <x v="0"/>
    <x v="0"/>
    <x v="0"/>
    <x v="0"/>
    <x v="0"/>
  </r>
  <r>
    <x v="0"/>
    <x v="118"/>
    <x v="0"/>
    <x v="12"/>
    <x v="0"/>
    <x v="0"/>
    <x v="0"/>
    <x v="103"/>
    <x v="105"/>
    <x v="0"/>
    <x v="0"/>
    <x v="0"/>
    <x v="0"/>
    <x v="0"/>
    <x v="0"/>
    <x v="103"/>
    <x v="16"/>
    <x v="0"/>
    <x v="0"/>
    <x v="0"/>
    <x v="103"/>
    <x v="105"/>
    <x v="0"/>
    <x v="0"/>
    <x v="0"/>
    <x v="0"/>
    <x v="0"/>
    <x v="0"/>
    <x v="0"/>
    <x v="0"/>
    <x v="0"/>
    <x v="74"/>
    <x v="105"/>
    <x v="0"/>
    <x v="103"/>
    <x v="105"/>
    <x v="1"/>
    <x v="0"/>
    <x v="112"/>
    <x v="1"/>
    <x v="0"/>
    <x v="1"/>
    <x v="0"/>
    <x v="0"/>
    <x v="0"/>
    <x v="0"/>
    <x v="0"/>
    <x v="0"/>
    <x v="0"/>
    <x v="105"/>
    <x v="0"/>
    <x v="1"/>
    <x v="105"/>
    <x v="0"/>
    <x v="0"/>
    <x v="84"/>
    <x v="0"/>
    <x v="83"/>
    <x v="1"/>
    <x v="112"/>
    <x v="0"/>
    <x v="10"/>
    <x v="0"/>
    <x v="0"/>
    <x v="12"/>
    <x v="118"/>
    <x v="118"/>
    <x v="0"/>
    <x v="0"/>
    <x v="0"/>
    <x v="105"/>
    <x v="0"/>
    <x v="0"/>
    <x v="0"/>
    <x v="0"/>
    <x v="83"/>
    <x v="0"/>
    <x v="0"/>
    <x v="0"/>
    <x v="11"/>
    <x v="0"/>
    <x v="44"/>
    <x v="44"/>
    <x v="74"/>
    <x v="0"/>
    <x v="0"/>
    <x v="0"/>
    <x v="0"/>
    <x v="96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4"/>
    <x v="70"/>
    <x v="0"/>
    <x v="0"/>
    <x v="0"/>
    <x v="0"/>
    <x v="0"/>
    <x v="0"/>
  </r>
  <r>
    <x v="0"/>
    <x v="119"/>
    <x v="0"/>
    <x v="11"/>
    <x v="0"/>
    <x v="0"/>
    <x v="0"/>
    <x v="104"/>
    <x v="106"/>
    <x v="0"/>
    <x v="0"/>
    <x v="0"/>
    <x v="0"/>
    <x v="0"/>
    <x v="0"/>
    <x v="104"/>
    <x v="16"/>
    <x v="0"/>
    <x v="0"/>
    <x v="0"/>
    <x v="104"/>
    <x v="106"/>
    <x v="0"/>
    <x v="0"/>
    <x v="0"/>
    <x v="0"/>
    <x v="0"/>
    <x v="0"/>
    <x v="0"/>
    <x v="0"/>
    <x v="0"/>
    <x v="75"/>
    <x v="106"/>
    <x v="0"/>
    <x v="104"/>
    <x v="106"/>
    <x v="1"/>
    <x v="0"/>
    <x v="113"/>
    <x v="2"/>
    <x v="0"/>
    <x v="2"/>
    <x v="0"/>
    <x v="0"/>
    <x v="0"/>
    <x v="0"/>
    <x v="0"/>
    <x v="0"/>
    <x v="0"/>
    <x v="106"/>
    <x v="0"/>
    <x v="2"/>
    <x v="106"/>
    <x v="0"/>
    <x v="0"/>
    <x v="85"/>
    <x v="0"/>
    <x v="84"/>
    <x v="1"/>
    <x v="113"/>
    <x v="0"/>
    <x v="10"/>
    <x v="0"/>
    <x v="0"/>
    <x v="12"/>
    <x v="119"/>
    <x v="119"/>
    <x v="0"/>
    <x v="0"/>
    <x v="0"/>
    <x v="106"/>
    <x v="0"/>
    <x v="0"/>
    <x v="0"/>
    <x v="0"/>
    <x v="84"/>
    <x v="0"/>
    <x v="0"/>
    <x v="0"/>
    <x v="10"/>
    <x v="0"/>
    <x v="45"/>
    <x v="45"/>
    <x v="75"/>
    <x v="0"/>
    <x v="0"/>
    <x v="0"/>
    <x v="0"/>
    <x v="97"/>
    <x v="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4"/>
    <x v="70"/>
    <x v="0"/>
    <x v="0"/>
    <x v="0"/>
    <x v="0"/>
    <x v="0"/>
    <x v="51"/>
  </r>
  <r>
    <x v="0"/>
    <x v="120"/>
    <x v="0"/>
    <x v="11"/>
    <x v="0"/>
    <x v="0"/>
    <x v="0"/>
    <x v="105"/>
    <x v="107"/>
    <x v="0"/>
    <x v="0"/>
    <x v="0"/>
    <x v="12"/>
    <x v="1"/>
    <x v="0"/>
    <x v="105"/>
    <x v="3"/>
    <x v="0"/>
    <x v="0"/>
    <x v="0"/>
    <x v="105"/>
    <x v="107"/>
    <x v="0"/>
    <x v="0"/>
    <x v="0"/>
    <x v="0"/>
    <x v="0"/>
    <x v="0"/>
    <x v="0"/>
    <x v="0"/>
    <x v="0"/>
    <x v="76"/>
    <x v="107"/>
    <x v="0"/>
    <x v="105"/>
    <x v="107"/>
    <x v="1"/>
    <x v="0"/>
    <x v="114"/>
    <x v="0"/>
    <x v="0"/>
    <x v="0"/>
    <x v="0"/>
    <x v="0"/>
    <x v="12"/>
    <x v="0"/>
    <x v="0"/>
    <x v="0"/>
    <x v="0"/>
    <x v="107"/>
    <x v="0"/>
    <x v="0"/>
    <x v="107"/>
    <x v="0"/>
    <x v="0"/>
    <x v="86"/>
    <x v="0"/>
    <x v="85"/>
    <x v="1"/>
    <x v="114"/>
    <x v="0"/>
    <x v="11"/>
    <x v="9"/>
    <x v="0"/>
    <x v="12"/>
    <x v="120"/>
    <x v="120"/>
    <x v="0"/>
    <x v="0"/>
    <x v="0"/>
    <x v="107"/>
    <x v="0"/>
    <x v="0"/>
    <x v="0"/>
    <x v="0"/>
    <x v="85"/>
    <x v="0"/>
    <x v="0"/>
    <x v="0"/>
    <x v="10"/>
    <x v="0"/>
    <x v="46"/>
    <x v="46"/>
    <x v="76"/>
    <x v="0"/>
    <x v="0"/>
    <x v="0"/>
    <x v="0"/>
    <x v="98"/>
    <x v="8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5"/>
    <x v="71"/>
    <x v="0"/>
    <x v="0"/>
    <x v="0"/>
    <x v="0"/>
    <x v="0"/>
    <x v="0"/>
  </r>
  <r>
    <x v="0"/>
    <x v="121"/>
    <x v="0"/>
    <x v="11"/>
    <x v="0"/>
    <x v="0"/>
    <x v="0"/>
    <x v="106"/>
    <x v="108"/>
    <x v="0"/>
    <x v="0"/>
    <x v="0"/>
    <x v="1"/>
    <x v="0"/>
    <x v="0"/>
    <x v="106"/>
    <x v="2"/>
    <x v="0"/>
    <x v="0"/>
    <x v="0"/>
    <x v="106"/>
    <x v="108"/>
    <x v="0"/>
    <x v="0"/>
    <x v="0"/>
    <x v="0"/>
    <x v="0"/>
    <x v="0"/>
    <x v="0"/>
    <x v="0"/>
    <x v="0"/>
    <x v="77"/>
    <x v="108"/>
    <x v="0"/>
    <x v="106"/>
    <x v="108"/>
    <x v="45"/>
    <x v="0"/>
    <x v="115"/>
    <x v="0"/>
    <x v="0"/>
    <x v="0"/>
    <x v="0"/>
    <x v="0"/>
    <x v="1"/>
    <x v="0"/>
    <x v="0"/>
    <x v="0"/>
    <x v="0"/>
    <x v="108"/>
    <x v="0"/>
    <x v="0"/>
    <x v="108"/>
    <x v="0"/>
    <x v="0"/>
    <x v="87"/>
    <x v="0"/>
    <x v="86"/>
    <x v="45"/>
    <x v="115"/>
    <x v="0"/>
    <x v="1"/>
    <x v="0"/>
    <x v="0"/>
    <x v="12"/>
    <x v="121"/>
    <x v="121"/>
    <x v="0"/>
    <x v="0"/>
    <x v="0"/>
    <x v="108"/>
    <x v="0"/>
    <x v="0"/>
    <x v="0"/>
    <x v="0"/>
    <x v="86"/>
    <x v="0"/>
    <x v="0"/>
    <x v="0"/>
    <x v="10"/>
    <x v="0"/>
    <x v="47"/>
    <x v="47"/>
    <x v="77"/>
    <x v="0"/>
    <x v="0"/>
    <x v="0"/>
    <x v="0"/>
    <x v="99"/>
    <x v="8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6"/>
    <x v="72"/>
    <x v="0"/>
    <x v="0"/>
    <x v="0"/>
    <x v="0"/>
    <x v="0"/>
    <x v="0"/>
  </r>
  <r>
    <x v="0"/>
    <x v="122"/>
    <x v="0"/>
    <x v="11"/>
    <x v="0"/>
    <x v="0"/>
    <x v="0"/>
    <x v="107"/>
    <x v="109"/>
    <x v="0"/>
    <x v="0"/>
    <x v="0"/>
    <x v="1"/>
    <x v="0"/>
    <x v="0"/>
    <x v="107"/>
    <x v="2"/>
    <x v="0"/>
    <x v="0"/>
    <x v="0"/>
    <x v="107"/>
    <x v="109"/>
    <x v="0"/>
    <x v="0"/>
    <x v="0"/>
    <x v="0"/>
    <x v="0"/>
    <x v="0"/>
    <x v="0"/>
    <x v="0"/>
    <x v="0"/>
    <x v="77"/>
    <x v="109"/>
    <x v="0"/>
    <x v="107"/>
    <x v="109"/>
    <x v="1"/>
    <x v="0"/>
    <x v="116"/>
    <x v="1"/>
    <x v="0"/>
    <x v="1"/>
    <x v="0"/>
    <x v="0"/>
    <x v="1"/>
    <x v="0"/>
    <x v="0"/>
    <x v="0"/>
    <x v="0"/>
    <x v="109"/>
    <x v="0"/>
    <x v="1"/>
    <x v="109"/>
    <x v="0"/>
    <x v="0"/>
    <x v="88"/>
    <x v="0"/>
    <x v="87"/>
    <x v="1"/>
    <x v="116"/>
    <x v="0"/>
    <x v="1"/>
    <x v="2"/>
    <x v="0"/>
    <x v="12"/>
    <x v="122"/>
    <x v="122"/>
    <x v="0"/>
    <x v="0"/>
    <x v="0"/>
    <x v="109"/>
    <x v="0"/>
    <x v="0"/>
    <x v="0"/>
    <x v="0"/>
    <x v="87"/>
    <x v="0"/>
    <x v="0"/>
    <x v="0"/>
    <x v="10"/>
    <x v="0"/>
    <x v="47"/>
    <x v="47"/>
    <x v="77"/>
    <x v="0"/>
    <x v="0"/>
    <x v="0"/>
    <x v="0"/>
    <x v="99"/>
    <x v="8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6"/>
    <x v="72"/>
    <x v="0"/>
    <x v="0"/>
    <x v="0"/>
    <x v="0"/>
    <x v="0"/>
    <x v="0"/>
  </r>
  <r>
    <x v="0"/>
    <x v="123"/>
    <x v="0"/>
    <x v="11"/>
    <x v="0"/>
    <x v="0"/>
    <x v="0"/>
    <x v="108"/>
    <x v="110"/>
    <x v="0"/>
    <x v="0"/>
    <x v="0"/>
    <x v="0"/>
    <x v="0"/>
    <x v="0"/>
    <x v="108"/>
    <x v="0"/>
    <x v="0"/>
    <x v="0"/>
    <x v="0"/>
    <x v="108"/>
    <x v="110"/>
    <x v="0"/>
    <x v="0"/>
    <x v="0"/>
    <x v="0"/>
    <x v="0"/>
    <x v="2"/>
    <x v="0"/>
    <x v="0"/>
    <x v="0"/>
    <x v="78"/>
    <x v="110"/>
    <x v="0"/>
    <x v="108"/>
    <x v="110"/>
    <x v="1"/>
    <x v="0"/>
    <x v="117"/>
    <x v="2"/>
    <x v="0"/>
    <x v="2"/>
    <x v="0"/>
    <x v="0"/>
    <x v="0"/>
    <x v="0"/>
    <x v="0"/>
    <x v="0"/>
    <x v="0"/>
    <x v="110"/>
    <x v="0"/>
    <x v="2"/>
    <x v="110"/>
    <x v="0"/>
    <x v="0"/>
    <x v="89"/>
    <x v="0"/>
    <x v="88"/>
    <x v="1"/>
    <x v="117"/>
    <x v="0"/>
    <x v="0"/>
    <x v="1"/>
    <x v="0"/>
    <x v="12"/>
    <x v="123"/>
    <x v="123"/>
    <x v="0"/>
    <x v="0"/>
    <x v="0"/>
    <x v="110"/>
    <x v="0"/>
    <x v="0"/>
    <x v="0"/>
    <x v="0"/>
    <x v="88"/>
    <x v="0"/>
    <x v="0"/>
    <x v="0"/>
    <x v="10"/>
    <x v="0"/>
    <x v="21"/>
    <x v="21"/>
    <x v="78"/>
    <x v="0"/>
    <x v="0"/>
    <x v="0"/>
    <x v="0"/>
    <x v="100"/>
    <x v="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4"/>
    <x v="70"/>
    <x v="0"/>
    <x v="0"/>
    <x v="0"/>
    <x v="0"/>
    <x v="0"/>
    <x v="52"/>
  </r>
  <r>
    <x v="1"/>
    <x v="124"/>
    <x v="2"/>
    <x v="11"/>
    <x v="0"/>
    <x v="0"/>
    <x v="0"/>
    <x v="99"/>
    <x v="101"/>
    <x v="0"/>
    <x v="0"/>
    <x v="0"/>
    <x v="19"/>
    <x v="3"/>
    <x v="0"/>
    <x v="99"/>
    <x v="5"/>
    <x v="0"/>
    <x v="0"/>
    <x v="0"/>
    <x v="99"/>
    <x v="101"/>
    <x v="0"/>
    <x v="3"/>
    <x v="0"/>
    <x v="0"/>
    <x v="0"/>
    <x v="0"/>
    <x v="1"/>
    <x v="1"/>
    <x v="0"/>
    <x v="4"/>
    <x v="101"/>
    <x v="0"/>
    <x v="99"/>
    <x v="101"/>
    <x v="1"/>
    <x v="0"/>
    <x v="108"/>
    <x v="3"/>
    <x v="0"/>
    <x v="3"/>
    <x v="0"/>
    <x v="0"/>
    <x v="19"/>
    <x v="0"/>
    <x v="0"/>
    <x v="0"/>
    <x v="0"/>
    <x v="101"/>
    <x v="0"/>
    <x v="3"/>
    <x v="101"/>
    <x v="0"/>
    <x v="0"/>
    <x v="6"/>
    <x v="1"/>
    <x v="7"/>
    <x v="1"/>
    <x v="108"/>
    <x v="0"/>
    <x v="6"/>
    <x v="4"/>
    <x v="0"/>
    <x v="13"/>
    <x v="124"/>
    <x v="124"/>
    <x v="0"/>
    <x v="0"/>
    <x v="0"/>
    <x v="101"/>
    <x v="0"/>
    <x v="0"/>
    <x v="0"/>
    <x v="0"/>
    <x v="7"/>
    <x v="0"/>
    <x v="0"/>
    <x v="0"/>
    <x v="10"/>
    <x v="0"/>
    <x v="3"/>
    <x v="3"/>
    <x v="4"/>
    <x v="1"/>
    <x v="0"/>
    <x v="0"/>
    <x v="0"/>
    <x v="101"/>
    <x v="7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87"/>
    <x v="4"/>
    <x v="0"/>
    <x v="0"/>
    <x v="0"/>
    <x v="0"/>
    <x v="0"/>
    <x v="0"/>
  </r>
  <r>
    <x v="0"/>
    <x v="125"/>
    <x v="0"/>
    <x v="12"/>
    <x v="0"/>
    <x v="0"/>
    <x v="0"/>
    <x v="109"/>
    <x v="111"/>
    <x v="0"/>
    <x v="0"/>
    <x v="0"/>
    <x v="1"/>
    <x v="0"/>
    <x v="0"/>
    <x v="109"/>
    <x v="2"/>
    <x v="0"/>
    <x v="0"/>
    <x v="0"/>
    <x v="109"/>
    <x v="111"/>
    <x v="0"/>
    <x v="0"/>
    <x v="0"/>
    <x v="0"/>
    <x v="0"/>
    <x v="0"/>
    <x v="0"/>
    <x v="0"/>
    <x v="0"/>
    <x v="79"/>
    <x v="111"/>
    <x v="0"/>
    <x v="109"/>
    <x v="111"/>
    <x v="46"/>
    <x v="0"/>
    <x v="118"/>
    <x v="0"/>
    <x v="0"/>
    <x v="0"/>
    <x v="0"/>
    <x v="0"/>
    <x v="1"/>
    <x v="0"/>
    <x v="0"/>
    <x v="0"/>
    <x v="0"/>
    <x v="111"/>
    <x v="0"/>
    <x v="0"/>
    <x v="111"/>
    <x v="0"/>
    <x v="0"/>
    <x v="90"/>
    <x v="0"/>
    <x v="89"/>
    <x v="46"/>
    <x v="118"/>
    <x v="0"/>
    <x v="1"/>
    <x v="0"/>
    <x v="0"/>
    <x v="13"/>
    <x v="125"/>
    <x v="125"/>
    <x v="0"/>
    <x v="0"/>
    <x v="0"/>
    <x v="111"/>
    <x v="0"/>
    <x v="0"/>
    <x v="0"/>
    <x v="0"/>
    <x v="89"/>
    <x v="0"/>
    <x v="0"/>
    <x v="0"/>
    <x v="11"/>
    <x v="0"/>
    <x v="22"/>
    <x v="22"/>
    <x v="79"/>
    <x v="0"/>
    <x v="0"/>
    <x v="0"/>
    <x v="0"/>
    <x v="102"/>
    <x v="8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8"/>
    <x v="73"/>
    <x v="0"/>
    <x v="0"/>
    <x v="0"/>
    <x v="0"/>
    <x v="0"/>
    <x v="0"/>
  </r>
  <r>
    <x v="0"/>
    <x v="126"/>
    <x v="0"/>
    <x v="12"/>
    <x v="0"/>
    <x v="0"/>
    <x v="0"/>
    <x v="110"/>
    <x v="112"/>
    <x v="0"/>
    <x v="0"/>
    <x v="0"/>
    <x v="1"/>
    <x v="0"/>
    <x v="0"/>
    <x v="110"/>
    <x v="2"/>
    <x v="0"/>
    <x v="0"/>
    <x v="0"/>
    <x v="110"/>
    <x v="112"/>
    <x v="0"/>
    <x v="0"/>
    <x v="0"/>
    <x v="0"/>
    <x v="0"/>
    <x v="0"/>
    <x v="0"/>
    <x v="0"/>
    <x v="0"/>
    <x v="79"/>
    <x v="112"/>
    <x v="0"/>
    <x v="110"/>
    <x v="112"/>
    <x v="1"/>
    <x v="0"/>
    <x v="119"/>
    <x v="1"/>
    <x v="0"/>
    <x v="1"/>
    <x v="0"/>
    <x v="0"/>
    <x v="1"/>
    <x v="0"/>
    <x v="0"/>
    <x v="0"/>
    <x v="0"/>
    <x v="112"/>
    <x v="0"/>
    <x v="1"/>
    <x v="112"/>
    <x v="0"/>
    <x v="0"/>
    <x v="91"/>
    <x v="0"/>
    <x v="90"/>
    <x v="1"/>
    <x v="119"/>
    <x v="0"/>
    <x v="1"/>
    <x v="1"/>
    <x v="0"/>
    <x v="13"/>
    <x v="126"/>
    <x v="126"/>
    <x v="0"/>
    <x v="0"/>
    <x v="0"/>
    <x v="112"/>
    <x v="0"/>
    <x v="0"/>
    <x v="0"/>
    <x v="0"/>
    <x v="90"/>
    <x v="0"/>
    <x v="0"/>
    <x v="0"/>
    <x v="11"/>
    <x v="0"/>
    <x v="22"/>
    <x v="22"/>
    <x v="79"/>
    <x v="0"/>
    <x v="0"/>
    <x v="0"/>
    <x v="0"/>
    <x v="102"/>
    <x v="9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8"/>
    <x v="73"/>
    <x v="0"/>
    <x v="0"/>
    <x v="0"/>
    <x v="0"/>
    <x v="0"/>
    <x v="0"/>
  </r>
  <r>
    <x v="0"/>
    <x v="127"/>
    <x v="0"/>
    <x v="12"/>
    <x v="0"/>
    <x v="0"/>
    <x v="0"/>
    <x v="111"/>
    <x v="113"/>
    <x v="0"/>
    <x v="0"/>
    <x v="0"/>
    <x v="0"/>
    <x v="0"/>
    <x v="0"/>
    <x v="111"/>
    <x v="0"/>
    <x v="0"/>
    <x v="0"/>
    <x v="0"/>
    <x v="111"/>
    <x v="113"/>
    <x v="0"/>
    <x v="0"/>
    <x v="0"/>
    <x v="0"/>
    <x v="0"/>
    <x v="0"/>
    <x v="0"/>
    <x v="0"/>
    <x v="0"/>
    <x v="80"/>
    <x v="113"/>
    <x v="0"/>
    <x v="111"/>
    <x v="113"/>
    <x v="47"/>
    <x v="0"/>
    <x v="120"/>
    <x v="0"/>
    <x v="0"/>
    <x v="0"/>
    <x v="0"/>
    <x v="0"/>
    <x v="0"/>
    <x v="0"/>
    <x v="0"/>
    <x v="0"/>
    <x v="0"/>
    <x v="113"/>
    <x v="0"/>
    <x v="0"/>
    <x v="113"/>
    <x v="0"/>
    <x v="0"/>
    <x v="92"/>
    <x v="0"/>
    <x v="91"/>
    <x v="47"/>
    <x v="120"/>
    <x v="0"/>
    <x v="0"/>
    <x v="0"/>
    <x v="0"/>
    <x v="13"/>
    <x v="127"/>
    <x v="127"/>
    <x v="0"/>
    <x v="0"/>
    <x v="0"/>
    <x v="113"/>
    <x v="0"/>
    <x v="0"/>
    <x v="0"/>
    <x v="0"/>
    <x v="91"/>
    <x v="0"/>
    <x v="0"/>
    <x v="0"/>
    <x v="11"/>
    <x v="0"/>
    <x v="48"/>
    <x v="48"/>
    <x v="80"/>
    <x v="0"/>
    <x v="0"/>
    <x v="0"/>
    <x v="0"/>
    <x v="103"/>
    <x v="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9"/>
    <x v="74"/>
    <x v="0"/>
    <x v="0"/>
    <x v="0"/>
    <x v="0"/>
    <x v="0"/>
    <x v="0"/>
  </r>
  <r>
    <x v="0"/>
    <x v="128"/>
    <x v="0"/>
    <x v="12"/>
    <x v="0"/>
    <x v="0"/>
    <x v="0"/>
    <x v="112"/>
    <x v="114"/>
    <x v="0"/>
    <x v="0"/>
    <x v="0"/>
    <x v="0"/>
    <x v="0"/>
    <x v="0"/>
    <x v="112"/>
    <x v="0"/>
    <x v="0"/>
    <x v="0"/>
    <x v="0"/>
    <x v="112"/>
    <x v="114"/>
    <x v="0"/>
    <x v="0"/>
    <x v="0"/>
    <x v="0"/>
    <x v="0"/>
    <x v="0"/>
    <x v="0"/>
    <x v="0"/>
    <x v="0"/>
    <x v="80"/>
    <x v="114"/>
    <x v="0"/>
    <x v="112"/>
    <x v="114"/>
    <x v="1"/>
    <x v="0"/>
    <x v="121"/>
    <x v="1"/>
    <x v="0"/>
    <x v="1"/>
    <x v="0"/>
    <x v="0"/>
    <x v="0"/>
    <x v="0"/>
    <x v="0"/>
    <x v="0"/>
    <x v="0"/>
    <x v="114"/>
    <x v="0"/>
    <x v="1"/>
    <x v="114"/>
    <x v="0"/>
    <x v="0"/>
    <x v="93"/>
    <x v="0"/>
    <x v="92"/>
    <x v="1"/>
    <x v="121"/>
    <x v="0"/>
    <x v="0"/>
    <x v="1"/>
    <x v="0"/>
    <x v="13"/>
    <x v="128"/>
    <x v="128"/>
    <x v="0"/>
    <x v="0"/>
    <x v="0"/>
    <x v="114"/>
    <x v="0"/>
    <x v="0"/>
    <x v="0"/>
    <x v="0"/>
    <x v="92"/>
    <x v="0"/>
    <x v="0"/>
    <x v="0"/>
    <x v="11"/>
    <x v="0"/>
    <x v="48"/>
    <x v="48"/>
    <x v="80"/>
    <x v="0"/>
    <x v="0"/>
    <x v="0"/>
    <x v="0"/>
    <x v="103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9"/>
    <x v="74"/>
    <x v="0"/>
    <x v="0"/>
    <x v="0"/>
    <x v="0"/>
    <x v="0"/>
    <x v="0"/>
  </r>
  <r>
    <x v="1"/>
    <x v="129"/>
    <x v="0"/>
    <x v="13"/>
    <x v="0"/>
    <x v="0"/>
    <x v="0"/>
    <x v="70"/>
    <x v="71"/>
    <x v="0"/>
    <x v="0"/>
    <x v="0"/>
    <x v="9"/>
    <x v="0"/>
    <x v="0"/>
    <x v="70"/>
    <x v="9"/>
    <x v="0"/>
    <x v="0"/>
    <x v="0"/>
    <x v="70"/>
    <x v="71"/>
    <x v="0"/>
    <x v="3"/>
    <x v="0"/>
    <x v="0"/>
    <x v="0"/>
    <x v="0"/>
    <x v="1"/>
    <x v="1"/>
    <x v="0"/>
    <x v="4"/>
    <x v="72"/>
    <x v="0"/>
    <x v="70"/>
    <x v="72"/>
    <x v="1"/>
    <x v="0"/>
    <x v="73"/>
    <x v="0"/>
    <x v="0"/>
    <x v="0"/>
    <x v="0"/>
    <x v="0"/>
    <x v="9"/>
    <x v="0"/>
    <x v="0"/>
    <x v="0"/>
    <x v="0"/>
    <x v="72"/>
    <x v="0"/>
    <x v="0"/>
    <x v="72"/>
    <x v="0"/>
    <x v="0"/>
    <x v="6"/>
    <x v="1"/>
    <x v="7"/>
    <x v="1"/>
    <x v="73"/>
    <x v="0"/>
    <x v="0"/>
    <x v="1"/>
    <x v="0"/>
    <x v="13"/>
    <x v="129"/>
    <x v="129"/>
    <x v="0"/>
    <x v="0"/>
    <x v="0"/>
    <x v="72"/>
    <x v="0"/>
    <x v="0"/>
    <x v="0"/>
    <x v="0"/>
    <x v="7"/>
    <x v="0"/>
    <x v="0"/>
    <x v="0"/>
    <x v="12"/>
    <x v="0"/>
    <x v="3"/>
    <x v="3"/>
    <x v="4"/>
    <x v="1"/>
    <x v="0"/>
    <x v="0"/>
    <x v="0"/>
    <x v="104"/>
    <x v="7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130"/>
    <x v="0"/>
    <x v="13"/>
    <x v="0"/>
    <x v="0"/>
    <x v="0"/>
    <x v="113"/>
    <x v="115"/>
    <x v="0"/>
    <x v="0"/>
    <x v="0"/>
    <x v="0"/>
    <x v="0"/>
    <x v="0"/>
    <x v="113"/>
    <x v="0"/>
    <x v="0"/>
    <x v="0"/>
    <x v="0"/>
    <x v="113"/>
    <x v="115"/>
    <x v="0"/>
    <x v="0"/>
    <x v="0"/>
    <x v="0"/>
    <x v="0"/>
    <x v="0"/>
    <x v="1"/>
    <x v="1"/>
    <x v="0"/>
    <x v="4"/>
    <x v="115"/>
    <x v="0"/>
    <x v="113"/>
    <x v="115"/>
    <x v="1"/>
    <x v="0"/>
    <x v="122"/>
    <x v="2"/>
    <x v="0"/>
    <x v="2"/>
    <x v="0"/>
    <x v="0"/>
    <x v="0"/>
    <x v="0"/>
    <x v="0"/>
    <x v="0"/>
    <x v="0"/>
    <x v="115"/>
    <x v="0"/>
    <x v="2"/>
    <x v="115"/>
    <x v="0"/>
    <x v="0"/>
    <x v="6"/>
    <x v="0"/>
    <x v="93"/>
    <x v="1"/>
    <x v="122"/>
    <x v="0"/>
    <x v="0"/>
    <x v="1"/>
    <x v="0"/>
    <x v="14"/>
    <x v="130"/>
    <x v="130"/>
    <x v="0"/>
    <x v="0"/>
    <x v="0"/>
    <x v="115"/>
    <x v="0"/>
    <x v="0"/>
    <x v="0"/>
    <x v="0"/>
    <x v="93"/>
    <x v="0"/>
    <x v="0"/>
    <x v="0"/>
    <x v="12"/>
    <x v="0"/>
    <x v="3"/>
    <x v="3"/>
    <x v="4"/>
    <x v="1"/>
    <x v="0"/>
    <x v="0"/>
    <x v="0"/>
    <x v="105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0"/>
    <x v="75"/>
    <x v="0"/>
    <x v="0"/>
    <x v="0"/>
    <x v="0"/>
    <x v="0"/>
    <x v="53"/>
  </r>
  <r>
    <x v="1"/>
    <x v="131"/>
    <x v="0"/>
    <x v="13"/>
    <x v="0"/>
    <x v="0"/>
    <x v="0"/>
    <x v="114"/>
    <x v="116"/>
    <x v="0"/>
    <x v="0"/>
    <x v="0"/>
    <x v="2"/>
    <x v="1"/>
    <x v="0"/>
    <x v="114"/>
    <x v="3"/>
    <x v="0"/>
    <x v="0"/>
    <x v="0"/>
    <x v="114"/>
    <x v="116"/>
    <x v="0"/>
    <x v="3"/>
    <x v="0"/>
    <x v="0"/>
    <x v="0"/>
    <x v="0"/>
    <x v="1"/>
    <x v="1"/>
    <x v="0"/>
    <x v="4"/>
    <x v="6"/>
    <x v="0"/>
    <x v="114"/>
    <x v="6"/>
    <x v="4"/>
    <x v="0"/>
    <x v="6"/>
    <x v="0"/>
    <x v="0"/>
    <x v="0"/>
    <x v="0"/>
    <x v="0"/>
    <x v="2"/>
    <x v="0"/>
    <x v="0"/>
    <x v="0"/>
    <x v="0"/>
    <x v="6"/>
    <x v="0"/>
    <x v="0"/>
    <x v="6"/>
    <x v="65"/>
    <x v="0"/>
    <x v="6"/>
    <x v="1"/>
    <x v="7"/>
    <x v="4"/>
    <x v="6"/>
    <x v="0"/>
    <x v="2"/>
    <x v="0"/>
    <x v="0"/>
    <x v="14"/>
    <x v="131"/>
    <x v="131"/>
    <x v="0"/>
    <x v="0"/>
    <x v="0"/>
    <x v="6"/>
    <x v="0"/>
    <x v="0"/>
    <x v="0"/>
    <x v="0"/>
    <x v="7"/>
    <x v="0"/>
    <x v="0"/>
    <x v="0"/>
    <x v="12"/>
    <x v="0"/>
    <x v="3"/>
    <x v="3"/>
    <x v="4"/>
    <x v="1"/>
    <x v="0"/>
    <x v="0"/>
    <x v="0"/>
    <x v="106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91"/>
    <x v="4"/>
    <x v="0"/>
    <x v="0"/>
    <x v="0"/>
    <x v="0"/>
    <x v="0"/>
    <x v="54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16"/>
    <x v="0"/>
    <x v="33"/>
    <x v="0"/>
    <x v="1"/>
    <x v="0"/>
    <x v="1"/>
    <x v="0"/>
    <x v="3"/>
    <x v="0"/>
    <x v="0"/>
    <x v="0"/>
    <x v="0"/>
    <x v="32"/>
    <x v="1"/>
    <x v="0"/>
    <x v="32"/>
    <x v="66"/>
    <x v="0"/>
    <x v="6"/>
    <x v="1"/>
    <x v="7"/>
    <x v="16"/>
    <x v="33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67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6"/>
    <x v="0"/>
    <x v="7"/>
    <x v="36"/>
    <x v="20"/>
    <x v="0"/>
    <x v="37"/>
    <x v="0"/>
    <x v="1"/>
    <x v="0"/>
    <x v="1"/>
    <x v="0"/>
    <x v="3"/>
    <x v="0"/>
    <x v="0"/>
    <x v="0"/>
    <x v="0"/>
    <x v="36"/>
    <x v="1"/>
    <x v="0"/>
    <x v="36"/>
    <x v="68"/>
    <x v="0"/>
    <x v="6"/>
    <x v="1"/>
    <x v="7"/>
    <x v="20"/>
    <x v="37"/>
    <x v="1"/>
    <x v="3"/>
    <x v="3"/>
    <x v="1"/>
    <x v="1"/>
    <x v="9"/>
    <x v="9"/>
    <x v="0"/>
    <x v="0"/>
    <x v="1"/>
    <x v="36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69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70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71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5"/>
    <x v="0"/>
    <x v="7"/>
    <x v="0"/>
    <x v="1"/>
    <x v="0"/>
    <x v="1"/>
    <x v="0"/>
    <x v="3"/>
    <x v="0"/>
    <x v="0"/>
    <x v="0"/>
    <x v="0"/>
    <x v="7"/>
    <x v="1"/>
    <x v="0"/>
    <x v="7"/>
    <x v="72"/>
    <x v="0"/>
    <x v="6"/>
    <x v="1"/>
    <x v="7"/>
    <x v="5"/>
    <x v="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73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74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7"/>
    <x v="0"/>
    <x v="7"/>
    <x v="37"/>
    <x v="21"/>
    <x v="0"/>
    <x v="38"/>
    <x v="0"/>
    <x v="1"/>
    <x v="0"/>
    <x v="1"/>
    <x v="0"/>
    <x v="3"/>
    <x v="0"/>
    <x v="0"/>
    <x v="0"/>
    <x v="0"/>
    <x v="37"/>
    <x v="1"/>
    <x v="0"/>
    <x v="37"/>
    <x v="75"/>
    <x v="0"/>
    <x v="6"/>
    <x v="1"/>
    <x v="7"/>
    <x v="21"/>
    <x v="38"/>
    <x v="1"/>
    <x v="3"/>
    <x v="3"/>
    <x v="1"/>
    <x v="1"/>
    <x v="9"/>
    <x v="9"/>
    <x v="0"/>
    <x v="0"/>
    <x v="1"/>
    <x v="37"/>
    <x v="0"/>
    <x v="0"/>
    <x v="0"/>
    <x v="1"/>
    <x v="7"/>
    <x v="0"/>
    <x v="1"/>
    <x v="1"/>
    <x v="1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132"/>
    <x v="0"/>
    <x v="12"/>
    <x v="0"/>
    <x v="0"/>
    <x v="0"/>
    <x v="115"/>
    <x v="117"/>
    <x v="0"/>
    <x v="0"/>
    <x v="0"/>
    <x v="2"/>
    <x v="1"/>
    <x v="0"/>
    <x v="115"/>
    <x v="3"/>
    <x v="0"/>
    <x v="0"/>
    <x v="0"/>
    <x v="115"/>
    <x v="117"/>
    <x v="0"/>
    <x v="3"/>
    <x v="0"/>
    <x v="0"/>
    <x v="0"/>
    <x v="0"/>
    <x v="1"/>
    <x v="1"/>
    <x v="0"/>
    <x v="4"/>
    <x v="116"/>
    <x v="0"/>
    <x v="115"/>
    <x v="116"/>
    <x v="48"/>
    <x v="0"/>
    <x v="123"/>
    <x v="0"/>
    <x v="0"/>
    <x v="0"/>
    <x v="0"/>
    <x v="0"/>
    <x v="2"/>
    <x v="0"/>
    <x v="0"/>
    <x v="0"/>
    <x v="0"/>
    <x v="116"/>
    <x v="0"/>
    <x v="0"/>
    <x v="116"/>
    <x v="76"/>
    <x v="0"/>
    <x v="6"/>
    <x v="1"/>
    <x v="7"/>
    <x v="48"/>
    <x v="123"/>
    <x v="0"/>
    <x v="2"/>
    <x v="0"/>
    <x v="0"/>
    <x v="14"/>
    <x v="132"/>
    <x v="132"/>
    <x v="0"/>
    <x v="0"/>
    <x v="0"/>
    <x v="116"/>
    <x v="0"/>
    <x v="0"/>
    <x v="0"/>
    <x v="0"/>
    <x v="7"/>
    <x v="0"/>
    <x v="0"/>
    <x v="0"/>
    <x v="11"/>
    <x v="0"/>
    <x v="3"/>
    <x v="3"/>
    <x v="4"/>
    <x v="1"/>
    <x v="0"/>
    <x v="0"/>
    <x v="0"/>
    <x v="107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92"/>
    <x v="4"/>
    <x v="0"/>
    <x v="0"/>
    <x v="0"/>
    <x v="0"/>
    <x v="0"/>
    <x v="55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77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78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40"/>
    <x v="0"/>
    <x v="97"/>
    <x v="0"/>
    <x v="1"/>
    <x v="0"/>
    <x v="1"/>
    <x v="0"/>
    <x v="3"/>
    <x v="0"/>
    <x v="0"/>
    <x v="0"/>
    <x v="0"/>
    <x v="7"/>
    <x v="1"/>
    <x v="0"/>
    <x v="7"/>
    <x v="79"/>
    <x v="0"/>
    <x v="6"/>
    <x v="1"/>
    <x v="7"/>
    <x v="40"/>
    <x v="9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1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133"/>
    <x v="0"/>
    <x v="14"/>
    <x v="0"/>
    <x v="0"/>
    <x v="0"/>
    <x v="116"/>
    <x v="118"/>
    <x v="0"/>
    <x v="0"/>
    <x v="0"/>
    <x v="2"/>
    <x v="1"/>
    <x v="0"/>
    <x v="116"/>
    <x v="3"/>
    <x v="0"/>
    <x v="0"/>
    <x v="0"/>
    <x v="116"/>
    <x v="118"/>
    <x v="0"/>
    <x v="3"/>
    <x v="0"/>
    <x v="0"/>
    <x v="0"/>
    <x v="0"/>
    <x v="1"/>
    <x v="1"/>
    <x v="0"/>
    <x v="4"/>
    <x v="35"/>
    <x v="0"/>
    <x v="116"/>
    <x v="35"/>
    <x v="49"/>
    <x v="0"/>
    <x v="124"/>
    <x v="0"/>
    <x v="0"/>
    <x v="0"/>
    <x v="0"/>
    <x v="0"/>
    <x v="2"/>
    <x v="0"/>
    <x v="0"/>
    <x v="0"/>
    <x v="0"/>
    <x v="35"/>
    <x v="0"/>
    <x v="0"/>
    <x v="35"/>
    <x v="80"/>
    <x v="0"/>
    <x v="6"/>
    <x v="1"/>
    <x v="7"/>
    <x v="49"/>
    <x v="124"/>
    <x v="0"/>
    <x v="2"/>
    <x v="0"/>
    <x v="0"/>
    <x v="14"/>
    <x v="133"/>
    <x v="133"/>
    <x v="0"/>
    <x v="0"/>
    <x v="0"/>
    <x v="35"/>
    <x v="0"/>
    <x v="0"/>
    <x v="0"/>
    <x v="0"/>
    <x v="7"/>
    <x v="0"/>
    <x v="0"/>
    <x v="0"/>
    <x v="13"/>
    <x v="0"/>
    <x v="3"/>
    <x v="3"/>
    <x v="4"/>
    <x v="1"/>
    <x v="0"/>
    <x v="0"/>
    <x v="0"/>
    <x v="108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93"/>
    <x v="4"/>
    <x v="0"/>
    <x v="0"/>
    <x v="0"/>
    <x v="0"/>
    <x v="0"/>
    <x v="56"/>
  </r>
  <r>
    <x v="0"/>
    <x v="134"/>
    <x v="0"/>
    <x v="12"/>
    <x v="0"/>
    <x v="0"/>
    <x v="0"/>
    <x v="16"/>
    <x v="16"/>
    <x v="0"/>
    <x v="0"/>
    <x v="0"/>
    <x v="4"/>
    <x v="0"/>
    <x v="0"/>
    <x v="16"/>
    <x v="4"/>
    <x v="0"/>
    <x v="0"/>
    <x v="0"/>
    <x v="16"/>
    <x v="16"/>
    <x v="0"/>
    <x v="0"/>
    <x v="0"/>
    <x v="0"/>
    <x v="0"/>
    <x v="0"/>
    <x v="0"/>
    <x v="0"/>
    <x v="0"/>
    <x v="81"/>
    <x v="17"/>
    <x v="0"/>
    <x v="16"/>
    <x v="17"/>
    <x v="1"/>
    <x v="0"/>
    <x v="17"/>
    <x v="2"/>
    <x v="0"/>
    <x v="2"/>
    <x v="0"/>
    <x v="0"/>
    <x v="4"/>
    <x v="0"/>
    <x v="0"/>
    <x v="0"/>
    <x v="0"/>
    <x v="17"/>
    <x v="0"/>
    <x v="2"/>
    <x v="17"/>
    <x v="0"/>
    <x v="0"/>
    <x v="14"/>
    <x v="0"/>
    <x v="13"/>
    <x v="1"/>
    <x v="17"/>
    <x v="0"/>
    <x v="4"/>
    <x v="0"/>
    <x v="0"/>
    <x v="14"/>
    <x v="134"/>
    <x v="134"/>
    <x v="0"/>
    <x v="0"/>
    <x v="0"/>
    <x v="17"/>
    <x v="0"/>
    <x v="0"/>
    <x v="0"/>
    <x v="0"/>
    <x v="13"/>
    <x v="0"/>
    <x v="0"/>
    <x v="0"/>
    <x v="11"/>
    <x v="0"/>
    <x v="9"/>
    <x v="9"/>
    <x v="81"/>
    <x v="0"/>
    <x v="0"/>
    <x v="0"/>
    <x v="0"/>
    <x v="109"/>
    <x v="13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94"/>
    <x v="76"/>
    <x v="0"/>
    <x v="0"/>
    <x v="0"/>
    <x v="0"/>
    <x v="0"/>
    <x v="57"/>
  </r>
  <r>
    <x v="0"/>
    <x v="135"/>
    <x v="2"/>
    <x v="11"/>
    <x v="0"/>
    <x v="0"/>
    <x v="0"/>
    <x v="117"/>
    <x v="119"/>
    <x v="0"/>
    <x v="0"/>
    <x v="0"/>
    <x v="5"/>
    <x v="3"/>
    <x v="0"/>
    <x v="117"/>
    <x v="5"/>
    <x v="0"/>
    <x v="0"/>
    <x v="0"/>
    <x v="117"/>
    <x v="119"/>
    <x v="0"/>
    <x v="0"/>
    <x v="0"/>
    <x v="0"/>
    <x v="0"/>
    <x v="1"/>
    <x v="0"/>
    <x v="0"/>
    <x v="0"/>
    <x v="82"/>
    <x v="117"/>
    <x v="0"/>
    <x v="117"/>
    <x v="117"/>
    <x v="50"/>
    <x v="0"/>
    <x v="125"/>
    <x v="0"/>
    <x v="0"/>
    <x v="0"/>
    <x v="0"/>
    <x v="0"/>
    <x v="5"/>
    <x v="0"/>
    <x v="0"/>
    <x v="0"/>
    <x v="0"/>
    <x v="117"/>
    <x v="0"/>
    <x v="0"/>
    <x v="117"/>
    <x v="0"/>
    <x v="0"/>
    <x v="94"/>
    <x v="0"/>
    <x v="94"/>
    <x v="50"/>
    <x v="125"/>
    <x v="0"/>
    <x v="5"/>
    <x v="0"/>
    <x v="0"/>
    <x v="14"/>
    <x v="135"/>
    <x v="135"/>
    <x v="0"/>
    <x v="0"/>
    <x v="0"/>
    <x v="117"/>
    <x v="0"/>
    <x v="0"/>
    <x v="0"/>
    <x v="0"/>
    <x v="94"/>
    <x v="0"/>
    <x v="0"/>
    <x v="0"/>
    <x v="10"/>
    <x v="0"/>
    <x v="49"/>
    <x v="49"/>
    <x v="82"/>
    <x v="0"/>
    <x v="0"/>
    <x v="0"/>
    <x v="0"/>
    <x v="110"/>
    <x v="94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95"/>
    <x v="77"/>
    <x v="0"/>
    <x v="0"/>
    <x v="0"/>
    <x v="0"/>
    <x v="0"/>
    <x v="0"/>
  </r>
  <r>
    <x v="0"/>
    <x v="136"/>
    <x v="2"/>
    <x v="11"/>
    <x v="0"/>
    <x v="0"/>
    <x v="0"/>
    <x v="77"/>
    <x v="120"/>
    <x v="0"/>
    <x v="0"/>
    <x v="0"/>
    <x v="5"/>
    <x v="3"/>
    <x v="0"/>
    <x v="77"/>
    <x v="5"/>
    <x v="0"/>
    <x v="0"/>
    <x v="0"/>
    <x v="77"/>
    <x v="120"/>
    <x v="0"/>
    <x v="0"/>
    <x v="0"/>
    <x v="0"/>
    <x v="0"/>
    <x v="1"/>
    <x v="0"/>
    <x v="0"/>
    <x v="0"/>
    <x v="82"/>
    <x v="79"/>
    <x v="0"/>
    <x v="77"/>
    <x v="79"/>
    <x v="51"/>
    <x v="0"/>
    <x v="126"/>
    <x v="0"/>
    <x v="0"/>
    <x v="0"/>
    <x v="0"/>
    <x v="0"/>
    <x v="5"/>
    <x v="0"/>
    <x v="0"/>
    <x v="0"/>
    <x v="0"/>
    <x v="79"/>
    <x v="0"/>
    <x v="0"/>
    <x v="79"/>
    <x v="0"/>
    <x v="0"/>
    <x v="63"/>
    <x v="0"/>
    <x v="62"/>
    <x v="51"/>
    <x v="126"/>
    <x v="0"/>
    <x v="5"/>
    <x v="0"/>
    <x v="0"/>
    <x v="14"/>
    <x v="136"/>
    <x v="136"/>
    <x v="0"/>
    <x v="0"/>
    <x v="0"/>
    <x v="79"/>
    <x v="0"/>
    <x v="0"/>
    <x v="0"/>
    <x v="0"/>
    <x v="62"/>
    <x v="0"/>
    <x v="0"/>
    <x v="0"/>
    <x v="10"/>
    <x v="0"/>
    <x v="49"/>
    <x v="49"/>
    <x v="82"/>
    <x v="0"/>
    <x v="0"/>
    <x v="0"/>
    <x v="0"/>
    <x v="111"/>
    <x v="62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95"/>
    <x v="77"/>
    <x v="0"/>
    <x v="0"/>
    <x v="0"/>
    <x v="0"/>
    <x v="0"/>
    <x v="0"/>
  </r>
  <r>
    <x v="0"/>
    <x v="137"/>
    <x v="2"/>
    <x v="13"/>
    <x v="0"/>
    <x v="0"/>
    <x v="0"/>
    <x v="118"/>
    <x v="121"/>
    <x v="0"/>
    <x v="0"/>
    <x v="0"/>
    <x v="5"/>
    <x v="3"/>
    <x v="0"/>
    <x v="118"/>
    <x v="5"/>
    <x v="0"/>
    <x v="0"/>
    <x v="0"/>
    <x v="118"/>
    <x v="121"/>
    <x v="0"/>
    <x v="0"/>
    <x v="0"/>
    <x v="0"/>
    <x v="0"/>
    <x v="1"/>
    <x v="0"/>
    <x v="0"/>
    <x v="0"/>
    <x v="82"/>
    <x v="118"/>
    <x v="0"/>
    <x v="118"/>
    <x v="118"/>
    <x v="52"/>
    <x v="0"/>
    <x v="127"/>
    <x v="0"/>
    <x v="0"/>
    <x v="0"/>
    <x v="0"/>
    <x v="0"/>
    <x v="5"/>
    <x v="0"/>
    <x v="0"/>
    <x v="0"/>
    <x v="0"/>
    <x v="118"/>
    <x v="0"/>
    <x v="0"/>
    <x v="118"/>
    <x v="0"/>
    <x v="0"/>
    <x v="95"/>
    <x v="0"/>
    <x v="95"/>
    <x v="52"/>
    <x v="127"/>
    <x v="0"/>
    <x v="5"/>
    <x v="0"/>
    <x v="0"/>
    <x v="14"/>
    <x v="137"/>
    <x v="137"/>
    <x v="0"/>
    <x v="0"/>
    <x v="0"/>
    <x v="118"/>
    <x v="0"/>
    <x v="0"/>
    <x v="0"/>
    <x v="0"/>
    <x v="95"/>
    <x v="0"/>
    <x v="0"/>
    <x v="0"/>
    <x v="12"/>
    <x v="0"/>
    <x v="49"/>
    <x v="49"/>
    <x v="82"/>
    <x v="0"/>
    <x v="0"/>
    <x v="0"/>
    <x v="0"/>
    <x v="112"/>
    <x v="95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95"/>
    <x v="77"/>
    <x v="0"/>
    <x v="0"/>
    <x v="0"/>
    <x v="0"/>
    <x v="0"/>
    <x v="0"/>
  </r>
  <r>
    <x v="0"/>
    <x v="138"/>
    <x v="2"/>
    <x v="12"/>
    <x v="0"/>
    <x v="0"/>
    <x v="0"/>
    <x v="66"/>
    <x v="122"/>
    <x v="0"/>
    <x v="0"/>
    <x v="0"/>
    <x v="5"/>
    <x v="3"/>
    <x v="0"/>
    <x v="66"/>
    <x v="5"/>
    <x v="0"/>
    <x v="0"/>
    <x v="0"/>
    <x v="66"/>
    <x v="122"/>
    <x v="0"/>
    <x v="0"/>
    <x v="0"/>
    <x v="0"/>
    <x v="0"/>
    <x v="1"/>
    <x v="0"/>
    <x v="0"/>
    <x v="0"/>
    <x v="83"/>
    <x v="68"/>
    <x v="0"/>
    <x v="66"/>
    <x v="68"/>
    <x v="53"/>
    <x v="0"/>
    <x v="128"/>
    <x v="0"/>
    <x v="0"/>
    <x v="0"/>
    <x v="0"/>
    <x v="0"/>
    <x v="5"/>
    <x v="0"/>
    <x v="0"/>
    <x v="0"/>
    <x v="0"/>
    <x v="68"/>
    <x v="0"/>
    <x v="0"/>
    <x v="68"/>
    <x v="0"/>
    <x v="0"/>
    <x v="53"/>
    <x v="0"/>
    <x v="52"/>
    <x v="53"/>
    <x v="128"/>
    <x v="0"/>
    <x v="5"/>
    <x v="0"/>
    <x v="0"/>
    <x v="14"/>
    <x v="138"/>
    <x v="138"/>
    <x v="0"/>
    <x v="0"/>
    <x v="0"/>
    <x v="68"/>
    <x v="0"/>
    <x v="0"/>
    <x v="0"/>
    <x v="0"/>
    <x v="52"/>
    <x v="0"/>
    <x v="0"/>
    <x v="0"/>
    <x v="11"/>
    <x v="0"/>
    <x v="50"/>
    <x v="50"/>
    <x v="83"/>
    <x v="0"/>
    <x v="0"/>
    <x v="0"/>
    <x v="0"/>
    <x v="113"/>
    <x v="52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96"/>
    <x v="78"/>
    <x v="0"/>
    <x v="0"/>
    <x v="0"/>
    <x v="0"/>
    <x v="0"/>
    <x v="0"/>
  </r>
  <r>
    <x v="0"/>
    <x v="139"/>
    <x v="0"/>
    <x v="12"/>
    <x v="0"/>
    <x v="0"/>
    <x v="0"/>
    <x v="119"/>
    <x v="123"/>
    <x v="0"/>
    <x v="0"/>
    <x v="0"/>
    <x v="4"/>
    <x v="0"/>
    <x v="0"/>
    <x v="119"/>
    <x v="4"/>
    <x v="0"/>
    <x v="0"/>
    <x v="0"/>
    <x v="119"/>
    <x v="123"/>
    <x v="0"/>
    <x v="3"/>
    <x v="0"/>
    <x v="0"/>
    <x v="0"/>
    <x v="0"/>
    <x v="0"/>
    <x v="0"/>
    <x v="0"/>
    <x v="84"/>
    <x v="119"/>
    <x v="0"/>
    <x v="119"/>
    <x v="119"/>
    <x v="1"/>
    <x v="0"/>
    <x v="129"/>
    <x v="2"/>
    <x v="0"/>
    <x v="2"/>
    <x v="0"/>
    <x v="0"/>
    <x v="4"/>
    <x v="0"/>
    <x v="0"/>
    <x v="0"/>
    <x v="0"/>
    <x v="119"/>
    <x v="0"/>
    <x v="2"/>
    <x v="119"/>
    <x v="0"/>
    <x v="0"/>
    <x v="96"/>
    <x v="1"/>
    <x v="7"/>
    <x v="1"/>
    <x v="129"/>
    <x v="0"/>
    <x v="4"/>
    <x v="0"/>
    <x v="0"/>
    <x v="14"/>
    <x v="139"/>
    <x v="139"/>
    <x v="0"/>
    <x v="0"/>
    <x v="0"/>
    <x v="119"/>
    <x v="0"/>
    <x v="0"/>
    <x v="0"/>
    <x v="0"/>
    <x v="7"/>
    <x v="0"/>
    <x v="0"/>
    <x v="0"/>
    <x v="11"/>
    <x v="0"/>
    <x v="36"/>
    <x v="36"/>
    <x v="84"/>
    <x v="0"/>
    <x v="0"/>
    <x v="0"/>
    <x v="0"/>
    <x v="114"/>
    <x v="7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97"/>
    <x v="79"/>
    <x v="0"/>
    <x v="0"/>
    <x v="0"/>
    <x v="0"/>
    <x v="0"/>
    <x v="58"/>
  </r>
  <r>
    <x v="0"/>
    <x v="140"/>
    <x v="0"/>
    <x v="12"/>
    <x v="0"/>
    <x v="0"/>
    <x v="0"/>
    <x v="120"/>
    <x v="124"/>
    <x v="0"/>
    <x v="0"/>
    <x v="0"/>
    <x v="0"/>
    <x v="0"/>
    <x v="0"/>
    <x v="120"/>
    <x v="0"/>
    <x v="0"/>
    <x v="0"/>
    <x v="0"/>
    <x v="120"/>
    <x v="124"/>
    <x v="0"/>
    <x v="0"/>
    <x v="0"/>
    <x v="0"/>
    <x v="0"/>
    <x v="0"/>
    <x v="0"/>
    <x v="0"/>
    <x v="0"/>
    <x v="85"/>
    <x v="120"/>
    <x v="0"/>
    <x v="120"/>
    <x v="120"/>
    <x v="1"/>
    <x v="0"/>
    <x v="130"/>
    <x v="0"/>
    <x v="0"/>
    <x v="0"/>
    <x v="0"/>
    <x v="0"/>
    <x v="0"/>
    <x v="0"/>
    <x v="0"/>
    <x v="0"/>
    <x v="0"/>
    <x v="120"/>
    <x v="0"/>
    <x v="0"/>
    <x v="120"/>
    <x v="0"/>
    <x v="0"/>
    <x v="97"/>
    <x v="0"/>
    <x v="96"/>
    <x v="1"/>
    <x v="130"/>
    <x v="0"/>
    <x v="0"/>
    <x v="1"/>
    <x v="0"/>
    <x v="14"/>
    <x v="140"/>
    <x v="140"/>
    <x v="0"/>
    <x v="0"/>
    <x v="0"/>
    <x v="120"/>
    <x v="0"/>
    <x v="0"/>
    <x v="0"/>
    <x v="0"/>
    <x v="96"/>
    <x v="0"/>
    <x v="0"/>
    <x v="0"/>
    <x v="11"/>
    <x v="0"/>
    <x v="4"/>
    <x v="4"/>
    <x v="85"/>
    <x v="0"/>
    <x v="0"/>
    <x v="0"/>
    <x v="0"/>
    <x v="115"/>
    <x v="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8"/>
    <x v="80"/>
    <x v="0"/>
    <x v="0"/>
    <x v="0"/>
    <x v="0"/>
    <x v="0"/>
    <x v="0"/>
  </r>
  <r>
    <x v="0"/>
    <x v="141"/>
    <x v="0"/>
    <x v="12"/>
    <x v="0"/>
    <x v="0"/>
    <x v="0"/>
    <x v="121"/>
    <x v="125"/>
    <x v="0"/>
    <x v="0"/>
    <x v="0"/>
    <x v="1"/>
    <x v="0"/>
    <x v="0"/>
    <x v="121"/>
    <x v="2"/>
    <x v="0"/>
    <x v="0"/>
    <x v="0"/>
    <x v="121"/>
    <x v="125"/>
    <x v="0"/>
    <x v="0"/>
    <x v="0"/>
    <x v="0"/>
    <x v="0"/>
    <x v="0"/>
    <x v="0"/>
    <x v="0"/>
    <x v="0"/>
    <x v="86"/>
    <x v="121"/>
    <x v="0"/>
    <x v="121"/>
    <x v="121"/>
    <x v="54"/>
    <x v="0"/>
    <x v="131"/>
    <x v="0"/>
    <x v="0"/>
    <x v="0"/>
    <x v="0"/>
    <x v="0"/>
    <x v="1"/>
    <x v="0"/>
    <x v="0"/>
    <x v="0"/>
    <x v="0"/>
    <x v="121"/>
    <x v="0"/>
    <x v="0"/>
    <x v="121"/>
    <x v="0"/>
    <x v="0"/>
    <x v="98"/>
    <x v="0"/>
    <x v="97"/>
    <x v="54"/>
    <x v="131"/>
    <x v="0"/>
    <x v="1"/>
    <x v="0"/>
    <x v="0"/>
    <x v="14"/>
    <x v="141"/>
    <x v="141"/>
    <x v="0"/>
    <x v="0"/>
    <x v="0"/>
    <x v="121"/>
    <x v="0"/>
    <x v="0"/>
    <x v="0"/>
    <x v="0"/>
    <x v="97"/>
    <x v="0"/>
    <x v="0"/>
    <x v="0"/>
    <x v="11"/>
    <x v="0"/>
    <x v="32"/>
    <x v="32"/>
    <x v="86"/>
    <x v="0"/>
    <x v="0"/>
    <x v="0"/>
    <x v="0"/>
    <x v="116"/>
    <x v="9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99"/>
    <x v="81"/>
    <x v="0"/>
    <x v="0"/>
    <x v="0"/>
    <x v="0"/>
    <x v="0"/>
    <x v="0"/>
  </r>
  <r>
    <x v="0"/>
    <x v="142"/>
    <x v="0"/>
    <x v="12"/>
    <x v="0"/>
    <x v="0"/>
    <x v="0"/>
    <x v="122"/>
    <x v="126"/>
    <x v="0"/>
    <x v="0"/>
    <x v="0"/>
    <x v="1"/>
    <x v="0"/>
    <x v="0"/>
    <x v="122"/>
    <x v="2"/>
    <x v="0"/>
    <x v="0"/>
    <x v="0"/>
    <x v="122"/>
    <x v="126"/>
    <x v="0"/>
    <x v="0"/>
    <x v="0"/>
    <x v="0"/>
    <x v="0"/>
    <x v="0"/>
    <x v="0"/>
    <x v="0"/>
    <x v="0"/>
    <x v="86"/>
    <x v="122"/>
    <x v="0"/>
    <x v="122"/>
    <x v="122"/>
    <x v="1"/>
    <x v="0"/>
    <x v="132"/>
    <x v="1"/>
    <x v="0"/>
    <x v="1"/>
    <x v="0"/>
    <x v="0"/>
    <x v="1"/>
    <x v="0"/>
    <x v="0"/>
    <x v="0"/>
    <x v="0"/>
    <x v="122"/>
    <x v="0"/>
    <x v="1"/>
    <x v="122"/>
    <x v="0"/>
    <x v="0"/>
    <x v="99"/>
    <x v="0"/>
    <x v="98"/>
    <x v="1"/>
    <x v="132"/>
    <x v="0"/>
    <x v="1"/>
    <x v="0"/>
    <x v="0"/>
    <x v="14"/>
    <x v="142"/>
    <x v="142"/>
    <x v="0"/>
    <x v="0"/>
    <x v="0"/>
    <x v="122"/>
    <x v="0"/>
    <x v="0"/>
    <x v="0"/>
    <x v="0"/>
    <x v="98"/>
    <x v="0"/>
    <x v="0"/>
    <x v="0"/>
    <x v="11"/>
    <x v="0"/>
    <x v="32"/>
    <x v="32"/>
    <x v="86"/>
    <x v="0"/>
    <x v="0"/>
    <x v="0"/>
    <x v="0"/>
    <x v="116"/>
    <x v="9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99"/>
    <x v="81"/>
    <x v="0"/>
    <x v="0"/>
    <x v="0"/>
    <x v="0"/>
    <x v="0"/>
    <x v="0"/>
  </r>
  <r>
    <x v="0"/>
    <x v="143"/>
    <x v="0"/>
    <x v="12"/>
    <x v="0"/>
    <x v="0"/>
    <x v="0"/>
    <x v="123"/>
    <x v="127"/>
    <x v="0"/>
    <x v="0"/>
    <x v="0"/>
    <x v="0"/>
    <x v="0"/>
    <x v="0"/>
    <x v="123"/>
    <x v="0"/>
    <x v="0"/>
    <x v="0"/>
    <x v="0"/>
    <x v="123"/>
    <x v="127"/>
    <x v="0"/>
    <x v="0"/>
    <x v="0"/>
    <x v="0"/>
    <x v="0"/>
    <x v="0"/>
    <x v="0"/>
    <x v="0"/>
    <x v="0"/>
    <x v="87"/>
    <x v="123"/>
    <x v="0"/>
    <x v="123"/>
    <x v="123"/>
    <x v="1"/>
    <x v="0"/>
    <x v="133"/>
    <x v="2"/>
    <x v="0"/>
    <x v="2"/>
    <x v="0"/>
    <x v="0"/>
    <x v="0"/>
    <x v="0"/>
    <x v="0"/>
    <x v="0"/>
    <x v="0"/>
    <x v="123"/>
    <x v="0"/>
    <x v="2"/>
    <x v="123"/>
    <x v="0"/>
    <x v="0"/>
    <x v="100"/>
    <x v="0"/>
    <x v="99"/>
    <x v="1"/>
    <x v="133"/>
    <x v="0"/>
    <x v="0"/>
    <x v="1"/>
    <x v="0"/>
    <x v="14"/>
    <x v="143"/>
    <x v="143"/>
    <x v="0"/>
    <x v="0"/>
    <x v="0"/>
    <x v="123"/>
    <x v="0"/>
    <x v="0"/>
    <x v="0"/>
    <x v="0"/>
    <x v="99"/>
    <x v="0"/>
    <x v="0"/>
    <x v="0"/>
    <x v="11"/>
    <x v="0"/>
    <x v="22"/>
    <x v="22"/>
    <x v="87"/>
    <x v="0"/>
    <x v="0"/>
    <x v="0"/>
    <x v="0"/>
    <x v="117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00"/>
    <x v="82"/>
    <x v="0"/>
    <x v="0"/>
    <x v="0"/>
    <x v="0"/>
    <x v="0"/>
    <x v="59"/>
  </r>
  <r>
    <x v="1"/>
    <x v="144"/>
    <x v="0"/>
    <x v="10"/>
    <x v="0"/>
    <x v="0"/>
    <x v="0"/>
    <x v="124"/>
    <x v="128"/>
    <x v="0"/>
    <x v="0"/>
    <x v="0"/>
    <x v="14"/>
    <x v="0"/>
    <x v="0"/>
    <x v="124"/>
    <x v="13"/>
    <x v="0"/>
    <x v="0"/>
    <x v="0"/>
    <x v="124"/>
    <x v="128"/>
    <x v="0"/>
    <x v="0"/>
    <x v="0"/>
    <x v="0"/>
    <x v="0"/>
    <x v="0"/>
    <x v="1"/>
    <x v="1"/>
    <x v="0"/>
    <x v="4"/>
    <x v="124"/>
    <x v="0"/>
    <x v="124"/>
    <x v="124"/>
    <x v="1"/>
    <x v="0"/>
    <x v="134"/>
    <x v="2"/>
    <x v="0"/>
    <x v="2"/>
    <x v="0"/>
    <x v="0"/>
    <x v="14"/>
    <x v="0"/>
    <x v="0"/>
    <x v="0"/>
    <x v="0"/>
    <x v="124"/>
    <x v="0"/>
    <x v="2"/>
    <x v="124"/>
    <x v="0"/>
    <x v="0"/>
    <x v="6"/>
    <x v="0"/>
    <x v="100"/>
    <x v="1"/>
    <x v="134"/>
    <x v="0"/>
    <x v="0"/>
    <x v="1"/>
    <x v="0"/>
    <x v="14"/>
    <x v="144"/>
    <x v="144"/>
    <x v="0"/>
    <x v="0"/>
    <x v="0"/>
    <x v="124"/>
    <x v="0"/>
    <x v="0"/>
    <x v="0"/>
    <x v="0"/>
    <x v="100"/>
    <x v="0"/>
    <x v="0"/>
    <x v="0"/>
    <x v="9"/>
    <x v="0"/>
    <x v="3"/>
    <x v="3"/>
    <x v="4"/>
    <x v="1"/>
    <x v="0"/>
    <x v="0"/>
    <x v="0"/>
    <x v="118"/>
    <x v="10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1"/>
    <x v="83"/>
    <x v="0"/>
    <x v="0"/>
    <x v="0"/>
    <x v="0"/>
    <x v="0"/>
    <x v="60"/>
  </r>
  <r>
    <x v="0"/>
    <x v="145"/>
    <x v="0"/>
    <x v="12"/>
    <x v="0"/>
    <x v="0"/>
    <x v="0"/>
    <x v="125"/>
    <x v="129"/>
    <x v="0"/>
    <x v="0"/>
    <x v="0"/>
    <x v="12"/>
    <x v="0"/>
    <x v="0"/>
    <x v="125"/>
    <x v="9"/>
    <x v="0"/>
    <x v="0"/>
    <x v="0"/>
    <x v="125"/>
    <x v="129"/>
    <x v="0"/>
    <x v="0"/>
    <x v="0"/>
    <x v="0"/>
    <x v="0"/>
    <x v="0"/>
    <x v="0"/>
    <x v="0"/>
    <x v="0"/>
    <x v="88"/>
    <x v="125"/>
    <x v="0"/>
    <x v="125"/>
    <x v="125"/>
    <x v="1"/>
    <x v="0"/>
    <x v="135"/>
    <x v="0"/>
    <x v="0"/>
    <x v="0"/>
    <x v="0"/>
    <x v="0"/>
    <x v="12"/>
    <x v="0"/>
    <x v="0"/>
    <x v="0"/>
    <x v="0"/>
    <x v="125"/>
    <x v="0"/>
    <x v="0"/>
    <x v="125"/>
    <x v="0"/>
    <x v="0"/>
    <x v="101"/>
    <x v="0"/>
    <x v="101"/>
    <x v="1"/>
    <x v="135"/>
    <x v="0"/>
    <x v="0"/>
    <x v="1"/>
    <x v="0"/>
    <x v="14"/>
    <x v="145"/>
    <x v="145"/>
    <x v="0"/>
    <x v="0"/>
    <x v="0"/>
    <x v="125"/>
    <x v="0"/>
    <x v="0"/>
    <x v="0"/>
    <x v="0"/>
    <x v="101"/>
    <x v="0"/>
    <x v="0"/>
    <x v="0"/>
    <x v="11"/>
    <x v="0"/>
    <x v="51"/>
    <x v="51"/>
    <x v="88"/>
    <x v="0"/>
    <x v="0"/>
    <x v="0"/>
    <x v="0"/>
    <x v="119"/>
    <x v="10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2"/>
    <x v="84"/>
    <x v="0"/>
    <x v="0"/>
    <x v="0"/>
    <x v="0"/>
    <x v="0"/>
    <x v="0"/>
  </r>
  <r>
    <x v="0"/>
    <x v="146"/>
    <x v="0"/>
    <x v="13"/>
    <x v="0"/>
    <x v="0"/>
    <x v="0"/>
    <x v="126"/>
    <x v="130"/>
    <x v="0"/>
    <x v="0"/>
    <x v="0"/>
    <x v="14"/>
    <x v="0"/>
    <x v="0"/>
    <x v="126"/>
    <x v="13"/>
    <x v="0"/>
    <x v="0"/>
    <x v="0"/>
    <x v="126"/>
    <x v="130"/>
    <x v="0"/>
    <x v="0"/>
    <x v="0"/>
    <x v="0"/>
    <x v="0"/>
    <x v="2"/>
    <x v="0"/>
    <x v="0"/>
    <x v="0"/>
    <x v="89"/>
    <x v="126"/>
    <x v="0"/>
    <x v="126"/>
    <x v="126"/>
    <x v="1"/>
    <x v="0"/>
    <x v="136"/>
    <x v="2"/>
    <x v="0"/>
    <x v="2"/>
    <x v="0"/>
    <x v="0"/>
    <x v="14"/>
    <x v="0"/>
    <x v="0"/>
    <x v="0"/>
    <x v="0"/>
    <x v="126"/>
    <x v="0"/>
    <x v="2"/>
    <x v="126"/>
    <x v="0"/>
    <x v="0"/>
    <x v="102"/>
    <x v="0"/>
    <x v="102"/>
    <x v="1"/>
    <x v="136"/>
    <x v="0"/>
    <x v="0"/>
    <x v="0"/>
    <x v="0"/>
    <x v="14"/>
    <x v="146"/>
    <x v="146"/>
    <x v="0"/>
    <x v="0"/>
    <x v="0"/>
    <x v="126"/>
    <x v="0"/>
    <x v="0"/>
    <x v="0"/>
    <x v="0"/>
    <x v="102"/>
    <x v="0"/>
    <x v="0"/>
    <x v="0"/>
    <x v="12"/>
    <x v="0"/>
    <x v="35"/>
    <x v="35"/>
    <x v="89"/>
    <x v="0"/>
    <x v="0"/>
    <x v="0"/>
    <x v="0"/>
    <x v="120"/>
    <x v="10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3"/>
    <x v="85"/>
    <x v="0"/>
    <x v="0"/>
    <x v="0"/>
    <x v="0"/>
    <x v="0"/>
    <x v="61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2"/>
    <x v="0"/>
    <x v="0"/>
    <x v="1"/>
    <x v="90"/>
    <x v="110"/>
    <x v="0"/>
    <x v="7"/>
    <x v="110"/>
    <x v="1"/>
    <x v="0"/>
    <x v="117"/>
    <x v="2"/>
    <x v="1"/>
    <x v="2"/>
    <x v="1"/>
    <x v="0"/>
    <x v="3"/>
    <x v="0"/>
    <x v="0"/>
    <x v="0"/>
    <x v="0"/>
    <x v="110"/>
    <x v="1"/>
    <x v="2"/>
    <x v="110"/>
    <x v="0"/>
    <x v="0"/>
    <x v="89"/>
    <x v="0"/>
    <x v="88"/>
    <x v="1"/>
    <x v="117"/>
    <x v="1"/>
    <x v="3"/>
    <x v="3"/>
    <x v="1"/>
    <x v="1"/>
    <x v="9"/>
    <x v="9"/>
    <x v="0"/>
    <x v="0"/>
    <x v="1"/>
    <x v="110"/>
    <x v="0"/>
    <x v="0"/>
    <x v="0"/>
    <x v="1"/>
    <x v="88"/>
    <x v="0"/>
    <x v="1"/>
    <x v="1"/>
    <x v="12"/>
    <x v="0"/>
    <x v="21"/>
    <x v="21"/>
    <x v="90"/>
    <x v="0"/>
    <x v="1"/>
    <x v="0"/>
    <x v="0"/>
    <x v="5"/>
    <x v="88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3"/>
    <x v="147"/>
    <x v="0"/>
    <x v="12"/>
    <x v="0"/>
    <x v="0"/>
    <x v="0"/>
    <x v="127"/>
    <x v="131"/>
    <x v="0"/>
    <x v="0"/>
    <x v="0"/>
    <x v="12"/>
    <x v="1"/>
    <x v="0"/>
    <x v="127"/>
    <x v="3"/>
    <x v="0"/>
    <x v="0"/>
    <x v="0"/>
    <x v="127"/>
    <x v="131"/>
    <x v="0"/>
    <x v="0"/>
    <x v="0"/>
    <x v="0"/>
    <x v="0"/>
    <x v="0"/>
    <x v="0"/>
    <x v="0"/>
    <x v="0"/>
    <x v="91"/>
    <x v="127"/>
    <x v="0"/>
    <x v="127"/>
    <x v="127"/>
    <x v="1"/>
    <x v="0"/>
    <x v="137"/>
    <x v="5"/>
    <x v="0"/>
    <x v="5"/>
    <x v="0"/>
    <x v="0"/>
    <x v="12"/>
    <x v="0"/>
    <x v="0"/>
    <x v="0"/>
    <x v="0"/>
    <x v="127"/>
    <x v="0"/>
    <x v="5"/>
    <x v="127"/>
    <x v="0"/>
    <x v="0"/>
    <x v="103"/>
    <x v="0"/>
    <x v="103"/>
    <x v="1"/>
    <x v="137"/>
    <x v="0"/>
    <x v="11"/>
    <x v="9"/>
    <x v="0"/>
    <x v="14"/>
    <x v="147"/>
    <x v="147"/>
    <x v="0"/>
    <x v="0"/>
    <x v="0"/>
    <x v="127"/>
    <x v="0"/>
    <x v="0"/>
    <x v="0"/>
    <x v="0"/>
    <x v="103"/>
    <x v="0"/>
    <x v="0"/>
    <x v="0"/>
    <x v="11"/>
    <x v="0"/>
    <x v="52"/>
    <x v="52"/>
    <x v="91"/>
    <x v="0"/>
    <x v="0"/>
    <x v="0"/>
    <x v="0"/>
    <x v="121"/>
    <x v="10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4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91"/>
    <x v="128"/>
    <x v="0"/>
    <x v="7"/>
    <x v="128"/>
    <x v="1"/>
    <x v="0"/>
    <x v="138"/>
    <x v="5"/>
    <x v="1"/>
    <x v="5"/>
    <x v="1"/>
    <x v="0"/>
    <x v="3"/>
    <x v="0"/>
    <x v="0"/>
    <x v="0"/>
    <x v="0"/>
    <x v="128"/>
    <x v="1"/>
    <x v="5"/>
    <x v="128"/>
    <x v="0"/>
    <x v="0"/>
    <x v="104"/>
    <x v="0"/>
    <x v="104"/>
    <x v="1"/>
    <x v="138"/>
    <x v="1"/>
    <x v="3"/>
    <x v="3"/>
    <x v="1"/>
    <x v="1"/>
    <x v="9"/>
    <x v="9"/>
    <x v="0"/>
    <x v="0"/>
    <x v="1"/>
    <x v="128"/>
    <x v="0"/>
    <x v="0"/>
    <x v="0"/>
    <x v="1"/>
    <x v="104"/>
    <x v="0"/>
    <x v="1"/>
    <x v="1"/>
    <x v="11"/>
    <x v="0"/>
    <x v="53"/>
    <x v="53"/>
    <x v="91"/>
    <x v="2"/>
    <x v="1"/>
    <x v="0"/>
    <x v="0"/>
    <x v="5"/>
    <x v="104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91"/>
    <x v="129"/>
    <x v="0"/>
    <x v="7"/>
    <x v="129"/>
    <x v="1"/>
    <x v="0"/>
    <x v="139"/>
    <x v="5"/>
    <x v="1"/>
    <x v="5"/>
    <x v="1"/>
    <x v="0"/>
    <x v="3"/>
    <x v="0"/>
    <x v="0"/>
    <x v="0"/>
    <x v="0"/>
    <x v="129"/>
    <x v="1"/>
    <x v="5"/>
    <x v="129"/>
    <x v="0"/>
    <x v="0"/>
    <x v="105"/>
    <x v="0"/>
    <x v="105"/>
    <x v="1"/>
    <x v="139"/>
    <x v="1"/>
    <x v="3"/>
    <x v="3"/>
    <x v="1"/>
    <x v="1"/>
    <x v="9"/>
    <x v="9"/>
    <x v="0"/>
    <x v="0"/>
    <x v="1"/>
    <x v="129"/>
    <x v="0"/>
    <x v="0"/>
    <x v="0"/>
    <x v="1"/>
    <x v="105"/>
    <x v="0"/>
    <x v="1"/>
    <x v="1"/>
    <x v="11"/>
    <x v="0"/>
    <x v="54"/>
    <x v="54"/>
    <x v="91"/>
    <x v="3"/>
    <x v="1"/>
    <x v="0"/>
    <x v="0"/>
    <x v="5"/>
    <x v="105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91"/>
    <x v="130"/>
    <x v="0"/>
    <x v="7"/>
    <x v="130"/>
    <x v="1"/>
    <x v="0"/>
    <x v="140"/>
    <x v="5"/>
    <x v="1"/>
    <x v="5"/>
    <x v="1"/>
    <x v="0"/>
    <x v="3"/>
    <x v="0"/>
    <x v="0"/>
    <x v="0"/>
    <x v="0"/>
    <x v="130"/>
    <x v="1"/>
    <x v="5"/>
    <x v="130"/>
    <x v="0"/>
    <x v="0"/>
    <x v="106"/>
    <x v="0"/>
    <x v="106"/>
    <x v="1"/>
    <x v="140"/>
    <x v="1"/>
    <x v="3"/>
    <x v="3"/>
    <x v="1"/>
    <x v="1"/>
    <x v="9"/>
    <x v="9"/>
    <x v="0"/>
    <x v="0"/>
    <x v="1"/>
    <x v="130"/>
    <x v="0"/>
    <x v="0"/>
    <x v="0"/>
    <x v="1"/>
    <x v="106"/>
    <x v="0"/>
    <x v="1"/>
    <x v="1"/>
    <x v="11"/>
    <x v="0"/>
    <x v="16"/>
    <x v="16"/>
    <x v="91"/>
    <x v="4"/>
    <x v="1"/>
    <x v="0"/>
    <x v="0"/>
    <x v="5"/>
    <x v="106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148"/>
    <x v="0"/>
    <x v="14"/>
    <x v="0"/>
    <x v="0"/>
    <x v="0"/>
    <x v="128"/>
    <x v="132"/>
    <x v="0"/>
    <x v="0"/>
    <x v="0"/>
    <x v="14"/>
    <x v="0"/>
    <x v="0"/>
    <x v="128"/>
    <x v="13"/>
    <x v="0"/>
    <x v="0"/>
    <x v="0"/>
    <x v="128"/>
    <x v="132"/>
    <x v="0"/>
    <x v="0"/>
    <x v="0"/>
    <x v="0"/>
    <x v="0"/>
    <x v="0"/>
    <x v="0"/>
    <x v="0"/>
    <x v="0"/>
    <x v="92"/>
    <x v="131"/>
    <x v="0"/>
    <x v="128"/>
    <x v="131"/>
    <x v="1"/>
    <x v="0"/>
    <x v="141"/>
    <x v="4"/>
    <x v="0"/>
    <x v="4"/>
    <x v="0"/>
    <x v="0"/>
    <x v="14"/>
    <x v="0"/>
    <x v="0"/>
    <x v="0"/>
    <x v="0"/>
    <x v="131"/>
    <x v="0"/>
    <x v="4"/>
    <x v="131"/>
    <x v="0"/>
    <x v="0"/>
    <x v="107"/>
    <x v="0"/>
    <x v="107"/>
    <x v="1"/>
    <x v="141"/>
    <x v="0"/>
    <x v="0"/>
    <x v="1"/>
    <x v="0"/>
    <x v="14"/>
    <x v="148"/>
    <x v="148"/>
    <x v="0"/>
    <x v="0"/>
    <x v="0"/>
    <x v="131"/>
    <x v="0"/>
    <x v="0"/>
    <x v="0"/>
    <x v="0"/>
    <x v="107"/>
    <x v="0"/>
    <x v="0"/>
    <x v="0"/>
    <x v="13"/>
    <x v="0"/>
    <x v="55"/>
    <x v="55"/>
    <x v="92"/>
    <x v="0"/>
    <x v="0"/>
    <x v="0"/>
    <x v="0"/>
    <x v="122"/>
    <x v="10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5"/>
    <x v="83"/>
    <x v="0"/>
    <x v="0"/>
    <x v="0"/>
    <x v="0"/>
    <x v="0"/>
    <x v="0"/>
  </r>
  <r>
    <x v="0"/>
    <x v="149"/>
    <x v="0"/>
    <x v="12"/>
    <x v="0"/>
    <x v="0"/>
    <x v="0"/>
    <x v="2"/>
    <x v="2"/>
    <x v="0"/>
    <x v="0"/>
    <x v="0"/>
    <x v="1"/>
    <x v="0"/>
    <x v="0"/>
    <x v="2"/>
    <x v="2"/>
    <x v="0"/>
    <x v="0"/>
    <x v="0"/>
    <x v="2"/>
    <x v="2"/>
    <x v="0"/>
    <x v="3"/>
    <x v="0"/>
    <x v="0"/>
    <x v="0"/>
    <x v="0"/>
    <x v="0"/>
    <x v="0"/>
    <x v="0"/>
    <x v="93"/>
    <x v="2"/>
    <x v="0"/>
    <x v="2"/>
    <x v="2"/>
    <x v="2"/>
    <x v="0"/>
    <x v="2"/>
    <x v="0"/>
    <x v="0"/>
    <x v="0"/>
    <x v="0"/>
    <x v="0"/>
    <x v="1"/>
    <x v="0"/>
    <x v="0"/>
    <x v="0"/>
    <x v="0"/>
    <x v="2"/>
    <x v="0"/>
    <x v="0"/>
    <x v="2"/>
    <x v="0"/>
    <x v="0"/>
    <x v="2"/>
    <x v="1"/>
    <x v="7"/>
    <x v="2"/>
    <x v="2"/>
    <x v="0"/>
    <x v="1"/>
    <x v="0"/>
    <x v="0"/>
    <x v="14"/>
    <x v="149"/>
    <x v="149"/>
    <x v="0"/>
    <x v="0"/>
    <x v="0"/>
    <x v="2"/>
    <x v="0"/>
    <x v="0"/>
    <x v="0"/>
    <x v="0"/>
    <x v="7"/>
    <x v="0"/>
    <x v="0"/>
    <x v="0"/>
    <x v="11"/>
    <x v="0"/>
    <x v="1"/>
    <x v="1"/>
    <x v="93"/>
    <x v="0"/>
    <x v="0"/>
    <x v="0"/>
    <x v="0"/>
    <x v="123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6"/>
    <x v="86"/>
    <x v="0"/>
    <x v="0"/>
    <x v="0"/>
    <x v="0"/>
    <x v="0"/>
    <x v="0"/>
  </r>
  <r>
    <x v="0"/>
    <x v="150"/>
    <x v="0"/>
    <x v="12"/>
    <x v="0"/>
    <x v="0"/>
    <x v="0"/>
    <x v="3"/>
    <x v="3"/>
    <x v="0"/>
    <x v="0"/>
    <x v="0"/>
    <x v="1"/>
    <x v="0"/>
    <x v="0"/>
    <x v="3"/>
    <x v="2"/>
    <x v="0"/>
    <x v="0"/>
    <x v="0"/>
    <x v="3"/>
    <x v="3"/>
    <x v="0"/>
    <x v="3"/>
    <x v="0"/>
    <x v="0"/>
    <x v="0"/>
    <x v="0"/>
    <x v="0"/>
    <x v="0"/>
    <x v="0"/>
    <x v="93"/>
    <x v="3"/>
    <x v="0"/>
    <x v="3"/>
    <x v="3"/>
    <x v="1"/>
    <x v="0"/>
    <x v="3"/>
    <x v="1"/>
    <x v="0"/>
    <x v="1"/>
    <x v="0"/>
    <x v="0"/>
    <x v="1"/>
    <x v="0"/>
    <x v="0"/>
    <x v="0"/>
    <x v="0"/>
    <x v="3"/>
    <x v="0"/>
    <x v="1"/>
    <x v="3"/>
    <x v="0"/>
    <x v="0"/>
    <x v="3"/>
    <x v="1"/>
    <x v="7"/>
    <x v="1"/>
    <x v="3"/>
    <x v="0"/>
    <x v="1"/>
    <x v="2"/>
    <x v="0"/>
    <x v="14"/>
    <x v="150"/>
    <x v="150"/>
    <x v="0"/>
    <x v="0"/>
    <x v="0"/>
    <x v="3"/>
    <x v="0"/>
    <x v="0"/>
    <x v="0"/>
    <x v="0"/>
    <x v="7"/>
    <x v="0"/>
    <x v="0"/>
    <x v="0"/>
    <x v="11"/>
    <x v="0"/>
    <x v="1"/>
    <x v="1"/>
    <x v="93"/>
    <x v="0"/>
    <x v="0"/>
    <x v="0"/>
    <x v="0"/>
    <x v="123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6"/>
    <x v="86"/>
    <x v="0"/>
    <x v="0"/>
    <x v="0"/>
    <x v="0"/>
    <x v="0"/>
    <x v="0"/>
  </r>
  <r>
    <x v="0"/>
    <x v="151"/>
    <x v="0"/>
    <x v="12"/>
    <x v="0"/>
    <x v="0"/>
    <x v="0"/>
    <x v="129"/>
    <x v="133"/>
    <x v="0"/>
    <x v="0"/>
    <x v="0"/>
    <x v="8"/>
    <x v="0"/>
    <x v="0"/>
    <x v="129"/>
    <x v="8"/>
    <x v="0"/>
    <x v="0"/>
    <x v="0"/>
    <x v="129"/>
    <x v="133"/>
    <x v="0"/>
    <x v="0"/>
    <x v="0"/>
    <x v="0"/>
    <x v="0"/>
    <x v="0"/>
    <x v="0"/>
    <x v="0"/>
    <x v="0"/>
    <x v="94"/>
    <x v="132"/>
    <x v="0"/>
    <x v="129"/>
    <x v="132"/>
    <x v="1"/>
    <x v="0"/>
    <x v="142"/>
    <x v="2"/>
    <x v="0"/>
    <x v="2"/>
    <x v="0"/>
    <x v="0"/>
    <x v="8"/>
    <x v="0"/>
    <x v="0"/>
    <x v="0"/>
    <x v="0"/>
    <x v="132"/>
    <x v="0"/>
    <x v="2"/>
    <x v="132"/>
    <x v="0"/>
    <x v="0"/>
    <x v="108"/>
    <x v="0"/>
    <x v="108"/>
    <x v="1"/>
    <x v="142"/>
    <x v="0"/>
    <x v="7"/>
    <x v="5"/>
    <x v="0"/>
    <x v="14"/>
    <x v="151"/>
    <x v="151"/>
    <x v="0"/>
    <x v="0"/>
    <x v="0"/>
    <x v="132"/>
    <x v="0"/>
    <x v="0"/>
    <x v="0"/>
    <x v="0"/>
    <x v="108"/>
    <x v="0"/>
    <x v="0"/>
    <x v="0"/>
    <x v="11"/>
    <x v="0"/>
    <x v="6"/>
    <x v="6"/>
    <x v="94"/>
    <x v="0"/>
    <x v="0"/>
    <x v="0"/>
    <x v="0"/>
    <x v="124"/>
    <x v="108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107"/>
    <x v="87"/>
    <x v="0"/>
    <x v="0"/>
    <x v="0"/>
    <x v="0"/>
    <x v="0"/>
    <x v="62"/>
  </r>
  <r>
    <x v="0"/>
    <x v="152"/>
    <x v="0"/>
    <x v="12"/>
    <x v="0"/>
    <x v="0"/>
    <x v="0"/>
    <x v="130"/>
    <x v="134"/>
    <x v="0"/>
    <x v="0"/>
    <x v="0"/>
    <x v="12"/>
    <x v="0"/>
    <x v="0"/>
    <x v="130"/>
    <x v="10"/>
    <x v="0"/>
    <x v="0"/>
    <x v="0"/>
    <x v="130"/>
    <x v="134"/>
    <x v="0"/>
    <x v="0"/>
    <x v="0"/>
    <x v="0"/>
    <x v="0"/>
    <x v="0"/>
    <x v="0"/>
    <x v="0"/>
    <x v="0"/>
    <x v="95"/>
    <x v="133"/>
    <x v="0"/>
    <x v="130"/>
    <x v="133"/>
    <x v="1"/>
    <x v="0"/>
    <x v="143"/>
    <x v="2"/>
    <x v="0"/>
    <x v="2"/>
    <x v="0"/>
    <x v="0"/>
    <x v="12"/>
    <x v="0"/>
    <x v="0"/>
    <x v="0"/>
    <x v="0"/>
    <x v="133"/>
    <x v="0"/>
    <x v="2"/>
    <x v="133"/>
    <x v="0"/>
    <x v="0"/>
    <x v="109"/>
    <x v="0"/>
    <x v="109"/>
    <x v="1"/>
    <x v="143"/>
    <x v="0"/>
    <x v="0"/>
    <x v="1"/>
    <x v="0"/>
    <x v="14"/>
    <x v="152"/>
    <x v="152"/>
    <x v="0"/>
    <x v="0"/>
    <x v="0"/>
    <x v="133"/>
    <x v="0"/>
    <x v="0"/>
    <x v="0"/>
    <x v="0"/>
    <x v="109"/>
    <x v="0"/>
    <x v="0"/>
    <x v="0"/>
    <x v="11"/>
    <x v="0"/>
    <x v="33"/>
    <x v="33"/>
    <x v="95"/>
    <x v="0"/>
    <x v="0"/>
    <x v="0"/>
    <x v="0"/>
    <x v="125"/>
    <x v="10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8"/>
    <x v="88"/>
    <x v="0"/>
    <x v="0"/>
    <x v="0"/>
    <x v="0"/>
    <x v="0"/>
    <x v="63"/>
  </r>
  <r>
    <x v="0"/>
    <x v="153"/>
    <x v="0"/>
    <x v="13"/>
    <x v="0"/>
    <x v="0"/>
    <x v="0"/>
    <x v="25"/>
    <x v="26"/>
    <x v="0"/>
    <x v="0"/>
    <x v="0"/>
    <x v="12"/>
    <x v="0"/>
    <x v="0"/>
    <x v="25"/>
    <x v="10"/>
    <x v="0"/>
    <x v="0"/>
    <x v="0"/>
    <x v="25"/>
    <x v="26"/>
    <x v="0"/>
    <x v="0"/>
    <x v="0"/>
    <x v="0"/>
    <x v="0"/>
    <x v="0"/>
    <x v="0"/>
    <x v="0"/>
    <x v="0"/>
    <x v="96"/>
    <x v="26"/>
    <x v="0"/>
    <x v="25"/>
    <x v="26"/>
    <x v="1"/>
    <x v="0"/>
    <x v="27"/>
    <x v="0"/>
    <x v="0"/>
    <x v="0"/>
    <x v="0"/>
    <x v="0"/>
    <x v="12"/>
    <x v="0"/>
    <x v="0"/>
    <x v="0"/>
    <x v="0"/>
    <x v="26"/>
    <x v="0"/>
    <x v="0"/>
    <x v="26"/>
    <x v="0"/>
    <x v="0"/>
    <x v="23"/>
    <x v="0"/>
    <x v="22"/>
    <x v="1"/>
    <x v="27"/>
    <x v="0"/>
    <x v="0"/>
    <x v="0"/>
    <x v="0"/>
    <x v="14"/>
    <x v="153"/>
    <x v="153"/>
    <x v="0"/>
    <x v="0"/>
    <x v="0"/>
    <x v="26"/>
    <x v="0"/>
    <x v="0"/>
    <x v="0"/>
    <x v="0"/>
    <x v="22"/>
    <x v="0"/>
    <x v="0"/>
    <x v="0"/>
    <x v="12"/>
    <x v="0"/>
    <x v="13"/>
    <x v="13"/>
    <x v="96"/>
    <x v="0"/>
    <x v="0"/>
    <x v="0"/>
    <x v="0"/>
    <x v="126"/>
    <x v="2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9"/>
    <x v="89"/>
    <x v="0"/>
    <x v="0"/>
    <x v="0"/>
    <x v="0"/>
    <x v="0"/>
    <x v="0"/>
  </r>
  <r>
    <x v="0"/>
    <x v="154"/>
    <x v="0"/>
    <x v="13"/>
    <x v="0"/>
    <x v="0"/>
    <x v="0"/>
    <x v="131"/>
    <x v="135"/>
    <x v="0"/>
    <x v="0"/>
    <x v="0"/>
    <x v="15"/>
    <x v="0"/>
    <x v="0"/>
    <x v="131"/>
    <x v="14"/>
    <x v="0"/>
    <x v="0"/>
    <x v="0"/>
    <x v="131"/>
    <x v="135"/>
    <x v="0"/>
    <x v="0"/>
    <x v="0"/>
    <x v="0"/>
    <x v="0"/>
    <x v="0"/>
    <x v="0"/>
    <x v="0"/>
    <x v="0"/>
    <x v="97"/>
    <x v="134"/>
    <x v="0"/>
    <x v="131"/>
    <x v="134"/>
    <x v="1"/>
    <x v="0"/>
    <x v="144"/>
    <x v="2"/>
    <x v="0"/>
    <x v="2"/>
    <x v="0"/>
    <x v="0"/>
    <x v="15"/>
    <x v="0"/>
    <x v="0"/>
    <x v="0"/>
    <x v="0"/>
    <x v="134"/>
    <x v="0"/>
    <x v="2"/>
    <x v="134"/>
    <x v="0"/>
    <x v="0"/>
    <x v="110"/>
    <x v="0"/>
    <x v="110"/>
    <x v="1"/>
    <x v="144"/>
    <x v="0"/>
    <x v="0"/>
    <x v="1"/>
    <x v="0"/>
    <x v="14"/>
    <x v="154"/>
    <x v="154"/>
    <x v="0"/>
    <x v="0"/>
    <x v="0"/>
    <x v="134"/>
    <x v="0"/>
    <x v="0"/>
    <x v="0"/>
    <x v="0"/>
    <x v="110"/>
    <x v="0"/>
    <x v="0"/>
    <x v="0"/>
    <x v="12"/>
    <x v="0"/>
    <x v="37"/>
    <x v="37"/>
    <x v="97"/>
    <x v="0"/>
    <x v="0"/>
    <x v="0"/>
    <x v="0"/>
    <x v="127"/>
    <x v="11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10"/>
    <x v="90"/>
    <x v="0"/>
    <x v="0"/>
    <x v="0"/>
    <x v="0"/>
    <x v="0"/>
    <x v="64"/>
  </r>
  <r>
    <x v="1"/>
    <x v="155"/>
    <x v="0"/>
    <x v="12"/>
    <x v="0"/>
    <x v="0"/>
    <x v="0"/>
    <x v="79"/>
    <x v="136"/>
    <x v="0"/>
    <x v="0"/>
    <x v="0"/>
    <x v="1"/>
    <x v="0"/>
    <x v="0"/>
    <x v="79"/>
    <x v="2"/>
    <x v="0"/>
    <x v="0"/>
    <x v="0"/>
    <x v="79"/>
    <x v="136"/>
    <x v="0"/>
    <x v="0"/>
    <x v="0"/>
    <x v="0"/>
    <x v="0"/>
    <x v="0"/>
    <x v="1"/>
    <x v="1"/>
    <x v="0"/>
    <x v="4"/>
    <x v="81"/>
    <x v="0"/>
    <x v="79"/>
    <x v="81"/>
    <x v="55"/>
    <x v="0"/>
    <x v="145"/>
    <x v="0"/>
    <x v="0"/>
    <x v="0"/>
    <x v="0"/>
    <x v="0"/>
    <x v="1"/>
    <x v="0"/>
    <x v="0"/>
    <x v="0"/>
    <x v="0"/>
    <x v="81"/>
    <x v="0"/>
    <x v="0"/>
    <x v="81"/>
    <x v="0"/>
    <x v="0"/>
    <x v="6"/>
    <x v="0"/>
    <x v="111"/>
    <x v="55"/>
    <x v="145"/>
    <x v="0"/>
    <x v="1"/>
    <x v="0"/>
    <x v="0"/>
    <x v="14"/>
    <x v="155"/>
    <x v="155"/>
    <x v="0"/>
    <x v="0"/>
    <x v="0"/>
    <x v="81"/>
    <x v="0"/>
    <x v="0"/>
    <x v="0"/>
    <x v="0"/>
    <x v="111"/>
    <x v="0"/>
    <x v="0"/>
    <x v="0"/>
    <x v="11"/>
    <x v="0"/>
    <x v="3"/>
    <x v="3"/>
    <x v="4"/>
    <x v="1"/>
    <x v="0"/>
    <x v="0"/>
    <x v="0"/>
    <x v="128"/>
    <x v="11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11"/>
    <x v="4"/>
    <x v="0"/>
    <x v="0"/>
    <x v="0"/>
    <x v="0"/>
    <x v="0"/>
    <x v="0"/>
  </r>
  <r>
    <x v="0"/>
    <x v="156"/>
    <x v="0"/>
    <x v="12"/>
    <x v="0"/>
    <x v="0"/>
    <x v="0"/>
    <x v="46"/>
    <x v="47"/>
    <x v="0"/>
    <x v="0"/>
    <x v="0"/>
    <x v="4"/>
    <x v="0"/>
    <x v="0"/>
    <x v="46"/>
    <x v="4"/>
    <x v="0"/>
    <x v="0"/>
    <x v="0"/>
    <x v="46"/>
    <x v="47"/>
    <x v="0"/>
    <x v="0"/>
    <x v="0"/>
    <x v="0"/>
    <x v="0"/>
    <x v="0"/>
    <x v="0"/>
    <x v="0"/>
    <x v="0"/>
    <x v="98"/>
    <x v="50"/>
    <x v="0"/>
    <x v="46"/>
    <x v="50"/>
    <x v="1"/>
    <x v="0"/>
    <x v="51"/>
    <x v="2"/>
    <x v="0"/>
    <x v="2"/>
    <x v="0"/>
    <x v="0"/>
    <x v="4"/>
    <x v="0"/>
    <x v="0"/>
    <x v="0"/>
    <x v="0"/>
    <x v="50"/>
    <x v="0"/>
    <x v="2"/>
    <x v="50"/>
    <x v="0"/>
    <x v="0"/>
    <x v="38"/>
    <x v="0"/>
    <x v="37"/>
    <x v="1"/>
    <x v="51"/>
    <x v="0"/>
    <x v="0"/>
    <x v="1"/>
    <x v="0"/>
    <x v="14"/>
    <x v="156"/>
    <x v="156"/>
    <x v="0"/>
    <x v="0"/>
    <x v="0"/>
    <x v="50"/>
    <x v="0"/>
    <x v="0"/>
    <x v="0"/>
    <x v="0"/>
    <x v="37"/>
    <x v="0"/>
    <x v="0"/>
    <x v="0"/>
    <x v="11"/>
    <x v="0"/>
    <x v="12"/>
    <x v="12"/>
    <x v="98"/>
    <x v="0"/>
    <x v="0"/>
    <x v="0"/>
    <x v="0"/>
    <x v="129"/>
    <x v="37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97"/>
    <x v="79"/>
    <x v="0"/>
    <x v="0"/>
    <x v="0"/>
    <x v="0"/>
    <x v="0"/>
    <x v="65"/>
  </r>
  <r>
    <x v="1"/>
    <x v="157"/>
    <x v="2"/>
    <x v="14"/>
    <x v="0"/>
    <x v="0"/>
    <x v="0"/>
    <x v="132"/>
    <x v="137"/>
    <x v="0"/>
    <x v="0"/>
    <x v="0"/>
    <x v="19"/>
    <x v="3"/>
    <x v="0"/>
    <x v="132"/>
    <x v="5"/>
    <x v="0"/>
    <x v="0"/>
    <x v="0"/>
    <x v="132"/>
    <x v="137"/>
    <x v="0"/>
    <x v="3"/>
    <x v="0"/>
    <x v="0"/>
    <x v="0"/>
    <x v="0"/>
    <x v="1"/>
    <x v="1"/>
    <x v="0"/>
    <x v="4"/>
    <x v="135"/>
    <x v="0"/>
    <x v="132"/>
    <x v="135"/>
    <x v="1"/>
    <x v="0"/>
    <x v="146"/>
    <x v="3"/>
    <x v="0"/>
    <x v="3"/>
    <x v="0"/>
    <x v="0"/>
    <x v="19"/>
    <x v="0"/>
    <x v="0"/>
    <x v="0"/>
    <x v="0"/>
    <x v="135"/>
    <x v="0"/>
    <x v="3"/>
    <x v="135"/>
    <x v="0"/>
    <x v="0"/>
    <x v="6"/>
    <x v="1"/>
    <x v="7"/>
    <x v="1"/>
    <x v="146"/>
    <x v="0"/>
    <x v="6"/>
    <x v="4"/>
    <x v="0"/>
    <x v="15"/>
    <x v="157"/>
    <x v="157"/>
    <x v="0"/>
    <x v="0"/>
    <x v="0"/>
    <x v="135"/>
    <x v="0"/>
    <x v="0"/>
    <x v="0"/>
    <x v="0"/>
    <x v="7"/>
    <x v="0"/>
    <x v="0"/>
    <x v="0"/>
    <x v="13"/>
    <x v="0"/>
    <x v="3"/>
    <x v="3"/>
    <x v="4"/>
    <x v="1"/>
    <x v="0"/>
    <x v="0"/>
    <x v="0"/>
    <x v="130"/>
    <x v="7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87"/>
    <x v="4"/>
    <x v="0"/>
    <x v="0"/>
    <x v="0"/>
    <x v="0"/>
    <x v="0"/>
    <x v="0"/>
  </r>
  <r>
    <x v="1"/>
    <x v="158"/>
    <x v="2"/>
    <x v="14"/>
    <x v="0"/>
    <x v="0"/>
    <x v="0"/>
    <x v="133"/>
    <x v="138"/>
    <x v="0"/>
    <x v="0"/>
    <x v="0"/>
    <x v="6"/>
    <x v="3"/>
    <x v="0"/>
    <x v="133"/>
    <x v="6"/>
    <x v="0"/>
    <x v="0"/>
    <x v="0"/>
    <x v="133"/>
    <x v="138"/>
    <x v="0"/>
    <x v="3"/>
    <x v="0"/>
    <x v="0"/>
    <x v="0"/>
    <x v="0"/>
    <x v="1"/>
    <x v="1"/>
    <x v="0"/>
    <x v="4"/>
    <x v="136"/>
    <x v="0"/>
    <x v="133"/>
    <x v="136"/>
    <x v="1"/>
    <x v="0"/>
    <x v="147"/>
    <x v="3"/>
    <x v="0"/>
    <x v="3"/>
    <x v="0"/>
    <x v="0"/>
    <x v="6"/>
    <x v="0"/>
    <x v="0"/>
    <x v="0"/>
    <x v="0"/>
    <x v="136"/>
    <x v="0"/>
    <x v="3"/>
    <x v="136"/>
    <x v="0"/>
    <x v="0"/>
    <x v="6"/>
    <x v="1"/>
    <x v="7"/>
    <x v="1"/>
    <x v="147"/>
    <x v="0"/>
    <x v="6"/>
    <x v="4"/>
    <x v="0"/>
    <x v="15"/>
    <x v="158"/>
    <x v="158"/>
    <x v="0"/>
    <x v="0"/>
    <x v="0"/>
    <x v="136"/>
    <x v="0"/>
    <x v="0"/>
    <x v="0"/>
    <x v="0"/>
    <x v="7"/>
    <x v="0"/>
    <x v="0"/>
    <x v="0"/>
    <x v="13"/>
    <x v="0"/>
    <x v="3"/>
    <x v="3"/>
    <x v="4"/>
    <x v="1"/>
    <x v="0"/>
    <x v="0"/>
    <x v="0"/>
    <x v="131"/>
    <x v="7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11"/>
    <x v="4"/>
    <x v="0"/>
    <x v="0"/>
    <x v="0"/>
    <x v="0"/>
    <x v="0"/>
    <x v="0"/>
  </r>
  <r>
    <x v="0"/>
    <x v="159"/>
    <x v="0"/>
    <x v="14"/>
    <x v="0"/>
    <x v="0"/>
    <x v="0"/>
    <x v="134"/>
    <x v="139"/>
    <x v="0"/>
    <x v="0"/>
    <x v="0"/>
    <x v="8"/>
    <x v="0"/>
    <x v="0"/>
    <x v="134"/>
    <x v="8"/>
    <x v="0"/>
    <x v="0"/>
    <x v="0"/>
    <x v="134"/>
    <x v="139"/>
    <x v="0"/>
    <x v="0"/>
    <x v="0"/>
    <x v="0"/>
    <x v="0"/>
    <x v="0"/>
    <x v="0"/>
    <x v="0"/>
    <x v="0"/>
    <x v="99"/>
    <x v="137"/>
    <x v="0"/>
    <x v="134"/>
    <x v="137"/>
    <x v="1"/>
    <x v="0"/>
    <x v="148"/>
    <x v="2"/>
    <x v="0"/>
    <x v="2"/>
    <x v="0"/>
    <x v="0"/>
    <x v="8"/>
    <x v="0"/>
    <x v="0"/>
    <x v="0"/>
    <x v="0"/>
    <x v="137"/>
    <x v="0"/>
    <x v="2"/>
    <x v="137"/>
    <x v="0"/>
    <x v="0"/>
    <x v="111"/>
    <x v="0"/>
    <x v="112"/>
    <x v="1"/>
    <x v="148"/>
    <x v="0"/>
    <x v="7"/>
    <x v="5"/>
    <x v="0"/>
    <x v="15"/>
    <x v="159"/>
    <x v="159"/>
    <x v="0"/>
    <x v="0"/>
    <x v="0"/>
    <x v="137"/>
    <x v="0"/>
    <x v="0"/>
    <x v="0"/>
    <x v="0"/>
    <x v="112"/>
    <x v="0"/>
    <x v="0"/>
    <x v="0"/>
    <x v="13"/>
    <x v="0"/>
    <x v="56"/>
    <x v="56"/>
    <x v="99"/>
    <x v="0"/>
    <x v="0"/>
    <x v="0"/>
    <x v="0"/>
    <x v="132"/>
    <x v="112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112"/>
    <x v="91"/>
    <x v="0"/>
    <x v="0"/>
    <x v="0"/>
    <x v="0"/>
    <x v="0"/>
    <x v="66"/>
  </r>
  <r>
    <x v="0"/>
    <x v="160"/>
    <x v="0"/>
    <x v="14"/>
    <x v="0"/>
    <x v="0"/>
    <x v="0"/>
    <x v="135"/>
    <x v="140"/>
    <x v="0"/>
    <x v="0"/>
    <x v="0"/>
    <x v="0"/>
    <x v="0"/>
    <x v="0"/>
    <x v="135"/>
    <x v="0"/>
    <x v="0"/>
    <x v="0"/>
    <x v="0"/>
    <x v="135"/>
    <x v="140"/>
    <x v="0"/>
    <x v="0"/>
    <x v="0"/>
    <x v="0"/>
    <x v="0"/>
    <x v="0"/>
    <x v="0"/>
    <x v="0"/>
    <x v="0"/>
    <x v="100"/>
    <x v="138"/>
    <x v="0"/>
    <x v="135"/>
    <x v="138"/>
    <x v="1"/>
    <x v="0"/>
    <x v="149"/>
    <x v="2"/>
    <x v="0"/>
    <x v="2"/>
    <x v="0"/>
    <x v="0"/>
    <x v="0"/>
    <x v="0"/>
    <x v="0"/>
    <x v="0"/>
    <x v="0"/>
    <x v="138"/>
    <x v="0"/>
    <x v="2"/>
    <x v="138"/>
    <x v="0"/>
    <x v="0"/>
    <x v="112"/>
    <x v="0"/>
    <x v="113"/>
    <x v="1"/>
    <x v="149"/>
    <x v="0"/>
    <x v="0"/>
    <x v="1"/>
    <x v="0"/>
    <x v="15"/>
    <x v="160"/>
    <x v="160"/>
    <x v="0"/>
    <x v="0"/>
    <x v="0"/>
    <x v="138"/>
    <x v="0"/>
    <x v="0"/>
    <x v="0"/>
    <x v="0"/>
    <x v="113"/>
    <x v="0"/>
    <x v="0"/>
    <x v="0"/>
    <x v="13"/>
    <x v="0"/>
    <x v="4"/>
    <x v="4"/>
    <x v="100"/>
    <x v="0"/>
    <x v="0"/>
    <x v="0"/>
    <x v="0"/>
    <x v="133"/>
    <x v="1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3"/>
    <x v="92"/>
    <x v="0"/>
    <x v="0"/>
    <x v="0"/>
    <x v="0"/>
    <x v="0"/>
    <x v="67"/>
  </r>
  <r>
    <x v="0"/>
    <x v="161"/>
    <x v="0"/>
    <x v="12"/>
    <x v="0"/>
    <x v="0"/>
    <x v="0"/>
    <x v="136"/>
    <x v="141"/>
    <x v="0"/>
    <x v="0"/>
    <x v="0"/>
    <x v="1"/>
    <x v="0"/>
    <x v="0"/>
    <x v="136"/>
    <x v="2"/>
    <x v="0"/>
    <x v="0"/>
    <x v="0"/>
    <x v="136"/>
    <x v="141"/>
    <x v="0"/>
    <x v="0"/>
    <x v="0"/>
    <x v="0"/>
    <x v="0"/>
    <x v="0"/>
    <x v="0"/>
    <x v="0"/>
    <x v="0"/>
    <x v="101"/>
    <x v="139"/>
    <x v="0"/>
    <x v="136"/>
    <x v="139"/>
    <x v="1"/>
    <x v="0"/>
    <x v="150"/>
    <x v="0"/>
    <x v="0"/>
    <x v="0"/>
    <x v="0"/>
    <x v="0"/>
    <x v="1"/>
    <x v="0"/>
    <x v="0"/>
    <x v="0"/>
    <x v="0"/>
    <x v="139"/>
    <x v="0"/>
    <x v="0"/>
    <x v="139"/>
    <x v="0"/>
    <x v="0"/>
    <x v="113"/>
    <x v="0"/>
    <x v="114"/>
    <x v="1"/>
    <x v="150"/>
    <x v="0"/>
    <x v="1"/>
    <x v="0"/>
    <x v="0"/>
    <x v="15"/>
    <x v="161"/>
    <x v="161"/>
    <x v="0"/>
    <x v="0"/>
    <x v="0"/>
    <x v="139"/>
    <x v="0"/>
    <x v="0"/>
    <x v="0"/>
    <x v="0"/>
    <x v="114"/>
    <x v="0"/>
    <x v="0"/>
    <x v="0"/>
    <x v="11"/>
    <x v="0"/>
    <x v="57"/>
    <x v="57"/>
    <x v="101"/>
    <x v="0"/>
    <x v="0"/>
    <x v="0"/>
    <x v="0"/>
    <x v="134"/>
    <x v="11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14"/>
    <x v="93"/>
    <x v="0"/>
    <x v="0"/>
    <x v="0"/>
    <x v="0"/>
    <x v="0"/>
    <x v="0"/>
  </r>
  <r>
    <x v="0"/>
    <x v="162"/>
    <x v="0"/>
    <x v="14"/>
    <x v="0"/>
    <x v="0"/>
    <x v="0"/>
    <x v="137"/>
    <x v="142"/>
    <x v="0"/>
    <x v="0"/>
    <x v="0"/>
    <x v="0"/>
    <x v="0"/>
    <x v="0"/>
    <x v="137"/>
    <x v="0"/>
    <x v="0"/>
    <x v="0"/>
    <x v="0"/>
    <x v="137"/>
    <x v="142"/>
    <x v="0"/>
    <x v="0"/>
    <x v="0"/>
    <x v="0"/>
    <x v="0"/>
    <x v="0"/>
    <x v="0"/>
    <x v="0"/>
    <x v="0"/>
    <x v="102"/>
    <x v="140"/>
    <x v="0"/>
    <x v="137"/>
    <x v="140"/>
    <x v="1"/>
    <x v="0"/>
    <x v="151"/>
    <x v="2"/>
    <x v="0"/>
    <x v="2"/>
    <x v="0"/>
    <x v="0"/>
    <x v="0"/>
    <x v="0"/>
    <x v="0"/>
    <x v="0"/>
    <x v="0"/>
    <x v="140"/>
    <x v="0"/>
    <x v="2"/>
    <x v="140"/>
    <x v="0"/>
    <x v="0"/>
    <x v="114"/>
    <x v="0"/>
    <x v="115"/>
    <x v="1"/>
    <x v="151"/>
    <x v="0"/>
    <x v="0"/>
    <x v="1"/>
    <x v="0"/>
    <x v="15"/>
    <x v="162"/>
    <x v="162"/>
    <x v="0"/>
    <x v="0"/>
    <x v="0"/>
    <x v="140"/>
    <x v="0"/>
    <x v="0"/>
    <x v="0"/>
    <x v="0"/>
    <x v="115"/>
    <x v="0"/>
    <x v="0"/>
    <x v="0"/>
    <x v="13"/>
    <x v="0"/>
    <x v="36"/>
    <x v="36"/>
    <x v="102"/>
    <x v="0"/>
    <x v="0"/>
    <x v="0"/>
    <x v="0"/>
    <x v="135"/>
    <x v="1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5"/>
    <x v="94"/>
    <x v="0"/>
    <x v="0"/>
    <x v="0"/>
    <x v="0"/>
    <x v="0"/>
    <x v="68"/>
  </r>
  <r>
    <x v="0"/>
    <x v="163"/>
    <x v="0"/>
    <x v="14"/>
    <x v="0"/>
    <x v="0"/>
    <x v="0"/>
    <x v="10"/>
    <x v="143"/>
    <x v="0"/>
    <x v="0"/>
    <x v="0"/>
    <x v="1"/>
    <x v="0"/>
    <x v="0"/>
    <x v="10"/>
    <x v="2"/>
    <x v="0"/>
    <x v="0"/>
    <x v="0"/>
    <x v="10"/>
    <x v="143"/>
    <x v="0"/>
    <x v="0"/>
    <x v="0"/>
    <x v="0"/>
    <x v="0"/>
    <x v="0"/>
    <x v="0"/>
    <x v="0"/>
    <x v="0"/>
    <x v="103"/>
    <x v="11"/>
    <x v="0"/>
    <x v="10"/>
    <x v="11"/>
    <x v="1"/>
    <x v="0"/>
    <x v="152"/>
    <x v="4"/>
    <x v="0"/>
    <x v="4"/>
    <x v="0"/>
    <x v="0"/>
    <x v="1"/>
    <x v="0"/>
    <x v="0"/>
    <x v="0"/>
    <x v="0"/>
    <x v="11"/>
    <x v="0"/>
    <x v="4"/>
    <x v="11"/>
    <x v="0"/>
    <x v="0"/>
    <x v="9"/>
    <x v="0"/>
    <x v="116"/>
    <x v="1"/>
    <x v="152"/>
    <x v="0"/>
    <x v="0"/>
    <x v="1"/>
    <x v="0"/>
    <x v="15"/>
    <x v="163"/>
    <x v="163"/>
    <x v="0"/>
    <x v="0"/>
    <x v="0"/>
    <x v="11"/>
    <x v="0"/>
    <x v="0"/>
    <x v="0"/>
    <x v="0"/>
    <x v="116"/>
    <x v="0"/>
    <x v="0"/>
    <x v="0"/>
    <x v="13"/>
    <x v="0"/>
    <x v="5"/>
    <x v="5"/>
    <x v="103"/>
    <x v="0"/>
    <x v="0"/>
    <x v="0"/>
    <x v="0"/>
    <x v="136"/>
    <x v="11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"/>
    <x v="6"/>
    <x v="0"/>
    <x v="0"/>
    <x v="0"/>
    <x v="0"/>
    <x v="0"/>
    <x v="0"/>
  </r>
  <r>
    <x v="0"/>
    <x v="164"/>
    <x v="0"/>
    <x v="14"/>
    <x v="0"/>
    <x v="0"/>
    <x v="0"/>
    <x v="11"/>
    <x v="11"/>
    <x v="0"/>
    <x v="0"/>
    <x v="0"/>
    <x v="1"/>
    <x v="0"/>
    <x v="0"/>
    <x v="11"/>
    <x v="2"/>
    <x v="0"/>
    <x v="0"/>
    <x v="0"/>
    <x v="11"/>
    <x v="11"/>
    <x v="0"/>
    <x v="0"/>
    <x v="0"/>
    <x v="0"/>
    <x v="0"/>
    <x v="0"/>
    <x v="0"/>
    <x v="0"/>
    <x v="0"/>
    <x v="103"/>
    <x v="12"/>
    <x v="0"/>
    <x v="11"/>
    <x v="12"/>
    <x v="1"/>
    <x v="0"/>
    <x v="12"/>
    <x v="4"/>
    <x v="0"/>
    <x v="4"/>
    <x v="0"/>
    <x v="0"/>
    <x v="1"/>
    <x v="0"/>
    <x v="0"/>
    <x v="0"/>
    <x v="0"/>
    <x v="12"/>
    <x v="0"/>
    <x v="4"/>
    <x v="12"/>
    <x v="0"/>
    <x v="0"/>
    <x v="10"/>
    <x v="0"/>
    <x v="117"/>
    <x v="1"/>
    <x v="12"/>
    <x v="0"/>
    <x v="0"/>
    <x v="1"/>
    <x v="0"/>
    <x v="15"/>
    <x v="164"/>
    <x v="164"/>
    <x v="0"/>
    <x v="0"/>
    <x v="0"/>
    <x v="12"/>
    <x v="0"/>
    <x v="0"/>
    <x v="0"/>
    <x v="0"/>
    <x v="117"/>
    <x v="0"/>
    <x v="0"/>
    <x v="0"/>
    <x v="13"/>
    <x v="0"/>
    <x v="5"/>
    <x v="5"/>
    <x v="103"/>
    <x v="0"/>
    <x v="0"/>
    <x v="0"/>
    <x v="0"/>
    <x v="137"/>
    <x v="11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7"/>
    <x v="6"/>
    <x v="0"/>
    <x v="0"/>
    <x v="0"/>
    <x v="0"/>
    <x v="0"/>
    <x v="0"/>
  </r>
  <r>
    <x v="0"/>
    <x v="165"/>
    <x v="0"/>
    <x v="15"/>
    <x v="0"/>
    <x v="0"/>
    <x v="0"/>
    <x v="138"/>
    <x v="144"/>
    <x v="0"/>
    <x v="0"/>
    <x v="0"/>
    <x v="0"/>
    <x v="0"/>
    <x v="0"/>
    <x v="138"/>
    <x v="0"/>
    <x v="0"/>
    <x v="0"/>
    <x v="0"/>
    <x v="138"/>
    <x v="144"/>
    <x v="0"/>
    <x v="0"/>
    <x v="0"/>
    <x v="0"/>
    <x v="0"/>
    <x v="0"/>
    <x v="0"/>
    <x v="0"/>
    <x v="0"/>
    <x v="104"/>
    <x v="141"/>
    <x v="0"/>
    <x v="138"/>
    <x v="141"/>
    <x v="56"/>
    <x v="0"/>
    <x v="153"/>
    <x v="0"/>
    <x v="0"/>
    <x v="0"/>
    <x v="0"/>
    <x v="0"/>
    <x v="0"/>
    <x v="0"/>
    <x v="0"/>
    <x v="0"/>
    <x v="0"/>
    <x v="141"/>
    <x v="0"/>
    <x v="0"/>
    <x v="141"/>
    <x v="0"/>
    <x v="0"/>
    <x v="115"/>
    <x v="0"/>
    <x v="118"/>
    <x v="56"/>
    <x v="153"/>
    <x v="0"/>
    <x v="0"/>
    <x v="0"/>
    <x v="0"/>
    <x v="15"/>
    <x v="165"/>
    <x v="165"/>
    <x v="0"/>
    <x v="0"/>
    <x v="0"/>
    <x v="141"/>
    <x v="0"/>
    <x v="0"/>
    <x v="0"/>
    <x v="0"/>
    <x v="118"/>
    <x v="0"/>
    <x v="0"/>
    <x v="0"/>
    <x v="14"/>
    <x v="0"/>
    <x v="27"/>
    <x v="27"/>
    <x v="104"/>
    <x v="0"/>
    <x v="0"/>
    <x v="0"/>
    <x v="0"/>
    <x v="138"/>
    <x v="1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5"/>
    <x v="94"/>
    <x v="0"/>
    <x v="0"/>
    <x v="0"/>
    <x v="0"/>
    <x v="0"/>
    <x v="0"/>
  </r>
  <r>
    <x v="0"/>
    <x v="166"/>
    <x v="0"/>
    <x v="15"/>
    <x v="0"/>
    <x v="0"/>
    <x v="0"/>
    <x v="93"/>
    <x v="95"/>
    <x v="0"/>
    <x v="0"/>
    <x v="0"/>
    <x v="0"/>
    <x v="0"/>
    <x v="0"/>
    <x v="93"/>
    <x v="0"/>
    <x v="0"/>
    <x v="0"/>
    <x v="0"/>
    <x v="93"/>
    <x v="95"/>
    <x v="0"/>
    <x v="0"/>
    <x v="0"/>
    <x v="0"/>
    <x v="0"/>
    <x v="0"/>
    <x v="0"/>
    <x v="0"/>
    <x v="0"/>
    <x v="104"/>
    <x v="94"/>
    <x v="0"/>
    <x v="93"/>
    <x v="94"/>
    <x v="1"/>
    <x v="0"/>
    <x v="101"/>
    <x v="1"/>
    <x v="0"/>
    <x v="1"/>
    <x v="0"/>
    <x v="0"/>
    <x v="0"/>
    <x v="0"/>
    <x v="0"/>
    <x v="0"/>
    <x v="0"/>
    <x v="94"/>
    <x v="0"/>
    <x v="1"/>
    <x v="94"/>
    <x v="0"/>
    <x v="0"/>
    <x v="73"/>
    <x v="0"/>
    <x v="119"/>
    <x v="1"/>
    <x v="101"/>
    <x v="0"/>
    <x v="0"/>
    <x v="1"/>
    <x v="0"/>
    <x v="15"/>
    <x v="166"/>
    <x v="166"/>
    <x v="0"/>
    <x v="0"/>
    <x v="0"/>
    <x v="94"/>
    <x v="0"/>
    <x v="0"/>
    <x v="0"/>
    <x v="0"/>
    <x v="119"/>
    <x v="0"/>
    <x v="0"/>
    <x v="0"/>
    <x v="14"/>
    <x v="0"/>
    <x v="27"/>
    <x v="27"/>
    <x v="104"/>
    <x v="0"/>
    <x v="0"/>
    <x v="0"/>
    <x v="0"/>
    <x v="138"/>
    <x v="1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5"/>
    <x v="94"/>
    <x v="0"/>
    <x v="0"/>
    <x v="0"/>
    <x v="0"/>
    <x v="0"/>
    <x v="0"/>
  </r>
  <r>
    <x v="0"/>
    <x v="167"/>
    <x v="0"/>
    <x v="14"/>
    <x v="0"/>
    <x v="0"/>
    <x v="0"/>
    <x v="139"/>
    <x v="145"/>
    <x v="0"/>
    <x v="0"/>
    <x v="0"/>
    <x v="12"/>
    <x v="1"/>
    <x v="0"/>
    <x v="139"/>
    <x v="11"/>
    <x v="0"/>
    <x v="0"/>
    <x v="0"/>
    <x v="139"/>
    <x v="145"/>
    <x v="0"/>
    <x v="0"/>
    <x v="0"/>
    <x v="0"/>
    <x v="0"/>
    <x v="0"/>
    <x v="0"/>
    <x v="0"/>
    <x v="0"/>
    <x v="105"/>
    <x v="142"/>
    <x v="0"/>
    <x v="139"/>
    <x v="142"/>
    <x v="1"/>
    <x v="0"/>
    <x v="154"/>
    <x v="0"/>
    <x v="0"/>
    <x v="0"/>
    <x v="0"/>
    <x v="0"/>
    <x v="12"/>
    <x v="0"/>
    <x v="0"/>
    <x v="0"/>
    <x v="0"/>
    <x v="142"/>
    <x v="0"/>
    <x v="0"/>
    <x v="142"/>
    <x v="0"/>
    <x v="0"/>
    <x v="116"/>
    <x v="0"/>
    <x v="120"/>
    <x v="1"/>
    <x v="154"/>
    <x v="0"/>
    <x v="0"/>
    <x v="1"/>
    <x v="0"/>
    <x v="15"/>
    <x v="167"/>
    <x v="167"/>
    <x v="0"/>
    <x v="0"/>
    <x v="0"/>
    <x v="142"/>
    <x v="0"/>
    <x v="0"/>
    <x v="0"/>
    <x v="0"/>
    <x v="120"/>
    <x v="0"/>
    <x v="0"/>
    <x v="0"/>
    <x v="13"/>
    <x v="0"/>
    <x v="58"/>
    <x v="58"/>
    <x v="105"/>
    <x v="0"/>
    <x v="0"/>
    <x v="0"/>
    <x v="0"/>
    <x v="139"/>
    <x v="12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5"/>
    <x v="71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106"/>
    <x v="143"/>
    <x v="0"/>
    <x v="7"/>
    <x v="143"/>
    <x v="1"/>
    <x v="0"/>
    <x v="155"/>
    <x v="0"/>
    <x v="1"/>
    <x v="0"/>
    <x v="1"/>
    <x v="0"/>
    <x v="3"/>
    <x v="0"/>
    <x v="0"/>
    <x v="0"/>
    <x v="0"/>
    <x v="143"/>
    <x v="1"/>
    <x v="0"/>
    <x v="143"/>
    <x v="0"/>
    <x v="0"/>
    <x v="117"/>
    <x v="0"/>
    <x v="121"/>
    <x v="1"/>
    <x v="155"/>
    <x v="1"/>
    <x v="3"/>
    <x v="3"/>
    <x v="1"/>
    <x v="1"/>
    <x v="9"/>
    <x v="9"/>
    <x v="0"/>
    <x v="0"/>
    <x v="1"/>
    <x v="143"/>
    <x v="0"/>
    <x v="0"/>
    <x v="0"/>
    <x v="1"/>
    <x v="121"/>
    <x v="0"/>
    <x v="1"/>
    <x v="1"/>
    <x v="13"/>
    <x v="0"/>
    <x v="15"/>
    <x v="15"/>
    <x v="106"/>
    <x v="0"/>
    <x v="1"/>
    <x v="0"/>
    <x v="0"/>
    <x v="5"/>
    <x v="121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168"/>
    <x v="0"/>
    <x v="14"/>
    <x v="0"/>
    <x v="0"/>
    <x v="0"/>
    <x v="140"/>
    <x v="146"/>
    <x v="0"/>
    <x v="0"/>
    <x v="0"/>
    <x v="20"/>
    <x v="0"/>
    <x v="0"/>
    <x v="140"/>
    <x v="17"/>
    <x v="0"/>
    <x v="0"/>
    <x v="0"/>
    <x v="140"/>
    <x v="146"/>
    <x v="0"/>
    <x v="3"/>
    <x v="0"/>
    <x v="0"/>
    <x v="0"/>
    <x v="0"/>
    <x v="1"/>
    <x v="1"/>
    <x v="0"/>
    <x v="4"/>
    <x v="144"/>
    <x v="0"/>
    <x v="140"/>
    <x v="144"/>
    <x v="1"/>
    <x v="0"/>
    <x v="156"/>
    <x v="0"/>
    <x v="0"/>
    <x v="0"/>
    <x v="0"/>
    <x v="0"/>
    <x v="20"/>
    <x v="0"/>
    <x v="0"/>
    <x v="0"/>
    <x v="0"/>
    <x v="144"/>
    <x v="0"/>
    <x v="0"/>
    <x v="144"/>
    <x v="81"/>
    <x v="0"/>
    <x v="6"/>
    <x v="1"/>
    <x v="7"/>
    <x v="1"/>
    <x v="156"/>
    <x v="0"/>
    <x v="0"/>
    <x v="7"/>
    <x v="0"/>
    <x v="15"/>
    <x v="168"/>
    <x v="168"/>
    <x v="0"/>
    <x v="0"/>
    <x v="0"/>
    <x v="144"/>
    <x v="0"/>
    <x v="0"/>
    <x v="0"/>
    <x v="0"/>
    <x v="7"/>
    <x v="0"/>
    <x v="0"/>
    <x v="0"/>
    <x v="13"/>
    <x v="0"/>
    <x v="3"/>
    <x v="3"/>
    <x v="4"/>
    <x v="1"/>
    <x v="0"/>
    <x v="0"/>
    <x v="0"/>
    <x v="140"/>
    <x v="7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69"/>
  </r>
  <r>
    <x v="0"/>
    <x v="169"/>
    <x v="0"/>
    <x v="12"/>
    <x v="0"/>
    <x v="0"/>
    <x v="0"/>
    <x v="141"/>
    <x v="147"/>
    <x v="0"/>
    <x v="0"/>
    <x v="0"/>
    <x v="1"/>
    <x v="0"/>
    <x v="0"/>
    <x v="141"/>
    <x v="2"/>
    <x v="0"/>
    <x v="0"/>
    <x v="0"/>
    <x v="141"/>
    <x v="147"/>
    <x v="0"/>
    <x v="0"/>
    <x v="0"/>
    <x v="0"/>
    <x v="0"/>
    <x v="0"/>
    <x v="0"/>
    <x v="0"/>
    <x v="0"/>
    <x v="107"/>
    <x v="145"/>
    <x v="0"/>
    <x v="141"/>
    <x v="145"/>
    <x v="57"/>
    <x v="0"/>
    <x v="157"/>
    <x v="0"/>
    <x v="0"/>
    <x v="0"/>
    <x v="0"/>
    <x v="0"/>
    <x v="1"/>
    <x v="0"/>
    <x v="0"/>
    <x v="0"/>
    <x v="0"/>
    <x v="145"/>
    <x v="0"/>
    <x v="0"/>
    <x v="145"/>
    <x v="0"/>
    <x v="0"/>
    <x v="118"/>
    <x v="0"/>
    <x v="122"/>
    <x v="57"/>
    <x v="157"/>
    <x v="0"/>
    <x v="0"/>
    <x v="0"/>
    <x v="0"/>
    <x v="15"/>
    <x v="169"/>
    <x v="169"/>
    <x v="0"/>
    <x v="0"/>
    <x v="0"/>
    <x v="145"/>
    <x v="0"/>
    <x v="0"/>
    <x v="0"/>
    <x v="0"/>
    <x v="122"/>
    <x v="0"/>
    <x v="0"/>
    <x v="0"/>
    <x v="11"/>
    <x v="0"/>
    <x v="59"/>
    <x v="59"/>
    <x v="107"/>
    <x v="0"/>
    <x v="0"/>
    <x v="0"/>
    <x v="0"/>
    <x v="141"/>
    <x v="12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16"/>
    <x v="95"/>
    <x v="0"/>
    <x v="0"/>
    <x v="0"/>
    <x v="0"/>
    <x v="0"/>
    <x v="0"/>
  </r>
  <r>
    <x v="0"/>
    <x v="170"/>
    <x v="0"/>
    <x v="12"/>
    <x v="0"/>
    <x v="0"/>
    <x v="0"/>
    <x v="142"/>
    <x v="148"/>
    <x v="0"/>
    <x v="0"/>
    <x v="0"/>
    <x v="1"/>
    <x v="0"/>
    <x v="0"/>
    <x v="142"/>
    <x v="2"/>
    <x v="0"/>
    <x v="0"/>
    <x v="0"/>
    <x v="142"/>
    <x v="148"/>
    <x v="0"/>
    <x v="0"/>
    <x v="0"/>
    <x v="0"/>
    <x v="0"/>
    <x v="0"/>
    <x v="0"/>
    <x v="0"/>
    <x v="0"/>
    <x v="107"/>
    <x v="146"/>
    <x v="0"/>
    <x v="142"/>
    <x v="146"/>
    <x v="1"/>
    <x v="0"/>
    <x v="158"/>
    <x v="1"/>
    <x v="0"/>
    <x v="1"/>
    <x v="0"/>
    <x v="0"/>
    <x v="1"/>
    <x v="0"/>
    <x v="0"/>
    <x v="0"/>
    <x v="0"/>
    <x v="146"/>
    <x v="0"/>
    <x v="1"/>
    <x v="146"/>
    <x v="0"/>
    <x v="0"/>
    <x v="119"/>
    <x v="0"/>
    <x v="123"/>
    <x v="1"/>
    <x v="158"/>
    <x v="0"/>
    <x v="0"/>
    <x v="1"/>
    <x v="0"/>
    <x v="15"/>
    <x v="170"/>
    <x v="170"/>
    <x v="0"/>
    <x v="0"/>
    <x v="0"/>
    <x v="146"/>
    <x v="0"/>
    <x v="0"/>
    <x v="0"/>
    <x v="0"/>
    <x v="123"/>
    <x v="0"/>
    <x v="0"/>
    <x v="0"/>
    <x v="11"/>
    <x v="0"/>
    <x v="59"/>
    <x v="59"/>
    <x v="107"/>
    <x v="0"/>
    <x v="0"/>
    <x v="0"/>
    <x v="0"/>
    <x v="141"/>
    <x v="12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16"/>
    <x v="95"/>
    <x v="0"/>
    <x v="0"/>
    <x v="0"/>
    <x v="0"/>
    <x v="0"/>
    <x v="0"/>
  </r>
  <r>
    <x v="1"/>
    <x v="171"/>
    <x v="0"/>
    <x v="14"/>
    <x v="0"/>
    <x v="0"/>
    <x v="0"/>
    <x v="143"/>
    <x v="149"/>
    <x v="0"/>
    <x v="0"/>
    <x v="0"/>
    <x v="20"/>
    <x v="0"/>
    <x v="0"/>
    <x v="143"/>
    <x v="17"/>
    <x v="0"/>
    <x v="0"/>
    <x v="0"/>
    <x v="143"/>
    <x v="149"/>
    <x v="0"/>
    <x v="3"/>
    <x v="0"/>
    <x v="0"/>
    <x v="0"/>
    <x v="0"/>
    <x v="1"/>
    <x v="1"/>
    <x v="0"/>
    <x v="4"/>
    <x v="147"/>
    <x v="0"/>
    <x v="143"/>
    <x v="147"/>
    <x v="1"/>
    <x v="0"/>
    <x v="159"/>
    <x v="0"/>
    <x v="0"/>
    <x v="0"/>
    <x v="0"/>
    <x v="0"/>
    <x v="20"/>
    <x v="0"/>
    <x v="0"/>
    <x v="0"/>
    <x v="0"/>
    <x v="147"/>
    <x v="0"/>
    <x v="0"/>
    <x v="147"/>
    <x v="82"/>
    <x v="0"/>
    <x v="6"/>
    <x v="1"/>
    <x v="7"/>
    <x v="1"/>
    <x v="159"/>
    <x v="0"/>
    <x v="0"/>
    <x v="7"/>
    <x v="0"/>
    <x v="15"/>
    <x v="171"/>
    <x v="171"/>
    <x v="0"/>
    <x v="0"/>
    <x v="0"/>
    <x v="147"/>
    <x v="0"/>
    <x v="0"/>
    <x v="0"/>
    <x v="0"/>
    <x v="7"/>
    <x v="0"/>
    <x v="0"/>
    <x v="0"/>
    <x v="13"/>
    <x v="0"/>
    <x v="3"/>
    <x v="3"/>
    <x v="4"/>
    <x v="1"/>
    <x v="0"/>
    <x v="0"/>
    <x v="0"/>
    <x v="142"/>
    <x v="7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70"/>
  </r>
  <r>
    <x v="0"/>
    <x v="172"/>
    <x v="0"/>
    <x v="14"/>
    <x v="0"/>
    <x v="0"/>
    <x v="0"/>
    <x v="144"/>
    <x v="150"/>
    <x v="0"/>
    <x v="0"/>
    <x v="0"/>
    <x v="4"/>
    <x v="0"/>
    <x v="0"/>
    <x v="144"/>
    <x v="4"/>
    <x v="0"/>
    <x v="0"/>
    <x v="0"/>
    <x v="144"/>
    <x v="150"/>
    <x v="0"/>
    <x v="0"/>
    <x v="0"/>
    <x v="0"/>
    <x v="0"/>
    <x v="0"/>
    <x v="0"/>
    <x v="0"/>
    <x v="0"/>
    <x v="108"/>
    <x v="148"/>
    <x v="0"/>
    <x v="144"/>
    <x v="148"/>
    <x v="1"/>
    <x v="0"/>
    <x v="160"/>
    <x v="2"/>
    <x v="0"/>
    <x v="2"/>
    <x v="0"/>
    <x v="0"/>
    <x v="4"/>
    <x v="0"/>
    <x v="0"/>
    <x v="0"/>
    <x v="0"/>
    <x v="148"/>
    <x v="0"/>
    <x v="2"/>
    <x v="148"/>
    <x v="0"/>
    <x v="0"/>
    <x v="120"/>
    <x v="0"/>
    <x v="124"/>
    <x v="1"/>
    <x v="160"/>
    <x v="0"/>
    <x v="4"/>
    <x v="0"/>
    <x v="0"/>
    <x v="15"/>
    <x v="172"/>
    <x v="172"/>
    <x v="0"/>
    <x v="0"/>
    <x v="0"/>
    <x v="148"/>
    <x v="0"/>
    <x v="0"/>
    <x v="0"/>
    <x v="0"/>
    <x v="124"/>
    <x v="0"/>
    <x v="0"/>
    <x v="0"/>
    <x v="13"/>
    <x v="0"/>
    <x v="0"/>
    <x v="0"/>
    <x v="108"/>
    <x v="0"/>
    <x v="0"/>
    <x v="0"/>
    <x v="0"/>
    <x v="143"/>
    <x v="124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17"/>
    <x v="96"/>
    <x v="0"/>
    <x v="0"/>
    <x v="0"/>
    <x v="0"/>
    <x v="0"/>
    <x v="71"/>
  </r>
  <r>
    <x v="0"/>
    <x v="173"/>
    <x v="0"/>
    <x v="14"/>
    <x v="0"/>
    <x v="0"/>
    <x v="0"/>
    <x v="145"/>
    <x v="151"/>
    <x v="0"/>
    <x v="0"/>
    <x v="0"/>
    <x v="1"/>
    <x v="0"/>
    <x v="0"/>
    <x v="145"/>
    <x v="2"/>
    <x v="0"/>
    <x v="0"/>
    <x v="0"/>
    <x v="145"/>
    <x v="151"/>
    <x v="0"/>
    <x v="0"/>
    <x v="0"/>
    <x v="0"/>
    <x v="0"/>
    <x v="0"/>
    <x v="0"/>
    <x v="0"/>
    <x v="0"/>
    <x v="109"/>
    <x v="149"/>
    <x v="0"/>
    <x v="145"/>
    <x v="149"/>
    <x v="1"/>
    <x v="0"/>
    <x v="161"/>
    <x v="2"/>
    <x v="0"/>
    <x v="2"/>
    <x v="0"/>
    <x v="0"/>
    <x v="1"/>
    <x v="0"/>
    <x v="0"/>
    <x v="0"/>
    <x v="0"/>
    <x v="149"/>
    <x v="0"/>
    <x v="2"/>
    <x v="149"/>
    <x v="0"/>
    <x v="0"/>
    <x v="121"/>
    <x v="0"/>
    <x v="125"/>
    <x v="1"/>
    <x v="161"/>
    <x v="0"/>
    <x v="1"/>
    <x v="0"/>
    <x v="0"/>
    <x v="15"/>
    <x v="173"/>
    <x v="173"/>
    <x v="0"/>
    <x v="0"/>
    <x v="0"/>
    <x v="149"/>
    <x v="0"/>
    <x v="0"/>
    <x v="0"/>
    <x v="0"/>
    <x v="125"/>
    <x v="0"/>
    <x v="0"/>
    <x v="0"/>
    <x v="13"/>
    <x v="0"/>
    <x v="39"/>
    <x v="39"/>
    <x v="109"/>
    <x v="0"/>
    <x v="0"/>
    <x v="0"/>
    <x v="0"/>
    <x v="144"/>
    <x v="12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18"/>
    <x v="97"/>
    <x v="0"/>
    <x v="0"/>
    <x v="0"/>
    <x v="0"/>
    <x v="0"/>
    <x v="72"/>
  </r>
  <r>
    <x v="1"/>
    <x v="174"/>
    <x v="0"/>
    <x v="14"/>
    <x v="0"/>
    <x v="0"/>
    <x v="0"/>
    <x v="146"/>
    <x v="152"/>
    <x v="0"/>
    <x v="0"/>
    <x v="0"/>
    <x v="21"/>
    <x v="0"/>
    <x v="0"/>
    <x v="146"/>
    <x v="17"/>
    <x v="0"/>
    <x v="0"/>
    <x v="0"/>
    <x v="146"/>
    <x v="152"/>
    <x v="0"/>
    <x v="3"/>
    <x v="0"/>
    <x v="0"/>
    <x v="0"/>
    <x v="0"/>
    <x v="1"/>
    <x v="1"/>
    <x v="0"/>
    <x v="4"/>
    <x v="150"/>
    <x v="0"/>
    <x v="146"/>
    <x v="150"/>
    <x v="1"/>
    <x v="0"/>
    <x v="162"/>
    <x v="0"/>
    <x v="0"/>
    <x v="0"/>
    <x v="0"/>
    <x v="0"/>
    <x v="21"/>
    <x v="0"/>
    <x v="0"/>
    <x v="0"/>
    <x v="0"/>
    <x v="150"/>
    <x v="0"/>
    <x v="0"/>
    <x v="150"/>
    <x v="0"/>
    <x v="0"/>
    <x v="6"/>
    <x v="1"/>
    <x v="7"/>
    <x v="1"/>
    <x v="162"/>
    <x v="0"/>
    <x v="0"/>
    <x v="0"/>
    <x v="0"/>
    <x v="15"/>
    <x v="174"/>
    <x v="174"/>
    <x v="0"/>
    <x v="0"/>
    <x v="0"/>
    <x v="150"/>
    <x v="0"/>
    <x v="0"/>
    <x v="0"/>
    <x v="0"/>
    <x v="7"/>
    <x v="0"/>
    <x v="0"/>
    <x v="0"/>
    <x v="13"/>
    <x v="0"/>
    <x v="3"/>
    <x v="3"/>
    <x v="4"/>
    <x v="1"/>
    <x v="0"/>
    <x v="0"/>
    <x v="0"/>
    <x v="145"/>
    <x v="7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175"/>
    <x v="0"/>
    <x v="14"/>
    <x v="0"/>
    <x v="0"/>
    <x v="0"/>
    <x v="147"/>
    <x v="153"/>
    <x v="0"/>
    <x v="0"/>
    <x v="0"/>
    <x v="12"/>
    <x v="0"/>
    <x v="0"/>
    <x v="147"/>
    <x v="10"/>
    <x v="0"/>
    <x v="0"/>
    <x v="0"/>
    <x v="147"/>
    <x v="153"/>
    <x v="0"/>
    <x v="0"/>
    <x v="0"/>
    <x v="0"/>
    <x v="0"/>
    <x v="0"/>
    <x v="0"/>
    <x v="0"/>
    <x v="0"/>
    <x v="110"/>
    <x v="151"/>
    <x v="0"/>
    <x v="147"/>
    <x v="151"/>
    <x v="1"/>
    <x v="0"/>
    <x v="163"/>
    <x v="0"/>
    <x v="0"/>
    <x v="0"/>
    <x v="0"/>
    <x v="0"/>
    <x v="12"/>
    <x v="0"/>
    <x v="0"/>
    <x v="0"/>
    <x v="0"/>
    <x v="151"/>
    <x v="0"/>
    <x v="0"/>
    <x v="151"/>
    <x v="0"/>
    <x v="0"/>
    <x v="122"/>
    <x v="0"/>
    <x v="126"/>
    <x v="1"/>
    <x v="163"/>
    <x v="0"/>
    <x v="0"/>
    <x v="1"/>
    <x v="0"/>
    <x v="15"/>
    <x v="175"/>
    <x v="175"/>
    <x v="0"/>
    <x v="0"/>
    <x v="0"/>
    <x v="151"/>
    <x v="0"/>
    <x v="0"/>
    <x v="0"/>
    <x v="0"/>
    <x v="126"/>
    <x v="0"/>
    <x v="0"/>
    <x v="0"/>
    <x v="13"/>
    <x v="0"/>
    <x v="60"/>
    <x v="60"/>
    <x v="110"/>
    <x v="0"/>
    <x v="0"/>
    <x v="0"/>
    <x v="0"/>
    <x v="146"/>
    <x v="12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09"/>
    <x v="98"/>
    <x v="0"/>
    <x v="0"/>
    <x v="0"/>
    <x v="0"/>
    <x v="0"/>
    <x v="0"/>
  </r>
  <r>
    <x v="0"/>
    <x v="176"/>
    <x v="0"/>
    <x v="14"/>
    <x v="0"/>
    <x v="0"/>
    <x v="0"/>
    <x v="148"/>
    <x v="154"/>
    <x v="0"/>
    <x v="0"/>
    <x v="0"/>
    <x v="0"/>
    <x v="0"/>
    <x v="0"/>
    <x v="148"/>
    <x v="0"/>
    <x v="0"/>
    <x v="0"/>
    <x v="0"/>
    <x v="148"/>
    <x v="154"/>
    <x v="0"/>
    <x v="0"/>
    <x v="0"/>
    <x v="0"/>
    <x v="0"/>
    <x v="0"/>
    <x v="0"/>
    <x v="0"/>
    <x v="0"/>
    <x v="111"/>
    <x v="152"/>
    <x v="0"/>
    <x v="148"/>
    <x v="152"/>
    <x v="1"/>
    <x v="0"/>
    <x v="164"/>
    <x v="4"/>
    <x v="0"/>
    <x v="4"/>
    <x v="0"/>
    <x v="0"/>
    <x v="0"/>
    <x v="0"/>
    <x v="0"/>
    <x v="0"/>
    <x v="0"/>
    <x v="152"/>
    <x v="0"/>
    <x v="4"/>
    <x v="152"/>
    <x v="0"/>
    <x v="0"/>
    <x v="123"/>
    <x v="0"/>
    <x v="127"/>
    <x v="1"/>
    <x v="164"/>
    <x v="0"/>
    <x v="0"/>
    <x v="1"/>
    <x v="0"/>
    <x v="15"/>
    <x v="176"/>
    <x v="176"/>
    <x v="0"/>
    <x v="0"/>
    <x v="0"/>
    <x v="152"/>
    <x v="0"/>
    <x v="0"/>
    <x v="0"/>
    <x v="0"/>
    <x v="127"/>
    <x v="0"/>
    <x v="0"/>
    <x v="0"/>
    <x v="13"/>
    <x v="0"/>
    <x v="56"/>
    <x v="56"/>
    <x v="111"/>
    <x v="0"/>
    <x v="0"/>
    <x v="0"/>
    <x v="0"/>
    <x v="147"/>
    <x v="1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9"/>
    <x v="99"/>
    <x v="0"/>
    <x v="0"/>
    <x v="0"/>
    <x v="0"/>
    <x v="0"/>
    <x v="0"/>
  </r>
  <r>
    <x v="0"/>
    <x v="177"/>
    <x v="0"/>
    <x v="14"/>
    <x v="0"/>
    <x v="0"/>
    <x v="0"/>
    <x v="149"/>
    <x v="155"/>
    <x v="0"/>
    <x v="0"/>
    <x v="0"/>
    <x v="0"/>
    <x v="0"/>
    <x v="0"/>
    <x v="149"/>
    <x v="0"/>
    <x v="0"/>
    <x v="0"/>
    <x v="0"/>
    <x v="149"/>
    <x v="155"/>
    <x v="0"/>
    <x v="0"/>
    <x v="0"/>
    <x v="0"/>
    <x v="0"/>
    <x v="0"/>
    <x v="0"/>
    <x v="0"/>
    <x v="0"/>
    <x v="111"/>
    <x v="153"/>
    <x v="0"/>
    <x v="149"/>
    <x v="153"/>
    <x v="1"/>
    <x v="0"/>
    <x v="165"/>
    <x v="4"/>
    <x v="0"/>
    <x v="4"/>
    <x v="0"/>
    <x v="0"/>
    <x v="0"/>
    <x v="0"/>
    <x v="0"/>
    <x v="0"/>
    <x v="0"/>
    <x v="153"/>
    <x v="0"/>
    <x v="4"/>
    <x v="153"/>
    <x v="0"/>
    <x v="0"/>
    <x v="124"/>
    <x v="0"/>
    <x v="128"/>
    <x v="1"/>
    <x v="165"/>
    <x v="0"/>
    <x v="0"/>
    <x v="1"/>
    <x v="0"/>
    <x v="15"/>
    <x v="177"/>
    <x v="177"/>
    <x v="0"/>
    <x v="0"/>
    <x v="0"/>
    <x v="153"/>
    <x v="0"/>
    <x v="0"/>
    <x v="0"/>
    <x v="0"/>
    <x v="128"/>
    <x v="0"/>
    <x v="0"/>
    <x v="0"/>
    <x v="13"/>
    <x v="0"/>
    <x v="56"/>
    <x v="56"/>
    <x v="111"/>
    <x v="0"/>
    <x v="0"/>
    <x v="0"/>
    <x v="0"/>
    <x v="148"/>
    <x v="1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9"/>
    <x v="99"/>
    <x v="0"/>
    <x v="0"/>
    <x v="0"/>
    <x v="0"/>
    <x v="0"/>
    <x v="0"/>
  </r>
  <r>
    <x v="0"/>
    <x v="178"/>
    <x v="0"/>
    <x v="15"/>
    <x v="0"/>
    <x v="0"/>
    <x v="0"/>
    <x v="150"/>
    <x v="156"/>
    <x v="0"/>
    <x v="0"/>
    <x v="0"/>
    <x v="4"/>
    <x v="0"/>
    <x v="0"/>
    <x v="150"/>
    <x v="4"/>
    <x v="0"/>
    <x v="0"/>
    <x v="0"/>
    <x v="150"/>
    <x v="156"/>
    <x v="0"/>
    <x v="0"/>
    <x v="0"/>
    <x v="0"/>
    <x v="0"/>
    <x v="0"/>
    <x v="0"/>
    <x v="0"/>
    <x v="0"/>
    <x v="112"/>
    <x v="154"/>
    <x v="0"/>
    <x v="150"/>
    <x v="154"/>
    <x v="58"/>
    <x v="0"/>
    <x v="166"/>
    <x v="0"/>
    <x v="0"/>
    <x v="0"/>
    <x v="0"/>
    <x v="0"/>
    <x v="4"/>
    <x v="0"/>
    <x v="0"/>
    <x v="0"/>
    <x v="0"/>
    <x v="154"/>
    <x v="0"/>
    <x v="0"/>
    <x v="154"/>
    <x v="0"/>
    <x v="0"/>
    <x v="125"/>
    <x v="0"/>
    <x v="129"/>
    <x v="58"/>
    <x v="166"/>
    <x v="0"/>
    <x v="0"/>
    <x v="0"/>
    <x v="0"/>
    <x v="16"/>
    <x v="178"/>
    <x v="178"/>
    <x v="0"/>
    <x v="0"/>
    <x v="0"/>
    <x v="154"/>
    <x v="0"/>
    <x v="0"/>
    <x v="0"/>
    <x v="0"/>
    <x v="129"/>
    <x v="0"/>
    <x v="0"/>
    <x v="0"/>
    <x v="14"/>
    <x v="0"/>
    <x v="20"/>
    <x v="20"/>
    <x v="112"/>
    <x v="0"/>
    <x v="0"/>
    <x v="0"/>
    <x v="0"/>
    <x v="149"/>
    <x v="129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20"/>
    <x v="100"/>
    <x v="0"/>
    <x v="0"/>
    <x v="0"/>
    <x v="0"/>
    <x v="0"/>
    <x v="0"/>
  </r>
  <r>
    <x v="0"/>
    <x v="179"/>
    <x v="0"/>
    <x v="15"/>
    <x v="0"/>
    <x v="0"/>
    <x v="0"/>
    <x v="151"/>
    <x v="157"/>
    <x v="0"/>
    <x v="0"/>
    <x v="0"/>
    <x v="4"/>
    <x v="0"/>
    <x v="0"/>
    <x v="151"/>
    <x v="4"/>
    <x v="0"/>
    <x v="0"/>
    <x v="0"/>
    <x v="151"/>
    <x v="157"/>
    <x v="0"/>
    <x v="0"/>
    <x v="0"/>
    <x v="0"/>
    <x v="0"/>
    <x v="0"/>
    <x v="0"/>
    <x v="0"/>
    <x v="0"/>
    <x v="112"/>
    <x v="155"/>
    <x v="0"/>
    <x v="151"/>
    <x v="155"/>
    <x v="1"/>
    <x v="0"/>
    <x v="167"/>
    <x v="1"/>
    <x v="0"/>
    <x v="1"/>
    <x v="0"/>
    <x v="0"/>
    <x v="4"/>
    <x v="0"/>
    <x v="0"/>
    <x v="0"/>
    <x v="0"/>
    <x v="155"/>
    <x v="0"/>
    <x v="1"/>
    <x v="155"/>
    <x v="0"/>
    <x v="0"/>
    <x v="126"/>
    <x v="0"/>
    <x v="130"/>
    <x v="1"/>
    <x v="167"/>
    <x v="0"/>
    <x v="0"/>
    <x v="1"/>
    <x v="0"/>
    <x v="16"/>
    <x v="179"/>
    <x v="179"/>
    <x v="0"/>
    <x v="0"/>
    <x v="0"/>
    <x v="155"/>
    <x v="0"/>
    <x v="0"/>
    <x v="0"/>
    <x v="0"/>
    <x v="130"/>
    <x v="0"/>
    <x v="0"/>
    <x v="0"/>
    <x v="14"/>
    <x v="0"/>
    <x v="20"/>
    <x v="20"/>
    <x v="112"/>
    <x v="0"/>
    <x v="0"/>
    <x v="0"/>
    <x v="0"/>
    <x v="149"/>
    <x v="13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20"/>
    <x v="100"/>
    <x v="0"/>
    <x v="0"/>
    <x v="0"/>
    <x v="0"/>
    <x v="0"/>
    <x v="0"/>
  </r>
  <r>
    <x v="1"/>
    <x v="180"/>
    <x v="1"/>
    <x v="15"/>
    <x v="0"/>
    <x v="0"/>
    <x v="0"/>
    <x v="152"/>
    <x v="158"/>
    <x v="0"/>
    <x v="0"/>
    <x v="0"/>
    <x v="22"/>
    <x v="1"/>
    <x v="0"/>
    <x v="152"/>
    <x v="3"/>
    <x v="0"/>
    <x v="0"/>
    <x v="0"/>
    <x v="152"/>
    <x v="158"/>
    <x v="0"/>
    <x v="3"/>
    <x v="0"/>
    <x v="0"/>
    <x v="0"/>
    <x v="0"/>
    <x v="1"/>
    <x v="1"/>
    <x v="0"/>
    <x v="4"/>
    <x v="156"/>
    <x v="0"/>
    <x v="152"/>
    <x v="156"/>
    <x v="1"/>
    <x v="0"/>
    <x v="168"/>
    <x v="0"/>
    <x v="0"/>
    <x v="0"/>
    <x v="0"/>
    <x v="0"/>
    <x v="22"/>
    <x v="0"/>
    <x v="0"/>
    <x v="0"/>
    <x v="0"/>
    <x v="156"/>
    <x v="0"/>
    <x v="0"/>
    <x v="156"/>
    <x v="0"/>
    <x v="0"/>
    <x v="6"/>
    <x v="1"/>
    <x v="7"/>
    <x v="1"/>
    <x v="168"/>
    <x v="0"/>
    <x v="11"/>
    <x v="9"/>
    <x v="0"/>
    <x v="16"/>
    <x v="180"/>
    <x v="180"/>
    <x v="0"/>
    <x v="0"/>
    <x v="0"/>
    <x v="156"/>
    <x v="0"/>
    <x v="0"/>
    <x v="0"/>
    <x v="0"/>
    <x v="7"/>
    <x v="0"/>
    <x v="0"/>
    <x v="0"/>
    <x v="14"/>
    <x v="0"/>
    <x v="3"/>
    <x v="3"/>
    <x v="4"/>
    <x v="1"/>
    <x v="0"/>
    <x v="0"/>
    <x v="0"/>
    <x v="150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181"/>
    <x v="0"/>
    <x v="14"/>
    <x v="0"/>
    <x v="0"/>
    <x v="0"/>
    <x v="153"/>
    <x v="159"/>
    <x v="0"/>
    <x v="0"/>
    <x v="0"/>
    <x v="12"/>
    <x v="1"/>
    <x v="0"/>
    <x v="153"/>
    <x v="11"/>
    <x v="0"/>
    <x v="0"/>
    <x v="0"/>
    <x v="153"/>
    <x v="159"/>
    <x v="0"/>
    <x v="0"/>
    <x v="0"/>
    <x v="0"/>
    <x v="0"/>
    <x v="0"/>
    <x v="0"/>
    <x v="0"/>
    <x v="0"/>
    <x v="113"/>
    <x v="157"/>
    <x v="0"/>
    <x v="153"/>
    <x v="157"/>
    <x v="1"/>
    <x v="0"/>
    <x v="169"/>
    <x v="0"/>
    <x v="0"/>
    <x v="0"/>
    <x v="0"/>
    <x v="0"/>
    <x v="12"/>
    <x v="0"/>
    <x v="0"/>
    <x v="0"/>
    <x v="0"/>
    <x v="157"/>
    <x v="0"/>
    <x v="0"/>
    <x v="157"/>
    <x v="0"/>
    <x v="0"/>
    <x v="127"/>
    <x v="0"/>
    <x v="131"/>
    <x v="1"/>
    <x v="169"/>
    <x v="0"/>
    <x v="0"/>
    <x v="1"/>
    <x v="0"/>
    <x v="16"/>
    <x v="181"/>
    <x v="181"/>
    <x v="0"/>
    <x v="0"/>
    <x v="0"/>
    <x v="157"/>
    <x v="0"/>
    <x v="0"/>
    <x v="0"/>
    <x v="0"/>
    <x v="131"/>
    <x v="0"/>
    <x v="0"/>
    <x v="0"/>
    <x v="13"/>
    <x v="0"/>
    <x v="32"/>
    <x v="32"/>
    <x v="113"/>
    <x v="0"/>
    <x v="0"/>
    <x v="0"/>
    <x v="0"/>
    <x v="151"/>
    <x v="13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101"/>
    <x v="0"/>
    <x v="0"/>
    <x v="0"/>
    <x v="0"/>
    <x v="0"/>
    <x v="0"/>
  </r>
  <r>
    <x v="0"/>
    <x v="182"/>
    <x v="0"/>
    <x v="15"/>
    <x v="0"/>
    <x v="0"/>
    <x v="0"/>
    <x v="154"/>
    <x v="160"/>
    <x v="0"/>
    <x v="0"/>
    <x v="0"/>
    <x v="0"/>
    <x v="0"/>
    <x v="0"/>
    <x v="154"/>
    <x v="0"/>
    <x v="0"/>
    <x v="0"/>
    <x v="0"/>
    <x v="154"/>
    <x v="160"/>
    <x v="0"/>
    <x v="0"/>
    <x v="0"/>
    <x v="0"/>
    <x v="0"/>
    <x v="0"/>
    <x v="0"/>
    <x v="0"/>
    <x v="0"/>
    <x v="114"/>
    <x v="158"/>
    <x v="0"/>
    <x v="154"/>
    <x v="158"/>
    <x v="59"/>
    <x v="0"/>
    <x v="170"/>
    <x v="0"/>
    <x v="0"/>
    <x v="0"/>
    <x v="0"/>
    <x v="0"/>
    <x v="0"/>
    <x v="0"/>
    <x v="0"/>
    <x v="0"/>
    <x v="0"/>
    <x v="158"/>
    <x v="0"/>
    <x v="0"/>
    <x v="158"/>
    <x v="0"/>
    <x v="0"/>
    <x v="128"/>
    <x v="0"/>
    <x v="132"/>
    <x v="59"/>
    <x v="170"/>
    <x v="0"/>
    <x v="0"/>
    <x v="0"/>
    <x v="0"/>
    <x v="16"/>
    <x v="182"/>
    <x v="182"/>
    <x v="0"/>
    <x v="0"/>
    <x v="0"/>
    <x v="158"/>
    <x v="0"/>
    <x v="0"/>
    <x v="0"/>
    <x v="0"/>
    <x v="132"/>
    <x v="0"/>
    <x v="0"/>
    <x v="0"/>
    <x v="14"/>
    <x v="0"/>
    <x v="19"/>
    <x v="19"/>
    <x v="114"/>
    <x v="0"/>
    <x v="0"/>
    <x v="0"/>
    <x v="0"/>
    <x v="152"/>
    <x v="1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21"/>
    <x v="102"/>
    <x v="0"/>
    <x v="0"/>
    <x v="0"/>
    <x v="0"/>
    <x v="0"/>
    <x v="0"/>
  </r>
  <r>
    <x v="0"/>
    <x v="183"/>
    <x v="0"/>
    <x v="15"/>
    <x v="0"/>
    <x v="0"/>
    <x v="0"/>
    <x v="155"/>
    <x v="161"/>
    <x v="0"/>
    <x v="0"/>
    <x v="0"/>
    <x v="0"/>
    <x v="0"/>
    <x v="0"/>
    <x v="155"/>
    <x v="0"/>
    <x v="0"/>
    <x v="0"/>
    <x v="0"/>
    <x v="155"/>
    <x v="161"/>
    <x v="0"/>
    <x v="0"/>
    <x v="0"/>
    <x v="0"/>
    <x v="0"/>
    <x v="0"/>
    <x v="0"/>
    <x v="0"/>
    <x v="0"/>
    <x v="114"/>
    <x v="159"/>
    <x v="0"/>
    <x v="155"/>
    <x v="159"/>
    <x v="1"/>
    <x v="0"/>
    <x v="171"/>
    <x v="1"/>
    <x v="0"/>
    <x v="1"/>
    <x v="0"/>
    <x v="0"/>
    <x v="0"/>
    <x v="0"/>
    <x v="0"/>
    <x v="0"/>
    <x v="0"/>
    <x v="159"/>
    <x v="0"/>
    <x v="1"/>
    <x v="159"/>
    <x v="0"/>
    <x v="0"/>
    <x v="129"/>
    <x v="0"/>
    <x v="133"/>
    <x v="1"/>
    <x v="171"/>
    <x v="0"/>
    <x v="0"/>
    <x v="1"/>
    <x v="0"/>
    <x v="16"/>
    <x v="183"/>
    <x v="183"/>
    <x v="0"/>
    <x v="0"/>
    <x v="0"/>
    <x v="159"/>
    <x v="0"/>
    <x v="0"/>
    <x v="0"/>
    <x v="0"/>
    <x v="133"/>
    <x v="0"/>
    <x v="0"/>
    <x v="0"/>
    <x v="14"/>
    <x v="0"/>
    <x v="19"/>
    <x v="19"/>
    <x v="114"/>
    <x v="0"/>
    <x v="0"/>
    <x v="0"/>
    <x v="0"/>
    <x v="152"/>
    <x v="1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21"/>
    <x v="102"/>
    <x v="0"/>
    <x v="0"/>
    <x v="0"/>
    <x v="0"/>
    <x v="0"/>
    <x v="0"/>
  </r>
  <r>
    <x v="0"/>
    <x v="184"/>
    <x v="0"/>
    <x v="14"/>
    <x v="0"/>
    <x v="0"/>
    <x v="0"/>
    <x v="156"/>
    <x v="162"/>
    <x v="0"/>
    <x v="0"/>
    <x v="0"/>
    <x v="14"/>
    <x v="0"/>
    <x v="0"/>
    <x v="156"/>
    <x v="13"/>
    <x v="0"/>
    <x v="0"/>
    <x v="0"/>
    <x v="156"/>
    <x v="162"/>
    <x v="0"/>
    <x v="0"/>
    <x v="0"/>
    <x v="0"/>
    <x v="0"/>
    <x v="0"/>
    <x v="0"/>
    <x v="0"/>
    <x v="0"/>
    <x v="115"/>
    <x v="160"/>
    <x v="0"/>
    <x v="156"/>
    <x v="160"/>
    <x v="1"/>
    <x v="0"/>
    <x v="172"/>
    <x v="2"/>
    <x v="0"/>
    <x v="2"/>
    <x v="0"/>
    <x v="0"/>
    <x v="14"/>
    <x v="0"/>
    <x v="0"/>
    <x v="0"/>
    <x v="0"/>
    <x v="160"/>
    <x v="0"/>
    <x v="2"/>
    <x v="160"/>
    <x v="0"/>
    <x v="0"/>
    <x v="130"/>
    <x v="0"/>
    <x v="134"/>
    <x v="1"/>
    <x v="172"/>
    <x v="0"/>
    <x v="0"/>
    <x v="1"/>
    <x v="0"/>
    <x v="16"/>
    <x v="184"/>
    <x v="184"/>
    <x v="0"/>
    <x v="0"/>
    <x v="0"/>
    <x v="160"/>
    <x v="0"/>
    <x v="0"/>
    <x v="0"/>
    <x v="0"/>
    <x v="134"/>
    <x v="0"/>
    <x v="0"/>
    <x v="0"/>
    <x v="13"/>
    <x v="0"/>
    <x v="61"/>
    <x v="61"/>
    <x v="115"/>
    <x v="0"/>
    <x v="0"/>
    <x v="0"/>
    <x v="0"/>
    <x v="153"/>
    <x v="13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2"/>
    <x v="103"/>
    <x v="0"/>
    <x v="0"/>
    <x v="0"/>
    <x v="0"/>
    <x v="0"/>
    <x v="73"/>
  </r>
  <r>
    <x v="1"/>
    <x v="185"/>
    <x v="0"/>
    <x v="15"/>
    <x v="0"/>
    <x v="0"/>
    <x v="0"/>
    <x v="157"/>
    <x v="163"/>
    <x v="0"/>
    <x v="0"/>
    <x v="0"/>
    <x v="23"/>
    <x v="0"/>
    <x v="0"/>
    <x v="157"/>
    <x v="11"/>
    <x v="0"/>
    <x v="0"/>
    <x v="0"/>
    <x v="157"/>
    <x v="163"/>
    <x v="0"/>
    <x v="3"/>
    <x v="0"/>
    <x v="0"/>
    <x v="0"/>
    <x v="0"/>
    <x v="1"/>
    <x v="1"/>
    <x v="0"/>
    <x v="4"/>
    <x v="161"/>
    <x v="0"/>
    <x v="157"/>
    <x v="161"/>
    <x v="1"/>
    <x v="0"/>
    <x v="173"/>
    <x v="0"/>
    <x v="0"/>
    <x v="0"/>
    <x v="0"/>
    <x v="0"/>
    <x v="23"/>
    <x v="0"/>
    <x v="0"/>
    <x v="0"/>
    <x v="0"/>
    <x v="161"/>
    <x v="0"/>
    <x v="0"/>
    <x v="161"/>
    <x v="0"/>
    <x v="0"/>
    <x v="6"/>
    <x v="1"/>
    <x v="7"/>
    <x v="1"/>
    <x v="173"/>
    <x v="0"/>
    <x v="0"/>
    <x v="1"/>
    <x v="0"/>
    <x v="16"/>
    <x v="185"/>
    <x v="185"/>
    <x v="0"/>
    <x v="0"/>
    <x v="0"/>
    <x v="161"/>
    <x v="0"/>
    <x v="0"/>
    <x v="0"/>
    <x v="0"/>
    <x v="7"/>
    <x v="0"/>
    <x v="0"/>
    <x v="0"/>
    <x v="14"/>
    <x v="0"/>
    <x v="3"/>
    <x v="3"/>
    <x v="4"/>
    <x v="1"/>
    <x v="0"/>
    <x v="0"/>
    <x v="0"/>
    <x v="154"/>
    <x v="7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  <x v="123"/>
    <x v="104"/>
    <x v="0"/>
    <x v="0"/>
    <x v="0"/>
    <x v="0"/>
    <x v="0"/>
    <x v="0"/>
  </r>
  <r>
    <x v="0"/>
    <x v="186"/>
    <x v="0"/>
    <x v="12"/>
    <x v="0"/>
    <x v="0"/>
    <x v="0"/>
    <x v="58"/>
    <x v="59"/>
    <x v="0"/>
    <x v="0"/>
    <x v="0"/>
    <x v="4"/>
    <x v="0"/>
    <x v="0"/>
    <x v="58"/>
    <x v="4"/>
    <x v="0"/>
    <x v="0"/>
    <x v="0"/>
    <x v="58"/>
    <x v="59"/>
    <x v="0"/>
    <x v="0"/>
    <x v="0"/>
    <x v="0"/>
    <x v="0"/>
    <x v="1"/>
    <x v="0"/>
    <x v="0"/>
    <x v="0"/>
    <x v="116"/>
    <x v="60"/>
    <x v="0"/>
    <x v="58"/>
    <x v="60"/>
    <x v="26"/>
    <x v="0"/>
    <x v="61"/>
    <x v="0"/>
    <x v="0"/>
    <x v="0"/>
    <x v="0"/>
    <x v="0"/>
    <x v="4"/>
    <x v="0"/>
    <x v="0"/>
    <x v="0"/>
    <x v="0"/>
    <x v="60"/>
    <x v="0"/>
    <x v="0"/>
    <x v="60"/>
    <x v="0"/>
    <x v="0"/>
    <x v="46"/>
    <x v="0"/>
    <x v="45"/>
    <x v="26"/>
    <x v="61"/>
    <x v="0"/>
    <x v="4"/>
    <x v="0"/>
    <x v="0"/>
    <x v="16"/>
    <x v="186"/>
    <x v="186"/>
    <x v="0"/>
    <x v="0"/>
    <x v="0"/>
    <x v="60"/>
    <x v="0"/>
    <x v="0"/>
    <x v="0"/>
    <x v="0"/>
    <x v="45"/>
    <x v="0"/>
    <x v="0"/>
    <x v="0"/>
    <x v="11"/>
    <x v="0"/>
    <x v="27"/>
    <x v="27"/>
    <x v="116"/>
    <x v="0"/>
    <x v="0"/>
    <x v="0"/>
    <x v="0"/>
    <x v="155"/>
    <x v="45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24"/>
    <x v="105"/>
    <x v="0"/>
    <x v="0"/>
    <x v="0"/>
    <x v="0"/>
    <x v="0"/>
    <x v="0"/>
  </r>
  <r>
    <x v="0"/>
    <x v="187"/>
    <x v="0"/>
    <x v="11"/>
    <x v="0"/>
    <x v="0"/>
    <x v="0"/>
    <x v="158"/>
    <x v="164"/>
    <x v="0"/>
    <x v="0"/>
    <x v="0"/>
    <x v="1"/>
    <x v="0"/>
    <x v="0"/>
    <x v="158"/>
    <x v="2"/>
    <x v="0"/>
    <x v="0"/>
    <x v="0"/>
    <x v="158"/>
    <x v="164"/>
    <x v="0"/>
    <x v="0"/>
    <x v="0"/>
    <x v="0"/>
    <x v="0"/>
    <x v="0"/>
    <x v="0"/>
    <x v="0"/>
    <x v="0"/>
    <x v="117"/>
    <x v="162"/>
    <x v="0"/>
    <x v="158"/>
    <x v="162"/>
    <x v="60"/>
    <x v="0"/>
    <x v="174"/>
    <x v="0"/>
    <x v="0"/>
    <x v="0"/>
    <x v="0"/>
    <x v="0"/>
    <x v="1"/>
    <x v="0"/>
    <x v="0"/>
    <x v="0"/>
    <x v="0"/>
    <x v="162"/>
    <x v="0"/>
    <x v="0"/>
    <x v="162"/>
    <x v="0"/>
    <x v="0"/>
    <x v="131"/>
    <x v="0"/>
    <x v="135"/>
    <x v="60"/>
    <x v="174"/>
    <x v="0"/>
    <x v="0"/>
    <x v="0"/>
    <x v="0"/>
    <x v="16"/>
    <x v="187"/>
    <x v="187"/>
    <x v="0"/>
    <x v="0"/>
    <x v="0"/>
    <x v="162"/>
    <x v="0"/>
    <x v="0"/>
    <x v="0"/>
    <x v="0"/>
    <x v="135"/>
    <x v="0"/>
    <x v="0"/>
    <x v="0"/>
    <x v="10"/>
    <x v="0"/>
    <x v="29"/>
    <x v="29"/>
    <x v="117"/>
    <x v="0"/>
    <x v="0"/>
    <x v="0"/>
    <x v="0"/>
    <x v="156"/>
    <x v="13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5"/>
    <x v="106"/>
    <x v="0"/>
    <x v="0"/>
    <x v="0"/>
    <x v="0"/>
    <x v="0"/>
    <x v="0"/>
  </r>
  <r>
    <x v="0"/>
    <x v="188"/>
    <x v="0"/>
    <x v="11"/>
    <x v="0"/>
    <x v="0"/>
    <x v="0"/>
    <x v="159"/>
    <x v="165"/>
    <x v="0"/>
    <x v="0"/>
    <x v="0"/>
    <x v="1"/>
    <x v="0"/>
    <x v="0"/>
    <x v="159"/>
    <x v="2"/>
    <x v="0"/>
    <x v="0"/>
    <x v="0"/>
    <x v="159"/>
    <x v="165"/>
    <x v="0"/>
    <x v="0"/>
    <x v="0"/>
    <x v="0"/>
    <x v="0"/>
    <x v="0"/>
    <x v="0"/>
    <x v="0"/>
    <x v="0"/>
    <x v="117"/>
    <x v="163"/>
    <x v="0"/>
    <x v="159"/>
    <x v="163"/>
    <x v="1"/>
    <x v="0"/>
    <x v="175"/>
    <x v="1"/>
    <x v="0"/>
    <x v="1"/>
    <x v="0"/>
    <x v="0"/>
    <x v="1"/>
    <x v="0"/>
    <x v="0"/>
    <x v="0"/>
    <x v="0"/>
    <x v="163"/>
    <x v="0"/>
    <x v="1"/>
    <x v="163"/>
    <x v="0"/>
    <x v="0"/>
    <x v="132"/>
    <x v="0"/>
    <x v="136"/>
    <x v="1"/>
    <x v="175"/>
    <x v="0"/>
    <x v="0"/>
    <x v="0"/>
    <x v="0"/>
    <x v="16"/>
    <x v="188"/>
    <x v="188"/>
    <x v="0"/>
    <x v="0"/>
    <x v="0"/>
    <x v="163"/>
    <x v="0"/>
    <x v="0"/>
    <x v="0"/>
    <x v="0"/>
    <x v="136"/>
    <x v="0"/>
    <x v="0"/>
    <x v="0"/>
    <x v="10"/>
    <x v="0"/>
    <x v="29"/>
    <x v="29"/>
    <x v="117"/>
    <x v="0"/>
    <x v="0"/>
    <x v="0"/>
    <x v="0"/>
    <x v="156"/>
    <x v="13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5"/>
    <x v="106"/>
    <x v="0"/>
    <x v="0"/>
    <x v="0"/>
    <x v="0"/>
    <x v="0"/>
    <x v="0"/>
  </r>
  <r>
    <x v="0"/>
    <x v="189"/>
    <x v="0"/>
    <x v="0"/>
    <x v="0"/>
    <x v="0"/>
    <x v="0"/>
    <x v="160"/>
    <x v="166"/>
    <x v="0"/>
    <x v="0"/>
    <x v="0"/>
    <x v="1"/>
    <x v="0"/>
    <x v="0"/>
    <x v="160"/>
    <x v="2"/>
    <x v="0"/>
    <x v="0"/>
    <x v="0"/>
    <x v="160"/>
    <x v="166"/>
    <x v="0"/>
    <x v="0"/>
    <x v="0"/>
    <x v="0"/>
    <x v="0"/>
    <x v="0"/>
    <x v="0"/>
    <x v="0"/>
    <x v="0"/>
    <x v="118"/>
    <x v="164"/>
    <x v="0"/>
    <x v="160"/>
    <x v="164"/>
    <x v="61"/>
    <x v="0"/>
    <x v="176"/>
    <x v="0"/>
    <x v="0"/>
    <x v="0"/>
    <x v="0"/>
    <x v="0"/>
    <x v="1"/>
    <x v="0"/>
    <x v="0"/>
    <x v="0"/>
    <x v="0"/>
    <x v="164"/>
    <x v="0"/>
    <x v="0"/>
    <x v="164"/>
    <x v="0"/>
    <x v="0"/>
    <x v="133"/>
    <x v="0"/>
    <x v="137"/>
    <x v="61"/>
    <x v="176"/>
    <x v="0"/>
    <x v="0"/>
    <x v="0"/>
    <x v="0"/>
    <x v="16"/>
    <x v="189"/>
    <x v="189"/>
    <x v="0"/>
    <x v="0"/>
    <x v="0"/>
    <x v="164"/>
    <x v="0"/>
    <x v="0"/>
    <x v="0"/>
    <x v="0"/>
    <x v="137"/>
    <x v="0"/>
    <x v="0"/>
    <x v="0"/>
    <x v="0"/>
    <x v="0"/>
    <x v="62"/>
    <x v="62"/>
    <x v="118"/>
    <x v="0"/>
    <x v="0"/>
    <x v="0"/>
    <x v="0"/>
    <x v="157"/>
    <x v="13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6"/>
    <x v="107"/>
    <x v="0"/>
    <x v="0"/>
    <x v="0"/>
    <x v="0"/>
    <x v="0"/>
    <x v="0"/>
  </r>
  <r>
    <x v="0"/>
    <x v="190"/>
    <x v="0"/>
    <x v="0"/>
    <x v="0"/>
    <x v="0"/>
    <x v="0"/>
    <x v="161"/>
    <x v="167"/>
    <x v="0"/>
    <x v="0"/>
    <x v="0"/>
    <x v="1"/>
    <x v="0"/>
    <x v="0"/>
    <x v="161"/>
    <x v="4"/>
    <x v="0"/>
    <x v="0"/>
    <x v="0"/>
    <x v="161"/>
    <x v="167"/>
    <x v="0"/>
    <x v="0"/>
    <x v="0"/>
    <x v="0"/>
    <x v="0"/>
    <x v="0"/>
    <x v="0"/>
    <x v="0"/>
    <x v="0"/>
    <x v="118"/>
    <x v="165"/>
    <x v="0"/>
    <x v="161"/>
    <x v="165"/>
    <x v="1"/>
    <x v="0"/>
    <x v="177"/>
    <x v="1"/>
    <x v="0"/>
    <x v="1"/>
    <x v="0"/>
    <x v="0"/>
    <x v="1"/>
    <x v="0"/>
    <x v="0"/>
    <x v="0"/>
    <x v="0"/>
    <x v="165"/>
    <x v="0"/>
    <x v="1"/>
    <x v="165"/>
    <x v="0"/>
    <x v="0"/>
    <x v="134"/>
    <x v="0"/>
    <x v="138"/>
    <x v="1"/>
    <x v="177"/>
    <x v="0"/>
    <x v="0"/>
    <x v="0"/>
    <x v="0"/>
    <x v="16"/>
    <x v="190"/>
    <x v="190"/>
    <x v="0"/>
    <x v="0"/>
    <x v="0"/>
    <x v="165"/>
    <x v="0"/>
    <x v="0"/>
    <x v="0"/>
    <x v="0"/>
    <x v="138"/>
    <x v="0"/>
    <x v="0"/>
    <x v="0"/>
    <x v="0"/>
    <x v="0"/>
    <x v="62"/>
    <x v="62"/>
    <x v="118"/>
    <x v="0"/>
    <x v="0"/>
    <x v="0"/>
    <x v="0"/>
    <x v="157"/>
    <x v="13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6"/>
    <x v="107"/>
    <x v="0"/>
    <x v="0"/>
    <x v="0"/>
    <x v="0"/>
    <x v="0"/>
    <x v="0"/>
  </r>
  <r>
    <x v="0"/>
    <x v="191"/>
    <x v="0"/>
    <x v="15"/>
    <x v="0"/>
    <x v="0"/>
    <x v="0"/>
    <x v="162"/>
    <x v="168"/>
    <x v="0"/>
    <x v="0"/>
    <x v="0"/>
    <x v="1"/>
    <x v="0"/>
    <x v="0"/>
    <x v="162"/>
    <x v="2"/>
    <x v="0"/>
    <x v="0"/>
    <x v="0"/>
    <x v="162"/>
    <x v="168"/>
    <x v="0"/>
    <x v="0"/>
    <x v="0"/>
    <x v="0"/>
    <x v="0"/>
    <x v="0"/>
    <x v="0"/>
    <x v="0"/>
    <x v="0"/>
    <x v="119"/>
    <x v="166"/>
    <x v="0"/>
    <x v="162"/>
    <x v="166"/>
    <x v="1"/>
    <x v="0"/>
    <x v="178"/>
    <x v="0"/>
    <x v="0"/>
    <x v="0"/>
    <x v="0"/>
    <x v="0"/>
    <x v="1"/>
    <x v="0"/>
    <x v="0"/>
    <x v="0"/>
    <x v="0"/>
    <x v="166"/>
    <x v="0"/>
    <x v="0"/>
    <x v="166"/>
    <x v="0"/>
    <x v="0"/>
    <x v="135"/>
    <x v="0"/>
    <x v="139"/>
    <x v="1"/>
    <x v="178"/>
    <x v="0"/>
    <x v="1"/>
    <x v="2"/>
    <x v="0"/>
    <x v="16"/>
    <x v="191"/>
    <x v="191"/>
    <x v="0"/>
    <x v="0"/>
    <x v="0"/>
    <x v="166"/>
    <x v="0"/>
    <x v="0"/>
    <x v="0"/>
    <x v="0"/>
    <x v="139"/>
    <x v="0"/>
    <x v="0"/>
    <x v="0"/>
    <x v="14"/>
    <x v="0"/>
    <x v="42"/>
    <x v="42"/>
    <x v="119"/>
    <x v="0"/>
    <x v="0"/>
    <x v="0"/>
    <x v="0"/>
    <x v="158"/>
    <x v="13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7"/>
    <x v="108"/>
    <x v="0"/>
    <x v="0"/>
    <x v="0"/>
    <x v="0"/>
    <x v="0"/>
    <x v="0"/>
  </r>
  <r>
    <x v="1"/>
    <x v="192"/>
    <x v="0"/>
    <x v="15"/>
    <x v="0"/>
    <x v="0"/>
    <x v="0"/>
    <x v="163"/>
    <x v="169"/>
    <x v="0"/>
    <x v="0"/>
    <x v="0"/>
    <x v="2"/>
    <x v="1"/>
    <x v="0"/>
    <x v="163"/>
    <x v="3"/>
    <x v="0"/>
    <x v="0"/>
    <x v="0"/>
    <x v="163"/>
    <x v="169"/>
    <x v="0"/>
    <x v="3"/>
    <x v="0"/>
    <x v="0"/>
    <x v="0"/>
    <x v="0"/>
    <x v="1"/>
    <x v="1"/>
    <x v="0"/>
    <x v="4"/>
    <x v="7"/>
    <x v="0"/>
    <x v="163"/>
    <x v="7"/>
    <x v="40"/>
    <x v="0"/>
    <x v="97"/>
    <x v="0"/>
    <x v="0"/>
    <x v="0"/>
    <x v="0"/>
    <x v="0"/>
    <x v="2"/>
    <x v="0"/>
    <x v="0"/>
    <x v="0"/>
    <x v="0"/>
    <x v="7"/>
    <x v="0"/>
    <x v="0"/>
    <x v="7"/>
    <x v="83"/>
    <x v="0"/>
    <x v="6"/>
    <x v="1"/>
    <x v="7"/>
    <x v="40"/>
    <x v="97"/>
    <x v="0"/>
    <x v="2"/>
    <x v="0"/>
    <x v="0"/>
    <x v="17"/>
    <x v="192"/>
    <x v="192"/>
    <x v="0"/>
    <x v="0"/>
    <x v="0"/>
    <x v="7"/>
    <x v="0"/>
    <x v="0"/>
    <x v="0"/>
    <x v="0"/>
    <x v="7"/>
    <x v="0"/>
    <x v="0"/>
    <x v="0"/>
    <x v="14"/>
    <x v="0"/>
    <x v="3"/>
    <x v="3"/>
    <x v="4"/>
    <x v="1"/>
    <x v="0"/>
    <x v="0"/>
    <x v="0"/>
    <x v="159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8"/>
    <x v="4"/>
    <x v="0"/>
    <x v="0"/>
    <x v="0"/>
    <x v="0"/>
    <x v="0"/>
    <x v="74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40"/>
    <x v="0"/>
    <x v="97"/>
    <x v="0"/>
    <x v="1"/>
    <x v="0"/>
    <x v="1"/>
    <x v="0"/>
    <x v="3"/>
    <x v="0"/>
    <x v="0"/>
    <x v="0"/>
    <x v="0"/>
    <x v="7"/>
    <x v="1"/>
    <x v="0"/>
    <x v="7"/>
    <x v="84"/>
    <x v="0"/>
    <x v="6"/>
    <x v="1"/>
    <x v="7"/>
    <x v="40"/>
    <x v="9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1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8"/>
    <x v="0"/>
    <x v="7"/>
    <x v="38"/>
    <x v="41"/>
    <x v="0"/>
    <x v="98"/>
    <x v="0"/>
    <x v="1"/>
    <x v="0"/>
    <x v="1"/>
    <x v="0"/>
    <x v="3"/>
    <x v="0"/>
    <x v="0"/>
    <x v="0"/>
    <x v="0"/>
    <x v="38"/>
    <x v="1"/>
    <x v="0"/>
    <x v="38"/>
    <x v="85"/>
    <x v="0"/>
    <x v="6"/>
    <x v="1"/>
    <x v="7"/>
    <x v="41"/>
    <x v="98"/>
    <x v="1"/>
    <x v="3"/>
    <x v="3"/>
    <x v="1"/>
    <x v="1"/>
    <x v="9"/>
    <x v="9"/>
    <x v="0"/>
    <x v="0"/>
    <x v="1"/>
    <x v="38"/>
    <x v="0"/>
    <x v="0"/>
    <x v="0"/>
    <x v="1"/>
    <x v="7"/>
    <x v="0"/>
    <x v="1"/>
    <x v="1"/>
    <x v="1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86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193"/>
    <x v="0"/>
    <x v="16"/>
    <x v="0"/>
    <x v="0"/>
    <x v="0"/>
    <x v="164"/>
    <x v="170"/>
    <x v="0"/>
    <x v="0"/>
    <x v="0"/>
    <x v="2"/>
    <x v="1"/>
    <x v="0"/>
    <x v="164"/>
    <x v="3"/>
    <x v="0"/>
    <x v="0"/>
    <x v="0"/>
    <x v="164"/>
    <x v="170"/>
    <x v="0"/>
    <x v="3"/>
    <x v="0"/>
    <x v="0"/>
    <x v="0"/>
    <x v="0"/>
    <x v="1"/>
    <x v="1"/>
    <x v="0"/>
    <x v="4"/>
    <x v="8"/>
    <x v="0"/>
    <x v="164"/>
    <x v="8"/>
    <x v="39"/>
    <x v="0"/>
    <x v="96"/>
    <x v="0"/>
    <x v="0"/>
    <x v="0"/>
    <x v="0"/>
    <x v="0"/>
    <x v="2"/>
    <x v="0"/>
    <x v="0"/>
    <x v="0"/>
    <x v="0"/>
    <x v="8"/>
    <x v="0"/>
    <x v="0"/>
    <x v="8"/>
    <x v="87"/>
    <x v="0"/>
    <x v="6"/>
    <x v="1"/>
    <x v="7"/>
    <x v="39"/>
    <x v="96"/>
    <x v="0"/>
    <x v="2"/>
    <x v="0"/>
    <x v="0"/>
    <x v="17"/>
    <x v="193"/>
    <x v="193"/>
    <x v="0"/>
    <x v="0"/>
    <x v="0"/>
    <x v="8"/>
    <x v="0"/>
    <x v="0"/>
    <x v="0"/>
    <x v="0"/>
    <x v="7"/>
    <x v="0"/>
    <x v="0"/>
    <x v="0"/>
    <x v="15"/>
    <x v="0"/>
    <x v="3"/>
    <x v="3"/>
    <x v="4"/>
    <x v="1"/>
    <x v="0"/>
    <x v="0"/>
    <x v="0"/>
    <x v="160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9"/>
    <x v="4"/>
    <x v="0"/>
    <x v="0"/>
    <x v="0"/>
    <x v="0"/>
    <x v="0"/>
    <x v="75"/>
  </r>
  <r>
    <x v="1"/>
    <x v="194"/>
    <x v="0"/>
    <x v="17"/>
    <x v="0"/>
    <x v="0"/>
    <x v="0"/>
    <x v="165"/>
    <x v="171"/>
    <x v="0"/>
    <x v="0"/>
    <x v="0"/>
    <x v="2"/>
    <x v="1"/>
    <x v="0"/>
    <x v="165"/>
    <x v="3"/>
    <x v="0"/>
    <x v="0"/>
    <x v="0"/>
    <x v="165"/>
    <x v="171"/>
    <x v="0"/>
    <x v="3"/>
    <x v="0"/>
    <x v="0"/>
    <x v="0"/>
    <x v="0"/>
    <x v="1"/>
    <x v="1"/>
    <x v="0"/>
    <x v="4"/>
    <x v="167"/>
    <x v="0"/>
    <x v="165"/>
    <x v="167"/>
    <x v="62"/>
    <x v="0"/>
    <x v="179"/>
    <x v="0"/>
    <x v="0"/>
    <x v="0"/>
    <x v="0"/>
    <x v="0"/>
    <x v="2"/>
    <x v="0"/>
    <x v="0"/>
    <x v="0"/>
    <x v="0"/>
    <x v="167"/>
    <x v="0"/>
    <x v="0"/>
    <x v="167"/>
    <x v="88"/>
    <x v="0"/>
    <x v="6"/>
    <x v="1"/>
    <x v="7"/>
    <x v="62"/>
    <x v="179"/>
    <x v="0"/>
    <x v="2"/>
    <x v="0"/>
    <x v="0"/>
    <x v="17"/>
    <x v="194"/>
    <x v="194"/>
    <x v="0"/>
    <x v="0"/>
    <x v="0"/>
    <x v="167"/>
    <x v="0"/>
    <x v="0"/>
    <x v="0"/>
    <x v="0"/>
    <x v="7"/>
    <x v="0"/>
    <x v="0"/>
    <x v="0"/>
    <x v="16"/>
    <x v="0"/>
    <x v="3"/>
    <x v="3"/>
    <x v="4"/>
    <x v="1"/>
    <x v="0"/>
    <x v="0"/>
    <x v="0"/>
    <x v="161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30"/>
    <x v="4"/>
    <x v="0"/>
    <x v="0"/>
    <x v="0"/>
    <x v="0"/>
    <x v="0"/>
    <x v="76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92"/>
    <x v="0"/>
    <x v="7"/>
    <x v="92"/>
    <x v="38"/>
    <x v="0"/>
    <x v="95"/>
    <x v="0"/>
    <x v="1"/>
    <x v="0"/>
    <x v="1"/>
    <x v="0"/>
    <x v="3"/>
    <x v="0"/>
    <x v="0"/>
    <x v="0"/>
    <x v="0"/>
    <x v="92"/>
    <x v="1"/>
    <x v="0"/>
    <x v="92"/>
    <x v="89"/>
    <x v="0"/>
    <x v="6"/>
    <x v="1"/>
    <x v="7"/>
    <x v="38"/>
    <x v="95"/>
    <x v="1"/>
    <x v="3"/>
    <x v="3"/>
    <x v="1"/>
    <x v="1"/>
    <x v="9"/>
    <x v="9"/>
    <x v="0"/>
    <x v="0"/>
    <x v="1"/>
    <x v="92"/>
    <x v="0"/>
    <x v="0"/>
    <x v="0"/>
    <x v="1"/>
    <x v="7"/>
    <x v="0"/>
    <x v="1"/>
    <x v="1"/>
    <x v="1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90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168"/>
    <x v="0"/>
    <x v="7"/>
    <x v="168"/>
    <x v="63"/>
    <x v="0"/>
    <x v="180"/>
    <x v="0"/>
    <x v="1"/>
    <x v="0"/>
    <x v="1"/>
    <x v="0"/>
    <x v="3"/>
    <x v="0"/>
    <x v="0"/>
    <x v="0"/>
    <x v="0"/>
    <x v="168"/>
    <x v="1"/>
    <x v="0"/>
    <x v="168"/>
    <x v="91"/>
    <x v="0"/>
    <x v="6"/>
    <x v="1"/>
    <x v="7"/>
    <x v="63"/>
    <x v="180"/>
    <x v="1"/>
    <x v="3"/>
    <x v="3"/>
    <x v="1"/>
    <x v="1"/>
    <x v="9"/>
    <x v="9"/>
    <x v="0"/>
    <x v="0"/>
    <x v="1"/>
    <x v="168"/>
    <x v="0"/>
    <x v="0"/>
    <x v="0"/>
    <x v="1"/>
    <x v="7"/>
    <x v="0"/>
    <x v="1"/>
    <x v="1"/>
    <x v="1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92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93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40"/>
    <x v="0"/>
    <x v="97"/>
    <x v="0"/>
    <x v="1"/>
    <x v="0"/>
    <x v="1"/>
    <x v="0"/>
    <x v="3"/>
    <x v="0"/>
    <x v="0"/>
    <x v="0"/>
    <x v="0"/>
    <x v="7"/>
    <x v="1"/>
    <x v="0"/>
    <x v="7"/>
    <x v="94"/>
    <x v="0"/>
    <x v="6"/>
    <x v="1"/>
    <x v="7"/>
    <x v="40"/>
    <x v="9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1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5"/>
    <x v="0"/>
    <x v="7"/>
    <x v="35"/>
    <x v="49"/>
    <x v="0"/>
    <x v="124"/>
    <x v="0"/>
    <x v="1"/>
    <x v="0"/>
    <x v="1"/>
    <x v="0"/>
    <x v="3"/>
    <x v="0"/>
    <x v="0"/>
    <x v="0"/>
    <x v="0"/>
    <x v="35"/>
    <x v="1"/>
    <x v="0"/>
    <x v="35"/>
    <x v="95"/>
    <x v="0"/>
    <x v="6"/>
    <x v="1"/>
    <x v="7"/>
    <x v="49"/>
    <x v="124"/>
    <x v="1"/>
    <x v="3"/>
    <x v="3"/>
    <x v="1"/>
    <x v="1"/>
    <x v="9"/>
    <x v="9"/>
    <x v="0"/>
    <x v="0"/>
    <x v="1"/>
    <x v="35"/>
    <x v="0"/>
    <x v="0"/>
    <x v="0"/>
    <x v="1"/>
    <x v="7"/>
    <x v="0"/>
    <x v="1"/>
    <x v="1"/>
    <x v="1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96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97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6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195"/>
    <x v="0"/>
    <x v="16"/>
    <x v="0"/>
    <x v="0"/>
    <x v="0"/>
    <x v="166"/>
    <x v="172"/>
    <x v="0"/>
    <x v="0"/>
    <x v="0"/>
    <x v="1"/>
    <x v="0"/>
    <x v="0"/>
    <x v="166"/>
    <x v="2"/>
    <x v="0"/>
    <x v="0"/>
    <x v="0"/>
    <x v="166"/>
    <x v="172"/>
    <x v="0"/>
    <x v="0"/>
    <x v="0"/>
    <x v="0"/>
    <x v="0"/>
    <x v="1"/>
    <x v="0"/>
    <x v="0"/>
    <x v="0"/>
    <x v="120"/>
    <x v="169"/>
    <x v="0"/>
    <x v="166"/>
    <x v="169"/>
    <x v="64"/>
    <x v="0"/>
    <x v="181"/>
    <x v="0"/>
    <x v="0"/>
    <x v="0"/>
    <x v="0"/>
    <x v="0"/>
    <x v="1"/>
    <x v="0"/>
    <x v="0"/>
    <x v="0"/>
    <x v="0"/>
    <x v="169"/>
    <x v="0"/>
    <x v="0"/>
    <x v="169"/>
    <x v="0"/>
    <x v="0"/>
    <x v="136"/>
    <x v="0"/>
    <x v="140"/>
    <x v="64"/>
    <x v="181"/>
    <x v="0"/>
    <x v="1"/>
    <x v="0"/>
    <x v="0"/>
    <x v="17"/>
    <x v="195"/>
    <x v="195"/>
    <x v="0"/>
    <x v="0"/>
    <x v="0"/>
    <x v="169"/>
    <x v="0"/>
    <x v="0"/>
    <x v="0"/>
    <x v="0"/>
    <x v="140"/>
    <x v="0"/>
    <x v="0"/>
    <x v="0"/>
    <x v="15"/>
    <x v="0"/>
    <x v="33"/>
    <x v="33"/>
    <x v="120"/>
    <x v="0"/>
    <x v="0"/>
    <x v="0"/>
    <x v="0"/>
    <x v="162"/>
    <x v="14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31"/>
    <x v="109"/>
    <x v="0"/>
    <x v="0"/>
    <x v="0"/>
    <x v="0"/>
    <x v="0"/>
    <x v="77"/>
  </r>
  <r>
    <x v="0"/>
    <x v="196"/>
    <x v="3"/>
    <x v="15"/>
    <x v="0"/>
    <x v="0"/>
    <x v="0"/>
    <x v="167"/>
    <x v="173"/>
    <x v="0"/>
    <x v="0"/>
    <x v="0"/>
    <x v="7"/>
    <x v="4"/>
    <x v="0"/>
    <x v="167"/>
    <x v="7"/>
    <x v="0"/>
    <x v="0"/>
    <x v="0"/>
    <x v="167"/>
    <x v="173"/>
    <x v="0"/>
    <x v="0"/>
    <x v="0"/>
    <x v="0"/>
    <x v="0"/>
    <x v="0"/>
    <x v="0"/>
    <x v="0"/>
    <x v="0"/>
    <x v="121"/>
    <x v="170"/>
    <x v="0"/>
    <x v="167"/>
    <x v="170"/>
    <x v="1"/>
    <x v="0"/>
    <x v="182"/>
    <x v="0"/>
    <x v="0"/>
    <x v="0"/>
    <x v="0"/>
    <x v="0"/>
    <x v="7"/>
    <x v="0"/>
    <x v="0"/>
    <x v="0"/>
    <x v="0"/>
    <x v="170"/>
    <x v="0"/>
    <x v="0"/>
    <x v="170"/>
    <x v="0"/>
    <x v="0"/>
    <x v="137"/>
    <x v="0"/>
    <x v="141"/>
    <x v="1"/>
    <x v="182"/>
    <x v="0"/>
    <x v="0"/>
    <x v="1"/>
    <x v="0"/>
    <x v="17"/>
    <x v="196"/>
    <x v="196"/>
    <x v="0"/>
    <x v="0"/>
    <x v="0"/>
    <x v="170"/>
    <x v="0"/>
    <x v="0"/>
    <x v="0"/>
    <x v="0"/>
    <x v="141"/>
    <x v="0"/>
    <x v="0"/>
    <x v="0"/>
    <x v="14"/>
    <x v="0"/>
    <x v="63"/>
    <x v="63"/>
    <x v="121"/>
    <x v="0"/>
    <x v="0"/>
    <x v="0"/>
    <x v="0"/>
    <x v="163"/>
    <x v="141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18"/>
    <x v="110"/>
    <x v="0"/>
    <x v="0"/>
    <x v="0"/>
    <x v="0"/>
    <x v="0"/>
    <x v="0"/>
  </r>
  <r>
    <x v="0"/>
    <x v="197"/>
    <x v="0"/>
    <x v="15"/>
    <x v="0"/>
    <x v="0"/>
    <x v="0"/>
    <x v="168"/>
    <x v="174"/>
    <x v="0"/>
    <x v="0"/>
    <x v="0"/>
    <x v="1"/>
    <x v="0"/>
    <x v="0"/>
    <x v="168"/>
    <x v="2"/>
    <x v="0"/>
    <x v="0"/>
    <x v="0"/>
    <x v="168"/>
    <x v="174"/>
    <x v="0"/>
    <x v="0"/>
    <x v="0"/>
    <x v="0"/>
    <x v="0"/>
    <x v="0"/>
    <x v="0"/>
    <x v="0"/>
    <x v="0"/>
    <x v="122"/>
    <x v="171"/>
    <x v="0"/>
    <x v="168"/>
    <x v="171"/>
    <x v="1"/>
    <x v="0"/>
    <x v="183"/>
    <x v="2"/>
    <x v="0"/>
    <x v="2"/>
    <x v="0"/>
    <x v="0"/>
    <x v="1"/>
    <x v="0"/>
    <x v="0"/>
    <x v="0"/>
    <x v="0"/>
    <x v="171"/>
    <x v="0"/>
    <x v="2"/>
    <x v="171"/>
    <x v="0"/>
    <x v="0"/>
    <x v="138"/>
    <x v="0"/>
    <x v="142"/>
    <x v="1"/>
    <x v="183"/>
    <x v="0"/>
    <x v="1"/>
    <x v="0"/>
    <x v="0"/>
    <x v="17"/>
    <x v="197"/>
    <x v="197"/>
    <x v="0"/>
    <x v="0"/>
    <x v="0"/>
    <x v="171"/>
    <x v="0"/>
    <x v="0"/>
    <x v="0"/>
    <x v="0"/>
    <x v="142"/>
    <x v="0"/>
    <x v="0"/>
    <x v="0"/>
    <x v="14"/>
    <x v="0"/>
    <x v="64"/>
    <x v="64"/>
    <x v="122"/>
    <x v="0"/>
    <x v="0"/>
    <x v="0"/>
    <x v="0"/>
    <x v="164"/>
    <x v="14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32"/>
    <x v="111"/>
    <x v="0"/>
    <x v="0"/>
    <x v="0"/>
    <x v="0"/>
    <x v="0"/>
    <x v="78"/>
  </r>
  <r>
    <x v="1"/>
    <x v="198"/>
    <x v="2"/>
    <x v="16"/>
    <x v="0"/>
    <x v="0"/>
    <x v="0"/>
    <x v="169"/>
    <x v="175"/>
    <x v="0"/>
    <x v="0"/>
    <x v="0"/>
    <x v="19"/>
    <x v="3"/>
    <x v="0"/>
    <x v="169"/>
    <x v="5"/>
    <x v="0"/>
    <x v="0"/>
    <x v="0"/>
    <x v="169"/>
    <x v="175"/>
    <x v="0"/>
    <x v="3"/>
    <x v="0"/>
    <x v="0"/>
    <x v="0"/>
    <x v="0"/>
    <x v="1"/>
    <x v="1"/>
    <x v="0"/>
    <x v="4"/>
    <x v="172"/>
    <x v="0"/>
    <x v="169"/>
    <x v="172"/>
    <x v="1"/>
    <x v="0"/>
    <x v="184"/>
    <x v="3"/>
    <x v="0"/>
    <x v="3"/>
    <x v="0"/>
    <x v="0"/>
    <x v="19"/>
    <x v="0"/>
    <x v="0"/>
    <x v="0"/>
    <x v="0"/>
    <x v="172"/>
    <x v="0"/>
    <x v="3"/>
    <x v="172"/>
    <x v="0"/>
    <x v="0"/>
    <x v="6"/>
    <x v="1"/>
    <x v="7"/>
    <x v="1"/>
    <x v="184"/>
    <x v="0"/>
    <x v="6"/>
    <x v="4"/>
    <x v="2"/>
    <x v="17"/>
    <x v="198"/>
    <x v="198"/>
    <x v="0"/>
    <x v="0"/>
    <x v="0"/>
    <x v="172"/>
    <x v="0"/>
    <x v="0"/>
    <x v="0"/>
    <x v="0"/>
    <x v="7"/>
    <x v="0"/>
    <x v="0"/>
    <x v="0"/>
    <x v="15"/>
    <x v="0"/>
    <x v="3"/>
    <x v="3"/>
    <x v="4"/>
    <x v="1"/>
    <x v="0"/>
    <x v="0"/>
    <x v="0"/>
    <x v="165"/>
    <x v="7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87"/>
    <x v="4"/>
    <x v="0"/>
    <x v="0"/>
    <x v="0"/>
    <x v="0"/>
    <x v="0"/>
    <x v="0"/>
  </r>
  <r>
    <x v="0"/>
    <x v="199"/>
    <x v="0"/>
    <x v="16"/>
    <x v="0"/>
    <x v="0"/>
    <x v="0"/>
    <x v="170"/>
    <x v="176"/>
    <x v="0"/>
    <x v="0"/>
    <x v="0"/>
    <x v="12"/>
    <x v="1"/>
    <x v="0"/>
    <x v="170"/>
    <x v="11"/>
    <x v="0"/>
    <x v="0"/>
    <x v="0"/>
    <x v="170"/>
    <x v="176"/>
    <x v="0"/>
    <x v="0"/>
    <x v="0"/>
    <x v="0"/>
    <x v="0"/>
    <x v="0"/>
    <x v="0"/>
    <x v="0"/>
    <x v="0"/>
    <x v="123"/>
    <x v="173"/>
    <x v="0"/>
    <x v="170"/>
    <x v="173"/>
    <x v="1"/>
    <x v="0"/>
    <x v="185"/>
    <x v="0"/>
    <x v="0"/>
    <x v="0"/>
    <x v="0"/>
    <x v="0"/>
    <x v="12"/>
    <x v="0"/>
    <x v="0"/>
    <x v="0"/>
    <x v="0"/>
    <x v="173"/>
    <x v="0"/>
    <x v="0"/>
    <x v="173"/>
    <x v="0"/>
    <x v="0"/>
    <x v="139"/>
    <x v="0"/>
    <x v="143"/>
    <x v="1"/>
    <x v="185"/>
    <x v="0"/>
    <x v="0"/>
    <x v="1"/>
    <x v="2"/>
    <x v="17"/>
    <x v="199"/>
    <x v="199"/>
    <x v="0"/>
    <x v="0"/>
    <x v="0"/>
    <x v="173"/>
    <x v="0"/>
    <x v="0"/>
    <x v="0"/>
    <x v="0"/>
    <x v="143"/>
    <x v="0"/>
    <x v="0"/>
    <x v="0"/>
    <x v="15"/>
    <x v="0"/>
    <x v="65"/>
    <x v="65"/>
    <x v="123"/>
    <x v="0"/>
    <x v="0"/>
    <x v="0"/>
    <x v="0"/>
    <x v="166"/>
    <x v="14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112"/>
    <x v="0"/>
    <x v="0"/>
    <x v="0"/>
    <x v="0"/>
    <x v="0"/>
    <x v="0"/>
  </r>
  <r>
    <x v="0"/>
    <x v="200"/>
    <x v="0"/>
    <x v="16"/>
    <x v="0"/>
    <x v="0"/>
    <x v="0"/>
    <x v="171"/>
    <x v="177"/>
    <x v="0"/>
    <x v="0"/>
    <x v="0"/>
    <x v="12"/>
    <x v="0"/>
    <x v="0"/>
    <x v="171"/>
    <x v="10"/>
    <x v="0"/>
    <x v="0"/>
    <x v="0"/>
    <x v="171"/>
    <x v="177"/>
    <x v="0"/>
    <x v="0"/>
    <x v="0"/>
    <x v="0"/>
    <x v="0"/>
    <x v="0"/>
    <x v="0"/>
    <x v="0"/>
    <x v="0"/>
    <x v="124"/>
    <x v="174"/>
    <x v="0"/>
    <x v="171"/>
    <x v="174"/>
    <x v="1"/>
    <x v="0"/>
    <x v="186"/>
    <x v="2"/>
    <x v="0"/>
    <x v="2"/>
    <x v="0"/>
    <x v="0"/>
    <x v="12"/>
    <x v="0"/>
    <x v="0"/>
    <x v="0"/>
    <x v="0"/>
    <x v="174"/>
    <x v="0"/>
    <x v="2"/>
    <x v="174"/>
    <x v="0"/>
    <x v="0"/>
    <x v="140"/>
    <x v="0"/>
    <x v="144"/>
    <x v="1"/>
    <x v="186"/>
    <x v="0"/>
    <x v="0"/>
    <x v="1"/>
    <x v="0"/>
    <x v="17"/>
    <x v="200"/>
    <x v="200"/>
    <x v="0"/>
    <x v="0"/>
    <x v="0"/>
    <x v="174"/>
    <x v="0"/>
    <x v="0"/>
    <x v="0"/>
    <x v="0"/>
    <x v="144"/>
    <x v="0"/>
    <x v="0"/>
    <x v="0"/>
    <x v="15"/>
    <x v="0"/>
    <x v="22"/>
    <x v="22"/>
    <x v="124"/>
    <x v="0"/>
    <x v="0"/>
    <x v="0"/>
    <x v="0"/>
    <x v="167"/>
    <x v="14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33"/>
    <x v="113"/>
    <x v="0"/>
    <x v="0"/>
    <x v="0"/>
    <x v="0"/>
    <x v="0"/>
    <x v="79"/>
  </r>
  <r>
    <x v="0"/>
    <x v="201"/>
    <x v="0"/>
    <x v="17"/>
    <x v="0"/>
    <x v="0"/>
    <x v="0"/>
    <x v="23"/>
    <x v="24"/>
    <x v="0"/>
    <x v="0"/>
    <x v="0"/>
    <x v="0"/>
    <x v="0"/>
    <x v="0"/>
    <x v="23"/>
    <x v="0"/>
    <x v="0"/>
    <x v="0"/>
    <x v="0"/>
    <x v="23"/>
    <x v="24"/>
    <x v="0"/>
    <x v="0"/>
    <x v="0"/>
    <x v="0"/>
    <x v="0"/>
    <x v="0"/>
    <x v="0"/>
    <x v="0"/>
    <x v="0"/>
    <x v="125"/>
    <x v="24"/>
    <x v="0"/>
    <x v="23"/>
    <x v="24"/>
    <x v="13"/>
    <x v="0"/>
    <x v="25"/>
    <x v="0"/>
    <x v="0"/>
    <x v="0"/>
    <x v="0"/>
    <x v="0"/>
    <x v="0"/>
    <x v="0"/>
    <x v="0"/>
    <x v="0"/>
    <x v="0"/>
    <x v="24"/>
    <x v="0"/>
    <x v="0"/>
    <x v="24"/>
    <x v="0"/>
    <x v="0"/>
    <x v="21"/>
    <x v="0"/>
    <x v="20"/>
    <x v="13"/>
    <x v="25"/>
    <x v="0"/>
    <x v="0"/>
    <x v="0"/>
    <x v="0"/>
    <x v="17"/>
    <x v="201"/>
    <x v="201"/>
    <x v="0"/>
    <x v="0"/>
    <x v="0"/>
    <x v="24"/>
    <x v="0"/>
    <x v="0"/>
    <x v="0"/>
    <x v="0"/>
    <x v="20"/>
    <x v="0"/>
    <x v="0"/>
    <x v="0"/>
    <x v="16"/>
    <x v="0"/>
    <x v="12"/>
    <x v="12"/>
    <x v="125"/>
    <x v="0"/>
    <x v="0"/>
    <x v="0"/>
    <x v="0"/>
    <x v="168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4"/>
    <x v="114"/>
    <x v="0"/>
    <x v="0"/>
    <x v="0"/>
    <x v="0"/>
    <x v="0"/>
    <x v="0"/>
  </r>
  <r>
    <x v="0"/>
    <x v="202"/>
    <x v="0"/>
    <x v="17"/>
    <x v="0"/>
    <x v="0"/>
    <x v="0"/>
    <x v="24"/>
    <x v="25"/>
    <x v="0"/>
    <x v="0"/>
    <x v="0"/>
    <x v="0"/>
    <x v="0"/>
    <x v="0"/>
    <x v="24"/>
    <x v="0"/>
    <x v="0"/>
    <x v="0"/>
    <x v="0"/>
    <x v="24"/>
    <x v="25"/>
    <x v="0"/>
    <x v="0"/>
    <x v="0"/>
    <x v="0"/>
    <x v="0"/>
    <x v="0"/>
    <x v="0"/>
    <x v="0"/>
    <x v="0"/>
    <x v="125"/>
    <x v="25"/>
    <x v="0"/>
    <x v="24"/>
    <x v="25"/>
    <x v="1"/>
    <x v="0"/>
    <x v="26"/>
    <x v="1"/>
    <x v="0"/>
    <x v="1"/>
    <x v="0"/>
    <x v="0"/>
    <x v="0"/>
    <x v="0"/>
    <x v="0"/>
    <x v="0"/>
    <x v="0"/>
    <x v="25"/>
    <x v="0"/>
    <x v="1"/>
    <x v="25"/>
    <x v="0"/>
    <x v="0"/>
    <x v="22"/>
    <x v="0"/>
    <x v="21"/>
    <x v="1"/>
    <x v="26"/>
    <x v="0"/>
    <x v="0"/>
    <x v="1"/>
    <x v="0"/>
    <x v="17"/>
    <x v="202"/>
    <x v="202"/>
    <x v="0"/>
    <x v="0"/>
    <x v="0"/>
    <x v="25"/>
    <x v="0"/>
    <x v="0"/>
    <x v="0"/>
    <x v="0"/>
    <x v="21"/>
    <x v="0"/>
    <x v="0"/>
    <x v="0"/>
    <x v="16"/>
    <x v="0"/>
    <x v="12"/>
    <x v="12"/>
    <x v="125"/>
    <x v="0"/>
    <x v="0"/>
    <x v="0"/>
    <x v="0"/>
    <x v="168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4"/>
    <x v="114"/>
    <x v="0"/>
    <x v="0"/>
    <x v="0"/>
    <x v="0"/>
    <x v="0"/>
    <x v="0"/>
  </r>
  <r>
    <x v="0"/>
    <x v="203"/>
    <x v="0"/>
    <x v="16"/>
    <x v="0"/>
    <x v="0"/>
    <x v="0"/>
    <x v="172"/>
    <x v="178"/>
    <x v="0"/>
    <x v="0"/>
    <x v="0"/>
    <x v="4"/>
    <x v="0"/>
    <x v="0"/>
    <x v="172"/>
    <x v="4"/>
    <x v="0"/>
    <x v="0"/>
    <x v="0"/>
    <x v="172"/>
    <x v="178"/>
    <x v="0"/>
    <x v="0"/>
    <x v="0"/>
    <x v="0"/>
    <x v="0"/>
    <x v="0"/>
    <x v="0"/>
    <x v="0"/>
    <x v="0"/>
    <x v="126"/>
    <x v="175"/>
    <x v="0"/>
    <x v="172"/>
    <x v="175"/>
    <x v="65"/>
    <x v="0"/>
    <x v="187"/>
    <x v="0"/>
    <x v="0"/>
    <x v="0"/>
    <x v="0"/>
    <x v="0"/>
    <x v="4"/>
    <x v="0"/>
    <x v="0"/>
    <x v="0"/>
    <x v="0"/>
    <x v="175"/>
    <x v="0"/>
    <x v="0"/>
    <x v="175"/>
    <x v="0"/>
    <x v="0"/>
    <x v="141"/>
    <x v="0"/>
    <x v="145"/>
    <x v="65"/>
    <x v="187"/>
    <x v="0"/>
    <x v="0"/>
    <x v="0"/>
    <x v="0"/>
    <x v="17"/>
    <x v="203"/>
    <x v="203"/>
    <x v="0"/>
    <x v="0"/>
    <x v="0"/>
    <x v="175"/>
    <x v="0"/>
    <x v="0"/>
    <x v="0"/>
    <x v="0"/>
    <x v="145"/>
    <x v="0"/>
    <x v="0"/>
    <x v="0"/>
    <x v="15"/>
    <x v="0"/>
    <x v="66"/>
    <x v="66"/>
    <x v="126"/>
    <x v="0"/>
    <x v="0"/>
    <x v="0"/>
    <x v="0"/>
    <x v="169"/>
    <x v="145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35"/>
    <x v="115"/>
    <x v="0"/>
    <x v="0"/>
    <x v="0"/>
    <x v="0"/>
    <x v="0"/>
    <x v="0"/>
  </r>
  <r>
    <x v="0"/>
    <x v="204"/>
    <x v="0"/>
    <x v="16"/>
    <x v="0"/>
    <x v="0"/>
    <x v="0"/>
    <x v="173"/>
    <x v="179"/>
    <x v="0"/>
    <x v="0"/>
    <x v="0"/>
    <x v="4"/>
    <x v="0"/>
    <x v="0"/>
    <x v="173"/>
    <x v="4"/>
    <x v="0"/>
    <x v="0"/>
    <x v="0"/>
    <x v="173"/>
    <x v="179"/>
    <x v="0"/>
    <x v="0"/>
    <x v="0"/>
    <x v="0"/>
    <x v="0"/>
    <x v="0"/>
    <x v="0"/>
    <x v="0"/>
    <x v="0"/>
    <x v="126"/>
    <x v="176"/>
    <x v="0"/>
    <x v="173"/>
    <x v="176"/>
    <x v="1"/>
    <x v="0"/>
    <x v="188"/>
    <x v="1"/>
    <x v="0"/>
    <x v="1"/>
    <x v="0"/>
    <x v="0"/>
    <x v="4"/>
    <x v="0"/>
    <x v="0"/>
    <x v="0"/>
    <x v="0"/>
    <x v="176"/>
    <x v="0"/>
    <x v="1"/>
    <x v="176"/>
    <x v="0"/>
    <x v="0"/>
    <x v="142"/>
    <x v="0"/>
    <x v="146"/>
    <x v="1"/>
    <x v="188"/>
    <x v="0"/>
    <x v="0"/>
    <x v="1"/>
    <x v="0"/>
    <x v="17"/>
    <x v="204"/>
    <x v="204"/>
    <x v="0"/>
    <x v="0"/>
    <x v="0"/>
    <x v="176"/>
    <x v="0"/>
    <x v="0"/>
    <x v="0"/>
    <x v="0"/>
    <x v="146"/>
    <x v="0"/>
    <x v="0"/>
    <x v="0"/>
    <x v="15"/>
    <x v="0"/>
    <x v="66"/>
    <x v="66"/>
    <x v="126"/>
    <x v="0"/>
    <x v="0"/>
    <x v="0"/>
    <x v="0"/>
    <x v="169"/>
    <x v="146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35"/>
    <x v="115"/>
    <x v="0"/>
    <x v="0"/>
    <x v="0"/>
    <x v="0"/>
    <x v="0"/>
    <x v="0"/>
  </r>
  <r>
    <x v="0"/>
    <x v="205"/>
    <x v="0"/>
    <x v="17"/>
    <x v="0"/>
    <x v="0"/>
    <x v="0"/>
    <x v="174"/>
    <x v="180"/>
    <x v="0"/>
    <x v="0"/>
    <x v="0"/>
    <x v="0"/>
    <x v="0"/>
    <x v="0"/>
    <x v="174"/>
    <x v="0"/>
    <x v="0"/>
    <x v="0"/>
    <x v="0"/>
    <x v="174"/>
    <x v="180"/>
    <x v="0"/>
    <x v="0"/>
    <x v="0"/>
    <x v="0"/>
    <x v="0"/>
    <x v="0"/>
    <x v="0"/>
    <x v="0"/>
    <x v="0"/>
    <x v="127"/>
    <x v="177"/>
    <x v="0"/>
    <x v="174"/>
    <x v="177"/>
    <x v="66"/>
    <x v="0"/>
    <x v="189"/>
    <x v="0"/>
    <x v="0"/>
    <x v="0"/>
    <x v="0"/>
    <x v="0"/>
    <x v="0"/>
    <x v="0"/>
    <x v="0"/>
    <x v="0"/>
    <x v="0"/>
    <x v="177"/>
    <x v="0"/>
    <x v="0"/>
    <x v="177"/>
    <x v="0"/>
    <x v="0"/>
    <x v="143"/>
    <x v="0"/>
    <x v="147"/>
    <x v="66"/>
    <x v="189"/>
    <x v="0"/>
    <x v="0"/>
    <x v="0"/>
    <x v="0"/>
    <x v="17"/>
    <x v="205"/>
    <x v="205"/>
    <x v="0"/>
    <x v="0"/>
    <x v="0"/>
    <x v="177"/>
    <x v="0"/>
    <x v="0"/>
    <x v="0"/>
    <x v="0"/>
    <x v="147"/>
    <x v="0"/>
    <x v="0"/>
    <x v="0"/>
    <x v="16"/>
    <x v="0"/>
    <x v="12"/>
    <x v="12"/>
    <x v="127"/>
    <x v="0"/>
    <x v="0"/>
    <x v="0"/>
    <x v="0"/>
    <x v="170"/>
    <x v="1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6"/>
    <x v="116"/>
    <x v="0"/>
    <x v="0"/>
    <x v="0"/>
    <x v="0"/>
    <x v="0"/>
    <x v="0"/>
  </r>
  <r>
    <x v="0"/>
    <x v="206"/>
    <x v="0"/>
    <x v="17"/>
    <x v="0"/>
    <x v="0"/>
    <x v="0"/>
    <x v="175"/>
    <x v="181"/>
    <x v="0"/>
    <x v="0"/>
    <x v="0"/>
    <x v="0"/>
    <x v="0"/>
    <x v="0"/>
    <x v="175"/>
    <x v="0"/>
    <x v="0"/>
    <x v="0"/>
    <x v="0"/>
    <x v="175"/>
    <x v="181"/>
    <x v="0"/>
    <x v="0"/>
    <x v="0"/>
    <x v="0"/>
    <x v="0"/>
    <x v="0"/>
    <x v="0"/>
    <x v="0"/>
    <x v="0"/>
    <x v="127"/>
    <x v="178"/>
    <x v="0"/>
    <x v="175"/>
    <x v="178"/>
    <x v="1"/>
    <x v="0"/>
    <x v="190"/>
    <x v="1"/>
    <x v="0"/>
    <x v="1"/>
    <x v="0"/>
    <x v="0"/>
    <x v="0"/>
    <x v="0"/>
    <x v="0"/>
    <x v="0"/>
    <x v="0"/>
    <x v="178"/>
    <x v="0"/>
    <x v="1"/>
    <x v="178"/>
    <x v="0"/>
    <x v="0"/>
    <x v="144"/>
    <x v="0"/>
    <x v="148"/>
    <x v="1"/>
    <x v="190"/>
    <x v="0"/>
    <x v="0"/>
    <x v="1"/>
    <x v="0"/>
    <x v="17"/>
    <x v="206"/>
    <x v="206"/>
    <x v="0"/>
    <x v="0"/>
    <x v="0"/>
    <x v="178"/>
    <x v="0"/>
    <x v="0"/>
    <x v="0"/>
    <x v="0"/>
    <x v="148"/>
    <x v="0"/>
    <x v="0"/>
    <x v="0"/>
    <x v="16"/>
    <x v="0"/>
    <x v="12"/>
    <x v="12"/>
    <x v="127"/>
    <x v="0"/>
    <x v="0"/>
    <x v="0"/>
    <x v="0"/>
    <x v="170"/>
    <x v="1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6"/>
    <x v="116"/>
    <x v="0"/>
    <x v="0"/>
    <x v="0"/>
    <x v="0"/>
    <x v="0"/>
    <x v="0"/>
  </r>
  <r>
    <x v="0"/>
    <x v="207"/>
    <x v="0"/>
    <x v="16"/>
    <x v="0"/>
    <x v="0"/>
    <x v="0"/>
    <x v="176"/>
    <x v="182"/>
    <x v="0"/>
    <x v="0"/>
    <x v="0"/>
    <x v="0"/>
    <x v="0"/>
    <x v="0"/>
    <x v="176"/>
    <x v="0"/>
    <x v="0"/>
    <x v="0"/>
    <x v="0"/>
    <x v="176"/>
    <x v="182"/>
    <x v="0"/>
    <x v="3"/>
    <x v="0"/>
    <x v="0"/>
    <x v="0"/>
    <x v="0"/>
    <x v="0"/>
    <x v="0"/>
    <x v="0"/>
    <x v="128"/>
    <x v="179"/>
    <x v="0"/>
    <x v="176"/>
    <x v="179"/>
    <x v="1"/>
    <x v="0"/>
    <x v="191"/>
    <x v="2"/>
    <x v="0"/>
    <x v="2"/>
    <x v="0"/>
    <x v="0"/>
    <x v="0"/>
    <x v="0"/>
    <x v="0"/>
    <x v="0"/>
    <x v="0"/>
    <x v="179"/>
    <x v="0"/>
    <x v="2"/>
    <x v="179"/>
    <x v="0"/>
    <x v="0"/>
    <x v="145"/>
    <x v="1"/>
    <x v="7"/>
    <x v="1"/>
    <x v="191"/>
    <x v="0"/>
    <x v="0"/>
    <x v="1"/>
    <x v="0"/>
    <x v="17"/>
    <x v="207"/>
    <x v="207"/>
    <x v="0"/>
    <x v="0"/>
    <x v="0"/>
    <x v="179"/>
    <x v="0"/>
    <x v="0"/>
    <x v="0"/>
    <x v="0"/>
    <x v="7"/>
    <x v="0"/>
    <x v="0"/>
    <x v="0"/>
    <x v="15"/>
    <x v="0"/>
    <x v="45"/>
    <x v="45"/>
    <x v="128"/>
    <x v="0"/>
    <x v="0"/>
    <x v="0"/>
    <x v="0"/>
    <x v="17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6"/>
    <x v="116"/>
    <x v="0"/>
    <x v="0"/>
    <x v="0"/>
    <x v="0"/>
    <x v="0"/>
    <x v="80"/>
  </r>
  <r>
    <x v="0"/>
    <x v="208"/>
    <x v="0"/>
    <x v="16"/>
    <x v="0"/>
    <x v="0"/>
    <x v="0"/>
    <x v="177"/>
    <x v="183"/>
    <x v="0"/>
    <x v="0"/>
    <x v="0"/>
    <x v="14"/>
    <x v="0"/>
    <x v="0"/>
    <x v="177"/>
    <x v="13"/>
    <x v="0"/>
    <x v="0"/>
    <x v="0"/>
    <x v="177"/>
    <x v="183"/>
    <x v="0"/>
    <x v="0"/>
    <x v="0"/>
    <x v="0"/>
    <x v="0"/>
    <x v="0"/>
    <x v="0"/>
    <x v="0"/>
    <x v="0"/>
    <x v="129"/>
    <x v="180"/>
    <x v="0"/>
    <x v="177"/>
    <x v="180"/>
    <x v="1"/>
    <x v="0"/>
    <x v="192"/>
    <x v="2"/>
    <x v="0"/>
    <x v="2"/>
    <x v="0"/>
    <x v="0"/>
    <x v="14"/>
    <x v="0"/>
    <x v="0"/>
    <x v="0"/>
    <x v="0"/>
    <x v="180"/>
    <x v="0"/>
    <x v="2"/>
    <x v="180"/>
    <x v="0"/>
    <x v="0"/>
    <x v="146"/>
    <x v="0"/>
    <x v="149"/>
    <x v="1"/>
    <x v="192"/>
    <x v="0"/>
    <x v="8"/>
    <x v="6"/>
    <x v="0"/>
    <x v="17"/>
    <x v="208"/>
    <x v="208"/>
    <x v="0"/>
    <x v="0"/>
    <x v="0"/>
    <x v="180"/>
    <x v="0"/>
    <x v="0"/>
    <x v="0"/>
    <x v="0"/>
    <x v="149"/>
    <x v="0"/>
    <x v="0"/>
    <x v="0"/>
    <x v="15"/>
    <x v="0"/>
    <x v="33"/>
    <x v="33"/>
    <x v="129"/>
    <x v="0"/>
    <x v="0"/>
    <x v="0"/>
    <x v="0"/>
    <x v="172"/>
    <x v="14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37"/>
    <x v="117"/>
    <x v="0"/>
    <x v="0"/>
    <x v="0"/>
    <x v="0"/>
    <x v="0"/>
    <x v="81"/>
  </r>
  <r>
    <x v="0"/>
    <x v="209"/>
    <x v="0"/>
    <x v="15"/>
    <x v="0"/>
    <x v="0"/>
    <x v="0"/>
    <x v="177"/>
    <x v="183"/>
    <x v="0"/>
    <x v="0"/>
    <x v="0"/>
    <x v="14"/>
    <x v="0"/>
    <x v="0"/>
    <x v="177"/>
    <x v="13"/>
    <x v="0"/>
    <x v="0"/>
    <x v="0"/>
    <x v="177"/>
    <x v="183"/>
    <x v="0"/>
    <x v="0"/>
    <x v="0"/>
    <x v="0"/>
    <x v="0"/>
    <x v="2"/>
    <x v="0"/>
    <x v="0"/>
    <x v="0"/>
    <x v="130"/>
    <x v="180"/>
    <x v="0"/>
    <x v="177"/>
    <x v="180"/>
    <x v="1"/>
    <x v="0"/>
    <x v="192"/>
    <x v="2"/>
    <x v="0"/>
    <x v="2"/>
    <x v="0"/>
    <x v="0"/>
    <x v="14"/>
    <x v="0"/>
    <x v="0"/>
    <x v="0"/>
    <x v="0"/>
    <x v="180"/>
    <x v="0"/>
    <x v="2"/>
    <x v="180"/>
    <x v="0"/>
    <x v="0"/>
    <x v="146"/>
    <x v="0"/>
    <x v="149"/>
    <x v="1"/>
    <x v="192"/>
    <x v="0"/>
    <x v="0"/>
    <x v="1"/>
    <x v="0"/>
    <x v="17"/>
    <x v="209"/>
    <x v="209"/>
    <x v="0"/>
    <x v="0"/>
    <x v="0"/>
    <x v="180"/>
    <x v="0"/>
    <x v="0"/>
    <x v="0"/>
    <x v="0"/>
    <x v="149"/>
    <x v="0"/>
    <x v="0"/>
    <x v="0"/>
    <x v="14"/>
    <x v="0"/>
    <x v="33"/>
    <x v="33"/>
    <x v="130"/>
    <x v="0"/>
    <x v="0"/>
    <x v="0"/>
    <x v="0"/>
    <x v="173"/>
    <x v="14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38"/>
    <x v="118"/>
    <x v="0"/>
    <x v="0"/>
    <x v="0"/>
    <x v="0"/>
    <x v="0"/>
    <x v="82"/>
  </r>
  <r>
    <x v="0"/>
    <x v="210"/>
    <x v="0"/>
    <x v="16"/>
    <x v="0"/>
    <x v="0"/>
    <x v="0"/>
    <x v="17"/>
    <x v="17"/>
    <x v="0"/>
    <x v="0"/>
    <x v="0"/>
    <x v="14"/>
    <x v="0"/>
    <x v="0"/>
    <x v="17"/>
    <x v="13"/>
    <x v="0"/>
    <x v="0"/>
    <x v="0"/>
    <x v="17"/>
    <x v="17"/>
    <x v="0"/>
    <x v="0"/>
    <x v="0"/>
    <x v="0"/>
    <x v="0"/>
    <x v="0"/>
    <x v="0"/>
    <x v="0"/>
    <x v="0"/>
    <x v="131"/>
    <x v="18"/>
    <x v="0"/>
    <x v="17"/>
    <x v="18"/>
    <x v="1"/>
    <x v="0"/>
    <x v="18"/>
    <x v="2"/>
    <x v="0"/>
    <x v="2"/>
    <x v="0"/>
    <x v="0"/>
    <x v="14"/>
    <x v="0"/>
    <x v="0"/>
    <x v="0"/>
    <x v="0"/>
    <x v="18"/>
    <x v="0"/>
    <x v="2"/>
    <x v="18"/>
    <x v="0"/>
    <x v="0"/>
    <x v="15"/>
    <x v="0"/>
    <x v="14"/>
    <x v="1"/>
    <x v="18"/>
    <x v="0"/>
    <x v="8"/>
    <x v="6"/>
    <x v="0"/>
    <x v="17"/>
    <x v="210"/>
    <x v="210"/>
    <x v="0"/>
    <x v="0"/>
    <x v="0"/>
    <x v="18"/>
    <x v="0"/>
    <x v="0"/>
    <x v="0"/>
    <x v="0"/>
    <x v="14"/>
    <x v="0"/>
    <x v="0"/>
    <x v="0"/>
    <x v="15"/>
    <x v="0"/>
    <x v="4"/>
    <x v="4"/>
    <x v="131"/>
    <x v="0"/>
    <x v="0"/>
    <x v="0"/>
    <x v="0"/>
    <x v="174"/>
    <x v="1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39"/>
    <x v="119"/>
    <x v="0"/>
    <x v="0"/>
    <x v="0"/>
    <x v="0"/>
    <x v="0"/>
    <x v="83"/>
  </r>
  <r>
    <x v="1"/>
    <x v="211"/>
    <x v="0"/>
    <x v="16"/>
    <x v="0"/>
    <x v="0"/>
    <x v="0"/>
    <x v="178"/>
    <x v="184"/>
    <x v="0"/>
    <x v="0"/>
    <x v="0"/>
    <x v="24"/>
    <x v="3"/>
    <x v="0"/>
    <x v="178"/>
    <x v="5"/>
    <x v="0"/>
    <x v="0"/>
    <x v="0"/>
    <x v="178"/>
    <x v="184"/>
    <x v="0"/>
    <x v="3"/>
    <x v="0"/>
    <x v="0"/>
    <x v="0"/>
    <x v="0"/>
    <x v="1"/>
    <x v="1"/>
    <x v="0"/>
    <x v="4"/>
    <x v="181"/>
    <x v="0"/>
    <x v="178"/>
    <x v="181"/>
    <x v="1"/>
    <x v="0"/>
    <x v="193"/>
    <x v="0"/>
    <x v="0"/>
    <x v="0"/>
    <x v="0"/>
    <x v="0"/>
    <x v="24"/>
    <x v="0"/>
    <x v="0"/>
    <x v="0"/>
    <x v="0"/>
    <x v="181"/>
    <x v="0"/>
    <x v="0"/>
    <x v="181"/>
    <x v="98"/>
    <x v="0"/>
    <x v="6"/>
    <x v="1"/>
    <x v="7"/>
    <x v="1"/>
    <x v="193"/>
    <x v="0"/>
    <x v="2"/>
    <x v="7"/>
    <x v="0"/>
    <x v="17"/>
    <x v="211"/>
    <x v="211"/>
    <x v="0"/>
    <x v="0"/>
    <x v="0"/>
    <x v="181"/>
    <x v="0"/>
    <x v="0"/>
    <x v="0"/>
    <x v="0"/>
    <x v="7"/>
    <x v="0"/>
    <x v="0"/>
    <x v="0"/>
    <x v="15"/>
    <x v="0"/>
    <x v="3"/>
    <x v="3"/>
    <x v="4"/>
    <x v="1"/>
    <x v="0"/>
    <x v="0"/>
    <x v="0"/>
    <x v="175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40"/>
    <x v="4"/>
    <x v="0"/>
    <x v="0"/>
    <x v="0"/>
    <x v="0"/>
    <x v="0"/>
    <x v="84"/>
  </r>
  <r>
    <x v="1"/>
    <x v="212"/>
    <x v="0"/>
    <x v="16"/>
    <x v="0"/>
    <x v="0"/>
    <x v="0"/>
    <x v="179"/>
    <x v="185"/>
    <x v="0"/>
    <x v="0"/>
    <x v="0"/>
    <x v="24"/>
    <x v="3"/>
    <x v="0"/>
    <x v="179"/>
    <x v="5"/>
    <x v="0"/>
    <x v="0"/>
    <x v="0"/>
    <x v="179"/>
    <x v="185"/>
    <x v="0"/>
    <x v="3"/>
    <x v="0"/>
    <x v="0"/>
    <x v="0"/>
    <x v="0"/>
    <x v="1"/>
    <x v="1"/>
    <x v="0"/>
    <x v="4"/>
    <x v="182"/>
    <x v="0"/>
    <x v="179"/>
    <x v="182"/>
    <x v="1"/>
    <x v="0"/>
    <x v="194"/>
    <x v="0"/>
    <x v="0"/>
    <x v="0"/>
    <x v="0"/>
    <x v="0"/>
    <x v="24"/>
    <x v="0"/>
    <x v="0"/>
    <x v="0"/>
    <x v="0"/>
    <x v="182"/>
    <x v="0"/>
    <x v="0"/>
    <x v="182"/>
    <x v="98"/>
    <x v="0"/>
    <x v="6"/>
    <x v="1"/>
    <x v="7"/>
    <x v="1"/>
    <x v="194"/>
    <x v="0"/>
    <x v="2"/>
    <x v="7"/>
    <x v="0"/>
    <x v="17"/>
    <x v="212"/>
    <x v="212"/>
    <x v="0"/>
    <x v="0"/>
    <x v="0"/>
    <x v="182"/>
    <x v="0"/>
    <x v="0"/>
    <x v="0"/>
    <x v="0"/>
    <x v="7"/>
    <x v="0"/>
    <x v="0"/>
    <x v="0"/>
    <x v="15"/>
    <x v="0"/>
    <x v="3"/>
    <x v="3"/>
    <x v="4"/>
    <x v="1"/>
    <x v="0"/>
    <x v="0"/>
    <x v="0"/>
    <x v="175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40"/>
    <x v="4"/>
    <x v="0"/>
    <x v="0"/>
    <x v="0"/>
    <x v="0"/>
    <x v="0"/>
    <x v="85"/>
  </r>
  <r>
    <x v="0"/>
    <x v="213"/>
    <x v="0"/>
    <x v="17"/>
    <x v="0"/>
    <x v="0"/>
    <x v="0"/>
    <x v="180"/>
    <x v="186"/>
    <x v="0"/>
    <x v="0"/>
    <x v="0"/>
    <x v="0"/>
    <x v="0"/>
    <x v="0"/>
    <x v="180"/>
    <x v="0"/>
    <x v="0"/>
    <x v="0"/>
    <x v="0"/>
    <x v="180"/>
    <x v="186"/>
    <x v="0"/>
    <x v="0"/>
    <x v="0"/>
    <x v="0"/>
    <x v="0"/>
    <x v="1"/>
    <x v="0"/>
    <x v="0"/>
    <x v="0"/>
    <x v="132"/>
    <x v="183"/>
    <x v="0"/>
    <x v="180"/>
    <x v="183"/>
    <x v="67"/>
    <x v="0"/>
    <x v="195"/>
    <x v="0"/>
    <x v="0"/>
    <x v="0"/>
    <x v="0"/>
    <x v="0"/>
    <x v="0"/>
    <x v="0"/>
    <x v="0"/>
    <x v="0"/>
    <x v="0"/>
    <x v="183"/>
    <x v="0"/>
    <x v="0"/>
    <x v="183"/>
    <x v="0"/>
    <x v="0"/>
    <x v="147"/>
    <x v="0"/>
    <x v="150"/>
    <x v="67"/>
    <x v="195"/>
    <x v="0"/>
    <x v="0"/>
    <x v="0"/>
    <x v="0"/>
    <x v="18"/>
    <x v="213"/>
    <x v="213"/>
    <x v="0"/>
    <x v="0"/>
    <x v="0"/>
    <x v="183"/>
    <x v="0"/>
    <x v="0"/>
    <x v="0"/>
    <x v="0"/>
    <x v="150"/>
    <x v="0"/>
    <x v="0"/>
    <x v="0"/>
    <x v="16"/>
    <x v="0"/>
    <x v="7"/>
    <x v="7"/>
    <x v="132"/>
    <x v="0"/>
    <x v="0"/>
    <x v="0"/>
    <x v="0"/>
    <x v="176"/>
    <x v="15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1"/>
    <x v="120"/>
    <x v="1"/>
    <x v="0"/>
    <x v="0"/>
    <x v="0"/>
    <x v="0"/>
    <x v="0"/>
  </r>
  <r>
    <x v="1"/>
    <x v="214"/>
    <x v="0"/>
    <x v="16"/>
    <x v="0"/>
    <x v="0"/>
    <x v="0"/>
    <x v="181"/>
    <x v="187"/>
    <x v="0"/>
    <x v="0"/>
    <x v="0"/>
    <x v="25"/>
    <x v="0"/>
    <x v="0"/>
    <x v="181"/>
    <x v="10"/>
    <x v="0"/>
    <x v="0"/>
    <x v="0"/>
    <x v="181"/>
    <x v="187"/>
    <x v="0"/>
    <x v="3"/>
    <x v="0"/>
    <x v="0"/>
    <x v="0"/>
    <x v="0"/>
    <x v="1"/>
    <x v="1"/>
    <x v="0"/>
    <x v="4"/>
    <x v="184"/>
    <x v="0"/>
    <x v="181"/>
    <x v="184"/>
    <x v="1"/>
    <x v="0"/>
    <x v="196"/>
    <x v="0"/>
    <x v="0"/>
    <x v="0"/>
    <x v="0"/>
    <x v="0"/>
    <x v="25"/>
    <x v="0"/>
    <x v="0"/>
    <x v="0"/>
    <x v="0"/>
    <x v="184"/>
    <x v="0"/>
    <x v="0"/>
    <x v="184"/>
    <x v="99"/>
    <x v="0"/>
    <x v="6"/>
    <x v="1"/>
    <x v="7"/>
    <x v="1"/>
    <x v="196"/>
    <x v="0"/>
    <x v="0"/>
    <x v="7"/>
    <x v="0"/>
    <x v="18"/>
    <x v="214"/>
    <x v="214"/>
    <x v="0"/>
    <x v="0"/>
    <x v="0"/>
    <x v="184"/>
    <x v="0"/>
    <x v="0"/>
    <x v="0"/>
    <x v="0"/>
    <x v="7"/>
    <x v="0"/>
    <x v="0"/>
    <x v="0"/>
    <x v="15"/>
    <x v="0"/>
    <x v="3"/>
    <x v="3"/>
    <x v="4"/>
    <x v="1"/>
    <x v="0"/>
    <x v="0"/>
    <x v="0"/>
    <x v="17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2"/>
    <x v="4"/>
    <x v="0"/>
    <x v="0"/>
    <x v="0"/>
    <x v="0"/>
    <x v="0"/>
    <x v="86"/>
  </r>
  <r>
    <x v="1"/>
    <x v="215"/>
    <x v="2"/>
    <x v="17"/>
    <x v="0"/>
    <x v="0"/>
    <x v="0"/>
    <x v="182"/>
    <x v="188"/>
    <x v="0"/>
    <x v="0"/>
    <x v="0"/>
    <x v="6"/>
    <x v="3"/>
    <x v="0"/>
    <x v="182"/>
    <x v="6"/>
    <x v="0"/>
    <x v="0"/>
    <x v="0"/>
    <x v="182"/>
    <x v="188"/>
    <x v="0"/>
    <x v="3"/>
    <x v="0"/>
    <x v="0"/>
    <x v="0"/>
    <x v="0"/>
    <x v="1"/>
    <x v="1"/>
    <x v="0"/>
    <x v="4"/>
    <x v="185"/>
    <x v="0"/>
    <x v="182"/>
    <x v="185"/>
    <x v="1"/>
    <x v="0"/>
    <x v="197"/>
    <x v="3"/>
    <x v="0"/>
    <x v="3"/>
    <x v="0"/>
    <x v="0"/>
    <x v="6"/>
    <x v="0"/>
    <x v="0"/>
    <x v="0"/>
    <x v="0"/>
    <x v="185"/>
    <x v="0"/>
    <x v="3"/>
    <x v="185"/>
    <x v="0"/>
    <x v="0"/>
    <x v="6"/>
    <x v="1"/>
    <x v="7"/>
    <x v="1"/>
    <x v="197"/>
    <x v="0"/>
    <x v="0"/>
    <x v="1"/>
    <x v="0"/>
    <x v="18"/>
    <x v="215"/>
    <x v="215"/>
    <x v="0"/>
    <x v="0"/>
    <x v="0"/>
    <x v="185"/>
    <x v="0"/>
    <x v="0"/>
    <x v="0"/>
    <x v="0"/>
    <x v="7"/>
    <x v="0"/>
    <x v="0"/>
    <x v="0"/>
    <x v="16"/>
    <x v="0"/>
    <x v="3"/>
    <x v="3"/>
    <x v="4"/>
    <x v="1"/>
    <x v="0"/>
    <x v="0"/>
    <x v="0"/>
    <x v="178"/>
    <x v="7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11"/>
    <x v="4"/>
    <x v="0"/>
    <x v="0"/>
    <x v="0"/>
    <x v="0"/>
    <x v="0"/>
    <x v="0"/>
  </r>
  <r>
    <x v="1"/>
    <x v="216"/>
    <x v="0"/>
    <x v="17"/>
    <x v="0"/>
    <x v="0"/>
    <x v="0"/>
    <x v="183"/>
    <x v="189"/>
    <x v="0"/>
    <x v="0"/>
    <x v="0"/>
    <x v="24"/>
    <x v="0"/>
    <x v="0"/>
    <x v="183"/>
    <x v="10"/>
    <x v="0"/>
    <x v="0"/>
    <x v="0"/>
    <x v="183"/>
    <x v="189"/>
    <x v="0"/>
    <x v="3"/>
    <x v="0"/>
    <x v="0"/>
    <x v="0"/>
    <x v="0"/>
    <x v="1"/>
    <x v="1"/>
    <x v="0"/>
    <x v="4"/>
    <x v="186"/>
    <x v="0"/>
    <x v="183"/>
    <x v="186"/>
    <x v="1"/>
    <x v="0"/>
    <x v="198"/>
    <x v="0"/>
    <x v="0"/>
    <x v="0"/>
    <x v="0"/>
    <x v="0"/>
    <x v="24"/>
    <x v="0"/>
    <x v="0"/>
    <x v="0"/>
    <x v="0"/>
    <x v="186"/>
    <x v="0"/>
    <x v="0"/>
    <x v="186"/>
    <x v="100"/>
    <x v="0"/>
    <x v="6"/>
    <x v="1"/>
    <x v="7"/>
    <x v="1"/>
    <x v="198"/>
    <x v="0"/>
    <x v="0"/>
    <x v="0"/>
    <x v="0"/>
    <x v="18"/>
    <x v="216"/>
    <x v="216"/>
    <x v="0"/>
    <x v="0"/>
    <x v="0"/>
    <x v="186"/>
    <x v="0"/>
    <x v="0"/>
    <x v="0"/>
    <x v="0"/>
    <x v="7"/>
    <x v="0"/>
    <x v="0"/>
    <x v="0"/>
    <x v="16"/>
    <x v="0"/>
    <x v="3"/>
    <x v="3"/>
    <x v="4"/>
    <x v="1"/>
    <x v="0"/>
    <x v="0"/>
    <x v="0"/>
    <x v="179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40"/>
    <x v="4"/>
    <x v="0"/>
    <x v="0"/>
    <x v="0"/>
    <x v="0"/>
    <x v="0"/>
    <x v="87"/>
  </r>
  <r>
    <x v="1"/>
    <x v="217"/>
    <x v="0"/>
    <x v="17"/>
    <x v="0"/>
    <x v="0"/>
    <x v="0"/>
    <x v="80"/>
    <x v="190"/>
    <x v="0"/>
    <x v="0"/>
    <x v="0"/>
    <x v="1"/>
    <x v="0"/>
    <x v="0"/>
    <x v="80"/>
    <x v="2"/>
    <x v="0"/>
    <x v="0"/>
    <x v="0"/>
    <x v="80"/>
    <x v="190"/>
    <x v="0"/>
    <x v="0"/>
    <x v="0"/>
    <x v="0"/>
    <x v="0"/>
    <x v="0"/>
    <x v="1"/>
    <x v="1"/>
    <x v="0"/>
    <x v="4"/>
    <x v="82"/>
    <x v="0"/>
    <x v="80"/>
    <x v="82"/>
    <x v="68"/>
    <x v="0"/>
    <x v="199"/>
    <x v="0"/>
    <x v="0"/>
    <x v="0"/>
    <x v="0"/>
    <x v="0"/>
    <x v="1"/>
    <x v="0"/>
    <x v="0"/>
    <x v="0"/>
    <x v="0"/>
    <x v="82"/>
    <x v="0"/>
    <x v="0"/>
    <x v="82"/>
    <x v="0"/>
    <x v="0"/>
    <x v="6"/>
    <x v="0"/>
    <x v="63"/>
    <x v="68"/>
    <x v="199"/>
    <x v="0"/>
    <x v="1"/>
    <x v="0"/>
    <x v="0"/>
    <x v="18"/>
    <x v="217"/>
    <x v="217"/>
    <x v="0"/>
    <x v="0"/>
    <x v="0"/>
    <x v="82"/>
    <x v="0"/>
    <x v="0"/>
    <x v="0"/>
    <x v="0"/>
    <x v="63"/>
    <x v="0"/>
    <x v="0"/>
    <x v="0"/>
    <x v="16"/>
    <x v="0"/>
    <x v="3"/>
    <x v="3"/>
    <x v="4"/>
    <x v="1"/>
    <x v="0"/>
    <x v="0"/>
    <x v="0"/>
    <x v="180"/>
    <x v="6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6"/>
    <x v="4"/>
    <x v="0"/>
    <x v="0"/>
    <x v="0"/>
    <x v="0"/>
    <x v="0"/>
    <x v="0"/>
  </r>
  <r>
    <x v="1"/>
    <x v="218"/>
    <x v="0"/>
    <x v="15"/>
    <x v="0"/>
    <x v="0"/>
    <x v="0"/>
    <x v="184"/>
    <x v="191"/>
    <x v="0"/>
    <x v="0"/>
    <x v="0"/>
    <x v="1"/>
    <x v="0"/>
    <x v="0"/>
    <x v="184"/>
    <x v="2"/>
    <x v="0"/>
    <x v="0"/>
    <x v="0"/>
    <x v="184"/>
    <x v="191"/>
    <x v="0"/>
    <x v="0"/>
    <x v="0"/>
    <x v="0"/>
    <x v="0"/>
    <x v="0"/>
    <x v="1"/>
    <x v="1"/>
    <x v="0"/>
    <x v="4"/>
    <x v="187"/>
    <x v="0"/>
    <x v="184"/>
    <x v="187"/>
    <x v="69"/>
    <x v="0"/>
    <x v="200"/>
    <x v="0"/>
    <x v="0"/>
    <x v="0"/>
    <x v="0"/>
    <x v="0"/>
    <x v="1"/>
    <x v="0"/>
    <x v="0"/>
    <x v="0"/>
    <x v="0"/>
    <x v="187"/>
    <x v="0"/>
    <x v="0"/>
    <x v="187"/>
    <x v="0"/>
    <x v="0"/>
    <x v="6"/>
    <x v="0"/>
    <x v="151"/>
    <x v="69"/>
    <x v="200"/>
    <x v="0"/>
    <x v="1"/>
    <x v="0"/>
    <x v="0"/>
    <x v="18"/>
    <x v="218"/>
    <x v="218"/>
    <x v="0"/>
    <x v="0"/>
    <x v="0"/>
    <x v="187"/>
    <x v="0"/>
    <x v="0"/>
    <x v="0"/>
    <x v="0"/>
    <x v="151"/>
    <x v="0"/>
    <x v="0"/>
    <x v="0"/>
    <x v="14"/>
    <x v="0"/>
    <x v="3"/>
    <x v="3"/>
    <x v="4"/>
    <x v="1"/>
    <x v="0"/>
    <x v="0"/>
    <x v="0"/>
    <x v="181"/>
    <x v="15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11"/>
    <x v="4"/>
    <x v="0"/>
    <x v="0"/>
    <x v="0"/>
    <x v="0"/>
    <x v="0"/>
    <x v="0"/>
  </r>
  <r>
    <x v="1"/>
    <x v="219"/>
    <x v="0"/>
    <x v="17"/>
    <x v="0"/>
    <x v="0"/>
    <x v="0"/>
    <x v="185"/>
    <x v="192"/>
    <x v="0"/>
    <x v="0"/>
    <x v="0"/>
    <x v="1"/>
    <x v="0"/>
    <x v="0"/>
    <x v="185"/>
    <x v="2"/>
    <x v="0"/>
    <x v="0"/>
    <x v="0"/>
    <x v="185"/>
    <x v="192"/>
    <x v="0"/>
    <x v="0"/>
    <x v="0"/>
    <x v="0"/>
    <x v="0"/>
    <x v="0"/>
    <x v="1"/>
    <x v="1"/>
    <x v="0"/>
    <x v="4"/>
    <x v="188"/>
    <x v="0"/>
    <x v="185"/>
    <x v="188"/>
    <x v="1"/>
    <x v="0"/>
    <x v="201"/>
    <x v="1"/>
    <x v="0"/>
    <x v="1"/>
    <x v="0"/>
    <x v="0"/>
    <x v="1"/>
    <x v="0"/>
    <x v="0"/>
    <x v="0"/>
    <x v="0"/>
    <x v="188"/>
    <x v="0"/>
    <x v="1"/>
    <x v="188"/>
    <x v="0"/>
    <x v="0"/>
    <x v="6"/>
    <x v="0"/>
    <x v="152"/>
    <x v="1"/>
    <x v="201"/>
    <x v="0"/>
    <x v="0"/>
    <x v="0"/>
    <x v="0"/>
    <x v="18"/>
    <x v="219"/>
    <x v="219"/>
    <x v="0"/>
    <x v="0"/>
    <x v="0"/>
    <x v="188"/>
    <x v="0"/>
    <x v="0"/>
    <x v="0"/>
    <x v="0"/>
    <x v="152"/>
    <x v="0"/>
    <x v="0"/>
    <x v="0"/>
    <x v="16"/>
    <x v="0"/>
    <x v="3"/>
    <x v="3"/>
    <x v="4"/>
    <x v="1"/>
    <x v="0"/>
    <x v="0"/>
    <x v="0"/>
    <x v="180"/>
    <x v="15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6"/>
    <x v="4"/>
    <x v="0"/>
    <x v="0"/>
    <x v="0"/>
    <x v="0"/>
    <x v="0"/>
    <x v="0"/>
  </r>
  <r>
    <x v="1"/>
    <x v="220"/>
    <x v="0"/>
    <x v="15"/>
    <x v="0"/>
    <x v="0"/>
    <x v="0"/>
    <x v="186"/>
    <x v="193"/>
    <x v="0"/>
    <x v="0"/>
    <x v="0"/>
    <x v="1"/>
    <x v="0"/>
    <x v="0"/>
    <x v="186"/>
    <x v="2"/>
    <x v="0"/>
    <x v="0"/>
    <x v="0"/>
    <x v="186"/>
    <x v="193"/>
    <x v="0"/>
    <x v="0"/>
    <x v="0"/>
    <x v="0"/>
    <x v="0"/>
    <x v="0"/>
    <x v="1"/>
    <x v="1"/>
    <x v="0"/>
    <x v="4"/>
    <x v="189"/>
    <x v="0"/>
    <x v="186"/>
    <x v="189"/>
    <x v="1"/>
    <x v="0"/>
    <x v="202"/>
    <x v="1"/>
    <x v="0"/>
    <x v="1"/>
    <x v="0"/>
    <x v="0"/>
    <x v="1"/>
    <x v="0"/>
    <x v="0"/>
    <x v="0"/>
    <x v="0"/>
    <x v="189"/>
    <x v="0"/>
    <x v="1"/>
    <x v="189"/>
    <x v="0"/>
    <x v="0"/>
    <x v="6"/>
    <x v="0"/>
    <x v="153"/>
    <x v="1"/>
    <x v="202"/>
    <x v="0"/>
    <x v="0"/>
    <x v="0"/>
    <x v="0"/>
    <x v="18"/>
    <x v="220"/>
    <x v="220"/>
    <x v="0"/>
    <x v="0"/>
    <x v="0"/>
    <x v="189"/>
    <x v="0"/>
    <x v="0"/>
    <x v="0"/>
    <x v="0"/>
    <x v="153"/>
    <x v="0"/>
    <x v="0"/>
    <x v="0"/>
    <x v="14"/>
    <x v="0"/>
    <x v="3"/>
    <x v="3"/>
    <x v="4"/>
    <x v="1"/>
    <x v="0"/>
    <x v="0"/>
    <x v="0"/>
    <x v="181"/>
    <x v="15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11"/>
    <x v="4"/>
    <x v="0"/>
    <x v="0"/>
    <x v="0"/>
    <x v="0"/>
    <x v="0"/>
    <x v="0"/>
  </r>
  <r>
    <x v="0"/>
    <x v="221"/>
    <x v="0"/>
    <x v="17"/>
    <x v="0"/>
    <x v="0"/>
    <x v="0"/>
    <x v="187"/>
    <x v="194"/>
    <x v="0"/>
    <x v="0"/>
    <x v="0"/>
    <x v="0"/>
    <x v="0"/>
    <x v="0"/>
    <x v="187"/>
    <x v="0"/>
    <x v="0"/>
    <x v="0"/>
    <x v="0"/>
    <x v="187"/>
    <x v="194"/>
    <x v="0"/>
    <x v="0"/>
    <x v="0"/>
    <x v="0"/>
    <x v="0"/>
    <x v="0"/>
    <x v="0"/>
    <x v="0"/>
    <x v="0"/>
    <x v="133"/>
    <x v="190"/>
    <x v="0"/>
    <x v="187"/>
    <x v="190"/>
    <x v="1"/>
    <x v="0"/>
    <x v="203"/>
    <x v="2"/>
    <x v="0"/>
    <x v="2"/>
    <x v="0"/>
    <x v="0"/>
    <x v="0"/>
    <x v="0"/>
    <x v="0"/>
    <x v="0"/>
    <x v="0"/>
    <x v="190"/>
    <x v="0"/>
    <x v="2"/>
    <x v="190"/>
    <x v="0"/>
    <x v="0"/>
    <x v="148"/>
    <x v="0"/>
    <x v="154"/>
    <x v="1"/>
    <x v="203"/>
    <x v="0"/>
    <x v="0"/>
    <x v="1"/>
    <x v="0"/>
    <x v="18"/>
    <x v="221"/>
    <x v="221"/>
    <x v="0"/>
    <x v="0"/>
    <x v="0"/>
    <x v="190"/>
    <x v="0"/>
    <x v="0"/>
    <x v="0"/>
    <x v="0"/>
    <x v="154"/>
    <x v="0"/>
    <x v="0"/>
    <x v="0"/>
    <x v="16"/>
    <x v="0"/>
    <x v="33"/>
    <x v="33"/>
    <x v="133"/>
    <x v="0"/>
    <x v="0"/>
    <x v="0"/>
    <x v="0"/>
    <x v="182"/>
    <x v="1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3"/>
    <x v="121"/>
    <x v="0"/>
    <x v="0"/>
    <x v="0"/>
    <x v="0"/>
    <x v="0"/>
    <x v="88"/>
  </r>
  <r>
    <x v="0"/>
    <x v="222"/>
    <x v="0"/>
    <x v="18"/>
    <x v="0"/>
    <x v="0"/>
    <x v="0"/>
    <x v="188"/>
    <x v="195"/>
    <x v="0"/>
    <x v="0"/>
    <x v="0"/>
    <x v="0"/>
    <x v="0"/>
    <x v="0"/>
    <x v="188"/>
    <x v="0"/>
    <x v="0"/>
    <x v="0"/>
    <x v="0"/>
    <x v="188"/>
    <x v="195"/>
    <x v="0"/>
    <x v="0"/>
    <x v="0"/>
    <x v="0"/>
    <x v="0"/>
    <x v="0"/>
    <x v="0"/>
    <x v="0"/>
    <x v="0"/>
    <x v="134"/>
    <x v="191"/>
    <x v="0"/>
    <x v="188"/>
    <x v="191"/>
    <x v="70"/>
    <x v="0"/>
    <x v="204"/>
    <x v="0"/>
    <x v="0"/>
    <x v="0"/>
    <x v="0"/>
    <x v="0"/>
    <x v="0"/>
    <x v="0"/>
    <x v="0"/>
    <x v="0"/>
    <x v="0"/>
    <x v="191"/>
    <x v="0"/>
    <x v="0"/>
    <x v="191"/>
    <x v="0"/>
    <x v="0"/>
    <x v="149"/>
    <x v="0"/>
    <x v="155"/>
    <x v="70"/>
    <x v="204"/>
    <x v="0"/>
    <x v="0"/>
    <x v="0"/>
    <x v="0"/>
    <x v="18"/>
    <x v="222"/>
    <x v="222"/>
    <x v="0"/>
    <x v="0"/>
    <x v="0"/>
    <x v="191"/>
    <x v="0"/>
    <x v="0"/>
    <x v="0"/>
    <x v="0"/>
    <x v="155"/>
    <x v="0"/>
    <x v="0"/>
    <x v="0"/>
    <x v="17"/>
    <x v="0"/>
    <x v="19"/>
    <x v="19"/>
    <x v="134"/>
    <x v="0"/>
    <x v="0"/>
    <x v="0"/>
    <x v="0"/>
    <x v="183"/>
    <x v="1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4"/>
    <x v="122"/>
    <x v="0"/>
    <x v="0"/>
    <x v="0"/>
    <x v="0"/>
    <x v="0"/>
    <x v="0"/>
  </r>
  <r>
    <x v="0"/>
    <x v="223"/>
    <x v="0"/>
    <x v="18"/>
    <x v="0"/>
    <x v="0"/>
    <x v="0"/>
    <x v="189"/>
    <x v="196"/>
    <x v="0"/>
    <x v="0"/>
    <x v="0"/>
    <x v="0"/>
    <x v="0"/>
    <x v="0"/>
    <x v="189"/>
    <x v="0"/>
    <x v="0"/>
    <x v="0"/>
    <x v="0"/>
    <x v="189"/>
    <x v="196"/>
    <x v="0"/>
    <x v="0"/>
    <x v="0"/>
    <x v="0"/>
    <x v="0"/>
    <x v="0"/>
    <x v="0"/>
    <x v="0"/>
    <x v="0"/>
    <x v="134"/>
    <x v="192"/>
    <x v="0"/>
    <x v="189"/>
    <x v="192"/>
    <x v="1"/>
    <x v="0"/>
    <x v="205"/>
    <x v="1"/>
    <x v="0"/>
    <x v="1"/>
    <x v="0"/>
    <x v="0"/>
    <x v="0"/>
    <x v="0"/>
    <x v="0"/>
    <x v="0"/>
    <x v="0"/>
    <x v="192"/>
    <x v="0"/>
    <x v="1"/>
    <x v="192"/>
    <x v="0"/>
    <x v="0"/>
    <x v="150"/>
    <x v="0"/>
    <x v="156"/>
    <x v="1"/>
    <x v="205"/>
    <x v="0"/>
    <x v="0"/>
    <x v="1"/>
    <x v="0"/>
    <x v="18"/>
    <x v="223"/>
    <x v="223"/>
    <x v="0"/>
    <x v="0"/>
    <x v="0"/>
    <x v="192"/>
    <x v="0"/>
    <x v="0"/>
    <x v="0"/>
    <x v="0"/>
    <x v="156"/>
    <x v="0"/>
    <x v="0"/>
    <x v="0"/>
    <x v="17"/>
    <x v="0"/>
    <x v="19"/>
    <x v="19"/>
    <x v="134"/>
    <x v="0"/>
    <x v="0"/>
    <x v="0"/>
    <x v="0"/>
    <x v="183"/>
    <x v="1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4"/>
    <x v="122"/>
    <x v="0"/>
    <x v="0"/>
    <x v="0"/>
    <x v="0"/>
    <x v="0"/>
    <x v="0"/>
  </r>
  <r>
    <x v="0"/>
    <x v="224"/>
    <x v="0"/>
    <x v="17"/>
    <x v="0"/>
    <x v="0"/>
    <x v="0"/>
    <x v="190"/>
    <x v="197"/>
    <x v="0"/>
    <x v="0"/>
    <x v="0"/>
    <x v="0"/>
    <x v="0"/>
    <x v="0"/>
    <x v="190"/>
    <x v="0"/>
    <x v="0"/>
    <x v="0"/>
    <x v="0"/>
    <x v="190"/>
    <x v="197"/>
    <x v="0"/>
    <x v="0"/>
    <x v="0"/>
    <x v="0"/>
    <x v="0"/>
    <x v="2"/>
    <x v="0"/>
    <x v="0"/>
    <x v="0"/>
    <x v="135"/>
    <x v="193"/>
    <x v="0"/>
    <x v="190"/>
    <x v="193"/>
    <x v="1"/>
    <x v="0"/>
    <x v="206"/>
    <x v="2"/>
    <x v="0"/>
    <x v="2"/>
    <x v="0"/>
    <x v="0"/>
    <x v="0"/>
    <x v="0"/>
    <x v="0"/>
    <x v="0"/>
    <x v="0"/>
    <x v="193"/>
    <x v="0"/>
    <x v="2"/>
    <x v="193"/>
    <x v="0"/>
    <x v="0"/>
    <x v="151"/>
    <x v="0"/>
    <x v="157"/>
    <x v="1"/>
    <x v="206"/>
    <x v="0"/>
    <x v="0"/>
    <x v="1"/>
    <x v="0"/>
    <x v="18"/>
    <x v="224"/>
    <x v="224"/>
    <x v="0"/>
    <x v="0"/>
    <x v="0"/>
    <x v="193"/>
    <x v="0"/>
    <x v="0"/>
    <x v="0"/>
    <x v="0"/>
    <x v="157"/>
    <x v="0"/>
    <x v="0"/>
    <x v="0"/>
    <x v="16"/>
    <x v="0"/>
    <x v="37"/>
    <x v="37"/>
    <x v="135"/>
    <x v="0"/>
    <x v="0"/>
    <x v="0"/>
    <x v="0"/>
    <x v="184"/>
    <x v="1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5"/>
    <x v="123"/>
    <x v="0"/>
    <x v="0"/>
    <x v="0"/>
    <x v="0"/>
    <x v="0"/>
    <x v="89"/>
  </r>
  <r>
    <x v="0"/>
    <x v="225"/>
    <x v="0"/>
    <x v="17"/>
    <x v="0"/>
    <x v="0"/>
    <x v="0"/>
    <x v="191"/>
    <x v="198"/>
    <x v="0"/>
    <x v="0"/>
    <x v="0"/>
    <x v="1"/>
    <x v="0"/>
    <x v="0"/>
    <x v="191"/>
    <x v="2"/>
    <x v="0"/>
    <x v="0"/>
    <x v="0"/>
    <x v="191"/>
    <x v="198"/>
    <x v="0"/>
    <x v="0"/>
    <x v="0"/>
    <x v="0"/>
    <x v="0"/>
    <x v="2"/>
    <x v="0"/>
    <x v="0"/>
    <x v="0"/>
    <x v="136"/>
    <x v="194"/>
    <x v="0"/>
    <x v="191"/>
    <x v="194"/>
    <x v="1"/>
    <x v="0"/>
    <x v="207"/>
    <x v="2"/>
    <x v="0"/>
    <x v="2"/>
    <x v="0"/>
    <x v="0"/>
    <x v="1"/>
    <x v="0"/>
    <x v="0"/>
    <x v="0"/>
    <x v="0"/>
    <x v="194"/>
    <x v="0"/>
    <x v="2"/>
    <x v="194"/>
    <x v="0"/>
    <x v="0"/>
    <x v="152"/>
    <x v="0"/>
    <x v="158"/>
    <x v="1"/>
    <x v="207"/>
    <x v="0"/>
    <x v="1"/>
    <x v="0"/>
    <x v="0"/>
    <x v="18"/>
    <x v="225"/>
    <x v="225"/>
    <x v="0"/>
    <x v="0"/>
    <x v="0"/>
    <x v="194"/>
    <x v="0"/>
    <x v="0"/>
    <x v="0"/>
    <x v="0"/>
    <x v="158"/>
    <x v="0"/>
    <x v="0"/>
    <x v="0"/>
    <x v="16"/>
    <x v="0"/>
    <x v="33"/>
    <x v="33"/>
    <x v="136"/>
    <x v="0"/>
    <x v="0"/>
    <x v="0"/>
    <x v="0"/>
    <x v="185"/>
    <x v="15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46"/>
    <x v="124"/>
    <x v="0"/>
    <x v="0"/>
    <x v="0"/>
    <x v="0"/>
    <x v="0"/>
    <x v="90"/>
  </r>
  <r>
    <x v="0"/>
    <x v="226"/>
    <x v="0"/>
    <x v="17"/>
    <x v="0"/>
    <x v="0"/>
    <x v="0"/>
    <x v="192"/>
    <x v="199"/>
    <x v="0"/>
    <x v="0"/>
    <x v="0"/>
    <x v="1"/>
    <x v="0"/>
    <x v="0"/>
    <x v="192"/>
    <x v="2"/>
    <x v="0"/>
    <x v="0"/>
    <x v="0"/>
    <x v="192"/>
    <x v="199"/>
    <x v="0"/>
    <x v="0"/>
    <x v="0"/>
    <x v="0"/>
    <x v="0"/>
    <x v="0"/>
    <x v="0"/>
    <x v="0"/>
    <x v="0"/>
    <x v="137"/>
    <x v="195"/>
    <x v="0"/>
    <x v="192"/>
    <x v="195"/>
    <x v="71"/>
    <x v="0"/>
    <x v="208"/>
    <x v="0"/>
    <x v="0"/>
    <x v="0"/>
    <x v="0"/>
    <x v="0"/>
    <x v="1"/>
    <x v="0"/>
    <x v="0"/>
    <x v="0"/>
    <x v="0"/>
    <x v="195"/>
    <x v="0"/>
    <x v="0"/>
    <x v="195"/>
    <x v="0"/>
    <x v="0"/>
    <x v="153"/>
    <x v="0"/>
    <x v="159"/>
    <x v="71"/>
    <x v="208"/>
    <x v="0"/>
    <x v="0"/>
    <x v="0"/>
    <x v="0"/>
    <x v="18"/>
    <x v="226"/>
    <x v="226"/>
    <x v="0"/>
    <x v="0"/>
    <x v="0"/>
    <x v="195"/>
    <x v="0"/>
    <x v="0"/>
    <x v="0"/>
    <x v="0"/>
    <x v="159"/>
    <x v="0"/>
    <x v="0"/>
    <x v="0"/>
    <x v="16"/>
    <x v="0"/>
    <x v="67"/>
    <x v="67"/>
    <x v="137"/>
    <x v="0"/>
    <x v="0"/>
    <x v="0"/>
    <x v="0"/>
    <x v="186"/>
    <x v="15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47"/>
    <x v="125"/>
    <x v="0"/>
    <x v="0"/>
    <x v="0"/>
    <x v="0"/>
    <x v="0"/>
    <x v="0"/>
  </r>
  <r>
    <x v="0"/>
    <x v="227"/>
    <x v="0"/>
    <x v="17"/>
    <x v="0"/>
    <x v="0"/>
    <x v="0"/>
    <x v="193"/>
    <x v="200"/>
    <x v="0"/>
    <x v="0"/>
    <x v="0"/>
    <x v="1"/>
    <x v="0"/>
    <x v="0"/>
    <x v="193"/>
    <x v="2"/>
    <x v="0"/>
    <x v="0"/>
    <x v="0"/>
    <x v="193"/>
    <x v="200"/>
    <x v="0"/>
    <x v="0"/>
    <x v="0"/>
    <x v="0"/>
    <x v="0"/>
    <x v="0"/>
    <x v="0"/>
    <x v="0"/>
    <x v="0"/>
    <x v="137"/>
    <x v="196"/>
    <x v="0"/>
    <x v="193"/>
    <x v="196"/>
    <x v="1"/>
    <x v="0"/>
    <x v="209"/>
    <x v="1"/>
    <x v="0"/>
    <x v="1"/>
    <x v="0"/>
    <x v="0"/>
    <x v="1"/>
    <x v="0"/>
    <x v="0"/>
    <x v="0"/>
    <x v="0"/>
    <x v="196"/>
    <x v="0"/>
    <x v="1"/>
    <x v="196"/>
    <x v="0"/>
    <x v="0"/>
    <x v="154"/>
    <x v="0"/>
    <x v="160"/>
    <x v="1"/>
    <x v="209"/>
    <x v="0"/>
    <x v="0"/>
    <x v="1"/>
    <x v="0"/>
    <x v="18"/>
    <x v="227"/>
    <x v="227"/>
    <x v="0"/>
    <x v="0"/>
    <x v="0"/>
    <x v="196"/>
    <x v="0"/>
    <x v="0"/>
    <x v="0"/>
    <x v="0"/>
    <x v="160"/>
    <x v="0"/>
    <x v="0"/>
    <x v="0"/>
    <x v="16"/>
    <x v="0"/>
    <x v="67"/>
    <x v="67"/>
    <x v="137"/>
    <x v="0"/>
    <x v="0"/>
    <x v="0"/>
    <x v="0"/>
    <x v="186"/>
    <x v="16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47"/>
    <x v="125"/>
    <x v="0"/>
    <x v="0"/>
    <x v="0"/>
    <x v="0"/>
    <x v="0"/>
    <x v="0"/>
  </r>
  <r>
    <x v="0"/>
    <x v="228"/>
    <x v="0"/>
    <x v="16"/>
    <x v="0"/>
    <x v="0"/>
    <x v="0"/>
    <x v="74"/>
    <x v="75"/>
    <x v="0"/>
    <x v="0"/>
    <x v="0"/>
    <x v="1"/>
    <x v="0"/>
    <x v="0"/>
    <x v="74"/>
    <x v="2"/>
    <x v="0"/>
    <x v="0"/>
    <x v="0"/>
    <x v="74"/>
    <x v="75"/>
    <x v="0"/>
    <x v="0"/>
    <x v="0"/>
    <x v="0"/>
    <x v="0"/>
    <x v="0"/>
    <x v="0"/>
    <x v="0"/>
    <x v="0"/>
    <x v="138"/>
    <x v="76"/>
    <x v="0"/>
    <x v="74"/>
    <x v="76"/>
    <x v="1"/>
    <x v="0"/>
    <x v="77"/>
    <x v="2"/>
    <x v="0"/>
    <x v="2"/>
    <x v="0"/>
    <x v="0"/>
    <x v="1"/>
    <x v="0"/>
    <x v="0"/>
    <x v="0"/>
    <x v="0"/>
    <x v="76"/>
    <x v="0"/>
    <x v="2"/>
    <x v="76"/>
    <x v="0"/>
    <x v="0"/>
    <x v="60"/>
    <x v="0"/>
    <x v="59"/>
    <x v="1"/>
    <x v="77"/>
    <x v="0"/>
    <x v="0"/>
    <x v="1"/>
    <x v="0"/>
    <x v="18"/>
    <x v="228"/>
    <x v="228"/>
    <x v="0"/>
    <x v="0"/>
    <x v="0"/>
    <x v="76"/>
    <x v="0"/>
    <x v="0"/>
    <x v="0"/>
    <x v="0"/>
    <x v="59"/>
    <x v="0"/>
    <x v="0"/>
    <x v="0"/>
    <x v="15"/>
    <x v="0"/>
    <x v="45"/>
    <x v="45"/>
    <x v="138"/>
    <x v="0"/>
    <x v="0"/>
    <x v="0"/>
    <x v="0"/>
    <x v="187"/>
    <x v="5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47"/>
    <x v="125"/>
    <x v="0"/>
    <x v="0"/>
    <x v="0"/>
    <x v="0"/>
    <x v="0"/>
    <x v="91"/>
  </r>
  <r>
    <x v="1"/>
    <x v="229"/>
    <x v="0"/>
    <x v="12"/>
    <x v="0"/>
    <x v="0"/>
    <x v="0"/>
    <x v="104"/>
    <x v="201"/>
    <x v="0"/>
    <x v="0"/>
    <x v="0"/>
    <x v="0"/>
    <x v="0"/>
    <x v="0"/>
    <x v="104"/>
    <x v="0"/>
    <x v="0"/>
    <x v="0"/>
    <x v="0"/>
    <x v="104"/>
    <x v="201"/>
    <x v="0"/>
    <x v="0"/>
    <x v="0"/>
    <x v="0"/>
    <x v="0"/>
    <x v="0"/>
    <x v="1"/>
    <x v="1"/>
    <x v="0"/>
    <x v="4"/>
    <x v="106"/>
    <x v="0"/>
    <x v="104"/>
    <x v="106"/>
    <x v="72"/>
    <x v="0"/>
    <x v="210"/>
    <x v="0"/>
    <x v="0"/>
    <x v="0"/>
    <x v="0"/>
    <x v="0"/>
    <x v="0"/>
    <x v="0"/>
    <x v="0"/>
    <x v="0"/>
    <x v="0"/>
    <x v="106"/>
    <x v="0"/>
    <x v="0"/>
    <x v="106"/>
    <x v="0"/>
    <x v="0"/>
    <x v="6"/>
    <x v="0"/>
    <x v="84"/>
    <x v="72"/>
    <x v="210"/>
    <x v="0"/>
    <x v="0"/>
    <x v="0"/>
    <x v="0"/>
    <x v="18"/>
    <x v="229"/>
    <x v="229"/>
    <x v="0"/>
    <x v="0"/>
    <x v="0"/>
    <x v="106"/>
    <x v="0"/>
    <x v="0"/>
    <x v="0"/>
    <x v="0"/>
    <x v="84"/>
    <x v="0"/>
    <x v="0"/>
    <x v="0"/>
    <x v="11"/>
    <x v="0"/>
    <x v="3"/>
    <x v="3"/>
    <x v="4"/>
    <x v="1"/>
    <x v="0"/>
    <x v="0"/>
    <x v="0"/>
    <x v="188"/>
    <x v="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9"/>
    <x v="4"/>
    <x v="0"/>
    <x v="0"/>
    <x v="0"/>
    <x v="0"/>
    <x v="0"/>
    <x v="0"/>
  </r>
  <r>
    <x v="0"/>
    <x v="230"/>
    <x v="0"/>
    <x v="17"/>
    <x v="0"/>
    <x v="0"/>
    <x v="0"/>
    <x v="194"/>
    <x v="202"/>
    <x v="0"/>
    <x v="0"/>
    <x v="0"/>
    <x v="0"/>
    <x v="0"/>
    <x v="0"/>
    <x v="194"/>
    <x v="0"/>
    <x v="0"/>
    <x v="0"/>
    <x v="0"/>
    <x v="194"/>
    <x v="202"/>
    <x v="0"/>
    <x v="0"/>
    <x v="0"/>
    <x v="0"/>
    <x v="0"/>
    <x v="0"/>
    <x v="0"/>
    <x v="0"/>
    <x v="0"/>
    <x v="139"/>
    <x v="197"/>
    <x v="0"/>
    <x v="194"/>
    <x v="197"/>
    <x v="1"/>
    <x v="0"/>
    <x v="211"/>
    <x v="2"/>
    <x v="0"/>
    <x v="2"/>
    <x v="0"/>
    <x v="0"/>
    <x v="0"/>
    <x v="0"/>
    <x v="0"/>
    <x v="0"/>
    <x v="0"/>
    <x v="197"/>
    <x v="0"/>
    <x v="2"/>
    <x v="197"/>
    <x v="0"/>
    <x v="0"/>
    <x v="155"/>
    <x v="0"/>
    <x v="161"/>
    <x v="1"/>
    <x v="211"/>
    <x v="0"/>
    <x v="0"/>
    <x v="1"/>
    <x v="0"/>
    <x v="18"/>
    <x v="230"/>
    <x v="230"/>
    <x v="0"/>
    <x v="0"/>
    <x v="0"/>
    <x v="197"/>
    <x v="0"/>
    <x v="0"/>
    <x v="0"/>
    <x v="0"/>
    <x v="161"/>
    <x v="0"/>
    <x v="0"/>
    <x v="0"/>
    <x v="16"/>
    <x v="0"/>
    <x v="30"/>
    <x v="30"/>
    <x v="139"/>
    <x v="0"/>
    <x v="0"/>
    <x v="0"/>
    <x v="0"/>
    <x v="189"/>
    <x v="1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8"/>
    <x v="126"/>
    <x v="0"/>
    <x v="0"/>
    <x v="0"/>
    <x v="0"/>
    <x v="0"/>
    <x v="92"/>
  </r>
  <r>
    <x v="0"/>
    <x v="231"/>
    <x v="0"/>
    <x v="17"/>
    <x v="0"/>
    <x v="0"/>
    <x v="0"/>
    <x v="194"/>
    <x v="202"/>
    <x v="0"/>
    <x v="0"/>
    <x v="0"/>
    <x v="12"/>
    <x v="1"/>
    <x v="0"/>
    <x v="194"/>
    <x v="11"/>
    <x v="0"/>
    <x v="0"/>
    <x v="0"/>
    <x v="194"/>
    <x v="202"/>
    <x v="0"/>
    <x v="0"/>
    <x v="0"/>
    <x v="0"/>
    <x v="0"/>
    <x v="0"/>
    <x v="0"/>
    <x v="0"/>
    <x v="0"/>
    <x v="140"/>
    <x v="197"/>
    <x v="0"/>
    <x v="194"/>
    <x v="197"/>
    <x v="1"/>
    <x v="0"/>
    <x v="211"/>
    <x v="6"/>
    <x v="0"/>
    <x v="6"/>
    <x v="0"/>
    <x v="0"/>
    <x v="12"/>
    <x v="0"/>
    <x v="0"/>
    <x v="0"/>
    <x v="0"/>
    <x v="197"/>
    <x v="0"/>
    <x v="6"/>
    <x v="197"/>
    <x v="0"/>
    <x v="0"/>
    <x v="155"/>
    <x v="0"/>
    <x v="161"/>
    <x v="1"/>
    <x v="211"/>
    <x v="0"/>
    <x v="0"/>
    <x v="1"/>
    <x v="0"/>
    <x v="18"/>
    <x v="231"/>
    <x v="231"/>
    <x v="0"/>
    <x v="0"/>
    <x v="0"/>
    <x v="197"/>
    <x v="0"/>
    <x v="0"/>
    <x v="0"/>
    <x v="0"/>
    <x v="161"/>
    <x v="0"/>
    <x v="0"/>
    <x v="0"/>
    <x v="16"/>
    <x v="0"/>
    <x v="68"/>
    <x v="68"/>
    <x v="140"/>
    <x v="0"/>
    <x v="0"/>
    <x v="0"/>
    <x v="0"/>
    <x v="190"/>
    <x v="16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49"/>
    <x v="127"/>
    <x v="2"/>
    <x v="0"/>
    <x v="0"/>
    <x v="0"/>
    <x v="0"/>
    <x v="0"/>
  </r>
  <r>
    <x v="1"/>
    <x v="232"/>
    <x v="0"/>
    <x v="17"/>
    <x v="0"/>
    <x v="0"/>
    <x v="0"/>
    <x v="195"/>
    <x v="203"/>
    <x v="0"/>
    <x v="0"/>
    <x v="0"/>
    <x v="26"/>
    <x v="0"/>
    <x v="0"/>
    <x v="195"/>
    <x v="10"/>
    <x v="0"/>
    <x v="0"/>
    <x v="0"/>
    <x v="195"/>
    <x v="203"/>
    <x v="0"/>
    <x v="0"/>
    <x v="0"/>
    <x v="0"/>
    <x v="0"/>
    <x v="0"/>
    <x v="1"/>
    <x v="1"/>
    <x v="0"/>
    <x v="4"/>
    <x v="198"/>
    <x v="0"/>
    <x v="195"/>
    <x v="198"/>
    <x v="73"/>
    <x v="0"/>
    <x v="212"/>
    <x v="0"/>
    <x v="0"/>
    <x v="0"/>
    <x v="0"/>
    <x v="0"/>
    <x v="26"/>
    <x v="0"/>
    <x v="0"/>
    <x v="0"/>
    <x v="0"/>
    <x v="198"/>
    <x v="0"/>
    <x v="0"/>
    <x v="198"/>
    <x v="0"/>
    <x v="0"/>
    <x v="6"/>
    <x v="0"/>
    <x v="162"/>
    <x v="73"/>
    <x v="212"/>
    <x v="0"/>
    <x v="0"/>
    <x v="0"/>
    <x v="0"/>
    <x v="18"/>
    <x v="232"/>
    <x v="232"/>
    <x v="0"/>
    <x v="0"/>
    <x v="0"/>
    <x v="198"/>
    <x v="0"/>
    <x v="0"/>
    <x v="0"/>
    <x v="0"/>
    <x v="162"/>
    <x v="0"/>
    <x v="0"/>
    <x v="0"/>
    <x v="16"/>
    <x v="0"/>
    <x v="3"/>
    <x v="3"/>
    <x v="4"/>
    <x v="1"/>
    <x v="0"/>
    <x v="0"/>
    <x v="0"/>
    <x v="191"/>
    <x v="1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0"/>
    <x v="4"/>
    <x v="0"/>
    <x v="0"/>
    <x v="0"/>
    <x v="0"/>
    <x v="0"/>
    <x v="93"/>
  </r>
  <r>
    <x v="0"/>
    <x v="233"/>
    <x v="0"/>
    <x v="17"/>
    <x v="0"/>
    <x v="0"/>
    <x v="0"/>
    <x v="196"/>
    <x v="204"/>
    <x v="0"/>
    <x v="0"/>
    <x v="0"/>
    <x v="12"/>
    <x v="1"/>
    <x v="0"/>
    <x v="196"/>
    <x v="11"/>
    <x v="0"/>
    <x v="0"/>
    <x v="0"/>
    <x v="196"/>
    <x v="204"/>
    <x v="0"/>
    <x v="0"/>
    <x v="0"/>
    <x v="0"/>
    <x v="0"/>
    <x v="0"/>
    <x v="0"/>
    <x v="0"/>
    <x v="0"/>
    <x v="141"/>
    <x v="199"/>
    <x v="0"/>
    <x v="196"/>
    <x v="199"/>
    <x v="1"/>
    <x v="0"/>
    <x v="213"/>
    <x v="0"/>
    <x v="0"/>
    <x v="0"/>
    <x v="0"/>
    <x v="0"/>
    <x v="12"/>
    <x v="0"/>
    <x v="0"/>
    <x v="0"/>
    <x v="0"/>
    <x v="199"/>
    <x v="0"/>
    <x v="0"/>
    <x v="199"/>
    <x v="0"/>
    <x v="0"/>
    <x v="156"/>
    <x v="0"/>
    <x v="163"/>
    <x v="1"/>
    <x v="213"/>
    <x v="0"/>
    <x v="0"/>
    <x v="4"/>
    <x v="2"/>
    <x v="18"/>
    <x v="233"/>
    <x v="233"/>
    <x v="0"/>
    <x v="0"/>
    <x v="0"/>
    <x v="199"/>
    <x v="0"/>
    <x v="0"/>
    <x v="0"/>
    <x v="0"/>
    <x v="163"/>
    <x v="0"/>
    <x v="0"/>
    <x v="0"/>
    <x v="16"/>
    <x v="0"/>
    <x v="64"/>
    <x v="64"/>
    <x v="141"/>
    <x v="0"/>
    <x v="0"/>
    <x v="0"/>
    <x v="0"/>
    <x v="192"/>
    <x v="16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128"/>
    <x v="0"/>
    <x v="0"/>
    <x v="0"/>
    <x v="0"/>
    <x v="0"/>
    <x v="0"/>
  </r>
  <r>
    <x v="0"/>
    <x v="234"/>
    <x v="0"/>
    <x v="17"/>
    <x v="0"/>
    <x v="0"/>
    <x v="0"/>
    <x v="197"/>
    <x v="205"/>
    <x v="0"/>
    <x v="0"/>
    <x v="0"/>
    <x v="1"/>
    <x v="0"/>
    <x v="0"/>
    <x v="197"/>
    <x v="2"/>
    <x v="0"/>
    <x v="0"/>
    <x v="0"/>
    <x v="197"/>
    <x v="205"/>
    <x v="0"/>
    <x v="0"/>
    <x v="0"/>
    <x v="0"/>
    <x v="0"/>
    <x v="2"/>
    <x v="0"/>
    <x v="0"/>
    <x v="0"/>
    <x v="142"/>
    <x v="200"/>
    <x v="0"/>
    <x v="197"/>
    <x v="200"/>
    <x v="1"/>
    <x v="0"/>
    <x v="214"/>
    <x v="2"/>
    <x v="0"/>
    <x v="2"/>
    <x v="0"/>
    <x v="0"/>
    <x v="1"/>
    <x v="0"/>
    <x v="0"/>
    <x v="0"/>
    <x v="0"/>
    <x v="200"/>
    <x v="0"/>
    <x v="2"/>
    <x v="200"/>
    <x v="0"/>
    <x v="0"/>
    <x v="157"/>
    <x v="0"/>
    <x v="164"/>
    <x v="1"/>
    <x v="214"/>
    <x v="0"/>
    <x v="1"/>
    <x v="2"/>
    <x v="2"/>
    <x v="18"/>
    <x v="234"/>
    <x v="234"/>
    <x v="0"/>
    <x v="0"/>
    <x v="0"/>
    <x v="200"/>
    <x v="0"/>
    <x v="0"/>
    <x v="0"/>
    <x v="0"/>
    <x v="164"/>
    <x v="0"/>
    <x v="0"/>
    <x v="0"/>
    <x v="16"/>
    <x v="0"/>
    <x v="45"/>
    <x v="45"/>
    <x v="142"/>
    <x v="0"/>
    <x v="0"/>
    <x v="0"/>
    <x v="0"/>
    <x v="193"/>
    <x v="16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1"/>
    <x v="129"/>
    <x v="0"/>
    <x v="0"/>
    <x v="0"/>
    <x v="0"/>
    <x v="0"/>
    <x v="94"/>
  </r>
  <r>
    <x v="0"/>
    <x v="235"/>
    <x v="0"/>
    <x v="18"/>
    <x v="0"/>
    <x v="0"/>
    <x v="0"/>
    <x v="99"/>
    <x v="206"/>
    <x v="0"/>
    <x v="0"/>
    <x v="0"/>
    <x v="1"/>
    <x v="0"/>
    <x v="0"/>
    <x v="99"/>
    <x v="2"/>
    <x v="0"/>
    <x v="0"/>
    <x v="0"/>
    <x v="99"/>
    <x v="206"/>
    <x v="0"/>
    <x v="0"/>
    <x v="0"/>
    <x v="0"/>
    <x v="0"/>
    <x v="0"/>
    <x v="0"/>
    <x v="0"/>
    <x v="0"/>
    <x v="143"/>
    <x v="101"/>
    <x v="0"/>
    <x v="99"/>
    <x v="101"/>
    <x v="74"/>
    <x v="0"/>
    <x v="215"/>
    <x v="0"/>
    <x v="0"/>
    <x v="0"/>
    <x v="0"/>
    <x v="0"/>
    <x v="1"/>
    <x v="0"/>
    <x v="0"/>
    <x v="0"/>
    <x v="0"/>
    <x v="101"/>
    <x v="0"/>
    <x v="0"/>
    <x v="101"/>
    <x v="0"/>
    <x v="0"/>
    <x v="80"/>
    <x v="0"/>
    <x v="79"/>
    <x v="74"/>
    <x v="215"/>
    <x v="0"/>
    <x v="1"/>
    <x v="0"/>
    <x v="2"/>
    <x v="18"/>
    <x v="235"/>
    <x v="235"/>
    <x v="0"/>
    <x v="0"/>
    <x v="0"/>
    <x v="101"/>
    <x v="0"/>
    <x v="0"/>
    <x v="0"/>
    <x v="0"/>
    <x v="79"/>
    <x v="0"/>
    <x v="0"/>
    <x v="0"/>
    <x v="17"/>
    <x v="0"/>
    <x v="4"/>
    <x v="4"/>
    <x v="143"/>
    <x v="0"/>
    <x v="0"/>
    <x v="0"/>
    <x v="0"/>
    <x v="194"/>
    <x v="7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1"/>
    <x v="129"/>
    <x v="0"/>
    <x v="0"/>
    <x v="0"/>
    <x v="0"/>
    <x v="0"/>
    <x v="0"/>
  </r>
  <r>
    <x v="0"/>
    <x v="236"/>
    <x v="0"/>
    <x v="18"/>
    <x v="0"/>
    <x v="0"/>
    <x v="0"/>
    <x v="193"/>
    <x v="200"/>
    <x v="0"/>
    <x v="0"/>
    <x v="0"/>
    <x v="1"/>
    <x v="0"/>
    <x v="0"/>
    <x v="193"/>
    <x v="2"/>
    <x v="0"/>
    <x v="0"/>
    <x v="0"/>
    <x v="193"/>
    <x v="200"/>
    <x v="0"/>
    <x v="0"/>
    <x v="0"/>
    <x v="0"/>
    <x v="0"/>
    <x v="0"/>
    <x v="0"/>
    <x v="0"/>
    <x v="0"/>
    <x v="143"/>
    <x v="196"/>
    <x v="0"/>
    <x v="193"/>
    <x v="196"/>
    <x v="1"/>
    <x v="0"/>
    <x v="209"/>
    <x v="1"/>
    <x v="0"/>
    <x v="1"/>
    <x v="0"/>
    <x v="0"/>
    <x v="1"/>
    <x v="0"/>
    <x v="0"/>
    <x v="0"/>
    <x v="0"/>
    <x v="196"/>
    <x v="0"/>
    <x v="1"/>
    <x v="196"/>
    <x v="0"/>
    <x v="0"/>
    <x v="154"/>
    <x v="0"/>
    <x v="160"/>
    <x v="1"/>
    <x v="209"/>
    <x v="0"/>
    <x v="1"/>
    <x v="2"/>
    <x v="2"/>
    <x v="18"/>
    <x v="236"/>
    <x v="236"/>
    <x v="0"/>
    <x v="0"/>
    <x v="0"/>
    <x v="196"/>
    <x v="0"/>
    <x v="0"/>
    <x v="0"/>
    <x v="0"/>
    <x v="160"/>
    <x v="0"/>
    <x v="0"/>
    <x v="0"/>
    <x v="17"/>
    <x v="0"/>
    <x v="4"/>
    <x v="4"/>
    <x v="143"/>
    <x v="0"/>
    <x v="0"/>
    <x v="0"/>
    <x v="0"/>
    <x v="194"/>
    <x v="16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1"/>
    <x v="129"/>
    <x v="0"/>
    <x v="0"/>
    <x v="0"/>
    <x v="0"/>
    <x v="0"/>
    <x v="0"/>
  </r>
  <r>
    <x v="0"/>
    <x v="237"/>
    <x v="0"/>
    <x v="17"/>
    <x v="0"/>
    <x v="0"/>
    <x v="0"/>
    <x v="85"/>
    <x v="87"/>
    <x v="0"/>
    <x v="0"/>
    <x v="0"/>
    <x v="4"/>
    <x v="0"/>
    <x v="0"/>
    <x v="85"/>
    <x v="4"/>
    <x v="0"/>
    <x v="0"/>
    <x v="0"/>
    <x v="85"/>
    <x v="87"/>
    <x v="0"/>
    <x v="0"/>
    <x v="0"/>
    <x v="0"/>
    <x v="0"/>
    <x v="0"/>
    <x v="0"/>
    <x v="0"/>
    <x v="0"/>
    <x v="144"/>
    <x v="87"/>
    <x v="0"/>
    <x v="85"/>
    <x v="87"/>
    <x v="35"/>
    <x v="0"/>
    <x v="89"/>
    <x v="0"/>
    <x v="0"/>
    <x v="0"/>
    <x v="0"/>
    <x v="0"/>
    <x v="4"/>
    <x v="0"/>
    <x v="0"/>
    <x v="0"/>
    <x v="0"/>
    <x v="87"/>
    <x v="0"/>
    <x v="0"/>
    <x v="87"/>
    <x v="0"/>
    <x v="0"/>
    <x v="68"/>
    <x v="0"/>
    <x v="68"/>
    <x v="35"/>
    <x v="89"/>
    <x v="0"/>
    <x v="4"/>
    <x v="0"/>
    <x v="2"/>
    <x v="18"/>
    <x v="237"/>
    <x v="237"/>
    <x v="0"/>
    <x v="0"/>
    <x v="0"/>
    <x v="87"/>
    <x v="0"/>
    <x v="0"/>
    <x v="0"/>
    <x v="0"/>
    <x v="68"/>
    <x v="0"/>
    <x v="0"/>
    <x v="0"/>
    <x v="16"/>
    <x v="0"/>
    <x v="29"/>
    <x v="29"/>
    <x v="144"/>
    <x v="0"/>
    <x v="0"/>
    <x v="0"/>
    <x v="0"/>
    <x v="195"/>
    <x v="68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52"/>
    <x v="130"/>
    <x v="0"/>
    <x v="0"/>
    <x v="0"/>
    <x v="0"/>
    <x v="0"/>
    <x v="0"/>
  </r>
  <r>
    <x v="0"/>
    <x v="238"/>
    <x v="0"/>
    <x v="17"/>
    <x v="0"/>
    <x v="0"/>
    <x v="0"/>
    <x v="86"/>
    <x v="88"/>
    <x v="0"/>
    <x v="0"/>
    <x v="0"/>
    <x v="4"/>
    <x v="0"/>
    <x v="0"/>
    <x v="86"/>
    <x v="4"/>
    <x v="0"/>
    <x v="0"/>
    <x v="0"/>
    <x v="86"/>
    <x v="88"/>
    <x v="0"/>
    <x v="0"/>
    <x v="0"/>
    <x v="0"/>
    <x v="0"/>
    <x v="0"/>
    <x v="0"/>
    <x v="0"/>
    <x v="0"/>
    <x v="144"/>
    <x v="88"/>
    <x v="0"/>
    <x v="86"/>
    <x v="88"/>
    <x v="1"/>
    <x v="0"/>
    <x v="90"/>
    <x v="1"/>
    <x v="0"/>
    <x v="1"/>
    <x v="0"/>
    <x v="0"/>
    <x v="4"/>
    <x v="0"/>
    <x v="0"/>
    <x v="0"/>
    <x v="0"/>
    <x v="88"/>
    <x v="0"/>
    <x v="1"/>
    <x v="88"/>
    <x v="0"/>
    <x v="0"/>
    <x v="69"/>
    <x v="0"/>
    <x v="69"/>
    <x v="1"/>
    <x v="90"/>
    <x v="0"/>
    <x v="4"/>
    <x v="10"/>
    <x v="2"/>
    <x v="18"/>
    <x v="238"/>
    <x v="238"/>
    <x v="0"/>
    <x v="0"/>
    <x v="0"/>
    <x v="88"/>
    <x v="0"/>
    <x v="0"/>
    <x v="0"/>
    <x v="0"/>
    <x v="69"/>
    <x v="0"/>
    <x v="0"/>
    <x v="0"/>
    <x v="16"/>
    <x v="0"/>
    <x v="29"/>
    <x v="29"/>
    <x v="144"/>
    <x v="0"/>
    <x v="0"/>
    <x v="0"/>
    <x v="0"/>
    <x v="195"/>
    <x v="69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52"/>
    <x v="130"/>
    <x v="0"/>
    <x v="0"/>
    <x v="0"/>
    <x v="0"/>
    <x v="0"/>
    <x v="0"/>
  </r>
  <r>
    <x v="0"/>
    <x v="239"/>
    <x v="0"/>
    <x v="17"/>
    <x v="0"/>
    <x v="0"/>
    <x v="0"/>
    <x v="198"/>
    <x v="207"/>
    <x v="0"/>
    <x v="0"/>
    <x v="0"/>
    <x v="0"/>
    <x v="0"/>
    <x v="0"/>
    <x v="198"/>
    <x v="0"/>
    <x v="0"/>
    <x v="0"/>
    <x v="0"/>
    <x v="198"/>
    <x v="207"/>
    <x v="0"/>
    <x v="0"/>
    <x v="0"/>
    <x v="0"/>
    <x v="0"/>
    <x v="0"/>
    <x v="0"/>
    <x v="0"/>
    <x v="0"/>
    <x v="145"/>
    <x v="201"/>
    <x v="0"/>
    <x v="198"/>
    <x v="201"/>
    <x v="1"/>
    <x v="0"/>
    <x v="216"/>
    <x v="2"/>
    <x v="0"/>
    <x v="2"/>
    <x v="0"/>
    <x v="0"/>
    <x v="0"/>
    <x v="0"/>
    <x v="0"/>
    <x v="0"/>
    <x v="0"/>
    <x v="201"/>
    <x v="0"/>
    <x v="2"/>
    <x v="201"/>
    <x v="0"/>
    <x v="0"/>
    <x v="158"/>
    <x v="0"/>
    <x v="165"/>
    <x v="1"/>
    <x v="216"/>
    <x v="0"/>
    <x v="0"/>
    <x v="1"/>
    <x v="2"/>
    <x v="19"/>
    <x v="239"/>
    <x v="239"/>
    <x v="0"/>
    <x v="0"/>
    <x v="0"/>
    <x v="201"/>
    <x v="0"/>
    <x v="0"/>
    <x v="0"/>
    <x v="0"/>
    <x v="165"/>
    <x v="0"/>
    <x v="0"/>
    <x v="0"/>
    <x v="16"/>
    <x v="0"/>
    <x v="43"/>
    <x v="43"/>
    <x v="145"/>
    <x v="0"/>
    <x v="0"/>
    <x v="0"/>
    <x v="0"/>
    <x v="196"/>
    <x v="1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3"/>
    <x v="131"/>
    <x v="0"/>
    <x v="0"/>
    <x v="0"/>
    <x v="0"/>
    <x v="0"/>
    <x v="95"/>
  </r>
  <r>
    <x v="1"/>
    <x v="240"/>
    <x v="2"/>
    <x v="19"/>
    <x v="0"/>
    <x v="0"/>
    <x v="0"/>
    <x v="199"/>
    <x v="208"/>
    <x v="0"/>
    <x v="0"/>
    <x v="0"/>
    <x v="19"/>
    <x v="3"/>
    <x v="0"/>
    <x v="199"/>
    <x v="5"/>
    <x v="0"/>
    <x v="0"/>
    <x v="0"/>
    <x v="199"/>
    <x v="208"/>
    <x v="0"/>
    <x v="3"/>
    <x v="0"/>
    <x v="0"/>
    <x v="0"/>
    <x v="0"/>
    <x v="1"/>
    <x v="1"/>
    <x v="0"/>
    <x v="4"/>
    <x v="202"/>
    <x v="0"/>
    <x v="199"/>
    <x v="202"/>
    <x v="1"/>
    <x v="0"/>
    <x v="217"/>
    <x v="3"/>
    <x v="0"/>
    <x v="3"/>
    <x v="0"/>
    <x v="0"/>
    <x v="19"/>
    <x v="0"/>
    <x v="0"/>
    <x v="0"/>
    <x v="0"/>
    <x v="202"/>
    <x v="0"/>
    <x v="3"/>
    <x v="202"/>
    <x v="0"/>
    <x v="0"/>
    <x v="6"/>
    <x v="1"/>
    <x v="7"/>
    <x v="1"/>
    <x v="217"/>
    <x v="0"/>
    <x v="6"/>
    <x v="4"/>
    <x v="2"/>
    <x v="19"/>
    <x v="240"/>
    <x v="240"/>
    <x v="0"/>
    <x v="0"/>
    <x v="0"/>
    <x v="202"/>
    <x v="0"/>
    <x v="0"/>
    <x v="0"/>
    <x v="0"/>
    <x v="7"/>
    <x v="0"/>
    <x v="0"/>
    <x v="0"/>
    <x v="18"/>
    <x v="0"/>
    <x v="3"/>
    <x v="3"/>
    <x v="4"/>
    <x v="1"/>
    <x v="0"/>
    <x v="0"/>
    <x v="0"/>
    <x v="197"/>
    <x v="7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87"/>
    <x v="4"/>
    <x v="0"/>
    <x v="0"/>
    <x v="0"/>
    <x v="0"/>
    <x v="0"/>
    <x v="0"/>
  </r>
  <r>
    <x v="0"/>
    <x v="241"/>
    <x v="0"/>
    <x v="19"/>
    <x v="0"/>
    <x v="0"/>
    <x v="0"/>
    <x v="200"/>
    <x v="209"/>
    <x v="0"/>
    <x v="0"/>
    <x v="0"/>
    <x v="1"/>
    <x v="0"/>
    <x v="0"/>
    <x v="200"/>
    <x v="2"/>
    <x v="0"/>
    <x v="0"/>
    <x v="0"/>
    <x v="200"/>
    <x v="209"/>
    <x v="0"/>
    <x v="0"/>
    <x v="0"/>
    <x v="0"/>
    <x v="0"/>
    <x v="0"/>
    <x v="0"/>
    <x v="0"/>
    <x v="0"/>
    <x v="146"/>
    <x v="203"/>
    <x v="0"/>
    <x v="200"/>
    <x v="203"/>
    <x v="1"/>
    <x v="0"/>
    <x v="218"/>
    <x v="2"/>
    <x v="0"/>
    <x v="2"/>
    <x v="0"/>
    <x v="0"/>
    <x v="1"/>
    <x v="0"/>
    <x v="0"/>
    <x v="0"/>
    <x v="0"/>
    <x v="203"/>
    <x v="0"/>
    <x v="2"/>
    <x v="203"/>
    <x v="0"/>
    <x v="0"/>
    <x v="159"/>
    <x v="0"/>
    <x v="166"/>
    <x v="1"/>
    <x v="218"/>
    <x v="0"/>
    <x v="1"/>
    <x v="0"/>
    <x v="0"/>
    <x v="19"/>
    <x v="241"/>
    <x v="241"/>
    <x v="0"/>
    <x v="0"/>
    <x v="0"/>
    <x v="203"/>
    <x v="0"/>
    <x v="0"/>
    <x v="0"/>
    <x v="0"/>
    <x v="166"/>
    <x v="0"/>
    <x v="0"/>
    <x v="0"/>
    <x v="18"/>
    <x v="0"/>
    <x v="5"/>
    <x v="5"/>
    <x v="146"/>
    <x v="0"/>
    <x v="0"/>
    <x v="0"/>
    <x v="0"/>
    <x v="198"/>
    <x v="16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4"/>
    <x v="132"/>
    <x v="0"/>
    <x v="0"/>
    <x v="0"/>
    <x v="0"/>
    <x v="0"/>
    <x v="96"/>
  </r>
  <r>
    <x v="0"/>
    <x v="242"/>
    <x v="0"/>
    <x v="19"/>
    <x v="0"/>
    <x v="0"/>
    <x v="0"/>
    <x v="201"/>
    <x v="210"/>
    <x v="0"/>
    <x v="0"/>
    <x v="0"/>
    <x v="15"/>
    <x v="0"/>
    <x v="0"/>
    <x v="201"/>
    <x v="14"/>
    <x v="0"/>
    <x v="0"/>
    <x v="0"/>
    <x v="201"/>
    <x v="210"/>
    <x v="0"/>
    <x v="0"/>
    <x v="0"/>
    <x v="0"/>
    <x v="0"/>
    <x v="0"/>
    <x v="0"/>
    <x v="0"/>
    <x v="0"/>
    <x v="147"/>
    <x v="204"/>
    <x v="0"/>
    <x v="201"/>
    <x v="204"/>
    <x v="1"/>
    <x v="0"/>
    <x v="219"/>
    <x v="2"/>
    <x v="0"/>
    <x v="2"/>
    <x v="0"/>
    <x v="0"/>
    <x v="15"/>
    <x v="0"/>
    <x v="0"/>
    <x v="0"/>
    <x v="0"/>
    <x v="204"/>
    <x v="0"/>
    <x v="2"/>
    <x v="204"/>
    <x v="0"/>
    <x v="0"/>
    <x v="160"/>
    <x v="0"/>
    <x v="167"/>
    <x v="1"/>
    <x v="219"/>
    <x v="0"/>
    <x v="9"/>
    <x v="8"/>
    <x v="2"/>
    <x v="19"/>
    <x v="242"/>
    <x v="242"/>
    <x v="0"/>
    <x v="0"/>
    <x v="0"/>
    <x v="204"/>
    <x v="0"/>
    <x v="0"/>
    <x v="0"/>
    <x v="0"/>
    <x v="167"/>
    <x v="0"/>
    <x v="0"/>
    <x v="0"/>
    <x v="18"/>
    <x v="0"/>
    <x v="0"/>
    <x v="0"/>
    <x v="147"/>
    <x v="0"/>
    <x v="0"/>
    <x v="0"/>
    <x v="0"/>
    <x v="199"/>
    <x v="16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5"/>
    <x v="133"/>
    <x v="0"/>
    <x v="0"/>
    <x v="0"/>
    <x v="0"/>
    <x v="0"/>
    <x v="97"/>
  </r>
  <r>
    <x v="0"/>
    <x v="243"/>
    <x v="0"/>
    <x v="20"/>
    <x v="0"/>
    <x v="0"/>
    <x v="0"/>
    <x v="202"/>
    <x v="211"/>
    <x v="0"/>
    <x v="0"/>
    <x v="0"/>
    <x v="1"/>
    <x v="0"/>
    <x v="0"/>
    <x v="202"/>
    <x v="2"/>
    <x v="0"/>
    <x v="0"/>
    <x v="0"/>
    <x v="202"/>
    <x v="211"/>
    <x v="0"/>
    <x v="0"/>
    <x v="0"/>
    <x v="0"/>
    <x v="0"/>
    <x v="1"/>
    <x v="0"/>
    <x v="0"/>
    <x v="0"/>
    <x v="148"/>
    <x v="205"/>
    <x v="0"/>
    <x v="202"/>
    <x v="205"/>
    <x v="75"/>
    <x v="0"/>
    <x v="220"/>
    <x v="0"/>
    <x v="0"/>
    <x v="0"/>
    <x v="0"/>
    <x v="0"/>
    <x v="1"/>
    <x v="0"/>
    <x v="0"/>
    <x v="0"/>
    <x v="0"/>
    <x v="205"/>
    <x v="0"/>
    <x v="0"/>
    <x v="205"/>
    <x v="0"/>
    <x v="0"/>
    <x v="161"/>
    <x v="0"/>
    <x v="168"/>
    <x v="75"/>
    <x v="220"/>
    <x v="0"/>
    <x v="1"/>
    <x v="0"/>
    <x v="0"/>
    <x v="19"/>
    <x v="243"/>
    <x v="243"/>
    <x v="0"/>
    <x v="0"/>
    <x v="0"/>
    <x v="205"/>
    <x v="0"/>
    <x v="0"/>
    <x v="0"/>
    <x v="0"/>
    <x v="168"/>
    <x v="0"/>
    <x v="0"/>
    <x v="0"/>
    <x v="19"/>
    <x v="0"/>
    <x v="19"/>
    <x v="19"/>
    <x v="148"/>
    <x v="0"/>
    <x v="0"/>
    <x v="0"/>
    <x v="0"/>
    <x v="200"/>
    <x v="16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31"/>
    <x v="109"/>
    <x v="0"/>
    <x v="0"/>
    <x v="0"/>
    <x v="0"/>
    <x v="0"/>
    <x v="98"/>
  </r>
  <r>
    <x v="0"/>
    <x v="244"/>
    <x v="0"/>
    <x v="19"/>
    <x v="0"/>
    <x v="0"/>
    <x v="0"/>
    <x v="203"/>
    <x v="212"/>
    <x v="0"/>
    <x v="0"/>
    <x v="0"/>
    <x v="0"/>
    <x v="0"/>
    <x v="0"/>
    <x v="203"/>
    <x v="16"/>
    <x v="0"/>
    <x v="0"/>
    <x v="0"/>
    <x v="203"/>
    <x v="212"/>
    <x v="0"/>
    <x v="0"/>
    <x v="0"/>
    <x v="0"/>
    <x v="0"/>
    <x v="0"/>
    <x v="0"/>
    <x v="0"/>
    <x v="0"/>
    <x v="149"/>
    <x v="206"/>
    <x v="0"/>
    <x v="203"/>
    <x v="206"/>
    <x v="1"/>
    <x v="0"/>
    <x v="221"/>
    <x v="2"/>
    <x v="0"/>
    <x v="2"/>
    <x v="0"/>
    <x v="0"/>
    <x v="0"/>
    <x v="0"/>
    <x v="0"/>
    <x v="0"/>
    <x v="0"/>
    <x v="206"/>
    <x v="0"/>
    <x v="2"/>
    <x v="206"/>
    <x v="0"/>
    <x v="0"/>
    <x v="162"/>
    <x v="0"/>
    <x v="169"/>
    <x v="1"/>
    <x v="221"/>
    <x v="0"/>
    <x v="6"/>
    <x v="4"/>
    <x v="2"/>
    <x v="19"/>
    <x v="244"/>
    <x v="244"/>
    <x v="0"/>
    <x v="0"/>
    <x v="0"/>
    <x v="206"/>
    <x v="0"/>
    <x v="0"/>
    <x v="0"/>
    <x v="0"/>
    <x v="169"/>
    <x v="0"/>
    <x v="0"/>
    <x v="0"/>
    <x v="18"/>
    <x v="0"/>
    <x v="69"/>
    <x v="69"/>
    <x v="149"/>
    <x v="0"/>
    <x v="0"/>
    <x v="0"/>
    <x v="0"/>
    <x v="201"/>
    <x v="1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6"/>
    <x v="134"/>
    <x v="0"/>
    <x v="0"/>
    <x v="0"/>
    <x v="0"/>
    <x v="0"/>
    <x v="99"/>
  </r>
  <r>
    <x v="1"/>
    <x v="245"/>
    <x v="0"/>
    <x v="19"/>
    <x v="0"/>
    <x v="0"/>
    <x v="0"/>
    <x v="204"/>
    <x v="213"/>
    <x v="0"/>
    <x v="0"/>
    <x v="0"/>
    <x v="16"/>
    <x v="0"/>
    <x v="0"/>
    <x v="204"/>
    <x v="9"/>
    <x v="0"/>
    <x v="0"/>
    <x v="0"/>
    <x v="204"/>
    <x v="213"/>
    <x v="0"/>
    <x v="3"/>
    <x v="0"/>
    <x v="0"/>
    <x v="0"/>
    <x v="0"/>
    <x v="1"/>
    <x v="1"/>
    <x v="0"/>
    <x v="4"/>
    <x v="207"/>
    <x v="0"/>
    <x v="204"/>
    <x v="207"/>
    <x v="1"/>
    <x v="0"/>
    <x v="222"/>
    <x v="0"/>
    <x v="0"/>
    <x v="0"/>
    <x v="0"/>
    <x v="0"/>
    <x v="16"/>
    <x v="0"/>
    <x v="0"/>
    <x v="0"/>
    <x v="0"/>
    <x v="207"/>
    <x v="0"/>
    <x v="0"/>
    <x v="207"/>
    <x v="0"/>
    <x v="0"/>
    <x v="6"/>
    <x v="1"/>
    <x v="7"/>
    <x v="1"/>
    <x v="222"/>
    <x v="0"/>
    <x v="0"/>
    <x v="1"/>
    <x v="2"/>
    <x v="19"/>
    <x v="245"/>
    <x v="245"/>
    <x v="0"/>
    <x v="0"/>
    <x v="0"/>
    <x v="207"/>
    <x v="0"/>
    <x v="0"/>
    <x v="0"/>
    <x v="0"/>
    <x v="7"/>
    <x v="0"/>
    <x v="0"/>
    <x v="0"/>
    <x v="18"/>
    <x v="0"/>
    <x v="3"/>
    <x v="3"/>
    <x v="4"/>
    <x v="1"/>
    <x v="0"/>
    <x v="0"/>
    <x v="0"/>
    <x v="202"/>
    <x v="7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246"/>
    <x v="0"/>
    <x v="19"/>
    <x v="0"/>
    <x v="0"/>
    <x v="0"/>
    <x v="205"/>
    <x v="214"/>
    <x v="0"/>
    <x v="0"/>
    <x v="0"/>
    <x v="1"/>
    <x v="0"/>
    <x v="0"/>
    <x v="205"/>
    <x v="2"/>
    <x v="0"/>
    <x v="0"/>
    <x v="0"/>
    <x v="205"/>
    <x v="214"/>
    <x v="0"/>
    <x v="0"/>
    <x v="0"/>
    <x v="0"/>
    <x v="0"/>
    <x v="0"/>
    <x v="0"/>
    <x v="0"/>
    <x v="0"/>
    <x v="150"/>
    <x v="208"/>
    <x v="0"/>
    <x v="205"/>
    <x v="208"/>
    <x v="1"/>
    <x v="0"/>
    <x v="223"/>
    <x v="2"/>
    <x v="0"/>
    <x v="2"/>
    <x v="0"/>
    <x v="0"/>
    <x v="1"/>
    <x v="0"/>
    <x v="0"/>
    <x v="0"/>
    <x v="0"/>
    <x v="208"/>
    <x v="0"/>
    <x v="2"/>
    <x v="208"/>
    <x v="0"/>
    <x v="0"/>
    <x v="163"/>
    <x v="0"/>
    <x v="170"/>
    <x v="1"/>
    <x v="223"/>
    <x v="0"/>
    <x v="1"/>
    <x v="0"/>
    <x v="0"/>
    <x v="19"/>
    <x v="246"/>
    <x v="246"/>
    <x v="0"/>
    <x v="0"/>
    <x v="0"/>
    <x v="208"/>
    <x v="0"/>
    <x v="0"/>
    <x v="0"/>
    <x v="0"/>
    <x v="170"/>
    <x v="0"/>
    <x v="0"/>
    <x v="0"/>
    <x v="18"/>
    <x v="0"/>
    <x v="66"/>
    <x v="66"/>
    <x v="150"/>
    <x v="0"/>
    <x v="0"/>
    <x v="0"/>
    <x v="0"/>
    <x v="203"/>
    <x v="17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7"/>
    <x v="135"/>
    <x v="0"/>
    <x v="0"/>
    <x v="0"/>
    <x v="0"/>
    <x v="0"/>
    <x v="100"/>
  </r>
  <r>
    <x v="0"/>
    <x v="247"/>
    <x v="0"/>
    <x v="19"/>
    <x v="0"/>
    <x v="0"/>
    <x v="0"/>
    <x v="206"/>
    <x v="215"/>
    <x v="0"/>
    <x v="0"/>
    <x v="0"/>
    <x v="1"/>
    <x v="0"/>
    <x v="0"/>
    <x v="206"/>
    <x v="2"/>
    <x v="0"/>
    <x v="0"/>
    <x v="0"/>
    <x v="206"/>
    <x v="215"/>
    <x v="0"/>
    <x v="0"/>
    <x v="0"/>
    <x v="0"/>
    <x v="0"/>
    <x v="0"/>
    <x v="0"/>
    <x v="0"/>
    <x v="0"/>
    <x v="151"/>
    <x v="209"/>
    <x v="0"/>
    <x v="206"/>
    <x v="209"/>
    <x v="1"/>
    <x v="0"/>
    <x v="224"/>
    <x v="2"/>
    <x v="0"/>
    <x v="2"/>
    <x v="0"/>
    <x v="0"/>
    <x v="1"/>
    <x v="0"/>
    <x v="0"/>
    <x v="0"/>
    <x v="0"/>
    <x v="209"/>
    <x v="0"/>
    <x v="2"/>
    <x v="209"/>
    <x v="0"/>
    <x v="0"/>
    <x v="164"/>
    <x v="0"/>
    <x v="171"/>
    <x v="1"/>
    <x v="224"/>
    <x v="0"/>
    <x v="1"/>
    <x v="2"/>
    <x v="2"/>
    <x v="19"/>
    <x v="247"/>
    <x v="247"/>
    <x v="0"/>
    <x v="0"/>
    <x v="0"/>
    <x v="209"/>
    <x v="0"/>
    <x v="0"/>
    <x v="0"/>
    <x v="0"/>
    <x v="171"/>
    <x v="0"/>
    <x v="0"/>
    <x v="0"/>
    <x v="18"/>
    <x v="0"/>
    <x v="12"/>
    <x v="12"/>
    <x v="151"/>
    <x v="0"/>
    <x v="0"/>
    <x v="0"/>
    <x v="0"/>
    <x v="204"/>
    <x v="17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8"/>
    <x v="136"/>
    <x v="0"/>
    <x v="0"/>
    <x v="0"/>
    <x v="0"/>
    <x v="0"/>
    <x v="101"/>
  </r>
  <r>
    <x v="0"/>
    <x v="248"/>
    <x v="0"/>
    <x v="19"/>
    <x v="0"/>
    <x v="0"/>
    <x v="0"/>
    <x v="207"/>
    <x v="216"/>
    <x v="0"/>
    <x v="0"/>
    <x v="0"/>
    <x v="0"/>
    <x v="0"/>
    <x v="0"/>
    <x v="207"/>
    <x v="0"/>
    <x v="0"/>
    <x v="0"/>
    <x v="0"/>
    <x v="207"/>
    <x v="216"/>
    <x v="0"/>
    <x v="0"/>
    <x v="0"/>
    <x v="0"/>
    <x v="0"/>
    <x v="0"/>
    <x v="0"/>
    <x v="0"/>
    <x v="0"/>
    <x v="152"/>
    <x v="210"/>
    <x v="0"/>
    <x v="207"/>
    <x v="210"/>
    <x v="1"/>
    <x v="0"/>
    <x v="225"/>
    <x v="2"/>
    <x v="0"/>
    <x v="2"/>
    <x v="0"/>
    <x v="0"/>
    <x v="0"/>
    <x v="0"/>
    <x v="0"/>
    <x v="0"/>
    <x v="0"/>
    <x v="210"/>
    <x v="0"/>
    <x v="2"/>
    <x v="210"/>
    <x v="0"/>
    <x v="0"/>
    <x v="165"/>
    <x v="0"/>
    <x v="172"/>
    <x v="1"/>
    <x v="225"/>
    <x v="0"/>
    <x v="0"/>
    <x v="1"/>
    <x v="0"/>
    <x v="19"/>
    <x v="248"/>
    <x v="248"/>
    <x v="0"/>
    <x v="0"/>
    <x v="0"/>
    <x v="210"/>
    <x v="0"/>
    <x v="0"/>
    <x v="0"/>
    <x v="0"/>
    <x v="172"/>
    <x v="0"/>
    <x v="0"/>
    <x v="0"/>
    <x v="18"/>
    <x v="0"/>
    <x v="70"/>
    <x v="70"/>
    <x v="152"/>
    <x v="0"/>
    <x v="0"/>
    <x v="0"/>
    <x v="0"/>
    <x v="205"/>
    <x v="1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9"/>
    <x v="137"/>
    <x v="0"/>
    <x v="0"/>
    <x v="0"/>
    <x v="0"/>
    <x v="0"/>
    <x v="102"/>
  </r>
  <r>
    <x v="0"/>
    <x v="249"/>
    <x v="0"/>
    <x v="18"/>
    <x v="0"/>
    <x v="0"/>
    <x v="0"/>
    <x v="60"/>
    <x v="61"/>
    <x v="0"/>
    <x v="0"/>
    <x v="0"/>
    <x v="0"/>
    <x v="0"/>
    <x v="0"/>
    <x v="60"/>
    <x v="0"/>
    <x v="0"/>
    <x v="0"/>
    <x v="0"/>
    <x v="60"/>
    <x v="61"/>
    <x v="0"/>
    <x v="0"/>
    <x v="0"/>
    <x v="0"/>
    <x v="0"/>
    <x v="0"/>
    <x v="0"/>
    <x v="0"/>
    <x v="0"/>
    <x v="153"/>
    <x v="62"/>
    <x v="0"/>
    <x v="60"/>
    <x v="62"/>
    <x v="27"/>
    <x v="0"/>
    <x v="63"/>
    <x v="0"/>
    <x v="0"/>
    <x v="0"/>
    <x v="0"/>
    <x v="0"/>
    <x v="0"/>
    <x v="0"/>
    <x v="0"/>
    <x v="0"/>
    <x v="0"/>
    <x v="62"/>
    <x v="0"/>
    <x v="0"/>
    <x v="62"/>
    <x v="0"/>
    <x v="0"/>
    <x v="47"/>
    <x v="0"/>
    <x v="46"/>
    <x v="27"/>
    <x v="63"/>
    <x v="0"/>
    <x v="0"/>
    <x v="0"/>
    <x v="0"/>
    <x v="19"/>
    <x v="249"/>
    <x v="249"/>
    <x v="0"/>
    <x v="0"/>
    <x v="0"/>
    <x v="62"/>
    <x v="0"/>
    <x v="0"/>
    <x v="0"/>
    <x v="0"/>
    <x v="46"/>
    <x v="0"/>
    <x v="0"/>
    <x v="0"/>
    <x v="17"/>
    <x v="0"/>
    <x v="6"/>
    <x v="6"/>
    <x v="153"/>
    <x v="0"/>
    <x v="0"/>
    <x v="0"/>
    <x v="0"/>
    <x v="206"/>
    <x v="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0"/>
    <x v="138"/>
    <x v="0"/>
    <x v="0"/>
    <x v="0"/>
    <x v="0"/>
    <x v="0"/>
    <x v="0"/>
  </r>
  <r>
    <x v="0"/>
    <x v="250"/>
    <x v="0"/>
    <x v="18"/>
    <x v="0"/>
    <x v="0"/>
    <x v="0"/>
    <x v="61"/>
    <x v="62"/>
    <x v="0"/>
    <x v="0"/>
    <x v="0"/>
    <x v="0"/>
    <x v="0"/>
    <x v="0"/>
    <x v="61"/>
    <x v="0"/>
    <x v="0"/>
    <x v="0"/>
    <x v="0"/>
    <x v="61"/>
    <x v="62"/>
    <x v="0"/>
    <x v="0"/>
    <x v="0"/>
    <x v="0"/>
    <x v="0"/>
    <x v="0"/>
    <x v="0"/>
    <x v="0"/>
    <x v="0"/>
    <x v="153"/>
    <x v="63"/>
    <x v="0"/>
    <x v="61"/>
    <x v="63"/>
    <x v="1"/>
    <x v="0"/>
    <x v="64"/>
    <x v="1"/>
    <x v="0"/>
    <x v="1"/>
    <x v="0"/>
    <x v="0"/>
    <x v="0"/>
    <x v="0"/>
    <x v="0"/>
    <x v="0"/>
    <x v="0"/>
    <x v="63"/>
    <x v="0"/>
    <x v="1"/>
    <x v="63"/>
    <x v="0"/>
    <x v="0"/>
    <x v="48"/>
    <x v="0"/>
    <x v="47"/>
    <x v="1"/>
    <x v="64"/>
    <x v="0"/>
    <x v="0"/>
    <x v="1"/>
    <x v="0"/>
    <x v="19"/>
    <x v="250"/>
    <x v="250"/>
    <x v="0"/>
    <x v="0"/>
    <x v="0"/>
    <x v="63"/>
    <x v="0"/>
    <x v="0"/>
    <x v="0"/>
    <x v="0"/>
    <x v="47"/>
    <x v="0"/>
    <x v="0"/>
    <x v="0"/>
    <x v="17"/>
    <x v="0"/>
    <x v="6"/>
    <x v="6"/>
    <x v="153"/>
    <x v="0"/>
    <x v="0"/>
    <x v="0"/>
    <x v="0"/>
    <x v="206"/>
    <x v="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0"/>
    <x v="138"/>
    <x v="0"/>
    <x v="0"/>
    <x v="0"/>
    <x v="0"/>
    <x v="0"/>
    <x v="0"/>
  </r>
  <r>
    <x v="0"/>
    <x v="251"/>
    <x v="0"/>
    <x v="18"/>
    <x v="0"/>
    <x v="0"/>
    <x v="0"/>
    <x v="23"/>
    <x v="24"/>
    <x v="0"/>
    <x v="0"/>
    <x v="0"/>
    <x v="0"/>
    <x v="0"/>
    <x v="0"/>
    <x v="23"/>
    <x v="0"/>
    <x v="0"/>
    <x v="0"/>
    <x v="0"/>
    <x v="23"/>
    <x v="24"/>
    <x v="0"/>
    <x v="0"/>
    <x v="0"/>
    <x v="0"/>
    <x v="0"/>
    <x v="0"/>
    <x v="0"/>
    <x v="0"/>
    <x v="0"/>
    <x v="154"/>
    <x v="24"/>
    <x v="0"/>
    <x v="23"/>
    <x v="24"/>
    <x v="13"/>
    <x v="0"/>
    <x v="25"/>
    <x v="0"/>
    <x v="0"/>
    <x v="0"/>
    <x v="0"/>
    <x v="0"/>
    <x v="0"/>
    <x v="0"/>
    <x v="0"/>
    <x v="0"/>
    <x v="0"/>
    <x v="24"/>
    <x v="0"/>
    <x v="0"/>
    <x v="24"/>
    <x v="0"/>
    <x v="0"/>
    <x v="21"/>
    <x v="0"/>
    <x v="20"/>
    <x v="13"/>
    <x v="25"/>
    <x v="0"/>
    <x v="0"/>
    <x v="0"/>
    <x v="2"/>
    <x v="19"/>
    <x v="251"/>
    <x v="251"/>
    <x v="0"/>
    <x v="0"/>
    <x v="0"/>
    <x v="24"/>
    <x v="0"/>
    <x v="0"/>
    <x v="0"/>
    <x v="0"/>
    <x v="20"/>
    <x v="0"/>
    <x v="0"/>
    <x v="0"/>
    <x v="17"/>
    <x v="0"/>
    <x v="12"/>
    <x v="12"/>
    <x v="154"/>
    <x v="0"/>
    <x v="0"/>
    <x v="0"/>
    <x v="0"/>
    <x v="207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1"/>
    <x v="139"/>
    <x v="0"/>
    <x v="0"/>
    <x v="0"/>
    <x v="0"/>
    <x v="0"/>
    <x v="0"/>
  </r>
  <r>
    <x v="0"/>
    <x v="252"/>
    <x v="0"/>
    <x v="18"/>
    <x v="0"/>
    <x v="0"/>
    <x v="0"/>
    <x v="24"/>
    <x v="25"/>
    <x v="0"/>
    <x v="0"/>
    <x v="0"/>
    <x v="0"/>
    <x v="0"/>
    <x v="0"/>
    <x v="24"/>
    <x v="0"/>
    <x v="0"/>
    <x v="0"/>
    <x v="0"/>
    <x v="24"/>
    <x v="25"/>
    <x v="0"/>
    <x v="0"/>
    <x v="0"/>
    <x v="0"/>
    <x v="0"/>
    <x v="0"/>
    <x v="0"/>
    <x v="0"/>
    <x v="0"/>
    <x v="154"/>
    <x v="25"/>
    <x v="0"/>
    <x v="24"/>
    <x v="25"/>
    <x v="1"/>
    <x v="0"/>
    <x v="26"/>
    <x v="1"/>
    <x v="0"/>
    <x v="1"/>
    <x v="0"/>
    <x v="0"/>
    <x v="0"/>
    <x v="0"/>
    <x v="0"/>
    <x v="0"/>
    <x v="0"/>
    <x v="25"/>
    <x v="0"/>
    <x v="1"/>
    <x v="25"/>
    <x v="0"/>
    <x v="0"/>
    <x v="22"/>
    <x v="0"/>
    <x v="21"/>
    <x v="1"/>
    <x v="26"/>
    <x v="0"/>
    <x v="0"/>
    <x v="1"/>
    <x v="2"/>
    <x v="19"/>
    <x v="252"/>
    <x v="252"/>
    <x v="0"/>
    <x v="0"/>
    <x v="0"/>
    <x v="25"/>
    <x v="0"/>
    <x v="0"/>
    <x v="0"/>
    <x v="0"/>
    <x v="21"/>
    <x v="0"/>
    <x v="0"/>
    <x v="0"/>
    <x v="17"/>
    <x v="0"/>
    <x v="12"/>
    <x v="12"/>
    <x v="154"/>
    <x v="0"/>
    <x v="0"/>
    <x v="0"/>
    <x v="0"/>
    <x v="207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1"/>
    <x v="139"/>
    <x v="0"/>
    <x v="0"/>
    <x v="0"/>
    <x v="0"/>
    <x v="0"/>
    <x v="0"/>
  </r>
  <r>
    <x v="1"/>
    <x v="253"/>
    <x v="0"/>
    <x v="19"/>
    <x v="0"/>
    <x v="0"/>
    <x v="0"/>
    <x v="208"/>
    <x v="217"/>
    <x v="0"/>
    <x v="0"/>
    <x v="0"/>
    <x v="2"/>
    <x v="1"/>
    <x v="0"/>
    <x v="208"/>
    <x v="3"/>
    <x v="0"/>
    <x v="0"/>
    <x v="0"/>
    <x v="208"/>
    <x v="217"/>
    <x v="0"/>
    <x v="3"/>
    <x v="0"/>
    <x v="0"/>
    <x v="0"/>
    <x v="0"/>
    <x v="1"/>
    <x v="1"/>
    <x v="0"/>
    <x v="4"/>
    <x v="35"/>
    <x v="0"/>
    <x v="208"/>
    <x v="35"/>
    <x v="19"/>
    <x v="0"/>
    <x v="36"/>
    <x v="0"/>
    <x v="0"/>
    <x v="0"/>
    <x v="0"/>
    <x v="0"/>
    <x v="2"/>
    <x v="0"/>
    <x v="0"/>
    <x v="0"/>
    <x v="0"/>
    <x v="35"/>
    <x v="0"/>
    <x v="0"/>
    <x v="35"/>
    <x v="101"/>
    <x v="0"/>
    <x v="6"/>
    <x v="1"/>
    <x v="7"/>
    <x v="19"/>
    <x v="36"/>
    <x v="0"/>
    <x v="2"/>
    <x v="0"/>
    <x v="0"/>
    <x v="19"/>
    <x v="253"/>
    <x v="253"/>
    <x v="0"/>
    <x v="0"/>
    <x v="0"/>
    <x v="35"/>
    <x v="0"/>
    <x v="0"/>
    <x v="0"/>
    <x v="0"/>
    <x v="7"/>
    <x v="0"/>
    <x v="0"/>
    <x v="0"/>
    <x v="18"/>
    <x v="0"/>
    <x v="3"/>
    <x v="3"/>
    <x v="4"/>
    <x v="1"/>
    <x v="0"/>
    <x v="0"/>
    <x v="0"/>
    <x v="208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2"/>
    <x v="4"/>
    <x v="0"/>
    <x v="0"/>
    <x v="0"/>
    <x v="0"/>
    <x v="0"/>
    <x v="103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02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03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3"/>
    <x v="0"/>
    <x v="7"/>
    <x v="33"/>
    <x v="17"/>
    <x v="0"/>
    <x v="34"/>
    <x v="0"/>
    <x v="1"/>
    <x v="0"/>
    <x v="1"/>
    <x v="0"/>
    <x v="3"/>
    <x v="0"/>
    <x v="0"/>
    <x v="0"/>
    <x v="0"/>
    <x v="33"/>
    <x v="1"/>
    <x v="0"/>
    <x v="33"/>
    <x v="104"/>
    <x v="0"/>
    <x v="6"/>
    <x v="1"/>
    <x v="7"/>
    <x v="17"/>
    <x v="34"/>
    <x v="1"/>
    <x v="3"/>
    <x v="3"/>
    <x v="1"/>
    <x v="1"/>
    <x v="9"/>
    <x v="9"/>
    <x v="0"/>
    <x v="0"/>
    <x v="1"/>
    <x v="33"/>
    <x v="0"/>
    <x v="0"/>
    <x v="0"/>
    <x v="1"/>
    <x v="7"/>
    <x v="0"/>
    <x v="1"/>
    <x v="1"/>
    <x v="1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5"/>
    <x v="0"/>
    <x v="7"/>
    <x v="35"/>
    <x v="19"/>
    <x v="0"/>
    <x v="36"/>
    <x v="0"/>
    <x v="1"/>
    <x v="0"/>
    <x v="1"/>
    <x v="0"/>
    <x v="3"/>
    <x v="0"/>
    <x v="0"/>
    <x v="0"/>
    <x v="0"/>
    <x v="35"/>
    <x v="1"/>
    <x v="0"/>
    <x v="35"/>
    <x v="105"/>
    <x v="0"/>
    <x v="6"/>
    <x v="1"/>
    <x v="7"/>
    <x v="19"/>
    <x v="36"/>
    <x v="1"/>
    <x v="3"/>
    <x v="3"/>
    <x v="1"/>
    <x v="1"/>
    <x v="9"/>
    <x v="9"/>
    <x v="0"/>
    <x v="0"/>
    <x v="1"/>
    <x v="35"/>
    <x v="0"/>
    <x v="0"/>
    <x v="0"/>
    <x v="1"/>
    <x v="7"/>
    <x v="0"/>
    <x v="1"/>
    <x v="1"/>
    <x v="1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106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168"/>
    <x v="0"/>
    <x v="7"/>
    <x v="168"/>
    <x v="76"/>
    <x v="0"/>
    <x v="226"/>
    <x v="0"/>
    <x v="1"/>
    <x v="0"/>
    <x v="1"/>
    <x v="0"/>
    <x v="3"/>
    <x v="0"/>
    <x v="0"/>
    <x v="0"/>
    <x v="0"/>
    <x v="168"/>
    <x v="1"/>
    <x v="0"/>
    <x v="168"/>
    <x v="107"/>
    <x v="0"/>
    <x v="6"/>
    <x v="1"/>
    <x v="7"/>
    <x v="76"/>
    <x v="226"/>
    <x v="1"/>
    <x v="3"/>
    <x v="3"/>
    <x v="1"/>
    <x v="1"/>
    <x v="9"/>
    <x v="9"/>
    <x v="0"/>
    <x v="0"/>
    <x v="1"/>
    <x v="168"/>
    <x v="0"/>
    <x v="0"/>
    <x v="0"/>
    <x v="1"/>
    <x v="7"/>
    <x v="0"/>
    <x v="1"/>
    <x v="1"/>
    <x v="1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254"/>
    <x v="0"/>
    <x v="20"/>
    <x v="0"/>
    <x v="0"/>
    <x v="0"/>
    <x v="209"/>
    <x v="218"/>
    <x v="0"/>
    <x v="0"/>
    <x v="0"/>
    <x v="2"/>
    <x v="1"/>
    <x v="0"/>
    <x v="209"/>
    <x v="3"/>
    <x v="0"/>
    <x v="0"/>
    <x v="0"/>
    <x v="209"/>
    <x v="218"/>
    <x v="0"/>
    <x v="3"/>
    <x v="0"/>
    <x v="0"/>
    <x v="0"/>
    <x v="0"/>
    <x v="1"/>
    <x v="1"/>
    <x v="0"/>
    <x v="4"/>
    <x v="7"/>
    <x v="0"/>
    <x v="209"/>
    <x v="7"/>
    <x v="5"/>
    <x v="0"/>
    <x v="7"/>
    <x v="0"/>
    <x v="0"/>
    <x v="0"/>
    <x v="0"/>
    <x v="0"/>
    <x v="2"/>
    <x v="0"/>
    <x v="0"/>
    <x v="0"/>
    <x v="0"/>
    <x v="7"/>
    <x v="0"/>
    <x v="0"/>
    <x v="7"/>
    <x v="108"/>
    <x v="0"/>
    <x v="6"/>
    <x v="1"/>
    <x v="7"/>
    <x v="5"/>
    <x v="7"/>
    <x v="0"/>
    <x v="2"/>
    <x v="0"/>
    <x v="0"/>
    <x v="19"/>
    <x v="254"/>
    <x v="254"/>
    <x v="0"/>
    <x v="0"/>
    <x v="0"/>
    <x v="7"/>
    <x v="0"/>
    <x v="0"/>
    <x v="0"/>
    <x v="0"/>
    <x v="7"/>
    <x v="0"/>
    <x v="0"/>
    <x v="0"/>
    <x v="19"/>
    <x v="0"/>
    <x v="3"/>
    <x v="3"/>
    <x v="4"/>
    <x v="1"/>
    <x v="0"/>
    <x v="0"/>
    <x v="0"/>
    <x v="209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3"/>
    <x v="4"/>
    <x v="0"/>
    <x v="0"/>
    <x v="0"/>
    <x v="0"/>
    <x v="0"/>
    <x v="104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5"/>
    <x v="0"/>
    <x v="7"/>
    <x v="0"/>
    <x v="1"/>
    <x v="0"/>
    <x v="1"/>
    <x v="0"/>
    <x v="3"/>
    <x v="0"/>
    <x v="0"/>
    <x v="0"/>
    <x v="0"/>
    <x v="7"/>
    <x v="1"/>
    <x v="0"/>
    <x v="7"/>
    <x v="109"/>
    <x v="0"/>
    <x v="6"/>
    <x v="1"/>
    <x v="7"/>
    <x v="5"/>
    <x v="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1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110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11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112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13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255"/>
    <x v="0"/>
    <x v="18"/>
    <x v="0"/>
    <x v="0"/>
    <x v="0"/>
    <x v="210"/>
    <x v="219"/>
    <x v="0"/>
    <x v="0"/>
    <x v="0"/>
    <x v="1"/>
    <x v="0"/>
    <x v="0"/>
    <x v="210"/>
    <x v="2"/>
    <x v="0"/>
    <x v="0"/>
    <x v="0"/>
    <x v="210"/>
    <x v="219"/>
    <x v="0"/>
    <x v="0"/>
    <x v="0"/>
    <x v="0"/>
    <x v="0"/>
    <x v="0"/>
    <x v="0"/>
    <x v="0"/>
    <x v="0"/>
    <x v="155"/>
    <x v="211"/>
    <x v="0"/>
    <x v="210"/>
    <x v="211"/>
    <x v="77"/>
    <x v="0"/>
    <x v="227"/>
    <x v="0"/>
    <x v="0"/>
    <x v="0"/>
    <x v="0"/>
    <x v="0"/>
    <x v="1"/>
    <x v="0"/>
    <x v="0"/>
    <x v="0"/>
    <x v="0"/>
    <x v="211"/>
    <x v="0"/>
    <x v="0"/>
    <x v="211"/>
    <x v="0"/>
    <x v="0"/>
    <x v="166"/>
    <x v="0"/>
    <x v="173"/>
    <x v="77"/>
    <x v="227"/>
    <x v="0"/>
    <x v="1"/>
    <x v="0"/>
    <x v="0"/>
    <x v="20"/>
    <x v="255"/>
    <x v="255"/>
    <x v="0"/>
    <x v="0"/>
    <x v="0"/>
    <x v="211"/>
    <x v="0"/>
    <x v="0"/>
    <x v="0"/>
    <x v="0"/>
    <x v="173"/>
    <x v="0"/>
    <x v="0"/>
    <x v="0"/>
    <x v="17"/>
    <x v="0"/>
    <x v="71"/>
    <x v="71"/>
    <x v="155"/>
    <x v="0"/>
    <x v="0"/>
    <x v="0"/>
    <x v="0"/>
    <x v="210"/>
    <x v="17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4"/>
    <x v="140"/>
    <x v="0"/>
    <x v="0"/>
    <x v="0"/>
    <x v="0"/>
    <x v="0"/>
    <x v="0"/>
  </r>
  <r>
    <x v="0"/>
    <x v="256"/>
    <x v="0"/>
    <x v="18"/>
    <x v="0"/>
    <x v="0"/>
    <x v="0"/>
    <x v="211"/>
    <x v="220"/>
    <x v="0"/>
    <x v="0"/>
    <x v="0"/>
    <x v="1"/>
    <x v="0"/>
    <x v="0"/>
    <x v="211"/>
    <x v="2"/>
    <x v="0"/>
    <x v="0"/>
    <x v="0"/>
    <x v="211"/>
    <x v="220"/>
    <x v="0"/>
    <x v="0"/>
    <x v="0"/>
    <x v="0"/>
    <x v="0"/>
    <x v="0"/>
    <x v="0"/>
    <x v="0"/>
    <x v="0"/>
    <x v="155"/>
    <x v="212"/>
    <x v="0"/>
    <x v="211"/>
    <x v="212"/>
    <x v="1"/>
    <x v="0"/>
    <x v="228"/>
    <x v="1"/>
    <x v="0"/>
    <x v="1"/>
    <x v="0"/>
    <x v="0"/>
    <x v="1"/>
    <x v="0"/>
    <x v="0"/>
    <x v="0"/>
    <x v="0"/>
    <x v="212"/>
    <x v="0"/>
    <x v="1"/>
    <x v="212"/>
    <x v="0"/>
    <x v="0"/>
    <x v="167"/>
    <x v="0"/>
    <x v="174"/>
    <x v="1"/>
    <x v="228"/>
    <x v="0"/>
    <x v="1"/>
    <x v="2"/>
    <x v="0"/>
    <x v="20"/>
    <x v="256"/>
    <x v="256"/>
    <x v="0"/>
    <x v="0"/>
    <x v="0"/>
    <x v="212"/>
    <x v="0"/>
    <x v="0"/>
    <x v="0"/>
    <x v="0"/>
    <x v="174"/>
    <x v="0"/>
    <x v="0"/>
    <x v="0"/>
    <x v="17"/>
    <x v="0"/>
    <x v="71"/>
    <x v="71"/>
    <x v="155"/>
    <x v="0"/>
    <x v="0"/>
    <x v="0"/>
    <x v="0"/>
    <x v="210"/>
    <x v="17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4"/>
    <x v="140"/>
    <x v="0"/>
    <x v="0"/>
    <x v="0"/>
    <x v="0"/>
    <x v="0"/>
    <x v="0"/>
  </r>
  <r>
    <x v="0"/>
    <x v="257"/>
    <x v="0"/>
    <x v="20"/>
    <x v="0"/>
    <x v="0"/>
    <x v="0"/>
    <x v="0"/>
    <x v="221"/>
    <x v="0"/>
    <x v="0"/>
    <x v="0"/>
    <x v="0"/>
    <x v="0"/>
    <x v="0"/>
    <x v="0"/>
    <x v="0"/>
    <x v="0"/>
    <x v="0"/>
    <x v="0"/>
    <x v="0"/>
    <x v="221"/>
    <x v="0"/>
    <x v="0"/>
    <x v="0"/>
    <x v="0"/>
    <x v="0"/>
    <x v="0"/>
    <x v="0"/>
    <x v="0"/>
    <x v="0"/>
    <x v="156"/>
    <x v="0"/>
    <x v="0"/>
    <x v="0"/>
    <x v="0"/>
    <x v="1"/>
    <x v="0"/>
    <x v="229"/>
    <x v="4"/>
    <x v="0"/>
    <x v="4"/>
    <x v="0"/>
    <x v="0"/>
    <x v="0"/>
    <x v="0"/>
    <x v="0"/>
    <x v="0"/>
    <x v="0"/>
    <x v="0"/>
    <x v="0"/>
    <x v="4"/>
    <x v="0"/>
    <x v="0"/>
    <x v="0"/>
    <x v="0"/>
    <x v="0"/>
    <x v="0"/>
    <x v="1"/>
    <x v="229"/>
    <x v="0"/>
    <x v="0"/>
    <x v="1"/>
    <x v="0"/>
    <x v="20"/>
    <x v="257"/>
    <x v="257"/>
    <x v="0"/>
    <x v="0"/>
    <x v="0"/>
    <x v="0"/>
    <x v="0"/>
    <x v="0"/>
    <x v="0"/>
    <x v="0"/>
    <x v="0"/>
    <x v="0"/>
    <x v="0"/>
    <x v="0"/>
    <x v="19"/>
    <x v="0"/>
    <x v="0"/>
    <x v="0"/>
    <x v="156"/>
    <x v="0"/>
    <x v="0"/>
    <x v="0"/>
    <x v="0"/>
    <x v="2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5"/>
    <x v="141"/>
    <x v="0"/>
    <x v="0"/>
    <x v="0"/>
    <x v="0"/>
    <x v="0"/>
    <x v="0"/>
  </r>
  <r>
    <x v="0"/>
    <x v="258"/>
    <x v="0"/>
    <x v="20"/>
    <x v="0"/>
    <x v="0"/>
    <x v="0"/>
    <x v="1"/>
    <x v="1"/>
    <x v="0"/>
    <x v="0"/>
    <x v="0"/>
    <x v="0"/>
    <x v="0"/>
    <x v="0"/>
    <x v="1"/>
    <x v="0"/>
    <x v="0"/>
    <x v="0"/>
    <x v="0"/>
    <x v="1"/>
    <x v="1"/>
    <x v="0"/>
    <x v="0"/>
    <x v="0"/>
    <x v="0"/>
    <x v="0"/>
    <x v="0"/>
    <x v="0"/>
    <x v="0"/>
    <x v="0"/>
    <x v="156"/>
    <x v="1"/>
    <x v="0"/>
    <x v="1"/>
    <x v="1"/>
    <x v="1"/>
    <x v="0"/>
    <x v="1"/>
    <x v="4"/>
    <x v="0"/>
    <x v="4"/>
    <x v="0"/>
    <x v="0"/>
    <x v="0"/>
    <x v="0"/>
    <x v="0"/>
    <x v="0"/>
    <x v="0"/>
    <x v="1"/>
    <x v="0"/>
    <x v="4"/>
    <x v="1"/>
    <x v="0"/>
    <x v="0"/>
    <x v="1"/>
    <x v="0"/>
    <x v="1"/>
    <x v="1"/>
    <x v="1"/>
    <x v="0"/>
    <x v="0"/>
    <x v="1"/>
    <x v="0"/>
    <x v="20"/>
    <x v="258"/>
    <x v="258"/>
    <x v="0"/>
    <x v="0"/>
    <x v="0"/>
    <x v="1"/>
    <x v="0"/>
    <x v="0"/>
    <x v="0"/>
    <x v="0"/>
    <x v="1"/>
    <x v="0"/>
    <x v="0"/>
    <x v="0"/>
    <x v="19"/>
    <x v="0"/>
    <x v="0"/>
    <x v="0"/>
    <x v="156"/>
    <x v="0"/>
    <x v="0"/>
    <x v="0"/>
    <x v="0"/>
    <x v="2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5"/>
    <x v="141"/>
    <x v="0"/>
    <x v="0"/>
    <x v="0"/>
    <x v="0"/>
    <x v="0"/>
    <x v="0"/>
  </r>
  <r>
    <x v="0"/>
    <x v="259"/>
    <x v="0"/>
    <x v="20"/>
    <x v="0"/>
    <x v="0"/>
    <x v="0"/>
    <x v="202"/>
    <x v="222"/>
    <x v="0"/>
    <x v="0"/>
    <x v="0"/>
    <x v="8"/>
    <x v="0"/>
    <x v="0"/>
    <x v="202"/>
    <x v="8"/>
    <x v="0"/>
    <x v="0"/>
    <x v="0"/>
    <x v="202"/>
    <x v="222"/>
    <x v="0"/>
    <x v="0"/>
    <x v="0"/>
    <x v="0"/>
    <x v="0"/>
    <x v="0"/>
    <x v="0"/>
    <x v="0"/>
    <x v="0"/>
    <x v="157"/>
    <x v="205"/>
    <x v="0"/>
    <x v="202"/>
    <x v="205"/>
    <x v="1"/>
    <x v="0"/>
    <x v="230"/>
    <x v="2"/>
    <x v="0"/>
    <x v="2"/>
    <x v="0"/>
    <x v="0"/>
    <x v="8"/>
    <x v="0"/>
    <x v="0"/>
    <x v="0"/>
    <x v="0"/>
    <x v="205"/>
    <x v="0"/>
    <x v="2"/>
    <x v="205"/>
    <x v="0"/>
    <x v="0"/>
    <x v="161"/>
    <x v="0"/>
    <x v="168"/>
    <x v="1"/>
    <x v="230"/>
    <x v="0"/>
    <x v="7"/>
    <x v="5"/>
    <x v="2"/>
    <x v="20"/>
    <x v="259"/>
    <x v="259"/>
    <x v="0"/>
    <x v="0"/>
    <x v="0"/>
    <x v="205"/>
    <x v="0"/>
    <x v="0"/>
    <x v="0"/>
    <x v="0"/>
    <x v="168"/>
    <x v="0"/>
    <x v="0"/>
    <x v="0"/>
    <x v="19"/>
    <x v="0"/>
    <x v="19"/>
    <x v="19"/>
    <x v="157"/>
    <x v="0"/>
    <x v="0"/>
    <x v="0"/>
    <x v="0"/>
    <x v="213"/>
    <x v="168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166"/>
    <x v="142"/>
    <x v="0"/>
    <x v="0"/>
    <x v="0"/>
    <x v="0"/>
    <x v="0"/>
    <x v="105"/>
  </r>
  <r>
    <x v="1"/>
    <x v="260"/>
    <x v="0"/>
    <x v="20"/>
    <x v="0"/>
    <x v="0"/>
    <x v="0"/>
    <x v="212"/>
    <x v="223"/>
    <x v="0"/>
    <x v="0"/>
    <x v="0"/>
    <x v="9"/>
    <x v="0"/>
    <x v="0"/>
    <x v="212"/>
    <x v="9"/>
    <x v="0"/>
    <x v="0"/>
    <x v="0"/>
    <x v="212"/>
    <x v="223"/>
    <x v="0"/>
    <x v="3"/>
    <x v="0"/>
    <x v="0"/>
    <x v="0"/>
    <x v="0"/>
    <x v="1"/>
    <x v="1"/>
    <x v="0"/>
    <x v="4"/>
    <x v="213"/>
    <x v="0"/>
    <x v="212"/>
    <x v="213"/>
    <x v="1"/>
    <x v="0"/>
    <x v="231"/>
    <x v="0"/>
    <x v="0"/>
    <x v="0"/>
    <x v="0"/>
    <x v="0"/>
    <x v="9"/>
    <x v="0"/>
    <x v="0"/>
    <x v="0"/>
    <x v="0"/>
    <x v="213"/>
    <x v="0"/>
    <x v="0"/>
    <x v="213"/>
    <x v="0"/>
    <x v="0"/>
    <x v="6"/>
    <x v="1"/>
    <x v="7"/>
    <x v="1"/>
    <x v="231"/>
    <x v="0"/>
    <x v="0"/>
    <x v="1"/>
    <x v="0"/>
    <x v="20"/>
    <x v="260"/>
    <x v="260"/>
    <x v="0"/>
    <x v="0"/>
    <x v="0"/>
    <x v="213"/>
    <x v="0"/>
    <x v="0"/>
    <x v="0"/>
    <x v="0"/>
    <x v="7"/>
    <x v="0"/>
    <x v="0"/>
    <x v="0"/>
    <x v="19"/>
    <x v="0"/>
    <x v="3"/>
    <x v="3"/>
    <x v="4"/>
    <x v="1"/>
    <x v="0"/>
    <x v="0"/>
    <x v="0"/>
    <x v="214"/>
    <x v="7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261"/>
    <x v="0"/>
    <x v="18"/>
    <x v="0"/>
    <x v="0"/>
    <x v="0"/>
    <x v="213"/>
    <x v="224"/>
    <x v="0"/>
    <x v="0"/>
    <x v="0"/>
    <x v="14"/>
    <x v="0"/>
    <x v="0"/>
    <x v="213"/>
    <x v="13"/>
    <x v="0"/>
    <x v="0"/>
    <x v="0"/>
    <x v="213"/>
    <x v="224"/>
    <x v="0"/>
    <x v="0"/>
    <x v="0"/>
    <x v="0"/>
    <x v="0"/>
    <x v="0"/>
    <x v="0"/>
    <x v="0"/>
    <x v="0"/>
    <x v="158"/>
    <x v="214"/>
    <x v="0"/>
    <x v="213"/>
    <x v="214"/>
    <x v="78"/>
    <x v="0"/>
    <x v="232"/>
    <x v="0"/>
    <x v="0"/>
    <x v="0"/>
    <x v="0"/>
    <x v="0"/>
    <x v="14"/>
    <x v="0"/>
    <x v="0"/>
    <x v="0"/>
    <x v="0"/>
    <x v="214"/>
    <x v="0"/>
    <x v="0"/>
    <x v="214"/>
    <x v="0"/>
    <x v="0"/>
    <x v="168"/>
    <x v="0"/>
    <x v="175"/>
    <x v="78"/>
    <x v="232"/>
    <x v="0"/>
    <x v="8"/>
    <x v="0"/>
    <x v="0"/>
    <x v="20"/>
    <x v="261"/>
    <x v="261"/>
    <x v="0"/>
    <x v="0"/>
    <x v="0"/>
    <x v="214"/>
    <x v="0"/>
    <x v="0"/>
    <x v="0"/>
    <x v="0"/>
    <x v="175"/>
    <x v="0"/>
    <x v="0"/>
    <x v="0"/>
    <x v="17"/>
    <x v="0"/>
    <x v="7"/>
    <x v="7"/>
    <x v="158"/>
    <x v="0"/>
    <x v="0"/>
    <x v="0"/>
    <x v="0"/>
    <x v="215"/>
    <x v="17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7"/>
    <x v="143"/>
    <x v="0"/>
    <x v="0"/>
    <x v="0"/>
    <x v="0"/>
    <x v="0"/>
    <x v="0"/>
  </r>
  <r>
    <x v="0"/>
    <x v="262"/>
    <x v="0"/>
    <x v="19"/>
    <x v="0"/>
    <x v="0"/>
    <x v="0"/>
    <x v="17"/>
    <x v="17"/>
    <x v="0"/>
    <x v="0"/>
    <x v="0"/>
    <x v="12"/>
    <x v="0"/>
    <x v="0"/>
    <x v="17"/>
    <x v="10"/>
    <x v="0"/>
    <x v="0"/>
    <x v="0"/>
    <x v="17"/>
    <x v="17"/>
    <x v="0"/>
    <x v="0"/>
    <x v="0"/>
    <x v="0"/>
    <x v="0"/>
    <x v="0"/>
    <x v="0"/>
    <x v="0"/>
    <x v="0"/>
    <x v="159"/>
    <x v="18"/>
    <x v="0"/>
    <x v="17"/>
    <x v="18"/>
    <x v="1"/>
    <x v="0"/>
    <x v="18"/>
    <x v="2"/>
    <x v="0"/>
    <x v="2"/>
    <x v="0"/>
    <x v="0"/>
    <x v="12"/>
    <x v="0"/>
    <x v="0"/>
    <x v="0"/>
    <x v="0"/>
    <x v="18"/>
    <x v="0"/>
    <x v="2"/>
    <x v="18"/>
    <x v="0"/>
    <x v="0"/>
    <x v="15"/>
    <x v="0"/>
    <x v="14"/>
    <x v="1"/>
    <x v="18"/>
    <x v="0"/>
    <x v="0"/>
    <x v="1"/>
    <x v="0"/>
    <x v="20"/>
    <x v="262"/>
    <x v="262"/>
    <x v="0"/>
    <x v="0"/>
    <x v="0"/>
    <x v="18"/>
    <x v="0"/>
    <x v="0"/>
    <x v="0"/>
    <x v="0"/>
    <x v="14"/>
    <x v="0"/>
    <x v="0"/>
    <x v="0"/>
    <x v="18"/>
    <x v="0"/>
    <x v="4"/>
    <x v="4"/>
    <x v="159"/>
    <x v="0"/>
    <x v="0"/>
    <x v="0"/>
    <x v="0"/>
    <x v="216"/>
    <x v="1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8"/>
    <x v="144"/>
    <x v="0"/>
    <x v="0"/>
    <x v="0"/>
    <x v="0"/>
    <x v="0"/>
    <x v="106"/>
  </r>
  <r>
    <x v="0"/>
    <x v="263"/>
    <x v="0"/>
    <x v="20"/>
    <x v="0"/>
    <x v="0"/>
    <x v="0"/>
    <x v="12"/>
    <x v="12"/>
    <x v="0"/>
    <x v="0"/>
    <x v="0"/>
    <x v="0"/>
    <x v="0"/>
    <x v="0"/>
    <x v="12"/>
    <x v="0"/>
    <x v="0"/>
    <x v="0"/>
    <x v="0"/>
    <x v="12"/>
    <x v="12"/>
    <x v="0"/>
    <x v="0"/>
    <x v="0"/>
    <x v="0"/>
    <x v="0"/>
    <x v="2"/>
    <x v="0"/>
    <x v="0"/>
    <x v="0"/>
    <x v="160"/>
    <x v="13"/>
    <x v="0"/>
    <x v="12"/>
    <x v="13"/>
    <x v="1"/>
    <x v="0"/>
    <x v="13"/>
    <x v="2"/>
    <x v="0"/>
    <x v="2"/>
    <x v="0"/>
    <x v="0"/>
    <x v="0"/>
    <x v="0"/>
    <x v="0"/>
    <x v="0"/>
    <x v="0"/>
    <x v="13"/>
    <x v="0"/>
    <x v="2"/>
    <x v="13"/>
    <x v="0"/>
    <x v="0"/>
    <x v="11"/>
    <x v="0"/>
    <x v="10"/>
    <x v="1"/>
    <x v="13"/>
    <x v="0"/>
    <x v="0"/>
    <x v="1"/>
    <x v="2"/>
    <x v="20"/>
    <x v="263"/>
    <x v="263"/>
    <x v="0"/>
    <x v="0"/>
    <x v="0"/>
    <x v="13"/>
    <x v="0"/>
    <x v="0"/>
    <x v="0"/>
    <x v="0"/>
    <x v="10"/>
    <x v="0"/>
    <x v="0"/>
    <x v="0"/>
    <x v="19"/>
    <x v="0"/>
    <x v="6"/>
    <x v="6"/>
    <x v="160"/>
    <x v="0"/>
    <x v="0"/>
    <x v="0"/>
    <x v="0"/>
    <x v="217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3"/>
    <x v="131"/>
    <x v="0"/>
    <x v="0"/>
    <x v="0"/>
    <x v="0"/>
    <x v="0"/>
    <x v="107"/>
  </r>
  <r>
    <x v="0"/>
    <x v="264"/>
    <x v="0"/>
    <x v="18"/>
    <x v="0"/>
    <x v="0"/>
    <x v="0"/>
    <x v="134"/>
    <x v="139"/>
    <x v="0"/>
    <x v="0"/>
    <x v="0"/>
    <x v="8"/>
    <x v="0"/>
    <x v="0"/>
    <x v="134"/>
    <x v="8"/>
    <x v="0"/>
    <x v="0"/>
    <x v="0"/>
    <x v="134"/>
    <x v="139"/>
    <x v="0"/>
    <x v="0"/>
    <x v="0"/>
    <x v="0"/>
    <x v="0"/>
    <x v="0"/>
    <x v="0"/>
    <x v="0"/>
    <x v="0"/>
    <x v="161"/>
    <x v="137"/>
    <x v="0"/>
    <x v="134"/>
    <x v="137"/>
    <x v="1"/>
    <x v="0"/>
    <x v="148"/>
    <x v="2"/>
    <x v="0"/>
    <x v="2"/>
    <x v="0"/>
    <x v="0"/>
    <x v="8"/>
    <x v="0"/>
    <x v="0"/>
    <x v="0"/>
    <x v="0"/>
    <x v="137"/>
    <x v="0"/>
    <x v="2"/>
    <x v="137"/>
    <x v="0"/>
    <x v="0"/>
    <x v="111"/>
    <x v="0"/>
    <x v="112"/>
    <x v="1"/>
    <x v="148"/>
    <x v="0"/>
    <x v="7"/>
    <x v="5"/>
    <x v="2"/>
    <x v="21"/>
    <x v="264"/>
    <x v="264"/>
    <x v="0"/>
    <x v="0"/>
    <x v="0"/>
    <x v="137"/>
    <x v="0"/>
    <x v="0"/>
    <x v="0"/>
    <x v="0"/>
    <x v="112"/>
    <x v="0"/>
    <x v="0"/>
    <x v="0"/>
    <x v="17"/>
    <x v="0"/>
    <x v="56"/>
    <x v="56"/>
    <x v="161"/>
    <x v="0"/>
    <x v="0"/>
    <x v="0"/>
    <x v="0"/>
    <x v="218"/>
    <x v="112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169"/>
    <x v="145"/>
    <x v="0"/>
    <x v="0"/>
    <x v="0"/>
    <x v="0"/>
    <x v="0"/>
    <x v="108"/>
  </r>
  <r>
    <x v="0"/>
    <x v="265"/>
    <x v="2"/>
    <x v="20"/>
    <x v="0"/>
    <x v="0"/>
    <x v="0"/>
    <x v="206"/>
    <x v="225"/>
    <x v="0"/>
    <x v="0"/>
    <x v="0"/>
    <x v="5"/>
    <x v="3"/>
    <x v="0"/>
    <x v="206"/>
    <x v="5"/>
    <x v="0"/>
    <x v="0"/>
    <x v="0"/>
    <x v="206"/>
    <x v="225"/>
    <x v="0"/>
    <x v="0"/>
    <x v="0"/>
    <x v="0"/>
    <x v="0"/>
    <x v="1"/>
    <x v="0"/>
    <x v="0"/>
    <x v="0"/>
    <x v="162"/>
    <x v="209"/>
    <x v="0"/>
    <x v="206"/>
    <x v="209"/>
    <x v="79"/>
    <x v="0"/>
    <x v="233"/>
    <x v="0"/>
    <x v="0"/>
    <x v="0"/>
    <x v="0"/>
    <x v="0"/>
    <x v="5"/>
    <x v="0"/>
    <x v="0"/>
    <x v="0"/>
    <x v="0"/>
    <x v="209"/>
    <x v="0"/>
    <x v="0"/>
    <x v="209"/>
    <x v="0"/>
    <x v="0"/>
    <x v="164"/>
    <x v="0"/>
    <x v="171"/>
    <x v="79"/>
    <x v="233"/>
    <x v="0"/>
    <x v="5"/>
    <x v="0"/>
    <x v="0"/>
    <x v="21"/>
    <x v="265"/>
    <x v="265"/>
    <x v="0"/>
    <x v="0"/>
    <x v="0"/>
    <x v="209"/>
    <x v="0"/>
    <x v="0"/>
    <x v="0"/>
    <x v="0"/>
    <x v="171"/>
    <x v="0"/>
    <x v="0"/>
    <x v="0"/>
    <x v="19"/>
    <x v="0"/>
    <x v="12"/>
    <x v="12"/>
    <x v="162"/>
    <x v="0"/>
    <x v="0"/>
    <x v="0"/>
    <x v="0"/>
    <x v="219"/>
    <x v="171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170"/>
    <x v="146"/>
    <x v="0"/>
    <x v="0"/>
    <x v="0"/>
    <x v="0"/>
    <x v="0"/>
    <x v="0"/>
  </r>
  <r>
    <x v="0"/>
    <x v="266"/>
    <x v="2"/>
    <x v="12"/>
    <x v="0"/>
    <x v="0"/>
    <x v="0"/>
    <x v="214"/>
    <x v="226"/>
    <x v="0"/>
    <x v="0"/>
    <x v="0"/>
    <x v="5"/>
    <x v="3"/>
    <x v="0"/>
    <x v="214"/>
    <x v="5"/>
    <x v="0"/>
    <x v="0"/>
    <x v="0"/>
    <x v="214"/>
    <x v="226"/>
    <x v="0"/>
    <x v="3"/>
    <x v="0"/>
    <x v="0"/>
    <x v="0"/>
    <x v="1"/>
    <x v="0"/>
    <x v="0"/>
    <x v="0"/>
    <x v="163"/>
    <x v="215"/>
    <x v="0"/>
    <x v="214"/>
    <x v="215"/>
    <x v="80"/>
    <x v="0"/>
    <x v="234"/>
    <x v="0"/>
    <x v="0"/>
    <x v="0"/>
    <x v="0"/>
    <x v="0"/>
    <x v="5"/>
    <x v="0"/>
    <x v="0"/>
    <x v="0"/>
    <x v="0"/>
    <x v="215"/>
    <x v="0"/>
    <x v="0"/>
    <x v="215"/>
    <x v="0"/>
    <x v="0"/>
    <x v="169"/>
    <x v="1"/>
    <x v="7"/>
    <x v="80"/>
    <x v="234"/>
    <x v="0"/>
    <x v="5"/>
    <x v="11"/>
    <x v="2"/>
    <x v="21"/>
    <x v="266"/>
    <x v="266"/>
    <x v="0"/>
    <x v="0"/>
    <x v="0"/>
    <x v="215"/>
    <x v="0"/>
    <x v="0"/>
    <x v="0"/>
    <x v="0"/>
    <x v="7"/>
    <x v="0"/>
    <x v="0"/>
    <x v="0"/>
    <x v="11"/>
    <x v="0"/>
    <x v="13"/>
    <x v="13"/>
    <x v="163"/>
    <x v="0"/>
    <x v="0"/>
    <x v="0"/>
    <x v="0"/>
    <x v="220"/>
    <x v="7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171"/>
    <x v="147"/>
    <x v="0"/>
    <x v="0"/>
    <x v="0"/>
    <x v="0"/>
    <x v="0"/>
    <x v="0"/>
  </r>
  <r>
    <x v="0"/>
    <x v="267"/>
    <x v="0"/>
    <x v="20"/>
    <x v="0"/>
    <x v="0"/>
    <x v="0"/>
    <x v="100"/>
    <x v="102"/>
    <x v="0"/>
    <x v="0"/>
    <x v="0"/>
    <x v="0"/>
    <x v="0"/>
    <x v="0"/>
    <x v="100"/>
    <x v="0"/>
    <x v="0"/>
    <x v="0"/>
    <x v="0"/>
    <x v="100"/>
    <x v="102"/>
    <x v="0"/>
    <x v="0"/>
    <x v="0"/>
    <x v="0"/>
    <x v="0"/>
    <x v="0"/>
    <x v="0"/>
    <x v="0"/>
    <x v="0"/>
    <x v="164"/>
    <x v="102"/>
    <x v="0"/>
    <x v="100"/>
    <x v="102"/>
    <x v="1"/>
    <x v="0"/>
    <x v="109"/>
    <x v="2"/>
    <x v="0"/>
    <x v="2"/>
    <x v="0"/>
    <x v="0"/>
    <x v="0"/>
    <x v="0"/>
    <x v="0"/>
    <x v="0"/>
    <x v="0"/>
    <x v="102"/>
    <x v="0"/>
    <x v="2"/>
    <x v="102"/>
    <x v="0"/>
    <x v="0"/>
    <x v="81"/>
    <x v="0"/>
    <x v="80"/>
    <x v="1"/>
    <x v="109"/>
    <x v="0"/>
    <x v="0"/>
    <x v="1"/>
    <x v="2"/>
    <x v="21"/>
    <x v="267"/>
    <x v="267"/>
    <x v="0"/>
    <x v="0"/>
    <x v="0"/>
    <x v="102"/>
    <x v="0"/>
    <x v="0"/>
    <x v="0"/>
    <x v="0"/>
    <x v="80"/>
    <x v="0"/>
    <x v="0"/>
    <x v="0"/>
    <x v="19"/>
    <x v="0"/>
    <x v="43"/>
    <x v="43"/>
    <x v="164"/>
    <x v="0"/>
    <x v="0"/>
    <x v="0"/>
    <x v="0"/>
    <x v="221"/>
    <x v="8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2"/>
    <x v="148"/>
    <x v="0"/>
    <x v="0"/>
    <x v="0"/>
    <x v="0"/>
    <x v="0"/>
    <x v="109"/>
  </r>
  <r>
    <x v="0"/>
    <x v="268"/>
    <x v="0"/>
    <x v="20"/>
    <x v="0"/>
    <x v="0"/>
    <x v="0"/>
    <x v="215"/>
    <x v="227"/>
    <x v="0"/>
    <x v="0"/>
    <x v="0"/>
    <x v="0"/>
    <x v="0"/>
    <x v="0"/>
    <x v="215"/>
    <x v="0"/>
    <x v="0"/>
    <x v="0"/>
    <x v="0"/>
    <x v="215"/>
    <x v="227"/>
    <x v="0"/>
    <x v="0"/>
    <x v="0"/>
    <x v="0"/>
    <x v="0"/>
    <x v="0"/>
    <x v="0"/>
    <x v="0"/>
    <x v="0"/>
    <x v="165"/>
    <x v="216"/>
    <x v="0"/>
    <x v="215"/>
    <x v="216"/>
    <x v="1"/>
    <x v="0"/>
    <x v="235"/>
    <x v="2"/>
    <x v="0"/>
    <x v="2"/>
    <x v="0"/>
    <x v="0"/>
    <x v="0"/>
    <x v="0"/>
    <x v="0"/>
    <x v="0"/>
    <x v="0"/>
    <x v="216"/>
    <x v="0"/>
    <x v="2"/>
    <x v="216"/>
    <x v="0"/>
    <x v="0"/>
    <x v="170"/>
    <x v="0"/>
    <x v="176"/>
    <x v="1"/>
    <x v="235"/>
    <x v="0"/>
    <x v="0"/>
    <x v="1"/>
    <x v="2"/>
    <x v="21"/>
    <x v="268"/>
    <x v="268"/>
    <x v="0"/>
    <x v="0"/>
    <x v="0"/>
    <x v="216"/>
    <x v="0"/>
    <x v="0"/>
    <x v="0"/>
    <x v="0"/>
    <x v="176"/>
    <x v="0"/>
    <x v="0"/>
    <x v="0"/>
    <x v="19"/>
    <x v="0"/>
    <x v="8"/>
    <x v="8"/>
    <x v="165"/>
    <x v="0"/>
    <x v="0"/>
    <x v="0"/>
    <x v="0"/>
    <x v="222"/>
    <x v="1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3"/>
    <x v="149"/>
    <x v="0"/>
    <x v="0"/>
    <x v="0"/>
    <x v="0"/>
    <x v="0"/>
    <x v="110"/>
  </r>
  <r>
    <x v="0"/>
    <x v="269"/>
    <x v="0"/>
    <x v="20"/>
    <x v="0"/>
    <x v="0"/>
    <x v="0"/>
    <x v="216"/>
    <x v="228"/>
    <x v="0"/>
    <x v="0"/>
    <x v="0"/>
    <x v="14"/>
    <x v="0"/>
    <x v="0"/>
    <x v="216"/>
    <x v="13"/>
    <x v="0"/>
    <x v="0"/>
    <x v="0"/>
    <x v="216"/>
    <x v="228"/>
    <x v="0"/>
    <x v="0"/>
    <x v="0"/>
    <x v="0"/>
    <x v="0"/>
    <x v="0"/>
    <x v="0"/>
    <x v="0"/>
    <x v="0"/>
    <x v="166"/>
    <x v="217"/>
    <x v="0"/>
    <x v="216"/>
    <x v="217"/>
    <x v="1"/>
    <x v="0"/>
    <x v="236"/>
    <x v="2"/>
    <x v="0"/>
    <x v="2"/>
    <x v="0"/>
    <x v="0"/>
    <x v="14"/>
    <x v="0"/>
    <x v="0"/>
    <x v="0"/>
    <x v="0"/>
    <x v="217"/>
    <x v="0"/>
    <x v="2"/>
    <x v="217"/>
    <x v="0"/>
    <x v="0"/>
    <x v="171"/>
    <x v="0"/>
    <x v="177"/>
    <x v="1"/>
    <x v="236"/>
    <x v="0"/>
    <x v="0"/>
    <x v="1"/>
    <x v="2"/>
    <x v="21"/>
    <x v="269"/>
    <x v="269"/>
    <x v="0"/>
    <x v="0"/>
    <x v="0"/>
    <x v="217"/>
    <x v="0"/>
    <x v="0"/>
    <x v="0"/>
    <x v="0"/>
    <x v="177"/>
    <x v="0"/>
    <x v="0"/>
    <x v="0"/>
    <x v="19"/>
    <x v="0"/>
    <x v="72"/>
    <x v="72"/>
    <x v="166"/>
    <x v="0"/>
    <x v="0"/>
    <x v="0"/>
    <x v="0"/>
    <x v="223"/>
    <x v="17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74"/>
    <x v="150"/>
    <x v="0"/>
    <x v="0"/>
    <x v="0"/>
    <x v="0"/>
    <x v="0"/>
    <x v="111"/>
  </r>
  <r>
    <x v="0"/>
    <x v="270"/>
    <x v="0"/>
    <x v="18"/>
    <x v="0"/>
    <x v="0"/>
    <x v="0"/>
    <x v="217"/>
    <x v="229"/>
    <x v="0"/>
    <x v="0"/>
    <x v="0"/>
    <x v="12"/>
    <x v="1"/>
    <x v="0"/>
    <x v="217"/>
    <x v="11"/>
    <x v="0"/>
    <x v="0"/>
    <x v="0"/>
    <x v="217"/>
    <x v="229"/>
    <x v="0"/>
    <x v="0"/>
    <x v="0"/>
    <x v="0"/>
    <x v="0"/>
    <x v="0"/>
    <x v="0"/>
    <x v="0"/>
    <x v="0"/>
    <x v="167"/>
    <x v="218"/>
    <x v="0"/>
    <x v="217"/>
    <x v="218"/>
    <x v="1"/>
    <x v="0"/>
    <x v="237"/>
    <x v="0"/>
    <x v="0"/>
    <x v="0"/>
    <x v="0"/>
    <x v="0"/>
    <x v="12"/>
    <x v="0"/>
    <x v="0"/>
    <x v="0"/>
    <x v="0"/>
    <x v="218"/>
    <x v="0"/>
    <x v="0"/>
    <x v="218"/>
    <x v="0"/>
    <x v="0"/>
    <x v="172"/>
    <x v="0"/>
    <x v="178"/>
    <x v="1"/>
    <x v="237"/>
    <x v="0"/>
    <x v="0"/>
    <x v="1"/>
    <x v="2"/>
    <x v="21"/>
    <x v="270"/>
    <x v="270"/>
    <x v="0"/>
    <x v="0"/>
    <x v="0"/>
    <x v="218"/>
    <x v="0"/>
    <x v="0"/>
    <x v="0"/>
    <x v="0"/>
    <x v="178"/>
    <x v="0"/>
    <x v="0"/>
    <x v="0"/>
    <x v="17"/>
    <x v="0"/>
    <x v="73"/>
    <x v="73"/>
    <x v="167"/>
    <x v="0"/>
    <x v="0"/>
    <x v="0"/>
    <x v="0"/>
    <x v="224"/>
    <x v="17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5"/>
    <x v="151"/>
    <x v="0"/>
    <x v="0"/>
    <x v="0"/>
    <x v="0"/>
    <x v="0"/>
    <x v="0"/>
  </r>
  <r>
    <x v="0"/>
    <x v="271"/>
    <x v="0"/>
    <x v="18"/>
    <x v="0"/>
    <x v="0"/>
    <x v="0"/>
    <x v="218"/>
    <x v="230"/>
    <x v="0"/>
    <x v="0"/>
    <x v="0"/>
    <x v="1"/>
    <x v="0"/>
    <x v="0"/>
    <x v="218"/>
    <x v="2"/>
    <x v="0"/>
    <x v="0"/>
    <x v="0"/>
    <x v="218"/>
    <x v="230"/>
    <x v="0"/>
    <x v="0"/>
    <x v="0"/>
    <x v="0"/>
    <x v="0"/>
    <x v="2"/>
    <x v="0"/>
    <x v="0"/>
    <x v="0"/>
    <x v="168"/>
    <x v="219"/>
    <x v="0"/>
    <x v="218"/>
    <x v="219"/>
    <x v="1"/>
    <x v="0"/>
    <x v="238"/>
    <x v="2"/>
    <x v="0"/>
    <x v="2"/>
    <x v="0"/>
    <x v="0"/>
    <x v="1"/>
    <x v="0"/>
    <x v="0"/>
    <x v="0"/>
    <x v="0"/>
    <x v="219"/>
    <x v="0"/>
    <x v="2"/>
    <x v="219"/>
    <x v="0"/>
    <x v="0"/>
    <x v="173"/>
    <x v="0"/>
    <x v="179"/>
    <x v="1"/>
    <x v="238"/>
    <x v="0"/>
    <x v="1"/>
    <x v="2"/>
    <x v="2"/>
    <x v="21"/>
    <x v="271"/>
    <x v="271"/>
    <x v="0"/>
    <x v="0"/>
    <x v="0"/>
    <x v="219"/>
    <x v="0"/>
    <x v="0"/>
    <x v="0"/>
    <x v="0"/>
    <x v="179"/>
    <x v="0"/>
    <x v="0"/>
    <x v="0"/>
    <x v="17"/>
    <x v="0"/>
    <x v="19"/>
    <x v="19"/>
    <x v="168"/>
    <x v="0"/>
    <x v="0"/>
    <x v="0"/>
    <x v="0"/>
    <x v="225"/>
    <x v="17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75"/>
    <x v="152"/>
    <x v="0"/>
    <x v="0"/>
    <x v="0"/>
    <x v="0"/>
    <x v="0"/>
    <x v="112"/>
  </r>
  <r>
    <x v="0"/>
    <x v="272"/>
    <x v="0"/>
    <x v="18"/>
    <x v="0"/>
    <x v="0"/>
    <x v="0"/>
    <x v="219"/>
    <x v="231"/>
    <x v="0"/>
    <x v="0"/>
    <x v="0"/>
    <x v="4"/>
    <x v="0"/>
    <x v="0"/>
    <x v="219"/>
    <x v="4"/>
    <x v="0"/>
    <x v="0"/>
    <x v="0"/>
    <x v="219"/>
    <x v="231"/>
    <x v="0"/>
    <x v="0"/>
    <x v="0"/>
    <x v="0"/>
    <x v="0"/>
    <x v="0"/>
    <x v="0"/>
    <x v="0"/>
    <x v="0"/>
    <x v="169"/>
    <x v="220"/>
    <x v="0"/>
    <x v="219"/>
    <x v="220"/>
    <x v="1"/>
    <x v="0"/>
    <x v="239"/>
    <x v="2"/>
    <x v="0"/>
    <x v="2"/>
    <x v="0"/>
    <x v="0"/>
    <x v="4"/>
    <x v="0"/>
    <x v="0"/>
    <x v="0"/>
    <x v="0"/>
    <x v="220"/>
    <x v="0"/>
    <x v="2"/>
    <x v="220"/>
    <x v="0"/>
    <x v="0"/>
    <x v="174"/>
    <x v="0"/>
    <x v="180"/>
    <x v="1"/>
    <x v="239"/>
    <x v="0"/>
    <x v="4"/>
    <x v="10"/>
    <x v="2"/>
    <x v="21"/>
    <x v="272"/>
    <x v="272"/>
    <x v="0"/>
    <x v="0"/>
    <x v="0"/>
    <x v="220"/>
    <x v="0"/>
    <x v="0"/>
    <x v="0"/>
    <x v="0"/>
    <x v="180"/>
    <x v="0"/>
    <x v="0"/>
    <x v="0"/>
    <x v="17"/>
    <x v="0"/>
    <x v="42"/>
    <x v="42"/>
    <x v="169"/>
    <x v="0"/>
    <x v="0"/>
    <x v="0"/>
    <x v="0"/>
    <x v="226"/>
    <x v="18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76"/>
    <x v="153"/>
    <x v="0"/>
    <x v="0"/>
    <x v="0"/>
    <x v="0"/>
    <x v="0"/>
    <x v="113"/>
  </r>
  <r>
    <x v="1"/>
    <x v="273"/>
    <x v="0"/>
    <x v="18"/>
    <x v="0"/>
    <x v="0"/>
    <x v="0"/>
    <x v="79"/>
    <x v="80"/>
    <x v="0"/>
    <x v="0"/>
    <x v="0"/>
    <x v="16"/>
    <x v="0"/>
    <x v="0"/>
    <x v="79"/>
    <x v="9"/>
    <x v="0"/>
    <x v="0"/>
    <x v="0"/>
    <x v="79"/>
    <x v="80"/>
    <x v="0"/>
    <x v="3"/>
    <x v="0"/>
    <x v="0"/>
    <x v="0"/>
    <x v="0"/>
    <x v="1"/>
    <x v="1"/>
    <x v="0"/>
    <x v="4"/>
    <x v="81"/>
    <x v="0"/>
    <x v="79"/>
    <x v="81"/>
    <x v="1"/>
    <x v="0"/>
    <x v="82"/>
    <x v="0"/>
    <x v="0"/>
    <x v="0"/>
    <x v="0"/>
    <x v="0"/>
    <x v="16"/>
    <x v="0"/>
    <x v="0"/>
    <x v="0"/>
    <x v="0"/>
    <x v="81"/>
    <x v="0"/>
    <x v="0"/>
    <x v="81"/>
    <x v="0"/>
    <x v="0"/>
    <x v="6"/>
    <x v="1"/>
    <x v="7"/>
    <x v="1"/>
    <x v="82"/>
    <x v="0"/>
    <x v="0"/>
    <x v="1"/>
    <x v="2"/>
    <x v="21"/>
    <x v="273"/>
    <x v="273"/>
    <x v="0"/>
    <x v="0"/>
    <x v="0"/>
    <x v="81"/>
    <x v="0"/>
    <x v="0"/>
    <x v="0"/>
    <x v="0"/>
    <x v="7"/>
    <x v="0"/>
    <x v="0"/>
    <x v="0"/>
    <x v="17"/>
    <x v="0"/>
    <x v="3"/>
    <x v="3"/>
    <x v="4"/>
    <x v="1"/>
    <x v="0"/>
    <x v="0"/>
    <x v="0"/>
    <x v="227"/>
    <x v="7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274"/>
    <x v="2"/>
    <x v="18"/>
    <x v="0"/>
    <x v="0"/>
    <x v="0"/>
    <x v="220"/>
    <x v="232"/>
    <x v="0"/>
    <x v="0"/>
    <x v="0"/>
    <x v="5"/>
    <x v="3"/>
    <x v="0"/>
    <x v="220"/>
    <x v="5"/>
    <x v="0"/>
    <x v="0"/>
    <x v="0"/>
    <x v="220"/>
    <x v="232"/>
    <x v="0"/>
    <x v="3"/>
    <x v="0"/>
    <x v="0"/>
    <x v="0"/>
    <x v="3"/>
    <x v="0"/>
    <x v="0"/>
    <x v="0"/>
    <x v="170"/>
    <x v="221"/>
    <x v="0"/>
    <x v="220"/>
    <x v="221"/>
    <x v="1"/>
    <x v="0"/>
    <x v="240"/>
    <x v="4"/>
    <x v="0"/>
    <x v="4"/>
    <x v="0"/>
    <x v="0"/>
    <x v="5"/>
    <x v="0"/>
    <x v="0"/>
    <x v="0"/>
    <x v="0"/>
    <x v="221"/>
    <x v="0"/>
    <x v="4"/>
    <x v="221"/>
    <x v="0"/>
    <x v="0"/>
    <x v="175"/>
    <x v="1"/>
    <x v="7"/>
    <x v="1"/>
    <x v="240"/>
    <x v="0"/>
    <x v="6"/>
    <x v="4"/>
    <x v="2"/>
    <x v="21"/>
    <x v="274"/>
    <x v="274"/>
    <x v="0"/>
    <x v="0"/>
    <x v="0"/>
    <x v="221"/>
    <x v="0"/>
    <x v="0"/>
    <x v="0"/>
    <x v="0"/>
    <x v="7"/>
    <x v="0"/>
    <x v="0"/>
    <x v="0"/>
    <x v="17"/>
    <x v="0"/>
    <x v="6"/>
    <x v="6"/>
    <x v="170"/>
    <x v="0"/>
    <x v="0"/>
    <x v="0"/>
    <x v="0"/>
    <x v="228"/>
    <x v="7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171"/>
    <x v="147"/>
    <x v="3"/>
    <x v="0"/>
    <x v="0"/>
    <x v="0"/>
    <x v="0"/>
    <x v="114"/>
  </r>
  <r>
    <x v="0"/>
    <x v="275"/>
    <x v="2"/>
    <x v="18"/>
    <x v="0"/>
    <x v="0"/>
    <x v="0"/>
    <x v="221"/>
    <x v="233"/>
    <x v="0"/>
    <x v="0"/>
    <x v="0"/>
    <x v="5"/>
    <x v="3"/>
    <x v="0"/>
    <x v="221"/>
    <x v="5"/>
    <x v="0"/>
    <x v="0"/>
    <x v="0"/>
    <x v="221"/>
    <x v="233"/>
    <x v="0"/>
    <x v="3"/>
    <x v="0"/>
    <x v="0"/>
    <x v="0"/>
    <x v="0"/>
    <x v="0"/>
    <x v="0"/>
    <x v="0"/>
    <x v="170"/>
    <x v="222"/>
    <x v="0"/>
    <x v="221"/>
    <x v="222"/>
    <x v="1"/>
    <x v="0"/>
    <x v="241"/>
    <x v="4"/>
    <x v="0"/>
    <x v="4"/>
    <x v="0"/>
    <x v="0"/>
    <x v="5"/>
    <x v="0"/>
    <x v="0"/>
    <x v="0"/>
    <x v="0"/>
    <x v="222"/>
    <x v="0"/>
    <x v="4"/>
    <x v="222"/>
    <x v="0"/>
    <x v="0"/>
    <x v="176"/>
    <x v="1"/>
    <x v="7"/>
    <x v="1"/>
    <x v="241"/>
    <x v="0"/>
    <x v="6"/>
    <x v="4"/>
    <x v="2"/>
    <x v="21"/>
    <x v="275"/>
    <x v="275"/>
    <x v="0"/>
    <x v="0"/>
    <x v="0"/>
    <x v="222"/>
    <x v="0"/>
    <x v="0"/>
    <x v="0"/>
    <x v="0"/>
    <x v="7"/>
    <x v="0"/>
    <x v="0"/>
    <x v="0"/>
    <x v="17"/>
    <x v="0"/>
    <x v="6"/>
    <x v="6"/>
    <x v="170"/>
    <x v="0"/>
    <x v="0"/>
    <x v="0"/>
    <x v="0"/>
    <x v="229"/>
    <x v="7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171"/>
    <x v="147"/>
    <x v="3"/>
    <x v="0"/>
    <x v="0"/>
    <x v="0"/>
    <x v="0"/>
    <x v="114"/>
  </r>
  <r>
    <x v="0"/>
    <x v="276"/>
    <x v="2"/>
    <x v="18"/>
    <x v="0"/>
    <x v="0"/>
    <x v="0"/>
    <x v="222"/>
    <x v="234"/>
    <x v="0"/>
    <x v="0"/>
    <x v="0"/>
    <x v="5"/>
    <x v="3"/>
    <x v="0"/>
    <x v="222"/>
    <x v="5"/>
    <x v="0"/>
    <x v="0"/>
    <x v="0"/>
    <x v="222"/>
    <x v="234"/>
    <x v="0"/>
    <x v="0"/>
    <x v="0"/>
    <x v="0"/>
    <x v="0"/>
    <x v="0"/>
    <x v="0"/>
    <x v="0"/>
    <x v="0"/>
    <x v="171"/>
    <x v="223"/>
    <x v="0"/>
    <x v="222"/>
    <x v="223"/>
    <x v="1"/>
    <x v="0"/>
    <x v="242"/>
    <x v="0"/>
    <x v="0"/>
    <x v="0"/>
    <x v="0"/>
    <x v="0"/>
    <x v="5"/>
    <x v="0"/>
    <x v="0"/>
    <x v="0"/>
    <x v="0"/>
    <x v="223"/>
    <x v="0"/>
    <x v="0"/>
    <x v="223"/>
    <x v="0"/>
    <x v="0"/>
    <x v="177"/>
    <x v="0"/>
    <x v="181"/>
    <x v="1"/>
    <x v="242"/>
    <x v="0"/>
    <x v="5"/>
    <x v="0"/>
    <x v="0"/>
    <x v="21"/>
    <x v="276"/>
    <x v="276"/>
    <x v="0"/>
    <x v="0"/>
    <x v="0"/>
    <x v="223"/>
    <x v="0"/>
    <x v="0"/>
    <x v="0"/>
    <x v="0"/>
    <x v="181"/>
    <x v="0"/>
    <x v="0"/>
    <x v="0"/>
    <x v="17"/>
    <x v="0"/>
    <x v="74"/>
    <x v="74"/>
    <x v="171"/>
    <x v="0"/>
    <x v="0"/>
    <x v="0"/>
    <x v="0"/>
    <x v="230"/>
    <x v="181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177"/>
    <x v="154"/>
    <x v="0"/>
    <x v="0"/>
    <x v="0"/>
    <x v="0"/>
    <x v="0"/>
    <x v="0"/>
  </r>
  <r>
    <x v="0"/>
    <x v="277"/>
    <x v="0"/>
    <x v="18"/>
    <x v="0"/>
    <x v="0"/>
    <x v="0"/>
    <x v="223"/>
    <x v="235"/>
    <x v="0"/>
    <x v="0"/>
    <x v="0"/>
    <x v="0"/>
    <x v="0"/>
    <x v="0"/>
    <x v="223"/>
    <x v="0"/>
    <x v="0"/>
    <x v="0"/>
    <x v="0"/>
    <x v="223"/>
    <x v="235"/>
    <x v="0"/>
    <x v="0"/>
    <x v="0"/>
    <x v="0"/>
    <x v="0"/>
    <x v="0"/>
    <x v="0"/>
    <x v="0"/>
    <x v="0"/>
    <x v="172"/>
    <x v="224"/>
    <x v="0"/>
    <x v="223"/>
    <x v="224"/>
    <x v="1"/>
    <x v="0"/>
    <x v="243"/>
    <x v="2"/>
    <x v="0"/>
    <x v="2"/>
    <x v="0"/>
    <x v="0"/>
    <x v="0"/>
    <x v="0"/>
    <x v="0"/>
    <x v="0"/>
    <x v="0"/>
    <x v="224"/>
    <x v="0"/>
    <x v="2"/>
    <x v="224"/>
    <x v="0"/>
    <x v="0"/>
    <x v="178"/>
    <x v="0"/>
    <x v="182"/>
    <x v="1"/>
    <x v="243"/>
    <x v="0"/>
    <x v="0"/>
    <x v="1"/>
    <x v="2"/>
    <x v="21"/>
    <x v="277"/>
    <x v="277"/>
    <x v="0"/>
    <x v="0"/>
    <x v="0"/>
    <x v="224"/>
    <x v="0"/>
    <x v="0"/>
    <x v="0"/>
    <x v="0"/>
    <x v="182"/>
    <x v="0"/>
    <x v="0"/>
    <x v="0"/>
    <x v="17"/>
    <x v="0"/>
    <x v="22"/>
    <x v="22"/>
    <x v="172"/>
    <x v="0"/>
    <x v="0"/>
    <x v="0"/>
    <x v="0"/>
    <x v="231"/>
    <x v="1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8"/>
    <x v="155"/>
    <x v="0"/>
    <x v="0"/>
    <x v="0"/>
    <x v="0"/>
    <x v="0"/>
    <x v="115"/>
  </r>
  <r>
    <x v="0"/>
    <x v="278"/>
    <x v="0"/>
    <x v="18"/>
    <x v="0"/>
    <x v="0"/>
    <x v="0"/>
    <x v="129"/>
    <x v="133"/>
    <x v="0"/>
    <x v="0"/>
    <x v="0"/>
    <x v="8"/>
    <x v="0"/>
    <x v="0"/>
    <x v="129"/>
    <x v="8"/>
    <x v="0"/>
    <x v="0"/>
    <x v="0"/>
    <x v="129"/>
    <x v="133"/>
    <x v="0"/>
    <x v="0"/>
    <x v="0"/>
    <x v="0"/>
    <x v="0"/>
    <x v="0"/>
    <x v="0"/>
    <x v="0"/>
    <x v="0"/>
    <x v="173"/>
    <x v="132"/>
    <x v="0"/>
    <x v="129"/>
    <x v="132"/>
    <x v="1"/>
    <x v="0"/>
    <x v="142"/>
    <x v="2"/>
    <x v="0"/>
    <x v="2"/>
    <x v="0"/>
    <x v="0"/>
    <x v="8"/>
    <x v="0"/>
    <x v="0"/>
    <x v="0"/>
    <x v="0"/>
    <x v="132"/>
    <x v="0"/>
    <x v="2"/>
    <x v="132"/>
    <x v="0"/>
    <x v="0"/>
    <x v="108"/>
    <x v="0"/>
    <x v="108"/>
    <x v="1"/>
    <x v="142"/>
    <x v="0"/>
    <x v="7"/>
    <x v="5"/>
    <x v="2"/>
    <x v="21"/>
    <x v="278"/>
    <x v="278"/>
    <x v="0"/>
    <x v="0"/>
    <x v="0"/>
    <x v="132"/>
    <x v="0"/>
    <x v="0"/>
    <x v="0"/>
    <x v="0"/>
    <x v="108"/>
    <x v="0"/>
    <x v="0"/>
    <x v="0"/>
    <x v="17"/>
    <x v="0"/>
    <x v="6"/>
    <x v="6"/>
    <x v="173"/>
    <x v="0"/>
    <x v="0"/>
    <x v="0"/>
    <x v="0"/>
    <x v="232"/>
    <x v="108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179"/>
    <x v="156"/>
    <x v="0"/>
    <x v="0"/>
    <x v="0"/>
    <x v="0"/>
    <x v="0"/>
    <x v="116"/>
  </r>
  <r>
    <x v="1"/>
    <x v="279"/>
    <x v="0"/>
    <x v="21"/>
    <x v="0"/>
    <x v="0"/>
    <x v="0"/>
    <x v="224"/>
    <x v="236"/>
    <x v="0"/>
    <x v="0"/>
    <x v="0"/>
    <x v="2"/>
    <x v="1"/>
    <x v="0"/>
    <x v="224"/>
    <x v="3"/>
    <x v="0"/>
    <x v="0"/>
    <x v="0"/>
    <x v="224"/>
    <x v="236"/>
    <x v="0"/>
    <x v="3"/>
    <x v="0"/>
    <x v="0"/>
    <x v="0"/>
    <x v="0"/>
    <x v="1"/>
    <x v="1"/>
    <x v="0"/>
    <x v="4"/>
    <x v="6"/>
    <x v="0"/>
    <x v="224"/>
    <x v="6"/>
    <x v="36"/>
    <x v="0"/>
    <x v="93"/>
    <x v="0"/>
    <x v="0"/>
    <x v="0"/>
    <x v="0"/>
    <x v="0"/>
    <x v="2"/>
    <x v="0"/>
    <x v="0"/>
    <x v="0"/>
    <x v="0"/>
    <x v="6"/>
    <x v="0"/>
    <x v="0"/>
    <x v="6"/>
    <x v="114"/>
    <x v="0"/>
    <x v="6"/>
    <x v="1"/>
    <x v="7"/>
    <x v="36"/>
    <x v="93"/>
    <x v="0"/>
    <x v="2"/>
    <x v="0"/>
    <x v="0"/>
    <x v="21"/>
    <x v="279"/>
    <x v="279"/>
    <x v="0"/>
    <x v="0"/>
    <x v="0"/>
    <x v="6"/>
    <x v="0"/>
    <x v="0"/>
    <x v="0"/>
    <x v="0"/>
    <x v="7"/>
    <x v="0"/>
    <x v="0"/>
    <x v="0"/>
    <x v="20"/>
    <x v="0"/>
    <x v="3"/>
    <x v="3"/>
    <x v="4"/>
    <x v="1"/>
    <x v="0"/>
    <x v="0"/>
    <x v="0"/>
    <x v="233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0"/>
    <x v="4"/>
    <x v="0"/>
    <x v="0"/>
    <x v="0"/>
    <x v="0"/>
    <x v="0"/>
    <x v="117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15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16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40"/>
    <x v="0"/>
    <x v="97"/>
    <x v="0"/>
    <x v="1"/>
    <x v="0"/>
    <x v="1"/>
    <x v="0"/>
    <x v="3"/>
    <x v="0"/>
    <x v="0"/>
    <x v="0"/>
    <x v="0"/>
    <x v="7"/>
    <x v="1"/>
    <x v="0"/>
    <x v="7"/>
    <x v="117"/>
    <x v="0"/>
    <x v="6"/>
    <x v="1"/>
    <x v="7"/>
    <x v="40"/>
    <x v="9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2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7"/>
    <x v="0"/>
    <x v="7"/>
    <x v="37"/>
    <x v="81"/>
    <x v="0"/>
    <x v="244"/>
    <x v="0"/>
    <x v="1"/>
    <x v="0"/>
    <x v="1"/>
    <x v="0"/>
    <x v="3"/>
    <x v="0"/>
    <x v="0"/>
    <x v="0"/>
    <x v="0"/>
    <x v="37"/>
    <x v="1"/>
    <x v="0"/>
    <x v="37"/>
    <x v="118"/>
    <x v="0"/>
    <x v="6"/>
    <x v="1"/>
    <x v="7"/>
    <x v="81"/>
    <x v="244"/>
    <x v="1"/>
    <x v="3"/>
    <x v="3"/>
    <x v="1"/>
    <x v="1"/>
    <x v="9"/>
    <x v="9"/>
    <x v="0"/>
    <x v="0"/>
    <x v="1"/>
    <x v="37"/>
    <x v="0"/>
    <x v="0"/>
    <x v="0"/>
    <x v="1"/>
    <x v="7"/>
    <x v="0"/>
    <x v="1"/>
    <x v="1"/>
    <x v="2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119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2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40"/>
    <x v="0"/>
    <x v="97"/>
    <x v="0"/>
    <x v="1"/>
    <x v="0"/>
    <x v="1"/>
    <x v="0"/>
    <x v="3"/>
    <x v="0"/>
    <x v="0"/>
    <x v="0"/>
    <x v="0"/>
    <x v="7"/>
    <x v="1"/>
    <x v="0"/>
    <x v="7"/>
    <x v="120"/>
    <x v="0"/>
    <x v="6"/>
    <x v="1"/>
    <x v="7"/>
    <x v="40"/>
    <x v="9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2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21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22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23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280"/>
    <x v="0"/>
    <x v="18"/>
    <x v="0"/>
    <x v="0"/>
    <x v="0"/>
    <x v="225"/>
    <x v="237"/>
    <x v="0"/>
    <x v="0"/>
    <x v="0"/>
    <x v="2"/>
    <x v="1"/>
    <x v="0"/>
    <x v="225"/>
    <x v="3"/>
    <x v="0"/>
    <x v="0"/>
    <x v="0"/>
    <x v="225"/>
    <x v="237"/>
    <x v="0"/>
    <x v="3"/>
    <x v="0"/>
    <x v="0"/>
    <x v="0"/>
    <x v="0"/>
    <x v="1"/>
    <x v="1"/>
    <x v="0"/>
    <x v="4"/>
    <x v="6"/>
    <x v="0"/>
    <x v="7"/>
    <x v="6"/>
    <x v="36"/>
    <x v="0"/>
    <x v="93"/>
    <x v="0"/>
    <x v="0"/>
    <x v="0"/>
    <x v="0"/>
    <x v="0"/>
    <x v="2"/>
    <x v="0"/>
    <x v="0"/>
    <x v="0"/>
    <x v="0"/>
    <x v="6"/>
    <x v="0"/>
    <x v="0"/>
    <x v="6"/>
    <x v="124"/>
    <x v="0"/>
    <x v="6"/>
    <x v="1"/>
    <x v="7"/>
    <x v="36"/>
    <x v="93"/>
    <x v="0"/>
    <x v="2"/>
    <x v="0"/>
    <x v="0"/>
    <x v="21"/>
    <x v="280"/>
    <x v="280"/>
    <x v="0"/>
    <x v="0"/>
    <x v="0"/>
    <x v="6"/>
    <x v="0"/>
    <x v="0"/>
    <x v="0"/>
    <x v="0"/>
    <x v="7"/>
    <x v="0"/>
    <x v="0"/>
    <x v="0"/>
    <x v="17"/>
    <x v="0"/>
    <x v="3"/>
    <x v="3"/>
    <x v="4"/>
    <x v="1"/>
    <x v="0"/>
    <x v="0"/>
    <x v="0"/>
    <x v="234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1"/>
    <x v="4"/>
    <x v="0"/>
    <x v="0"/>
    <x v="0"/>
    <x v="0"/>
    <x v="0"/>
    <x v="118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25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26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127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1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28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1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281"/>
    <x v="0"/>
    <x v="18"/>
    <x v="0"/>
    <x v="0"/>
    <x v="0"/>
    <x v="226"/>
    <x v="238"/>
    <x v="0"/>
    <x v="0"/>
    <x v="0"/>
    <x v="12"/>
    <x v="0"/>
    <x v="0"/>
    <x v="226"/>
    <x v="18"/>
    <x v="0"/>
    <x v="0"/>
    <x v="0"/>
    <x v="226"/>
    <x v="238"/>
    <x v="0"/>
    <x v="0"/>
    <x v="0"/>
    <x v="0"/>
    <x v="0"/>
    <x v="0"/>
    <x v="0"/>
    <x v="0"/>
    <x v="0"/>
    <x v="174"/>
    <x v="225"/>
    <x v="0"/>
    <x v="225"/>
    <x v="225"/>
    <x v="1"/>
    <x v="0"/>
    <x v="245"/>
    <x v="7"/>
    <x v="0"/>
    <x v="7"/>
    <x v="0"/>
    <x v="0"/>
    <x v="12"/>
    <x v="0"/>
    <x v="0"/>
    <x v="0"/>
    <x v="0"/>
    <x v="225"/>
    <x v="0"/>
    <x v="7"/>
    <x v="225"/>
    <x v="0"/>
    <x v="0"/>
    <x v="179"/>
    <x v="0"/>
    <x v="183"/>
    <x v="1"/>
    <x v="245"/>
    <x v="0"/>
    <x v="0"/>
    <x v="1"/>
    <x v="2"/>
    <x v="21"/>
    <x v="281"/>
    <x v="281"/>
    <x v="0"/>
    <x v="0"/>
    <x v="0"/>
    <x v="225"/>
    <x v="0"/>
    <x v="0"/>
    <x v="0"/>
    <x v="0"/>
    <x v="183"/>
    <x v="0"/>
    <x v="0"/>
    <x v="0"/>
    <x v="17"/>
    <x v="0"/>
    <x v="75"/>
    <x v="75"/>
    <x v="174"/>
    <x v="0"/>
    <x v="0"/>
    <x v="0"/>
    <x v="0"/>
    <x v="235"/>
    <x v="18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2"/>
    <x v="157"/>
    <x v="0"/>
    <x v="0"/>
    <x v="0"/>
    <x v="0"/>
    <x v="0"/>
    <x v="0"/>
  </r>
  <r>
    <x v="0"/>
    <x v="282"/>
    <x v="0"/>
    <x v="21"/>
    <x v="0"/>
    <x v="0"/>
    <x v="0"/>
    <x v="227"/>
    <x v="239"/>
    <x v="0"/>
    <x v="0"/>
    <x v="0"/>
    <x v="1"/>
    <x v="0"/>
    <x v="0"/>
    <x v="227"/>
    <x v="2"/>
    <x v="0"/>
    <x v="0"/>
    <x v="0"/>
    <x v="227"/>
    <x v="239"/>
    <x v="0"/>
    <x v="0"/>
    <x v="0"/>
    <x v="0"/>
    <x v="0"/>
    <x v="0"/>
    <x v="0"/>
    <x v="0"/>
    <x v="0"/>
    <x v="175"/>
    <x v="226"/>
    <x v="0"/>
    <x v="226"/>
    <x v="226"/>
    <x v="82"/>
    <x v="0"/>
    <x v="246"/>
    <x v="0"/>
    <x v="0"/>
    <x v="0"/>
    <x v="0"/>
    <x v="0"/>
    <x v="1"/>
    <x v="0"/>
    <x v="0"/>
    <x v="0"/>
    <x v="0"/>
    <x v="226"/>
    <x v="0"/>
    <x v="0"/>
    <x v="226"/>
    <x v="0"/>
    <x v="0"/>
    <x v="180"/>
    <x v="0"/>
    <x v="184"/>
    <x v="82"/>
    <x v="246"/>
    <x v="0"/>
    <x v="1"/>
    <x v="0"/>
    <x v="2"/>
    <x v="21"/>
    <x v="282"/>
    <x v="282"/>
    <x v="0"/>
    <x v="0"/>
    <x v="0"/>
    <x v="226"/>
    <x v="0"/>
    <x v="0"/>
    <x v="0"/>
    <x v="0"/>
    <x v="184"/>
    <x v="0"/>
    <x v="0"/>
    <x v="0"/>
    <x v="20"/>
    <x v="0"/>
    <x v="76"/>
    <x v="76"/>
    <x v="175"/>
    <x v="0"/>
    <x v="0"/>
    <x v="0"/>
    <x v="0"/>
    <x v="236"/>
    <x v="18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3"/>
    <x v="158"/>
    <x v="0"/>
    <x v="0"/>
    <x v="0"/>
    <x v="0"/>
    <x v="0"/>
    <x v="0"/>
  </r>
  <r>
    <x v="0"/>
    <x v="283"/>
    <x v="0"/>
    <x v="21"/>
    <x v="0"/>
    <x v="0"/>
    <x v="0"/>
    <x v="166"/>
    <x v="240"/>
    <x v="0"/>
    <x v="0"/>
    <x v="0"/>
    <x v="1"/>
    <x v="0"/>
    <x v="0"/>
    <x v="166"/>
    <x v="2"/>
    <x v="0"/>
    <x v="0"/>
    <x v="0"/>
    <x v="166"/>
    <x v="240"/>
    <x v="0"/>
    <x v="0"/>
    <x v="0"/>
    <x v="0"/>
    <x v="0"/>
    <x v="0"/>
    <x v="0"/>
    <x v="0"/>
    <x v="0"/>
    <x v="175"/>
    <x v="169"/>
    <x v="0"/>
    <x v="166"/>
    <x v="169"/>
    <x v="1"/>
    <x v="0"/>
    <x v="247"/>
    <x v="1"/>
    <x v="0"/>
    <x v="1"/>
    <x v="0"/>
    <x v="0"/>
    <x v="1"/>
    <x v="0"/>
    <x v="0"/>
    <x v="0"/>
    <x v="0"/>
    <x v="169"/>
    <x v="0"/>
    <x v="1"/>
    <x v="169"/>
    <x v="0"/>
    <x v="0"/>
    <x v="136"/>
    <x v="0"/>
    <x v="140"/>
    <x v="1"/>
    <x v="247"/>
    <x v="0"/>
    <x v="1"/>
    <x v="2"/>
    <x v="2"/>
    <x v="21"/>
    <x v="283"/>
    <x v="283"/>
    <x v="0"/>
    <x v="0"/>
    <x v="0"/>
    <x v="169"/>
    <x v="0"/>
    <x v="0"/>
    <x v="0"/>
    <x v="0"/>
    <x v="140"/>
    <x v="0"/>
    <x v="0"/>
    <x v="0"/>
    <x v="20"/>
    <x v="0"/>
    <x v="76"/>
    <x v="76"/>
    <x v="175"/>
    <x v="0"/>
    <x v="0"/>
    <x v="0"/>
    <x v="0"/>
    <x v="236"/>
    <x v="14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3"/>
    <x v="158"/>
    <x v="0"/>
    <x v="0"/>
    <x v="0"/>
    <x v="0"/>
    <x v="0"/>
    <x v="0"/>
  </r>
  <r>
    <x v="0"/>
    <x v="284"/>
    <x v="0"/>
    <x v="18"/>
    <x v="0"/>
    <x v="0"/>
    <x v="0"/>
    <x v="228"/>
    <x v="241"/>
    <x v="0"/>
    <x v="0"/>
    <x v="0"/>
    <x v="1"/>
    <x v="0"/>
    <x v="0"/>
    <x v="228"/>
    <x v="2"/>
    <x v="0"/>
    <x v="0"/>
    <x v="0"/>
    <x v="228"/>
    <x v="241"/>
    <x v="0"/>
    <x v="0"/>
    <x v="0"/>
    <x v="0"/>
    <x v="0"/>
    <x v="0"/>
    <x v="0"/>
    <x v="0"/>
    <x v="0"/>
    <x v="176"/>
    <x v="227"/>
    <x v="0"/>
    <x v="227"/>
    <x v="227"/>
    <x v="1"/>
    <x v="0"/>
    <x v="248"/>
    <x v="2"/>
    <x v="0"/>
    <x v="2"/>
    <x v="0"/>
    <x v="0"/>
    <x v="1"/>
    <x v="0"/>
    <x v="0"/>
    <x v="0"/>
    <x v="0"/>
    <x v="227"/>
    <x v="0"/>
    <x v="2"/>
    <x v="227"/>
    <x v="0"/>
    <x v="0"/>
    <x v="181"/>
    <x v="0"/>
    <x v="185"/>
    <x v="1"/>
    <x v="248"/>
    <x v="0"/>
    <x v="1"/>
    <x v="2"/>
    <x v="2"/>
    <x v="21"/>
    <x v="284"/>
    <x v="284"/>
    <x v="0"/>
    <x v="0"/>
    <x v="0"/>
    <x v="227"/>
    <x v="0"/>
    <x v="0"/>
    <x v="0"/>
    <x v="0"/>
    <x v="185"/>
    <x v="0"/>
    <x v="0"/>
    <x v="0"/>
    <x v="17"/>
    <x v="0"/>
    <x v="45"/>
    <x v="45"/>
    <x v="176"/>
    <x v="0"/>
    <x v="0"/>
    <x v="0"/>
    <x v="0"/>
    <x v="237"/>
    <x v="18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3"/>
    <x v="158"/>
    <x v="0"/>
    <x v="0"/>
    <x v="0"/>
    <x v="0"/>
    <x v="0"/>
    <x v="119"/>
  </r>
  <r>
    <x v="0"/>
    <x v="285"/>
    <x v="0"/>
    <x v="21"/>
    <x v="0"/>
    <x v="0"/>
    <x v="0"/>
    <x v="229"/>
    <x v="242"/>
    <x v="0"/>
    <x v="0"/>
    <x v="0"/>
    <x v="1"/>
    <x v="0"/>
    <x v="0"/>
    <x v="229"/>
    <x v="2"/>
    <x v="0"/>
    <x v="0"/>
    <x v="0"/>
    <x v="229"/>
    <x v="242"/>
    <x v="0"/>
    <x v="0"/>
    <x v="0"/>
    <x v="0"/>
    <x v="0"/>
    <x v="0"/>
    <x v="0"/>
    <x v="0"/>
    <x v="0"/>
    <x v="177"/>
    <x v="75"/>
    <x v="0"/>
    <x v="228"/>
    <x v="75"/>
    <x v="83"/>
    <x v="0"/>
    <x v="249"/>
    <x v="0"/>
    <x v="0"/>
    <x v="0"/>
    <x v="0"/>
    <x v="0"/>
    <x v="1"/>
    <x v="0"/>
    <x v="0"/>
    <x v="0"/>
    <x v="0"/>
    <x v="75"/>
    <x v="0"/>
    <x v="0"/>
    <x v="75"/>
    <x v="0"/>
    <x v="0"/>
    <x v="59"/>
    <x v="0"/>
    <x v="58"/>
    <x v="83"/>
    <x v="249"/>
    <x v="0"/>
    <x v="1"/>
    <x v="0"/>
    <x v="0"/>
    <x v="21"/>
    <x v="285"/>
    <x v="285"/>
    <x v="0"/>
    <x v="0"/>
    <x v="0"/>
    <x v="75"/>
    <x v="0"/>
    <x v="0"/>
    <x v="0"/>
    <x v="0"/>
    <x v="58"/>
    <x v="0"/>
    <x v="0"/>
    <x v="0"/>
    <x v="20"/>
    <x v="0"/>
    <x v="33"/>
    <x v="33"/>
    <x v="177"/>
    <x v="0"/>
    <x v="0"/>
    <x v="0"/>
    <x v="0"/>
    <x v="238"/>
    <x v="5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4"/>
    <x v="159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178"/>
    <x v="228"/>
    <x v="0"/>
    <x v="7"/>
    <x v="228"/>
    <x v="84"/>
    <x v="0"/>
    <x v="250"/>
    <x v="0"/>
    <x v="1"/>
    <x v="0"/>
    <x v="1"/>
    <x v="0"/>
    <x v="3"/>
    <x v="0"/>
    <x v="0"/>
    <x v="0"/>
    <x v="0"/>
    <x v="228"/>
    <x v="1"/>
    <x v="0"/>
    <x v="228"/>
    <x v="0"/>
    <x v="0"/>
    <x v="182"/>
    <x v="0"/>
    <x v="186"/>
    <x v="84"/>
    <x v="250"/>
    <x v="1"/>
    <x v="3"/>
    <x v="3"/>
    <x v="1"/>
    <x v="1"/>
    <x v="9"/>
    <x v="9"/>
    <x v="0"/>
    <x v="0"/>
    <x v="1"/>
    <x v="228"/>
    <x v="0"/>
    <x v="0"/>
    <x v="0"/>
    <x v="1"/>
    <x v="186"/>
    <x v="0"/>
    <x v="1"/>
    <x v="1"/>
    <x v="20"/>
    <x v="0"/>
    <x v="19"/>
    <x v="19"/>
    <x v="178"/>
    <x v="0"/>
    <x v="1"/>
    <x v="0"/>
    <x v="0"/>
    <x v="5"/>
    <x v="186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286"/>
    <x v="0"/>
    <x v="21"/>
    <x v="0"/>
    <x v="0"/>
    <x v="0"/>
    <x v="230"/>
    <x v="243"/>
    <x v="0"/>
    <x v="0"/>
    <x v="0"/>
    <x v="1"/>
    <x v="0"/>
    <x v="0"/>
    <x v="230"/>
    <x v="2"/>
    <x v="0"/>
    <x v="0"/>
    <x v="0"/>
    <x v="230"/>
    <x v="243"/>
    <x v="0"/>
    <x v="0"/>
    <x v="0"/>
    <x v="0"/>
    <x v="0"/>
    <x v="0"/>
    <x v="0"/>
    <x v="0"/>
    <x v="0"/>
    <x v="179"/>
    <x v="229"/>
    <x v="0"/>
    <x v="229"/>
    <x v="229"/>
    <x v="1"/>
    <x v="0"/>
    <x v="251"/>
    <x v="2"/>
    <x v="0"/>
    <x v="2"/>
    <x v="0"/>
    <x v="0"/>
    <x v="1"/>
    <x v="0"/>
    <x v="0"/>
    <x v="0"/>
    <x v="0"/>
    <x v="229"/>
    <x v="0"/>
    <x v="2"/>
    <x v="229"/>
    <x v="0"/>
    <x v="0"/>
    <x v="183"/>
    <x v="0"/>
    <x v="187"/>
    <x v="1"/>
    <x v="251"/>
    <x v="0"/>
    <x v="1"/>
    <x v="0"/>
    <x v="0"/>
    <x v="22"/>
    <x v="286"/>
    <x v="286"/>
    <x v="0"/>
    <x v="0"/>
    <x v="0"/>
    <x v="229"/>
    <x v="0"/>
    <x v="0"/>
    <x v="0"/>
    <x v="0"/>
    <x v="187"/>
    <x v="0"/>
    <x v="0"/>
    <x v="0"/>
    <x v="20"/>
    <x v="0"/>
    <x v="0"/>
    <x v="0"/>
    <x v="179"/>
    <x v="0"/>
    <x v="0"/>
    <x v="0"/>
    <x v="0"/>
    <x v="239"/>
    <x v="18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5"/>
    <x v="160"/>
    <x v="0"/>
    <x v="0"/>
    <x v="0"/>
    <x v="0"/>
    <x v="0"/>
    <x v="120"/>
  </r>
  <r>
    <x v="0"/>
    <x v="287"/>
    <x v="0"/>
    <x v="21"/>
    <x v="0"/>
    <x v="0"/>
    <x v="0"/>
    <x v="231"/>
    <x v="244"/>
    <x v="0"/>
    <x v="0"/>
    <x v="0"/>
    <x v="0"/>
    <x v="0"/>
    <x v="0"/>
    <x v="231"/>
    <x v="0"/>
    <x v="0"/>
    <x v="0"/>
    <x v="0"/>
    <x v="231"/>
    <x v="244"/>
    <x v="0"/>
    <x v="0"/>
    <x v="0"/>
    <x v="0"/>
    <x v="0"/>
    <x v="0"/>
    <x v="0"/>
    <x v="0"/>
    <x v="0"/>
    <x v="180"/>
    <x v="230"/>
    <x v="0"/>
    <x v="230"/>
    <x v="230"/>
    <x v="1"/>
    <x v="0"/>
    <x v="252"/>
    <x v="2"/>
    <x v="0"/>
    <x v="2"/>
    <x v="0"/>
    <x v="0"/>
    <x v="0"/>
    <x v="0"/>
    <x v="0"/>
    <x v="0"/>
    <x v="0"/>
    <x v="230"/>
    <x v="0"/>
    <x v="2"/>
    <x v="230"/>
    <x v="0"/>
    <x v="0"/>
    <x v="184"/>
    <x v="0"/>
    <x v="188"/>
    <x v="1"/>
    <x v="252"/>
    <x v="0"/>
    <x v="0"/>
    <x v="1"/>
    <x v="0"/>
    <x v="22"/>
    <x v="287"/>
    <x v="287"/>
    <x v="0"/>
    <x v="0"/>
    <x v="0"/>
    <x v="230"/>
    <x v="0"/>
    <x v="0"/>
    <x v="0"/>
    <x v="0"/>
    <x v="188"/>
    <x v="0"/>
    <x v="0"/>
    <x v="0"/>
    <x v="20"/>
    <x v="0"/>
    <x v="33"/>
    <x v="33"/>
    <x v="180"/>
    <x v="0"/>
    <x v="0"/>
    <x v="0"/>
    <x v="0"/>
    <x v="240"/>
    <x v="1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86"/>
    <x v="161"/>
    <x v="0"/>
    <x v="0"/>
    <x v="0"/>
    <x v="0"/>
    <x v="0"/>
    <x v="121"/>
  </r>
  <r>
    <x v="0"/>
    <x v="288"/>
    <x v="0"/>
    <x v="22"/>
    <x v="0"/>
    <x v="0"/>
    <x v="0"/>
    <x v="232"/>
    <x v="245"/>
    <x v="0"/>
    <x v="0"/>
    <x v="0"/>
    <x v="1"/>
    <x v="0"/>
    <x v="0"/>
    <x v="232"/>
    <x v="2"/>
    <x v="0"/>
    <x v="0"/>
    <x v="0"/>
    <x v="232"/>
    <x v="245"/>
    <x v="0"/>
    <x v="0"/>
    <x v="0"/>
    <x v="0"/>
    <x v="0"/>
    <x v="0"/>
    <x v="0"/>
    <x v="0"/>
    <x v="0"/>
    <x v="181"/>
    <x v="231"/>
    <x v="0"/>
    <x v="231"/>
    <x v="231"/>
    <x v="85"/>
    <x v="0"/>
    <x v="253"/>
    <x v="0"/>
    <x v="0"/>
    <x v="0"/>
    <x v="0"/>
    <x v="0"/>
    <x v="1"/>
    <x v="0"/>
    <x v="0"/>
    <x v="0"/>
    <x v="0"/>
    <x v="231"/>
    <x v="0"/>
    <x v="0"/>
    <x v="231"/>
    <x v="0"/>
    <x v="0"/>
    <x v="185"/>
    <x v="0"/>
    <x v="189"/>
    <x v="85"/>
    <x v="253"/>
    <x v="0"/>
    <x v="1"/>
    <x v="0"/>
    <x v="0"/>
    <x v="22"/>
    <x v="288"/>
    <x v="288"/>
    <x v="0"/>
    <x v="0"/>
    <x v="0"/>
    <x v="231"/>
    <x v="0"/>
    <x v="0"/>
    <x v="0"/>
    <x v="0"/>
    <x v="189"/>
    <x v="0"/>
    <x v="0"/>
    <x v="0"/>
    <x v="21"/>
    <x v="0"/>
    <x v="77"/>
    <x v="77"/>
    <x v="181"/>
    <x v="0"/>
    <x v="0"/>
    <x v="0"/>
    <x v="0"/>
    <x v="241"/>
    <x v="18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7"/>
    <x v="162"/>
    <x v="0"/>
    <x v="0"/>
    <x v="0"/>
    <x v="0"/>
    <x v="0"/>
    <x v="0"/>
  </r>
  <r>
    <x v="0"/>
    <x v="289"/>
    <x v="0"/>
    <x v="22"/>
    <x v="0"/>
    <x v="0"/>
    <x v="0"/>
    <x v="233"/>
    <x v="246"/>
    <x v="0"/>
    <x v="0"/>
    <x v="0"/>
    <x v="1"/>
    <x v="0"/>
    <x v="0"/>
    <x v="233"/>
    <x v="2"/>
    <x v="0"/>
    <x v="0"/>
    <x v="0"/>
    <x v="233"/>
    <x v="246"/>
    <x v="0"/>
    <x v="0"/>
    <x v="0"/>
    <x v="0"/>
    <x v="0"/>
    <x v="0"/>
    <x v="0"/>
    <x v="0"/>
    <x v="0"/>
    <x v="181"/>
    <x v="232"/>
    <x v="0"/>
    <x v="232"/>
    <x v="232"/>
    <x v="1"/>
    <x v="0"/>
    <x v="254"/>
    <x v="1"/>
    <x v="0"/>
    <x v="1"/>
    <x v="0"/>
    <x v="0"/>
    <x v="1"/>
    <x v="0"/>
    <x v="0"/>
    <x v="0"/>
    <x v="0"/>
    <x v="232"/>
    <x v="0"/>
    <x v="1"/>
    <x v="232"/>
    <x v="0"/>
    <x v="0"/>
    <x v="186"/>
    <x v="0"/>
    <x v="190"/>
    <x v="1"/>
    <x v="254"/>
    <x v="0"/>
    <x v="1"/>
    <x v="2"/>
    <x v="0"/>
    <x v="22"/>
    <x v="289"/>
    <x v="289"/>
    <x v="0"/>
    <x v="0"/>
    <x v="0"/>
    <x v="232"/>
    <x v="0"/>
    <x v="0"/>
    <x v="0"/>
    <x v="0"/>
    <x v="190"/>
    <x v="0"/>
    <x v="0"/>
    <x v="0"/>
    <x v="21"/>
    <x v="0"/>
    <x v="77"/>
    <x v="77"/>
    <x v="181"/>
    <x v="0"/>
    <x v="0"/>
    <x v="0"/>
    <x v="0"/>
    <x v="241"/>
    <x v="19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7"/>
    <x v="162"/>
    <x v="0"/>
    <x v="0"/>
    <x v="0"/>
    <x v="0"/>
    <x v="0"/>
    <x v="0"/>
  </r>
  <r>
    <x v="0"/>
    <x v="290"/>
    <x v="0"/>
    <x v="21"/>
    <x v="0"/>
    <x v="0"/>
    <x v="0"/>
    <x v="57"/>
    <x v="58"/>
    <x v="0"/>
    <x v="0"/>
    <x v="0"/>
    <x v="12"/>
    <x v="0"/>
    <x v="0"/>
    <x v="57"/>
    <x v="10"/>
    <x v="0"/>
    <x v="0"/>
    <x v="0"/>
    <x v="57"/>
    <x v="58"/>
    <x v="0"/>
    <x v="0"/>
    <x v="0"/>
    <x v="0"/>
    <x v="0"/>
    <x v="0"/>
    <x v="0"/>
    <x v="0"/>
    <x v="0"/>
    <x v="182"/>
    <x v="59"/>
    <x v="0"/>
    <x v="57"/>
    <x v="59"/>
    <x v="1"/>
    <x v="0"/>
    <x v="60"/>
    <x v="2"/>
    <x v="0"/>
    <x v="2"/>
    <x v="0"/>
    <x v="0"/>
    <x v="12"/>
    <x v="0"/>
    <x v="0"/>
    <x v="0"/>
    <x v="0"/>
    <x v="59"/>
    <x v="0"/>
    <x v="2"/>
    <x v="59"/>
    <x v="0"/>
    <x v="0"/>
    <x v="45"/>
    <x v="0"/>
    <x v="44"/>
    <x v="1"/>
    <x v="60"/>
    <x v="0"/>
    <x v="0"/>
    <x v="0"/>
    <x v="0"/>
    <x v="22"/>
    <x v="290"/>
    <x v="290"/>
    <x v="0"/>
    <x v="0"/>
    <x v="0"/>
    <x v="59"/>
    <x v="0"/>
    <x v="0"/>
    <x v="0"/>
    <x v="0"/>
    <x v="44"/>
    <x v="0"/>
    <x v="0"/>
    <x v="0"/>
    <x v="20"/>
    <x v="0"/>
    <x v="33"/>
    <x v="33"/>
    <x v="182"/>
    <x v="0"/>
    <x v="0"/>
    <x v="0"/>
    <x v="0"/>
    <x v="242"/>
    <x v="4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88"/>
    <x v="163"/>
    <x v="0"/>
    <x v="0"/>
    <x v="0"/>
    <x v="0"/>
    <x v="0"/>
    <x v="122"/>
  </r>
  <r>
    <x v="0"/>
    <x v="291"/>
    <x v="0"/>
    <x v="21"/>
    <x v="0"/>
    <x v="0"/>
    <x v="0"/>
    <x v="234"/>
    <x v="247"/>
    <x v="0"/>
    <x v="0"/>
    <x v="0"/>
    <x v="26"/>
    <x v="0"/>
    <x v="0"/>
    <x v="234"/>
    <x v="4"/>
    <x v="0"/>
    <x v="0"/>
    <x v="0"/>
    <x v="234"/>
    <x v="247"/>
    <x v="0"/>
    <x v="0"/>
    <x v="0"/>
    <x v="0"/>
    <x v="0"/>
    <x v="0"/>
    <x v="0"/>
    <x v="0"/>
    <x v="0"/>
    <x v="183"/>
    <x v="233"/>
    <x v="0"/>
    <x v="233"/>
    <x v="233"/>
    <x v="86"/>
    <x v="0"/>
    <x v="255"/>
    <x v="0"/>
    <x v="0"/>
    <x v="0"/>
    <x v="0"/>
    <x v="0"/>
    <x v="26"/>
    <x v="0"/>
    <x v="0"/>
    <x v="0"/>
    <x v="0"/>
    <x v="233"/>
    <x v="0"/>
    <x v="0"/>
    <x v="233"/>
    <x v="0"/>
    <x v="0"/>
    <x v="187"/>
    <x v="0"/>
    <x v="191"/>
    <x v="86"/>
    <x v="255"/>
    <x v="0"/>
    <x v="0"/>
    <x v="0"/>
    <x v="0"/>
    <x v="22"/>
    <x v="291"/>
    <x v="291"/>
    <x v="0"/>
    <x v="0"/>
    <x v="0"/>
    <x v="233"/>
    <x v="0"/>
    <x v="0"/>
    <x v="0"/>
    <x v="0"/>
    <x v="191"/>
    <x v="0"/>
    <x v="0"/>
    <x v="0"/>
    <x v="20"/>
    <x v="0"/>
    <x v="42"/>
    <x v="42"/>
    <x v="183"/>
    <x v="0"/>
    <x v="0"/>
    <x v="0"/>
    <x v="0"/>
    <x v="243"/>
    <x v="1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89"/>
    <x v="164"/>
    <x v="0"/>
    <x v="0"/>
    <x v="0"/>
    <x v="0"/>
    <x v="0"/>
    <x v="0"/>
  </r>
  <r>
    <x v="0"/>
    <x v="292"/>
    <x v="0"/>
    <x v="21"/>
    <x v="0"/>
    <x v="0"/>
    <x v="0"/>
    <x v="235"/>
    <x v="248"/>
    <x v="0"/>
    <x v="0"/>
    <x v="0"/>
    <x v="26"/>
    <x v="0"/>
    <x v="0"/>
    <x v="235"/>
    <x v="4"/>
    <x v="0"/>
    <x v="0"/>
    <x v="0"/>
    <x v="235"/>
    <x v="248"/>
    <x v="0"/>
    <x v="0"/>
    <x v="0"/>
    <x v="0"/>
    <x v="0"/>
    <x v="0"/>
    <x v="0"/>
    <x v="0"/>
    <x v="0"/>
    <x v="183"/>
    <x v="234"/>
    <x v="0"/>
    <x v="234"/>
    <x v="234"/>
    <x v="1"/>
    <x v="0"/>
    <x v="256"/>
    <x v="1"/>
    <x v="0"/>
    <x v="1"/>
    <x v="0"/>
    <x v="0"/>
    <x v="26"/>
    <x v="0"/>
    <x v="0"/>
    <x v="0"/>
    <x v="0"/>
    <x v="234"/>
    <x v="0"/>
    <x v="1"/>
    <x v="234"/>
    <x v="0"/>
    <x v="0"/>
    <x v="188"/>
    <x v="0"/>
    <x v="192"/>
    <x v="1"/>
    <x v="256"/>
    <x v="0"/>
    <x v="0"/>
    <x v="1"/>
    <x v="0"/>
    <x v="22"/>
    <x v="292"/>
    <x v="292"/>
    <x v="0"/>
    <x v="0"/>
    <x v="0"/>
    <x v="234"/>
    <x v="0"/>
    <x v="0"/>
    <x v="0"/>
    <x v="0"/>
    <x v="192"/>
    <x v="0"/>
    <x v="0"/>
    <x v="0"/>
    <x v="20"/>
    <x v="0"/>
    <x v="42"/>
    <x v="42"/>
    <x v="183"/>
    <x v="0"/>
    <x v="0"/>
    <x v="0"/>
    <x v="0"/>
    <x v="243"/>
    <x v="1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89"/>
    <x v="164"/>
    <x v="0"/>
    <x v="0"/>
    <x v="0"/>
    <x v="0"/>
    <x v="0"/>
    <x v="0"/>
  </r>
  <r>
    <x v="0"/>
    <x v="293"/>
    <x v="0"/>
    <x v="22"/>
    <x v="0"/>
    <x v="0"/>
    <x v="0"/>
    <x v="227"/>
    <x v="239"/>
    <x v="0"/>
    <x v="0"/>
    <x v="0"/>
    <x v="1"/>
    <x v="0"/>
    <x v="0"/>
    <x v="227"/>
    <x v="2"/>
    <x v="0"/>
    <x v="0"/>
    <x v="0"/>
    <x v="227"/>
    <x v="239"/>
    <x v="0"/>
    <x v="0"/>
    <x v="0"/>
    <x v="0"/>
    <x v="0"/>
    <x v="0"/>
    <x v="0"/>
    <x v="0"/>
    <x v="0"/>
    <x v="184"/>
    <x v="226"/>
    <x v="0"/>
    <x v="226"/>
    <x v="226"/>
    <x v="82"/>
    <x v="0"/>
    <x v="246"/>
    <x v="0"/>
    <x v="0"/>
    <x v="0"/>
    <x v="0"/>
    <x v="0"/>
    <x v="1"/>
    <x v="0"/>
    <x v="0"/>
    <x v="0"/>
    <x v="0"/>
    <x v="226"/>
    <x v="0"/>
    <x v="0"/>
    <x v="226"/>
    <x v="0"/>
    <x v="0"/>
    <x v="180"/>
    <x v="0"/>
    <x v="184"/>
    <x v="82"/>
    <x v="246"/>
    <x v="0"/>
    <x v="1"/>
    <x v="0"/>
    <x v="0"/>
    <x v="22"/>
    <x v="293"/>
    <x v="293"/>
    <x v="0"/>
    <x v="0"/>
    <x v="0"/>
    <x v="226"/>
    <x v="0"/>
    <x v="0"/>
    <x v="0"/>
    <x v="0"/>
    <x v="184"/>
    <x v="0"/>
    <x v="0"/>
    <x v="0"/>
    <x v="21"/>
    <x v="0"/>
    <x v="76"/>
    <x v="76"/>
    <x v="184"/>
    <x v="0"/>
    <x v="0"/>
    <x v="0"/>
    <x v="0"/>
    <x v="244"/>
    <x v="18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90"/>
    <x v="165"/>
    <x v="0"/>
    <x v="0"/>
    <x v="0"/>
    <x v="0"/>
    <x v="0"/>
    <x v="0"/>
  </r>
  <r>
    <x v="0"/>
    <x v="294"/>
    <x v="0"/>
    <x v="22"/>
    <x v="0"/>
    <x v="0"/>
    <x v="0"/>
    <x v="166"/>
    <x v="240"/>
    <x v="0"/>
    <x v="0"/>
    <x v="0"/>
    <x v="1"/>
    <x v="0"/>
    <x v="0"/>
    <x v="166"/>
    <x v="2"/>
    <x v="0"/>
    <x v="0"/>
    <x v="0"/>
    <x v="166"/>
    <x v="240"/>
    <x v="0"/>
    <x v="0"/>
    <x v="0"/>
    <x v="0"/>
    <x v="0"/>
    <x v="0"/>
    <x v="0"/>
    <x v="0"/>
    <x v="0"/>
    <x v="184"/>
    <x v="169"/>
    <x v="0"/>
    <x v="166"/>
    <x v="169"/>
    <x v="1"/>
    <x v="0"/>
    <x v="247"/>
    <x v="1"/>
    <x v="0"/>
    <x v="1"/>
    <x v="0"/>
    <x v="0"/>
    <x v="1"/>
    <x v="0"/>
    <x v="0"/>
    <x v="0"/>
    <x v="0"/>
    <x v="169"/>
    <x v="0"/>
    <x v="1"/>
    <x v="169"/>
    <x v="0"/>
    <x v="0"/>
    <x v="136"/>
    <x v="0"/>
    <x v="140"/>
    <x v="1"/>
    <x v="247"/>
    <x v="0"/>
    <x v="1"/>
    <x v="0"/>
    <x v="0"/>
    <x v="22"/>
    <x v="294"/>
    <x v="294"/>
    <x v="0"/>
    <x v="0"/>
    <x v="0"/>
    <x v="169"/>
    <x v="0"/>
    <x v="0"/>
    <x v="0"/>
    <x v="0"/>
    <x v="140"/>
    <x v="0"/>
    <x v="0"/>
    <x v="0"/>
    <x v="21"/>
    <x v="0"/>
    <x v="76"/>
    <x v="76"/>
    <x v="184"/>
    <x v="0"/>
    <x v="0"/>
    <x v="0"/>
    <x v="0"/>
    <x v="244"/>
    <x v="14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90"/>
    <x v="165"/>
    <x v="0"/>
    <x v="0"/>
    <x v="0"/>
    <x v="0"/>
    <x v="0"/>
    <x v="0"/>
  </r>
  <r>
    <x v="0"/>
    <x v="295"/>
    <x v="0"/>
    <x v="21"/>
    <x v="0"/>
    <x v="0"/>
    <x v="0"/>
    <x v="228"/>
    <x v="241"/>
    <x v="0"/>
    <x v="0"/>
    <x v="0"/>
    <x v="1"/>
    <x v="0"/>
    <x v="0"/>
    <x v="228"/>
    <x v="2"/>
    <x v="0"/>
    <x v="0"/>
    <x v="0"/>
    <x v="228"/>
    <x v="241"/>
    <x v="0"/>
    <x v="0"/>
    <x v="0"/>
    <x v="0"/>
    <x v="0"/>
    <x v="0"/>
    <x v="0"/>
    <x v="0"/>
    <x v="0"/>
    <x v="185"/>
    <x v="227"/>
    <x v="0"/>
    <x v="227"/>
    <x v="227"/>
    <x v="1"/>
    <x v="0"/>
    <x v="248"/>
    <x v="2"/>
    <x v="0"/>
    <x v="2"/>
    <x v="0"/>
    <x v="0"/>
    <x v="1"/>
    <x v="0"/>
    <x v="0"/>
    <x v="0"/>
    <x v="0"/>
    <x v="227"/>
    <x v="0"/>
    <x v="2"/>
    <x v="227"/>
    <x v="0"/>
    <x v="0"/>
    <x v="181"/>
    <x v="0"/>
    <x v="185"/>
    <x v="1"/>
    <x v="248"/>
    <x v="0"/>
    <x v="1"/>
    <x v="0"/>
    <x v="0"/>
    <x v="22"/>
    <x v="295"/>
    <x v="295"/>
    <x v="0"/>
    <x v="0"/>
    <x v="0"/>
    <x v="227"/>
    <x v="0"/>
    <x v="0"/>
    <x v="0"/>
    <x v="0"/>
    <x v="185"/>
    <x v="0"/>
    <x v="0"/>
    <x v="0"/>
    <x v="20"/>
    <x v="0"/>
    <x v="45"/>
    <x v="45"/>
    <x v="185"/>
    <x v="0"/>
    <x v="0"/>
    <x v="0"/>
    <x v="0"/>
    <x v="245"/>
    <x v="18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90"/>
    <x v="165"/>
    <x v="0"/>
    <x v="0"/>
    <x v="0"/>
    <x v="0"/>
    <x v="0"/>
    <x v="123"/>
  </r>
  <r>
    <x v="1"/>
    <x v="296"/>
    <x v="0"/>
    <x v="22"/>
    <x v="0"/>
    <x v="0"/>
    <x v="0"/>
    <x v="236"/>
    <x v="249"/>
    <x v="0"/>
    <x v="0"/>
    <x v="0"/>
    <x v="2"/>
    <x v="1"/>
    <x v="0"/>
    <x v="236"/>
    <x v="3"/>
    <x v="0"/>
    <x v="0"/>
    <x v="0"/>
    <x v="236"/>
    <x v="249"/>
    <x v="0"/>
    <x v="3"/>
    <x v="0"/>
    <x v="0"/>
    <x v="0"/>
    <x v="0"/>
    <x v="1"/>
    <x v="1"/>
    <x v="0"/>
    <x v="4"/>
    <x v="7"/>
    <x v="0"/>
    <x v="235"/>
    <x v="7"/>
    <x v="40"/>
    <x v="0"/>
    <x v="97"/>
    <x v="0"/>
    <x v="0"/>
    <x v="0"/>
    <x v="0"/>
    <x v="0"/>
    <x v="2"/>
    <x v="0"/>
    <x v="0"/>
    <x v="0"/>
    <x v="0"/>
    <x v="7"/>
    <x v="0"/>
    <x v="0"/>
    <x v="7"/>
    <x v="129"/>
    <x v="0"/>
    <x v="6"/>
    <x v="1"/>
    <x v="7"/>
    <x v="40"/>
    <x v="97"/>
    <x v="0"/>
    <x v="2"/>
    <x v="0"/>
    <x v="0"/>
    <x v="22"/>
    <x v="296"/>
    <x v="296"/>
    <x v="0"/>
    <x v="0"/>
    <x v="0"/>
    <x v="7"/>
    <x v="0"/>
    <x v="0"/>
    <x v="0"/>
    <x v="0"/>
    <x v="7"/>
    <x v="0"/>
    <x v="0"/>
    <x v="0"/>
    <x v="21"/>
    <x v="0"/>
    <x v="3"/>
    <x v="3"/>
    <x v="4"/>
    <x v="1"/>
    <x v="0"/>
    <x v="0"/>
    <x v="0"/>
    <x v="246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91"/>
    <x v="4"/>
    <x v="0"/>
    <x v="0"/>
    <x v="0"/>
    <x v="0"/>
    <x v="0"/>
    <x v="124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130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2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92"/>
    <x v="0"/>
    <x v="7"/>
    <x v="92"/>
    <x v="38"/>
    <x v="0"/>
    <x v="95"/>
    <x v="0"/>
    <x v="1"/>
    <x v="0"/>
    <x v="1"/>
    <x v="0"/>
    <x v="3"/>
    <x v="0"/>
    <x v="0"/>
    <x v="0"/>
    <x v="0"/>
    <x v="92"/>
    <x v="1"/>
    <x v="0"/>
    <x v="92"/>
    <x v="131"/>
    <x v="0"/>
    <x v="6"/>
    <x v="1"/>
    <x v="7"/>
    <x v="38"/>
    <x v="95"/>
    <x v="1"/>
    <x v="3"/>
    <x v="3"/>
    <x v="1"/>
    <x v="1"/>
    <x v="9"/>
    <x v="9"/>
    <x v="0"/>
    <x v="0"/>
    <x v="1"/>
    <x v="92"/>
    <x v="0"/>
    <x v="0"/>
    <x v="0"/>
    <x v="1"/>
    <x v="7"/>
    <x v="0"/>
    <x v="1"/>
    <x v="1"/>
    <x v="2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32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133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2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42"/>
    <x v="0"/>
    <x v="99"/>
    <x v="0"/>
    <x v="1"/>
    <x v="0"/>
    <x v="1"/>
    <x v="0"/>
    <x v="3"/>
    <x v="0"/>
    <x v="0"/>
    <x v="0"/>
    <x v="0"/>
    <x v="32"/>
    <x v="1"/>
    <x v="0"/>
    <x v="32"/>
    <x v="134"/>
    <x v="0"/>
    <x v="6"/>
    <x v="1"/>
    <x v="7"/>
    <x v="42"/>
    <x v="99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21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297"/>
    <x v="2"/>
    <x v="22"/>
    <x v="0"/>
    <x v="0"/>
    <x v="0"/>
    <x v="13"/>
    <x v="13"/>
    <x v="0"/>
    <x v="0"/>
    <x v="0"/>
    <x v="5"/>
    <x v="3"/>
    <x v="0"/>
    <x v="13"/>
    <x v="5"/>
    <x v="0"/>
    <x v="0"/>
    <x v="0"/>
    <x v="13"/>
    <x v="13"/>
    <x v="0"/>
    <x v="0"/>
    <x v="0"/>
    <x v="0"/>
    <x v="0"/>
    <x v="1"/>
    <x v="0"/>
    <x v="0"/>
    <x v="0"/>
    <x v="186"/>
    <x v="14"/>
    <x v="0"/>
    <x v="13"/>
    <x v="14"/>
    <x v="9"/>
    <x v="0"/>
    <x v="14"/>
    <x v="0"/>
    <x v="0"/>
    <x v="0"/>
    <x v="0"/>
    <x v="0"/>
    <x v="5"/>
    <x v="0"/>
    <x v="0"/>
    <x v="0"/>
    <x v="0"/>
    <x v="14"/>
    <x v="0"/>
    <x v="0"/>
    <x v="14"/>
    <x v="0"/>
    <x v="0"/>
    <x v="12"/>
    <x v="0"/>
    <x v="11"/>
    <x v="9"/>
    <x v="14"/>
    <x v="0"/>
    <x v="5"/>
    <x v="0"/>
    <x v="0"/>
    <x v="22"/>
    <x v="297"/>
    <x v="297"/>
    <x v="0"/>
    <x v="0"/>
    <x v="0"/>
    <x v="14"/>
    <x v="0"/>
    <x v="0"/>
    <x v="0"/>
    <x v="0"/>
    <x v="11"/>
    <x v="0"/>
    <x v="0"/>
    <x v="0"/>
    <x v="21"/>
    <x v="0"/>
    <x v="7"/>
    <x v="7"/>
    <x v="186"/>
    <x v="0"/>
    <x v="0"/>
    <x v="0"/>
    <x v="0"/>
    <x v="247"/>
    <x v="11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192"/>
    <x v="166"/>
    <x v="0"/>
    <x v="0"/>
    <x v="0"/>
    <x v="0"/>
    <x v="0"/>
    <x v="0"/>
  </r>
  <r>
    <x v="0"/>
    <x v="298"/>
    <x v="0"/>
    <x v="21"/>
    <x v="0"/>
    <x v="0"/>
    <x v="0"/>
    <x v="237"/>
    <x v="250"/>
    <x v="0"/>
    <x v="0"/>
    <x v="0"/>
    <x v="1"/>
    <x v="0"/>
    <x v="0"/>
    <x v="237"/>
    <x v="2"/>
    <x v="0"/>
    <x v="0"/>
    <x v="0"/>
    <x v="237"/>
    <x v="250"/>
    <x v="0"/>
    <x v="0"/>
    <x v="0"/>
    <x v="0"/>
    <x v="0"/>
    <x v="0"/>
    <x v="0"/>
    <x v="0"/>
    <x v="0"/>
    <x v="187"/>
    <x v="235"/>
    <x v="0"/>
    <x v="236"/>
    <x v="235"/>
    <x v="1"/>
    <x v="0"/>
    <x v="257"/>
    <x v="0"/>
    <x v="0"/>
    <x v="0"/>
    <x v="0"/>
    <x v="0"/>
    <x v="1"/>
    <x v="0"/>
    <x v="0"/>
    <x v="0"/>
    <x v="0"/>
    <x v="235"/>
    <x v="0"/>
    <x v="0"/>
    <x v="235"/>
    <x v="0"/>
    <x v="0"/>
    <x v="189"/>
    <x v="0"/>
    <x v="193"/>
    <x v="1"/>
    <x v="257"/>
    <x v="0"/>
    <x v="0"/>
    <x v="1"/>
    <x v="0"/>
    <x v="23"/>
    <x v="298"/>
    <x v="298"/>
    <x v="0"/>
    <x v="0"/>
    <x v="0"/>
    <x v="235"/>
    <x v="0"/>
    <x v="0"/>
    <x v="0"/>
    <x v="0"/>
    <x v="193"/>
    <x v="0"/>
    <x v="0"/>
    <x v="0"/>
    <x v="20"/>
    <x v="0"/>
    <x v="38"/>
    <x v="38"/>
    <x v="187"/>
    <x v="0"/>
    <x v="0"/>
    <x v="0"/>
    <x v="0"/>
    <x v="248"/>
    <x v="19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68"/>
    <x v="56"/>
    <x v="0"/>
    <x v="0"/>
    <x v="0"/>
    <x v="0"/>
    <x v="0"/>
    <x v="0"/>
  </r>
  <r>
    <x v="1"/>
    <x v="299"/>
    <x v="1"/>
    <x v="12"/>
    <x v="0"/>
    <x v="0"/>
    <x v="0"/>
    <x v="238"/>
    <x v="251"/>
    <x v="0"/>
    <x v="0"/>
    <x v="0"/>
    <x v="27"/>
    <x v="5"/>
    <x v="0"/>
    <x v="238"/>
    <x v="15"/>
    <x v="0"/>
    <x v="0"/>
    <x v="0"/>
    <x v="238"/>
    <x v="251"/>
    <x v="0"/>
    <x v="3"/>
    <x v="0"/>
    <x v="0"/>
    <x v="0"/>
    <x v="0"/>
    <x v="1"/>
    <x v="1"/>
    <x v="0"/>
    <x v="4"/>
    <x v="236"/>
    <x v="0"/>
    <x v="237"/>
    <x v="236"/>
    <x v="1"/>
    <x v="0"/>
    <x v="258"/>
    <x v="0"/>
    <x v="0"/>
    <x v="0"/>
    <x v="0"/>
    <x v="0"/>
    <x v="27"/>
    <x v="0"/>
    <x v="0"/>
    <x v="0"/>
    <x v="0"/>
    <x v="236"/>
    <x v="0"/>
    <x v="0"/>
    <x v="236"/>
    <x v="0"/>
    <x v="0"/>
    <x v="6"/>
    <x v="1"/>
    <x v="7"/>
    <x v="1"/>
    <x v="258"/>
    <x v="0"/>
    <x v="12"/>
    <x v="0"/>
    <x v="0"/>
    <x v="23"/>
    <x v="299"/>
    <x v="299"/>
    <x v="0"/>
    <x v="0"/>
    <x v="0"/>
    <x v="236"/>
    <x v="0"/>
    <x v="0"/>
    <x v="0"/>
    <x v="0"/>
    <x v="7"/>
    <x v="0"/>
    <x v="0"/>
    <x v="0"/>
    <x v="11"/>
    <x v="0"/>
    <x v="3"/>
    <x v="3"/>
    <x v="4"/>
    <x v="1"/>
    <x v="0"/>
    <x v="0"/>
    <x v="0"/>
    <x v="249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00"/>
    <x v="1"/>
    <x v="16"/>
    <x v="0"/>
    <x v="0"/>
    <x v="0"/>
    <x v="239"/>
    <x v="252"/>
    <x v="0"/>
    <x v="0"/>
    <x v="0"/>
    <x v="28"/>
    <x v="5"/>
    <x v="0"/>
    <x v="239"/>
    <x v="15"/>
    <x v="0"/>
    <x v="0"/>
    <x v="0"/>
    <x v="239"/>
    <x v="252"/>
    <x v="0"/>
    <x v="3"/>
    <x v="0"/>
    <x v="0"/>
    <x v="0"/>
    <x v="0"/>
    <x v="1"/>
    <x v="1"/>
    <x v="0"/>
    <x v="4"/>
    <x v="237"/>
    <x v="0"/>
    <x v="238"/>
    <x v="237"/>
    <x v="1"/>
    <x v="0"/>
    <x v="259"/>
    <x v="0"/>
    <x v="0"/>
    <x v="0"/>
    <x v="0"/>
    <x v="0"/>
    <x v="28"/>
    <x v="0"/>
    <x v="0"/>
    <x v="0"/>
    <x v="0"/>
    <x v="237"/>
    <x v="0"/>
    <x v="0"/>
    <x v="237"/>
    <x v="0"/>
    <x v="0"/>
    <x v="6"/>
    <x v="1"/>
    <x v="7"/>
    <x v="1"/>
    <x v="259"/>
    <x v="0"/>
    <x v="12"/>
    <x v="0"/>
    <x v="0"/>
    <x v="23"/>
    <x v="300"/>
    <x v="300"/>
    <x v="0"/>
    <x v="0"/>
    <x v="0"/>
    <x v="237"/>
    <x v="0"/>
    <x v="0"/>
    <x v="0"/>
    <x v="0"/>
    <x v="7"/>
    <x v="0"/>
    <x v="0"/>
    <x v="0"/>
    <x v="15"/>
    <x v="0"/>
    <x v="3"/>
    <x v="3"/>
    <x v="4"/>
    <x v="1"/>
    <x v="0"/>
    <x v="0"/>
    <x v="0"/>
    <x v="250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01"/>
    <x v="1"/>
    <x v="16"/>
    <x v="0"/>
    <x v="0"/>
    <x v="0"/>
    <x v="240"/>
    <x v="253"/>
    <x v="0"/>
    <x v="0"/>
    <x v="0"/>
    <x v="28"/>
    <x v="5"/>
    <x v="0"/>
    <x v="240"/>
    <x v="15"/>
    <x v="0"/>
    <x v="0"/>
    <x v="0"/>
    <x v="240"/>
    <x v="253"/>
    <x v="0"/>
    <x v="3"/>
    <x v="0"/>
    <x v="0"/>
    <x v="0"/>
    <x v="0"/>
    <x v="1"/>
    <x v="1"/>
    <x v="0"/>
    <x v="4"/>
    <x v="238"/>
    <x v="0"/>
    <x v="239"/>
    <x v="238"/>
    <x v="1"/>
    <x v="0"/>
    <x v="260"/>
    <x v="0"/>
    <x v="0"/>
    <x v="0"/>
    <x v="0"/>
    <x v="0"/>
    <x v="28"/>
    <x v="0"/>
    <x v="0"/>
    <x v="0"/>
    <x v="0"/>
    <x v="238"/>
    <x v="0"/>
    <x v="0"/>
    <x v="238"/>
    <x v="0"/>
    <x v="0"/>
    <x v="6"/>
    <x v="1"/>
    <x v="7"/>
    <x v="1"/>
    <x v="260"/>
    <x v="0"/>
    <x v="12"/>
    <x v="0"/>
    <x v="0"/>
    <x v="23"/>
    <x v="301"/>
    <x v="301"/>
    <x v="0"/>
    <x v="0"/>
    <x v="0"/>
    <x v="238"/>
    <x v="0"/>
    <x v="0"/>
    <x v="0"/>
    <x v="0"/>
    <x v="7"/>
    <x v="0"/>
    <x v="0"/>
    <x v="0"/>
    <x v="15"/>
    <x v="0"/>
    <x v="3"/>
    <x v="3"/>
    <x v="4"/>
    <x v="1"/>
    <x v="0"/>
    <x v="0"/>
    <x v="0"/>
    <x v="251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02"/>
    <x v="0"/>
    <x v="21"/>
    <x v="0"/>
    <x v="0"/>
    <x v="0"/>
    <x v="130"/>
    <x v="134"/>
    <x v="0"/>
    <x v="0"/>
    <x v="0"/>
    <x v="0"/>
    <x v="0"/>
    <x v="0"/>
    <x v="130"/>
    <x v="0"/>
    <x v="0"/>
    <x v="0"/>
    <x v="0"/>
    <x v="130"/>
    <x v="134"/>
    <x v="0"/>
    <x v="0"/>
    <x v="0"/>
    <x v="0"/>
    <x v="0"/>
    <x v="0"/>
    <x v="0"/>
    <x v="0"/>
    <x v="0"/>
    <x v="188"/>
    <x v="133"/>
    <x v="0"/>
    <x v="130"/>
    <x v="133"/>
    <x v="1"/>
    <x v="0"/>
    <x v="143"/>
    <x v="2"/>
    <x v="0"/>
    <x v="2"/>
    <x v="0"/>
    <x v="0"/>
    <x v="0"/>
    <x v="0"/>
    <x v="0"/>
    <x v="0"/>
    <x v="0"/>
    <x v="133"/>
    <x v="0"/>
    <x v="2"/>
    <x v="133"/>
    <x v="0"/>
    <x v="0"/>
    <x v="109"/>
    <x v="0"/>
    <x v="109"/>
    <x v="1"/>
    <x v="143"/>
    <x v="0"/>
    <x v="0"/>
    <x v="1"/>
    <x v="0"/>
    <x v="23"/>
    <x v="302"/>
    <x v="302"/>
    <x v="0"/>
    <x v="0"/>
    <x v="0"/>
    <x v="133"/>
    <x v="0"/>
    <x v="0"/>
    <x v="0"/>
    <x v="0"/>
    <x v="109"/>
    <x v="0"/>
    <x v="0"/>
    <x v="0"/>
    <x v="20"/>
    <x v="0"/>
    <x v="33"/>
    <x v="33"/>
    <x v="188"/>
    <x v="0"/>
    <x v="0"/>
    <x v="0"/>
    <x v="0"/>
    <x v="252"/>
    <x v="1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93"/>
    <x v="167"/>
    <x v="0"/>
    <x v="0"/>
    <x v="0"/>
    <x v="0"/>
    <x v="0"/>
    <x v="125"/>
  </r>
  <r>
    <x v="1"/>
    <x v="303"/>
    <x v="1"/>
    <x v="21"/>
    <x v="0"/>
    <x v="0"/>
    <x v="0"/>
    <x v="241"/>
    <x v="254"/>
    <x v="0"/>
    <x v="0"/>
    <x v="0"/>
    <x v="29"/>
    <x v="5"/>
    <x v="0"/>
    <x v="241"/>
    <x v="15"/>
    <x v="0"/>
    <x v="0"/>
    <x v="0"/>
    <x v="241"/>
    <x v="254"/>
    <x v="0"/>
    <x v="3"/>
    <x v="0"/>
    <x v="0"/>
    <x v="0"/>
    <x v="0"/>
    <x v="1"/>
    <x v="1"/>
    <x v="0"/>
    <x v="4"/>
    <x v="239"/>
    <x v="0"/>
    <x v="240"/>
    <x v="239"/>
    <x v="1"/>
    <x v="0"/>
    <x v="261"/>
    <x v="0"/>
    <x v="0"/>
    <x v="0"/>
    <x v="0"/>
    <x v="0"/>
    <x v="29"/>
    <x v="0"/>
    <x v="0"/>
    <x v="0"/>
    <x v="0"/>
    <x v="239"/>
    <x v="0"/>
    <x v="0"/>
    <x v="239"/>
    <x v="0"/>
    <x v="0"/>
    <x v="6"/>
    <x v="1"/>
    <x v="7"/>
    <x v="1"/>
    <x v="261"/>
    <x v="0"/>
    <x v="12"/>
    <x v="0"/>
    <x v="0"/>
    <x v="23"/>
    <x v="303"/>
    <x v="303"/>
    <x v="0"/>
    <x v="0"/>
    <x v="0"/>
    <x v="239"/>
    <x v="0"/>
    <x v="0"/>
    <x v="0"/>
    <x v="0"/>
    <x v="7"/>
    <x v="0"/>
    <x v="0"/>
    <x v="0"/>
    <x v="20"/>
    <x v="0"/>
    <x v="3"/>
    <x v="3"/>
    <x v="4"/>
    <x v="1"/>
    <x v="0"/>
    <x v="0"/>
    <x v="0"/>
    <x v="253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04"/>
    <x v="0"/>
    <x v="23"/>
    <x v="0"/>
    <x v="0"/>
    <x v="0"/>
    <x v="242"/>
    <x v="255"/>
    <x v="0"/>
    <x v="0"/>
    <x v="0"/>
    <x v="2"/>
    <x v="1"/>
    <x v="0"/>
    <x v="242"/>
    <x v="3"/>
    <x v="0"/>
    <x v="0"/>
    <x v="0"/>
    <x v="242"/>
    <x v="255"/>
    <x v="0"/>
    <x v="3"/>
    <x v="0"/>
    <x v="0"/>
    <x v="0"/>
    <x v="0"/>
    <x v="1"/>
    <x v="1"/>
    <x v="0"/>
    <x v="4"/>
    <x v="6"/>
    <x v="0"/>
    <x v="241"/>
    <x v="6"/>
    <x v="36"/>
    <x v="0"/>
    <x v="93"/>
    <x v="0"/>
    <x v="0"/>
    <x v="0"/>
    <x v="0"/>
    <x v="0"/>
    <x v="2"/>
    <x v="0"/>
    <x v="0"/>
    <x v="0"/>
    <x v="0"/>
    <x v="6"/>
    <x v="0"/>
    <x v="0"/>
    <x v="6"/>
    <x v="135"/>
    <x v="0"/>
    <x v="6"/>
    <x v="1"/>
    <x v="7"/>
    <x v="36"/>
    <x v="93"/>
    <x v="0"/>
    <x v="2"/>
    <x v="0"/>
    <x v="0"/>
    <x v="23"/>
    <x v="304"/>
    <x v="304"/>
    <x v="0"/>
    <x v="0"/>
    <x v="0"/>
    <x v="6"/>
    <x v="0"/>
    <x v="0"/>
    <x v="0"/>
    <x v="0"/>
    <x v="7"/>
    <x v="0"/>
    <x v="0"/>
    <x v="0"/>
    <x v="22"/>
    <x v="0"/>
    <x v="3"/>
    <x v="3"/>
    <x v="4"/>
    <x v="1"/>
    <x v="0"/>
    <x v="0"/>
    <x v="0"/>
    <x v="254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94"/>
    <x v="4"/>
    <x v="0"/>
    <x v="0"/>
    <x v="0"/>
    <x v="0"/>
    <x v="0"/>
    <x v="126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5"/>
    <x v="0"/>
    <x v="7"/>
    <x v="35"/>
    <x v="49"/>
    <x v="0"/>
    <x v="124"/>
    <x v="0"/>
    <x v="1"/>
    <x v="0"/>
    <x v="1"/>
    <x v="0"/>
    <x v="3"/>
    <x v="0"/>
    <x v="0"/>
    <x v="0"/>
    <x v="0"/>
    <x v="35"/>
    <x v="1"/>
    <x v="0"/>
    <x v="35"/>
    <x v="136"/>
    <x v="0"/>
    <x v="6"/>
    <x v="1"/>
    <x v="7"/>
    <x v="49"/>
    <x v="124"/>
    <x v="1"/>
    <x v="3"/>
    <x v="3"/>
    <x v="1"/>
    <x v="1"/>
    <x v="9"/>
    <x v="9"/>
    <x v="0"/>
    <x v="0"/>
    <x v="1"/>
    <x v="35"/>
    <x v="0"/>
    <x v="0"/>
    <x v="0"/>
    <x v="1"/>
    <x v="7"/>
    <x v="0"/>
    <x v="1"/>
    <x v="1"/>
    <x v="2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37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38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40"/>
    <x v="0"/>
    <x v="97"/>
    <x v="0"/>
    <x v="1"/>
    <x v="0"/>
    <x v="1"/>
    <x v="0"/>
    <x v="3"/>
    <x v="0"/>
    <x v="0"/>
    <x v="0"/>
    <x v="0"/>
    <x v="7"/>
    <x v="1"/>
    <x v="0"/>
    <x v="7"/>
    <x v="139"/>
    <x v="0"/>
    <x v="6"/>
    <x v="1"/>
    <x v="7"/>
    <x v="40"/>
    <x v="9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2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40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141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22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05"/>
    <x v="0"/>
    <x v="22"/>
    <x v="0"/>
    <x v="0"/>
    <x v="0"/>
    <x v="231"/>
    <x v="244"/>
    <x v="0"/>
    <x v="0"/>
    <x v="0"/>
    <x v="8"/>
    <x v="0"/>
    <x v="0"/>
    <x v="231"/>
    <x v="8"/>
    <x v="0"/>
    <x v="0"/>
    <x v="0"/>
    <x v="231"/>
    <x v="244"/>
    <x v="0"/>
    <x v="0"/>
    <x v="0"/>
    <x v="0"/>
    <x v="0"/>
    <x v="0"/>
    <x v="0"/>
    <x v="0"/>
    <x v="0"/>
    <x v="189"/>
    <x v="230"/>
    <x v="0"/>
    <x v="230"/>
    <x v="230"/>
    <x v="1"/>
    <x v="0"/>
    <x v="252"/>
    <x v="2"/>
    <x v="0"/>
    <x v="2"/>
    <x v="0"/>
    <x v="0"/>
    <x v="8"/>
    <x v="0"/>
    <x v="0"/>
    <x v="0"/>
    <x v="0"/>
    <x v="230"/>
    <x v="0"/>
    <x v="2"/>
    <x v="230"/>
    <x v="0"/>
    <x v="0"/>
    <x v="184"/>
    <x v="0"/>
    <x v="188"/>
    <x v="1"/>
    <x v="252"/>
    <x v="0"/>
    <x v="7"/>
    <x v="5"/>
    <x v="0"/>
    <x v="23"/>
    <x v="305"/>
    <x v="305"/>
    <x v="0"/>
    <x v="0"/>
    <x v="0"/>
    <x v="230"/>
    <x v="0"/>
    <x v="0"/>
    <x v="0"/>
    <x v="0"/>
    <x v="188"/>
    <x v="0"/>
    <x v="0"/>
    <x v="0"/>
    <x v="21"/>
    <x v="0"/>
    <x v="33"/>
    <x v="33"/>
    <x v="189"/>
    <x v="0"/>
    <x v="0"/>
    <x v="0"/>
    <x v="0"/>
    <x v="255"/>
    <x v="188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195"/>
    <x v="168"/>
    <x v="0"/>
    <x v="0"/>
    <x v="0"/>
    <x v="0"/>
    <x v="0"/>
    <x v="127"/>
  </r>
  <r>
    <x v="0"/>
    <x v="306"/>
    <x v="0"/>
    <x v="23"/>
    <x v="0"/>
    <x v="0"/>
    <x v="0"/>
    <x v="48"/>
    <x v="49"/>
    <x v="0"/>
    <x v="0"/>
    <x v="0"/>
    <x v="1"/>
    <x v="0"/>
    <x v="0"/>
    <x v="48"/>
    <x v="2"/>
    <x v="0"/>
    <x v="0"/>
    <x v="0"/>
    <x v="48"/>
    <x v="49"/>
    <x v="0"/>
    <x v="0"/>
    <x v="0"/>
    <x v="0"/>
    <x v="0"/>
    <x v="0"/>
    <x v="0"/>
    <x v="0"/>
    <x v="0"/>
    <x v="190"/>
    <x v="52"/>
    <x v="0"/>
    <x v="48"/>
    <x v="52"/>
    <x v="25"/>
    <x v="0"/>
    <x v="53"/>
    <x v="0"/>
    <x v="0"/>
    <x v="0"/>
    <x v="0"/>
    <x v="0"/>
    <x v="1"/>
    <x v="0"/>
    <x v="0"/>
    <x v="0"/>
    <x v="0"/>
    <x v="52"/>
    <x v="0"/>
    <x v="0"/>
    <x v="52"/>
    <x v="0"/>
    <x v="0"/>
    <x v="40"/>
    <x v="0"/>
    <x v="39"/>
    <x v="25"/>
    <x v="53"/>
    <x v="0"/>
    <x v="1"/>
    <x v="0"/>
    <x v="0"/>
    <x v="23"/>
    <x v="306"/>
    <x v="306"/>
    <x v="0"/>
    <x v="0"/>
    <x v="0"/>
    <x v="52"/>
    <x v="0"/>
    <x v="0"/>
    <x v="0"/>
    <x v="0"/>
    <x v="39"/>
    <x v="0"/>
    <x v="0"/>
    <x v="0"/>
    <x v="22"/>
    <x v="0"/>
    <x v="78"/>
    <x v="78"/>
    <x v="190"/>
    <x v="0"/>
    <x v="0"/>
    <x v="0"/>
    <x v="0"/>
    <x v="256"/>
    <x v="3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96"/>
    <x v="169"/>
    <x v="0"/>
    <x v="0"/>
    <x v="0"/>
    <x v="0"/>
    <x v="0"/>
    <x v="0"/>
  </r>
  <r>
    <x v="0"/>
    <x v="307"/>
    <x v="0"/>
    <x v="23"/>
    <x v="0"/>
    <x v="0"/>
    <x v="0"/>
    <x v="49"/>
    <x v="50"/>
    <x v="0"/>
    <x v="0"/>
    <x v="0"/>
    <x v="1"/>
    <x v="0"/>
    <x v="0"/>
    <x v="49"/>
    <x v="2"/>
    <x v="0"/>
    <x v="0"/>
    <x v="0"/>
    <x v="49"/>
    <x v="50"/>
    <x v="0"/>
    <x v="0"/>
    <x v="0"/>
    <x v="0"/>
    <x v="0"/>
    <x v="0"/>
    <x v="0"/>
    <x v="0"/>
    <x v="0"/>
    <x v="190"/>
    <x v="53"/>
    <x v="0"/>
    <x v="49"/>
    <x v="53"/>
    <x v="1"/>
    <x v="0"/>
    <x v="54"/>
    <x v="1"/>
    <x v="0"/>
    <x v="1"/>
    <x v="0"/>
    <x v="0"/>
    <x v="1"/>
    <x v="0"/>
    <x v="0"/>
    <x v="0"/>
    <x v="0"/>
    <x v="53"/>
    <x v="0"/>
    <x v="1"/>
    <x v="53"/>
    <x v="0"/>
    <x v="0"/>
    <x v="41"/>
    <x v="0"/>
    <x v="40"/>
    <x v="1"/>
    <x v="54"/>
    <x v="0"/>
    <x v="1"/>
    <x v="1"/>
    <x v="0"/>
    <x v="23"/>
    <x v="307"/>
    <x v="307"/>
    <x v="0"/>
    <x v="0"/>
    <x v="0"/>
    <x v="53"/>
    <x v="0"/>
    <x v="0"/>
    <x v="0"/>
    <x v="0"/>
    <x v="40"/>
    <x v="0"/>
    <x v="0"/>
    <x v="0"/>
    <x v="22"/>
    <x v="0"/>
    <x v="78"/>
    <x v="78"/>
    <x v="190"/>
    <x v="0"/>
    <x v="0"/>
    <x v="0"/>
    <x v="0"/>
    <x v="256"/>
    <x v="4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96"/>
    <x v="169"/>
    <x v="0"/>
    <x v="0"/>
    <x v="0"/>
    <x v="0"/>
    <x v="0"/>
    <x v="0"/>
  </r>
  <r>
    <x v="1"/>
    <x v="308"/>
    <x v="0"/>
    <x v="22"/>
    <x v="0"/>
    <x v="0"/>
    <x v="0"/>
    <x v="70"/>
    <x v="71"/>
    <x v="0"/>
    <x v="0"/>
    <x v="0"/>
    <x v="30"/>
    <x v="0"/>
    <x v="0"/>
    <x v="70"/>
    <x v="9"/>
    <x v="0"/>
    <x v="0"/>
    <x v="0"/>
    <x v="70"/>
    <x v="71"/>
    <x v="0"/>
    <x v="3"/>
    <x v="0"/>
    <x v="0"/>
    <x v="0"/>
    <x v="0"/>
    <x v="1"/>
    <x v="1"/>
    <x v="0"/>
    <x v="4"/>
    <x v="72"/>
    <x v="0"/>
    <x v="7"/>
    <x v="72"/>
    <x v="1"/>
    <x v="0"/>
    <x v="73"/>
    <x v="0"/>
    <x v="0"/>
    <x v="0"/>
    <x v="0"/>
    <x v="0"/>
    <x v="30"/>
    <x v="0"/>
    <x v="0"/>
    <x v="0"/>
    <x v="0"/>
    <x v="72"/>
    <x v="0"/>
    <x v="0"/>
    <x v="72"/>
    <x v="0"/>
    <x v="0"/>
    <x v="6"/>
    <x v="1"/>
    <x v="7"/>
    <x v="1"/>
    <x v="73"/>
    <x v="0"/>
    <x v="0"/>
    <x v="1"/>
    <x v="0"/>
    <x v="23"/>
    <x v="308"/>
    <x v="308"/>
    <x v="0"/>
    <x v="0"/>
    <x v="0"/>
    <x v="72"/>
    <x v="0"/>
    <x v="0"/>
    <x v="0"/>
    <x v="0"/>
    <x v="7"/>
    <x v="0"/>
    <x v="0"/>
    <x v="0"/>
    <x v="21"/>
    <x v="0"/>
    <x v="3"/>
    <x v="3"/>
    <x v="4"/>
    <x v="1"/>
    <x v="0"/>
    <x v="0"/>
    <x v="0"/>
    <x v="257"/>
    <x v="7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09"/>
    <x v="0"/>
    <x v="21"/>
    <x v="0"/>
    <x v="0"/>
    <x v="0"/>
    <x v="243"/>
    <x v="256"/>
    <x v="0"/>
    <x v="0"/>
    <x v="0"/>
    <x v="0"/>
    <x v="0"/>
    <x v="0"/>
    <x v="243"/>
    <x v="0"/>
    <x v="0"/>
    <x v="0"/>
    <x v="0"/>
    <x v="243"/>
    <x v="256"/>
    <x v="0"/>
    <x v="0"/>
    <x v="0"/>
    <x v="0"/>
    <x v="0"/>
    <x v="0"/>
    <x v="0"/>
    <x v="0"/>
    <x v="0"/>
    <x v="191"/>
    <x v="240"/>
    <x v="0"/>
    <x v="242"/>
    <x v="240"/>
    <x v="1"/>
    <x v="0"/>
    <x v="262"/>
    <x v="2"/>
    <x v="0"/>
    <x v="2"/>
    <x v="0"/>
    <x v="0"/>
    <x v="0"/>
    <x v="0"/>
    <x v="0"/>
    <x v="0"/>
    <x v="0"/>
    <x v="240"/>
    <x v="0"/>
    <x v="2"/>
    <x v="240"/>
    <x v="0"/>
    <x v="0"/>
    <x v="190"/>
    <x v="0"/>
    <x v="194"/>
    <x v="1"/>
    <x v="262"/>
    <x v="0"/>
    <x v="0"/>
    <x v="1"/>
    <x v="0"/>
    <x v="23"/>
    <x v="309"/>
    <x v="309"/>
    <x v="0"/>
    <x v="0"/>
    <x v="0"/>
    <x v="240"/>
    <x v="0"/>
    <x v="0"/>
    <x v="0"/>
    <x v="0"/>
    <x v="194"/>
    <x v="0"/>
    <x v="0"/>
    <x v="0"/>
    <x v="20"/>
    <x v="0"/>
    <x v="29"/>
    <x v="29"/>
    <x v="191"/>
    <x v="0"/>
    <x v="0"/>
    <x v="0"/>
    <x v="0"/>
    <x v="258"/>
    <x v="1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97"/>
    <x v="170"/>
    <x v="0"/>
    <x v="0"/>
    <x v="0"/>
    <x v="0"/>
    <x v="0"/>
    <x v="128"/>
  </r>
  <r>
    <x v="0"/>
    <x v="310"/>
    <x v="0"/>
    <x v="21"/>
    <x v="0"/>
    <x v="0"/>
    <x v="0"/>
    <x v="244"/>
    <x v="257"/>
    <x v="0"/>
    <x v="0"/>
    <x v="0"/>
    <x v="4"/>
    <x v="0"/>
    <x v="0"/>
    <x v="244"/>
    <x v="4"/>
    <x v="0"/>
    <x v="0"/>
    <x v="0"/>
    <x v="244"/>
    <x v="257"/>
    <x v="0"/>
    <x v="0"/>
    <x v="0"/>
    <x v="0"/>
    <x v="0"/>
    <x v="0"/>
    <x v="0"/>
    <x v="0"/>
    <x v="0"/>
    <x v="192"/>
    <x v="241"/>
    <x v="0"/>
    <x v="243"/>
    <x v="241"/>
    <x v="1"/>
    <x v="0"/>
    <x v="263"/>
    <x v="2"/>
    <x v="0"/>
    <x v="2"/>
    <x v="0"/>
    <x v="0"/>
    <x v="4"/>
    <x v="0"/>
    <x v="0"/>
    <x v="0"/>
    <x v="0"/>
    <x v="241"/>
    <x v="0"/>
    <x v="2"/>
    <x v="241"/>
    <x v="0"/>
    <x v="0"/>
    <x v="191"/>
    <x v="0"/>
    <x v="195"/>
    <x v="1"/>
    <x v="263"/>
    <x v="0"/>
    <x v="0"/>
    <x v="1"/>
    <x v="0"/>
    <x v="23"/>
    <x v="310"/>
    <x v="310"/>
    <x v="0"/>
    <x v="0"/>
    <x v="0"/>
    <x v="241"/>
    <x v="0"/>
    <x v="0"/>
    <x v="0"/>
    <x v="0"/>
    <x v="195"/>
    <x v="0"/>
    <x v="0"/>
    <x v="0"/>
    <x v="20"/>
    <x v="0"/>
    <x v="61"/>
    <x v="61"/>
    <x v="192"/>
    <x v="0"/>
    <x v="0"/>
    <x v="0"/>
    <x v="0"/>
    <x v="259"/>
    <x v="195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98"/>
    <x v="171"/>
    <x v="0"/>
    <x v="0"/>
    <x v="0"/>
    <x v="0"/>
    <x v="0"/>
    <x v="129"/>
  </r>
  <r>
    <x v="0"/>
    <x v="311"/>
    <x v="0"/>
    <x v="22"/>
    <x v="0"/>
    <x v="0"/>
    <x v="0"/>
    <x v="245"/>
    <x v="258"/>
    <x v="0"/>
    <x v="0"/>
    <x v="0"/>
    <x v="12"/>
    <x v="1"/>
    <x v="0"/>
    <x v="245"/>
    <x v="11"/>
    <x v="0"/>
    <x v="0"/>
    <x v="0"/>
    <x v="245"/>
    <x v="258"/>
    <x v="0"/>
    <x v="0"/>
    <x v="0"/>
    <x v="0"/>
    <x v="0"/>
    <x v="0"/>
    <x v="0"/>
    <x v="0"/>
    <x v="0"/>
    <x v="193"/>
    <x v="242"/>
    <x v="0"/>
    <x v="244"/>
    <x v="242"/>
    <x v="1"/>
    <x v="0"/>
    <x v="264"/>
    <x v="0"/>
    <x v="0"/>
    <x v="0"/>
    <x v="0"/>
    <x v="0"/>
    <x v="12"/>
    <x v="0"/>
    <x v="0"/>
    <x v="0"/>
    <x v="0"/>
    <x v="242"/>
    <x v="0"/>
    <x v="0"/>
    <x v="242"/>
    <x v="0"/>
    <x v="0"/>
    <x v="192"/>
    <x v="0"/>
    <x v="196"/>
    <x v="1"/>
    <x v="264"/>
    <x v="0"/>
    <x v="0"/>
    <x v="1"/>
    <x v="0"/>
    <x v="23"/>
    <x v="311"/>
    <x v="311"/>
    <x v="0"/>
    <x v="0"/>
    <x v="0"/>
    <x v="242"/>
    <x v="0"/>
    <x v="0"/>
    <x v="0"/>
    <x v="0"/>
    <x v="196"/>
    <x v="0"/>
    <x v="0"/>
    <x v="0"/>
    <x v="21"/>
    <x v="0"/>
    <x v="44"/>
    <x v="44"/>
    <x v="193"/>
    <x v="0"/>
    <x v="0"/>
    <x v="0"/>
    <x v="0"/>
    <x v="260"/>
    <x v="19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99"/>
    <x v="172"/>
    <x v="0"/>
    <x v="0"/>
    <x v="0"/>
    <x v="0"/>
    <x v="0"/>
    <x v="0"/>
  </r>
  <r>
    <x v="0"/>
    <x v="312"/>
    <x v="3"/>
    <x v="21"/>
    <x v="0"/>
    <x v="0"/>
    <x v="0"/>
    <x v="246"/>
    <x v="259"/>
    <x v="0"/>
    <x v="0"/>
    <x v="0"/>
    <x v="7"/>
    <x v="4"/>
    <x v="0"/>
    <x v="246"/>
    <x v="7"/>
    <x v="0"/>
    <x v="0"/>
    <x v="0"/>
    <x v="246"/>
    <x v="259"/>
    <x v="0"/>
    <x v="0"/>
    <x v="0"/>
    <x v="0"/>
    <x v="0"/>
    <x v="0"/>
    <x v="0"/>
    <x v="0"/>
    <x v="0"/>
    <x v="194"/>
    <x v="243"/>
    <x v="0"/>
    <x v="245"/>
    <x v="243"/>
    <x v="1"/>
    <x v="0"/>
    <x v="265"/>
    <x v="0"/>
    <x v="0"/>
    <x v="0"/>
    <x v="0"/>
    <x v="0"/>
    <x v="7"/>
    <x v="0"/>
    <x v="0"/>
    <x v="0"/>
    <x v="0"/>
    <x v="243"/>
    <x v="0"/>
    <x v="0"/>
    <x v="243"/>
    <x v="0"/>
    <x v="0"/>
    <x v="193"/>
    <x v="0"/>
    <x v="197"/>
    <x v="1"/>
    <x v="265"/>
    <x v="0"/>
    <x v="0"/>
    <x v="1"/>
    <x v="0"/>
    <x v="23"/>
    <x v="312"/>
    <x v="312"/>
    <x v="0"/>
    <x v="0"/>
    <x v="0"/>
    <x v="243"/>
    <x v="0"/>
    <x v="0"/>
    <x v="0"/>
    <x v="0"/>
    <x v="197"/>
    <x v="0"/>
    <x v="0"/>
    <x v="0"/>
    <x v="20"/>
    <x v="0"/>
    <x v="58"/>
    <x v="58"/>
    <x v="194"/>
    <x v="0"/>
    <x v="0"/>
    <x v="0"/>
    <x v="0"/>
    <x v="261"/>
    <x v="197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18"/>
    <x v="173"/>
    <x v="0"/>
    <x v="0"/>
    <x v="0"/>
    <x v="0"/>
    <x v="0"/>
    <x v="0"/>
  </r>
  <r>
    <x v="0"/>
    <x v="313"/>
    <x v="0"/>
    <x v="22"/>
    <x v="0"/>
    <x v="0"/>
    <x v="0"/>
    <x v="206"/>
    <x v="225"/>
    <x v="0"/>
    <x v="0"/>
    <x v="0"/>
    <x v="15"/>
    <x v="0"/>
    <x v="0"/>
    <x v="206"/>
    <x v="14"/>
    <x v="0"/>
    <x v="0"/>
    <x v="0"/>
    <x v="206"/>
    <x v="225"/>
    <x v="0"/>
    <x v="0"/>
    <x v="0"/>
    <x v="0"/>
    <x v="0"/>
    <x v="0"/>
    <x v="0"/>
    <x v="0"/>
    <x v="0"/>
    <x v="195"/>
    <x v="209"/>
    <x v="0"/>
    <x v="206"/>
    <x v="209"/>
    <x v="79"/>
    <x v="0"/>
    <x v="233"/>
    <x v="0"/>
    <x v="0"/>
    <x v="0"/>
    <x v="0"/>
    <x v="0"/>
    <x v="15"/>
    <x v="0"/>
    <x v="0"/>
    <x v="0"/>
    <x v="0"/>
    <x v="209"/>
    <x v="0"/>
    <x v="0"/>
    <x v="209"/>
    <x v="0"/>
    <x v="0"/>
    <x v="164"/>
    <x v="0"/>
    <x v="171"/>
    <x v="79"/>
    <x v="233"/>
    <x v="0"/>
    <x v="9"/>
    <x v="0"/>
    <x v="0"/>
    <x v="23"/>
    <x v="313"/>
    <x v="313"/>
    <x v="0"/>
    <x v="0"/>
    <x v="0"/>
    <x v="209"/>
    <x v="0"/>
    <x v="0"/>
    <x v="0"/>
    <x v="0"/>
    <x v="171"/>
    <x v="0"/>
    <x v="0"/>
    <x v="0"/>
    <x v="21"/>
    <x v="0"/>
    <x v="12"/>
    <x v="12"/>
    <x v="195"/>
    <x v="0"/>
    <x v="0"/>
    <x v="0"/>
    <x v="0"/>
    <x v="262"/>
    <x v="17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0"/>
    <x v="174"/>
    <x v="0"/>
    <x v="0"/>
    <x v="0"/>
    <x v="0"/>
    <x v="0"/>
    <x v="0"/>
  </r>
  <r>
    <x v="0"/>
    <x v="314"/>
    <x v="0"/>
    <x v="23"/>
    <x v="0"/>
    <x v="0"/>
    <x v="0"/>
    <x v="247"/>
    <x v="260"/>
    <x v="0"/>
    <x v="0"/>
    <x v="0"/>
    <x v="0"/>
    <x v="0"/>
    <x v="0"/>
    <x v="247"/>
    <x v="0"/>
    <x v="0"/>
    <x v="0"/>
    <x v="0"/>
    <x v="247"/>
    <x v="260"/>
    <x v="0"/>
    <x v="0"/>
    <x v="0"/>
    <x v="0"/>
    <x v="0"/>
    <x v="0"/>
    <x v="0"/>
    <x v="0"/>
    <x v="0"/>
    <x v="196"/>
    <x v="244"/>
    <x v="0"/>
    <x v="246"/>
    <x v="244"/>
    <x v="87"/>
    <x v="0"/>
    <x v="266"/>
    <x v="0"/>
    <x v="0"/>
    <x v="0"/>
    <x v="0"/>
    <x v="0"/>
    <x v="0"/>
    <x v="0"/>
    <x v="0"/>
    <x v="0"/>
    <x v="0"/>
    <x v="244"/>
    <x v="0"/>
    <x v="0"/>
    <x v="244"/>
    <x v="0"/>
    <x v="0"/>
    <x v="194"/>
    <x v="0"/>
    <x v="198"/>
    <x v="87"/>
    <x v="266"/>
    <x v="0"/>
    <x v="0"/>
    <x v="0"/>
    <x v="0"/>
    <x v="23"/>
    <x v="314"/>
    <x v="314"/>
    <x v="0"/>
    <x v="0"/>
    <x v="0"/>
    <x v="244"/>
    <x v="0"/>
    <x v="0"/>
    <x v="0"/>
    <x v="0"/>
    <x v="198"/>
    <x v="0"/>
    <x v="0"/>
    <x v="0"/>
    <x v="22"/>
    <x v="0"/>
    <x v="79"/>
    <x v="79"/>
    <x v="196"/>
    <x v="0"/>
    <x v="0"/>
    <x v="0"/>
    <x v="0"/>
    <x v="263"/>
    <x v="1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01"/>
    <x v="175"/>
    <x v="0"/>
    <x v="0"/>
    <x v="0"/>
    <x v="0"/>
    <x v="0"/>
    <x v="0"/>
  </r>
  <r>
    <x v="0"/>
    <x v="315"/>
    <x v="0"/>
    <x v="23"/>
    <x v="0"/>
    <x v="0"/>
    <x v="0"/>
    <x v="248"/>
    <x v="261"/>
    <x v="0"/>
    <x v="0"/>
    <x v="0"/>
    <x v="0"/>
    <x v="0"/>
    <x v="0"/>
    <x v="248"/>
    <x v="0"/>
    <x v="0"/>
    <x v="0"/>
    <x v="0"/>
    <x v="248"/>
    <x v="261"/>
    <x v="0"/>
    <x v="0"/>
    <x v="0"/>
    <x v="0"/>
    <x v="0"/>
    <x v="0"/>
    <x v="0"/>
    <x v="0"/>
    <x v="0"/>
    <x v="196"/>
    <x v="245"/>
    <x v="0"/>
    <x v="247"/>
    <x v="245"/>
    <x v="1"/>
    <x v="0"/>
    <x v="267"/>
    <x v="1"/>
    <x v="0"/>
    <x v="1"/>
    <x v="0"/>
    <x v="0"/>
    <x v="0"/>
    <x v="0"/>
    <x v="0"/>
    <x v="0"/>
    <x v="0"/>
    <x v="245"/>
    <x v="0"/>
    <x v="1"/>
    <x v="245"/>
    <x v="0"/>
    <x v="0"/>
    <x v="195"/>
    <x v="0"/>
    <x v="199"/>
    <x v="1"/>
    <x v="267"/>
    <x v="0"/>
    <x v="0"/>
    <x v="1"/>
    <x v="0"/>
    <x v="23"/>
    <x v="315"/>
    <x v="315"/>
    <x v="0"/>
    <x v="0"/>
    <x v="0"/>
    <x v="245"/>
    <x v="0"/>
    <x v="0"/>
    <x v="0"/>
    <x v="0"/>
    <x v="199"/>
    <x v="0"/>
    <x v="0"/>
    <x v="0"/>
    <x v="22"/>
    <x v="0"/>
    <x v="79"/>
    <x v="79"/>
    <x v="196"/>
    <x v="0"/>
    <x v="0"/>
    <x v="0"/>
    <x v="0"/>
    <x v="263"/>
    <x v="1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01"/>
    <x v="175"/>
    <x v="0"/>
    <x v="0"/>
    <x v="0"/>
    <x v="0"/>
    <x v="0"/>
    <x v="0"/>
  </r>
  <r>
    <x v="0"/>
    <x v="316"/>
    <x v="0"/>
    <x v="21"/>
    <x v="0"/>
    <x v="0"/>
    <x v="0"/>
    <x v="147"/>
    <x v="153"/>
    <x v="0"/>
    <x v="0"/>
    <x v="0"/>
    <x v="1"/>
    <x v="0"/>
    <x v="0"/>
    <x v="147"/>
    <x v="2"/>
    <x v="0"/>
    <x v="0"/>
    <x v="0"/>
    <x v="147"/>
    <x v="153"/>
    <x v="0"/>
    <x v="0"/>
    <x v="0"/>
    <x v="0"/>
    <x v="0"/>
    <x v="0"/>
    <x v="0"/>
    <x v="0"/>
    <x v="0"/>
    <x v="197"/>
    <x v="151"/>
    <x v="0"/>
    <x v="147"/>
    <x v="151"/>
    <x v="1"/>
    <x v="0"/>
    <x v="163"/>
    <x v="6"/>
    <x v="0"/>
    <x v="6"/>
    <x v="0"/>
    <x v="0"/>
    <x v="1"/>
    <x v="0"/>
    <x v="0"/>
    <x v="0"/>
    <x v="0"/>
    <x v="151"/>
    <x v="0"/>
    <x v="6"/>
    <x v="151"/>
    <x v="0"/>
    <x v="0"/>
    <x v="122"/>
    <x v="0"/>
    <x v="126"/>
    <x v="1"/>
    <x v="163"/>
    <x v="0"/>
    <x v="1"/>
    <x v="1"/>
    <x v="0"/>
    <x v="23"/>
    <x v="316"/>
    <x v="316"/>
    <x v="0"/>
    <x v="0"/>
    <x v="0"/>
    <x v="151"/>
    <x v="0"/>
    <x v="0"/>
    <x v="0"/>
    <x v="0"/>
    <x v="126"/>
    <x v="0"/>
    <x v="0"/>
    <x v="0"/>
    <x v="20"/>
    <x v="0"/>
    <x v="38"/>
    <x v="38"/>
    <x v="197"/>
    <x v="0"/>
    <x v="0"/>
    <x v="0"/>
    <x v="0"/>
    <x v="264"/>
    <x v="12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2"/>
    <x v="176"/>
    <x v="0"/>
    <x v="0"/>
    <x v="0"/>
    <x v="0"/>
    <x v="0"/>
    <x v="0"/>
  </r>
  <r>
    <x v="0"/>
    <x v="317"/>
    <x v="0"/>
    <x v="23"/>
    <x v="0"/>
    <x v="0"/>
    <x v="0"/>
    <x v="210"/>
    <x v="219"/>
    <x v="0"/>
    <x v="0"/>
    <x v="0"/>
    <x v="1"/>
    <x v="0"/>
    <x v="0"/>
    <x v="210"/>
    <x v="2"/>
    <x v="0"/>
    <x v="0"/>
    <x v="0"/>
    <x v="210"/>
    <x v="219"/>
    <x v="0"/>
    <x v="0"/>
    <x v="0"/>
    <x v="0"/>
    <x v="0"/>
    <x v="0"/>
    <x v="0"/>
    <x v="0"/>
    <x v="0"/>
    <x v="198"/>
    <x v="211"/>
    <x v="0"/>
    <x v="210"/>
    <x v="211"/>
    <x v="77"/>
    <x v="0"/>
    <x v="227"/>
    <x v="0"/>
    <x v="0"/>
    <x v="0"/>
    <x v="0"/>
    <x v="0"/>
    <x v="1"/>
    <x v="0"/>
    <x v="0"/>
    <x v="0"/>
    <x v="0"/>
    <x v="211"/>
    <x v="0"/>
    <x v="0"/>
    <x v="211"/>
    <x v="0"/>
    <x v="0"/>
    <x v="166"/>
    <x v="0"/>
    <x v="173"/>
    <x v="77"/>
    <x v="227"/>
    <x v="0"/>
    <x v="1"/>
    <x v="0"/>
    <x v="0"/>
    <x v="23"/>
    <x v="317"/>
    <x v="317"/>
    <x v="0"/>
    <x v="0"/>
    <x v="0"/>
    <x v="211"/>
    <x v="0"/>
    <x v="0"/>
    <x v="0"/>
    <x v="0"/>
    <x v="173"/>
    <x v="0"/>
    <x v="0"/>
    <x v="0"/>
    <x v="22"/>
    <x v="0"/>
    <x v="1"/>
    <x v="1"/>
    <x v="198"/>
    <x v="0"/>
    <x v="0"/>
    <x v="0"/>
    <x v="0"/>
    <x v="265"/>
    <x v="17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3"/>
    <x v="177"/>
    <x v="0"/>
    <x v="0"/>
    <x v="0"/>
    <x v="0"/>
    <x v="0"/>
    <x v="0"/>
  </r>
  <r>
    <x v="0"/>
    <x v="318"/>
    <x v="0"/>
    <x v="23"/>
    <x v="0"/>
    <x v="0"/>
    <x v="0"/>
    <x v="211"/>
    <x v="220"/>
    <x v="0"/>
    <x v="0"/>
    <x v="0"/>
    <x v="1"/>
    <x v="0"/>
    <x v="0"/>
    <x v="211"/>
    <x v="2"/>
    <x v="0"/>
    <x v="0"/>
    <x v="0"/>
    <x v="211"/>
    <x v="220"/>
    <x v="0"/>
    <x v="0"/>
    <x v="0"/>
    <x v="0"/>
    <x v="0"/>
    <x v="0"/>
    <x v="0"/>
    <x v="0"/>
    <x v="0"/>
    <x v="198"/>
    <x v="212"/>
    <x v="0"/>
    <x v="211"/>
    <x v="212"/>
    <x v="1"/>
    <x v="0"/>
    <x v="228"/>
    <x v="1"/>
    <x v="0"/>
    <x v="1"/>
    <x v="0"/>
    <x v="0"/>
    <x v="1"/>
    <x v="0"/>
    <x v="0"/>
    <x v="0"/>
    <x v="0"/>
    <x v="212"/>
    <x v="0"/>
    <x v="1"/>
    <x v="212"/>
    <x v="0"/>
    <x v="0"/>
    <x v="167"/>
    <x v="0"/>
    <x v="174"/>
    <x v="1"/>
    <x v="228"/>
    <x v="0"/>
    <x v="1"/>
    <x v="1"/>
    <x v="0"/>
    <x v="23"/>
    <x v="318"/>
    <x v="318"/>
    <x v="0"/>
    <x v="0"/>
    <x v="0"/>
    <x v="212"/>
    <x v="0"/>
    <x v="0"/>
    <x v="0"/>
    <x v="0"/>
    <x v="174"/>
    <x v="0"/>
    <x v="0"/>
    <x v="0"/>
    <x v="22"/>
    <x v="0"/>
    <x v="1"/>
    <x v="1"/>
    <x v="198"/>
    <x v="0"/>
    <x v="0"/>
    <x v="0"/>
    <x v="0"/>
    <x v="265"/>
    <x v="17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3"/>
    <x v="177"/>
    <x v="0"/>
    <x v="0"/>
    <x v="0"/>
    <x v="0"/>
    <x v="0"/>
    <x v="0"/>
  </r>
  <r>
    <x v="0"/>
    <x v="319"/>
    <x v="0"/>
    <x v="22"/>
    <x v="0"/>
    <x v="0"/>
    <x v="0"/>
    <x v="249"/>
    <x v="262"/>
    <x v="0"/>
    <x v="0"/>
    <x v="0"/>
    <x v="1"/>
    <x v="0"/>
    <x v="0"/>
    <x v="249"/>
    <x v="2"/>
    <x v="0"/>
    <x v="0"/>
    <x v="0"/>
    <x v="249"/>
    <x v="262"/>
    <x v="0"/>
    <x v="0"/>
    <x v="0"/>
    <x v="0"/>
    <x v="0"/>
    <x v="0"/>
    <x v="0"/>
    <x v="0"/>
    <x v="0"/>
    <x v="199"/>
    <x v="246"/>
    <x v="0"/>
    <x v="248"/>
    <x v="246"/>
    <x v="1"/>
    <x v="0"/>
    <x v="268"/>
    <x v="2"/>
    <x v="0"/>
    <x v="2"/>
    <x v="0"/>
    <x v="0"/>
    <x v="1"/>
    <x v="0"/>
    <x v="0"/>
    <x v="0"/>
    <x v="0"/>
    <x v="246"/>
    <x v="0"/>
    <x v="2"/>
    <x v="246"/>
    <x v="0"/>
    <x v="0"/>
    <x v="196"/>
    <x v="0"/>
    <x v="200"/>
    <x v="1"/>
    <x v="268"/>
    <x v="0"/>
    <x v="1"/>
    <x v="0"/>
    <x v="0"/>
    <x v="23"/>
    <x v="319"/>
    <x v="319"/>
    <x v="0"/>
    <x v="0"/>
    <x v="0"/>
    <x v="246"/>
    <x v="0"/>
    <x v="0"/>
    <x v="0"/>
    <x v="0"/>
    <x v="200"/>
    <x v="0"/>
    <x v="0"/>
    <x v="0"/>
    <x v="21"/>
    <x v="0"/>
    <x v="45"/>
    <x v="45"/>
    <x v="199"/>
    <x v="0"/>
    <x v="0"/>
    <x v="0"/>
    <x v="0"/>
    <x v="266"/>
    <x v="20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3"/>
    <x v="177"/>
    <x v="0"/>
    <x v="0"/>
    <x v="0"/>
    <x v="0"/>
    <x v="0"/>
    <x v="130"/>
  </r>
  <r>
    <x v="0"/>
    <x v="320"/>
    <x v="0"/>
    <x v="22"/>
    <x v="0"/>
    <x v="0"/>
    <x v="0"/>
    <x v="250"/>
    <x v="263"/>
    <x v="0"/>
    <x v="0"/>
    <x v="0"/>
    <x v="15"/>
    <x v="0"/>
    <x v="0"/>
    <x v="250"/>
    <x v="14"/>
    <x v="0"/>
    <x v="0"/>
    <x v="0"/>
    <x v="250"/>
    <x v="263"/>
    <x v="0"/>
    <x v="0"/>
    <x v="0"/>
    <x v="0"/>
    <x v="0"/>
    <x v="0"/>
    <x v="0"/>
    <x v="0"/>
    <x v="0"/>
    <x v="200"/>
    <x v="247"/>
    <x v="0"/>
    <x v="249"/>
    <x v="247"/>
    <x v="88"/>
    <x v="0"/>
    <x v="269"/>
    <x v="0"/>
    <x v="0"/>
    <x v="0"/>
    <x v="0"/>
    <x v="0"/>
    <x v="15"/>
    <x v="0"/>
    <x v="0"/>
    <x v="0"/>
    <x v="0"/>
    <x v="247"/>
    <x v="0"/>
    <x v="0"/>
    <x v="247"/>
    <x v="0"/>
    <x v="0"/>
    <x v="197"/>
    <x v="0"/>
    <x v="201"/>
    <x v="88"/>
    <x v="269"/>
    <x v="0"/>
    <x v="9"/>
    <x v="0"/>
    <x v="0"/>
    <x v="23"/>
    <x v="320"/>
    <x v="320"/>
    <x v="0"/>
    <x v="0"/>
    <x v="0"/>
    <x v="247"/>
    <x v="0"/>
    <x v="0"/>
    <x v="0"/>
    <x v="0"/>
    <x v="201"/>
    <x v="0"/>
    <x v="0"/>
    <x v="0"/>
    <x v="21"/>
    <x v="0"/>
    <x v="27"/>
    <x v="27"/>
    <x v="200"/>
    <x v="0"/>
    <x v="0"/>
    <x v="0"/>
    <x v="0"/>
    <x v="267"/>
    <x v="20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4"/>
    <x v="178"/>
    <x v="0"/>
    <x v="0"/>
    <x v="0"/>
    <x v="0"/>
    <x v="0"/>
    <x v="0"/>
  </r>
  <r>
    <x v="0"/>
    <x v="321"/>
    <x v="0"/>
    <x v="18"/>
    <x v="0"/>
    <x v="0"/>
    <x v="0"/>
    <x v="12"/>
    <x v="12"/>
    <x v="0"/>
    <x v="0"/>
    <x v="0"/>
    <x v="4"/>
    <x v="0"/>
    <x v="0"/>
    <x v="12"/>
    <x v="4"/>
    <x v="0"/>
    <x v="0"/>
    <x v="0"/>
    <x v="12"/>
    <x v="12"/>
    <x v="0"/>
    <x v="0"/>
    <x v="0"/>
    <x v="0"/>
    <x v="0"/>
    <x v="2"/>
    <x v="0"/>
    <x v="0"/>
    <x v="0"/>
    <x v="201"/>
    <x v="13"/>
    <x v="0"/>
    <x v="12"/>
    <x v="13"/>
    <x v="1"/>
    <x v="0"/>
    <x v="13"/>
    <x v="2"/>
    <x v="0"/>
    <x v="2"/>
    <x v="0"/>
    <x v="0"/>
    <x v="4"/>
    <x v="0"/>
    <x v="0"/>
    <x v="0"/>
    <x v="0"/>
    <x v="13"/>
    <x v="0"/>
    <x v="2"/>
    <x v="13"/>
    <x v="0"/>
    <x v="0"/>
    <x v="11"/>
    <x v="0"/>
    <x v="10"/>
    <x v="1"/>
    <x v="13"/>
    <x v="0"/>
    <x v="0"/>
    <x v="1"/>
    <x v="0"/>
    <x v="23"/>
    <x v="321"/>
    <x v="321"/>
    <x v="0"/>
    <x v="0"/>
    <x v="0"/>
    <x v="13"/>
    <x v="0"/>
    <x v="0"/>
    <x v="0"/>
    <x v="0"/>
    <x v="10"/>
    <x v="0"/>
    <x v="0"/>
    <x v="0"/>
    <x v="17"/>
    <x v="0"/>
    <x v="6"/>
    <x v="6"/>
    <x v="201"/>
    <x v="0"/>
    <x v="0"/>
    <x v="0"/>
    <x v="0"/>
    <x v="268"/>
    <x v="1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05"/>
    <x v="179"/>
    <x v="0"/>
    <x v="0"/>
    <x v="0"/>
    <x v="0"/>
    <x v="0"/>
    <x v="131"/>
  </r>
  <r>
    <x v="0"/>
    <x v="322"/>
    <x v="0"/>
    <x v="22"/>
    <x v="0"/>
    <x v="0"/>
    <x v="0"/>
    <x v="108"/>
    <x v="110"/>
    <x v="0"/>
    <x v="0"/>
    <x v="0"/>
    <x v="0"/>
    <x v="0"/>
    <x v="0"/>
    <x v="108"/>
    <x v="0"/>
    <x v="0"/>
    <x v="0"/>
    <x v="0"/>
    <x v="108"/>
    <x v="110"/>
    <x v="0"/>
    <x v="0"/>
    <x v="0"/>
    <x v="0"/>
    <x v="0"/>
    <x v="0"/>
    <x v="0"/>
    <x v="0"/>
    <x v="0"/>
    <x v="202"/>
    <x v="110"/>
    <x v="0"/>
    <x v="108"/>
    <x v="110"/>
    <x v="1"/>
    <x v="0"/>
    <x v="117"/>
    <x v="2"/>
    <x v="0"/>
    <x v="2"/>
    <x v="0"/>
    <x v="0"/>
    <x v="0"/>
    <x v="0"/>
    <x v="0"/>
    <x v="0"/>
    <x v="0"/>
    <x v="110"/>
    <x v="0"/>
    <x v="2"/>
    <x v="110"/>
    <x v="0"/>
    <x v="0"/>
    <x v="89"/>
    <x v="0"/>
    <x v="88"/>
    <x v="1"/>
    <x v="117"/>
    <x v="0"/>
    <x v="0"/>
    <x v="1"/>
    <x v="0"/>
    <x v="23"/>
    <x v="322"/>
    <x v="322"/>
    <x v="0"/>
    <x v="0"/>
    <x v="0"/>
    <x v="110"/>
    <x v="0"/>
    <x v="0"/>
    <x v="0"/>
    <x v="0"/>
    <x v="88"/>
    <x v="0"/>
    <x v="0"/>
    <x v="0"/>
    <x v="21"/>
    <x v="0"/>
    <x v="21"/>
    <x v="21"/>
    <x v="202"/>
    <x v="0"/>
    <x v="0"/>
    <x v="0"/>
    <x v="0"/>
    <x v="269"/>
    <x v="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01"/>
    <x v="175"/>
    <x v="0"/>
    <x v="0"/>
    <x v="0"/>
    <x v="0"/>
    <x v="0"/>
    <x v="132"/>
  </r>
  <r>
    <x v="0"/>
    <x v="323"/>
    <x v="0"/>
    <x v="19"/>
    <x v="0"/>
    <x v="0"/>
    <x v="0"/>
    <x v="251"/>
    <x v="264"/>
    <x v="0"/>
    <x v="0"/>
    <x v="0"/>
    <x v="12"/>
    <x v="1"/>
    <x v="0"/>
    <x v="251"/>
    <x v="11"/>
    <x v="0"/>
    <x v="0"/>
    <x v="0"/>
    <x v="251"/>
    <x v="264"/>
    <x v="0"/>
    <x v="0"/>
    <x v="0"/>
    <x v="0"/>
    <x v="0"/>
    <x v="0"/>
    <x v="0"/>
    <x v="0"/>
    <x v="0"/>
    <x v="203"/>
    <x v="248"/>
    <x v="0"/>
    <x v="250"/>
    <x v="248"/>
    <x v="1"/>
    <x v="0"/>
    <x v="270"/>
    <x v="6"/>
    <x v="0"/>
    <x v="6"/>
    <x v="0"/>
    <x v="0"/>
    <x v="12"/>
    <x v="0"/>
    <x v="0"/>
    <x v="0"/>
    <x v="0"/>
    <x v="248"/>
    <x v="0"/>
    <x v="6"/>
    <x v="248"/>
    <x v="0"/>
    <x v="0"/>
    <x v="198"/>
    <x v="0"/>
    <x v="202"/>
    <x v="1"/>
    <x v="270"/>
    <x v="0"/>
    <x v="0"/>
    <x v="1"/>
    <x v="0"/>
    <x v="23"/>
    <x v="323"/>
    <x v="323"/>
    <x v="0"/>
    <x v="0"/>
    <x v="0"/>
    <x v="248"/>
    <x v="0"/>
    <x v="0"/>
    <x v="0"/>
    <x v="0"/>
    <x v="202"/>
    <x v="0"/>
    <x v="0"/>
    <x v="0"/>
    <x v="18"/>
    <x v="0"/>
    <x v="80"/>
    <x v="80"/>
    <x v="203"/>
    <x v="0"/>
    <x v="0"/>
    <x v="0"/>
    <x v="0"/>
    <x v="270"/>
    <x v="20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6"/>
    <x v="180"/>
    <x v="0"/>
    <x v="0"/>
    <x v="0"/>
    <x v="0"/>
    <x v="0"/>
    <x v="0"/>
  </r>
  <r>
    <x v="0"/>
    <x v="324"/>
    <x v="0"/>
    <x v="21"/>
    <x v="0"/>
    <x v="0"/>
    <x v="0"/>
    <x v="250"/>
    <x v="265"/>
    <x v="0"/>
    <x v="0"/>
    <x v="0"/>
    <x v="4"/>
    <x v="0"/>
    <x v="0"/>
    <x v="250"/>
    <x v="4"/>
    <x v="0"/>
    <x v="0"/>
    <x v="0"/>
    <x v="250"/>
    <x v="265"/>
    <x v="0"/>
    <x v="0"/>
    <x v="0"/>
    <x v="0"/>
    <x v="0"/>
    <x v="0"/>
    <x v="0"/>
    <x v="0"/>
    <x v="0"/>
    <x v="204"/>
    <x v="247"/>
    <x v="0"/>
    <x v="249"/>
    <x v="247"/>
    <x v="1"/>
    <x v="0"/>
    <x v="271"/>
    <x v="2"/>
    <x v="0"/>
    <x v="2"/>
    <x v="0"/>
    <x v="0"/>
    <x v="4"/>
    <x v="0"/>
    <x v="0"/>
    <x v="0"/>
    <x v="0"/>
    <x v="247"/>
    <x v="0"/>
    <x v="2"/>
    <x v="247"/>
    <x v="0"/>
    <x v="0"/>
    <x v="197"/>
    <x v="0"/>
    <x v="201"/>
    <x v="1"/>
    <x v="271"/>
    <x v="0"/>
    <x v="0"/>
    <x v="1"/>
    <x v="0"/>
    <x v="23"/>
    <x v="324"/>
    <x v="324"/>
    <x v="0"/>
    <x v="0"/>
    <x v="0"/>
    <x v="247"/>
    <x v="0"/>
    <x v="0"/>
    <x v="0"/>
    <x v="0"/>
    <x v="201"/>
    <x v="0"/>
    <x v="0"/>
    <x v="0"/>
    <x v="20"/>
    <x v="0"/>
    <x v="27"/>
    <x v="27"/>
    <x v="204"/>
    <x v="0"/>
    <x v="0"/>
    <x v="0"/>
    <x v="0"/>
    <x v="271"/>
    <x v="201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07"/>
    <x v="181"/>
    <x v="0"/>
    <x v="0"/>
    <x v="0"/>
    <x v="0"/>
    <x v="0"/>
    <x v="133"/>
  </r>
  <r>
    <x v="0"/>
    <x v="325"/>
    <x v="0"/>
    <x v="22"/>
    <x v="0"/>
    <x v="0"/>
    <x v="0"/>
    <x v="138"/>
    <x v="144"/>
    <x v="0"/>
    <x v="0"/>
    <x v="0"/>
    <x v="4"/>
    <x v="0"/>
    <x v="0"/>
    <x v="138"/>
    <x v="4"/>
    <x v="0"/>
    <x v="0"/>
    <x v="0"/>
    <x v="138"/>
    <x v="144"/>
    <x v="0"/>
    <x v="0"/>
    <x v="0"/>
    <x v="0"/>
    <x v="0"/>
    <x v="0"/>
    <x v="0"/>
    <x v="0"/>
    <x v="0"/>
    <x v="205"/>
    <x v="141"/>
    <x v="0"/>
    <x v="138"/>
    <x v="141"/>
    <x v="56"/>
    <x v="0"/>
    <x v="153"/>
    <x v="0"/>
    <x v="0"/>
    <x v="0"/>
    <x v="0"/>
    <x v="0"/>
    <x v="4"/>
    <x v="0"/>
    <x v="0"/>
    <x v="0"/>
    <x v="0"/>
    <x v="141"/>
    <x v="0"/>
    <x v="0"/>
    <x v="141"/>
    <x v="0"/>
    <x v="0"/>
    <x v="115"/>
    <x v="0"/>
    <x v="118"/>
    <x v="56"/>
    <x v="153"/>
    <x v="0"/>
    <x v="0"/>
    <x v="0"/>
    <x v="0"/>
    <x v="23"/>
    <x v="325"/>
    <x v="325"/>
    <x v="0"/>
    <x v="0"/>
    <x v="0"/>
    <x v="141"/>
    <x v="0"/>
    <x v="0"/>
    <x v="0"/>
    <x v="0"/>
    <x v="118"/>
    <x v="0"/>
    <x v="0"/>
    <x v="0"/>
    <x v="21"/>
    <x v="0"/>
    <x v="27"/>
    <x v="27"/>
    <x v="205"/>
    <x v="0"/>
    <x v="0"/>
    <x v="0"/>
    <x v="0"/>
    <x v="272"/>
    <x v="118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08"/>
    <x v="182"/>
    <x v="0"/>
    <x v="0"/>
    <x v="0"/>
    <x v="0"/>
    <x v="0"/>
    <x v="0"/>
  </r>
  <r>
    <x v="0"/>
    <x v="326"/>
    <x v="0"/>
    <x v="22"/>
    <x v="0"/>
    <x v="0"/>
    <x v="0"/>
    <x v="93"/>
    <x v="95"/>
    <x v="0"/>
    <x v="0"/>
    <x v="0"/>
    <x v="4"/>
    <x v="0"/>
    <x v="0"/>
    <x v="93"/>
    <x v="4"/>
    <x v="0"/>
    <x v="0"/>
    <x v="0"/>
    <x v="93"/>
    <x v="95"/>
    <x v="0"/>
    <x v="0"/>
    <x v="0"/>
    <x v="0"/>
    <x v="0"/>
    <x v="0"/>
    <x v="0"/>
    <x v="0"/>
    <x v="0"/>
    <x v="205"/>
    <x v="94"/>
    <x v="0"/>
    <x v="93"/>
    <x v="94"/>
    <x v="1"/>
    <x v="0"/>
    <x v="101"/>
    <x v="1"/>
    <x v="0"/>
    <x v="1"/>
    <x v="0"/>
    <x v="0"/>
    <x v="4"/>
    <x v="0"/>
    <x v="0"/>
    <x v="0"/>
    <x v="0"/>
    <x v="94"/>
    <x v="0"/>
    <x v="1"/>
    <x v="94"/>
    <x v="0"/>
    <x v="0"/>
    <x v="73"/>
    <x v="0"/>
    <x v="119"/>
    <x v="1"/>
    <x v="101"/>
    <x v="0"/>
    <x v="0"/>
    <x v="1"/>
    <x v="0"/>
    <x v="23"/>
    <x v="326"/>
    <x v="326"/>
    <x v="0"/>
    <x v="0"/>
    <x v="0"/>
    <x v="94"/>
    <x v="0"/>
    <x v="0"/>
    <x v="0"/>
    <x v="0"/>
    <x v="119"/>
    <x v="0"/>
    <x v="0"/>
    <x v="0"/>
    <x v="21"/>
    <x v="0"/>
    <x v="27"/>
    <x v="27"/>
    <x v="205"/>
    <x v="0"/>
    <x v="0"/>
    <x v="0"/>
    <x v="0"/>
    <x v="272"/>
    <x v="119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08"/>
    <x v="182"/>
    <x v="0"/>
    <x v="0"/>
    <x v="0"/>
    <x v="0"/>
    <x v="0"/>
    <x v="0"/>
  </r>
  <r>
    <x v="0"/>
    <x v="327"/>
    <x v="0"/>
    <x v="22"/>
    <x v="0"/>
    <x v="0"/>
    <x v="0"/>
    <x v="252"/>
    <x v="266"/>
    <x v="0"/>
    <x v="0"/>
    <x v="0"/>
    <x v="4"/>
    <x v="0"/>
    <x v="0"/>
    <x v="252"/>
    <x v="4"/>
    <x v="0"/>
    <x v="0"/>
    <x v="0"/>
    <x v="252"/>
    <x v="266"/>
    <x v="0"/>
    <x v="0"/>
    <x v="0"/>
    <x v="0"/>
    <x v="0"/>
    <x v="1"/>
    <x v="0"/>
    <x v="0"/>
    <x v="0"/>
    <x v="206"/>
    <x v="249"/>
    <x v="0"/>
    <x v="251"/>
    <x v="249"/>
    <x v="53"/>
    <x v="0"/>
    <x v="272"/>
    <x v="0"/>
    <x v="0"/>
    <x v="0"/>
    <x v="0"/>
    <x v="0"/>
    <x v="4"/>
    <x v="0"/>
    <x v="0"/>
    <x v="0"/>
    <x v="0"/>
    <x v="249"/>
    <x v="0"/>
    <x v="0"/>
    <x v="249"/>
    <x v="0"/>
    <x v="0"/>
    <x v="199"/>
    <x v="0"/>
    <x v="203"/>
    <x v="53"/>
    <x v="272"/>
    <x v="0"/>
    <x v="0"/>
    <x v="0"/>
    <x v="0"/>
    <x v="23"/>
    <x v="327"/>
    <x v="327"/>
    <x v="0"/>
    <x v="0"/>
    <x v="0"/>
    <x v="249"/>
    <x v="0"/>
    <x v="0"/>
    <x v="0"/>
    <x v="0"/>
    <x v="203"/>
    <x v="0"/>
    <x v="0"/>
    <x v="0"/>
    <x v="21"/>
    <x v="0"/>
    <x v="27"/>
    <x v="27"/>
    <x v="206"/>
    <x v="0"/>
    <x v="0"/>
    <x v="0"/>
    <x v="0"/>
    <x v="273"/>
    <x v="203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09"/>
    <x v="183"/>
    <x v="0"/>
    <x v="0"/>
    <x v="0"/>
    <x v="0"/>
    <x v="0"/>
    <x v="134"/>
  </r>
  <r>
    <x v="1"/>
    <x v="328"/>
    <x v="1"/>
    <x v="22"/>
    <x v="0"/>
    <x v="0"/>
    <x v="0"/>
    <x v="253"/>
    <x v="267"/>
    <x v="0"/>
    <x v="0"/>
    <x v="0"/>
    <x v="31"/>
    <x v="1"/>
    <x v="0"/>
    <x v="253"/>
    <x v="3"/>
    <x v="0"/>
    <x v="0"/>
    <x v="0"/>
    <x v="253"/>
    <x v="267"/>
    <x v="0"/>
    <x v="3"/>
    <x v="0"/>
    <x v="0"/>
    <x v="0"/>
    <x v="0"/>
    <x v="1"/>
    <x v="1"/>
    <x v="0"/>
    <x v="4"/>
    <x v="250"/>
    <x v="0"/>
    <x v="252"/>
    <x v="250"/>
    <x v="1"/>
    <x v="0"/>
    <x v="273"/>
    <x v="0"/>
    <x v="0"/>
    <x v="0"/>
    <x v="0"/>
    <x v="0"/>
    <x v="31"/>
    <x v="0"/>
    <x v="0"/>
    <x v="0"/>
    <x v="0"/>
    <x v="250"/>
    <x v="0"/>
    <x v="0"/>
    <x v="250"/>
    <x v="0"/>
    <x v="0"/>
    <x v="6"/>
    <x v="1"/>
    <x v="7"/>
    <x v="1"/>
    <x v="273"/>
    <x v="0"/>
    <x v="12"/>
    <x v="0"/>
    <x v="0"/>
    <x v="23"/>
    <x v="328"/>
    <x v="328"/>
    <x v="0"/>
    <x v="0"/>
    <x v="0"/>
    <x v="250"/>
    <x v="0"/>
    <x v="0"/>
    <x v="0"/>
    <x v="0"/>
    <x v="7"/>
    <x v="0"/>
    <x v="0"/>
    <x v="0"/>
    <x v="21"/>
    <x v="0"/>
    <x v="3"/>
    <x v="3"/>
    <x v="4"/>
    <x v="1"/>
    <x v="0"/>
    <x v="0"/>
    <x v="0"/>
    <x v="274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29"/>
    <x v="1"/>
    <x v="22"/>
    <x v="0"/>
    <x v="0"/>
    <x v="0"/>
    <x v="254"/>
    <x v="268"/>
    <x v="0"/>
    <x v="0"/>
    <x v="0"/>
    <x v="31"/>
    <x v="5"/>
    <x v="0"/>
    <x v="254"/>
    <x v="15"/>
    <x v="0"/>
    <x v="0"/>
    <x v="0"/>
    <x v="254"/>
    <x v="268"/>
    <x v="0"/>
    <x v="3"/>
    <x v="0"/>
    <x v="0"/>
    <x v="0"/>
    <x v="0"/>
    <x v="1"/>
    <x v="1"/>
    <x v="0"/>
    <x v="4"/>
    <x v="251"/>
    <x v="0"/>
    <x v="253"/>
    <x v="251"/>
    <x v="1"/>
    <x v="0"/>
    <x v="274"/>
    <x v="0"/>
    <x v="0"/>
    <x v="0"/>
    <x v="0"/>
    <x v="0"/>
    <x v="31"/>
    <x v="0"/>
    <x v="0"/>
    <x v="0"/>
    <x v="0"/>
    <x v="251"/>
    <x v="0"/>
    <x v="0"/>
    <x v="251"/>
    <x v="0"/>
    <x v="0"/>
    <x v="6"/>
    <x v="1"/>
    <x v="7"/>
    <x v="1"/>
    <x v="274"/>
    <x v="0"/>
    <x v="12"/>
    <x v="0"/>
    <x v="0"/>
    <x v="23"/>
    <x v="329"/>
    <x v="329"/>
    <x v="0"/>
    <x v="0"/>
    <x v="0"/>
    <x v="251"/>
    <x v="0"/>
    <x v="0"/>
    <x v="0"/>
    <x v="0"/>
    <x v="7"/>
    <x v="0"/>
    <x v="0"/>
    <x v="0"/>
    <x v="21"/>
    <x v="0"/>
    <x v="3"/>
    <x v="3"/>
    <x v="4"/>
    <x v="1"/>
    <x v="0"/>
    <x v="0"/>
    <x v="0"/>
    <x v="275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30"/>
    <x v="0"/>
    <x v="23"/>
    <x v="0"/>
    <x v="0"/>
    <x v="0"/>
    <x v="255"/>
    <x v="269"/>
    <x v="0"/>
    <x v="0"/>
    <x v="0"/>
    <x v="4"/>
    <x v="0"/>
    <x v="0"/>
    <x v="255"/>
    <x v="4"/>
    <x v="0"/>
    <x v="0"/>
    <x v="0"/>
    <x v="255"/>
    <x v="269"/>
    <x v="0"/>
    <x v="0"/>
    <x v="0"/>
    <x v="0"/>
    <x v="0"/>
    <x v="0"/>
    <x v="0"/>
    <x v="0"/>
    <x v="0"/>
    <x v="207"/>
    <x v="252"/>
    <x v="0"/>
    <x v="254"/>
    <x v="252"/>
    <x v="89"/>
    <x v="0"/>
    <x v="275"/>
    <x v="0"/>
    <x v="0"/>
    <x v="0"/>
    <x v="0"/>
    <x v="0"/>
    <x v="4"/>
    <x v="0"/>
    <x v="0"/>
    <x v="0"/>
    <x v="0"/>
    <x v="252"/>
    <x v="0"/>
    <x v="0"/>
    <x v="252"/>
    <x v="0"/>
    <x v="0"/>
    <x v="200"/>
    <x v="0"/>
    <x v="204"/>
    <x v="89"/>
    <x v="275"/>
    <x v="0"/>
    <x v="0"/>
    <x v="0"/>
    <x v="0"/>
    <x v="24"/>
    <x v="330"/>
    <x v="330"/>
    <x v="0"/>
    <x v="0"/>
    <x v="0"/>
    <x v="252"/>
    <x v="0"/>
    <x v="0"/>
    <x v="0"/>
    <x v="0"/>
    <x v="204"/>
    <x v="0"/>
    <x v="0"/>
    <x v="0"/>
    <x v="22"/>
    <x v="0"/>
    <x v="63"/>
    <x v="63"/>
    <x v="207"/>
    <x v="0"/>
    <x v="0"/>
    <x v="0"/>
    <x v="0"/>
    <x v="276"/>
    <x v="204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10"/>
    <x v="130"/>
    <x v="0"/>
    <x v="0"/>
    <x v="0"/>
    <x v="0"/>
    <x v="0"/>
    <x v="0"/>
  </r>
  <r>
    <x v="0"/>
    <x v="331"/>
    <x v="0"/>
    <x v="23"/>
    <x v="0"/>
    <x v="0"/>
    <x v="0"/>
    <x v="256"/>
    <x v="270"/>
    <x v="0"/>
    <x v="0"/>
    <x v="0"/>
    <x v="4"/>
    <x v="0"/>
    <x v="0"/>
    <x v="256"/>
    <x v="4"/>
    <x v="0"/>
    <x v="0"/>
    <x v="0"/>
    <x v="256"/>
    <x v="270"/>
    <x v="0"/>
    <x v="0"/>
    <x v="0"/>
    <x v="0"/>
    <x v="0"/>
    <x v="0"/>
    <x v="0"/>
    <x v="0"/>
    <x v="0"/>
    <x v="207"/>
    <x v="253"/>
    <x v="0"/>
    <x v="255"/>
    <x v="253"/>
    <x v="1"/>
    <x v="0"/>
    <x v="276"/>
    <x v="1"/>
    <x v="0"/>
    <x v="1"/>
    <x v="0"/>
    <x v="0"/>
    <x v="4"/>
    <x v="0"/>
    <x v="0"/>
    <x v="0"/>
    <x v="0"/>
    <x v="253"/>
    <x v="0"/>
    <x v="1"/>
    <x v="253"/>
    <x v="0"/>
    <x v="0"/>
    <x v="201"/>
    <x v="0"/>
    <x v="205"/>
    <x v="1"/>
    <x v="276"/>
    <x v="0"/>
    <x v="0"/>
    <x v="1"/>
    <x v="0"/>
    <x v="24"/>
    <x v="331"/>
    <x v="331"/>
    <x v="0"/>
    <x v="0"/>
    <x v="0"/>
    <x v="253"/>
    <x v="0"/>
    <x v="0"/>
    <x v="0"/>
    <x v="0"/>
    <x v="205"/>
    <x v="0"/>
    <x v="0"/>
    <x v="0"/>
    <x v="22"/>
    <x v="0"/>
    <x v="63"/>
    <x v="63"/>
    <x v="207"/>
    <x v="0"/>
    <x v="0"/>
    <x v="0"/>
    <x v="0"/>
    <x v="276"/>
    <x v="205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10"/>
    <x v="130"/>
    <x v="0"/>
    <x v="0"/>
    <x v="0"/>
    <x v="0"/>
    <x v="0"/>
    <x v="0"/>
  </r>
  <r>
    <x v="0"/>
    <x v="332"/>
    <x v="0"/>
    <x v="23"/>
    <x v="0"/>
    <x v="0"/>
    <x v="0"/>
    <x v="231"/>
    <x v="244"/>
    <x v="0"/>
    <x v="0"/>
    <x v="0"/>
    <x v="8"/>
    <x v="0"/>
    <x v="0"/>
    <x v="231"/>
    <x v="8"/>
    <x v="0"/>
    <x v="0"/>
    <x v="0"/>
    <x v="231"/>
    <x v="244"/>
    <x v="0"/>
    <x v="0"/>
    <x v="0"/>
    <x v="0"/>
    <x v="0"/>
    <x v="0"/>
    <x v="0"/>
    <x v="0"/>
    <x v="0"/>
    <x v="208"/>
    <x v="230"/>
    <x v="0"/>
    <x v="230"/>
    <x v="230"/>
    <x v="1"/>
    <x v="0"/>
    <x v="252"/>
    <x v="2"/>
    <x v="0"/>
    <x v="2"/>
    <x v="0"/>
    <x v="0"/>
    <x v="8"/>
    <x v="0"/>
    <x v="0"/>
    <x v="0"/>
    <x v="0"/>
    <x v="230"/>
    <x v="0"/>
    <x v="2"/>
    <x v="230"/>
    <x v="0"/>
    <x v="0"/>
    <x v="184"/>
    <x v="0"/>
    <x v="188"/>
    <x v="1"/>
    <x v="252"/>
    <x v="0"/>
    <x v="7"/>
    <x v="5"/>
    <x v="0"/>
    <x v="24"/>
    <x v="332"/>
    <x v="332"/>
    <x v="0"/>
    <x v="0"/>
    <x v="0"/>
    <x v="230"/>
    <x v="0"/>
    <x v="0"/>
    <x v="0"/>
    <x v="0"/>
    <x v="188"/>
    <x v="0"/>
    <x v="0"/>
    <x v="0"/>
    <x v="22"/>
    <x v="0"/>
    <x v="33"/>
    <x v="33"/>
    <x v="208"/>
    <x v="0"/>
    <x v="0"/>
    <x v="0"/>
    <x v="0"/>
    <x v="277"/>
    <x v="188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211"/>
    <x v="184"/>
    <x v="0"/>
    <x v="0"/>
    <x v="0"/>
    <x v="0"/>
    <x v="0"/>
    <x v="135"/>
  </r>
  <r>
    <x v="0"/>
    <x v="333"/>
    <x v="0"/>
    <x v="22"/>
    <x v="0"/>
    <x v="0"/>
    <x v="0"/>
    <x v="257"/>
    <x v="271"/>
    <x v="0"/>
    <x v="0"/>
    <x v="0"/>
    <x v="8"/>
    <x v="0"/>
    <x v="0"/>
    <x v="257"/>
    <x v="8"/>
    <x v="0"/>
    <x v="0"/>
    <x v="0"/>
    <x v="257"/>
    <x v="271"/>
    <x v="0"/>
    <x v="0"/>
    <x v="0"/>
    <x v="0"/>
    <x v="0"/>
    <x v="0"/>
    <x v="0"/>
    <x v="0"/>
    <x v="0"/>
    <x v="209"/>
    <x v="209"/>
    <x v="0"/>
    <x v="256"/>
    <x v="209"/>
    <x v="1"/>
    <x v="0"/>
    <x v="224"/>
    <x v="0"/>
    <x v="0"/>
    <x v="0"/>
    <x v="0"/>
    <x v="0"/>
    <x v="8"/>
    <x v="0"/>
    <x v="0"/>
    <x v="0"/>
    <x v="0"/>
    <x v="209"/>
    <x v="0"/>
    <x v="0"/>
    <x v="209"/>
    <x v="0"/>
    <x v="0"/>
    <x v="164"/>
    <x v="0"/>
    <x v="171"/>
    <x v="1"/>
    <x v="224"/>
    <x v="0"/>
    <x v="0"/>
    <x v="0"/>
    <x v="0"/>
    <x v="24"/>
    <x v="333"/>
    <x v="333"/>
    <x v="0"/>
    <x v="0"/>
    <x v="0"/>
    <x v="209"/>
    <x v="0"/>
    <x v="0"/>
    <x v="0"/>
    <x v="0"/>
    <x v="171"/>
    <x v="0"/>
    <x v="0"/>
    <x v="0"/>
    <x v="21"/>
    <x v="0"/>
    <x v="12"/>
    <x v="12"/>
    <x v="209"/>
    <x v="0"/>
    <x v="0"/>
    <x v="0"/>
    <x v="0"/>
    <x v="278"/>
    <x v="171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212"/>
    <x v="185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210"/>
    <x v="17"/>
    <x v="0"/>
    <x v="7"/>
    <x v="17"/>
    <x v="1"/>
    <x v="0"/>
    <x v="17"/>
    <x v="0"/>
    <x v="1"/>
    <x v="0"/>
    <x v="1"/>
    <x v="0"/>
    <x v="3"/>
    <x v="0"/>
    <x v="0"/>
    <x v="0"/>
    <x v="0"/>
    <x v="17"/>
    <x v="1"/>
    <x v="0"/>
    <x v="17"/>
    <x v="0"/>
    <x v="0"/>
    <x v="14"/>
    <x v="0"/>
    <x v="13"/>
    <x v="1"/>
    <x v="17"/>
    <x v="1"/>
    <x v="3"/>
    <x v="3"/>
    <x v="1"/>
    <x v="1"/>
    <x v="9"/>
    <x v="9"/>
    <x v="0"/>
    <x v="0"/>
    <x v="1"/>
    <x v="17"/>
    <x v="0"/>
    <x v="0"/>
    <x v="0"/>
    <x v="1"/>
    <x v="13"/>
    <x v="0"/>
    <x v="1"/>
    <x v="1"/>
    <x v="21"/>
    <x v="0"/>
    <x v="9"/>
    <x v="9"/>
    <x v="210"/>
    <x v="0"/>
    <x v="1"/>
    <x v="0"/>
    <x v="0"/>
    <x v="5"/>
    <x v="13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34"/>
    <x v="3"/>
    <x v="0"/>
    <x v="0"/>
    <x v="0"/>
    <x v="0"/>
    <x v="258"/>
    <x v="272"/>
    <x v="0"/>
    <x v="0"/>
    <x v="0"/>
    <x v="7"/>
    <x v="4"/>
    <x v="0"/>
    <x v="258"/>
    <x v="7"/>
    <x v="0"/>
    <x v="0"/>
    <x v="0"/>
    <x v="258"/>
    <x v="272"/>
    <x v="0"/>
    <x v="3"/>
    <x v="0"/>
    <x v="0"/>
    <x v="0"/>
    <x v="0"/>
    <x v="1"/>
    <x v="1"/>
    <x v="0"/>
    <x v="4"/>
    <x v="254"/>
    <x v="0"/>
    <x v="257"/>
    <x v="254"/>
    <x v="1"/>
    <x v="0"/>
    <x v="277"/>
    <x v="0"/>
    <x v="0"/>
    <x v="0"/>
    <x v="0"/>
    <x v="0"/>
    <x v="7"/>
    <x v="0"/>
    <x v="0"/>
    <x v="0"/>
    <x v="0"/>
    <x v="254"/>
    <x v="0"/>
    <x v="0"/>
    <x v="254"/>
    <x v="0"/>
    <x v="0"/>
    <x v="6"/>
    <x v="1"/>
    <x v="7"/>
    <x v="1"/>
    <x v="277"/>
    <x v="0"/>
    <x v="0"/>
    <x v="1"/>
    <x v="0"/>
    <x v="24"/>
    <x v="334"/>
    <x v="334"/>
    <x v="0"/>
    <x v="0"/>
    <x v="0"/>
    <x v="254"/>
    <x v="0"/>
    <x v="0"/>
    <x v="0"/>
    <x v="0"/>
    <x v="7"/>
    <x v="0"/>
    <x v="0"/>
    <x v="0"/>
    <x v="0"/>
    <x v="0"/>
    <x v="3"/>
    <x v="3"/>
    <x v="4"/>
    <x v="1"/>
    <x v="0"/>
    <x v="0"/>
    <x v="0"/>
    <x v="279"/>
    <x v="7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18"/>
    <x v="4"/>
    <x v="0"/>
    <x v="0"/>
    <x v="0"/>
    <x v="0"/>
    <x v="0"/>
    <x v="136"/>
  </r>
  <r>
    <x v="1"/>
    <x v="335"/>
    <x v="1"/>
    <x v="23"/>
    <x v="0"/>
    <x v="0"/>
    <x v="0"/>
    <x v="259"/>
    <x v="273"/>
    <x v="0"/>
    <x v="0"/>
    <x v="0"/>
    <x v="29"/>
    <x v="5"/>
    <x v="0"/>
    <x v="259"/>
    <x v="15"/>
    <x v="0"/>
    <x v="0"/>
    <x v="0"/>
    <x v="259"/>
    <x v="273"/>
    <x v="0"/>
    <x v="3"/>
    <x v="0"/>
    <x v="0"/>
    <x v="0"/>
    <x v="0"/>
    <x v="1"/>
    <x v="1"/>
    <x v="0"/>
    <x v="4"/>
    <x v="255"/>
    <x v="0"/>
    <x v="258"/>
    <x v="255"/>
    <x v="1"/>
    <x v="0"/>
    <x v="278"/>
    <x v="0"/>
    <x v="0"/>
    <x v="0"/>
    <x v="0"/>
    <x v="0"/>
    <x v="29"/>
    <x v="0"/>
    <x v="0"/>
    <x v="0"/>
    <x v="0"/>
    <x v="255"/>
    <x v="0"/>
    <x v="0"/>
    <x v="255"/>
    <x v="0"/>
    <x v="0"/>
    <x v="6"/>
    <x v="1"/>
    <x v="7"/>
    <x v="1"/>
    <x v="278"/>
    <x v="0"/>
    <x v="12"/>
    <x v="0"/>
    <x v="0"/>
    <x v="24"/>
    <x v="335"/>
    <x v="335"/>
    <x v="0"/>
    <x v="0"/>
    <x v="0"/>
    <x v="255"/>
    <x v="0"/>
    <x v="0"/>
    <x v="0"/>
    <x v="0"/>
    <x v="7"/>
    <x v="0"/>
    <x v="0"/>
    <x v="0"/>
    <x v="22"/>
    <x v="0"/>
    <x v="3"/>
    <x v="3"/>
    <x v="4"/>
    <x v="1"/>
    <x v="0"/>
    <x v="0"/>
    <x v="0"/>
    <x v="280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36"/>
    <x v="0"/>
    <x v="16"/>
    <x v="0"/>
    <x v="0"/>
    <x v="0"/>
    <x v="260"/>
    <x v="274"/>
    <x v="0"/>
    <x v="0"/>
    <x v="0"/>
    <x v="32"/>
    <x v="1"/>
    <x v="0"/>
    <x v="260"/>
    <x v="11"/>
    <x v="0"/>
    <x v="0"/>
    <x v="0"/>
    <x v="260"/>
    <x v="274"/>
    <x v="0"/>
    <x v="3"/>
    <x v="0"/>
    <x v="0"/>
    <x v="2"/>
    <x v="0"/>
    <x v="1"/>
    <x v="1"/>
    <x v="0"/>
    <x v="4"/>
    <x v="256"/>
    <x v="0"/>
    <x v="259"/>
    <x v="256"/>
    <x v="1"/>
    <x v="0"/>
    <x v="279"/>
    <x v="0"/>
    <x v="0"/>
    <x v="0"/>
    <x v="0"/>
    <x v="0"/>
    <x v="32"/>
    <x v="0"/>
    <x v="0"/>
    <x v="0"/>
    <x v="0"/>
    <x v="256"/>
    <x v="0"/>
    <x v="0"/>
    <x v="256"/>
    <x v="0"/>
    <x v="0"/>
    <x v="6"/>
    <x v="1"/>
    <x v="7"/>
    <x v="1"/>
    <x v="279"/>
    <x v="0"/>
    <x v="12"/>
    <x v="0"/>
    <x v="0"/>
    <x v="24"/>
    <x v="336"/>
    <x v="336"/>
    <x v="0"/>
    <x v="0"/>
    <x v="0"/>
    <x v="256"/>
    <x v="0"/>
    <x v="0"/>
    <x v="0"/>
    <x v="0"/>
    <x v="7"/>
    <x v="0"/>
    <x v="0"/>
    <x v="0"/>
    <x v="15"/>
    <x v="0"/>
    <x v="3"/>
    <x v="3"/>
    <x v="4"/>
    <x v="1"/>
    <x v="0"/>
    <x v="0"/>
    <x v="0"/>
    <x v="281"/>
    <x v="7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37"/>
    <x v="0"/>
    <x v="24"/>
    <x v="0"/>
    <x v="0"/>
    <x v="0"/>
    <x v="261"/>
    <x v="275"/>
    <x v="0"/>
    <x v="0"/>
    <x v="0"/>
    <x v="1"/>
    <x v="0"/>
    <x v="0"/>
    <x v="261"/>
    <x v="2"/>
    <x v="0"/>
    <x v="0"/>
    <x v="0"/>
    <x v="261"/>
    <x v="275"/>
    <x v="0"/>
    <x v="0"/>
    <x v="0"/>
    <x v="0"/>
    <x v="0"/>
    <x v="0"/>
    <x v="0"/>
    <x v="0"/>
    <x v="0"/>
    <x v="211"/>
    <x v="257"/>
    <x v="0"/>
    <x v="260"/>
    <x v="257"/>
    <x v="90"/>
    <x v="0"/>
    <x v="280"/>
    <x v="0"/>
    <x v="0"/>
    <x v="0"/>
    <x v="0"/>
    <x v="0"/>
    <x v="1"/>
    <x v="0"/>
    <x v="0"/>
    <x v="0"/>
    <x v="0"/>
    <x v="257"/>
    <x v="0"/>
    <x v="0"/>
    <x v="257"/>
    <x v="0"/>
    <x v="0"/>
    <x v="202"/>
    <x v="0"/>
    <x v="206"/>
    <x v="90"/>
    <x v="280"/>
    <x v="0"/>
    <x v="1"/>
    <x v="0"/>
    <x v="0"/>
    <x v="24"/>
    <x v="337"/>
    <x v="337"/>
    <x v="0"/>
    <x v="0"/>
    <x v="0"/>
    <x v="257"/>
    <x v="0"/>
    <x v="0"/>
    <x v="0"/>
    <x v="0"/>
    <x v="206"/>
    <x v="0"/>
    <x v="0"/>
    <x v="0"/>
    <x v="23"/>
    <x v="0"/>
    <x v="8"/>
    <x v="8"/>
    <x v="211"/>
    <x v="0"/>
    <x v="0"/>
    <x v="0"/>
    <x v="0"/>
    <x v="282"/>
    <x v="20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13"/>
    <x v="186"/>
    <x v="0"/>
    <x v="0"/>
    <x v="0"/>
    <x v="0"/>
    <x v="0"/>
    <x v="0"/>
  </r>
  <r>
    <x v="0"/>
    <x v="338"/>
    <x v="0"/>
    <x v="24"/>
    <x v="0"/>
    <x v="0"/>
    <x v="0"/>
    <x v="262"/>
    <x v="276"/>
    <x v="0"/>
    <x v="0"/>
    <x v="0"/>
    <x v="1"/>
    <x v="0"/>
    <x v="0"/>
    <x v="262"/>
    <x v="2"/>
    <x v="0"/>
    <x v="0"/>
    <x v="0"/>
    <x v="262"/>
    <x v="276"/>
    <x v="0"/>
    <x v="0"/>
    <x v="0"/>
    <x v="0"/>
    <x v="0"/>
    <x v="0"/>
    <x v="0"/>
    <x v="0"/>
    <x v="0"/>
    <x v="211"/>
    <x v="258"/>
    <x v="0"/>
    <x v="261"/>
    <x v="258"/>
    <x v="1"/>
    <x v="0"/>
    <x v="281"/>
    <x v="1"/>
    <x v="0"/>
    <x v="1"/>
    <x v="0"/>
    <x v="0"/>
    <x v="1"/>
    <x v="0"/>
    <x v="0"/>
    <x v="0"/>
    <x v="0"/>
    <x v="258"/>
    <x v="0"/>
    <x v="1"/>
    <x v="258"/>
    <x v="0"/>
    <x v="0"/>
    <x v="203"/>
    <x v="0"/>
    <x v="207"/>
    <x v="1"/>
    <x v="281"/>
    <x v="0"/>
    <x v="1"/>
    <x v="2"/>
    <x v="0"/>
    <x v="24"/>
    <x v="338"/>
    <x v="338"/>
    <x v="0"/>
    <x v="0"/>
    <x v="0"/>
    <x v="258"/>
    <x v="0"/>
    <x v="0"/>
    <x v="0"/>
    <x v="0"/>
    <x v="207"/>
    <x v="0"/>
    <x v="0"/>
    <x v="0"/>
    <x v="23"/>
    <x v="0"/>
    <x v="8"/>
    <x v="8"/>
    <x v="211"/>
    <x v="0"/>
    <x v="0"/>
    <x v="0"/>
    <x v="0"/>
    <x v="282"/>
    <x v="20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13"/>
    <x v="186"/>
    <x v="0"/>
    <x v="0"/>
    <x v="0"/>
    <x v="0"/>
    <x v="0"/>
    <x v="0"/>
  </r>
  <r>
    <x v="0"/>
    <x v="339"/>
    <x v="0"/>
    <x v="22"/>
    <x v="0"/>
    <x v="0"/>
    <x v="0"/>
    <x v="263"/>
    <x v="277"/>
    <x v="0"/>
    <x v="0"/>
    <x v="0"/>
    <x v="1"/>
    <x v="0"/>
    <x v="0"/>
    <x v="263"/>
    <x v="2"/>
    <x v="0"/>
    <x v="0"/>
    <x v="0"/>
    <x v="263"/>
    <x v="277"/>
    <x v="0"/>
    <x v="0"/>
    <x v="0"/>
    <x v="0"/>
    <x v="0"/>
    <x v="0"/>
    <x v="0"/>
    <x v="0"/>
    <x v="0"/>
    <x v="212"/>
    <x v="259"/>
    <x v="0"/>
    <x v="262"/>
    <x v="259"/>
    <x v="1"/>
    <x v="0"/>
    <x v="282"/>
    <x v="2"/>
    <x v="0"/>
    <x v="2"/>
    <x v="0"/>
    <x v="0"/>
    <x v="1"/>
    <x v="0"/>
    <x v="0"/>
    <x v="0"/>
    <x v="0"/>
    <x v="259"/>
    <x v="0"/>
    <x v="2"/>
    <x v="259"/>
    <x v="0"/>
    <x v="0"/>
    <x v="204"/>
    <x v="0"/>
    <x v="208"/>
    <x v="1"/>
    <x v="282"/>
    <x v="0"/>
    <x v="1"/>
    <x v="0"/>
    <x v="0"/>
    <x v="24"/>
    <x v="339"/>
    <x v="339"/>
    <x v="0"/>
    <x v="0"/>
    <x v="0"/>
    <x v="259"/>
    <x v="0"/>
    <x v="0"/>
    <x v="0"/>
    <x v="0"/>
    <x v="208"/>
    <x v="0"/>
    <x v="0"/>
    <x v="0"/>
    <x v="21"/>
    <x v="0"/>
    <x v="36"/>
    <x v="36"/>
    <x v="212"/>
    <x v="0"/>
    <x v="0"/>
    <x v="0"/>
    <x v="0"/>
    <x v="283"/>
    <x v="20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14"/>
    <x v="187"/>
    <x v="0"/>
    <x v="0"/>
    <x v="0"/>
    <x v="0"/>
    <x v="0"/>
    <x v="137"/>
  </r>
  <r>
    <x v="0"/>
    <x v="340"/>
    <x v="2"/>
    <x v="23"/>
    <x v="0"/>
    <x v="0"/>
    <x v="0"/>
    <x v="264"/>
    <x v="278"/>
    <x v="0"/>
    <x v="0"/>
    <x v="0"/>
    <x v="5"/>
    <x v="3"/>
    <x v="0"/>
    <x v="264"/>
    <x v="5"/>
    <x v="0"/>
    <x v="0"/>
    <x v="0"/>
    <x v="264"/>
    <x v="278"/>
    <x v="0"/>
    <x v="0"/>
    <x v="0"/>
    <x v="0"/>
    <x v="0"/>
    <x v="1"/>
    <x v="0"/>
    <x v="0"/>
    <x v="0"/>
    <x v="213"/>
    <x v="114"/>
    <x v="0"/>
    <x v="263"/>
    <x v="114"/>
    <x v="91"/>
    <x v="0"/>
    <x v="283"/>
    <x v="0"/>
    <x v="0"/>
    <x v="0"/>
    <x v="0"/>
    <x v="0"/>
    <x v="5"/>
    <x v="0"/>
    <x v="0"/>
    <x v="0"/>
    <x v="0"/>
    <x v="114"/>
    <x v="0"/>
    <x v="0"/>
    <x v="114"/>
    <x v="0"/>
    <x v="0"/>
    <x v="93"/>
    <x v="0"/>
    <x v="92"/>
    <x v="91"/>
    <x v="283"/>
    <x v="0"/>
    <x v="5"/>
    <x v="0"/>
    <x v="0"/>
    <x v="24"/>
    <x v="340"/>
    <x v="340"/>
    <x v="0"/>
    <x v="0"/>
    <x v="0"/>
    <x v="114"/>
    <x v="0"/>
    <x v="0"/>
    <x v="0"/>
    <x v="0"/>
    <x v="92"/>
    <x v="0"/>
    <x v="0"/>
    <x v="0"/>
    <x v="22"/>
    <x v="0"/>
    <x v="81"/>
    <x v="81"/>
    <x v="213"/>
    <x v="0"/>
    <x v="0"/>
    <x v="0"/>
    <x v="0"/>
    <x v="284"/>
    <x v="92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215"/>
    <x v="188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1"/>
    <x v="0"/>
    <x v="0"/>
    <x v="1"/>
    <x v="214"/>
    <x v="194"/>
    <x v="0"/>
    <x v="7"/>
    <x v="194"/>
    <x v="92"/>
    <x v="0"/>
    <x v="284"/>
    <x v="0"/>
    <x v="1"/>
    <x v="0"/>
    <x v="1"/>
    <x v="0"/>
    <x v="3"/>
    <x v="0"/>
    <x v="0"/>
    <x v="0"/>
    <x v="0"/>
    <x v="194"/>
    <x v="1"/>
    <x v="0"/>
    <x v="194"/>
    <x v="0"/>
    <x v="0"/>
    <x v="152"/>
    <x v="0"/>
    <x v="158"/>
    <x v="92"/>
    <x v="284"/>
    <x v="1"/>
    <x v="3"/>
    <x v="3"/>
    <x v="1"/>
    <x v="1"/>
    <x v="9"/>
    <x v="9"/>
    <x v="0"/>
    <x v="0"/>
    <x v="1"/>
    <x v="194"/>
    <x v="0"/>
    <x v="0"/>
    <x v="0"/>
    <x v="1"/>
    <x v="158"/>
    <x v="0"/>
    <x v="1"/>
    <x v="1"/>
    <x v="22"/>
    <x v="0"/>
    <x v="33"/>
    <x v="33"/>
    <x v="214"/>
    <x v="0"/>
    <x v="1"/>
    <x v="0"/>
    <x v="0"/>
    <x v="5"/>
    <x v="158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41"/>
    <x v="0"/>
    <x v="23"/>
    <x v="0"/>
    <x v="0"/>
    <x v="0"/>
    <x v="265"/>
    <x v="279"/>
    <x v="0"/>
    <x v="0"/>
    <x v="0"/>
    <x v="33"/>
    <x v="1"/>
    <x v="0"/>
    <x v="265"/>
    <x v="3"/>
    <x v="0"/>
    <x v="0"/>
    <x v="0"/>
    <x v="265"/>
    <x v="279"/>
    <x v="0"/>
    <x v="3"/>
    <x v="0"/>
    <x v="0"/>
    <x v="0"/>
    <x v="0"/>
    <x v="1"/>
    <x v="1"/>
    <x v="0"/>
    <x v="4"/>
    <x v="260"/>
    <x v="0"/>
    <x v="264"/>
    <x v="260"/>
    <x v="1"/>
    <x v="0"/>
    <x v="285"/>
    <x v="0"/>
    <x v="0"/>
    <x v="0"/>
    <x v="0"/>
    <x v="0"/>
    <x v="33"/>
    <x v="0"/>
    <x v="0"/>
    <x v="0"/>
    <x v="0"/>
    <x v="260"/>
    <x v="0"/>
    <x v="0"/>
    <x v="260"/>
    <x v="0"/>
    <x v="0"/>
    <x v="6"/>
    <x v="1"/>
    <x v="7"/>
    <x v="1"/>
    <x v="285"/>
    <x v="0"/>
    <x v="2"/>
    <x v="7"/>
    <x v="0"/>
    <x v="24"/>
    <x v="341"/>
    <x v="341"/>
    <x v="0"/>
    <x v="0"/>
    <x v="0"/>
    <x v="260"/>
    <x v="0"/>
    <x v="0"/>
    <x v="0"/>
    <x v="0"/>
    <x v="7"/>
    <x v="0"/>
    <x v="0"/>
    <x v="0"/>
    <x v="22"/>
    <x v="0"/>
    <x v="3"/>
    <x v="3"/>
    <x v="4"/>
    <x v="1"/>
    <x v="0"/>
    <x v="0"/>
    <x v="0"/>
    <x v="285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138"/>
  </r>
  <r>
    <x v="0"/>
    <x v="342"/>
    <x v="0"/>
    <x v="23"/>
    <x v="0"/>
    <x v="0"/>
    <x v="0"/>
    <x v="266"/>
    <x v="280"/>
    <x v="0"/>
    <x v="0"/>
    <x v="0"/>
    <x v="8"/>
    <x v="0"/>
    <x v="0"/>
    <x v="266"/>
    <x v="8"/>
    <x v="0"/>
    <x v="0"/>
    <x v="0"/>
    <x v="266"/>
    <x v="280"/>
    <x v="0"/>
    <x v="0"/>
    <x v="0"/>
    <x v="0"/>
    <x v="0"/>
    <x v="0"/>
    <x v="0"/>
    <x v="0"/>
    <x v="0"/>
    <x v="215"/>
    <x v="261"/>
    <x v="0"/>
    <x v="265"/>
    <x v="261"/>
    <x v="1"/>
    <x v="0"/>
    <x v="286"/>
    <x v="2"/>
    <x v="0"/>
    <x v="2"/>
    <x v="0"/>
    <x v="0"/>
    <x v="8"/>
    <x v="0"/>
    <x v="0"/>
    <x v="0"/>
    <x v="0"/>
    <x v="261"/>
    <x v="0"/>
    <x v="2"/>
    <x v="261"/>
    <x v="0"/>
    <x v="0"/>
    <x v="205"/>
    <x v="0"/>
    <x v="209"/>
    <x v="1"/>
    <x v="286"/>
    <x v="0"/>
    <x v="7"/>
    <x v="5"/>
    <x v="0"/>
    <x v="24"/>
    <x v="342"/>
    <x v="342"/>
    <x v="0"/>
    <x v="0"/>
    <x v="0"/>
    <x v="261"/>
    <x v="0"/>
    <x v="0"/>
    <x v="0"/>
    <x v="0"/>
    <x v="209"/>
    <x v="0"/>
    <x v="0"/>
    <x v="0"/>
    <x v="22"/>
    <x v="0"/>
    <x v="82"/>
    <x v="82"/>
    <x v="215"/>
    <x v="0"/>
    <x v="0"/>
    <x v="0"/>
    <x v="0"/>
    <x v="286"/>
    <x v="209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216"/>
    <x v="189"/>
    <x v="0"/>
    <x v="0"/>
    <x v="0"/>
    <x v="0"/>
    <x v="0"/>
    <x v="139"/>
  </r>
  <r>
    <x v="1"/>
    <x v="343"/>
    <x v="0"/>
    <x v="16"/>
    <x v="0"/>
    <x v="0"/>
    <x v="0"/>
    <x v="267"/>
    <x v="281"/>
    <x v="0"/>
    <x v="0"/>
    <x v="0"/>
    <x v="33"/>
    <x v="1"/>
    <x v="0"/>
    <x v="267"/>
    <x v="3"/>
    <x v="0"/>
    <x v="0"/>
    <x v="0"/>
    <x v="267"/>
    <x v="281"/>
    <x v="0"/>
    <x v="3"/>
    <x v="0"/>
    <x v="0"/>
    <x v="0"/>
    <x v="0"/>
    <x v="1"/>
    <x v="1"/>
    <x v="0"/>
    <x v="4"/>
    <x v="262"/>
    <x v="0"/>
    <x v="266"/>
    <x v="262"/>
    <x v="1"/>
    <x v="0"/>
    <x v="287"/>
    <x v="0"/>
    <x v="0"/>
    <x v="0"/>
    <x v="0"/>
    <x v="0"/>
    <x v="33"/>
    <x v="0"/>
    <x v="0"/>
    <x v="0"/>
    <x v="0"/>
    <x v="262"/>
    <x v="0"/>
    <x v="0"/>
    <x v="262"/>
    <x v="0"/>
    <x v="0"/>
    <x v="6"/>
    <x v="1"/>
    <x v="7"/>
    <x v="1"/>
    <x v="287"/>
    <x v="0"/>
    <x v="2"/>
    <x v="7"/>
    <x v="0"/>
    <x v="24"/>
    <x v="343"/>
    <x v="343"/>
    <x v="0"/>
    <x v="0"/>
    <x v="0"/>
    <x v="262"/>
    <x v="0"/>
    <x v="0"/>
    <x v="0"/>
    <x v="0"/>
    <x v="7"/>
    <x v="0"/>
    <x v="0"/>
    <x v="0"/>
    <x v="15"/>
    <x v="0"/>
    <x v="3"/>
    <x v="3"/>
    <x v="4"/>
    <x v="1"/>
    <x v="0"/>
    <x v="0"/>
    <x v="0"/>
    <x v="287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140"/>
  </r>
  <r>
    <x v="0"/>
    <x v="344"/>
    <x v="0"/>
    <x v="23"/>
    <x v="0"/>
    <x v="0"/>
    <x v="0"/>
    <x v="268"/>
    <x v="282"/>
    <x v="0"/>
    <x v="0"/>
    <x v="0"/>
    <x v="12"/>
    <x v="1"/>
    <x v="0"/>
    <x v="268"/>
    <x v="11"/>
    <x v="0"/>
    <x v="0"/>
    <x v="0"/>
    <x v="268"/>
    <x v="282"/>
    <x v="0"/>
    <x v="0"/>
    <x v="0"/>
    <x v="0"/>
    <x v="0"/>
    <x v="0"/>
    <x v="0"/>
    <x v="0"/>
    <x v="0"/>
    <x v="216"/>
    <x v="263"/>
    <x v="0"/>
    <x v="267"/>
    <x v="263"/>
    <x v="1"/>
    <x v="0"/>
    <x v="288"/>
    <x v="0"/>
    <x v="0"/>
    <x v="0"/>
    <x v="0"/>
    <x v="0"/>
    <x v="12"/>
    <x v="0"/>
    <x v="0"/>
    <x v="0"/>
    <x v="0"/>
    <x v="263"/>
    <x v="0"/>
    <x v="0"/>
    <x v="263"/>
    <x v="0"/>
    <x v="0"/>
    <x v="206"/>
    <x v="0"/>
    <x v="210"/>
    <x v="1"/>
    <x v="288"/>
    <x v="0"/>
    <x v="0"/>
    <x v="1"/>
    <x v="0"/>
    <x v="24"/>
    <x v="344"/>
    <x v="344"/>
    <x v="0"/>
    <x v="0"/>
    <x v="0"/>
    <x v="263"/>
    <x v="0"/>
    <x v="0"/>
    <x v="0"/>
    <x v="0"/>
    <x v="210"/>
    <x v="0"/>
    <x v="0"/>
    <x v="0"/>
    <x v="22"/>
    <x v="0"/>
    <x v="4"/>
    <x v="4"/>
    <x v="216"/>
    <x v="0"/>
    <x v="0"/>
    <x v="0"/>
    <x v="0"/>
    <x v="288"/>
    <x v="21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190"/>
    <x v="0"/>
    <x v="0"/>
    <x v="0"/>
    <x v="0"/>
    <x v="0"/>
    <x v="0"/>
  </r>
  <r>
    <x v="1"/>
    <x v="345"/>
    <x v="1"/>
    <x v="23"/>
    <x v="0"/>
    <x v="0"/>
    <x v="0"/>
    <x v="269"/>
    <x v="283"/>
    <x v="0"/>
    <x v="0"/>
    <x v="0"/>
    <x v="28"/>
    <x v="4"/>
    <x v="0"/>
    <x v="269"/>
    <x v="7"/>
    <x v="0"/>
    <x v="0"/>
    <x v="0"/>
    <x v="269"/>
    <x v="283"/>
    <x v="0"/>
    <x v="3"/>
    <x v="0"/>
    <x v="0"/>
    <x v="0"/>
    <x v="0"/>
    <x v="1"/>
    <x v="1"/>
    <x v="0"/>
    <x v="4"/>
    <x v="264"/>
    <x v="0"/>
    <x v="268"/>
    <x v="264"/>
    <x v="1"/>
    <x v="0"/>
    <x v="289"/>
    <x v="0"/>
    <x v="0"/>
    <x v="0"/>
    <x v="0"/>
    <x v="0"/>
    <x v="28"/>
    <x v="0"/>
    <x v="0"/>
    <x v="0"/>
    <x v="0"/>
    <x v="264"/>
    <x v="0"/>
    <x v="0"/>
    <x v="264"/>
    <x v="0"/>
    <x v="0"/>
    <x v="6"/>
    <x v="1"/>
    <x v="7"/>
    <x v="1"/>
    <x v="289"/>
    <x v="0"/>
    <x v="12"/>
    <x v="0"/>
    <x v="0"/>
    <x v="24"/>
    <x v="345"/>
    <x v="345"/>
    <x v="0"/>
    <x v="0"/>
    <x v="0"/>
    <x v="264"/>
    <x v="0"/>
    <x v="0"/>
    <x v="0"/>
    <x v="0"/>
    <x v="7"/>
    <x v="0"/>
    <x v="0"/>
    <x v="0"/>
    <x v="22"/>
    <x v="0"/>
    <x v="3"/>
    <x v="3"/>
    <x v="4"/>
    <x v="1"/>
    <x v="0"/>
    <x v="0"/>
    <x v="0"/>
    <x v="289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46"/>
    <x v="0"/>
    <x v="23"/>
    <x v="0"/>
    <x v="0"/>
    <x v="0"/>
    <x v="270"/>
    <x v="284"/>
    <x v="0"/>
    <x v="0"/>
    <x v="0"/>
    <x v="0"/>
    <x v="0"/>
    <x v="0"/>
    <x v="270"/>
    <x v="0"/>
    <x v="0"/>
    <x v="0"/>
    <x v="0"/>
    <x v="270"/>
    <x v="284"/>
    <x v="0"/>
    <x v="0"/>
    <x v="0"/>
    <x v="0"/>
    <x v="0"/>
    <x v="0"/>
    <x v="0"/>
    <x v="0"/>
    <x v="0"/>
    <x v="217"/>
    <x v="265"/>
    <x v="0"/>
    <x v="269"/>
    <x v="265"/>
    <x v="1"/>
    <x v="0"/>
    <x v="290"/>
    <x v="2"/>
    <x v="0"/>
    <x v="2"/>
    <x v="0"/>
    <x v="0"/>
    <x v="0"/>
    <x v="0"/>
    <x v="0"/>
    <x v="0"/>
    <x v="0"/>
    <x v="265"/>
    <x v="0"/>
    <x v="2"/>
    <x v="265"/>
    <x v="0"/>
    <x v="0"/>
    <x v="207"/>
    <x v="0"/>
    <x v="211"/>
    <x v="1"/>
    <x v="290"/>
    <x v="0"/>
    <x v="0"/>
    <x v="1"/>
    <x v="0"/>
    <x v="24"/>
    <x v="346"/>
    <x v="346"/>
    <x v="0"/>
    <x v="0"/>
    <x v="0"/>
    <x v="265"/>
    <x v="0"/>
    <x v="0"/>
    <x v="0"/>
    <x v="0"/>
    <x v="211"/>
    <x v="0"/>
    <x v="0"/>
    <x v="0"/>
    <x v="22"/>
    <x v="0"/>
    <x v="22"/>
    <x v="22"/>
    <x v="217"/>
    <x v="0"/>
    <x v="0"/>
    <x v="0"/>
    <x v="0"/>
    <x v="290"/>
    <x v="2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17"/>
    <x v="191"/>
    <x v="0"/>
    <x v="0"/>
    <x v="0"/>
    <x v="0"/>
    <x v="0"/>
    <x v="141"/>
  </r>
  <r>
    <x v="1"/>
    <x v="347"/>
    <x v="2"/>
    <x v="23"/>
    <x v="0"/>
    <x v="0"/>
    <x v="0"/>
    <x v="271"/>
    <x v="285"/>
    <x v="0"/>
    <x v="0"/>
    <x v="0"/>
    <x v="6"/>
    <x v="3"/>
    <x v="0"/>
    <x v="271"/>
    <x v="6"/>
    <x v="0"/>
    <x v="0"/>
    <x v="0"/>
    <x v="271"/>
    <x v="285"/>
    <x v="0"/>
    <x v="3"/>
    <x v="0"/>
    <x v="0"/>
    <x v="0"/>
    <x v="0"/>
    <x v="1"/>
    <x v="1"/>
    <x v="0"/>
    <x v="4"/>
    <x v="266"/>
    <x v="0"/>
    <x v="270"/>
    <x v="266"/>
    <x v="1"/>
    <x v="0"/>
    <x v="291"/>
    <x v="3"/>
    <x v="0"/>
    <x v="3"/>
    <x v="0"/>
    <x v="0"/>
    <x v="6"/>
    <x v="0"/>
    <x v="0"/>
    <x v="0"/>
    <x v="0"/>
    <x v="266"/>
    <x v="0"/>
    <x v="3"/>
    <x v="266"/>
    <x v="0"/>
    <x v="0"/>
    <x v="6"/>
    <x v="1"/>
    <x v="7"/>
    <x v="1"/>
    <x v="291"/>
    <x v="0"/>
    <x v="6"/>
    <x v="4"/>
    <x v="0"/>
    <x v="24"/>
    <x v="347"/>
    <x v="347"/>
    <x v="0"/>
    <x v="0"/>
    <x v="0"/>
    <x v="266"/>
    <x v="0"/>
    <x v="0"/>
    <x v="0"/>
    <x v="0"/>
    <x v="7"/>
    <x v="0"/>
    <x v="0"/>
    <x v="0"/>
    <x v="22"/>
    <x v="0"/>
    <x v="3"/>
    <x v="3"/>
    <x v="4"/>
    <x v="1"/>
    <x v="0"/>
    <x v="0"/>
    <x v="0"/>
    <x v="291"/>
    <x v="7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11"/>
    <x v="4"/>
    <x v="0"/>
    <x v="0"/>
    <x v="0"/>
    <x v="0"/>
    <x v="0"/>
    <x v="0"/>
  </r>
  <r>
    <x v="0"/>
    <x v="348"/>
    <x v="0"/>
    <x v="23"/>
    <x v="0"/>
    <x v="0"/>
    <x v="0"/>
    <x v="156"/>
    <x v="162"/>
    <x v="0"/>
    <x v="0"/>
    <x v="0"/>
    <x v="14"/>
    <x v="0"/>
    <x v="0"/>
    <x v="156"/>
    <x v="13"/>
    <x v="0"/>
    <x v="0"/>
    <x v="0"/>
    <x v="156"/>
    <x v="162"/>
    <x v="0"/>
    <x v="0"/>
    <x v="0"/>
    <x v="0"/>
    <x v="0"/>
    <x v="0"/>
    <x v="0"/>
    <x v="0"/>
    <x v="0"/>
    <x v="218"/>
    <x v="160"/>
    <x v="0"/>
    <x v="156"/>
    <x v="160"/>
    <x v="1"/>
    <x v="0"/>
    <x v="172"/>
    <x v="2"/>
    <x v="0"/>
    <x v="2"/>
    <x v="0"/>
    <x v="0"/>
    <x v="14"/>
    <x v="0"/>
    <x v="0"/>
    <x v="0"/>
    <x v="0"/>
    <x v="160"/>
    <x v="0"/>
    <x v="2"/>
    <x v="160"/>
    <x v="0"/>
    <x v="0"/>
    <x v="130"/>
    <x v="0"/>
    <x v="134"/>
    <x v="1"/>
    <x v="172"/>
    <x v="0"/>
    <x v="0"/>
    <x v="1"/>
    <x v="0"/>
    <x v="24"/>
    <x v="348"/>
    <x v="348"/>
    <x v="0"/>
    <x v="0"/>
    <x v="0"/>
    <x v="160"/>
    <x v="0"/>
    <x v="0"/>
    <x v="0"/>
    <x v="0"/>
    <x v="134"/>
    <x v="0"/>
    <x v="0"/>
    <x v="0"/>
    <x v="22"/>
    <x v="0"/>
    <x v="61"/>
    <x v="61"/>
    <x v="218"/>
    <x v="0"/>
    <x v="0"/>
    <x v="0"/>
    <x v="0"/>
    <x v="292"/>
    <x v="13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18"/>
    <x v="192"/>
    <x v="0"/>
    <x v="0"/>
    <x v="0"/>
    <x v="0"/>
    <x v="0"/>
    <x v="142"/>
  </r>
  <r>
    <x v="0"/>
    <x v="349"/>
    <x v="0"/>
    <x v="23"/>
    <x v="0"/>
    <x v="0"/>
    <x v="0"/>
    <x v="272"/>
    <x v="286"/>
    <x v="0"/>
    <x v="0"/>
    <x v="0"/>
    <x v="14"/>
    <x v="0"/>
    <x v="0"/>
    <x v="272"/>
    <x v="13"/>
    <x v="0"/>
    <x v="0"/>
    <x v="0"/>
    <x v="272"/>
    <x v="286"/>
    <x v="0"/>
    <x v="0"/>
    <x v="0"/>
    <x v="0"/>
    <x v="0"/>
    <x v="0"/>
    <x v="0"/>
    <x v="0"/>
    <x v="0"/>
    <x v="219"/>
    <x v="267"/>
    <x v="0"/>
    <x v="271"/>
    <x v="267"/>
    <x v="1"/>
    <x v="0"/>
    <x v="292"/>
    <x v="2"/>
    <x v="0"/>
    <x v="2"/>
    <x v="0"/>
    <x v="0"/>
    <x v="14"/>
    <x v="0"/>
    <x v="0"/>
    <x v="0"/>
    <x v="0"/>
    <x v="267"/>
    <x v="0"/>
    <x v="2"/>
    <x v="267"/>
    <x v="0"/>
    <x v="0"/>
    <x v="208"/>
    <x v="0"/>
    <x v="212"/>
    <x v="1"/>
    <x v="292"/>
    <x v="0"/>
    <x v="0"/>
    <x v="1"/>
    <x v="0"/>
    <x v="24"/>
    <x v="349"/>
    <x v="349"/>
    <x v="0"/>
    <x v="0"/>
    <x v="0"/>
    <x v="267"/>
    <x v="0"/>
    <x v="0"/>
    <x v="0"/>
    <x v="0"/>
    <x v="212"/>
    <x v="0"/>
    <x v="0"/>
    <x v="0"/>
    <x v="22"/>
    <x v="0"/>
    <x v="8"/>
    <x v="8"/>
    <x v="219"/>
    <x v="0"/>
    <x v="0"/>
    <x v="0"/>
    <x v="0"/>
    <x v="293"/>
    <x v="21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18"/>
    <x v="192"/>
    <x v="0"/>
    <x v="0"/>
    <x v="0"/>
    <x v="0"/>
    <x v="0"/>
    <x v="143"/>
  </r>
  <r>
    <x v="1"/>
    <x v="350"/>
    <x v="0"/>
    <x v="23"/>
    <x v="0"/>
    <x v="0"/>
    <x v="0"/>
    <x v="212"/>
    <x v="223"/>
    <x v="0"/>
    <x v="0"/>
    <x v="0"/>
    <x v="9"/>
    <x v="0"/>
    <x v="0"/>
    <x v="212"/>
    <x v="9"/>
    <x v="0"/>
    <x v="0"/>
    <x v="0"/>
    <x v="212"/>
    <x v="223"/>
    <x v="0"/>
    <x v="3"/>
    <x v="0"/>
    <x v="0"/>
    <x v="0"/>
    <x v="0"/>
    <x v="1"/>
    <x v="1"/>
    <x v="0"/>
    <x v="4"/>
    <x v="213"/>
    <x v="0"/>
    <x v="7"/>
    <x v="213"/>
    <x v="1"/>
    <x v="0"/>
    <x v="231"/>
    <x v="0"/>
    <x v="0"/>
    <x v="0"/>
    <x v="0"/>
    <x v="0"/>
    <x v="9"/>
    <x v="0"/>
    <x v="0"/>
    <x v="0"/>
    <x v="0"/>
    <x v="213"/>
    <x v="0"/>
    <x v="0"/>
    <x v="213"/>
    <x v="0"/>
    <x v="0"/>
    <x v="6"/>
    <x v="1"/>
    <x v="7"/>
    <x v="1"/>
    <x v="231"/>
    <x v="0"/>
    <x v="0"/>
    <x v="1"/>
    <x v="0"/>
    <x v="24"/>
    <x v="350"/>
    <x v="350"/>
    <x v="0"/>
    <x v="0"/>
    <x v="0"/>
    <x v="213"/>
    <x v="0"/>
    <x v="0"/>
    <x v="0"/>
    <x v="0"/>
    <x v="7"/>
    <x v="0"/>
    <x v="0"/>
    <x v="0"/>
    <x v="22"/>
    <x v="0"/>
    <x v="3"/>
    <x v="3"/>
    <x v="4"/>
    <x v="1"/>
    <x v="0"/>
    <x v="0"/>
    <x v="0"/>
    <x v="294"/>
    <x v="7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51"/>
    <x v="1"/>
    <x v="23"/>
    <x v="0"/>
    <x v="0"/>
    <x v="0"/>
    <x v="273"/>
    <x v="287"/>
    <x v="0"/>
    <x v="0"/>
    <x v="0"/>
    <x v="34"/>
    <x v="5"/>
    <x v="0"/>
    <x v="273"/>
    <x v="15"/>
    <x v="0"/>
    <x v="0"/>
    <x v="0"/>
    <x v="273"/>
    <x v="287"/>
    <x v="0"/>
    <x v="3"/>
    <x v="0"/>
    <x v="0"/>
    <x v="0"/>
    <x v="0"/>
    <x v="1"/>
    <x v="1"/>
    <x v="0"/>
    <x v="4"/>
    <x v="268"/>
    <x v="0"/>
    <x v="272"/>
    <x v="268"/>
    <x v="1"/>
    <x v="0"/>
    <x v="293"/>
    <x v="0"/>
    <x v="0"/>
    <x v="0"/>
    <x v="0"/>
    <x v="0"/>
    <x v="34"/>
    <x v="0"/>
    <x v="0"/>
    <x v="0"/>
    <x v="0"/>
    <x v="268"/>
    <x v="0"/>
    <x v="0"/>
    <x v="268"/>
    <x v="0"/>
    <x v="0"/>
    <x v="6"/>
    <x v="1"/>
    <x v="7"/>
    <x v="1"/>
    <x v="293"/>
    <x v="0"/>
    <x v="12"/>
    <x v="0"/>
    <x v="0"/>
    <x v="24"/>
    <x v="351"/>
    <x v="351"/>
    <x v="0"/>
    <x v="0"/>
    <x v="0"/>
    <x v="268"/>
    <x v="0"/>
    <x v="0"/>
    <x v="0"/>
    <x v="0"/>
    <x v="7"/>
    <x v="0"/>
    <x v="0"/>
    <x v="0"/>
    <x v="22"/>
    <x v="0"/>
    <x v="3"/>
    <x v="3"/>
    <x v="4"/>
    <x v="1"/>
    <x v="0"/>
    <x v="0"/>
    <x v="0"/>
    <x v="295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52"/>
    <x v="0"/>
    <x v="23"/>
    <x v="0"/>
    <x v="0"/>
    <x v="0"/>
    <x v="274"/>
    <x v="288"/>
    <x v="0"/>
    <x v="0"/>
    <x v="0"/>
    <x v="14"/>
    <x v="0"/>
    <x v="0"/>
    <x v="274"/>
    <x v="13"/>
    <x v="0"/>
    <x v="0"/>
    <x v="0"/>
    <x v="274"/>
    <x v="288"/>
    <x v="0"/>
    <x v="0"/>
    <x v="0"/>
    <x v="0"/>
    <x v="0"/>
    <x v="0"/>
    <x v="0"/>
    <x v="0"/>
    <x v="0"/>
    <x v="220"/>
    <x v="269"/>
    <x v="0"/>
    <x v="273"/>
    <x v="269"/>
    <x v="1"/>
    <x v="0"/>
    <x v="294"/>
    <x v="2"/>
    <x v="0"/>
    <x v="2"/>
    <x v="0"/>
    <x v="0"/>
    <x v="14"/>
    <x v="0"/>
    <x v="0"/>
    <x v="0"/>
    <x v="0"/>
    <x v="269"/>
    <x v="0"/>
    <x v="2"/>
    <x v="269"/>
    <x v="0"/>
    <x v="0"/>
    <x v="209"/>
    <x v="0"/>
    <x v="213"/>
    <x v="1"/>
    <x v="294"/>
    <x v="0"/>
    <x v="8"/>
    <x v="6"/>
    <x v="0"/>
    <x v="24"/>
    <x v="352"/>
    <x v="352"/>
    <x v="0"/>
    <x v="0"/>
    <x v="0"/>
    <x v="269"/>
    <x v="0"/>
    <x v="0"/>
    <x v="0"/>
    <x v="0"/>
    <x v="213"/>
    <x v="0"/>
    <x v="0"/>
    <x v="0"/>
    <x v="22"/>
    <x v="0"/>
    <x v="9"/>
    <x v="9"/>
    <x v="220"/>
    <x v="0"/>
    <x v="0"/>
    <x v="0"/>
    <x v="0"/>
    <x v="296"/>
    <x v="21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19"/>
    <x v="193"/>
    <x v="0"/>
    <x v="0"/>
    <x v="0"/>
    <x v="0"/>
    <x v="0"/>
    <x v="144"/>
  </r>
  <r>
    <x v="0"/>
    <x v="353"/>
    <x v="0"/>
    <x v="24"/>
    <x v="0"/>
    <x v="0"/>
    <x v="0"/>
    <x v="275"/>
    <x v="289"/>
    <x v="0"/>
    <x v="0"/>
    <x v="0"/>
    <x v="4"/>
    <x v="0"/>
    <x v="0"/>
    <x v="275"/>
    <x v="4"/>
    <x v="0"/>
    <x v="0"/>
    <x v="0"/>
    <x v="275"/>
    <x v="289"/>
    <x v="0"/>
    <x v="0"/>
    <x v="0"/>
    <x v="0"/>
    <x v="0"/>
    <x v="0"/>
    <x v="0"/>
    <x v="0"/>
    <x v="0"/>
    <x v="221"/>
    <x v="270"/>
    <x v="0"/>
    <x v="274"/>
    <x v="270"/>
    <x v="93"/>
    <x v="0"/>
    <x v="295"/>
    <x v="0"/>
    <x v="0"/>
    <x v="0"/>
    <x v="0"/>
    <x v="0"/>
    <x v="4"/>
    <x v="0"/>
    <x v="0"/>
    <x v="0"/>
    <x v="0"/>
    <x v="270"/>
    <x v="0"/>
    <x v="0"/>
    <x v="270"/>
    <x v="0"/>
    <x v="0"/>
    <x v="210"/>
    <x v="0"/>
    <x v="214"/>
    <x v="93"/>
    <x v="295"/>
    <x v="0"/>
    <x v="0"/>
    <x v="0"/>
    <x v="0"/>
    <x v="24"/>
    <x v="353"/>
    <x v="353"/>
    <x v="0"/>
    <x v="0"/>
    <x v="0"/>
    <x v="270"/>
    <x v="0"/>
    <x v="0"/>
    <x v="0"/>
    <x v="0"/>
    <x v="214"/>
    <x v="0"/>
    <x v="0"/>
    <x v="0"/>
    <x v="23"/>
    <x v="0"/>
    <x v="61"/>
    <x v="61"/>
    <x v="221"/>
    <x v="0"/>
    <x v="0"/>
    <x v="0"/>
    <x v="0"/>
    <x v="297"/>
    <x v="214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20"/>
    <x v="194"/>
    <x v="0"/>
    <x v="0"/>
    <x v="0"/>
    <x v="0"/>
    <x v="0"/>
    <x v="0"/>
  </r>
  <r>
    <x v="0"/>
    <x v="354"/>
    <x v="0"/>
    <x v="24"/>
    <x v="0"/>
    <x v="0"/>
    <x v="0"/>
    <x v="276"/>
    <x v="290"/>
    <x v="0"/>
    <x v="0"/>
    <x v="0"/>
    <x v="4"/>
    <x v="0"/>
    <x v="0"/>
    <x v="276"/>
    <x v="4"/>
    <x v="0"/>
    <x v="0"/>
    <x v="0"/>
    <x v="276"/>
    <x v="290"/>
    <x v="0"/>
    <x v="0"/>
    <x v="0"/>
    <x v="0"/>
    <x v="0"/>
    <x v="0"/>
    <x v="0"/>
    <x v="0"/>
    <x v="0"/>
    <x v="221"/>
    <x v="271"/>
    <x v="0"/>
    <x v="275"/>
    <x v="271"/>
    <x v="1"/>
    <x v="0"/>
    <x v="296"/>
    <x v="1"/>
    <x v="0"/>
    <x v="1"/>
    <x v="0"/>
    <x v="0"/>
    <x v="4"/>
    <x v="0"/>
    <x v="0"/>
    <x v="0"/>
    <x v="0"/>
    <x v="271"/>
    <x v="0"/>
    <x v="1"/>
    <x v="271"/>
    <x v="0"/>
    <x v="0"/>
    <x v="211"/>
    <x v="0"/>
    <x v="215"/>
    <x v="1"/>
    <x v="296"/>
    <x v="0"/>
    <x v="0"/>
    <x v="1"/>
    <x v="0"/>
    <x v="24"/>
    <x v="354"/>
    <x v="354"/>
    <x v="0"/>
    <x v="0"/>
    <x v="0"/>
    <x v="271"/>
    <x v="0"/>
    <x v="0"/>
    <x v="0"/>
    <x v="0"/>
    <x v="215"/>
    <x v="0"/>
    <x v="0"/>
    <x v="0"/>
    <x v="23"/>
    <x v="0"/>
    <x v="61"/>
    <x v="61"/>
    <x v="221"/>
    <x v="0"/>
    <x v="0"/>
    <x v="0"/>
    <x v="0"/>
    <x v="297"/>
    <x v="215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20"/>
    <x v="194"/>
    <x v="0"/>
    <x v="0"/>
    <x v="0"/>
    <x v="0"/>
    <x v="0"/>
    <x v="0"/>
  </r>
  <r>
    <x v="0"/>
    <x v="355"/>
    <x v="0"/>
    <x v="23"/>
    <x v="0"/>
    <x v="0"/>
    <x v="0"/>
    <x v="177"/>
    <x v="183"/>
    <x v="0"/>
    <x v="0"/>
    <x v="0"/>
    <x v="15"/>
    <x v="0"/>
    <x v="0"/>
    <x v="177"/>
    <x v="14"/>
    <x v="0"/>
    <x v="0"/>
    <x v="0"/>
    <x v="177"/>
    <x v="183"/>
    <x v="0"/>
    <x v="0"/>
    <x v="0"/>
    <x v="0"/>
    <x v="0"/>
    <x v="0"/>
    <x v="0"/>
    <x v="0"/>
    <x v="0"/>
    <x v="222"/>
    <x v="180"/>
    <x v="0"/>
    <x v="177"/>
    <x v="180"/>
    <x v="1"/>
    <x v="0"/>
    <x v="192"/>
    <x v="2"/>
    <x v="0"/>
    <x v="2"/>
    <x v="0"/>
    <x v="0"/>
    <x v="15"/>
    <x v="0"/>
    <x v="0"/>
    <x v="0"/>
    <x v="0"/>
    <x v="180"/>
    <x v="0"/>
    <x v="2"/>
    <x v="180"/>
    <x v="0"/>
    <x v="0"/>
    <x v="146"/>
    <x v="0"/>
    <x v="149"/>
    <x v="1"/>
    <x v="192"/>
    <x v="0"/>
    <x v="0"/>
    <x v="1"/>
    <x v="0"/>
    <x v="25"/>
    <x v="355"/>
    <x v="355"/>
    <x v="0"/>
    <x v="0"/>
    <x v="0"/>
    <x v="180"/>
    <x v="0"/>
    <x v="0"/>
    <x v="0"/>
    <x v="0"/>
    <x v="149"/>
    <x v="0"/>
    <x v="0"/>
    <x v="0"/>
    <x v="22"/>
    <x v="0"/>
    <x v="33"/>
    <x v="33"/>
    <x v="222"/>
    <x v="0"/>
    <x v="0"/>
    <x v="0"/>
    <x v="0"/>
    <x v="298"/>
    <x v="14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21"/>
    <x v="195"/>
    <x v="0"/>
    <x v="0"/>
    <x v="0"/>
    <x v="0"/>
    <x v="0"/>
    <x v="145"/>
  </r>
  <r>
    <x v="0"/>
    <x v="356"/>
    <x v="3"/>
    <x v="9"/>
    <x v="0"/>
    <x v="0"/>
    <x v="0"/>
    <x v="277"/>
    <x v="291"/>
    <x v="0"/>
    <x v="0"/>
    <x v="0"/>
    <x v="7"/>
    <x v="4"/>
    <x v="0"/>
    <x v="277"/>
    <x v="7"/>
    <x v="0"/>
    <x v="0"/>
    <x v="0"/>
    <x v="277"/>
    <x v="291"/>
    <x v="0"/>
    <x v="0"/>
    <x v="0"/>
    <x v="0"/>
    <x v="0"/>
    <x v="0"/>
    <x v="0"/>
    <x v="0"/>
    <x v="0"/>
    <x v="223"/>
    <x v="272"/>
    <x v="0"/>
    <x v="276"/>
    <x v="272"/>
    <x v="1"/>
    <x v="0"/>
    <x v="297"/>
    <x v="0"/>
    <x v="0"/>
    <x v="0"/>
    <x v="0"/>
    <x v="0"/>
    <x v="7"/>
    <x v="0"/>
    <x v="0"/>
    <x v="0"/>
    <x v="0"/>
    <x v="272"/>
    <x v="0"/>
    <x v="0"/>
    <x v="272"/>
    <x v="0"/>
    <x v="0"/>
    <x v="212"/>
    <x v="0"/>
    <x v="216"/>
    <x v="1"/>
    <x v="297"/>
    <x v="0"/>
    <x v="0"/>
    <x v="1"/>
    <x v="0"/>
    <x v="25"/>
    <x v="356"/>
    <x v="356"/>
    <x v="0"/>
    <x v="0"/>
    <x v="0"/>
    <x v="272"/>
    <x v="0"/>
    <x v="0"/>
    <x v="0"/>
    <x v="0"/>
    <x v="216"/>
    <x v="0"/>
    <x v="0"/>
    <x v="0"/>
    <x v="8"/>
    <x v="0"/>
    <x v="83"/>
    <x v="83"/>
    <x v="223"/>
    <x v="0"/>
    <x v="0"/>
    <x v="0"/>
    <x v="0"/>
    <x v="299"/>
    <x v="216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18"/>
    <x v="196"/>
    <x v="0"/>
    <x v="0"/>
    <x v="0"/>
    <x v="0"/>
    <x v="0"/>
    <x v="0"/>
  </r>
  <r>
    <x v="1"/>
    <x v="357"/>
    <x v="4"/>
    <x v="24"/>
    <x v="0"/>
    <x v="0"/>
    <x v="0"/>
    <x v="278"/>
    <x v="292"/>
    <x v="0"/>
    <x v="0"/>
    <x v="0"/>
    <x v="35"/>
    <x v="6"/>
    <x v="0"/>
    <x v="278"/>
    <x v="19"/>
    <x v="0"/>
    <x v="0"/>
    <x v="0"/>
    <x v="278"/>
    <x v="292"/>
    <x v="0"/>
    <x v="3"/>
    <x v="0"/>
    <x v="0"/>
    <x v="0"/>
    <x v="4"/>
    <x v="1"/>
    <x v="1"/>
    <x v="0"/>
    <x v="4"/>
    <x v="273"/>
    <x v="0"/>
    <x v="277"/>
    <x v="273"/>
    <x v="1"/>
    <x v="0"/>
    <x v="298"/>
    <x v="8"/>
    <x v="0"/>
    <x v="8"/>
    <x v="0"/>
    <x v="0"/>
    <x v="35"/>
    <x v="0"/>
    <x v="0"/>
    <x v="0"/>
    <x v="0"/>
    <x v="273"/>
    <x v="0"/>
    <x v="8"/>
    <x v="273"/>
    <x v="142"/>
    <x v="0"/>
    <x v="6"/>
    <x v="1"/>
    <x v="7"/>
    <x v="1"/>
    <x v="298"/>
    <x v="0"/>
    <x v="12"/>
    <x v="7"/>
    <x v="0"/>
    <x v="25"/>
    <x v="357"/>
    <x v="357"/>
    <x v="0"/>
    <x v="0"/>
    <x v="0"/>
    <x v="273"/>
    <x v="0"/>
    <x v="0"/>
    <x v="0"/>
    <x v="0"/>
    <x v="7"/>
    <x v="0"/>
    <x v="0"/>
    <x v="0"/>
    <x v="23"/>
    <x v="0"/>
    <x v="3"/>
    <x v="3"/>
    <x v="4"/>
    <x v="1"/>
    <x v="0"/>
    <x v="0"/>
    <x v="0"/>
    <x v="300"/>
    <x v="7"/>
    <x v="0"/>
    <x v="0"/>
    <x v="0"/>
    <x v="0"/>
    <x v="0"/>
    <x v="0"/>
    <x v="0"/>
    <x v="16"/>
    <x v="0"/>
    <x v="0"/>
    <x v="0"/>
    <x v="0"/>
    <x v="0"/>
    <x v="0"/>
    <x v="0"/>
    <x v="0"/>
    <x v="0"/>
    <x v="1"/>
    <x v="0"/>
    <x v="0"/>
    <x v="0"/>
    <x v="0"/>
    <x v="0"/>
    <x v="0"/>
    <x v="5"/>
    <x v="4"/>
    <x v="0"/>
    <x v="0"/>
    <x v="0"/>
    <x v="0"/>
    <x v="0"/>
    <x v="146"/>
  </r>
  <r>
    <x v="1"/>
    <x v="358"/>
    <x v="1"/>
    <x v="23"/>
    <x v="0"/>
    <x v="0"/>
    <x v="0"/>
    <x v="279"/>
    <x v="293"/>
    <x v="0"/>
    <x v="0"/>
    <x v="0"/>
    <x v="22"/>
    <x v="5"/>
    <x v="0"/>
    <x v="279"/>
    <x v="15"/>
    <x v="0"/>
    <x v="0"/>
    <x v="0"/>
    <x v="279"/>
    <x v="293"/>
    <x v="0"/>
    <x v="3"/>
    <x v="0"/>
    <x v="0"/>
    <x v="0"/>
    <x v="0"/>
    <x v="1"/>
    <x v="1"/>
    <x v="0"/>
    <x v="4"/>
    <x v="274"/>
    <x v="0"/>
    <x v="278"/>
    <x v="274"/>
    <x v="1"/>
    <x v="0"/>
    <x v="299"/>
    <x v="0"/>
    <x v="0"/>
    <x v="0"/>
    <x v="0"/>
    <x v="0"/>
    <x v="22"/>
    <x v="0"/>
    <x v="0"/>
    <x v="0"/>
    <x v="0"/>
    <x v="274"/>
    <x v="0"/>
    <x v="0"/>
    <x v="274"/>
    <x v="0"/>
    <x v="0"/>
    <x v="6"/>
    <x v="1"/>
    <x v="7"/>
    <x v="1"/>
    <x v="299"/>
    <x v="0"/>
    <x v="12"/>
    <x v="0"/>
    <x v="0"/>
    <x v="25"/>
    <x v="358"/>
    <x v="358"/>
    <x v="0"/>
    <x v="0"/>
    <x v="0"/>
    <x v="274"/>
    <x v="0"/>
    <x v="0"/>
    <x v="0"/>
    <x v="0"/>
    <x v="7"/>
    <x v="0"/>
    <x v="0"/>
    <x v="0"/>
    <x v="22"/>
    <x v="0"/>
    <x v="3"/>
    <x v="3"/>
    <x v="4"/>
    <x v="1"/>
    <x v="0"/>
    <x v="0"/>
    <x v="0"/>
    <x v="301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59"/>
    <x v="1"/>
    <x v="23"/>
    <x v="0"/>
    <x v="0"/>
    <x v="0"/>
    <x v="280"/>
    <x v="294"/>
    <x v="0"/>
    <x v="0"/>
    <x v="0"/>
    <x v="22"/>
    <x v="5"/>
    <x v="0"/>
    <x v="280"/>
    <x v="15"/>
    <x v="0"/>
    <x v="0"/>
    <x v="0"/>
    <x v="280"/>
    <x v="294"/>
    <x v="0"/>
    <x v="3"/>
    <x v="0"/>
    <x v="0"/>
    <x v="0"/>
    <x v="0"/>
    <x v="1"/>
    <x v="1"/>
    <x v="0"/>
    <x v="4"/>
    <x v="275"/>
    <x v="0"/>
    <x v="279"/>
    <x v="275"/>
    <x v="1"/>
    <x v="0"/>
    <x v="300"/>
    <x v="0"/>
    <x v="0"/>
    <x v="0"/>
    <x v="0"/>
    <x v="0"/>
    <x v="22"/>
    <x v="0"/>
    <x v="0"/>
    <x v="0"/>
    <x v="0"/>
    <x v="275"/>
    <x v="0"/>
    <x v="0"/>
    <x v="275"/>
    <x v="0"/>
    <x v="0"/>
    <x v="6"/>
    <x v="1"/>
    <x v="7"/>
    <x v="1"/>
    <x v="300"/>
    <x v="0"/>
    <x v="12"/>
    <x v="0"/>
    <x v="0"/>
    <x v="25"/>
    <x v="359"/>
    <x v="359"/>
    <x v="0"/>
    <x v="0"/>
    <x v="0"/>
    <x v="275"/>
    <x v="0"/>
    <x v="0"/>
    <x v="0"/>
    <x v="0"/>
    <x v="7"/>
    <x v="0"/>
    <x v="0"/>
    <x v="0"/>
    <x v="22"/>
    <x v="0"/>
    <x v="3"/>
    <x v="3"/>
    <x v="4"/>
    <x v="1"/>
    <x v="0"/>
    <x v="0"/>
    <x v="0"/>
    <x v="302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60"/>
    <x v="0"/>
    <x v="23"/>
    <x v="0"/>
    <x v="0"/>
    <x v="0"/>
    <x v="281"/>
    <x v="295"/>
    <x v="0"/>
    <x v="0"/>
    <x v="0"/>
    <x v="0"/>
    <x v="0"/>
    <x v="0"/>
    <x v="281"/>
    <x v="0"/>
    <x v="0"/>
    <x v="0"/>
    <x v="0"/>
    <x v="281"/>
    <x v="295"/>
    <x v="0"/>
    <x v="0"/>
    <x v="0"/>
    <x v="0"/>
    <x v="0"/>
    <x v="0"/>
    <x v="1"/>
    <x v="1"/>
    <x v="0"/>
    <x v="4"/>
    <x v="276"/>
    <x v="0"/>
    <x v="280"/>
    <x v="276"/>
    <x v="1"/>
    <x v="0"/>
    <x v="301"/>
    <x v="2"/>
    <x v="0"/>
    <x v="2"/>
    <x v="0"/>
    <x v="0"/>
    <x v="0"/>
    <x v="0"/>
    <x v="0"/>
    <x v="0"/>
    <x v="0"/>
    <x v="276"/>
    <x v="0"/>
    <x v="2"/>
    <x v="276"/>
    <x v="0"/>
    <x v="0"/>
    <x v="6"/>
    <x v="0"/>
    <x v="217"/>
    <x v="1"/>
    <x v="301"/>
    <x v="0"/>
    <x v="0"/>
    <x v="1"/>
    <x v="0"/>
    <x v="25"/>
    <x v="360"/>
    <x v="360"/>
    <x v="0"/>
    <x v="0"/>
    <x v="0"/>
    <x v="276"/>
    <x v="0"/>
    <x v="0"/>
    <x v="0"/>
    <x v="0"/>
    <x v="217"/>
    <x v="0"/>
    <x v="0"/>
    <x v="0"/>
    <x v="22"/>
    <x v="0"/>
    <x v="3"/>
    <x v="3"/>
    <x v="4"/>
    <x v="1"/>
    <x v="0"/>
    <x v="0"/>
    <x v="0"/>
    <x v="303"/>
    <x v="2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2"/>
    <x v="197"/>
    <x v="0"/>
    <x v="0"/>
    <x v="0"/>
    <x v="0"/>
    <x v="0"/>
    <x v="147"/>
  </r>
  <r>
    <x v="0"/>
    <x v="361"/>
    <x v="0"/>
    <x v="24"/>
    <x v="0"/>
    <x v="0"/>
    <x v="0"/>
    <x v="166"/>
    <x v="240"/>
    <x v="0"/>
    <x v="0"/>
    <x v="0"/>
    <x v="1"/>
    <x v="0"/>
    <x v="0"/>
    <x v="166"/>
    <x v="2"/>
    <x v="0"/>
    <x v="0"/>
    <x v="0"/>
    <x v="166"/>
    <x v="240"/>
    <x v="0"/>
    <x v="0"/>
    <x v="0"/>
    <x v="0"/>
    <x v="0"/>
    <x v="2"/>
    <x v="0"/>
    <x v="0"/>
    <x v="0"/>
    <x v="224"/>
    <x v="169"/>
    <x v="0"/>
    <x v="166"/>
    <x v="169"/>
    <x v="1"/>
    <x v="0"/>
    <x v="247"/>
    <x v="2"/>
    <x v="0"/>
    <x v="2"/>
    <x v="0"/>
    <x v="0"/>
    <x v="1"/>
    <x v="0"/>
    <x v="0"/>
    <x v="0"/>
    <x v="0"/>
    <x v="169"/>
    <x v="0"/>
    <x v="2"/>
    <x v="169"/>
    <x v="0"/>
    <x v="0"/>
    <x v="136"/>
    <x v="0"/>
    <x v="140"/>
    <x v="1"/>
    <x v="247"/>
    <x v="0"/>
    <x v="1"/>
    <x v="2"/>
    <x v="0"/>
    <x v="25"/>
    <x v="361"/>
    <x v="361"/>
    <x v="0"/>
    <x v="0"/>
    <x v="0"/>
    <x v="169"/>
    <x v="0"/>
    <x v="0"/>
    <x v="0"/>
    <x v="0"/>
    <x v="140"/>
    <x v="0"/>
    <x v="0"/>
    <x v="0"/>
    <x v="23"/>
    <x v="0"/>
    <x v="84"/>
    <x v="84"/>
    <x v="224"/>
    <x v="0"/>
    <x v="0"/>
    <x v="0"/>
    <x v="0"/>
    <x v="304"/>
    <x v="14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23"/>
    <x v="198"/>
    <x v="0"/>
    <x v="0"/>
    <x v="0"/>
    <x v="0"/>
    <x v="0"/>
    <x v="148"/>
  </r>
  <r>
    <x v="0"/>
    <x v="362"/>
    <x v="0"/>
    <x v="24"/>
    <x v="0"/>
    <x v="0"/>
    <x v="0"/>
    <x v="0"/>
    <x v="0"/>
    <x v="0"/>
    <x v="0"/>
    <x v="0"/>
    <x v="4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225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5"/>
    <x v="362"/>
    <x v="362"/>
    <x v="0"/>
    <x v="0"/>
    <x v="0"/>
    <x v="0"/>
    <x v="0"/>
    <x v="0"/>
    <x v="0"/>
    <x v="0"/>
    <x v="0"/>
    <x v="0"/>
    <x v="0"/>
    <x v="0"/>
    <x v="23"/>
    <x v="0"/>
    <x v="0"/>
    <x v="0"/>
    <x v="225"/>
    <x v="0"/>
    <x v="0"/>
    <x v="0"/>
    <x v="0"/>
    <x v="305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24"/>
    <x v="199"/>
    <x v="0"/>
    <x v="0"/>
    <x v="0"/>
    <x v="0"/>
    <x v="0"/>
    <x v="0"/>
  </r>
  <r>
    <x v="0"/>
    <x v="363"/>
    <x v="0"/>
    <x v="24"/>
    <x v="0"/>
    <x v="0"/>
    <x v="0"/>
    <x v="1"/>
    <x v="1"/>
    <x v="0"/>
    <x v="0"/>
    <x v="0"/>
    <x v="4"/>
    <x v="0"/>
    <x v="0"/>
    <x v="1"/>
    <x v="4"/>
    <x v="0"/>
    <x v="0"/>
    <x v="0"/>
    <x v="1"/>
    <x v="1"/>
    <x v="0"/>
    <x v="0"/>
    <x v="0"/>
    <x v="0"/>
    <x v="0"/>
    <x v="0"/>
    <x v="0"/>
    <x v="0"/>
    <x v="0"/>
    <x v="225"/>
    <x v="1"/>
    <x v="0"/>
    <x v="1"/>
    <x v="1"/>
    <x v="1"/>
    <x v="0"/>
    <x v="1"/>
    <x v="1"/>
    <x v="0"/>
    <x v="1"/>
    <x v="0"/>
    <x v="0"/>
    <x v="4"/>
    <x v="0"/>
    <x v="0"/>
    <x v="0"/>
    <x v="0"/>
    <x v="1"/>
    <x v="0"/>
    <x v="1"/>
    <x v="1"/>
    <x v="0"/>
    <x v="0"/>
    <x v="1"/>
    <x v="0"/>
    <x v="1"/>
    <x v="1"/>
    <x v="1"/>
    <x v="0"/>
    <x v="0"/>
    <x v="1"/>
    <x v="0"/>
    <x v="25"/>
    <x v="363"/>
    <x v="363"/>
    <x v="0"/>
    <x v="0"/>
    <x v="0"/>
    <x v="1"/>
    <x v="0"/>
    <x v="0"/>
    <x v="0"/>
    <x v="0"/>
    <x v="1"/>
    <x v="0"/>
    <x v="0"/>
    <x v="0"/>
    <x v="23"/>
    <x v="0"/>
    <x v="0"/>
    <x v="0"/>
    <x v="225"/>
    <x v="0"/>
    <x v="0"/>
    <x v="0"/>
    <x v="0"/>
    <x v="305"/>
    <x v="1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24"/>
    <x v="199"/>
    <x v="0"/>
    <x v="0"/>
    <x v="0"/>
    <x v="0"/>
    <x v="0"/>
    <x v="0"/>
  </r>
  <r>
    <x v="1"/>
    <x v="364"/>
    <x v="0"/>
    <x v="24"/>
    <x v="0"/>
    <x v="0"/>
    <x v="0"/>
    <x v="282"/>
    <x v="296"/>
    <x v="0"/>
    <x v="0"/>
    <x v="0"/>
    <x v="36"/>
    <x v="0"/>
    <x v="0"/>
    <x v="282"/>
    <x v="10"/>
    <x v="0"/>
    <x v="0"/>
    <x v="0"/>
    <x v="282"/>
    <x v="296"/>
    <x v="0"/>
    <x v="3"/>
    <x v="0"/>
    <x v="0"/>
    <x v="0"/>
    <x v="0"/>
    <x v="1"/>
    <x v="1"/>
    <x v="0"/>
    <x v="4"/>
    <x v="277"/>
    <x v="0"/>
    <x v="281"/>
    <x v="277"/>
    <x v="1"/>
    <x v="0"/>
    <x v="302"/>
    <x v="0"/>
    <x v="0"/>
    <x v="0"/>
    <x v="0"/>
    <x v="1"/>
    <x v="36"/>
    <x v="0"/>
    <x v="1"/>
    <x v="1"/>
    <x v="0"/>
    <x v="277"/>
    <x v="0"/>
    <x v="0"/>
    <x v="277"/>
    <x v="0"/>
    <x v="0"/>
    <x v="6"/>
    <x v="1"/>
    <x v="7"/>
    <x v="1"/>
    <x v="302"/>
    <x v="0"/>
    <x v="0"/>
    <x v="1"/>
    <x v="0"/>
    <x v="25"/>
    <x v="364"/>
    <x v="364"/>
    <x v="0"/>
    <x v="0"/>
    <x v="0"/>
    <x v="277"/>
    <x v="0"/>
    <x v="0"/>
    <x v="0"/>
    <x v="0"/>
    <x v="7"/>
    <x v="0"/>
    <x v="0"/>
    <x v="0"/>
    <x v="23"/>
    <x v="0"/>
    <x v="3"/>
    <x v="3"/>
    <x v="4"/>
    <x v="1"/>
    <x v="0"/>
    <x v="0"/>
    <x v="0"/>
    <x v="306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37"/>
  </r>
  <r>
    <x v="1"/>
    <x v="365"/>
    <x v="0"/>
    <x v="24"/>
    <x v="0"/>
    <x v="0"/>
    <x v="0"/>
    <x v="70"/>
    <x v="71"/>
    <x v="0"/>
    <x v="0"/>
    <x v="0"/>
    <x v="30"/>
    <x v="0"/>
    <x v="0"/>
    <x v="70"/>
    <x v="9"/>
    <x v="0"/>
    <x v="0"/>
    <x v="0"/>
    <x v="70"/>
    <x v="71"/>
    <x v="0"/>
    <x v="3"/>
    <x v="0"/>
    <x v="0"/>
    <x v="0"/>
    <x v="0"/>
    <x v="1"/>
    <x v="1"/>
    <x v="0"/>
    <x v="4"/>
    <x v="72"/>
    <x v="0"/>
    <x v="7"/>
    <x v="72"/>
    <x v="1"/>
    <x v="0"/>
    <x v="73"/>
    <x v="0"/>
    <x v="0"/>
    <x v="0"/>
    <x v="0"/>
    <x v="0"/>
    <x v="30"/>
    <x v="0"/>
    <x v="0"/>
    <x v="0"/>
    <x v="0"/>
    <x v="72"/>
    <x v="0"/>
    <x v="0"/>
    <x v="72"/>
    <x v="0"/>
    <x v="0"/>
    <x v="6"/>
    <x v="1"/>
    <x v="7"/>
    <x v="1"/>
    <x v="73"/>
    <x v="0"/>
    <x v="0"/>
    <x v="1"/>
    <x v="0"/>
    <x v="25"/>
    <x v="365"/>
    <x v="365"/>
    <x v="0"/>
    <x v="0"/>
    <x v="0"/>
    <x v="72"/>
    <x v="0"/>
    <x v="0"/>
    <x v="0"/>
    <x v="0"/>
    <x v="7"/>
    <x v="0"/>
    <x v="0"/>
    <x v="0"/>
    <x v="23"/>
    <x v="0"/>
    <x v="3"/>
    <x v="3"/>
    <x v="4"/>
    <x v="1"/>
    <x v="0"/>
    <x v="0"/>
    <x v="0"/>
    <x v="307"/>
    <x v="7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66"/>
    <x v="2"/>
    <x v="24"/>
    <x v="0"/>
    <x v="0"/>
    <x v="0"/>
    <x v="234"/>
    <x v="297"/>
    <x v="0"/>
    <x v="0"/>
    <x v="0"/>
    <x v="19"/>
    <x v="3"/>
    <x v="0"/>
    <x v="234"/>
    <x v="5"/>
    <x v="0"/>
    <x v="0"/>
    <x v="0"/>
    <x v="234"/>
    <x v="297"/>
    <x v="0"/>
    <x v="3"/>
    <x v="0"/>
    <x v="0"/>
    <x v="0"/>
    <x v="0"/>
    <x v="1"/>
    <x v="1"/>
    <x v="0"/>
    <x v="4"/>
    <x v="233"/>
    <x v="0"/>
    <x v="233"/>
    <x v="233"/>
    <x v="1"/>
    <x v="0"/>
    <x v="303"/>
    <x v="3"/>
    <x v="0"/>
    <x v="3"/>
    <x v="0"/>
    <x v="0"/>
    <x v="19"/>
    <x v="0"/>
    <x v="0"/>
    <x v="0"/>
    <x v="0"/>
    <x v="233"/>
    <x v="0"/>
    <x v="3"/>
    <x v="233"/>
    <x v="0"/>
    <x v="0"/>
    <x v="6"/>
    <x v="1"/>
    <x v="7"/>
    <x v="1"/>
    <x v="303"/>
    <x v="0"/>
    <x v="6"/>
    <x v="4"/>
    <x v="0"/>
    <x v="25"/>
    <x v="366"/>
    <x v="366"/>
    <x v="0"/>
    <x v="0"/>
    <x v="0"/>
    <x v="233"/>
    <x v="0"/>
    <x v="0"/>
    <x v="0"/>
    <x v="0"/>
    <x v="7"/>
    <x v="0"/>
    <x v="0"/>
    <x v="0"/>
    <x v="23"/>
    <x v="0"/>
    <x v="3"/>
    <x v="3"/>
    <x v="4"/>
    <x v="1"/>
    <x v="0"/>
    <x v="0"/>
    <x v="0"/>
    <x v="308"/>
    <x v="7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87"/>
    <x v="4"/>
    <x v="0"/>
    <x v="0"/>
    <x v="0"/>
    <x v="0"/>
    <x v="0"/>
    <x v="0"/>
  </r>
  <r>
    <x v="1"/>
    <x v="367"/>
    <x v="0"/>
    <x v="24"/>
    <x v="0"/>
    <x v="0"/>
    <x v="0"/>
    <x v="152"/>
    <x v="158"/>
    <x v="0"/>
    <x v="0"/>
    <x v="0"/>
    <x v="37"/>
    <x v="0"/>
    <x v="0"/>
    <x v="152"/>
    <x v="9"/>
    <x v="0"/>
    <x v="0"/>
    <x v="0"/>
    <x v="152"/>
    <x v="158"/>
    <x v="0"/>
    <x v="3"/>
    <x v="0"/>
    <x v="0"/>
    <x v="0"/>
    <x v="0"/>
    <x v="1"/>
    <x v="1"/>
    <x v="0"/>
    <x v="4"/>
    <x v="156"/>
    <x v="0"/>
    <x v="7"/>
    <x v="156"/>
    <x v="1"/>
    <x v="0"/>
    <x v="168"/>
    <x v="0"/>
    <x v="0"/>
    <x v="0"/>
    <x v="0"/>
    <x v="0"/>
    <x v="37"/>
    <x v="0"/>
    <x v="0"/>
    <x v="0"/>
    <x v="0"/>
    <x v="156"/>
    <x v="0"/>
    <x v="0"/>
    <x v="156"/>
    <x v="0"/>
    <x v="0"/>
    <x v="6"/>
    <x v="1"/>
    <x v="7"/>
    <x v="1"/>
    <x v="168"/>
    <x v="0"/>
    <x v="0"/>
    <x v="1"/>
    <x v="0"/>
    <x v="25"/>
    <x v="367"/>
    <x v="367"/>
    <x v="0"/>
    <x v="0"/>
    <x v="0"/>
    <x v="156"/>
    <x v="0"/>
    <x v="0"/>
    <x v="0"/>
    <x v="0"/>
    <x v="7"/>
    <x v="0"/>
    <x v="0"/>
    <x v="0"/>
    <x v="23"/>
    <x v="0"/>
    <x v="3"/>
    <x v="3"/>
    <x v="4"/>
    <x v="1"/>
    <x v="0"/>
    <x v="0"/>
    <x v="0"/>
    <x v="309"/>
    <x v="7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68"/>
    <x v="0"/>
    <x v="24"/>
    <x v="0"/>
    <x v="0"/>
    <x v="0"/>
    <x v="283"/>
    <x v="298"/>
    <x v="0"/>
    <x v="0"/>
    <x v="0"/>
    <x v="0"/>
    <x v="0"/>
    <x v="0"/>
    <x v="283"/>
    <x v="0"/>
    <x v="0"/>
    <x v="0"/>
    <x v="0"/>
    <x v="283"/>
    <x v="298"/>
    <x v="0"/>
    <x v="0"/>
    <x v="0"/>
    <x v="0"/>
    <x v="0"/>
    <x v="0"/>
    <x v="0"/>
    <x v="0"/>
    <x v="0"/>
    <x v="226"/>
    <x v="278"/>
    <x v="0"/>
    <x v="282"/>
    <x v="278"/>
    <x v="94"/>
    <x v="0"/>
    <x v="304"/>
    <x v="0"/>
    <x v="0"/>
    <x v="0"/>
    <x v="0"/>
    <x v="0"/>
    <x v="0"/>
    <x v="0"/>
    <x v="0"/>
    <x v="0"/>
    <x v="0"/>
    <x v="278"/>
    <x v="0"/>
    <x v="0"/>
    <x v="278"/>
    <x v="0"/>
    <x v="0"/>
    <x v="213"/>
    <x v="0"/>
    <x v="218"/>
    <x v="94"/>
    <x v="304"/>
    <x v="0"/>
    <x v="0"/>
    <x v="0"/>
    <x v="0"/>
    <x v="25"/>
    <x v="368"/>
    <x v="368"/>
    <x v="0"/>
    <x v="0"/>
    <x v="0"/>
    <x v="278"/>
    <x v="0"/>
    <x v="0"/>
    <x v="0"/>
    <x v="0"/>
    <x v="218"/>
    <x v="0"/>
    <x v="0"/>
    <x v="0"/>
    <x v="23"/>
    <x v="0"/>
    <x v="85"/>
    <x v="85"/>
    <x v="226"/>
    <x v="0"/>
    <x v="0"/>
    <x v="0"/>
    <x v="0"/>
    <x v="310"/>
    <x v="2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5"/>
    <x v="200"/>
    <x v="0"/>
    <x v="0"/>
    <x v="0"/>
    <x v="0"/>
    <x v="0"/>
    <x v="0"/>
  </r>
  <r>
    <x v="0"/>
    <x v="369"/>
    <x v="0"/>
    <x v="24"/>
    <x v="0"/>
    <x v="0"/>
    <x v="0"/>
    <x v="284"/>
    <x v="299"/>
    <x v="0"/>
    <x v="0"/>
    <x v="0"/>
    <x v="0"/>
    <x v="0"/>
    <x v="0"/>
    <x v="284"/>
    <x v="0"/>
    <x v="0"/>
    <x v="0"/>
    <x v="0"/>
    <x v="284"/>
    <x v="299"/>
    <x v="0"/>
    <x v="0"/>
    <x v="0"/>
    <x v="0"/>
    <x v="0"/>
    <x v="0"/>
    <x v="0"/>
    <x v="0"/>
    <x v="0"/>
    <x v="226"/>
    <x v="279"/>
    <x v="0"/>
    <x v="283"/>
    <x v="279"/>
    <x v="1"/>
    <x v="0"/>
    <x v="305"/>
    <x v="1"/>
    <x v="0"/>
    <x v="1"/>
    <x v="0"/>
    <x v="0"/>
    <x v="0"/>
    <x v="0"/>
    <x v="0"/>
    <x v="0"/>
    <x v="0"/>
    <x v="279"/>
    <x v="0"/>
    <x v="1"/>
    <x v="279"/>
    <x v="0"/>
    <x v="0"/>
    <x v="214"/>
    <x v="0"/>
    <x v="219"/>
    <x v="1"/>
    <x v="305"/>
    <x v="0"/>
    <x v="0"/>
    <x v="1"/>
    <x v="0"/>
    <x v="25"/>
    <x v="369"/>
    <x v="369"/>
    <x v="0"/>
    <x v="0"/>
    <x v="0"/>
    <x v="279"/>
    <x v="0"/>
    <x v="0"/>
    <x v="0"/>
    <x v="0"/>
    <x v="219"/>
    <x v="0"/>
    <x v="0"/>
    <x v="0"/>
    <x v="23"/>
    <x v="0"/>
    <x v="85"/>
    <x v="85"/>
    <x v="226"/>
    <x v="0"/>
    <x v="0"/>
    <x v="0"/>
    <x v="0"/>
    <x v="310"/>
    <x v="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5"/>
    <x v="200"/>
    <x v="0"/>
    <x v="0"/>
    <x v="0"/>
    <x v="0"/>
    <x v="0"/>
    <x v="0"/>
  </r>
  <r>
    <x v="0"/>
    <x v="370"/>
    <x v="0"/>
    <x v="24"/>
    <x v="0"/>
    <x v="0"/>
    <x v="0"/>
    <x v="285"/>
    <x v="300"/>
    <x v="0"/>
    <x v="0"/>
    <x v="0"/>
    <x v="12"/>
    <x v="0"/>
    <x v="0"/>
    <x v="285"/>
    <x v="10"/>
    <x v="0"/>
    <x v="0"/>
    <x v="0"/>
    <x v="285"/>
    <x v="300"/>
    <x v="0"/>
    <x v="0"/>
    <x v="0"/>
    <x v="0"/>
    <x v="0"/>
    <x v="0"/>
    <x v="0"/>
    <x v="0"/>
    <x v="0"/>
    <x v="227"/>
    <x v="219"/>
    <x v="0"/>
    <x v="284"/>
    <x v="219"/>
    <x v="1"/>
    <x v="0"/>
    <x v="238"/>
    <x v="0"/>
    <x v="0"/>
    <x v="0"/>
    <x v="0"/>
    <x v="0"/>
    <x v="12"/>
    <x v="0"/>
    <x v="0"/>
    <x v="0"/>
    <x v="0"/>
    <x v="219"/>
    <x v="0"/>
    <x v="0"/>
    <x v="219"/>
    <x v="0"/>
    <x v="0"/>
    <x v="173"/>
    <x v="0"/>
    <x v="179"/>
    <x v="1"/>
    <x v="238"/>
    <x v="0"/>
    <x v="0"/>
    <x v="1"/>
    <x v="0"/>
    <x v="25"/>
    <x v="370"/>
    <x v="370"/>
    <x v="0"/>
    <x v="0"/>
    <x v="0"/>
    <x v="219"/>
    <x v="0"/>
    <x v="0"/>
    <x v="0"/>
    <x v="0"/>
    <x v="179"/>
    <x v="0"/>
    <x v="0"/>
    <x v="0"/>
    <x v="23"/>
    <x v="0"/>
    <x v="19"/>
    <x v="19"/>
    <x v="227"/>
    <x v="0"/>
    <x v="0"/>
    <x v="0"/>
    <x v="0"/>
    <x v="311"/>
    <x v="17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26"/>
    <x v="201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228"/>
    <x v="280"/>
    <x v="0"/>
    <x v="7"/>
    <x v="280"/>
    <x v="1"/>
    <x v="0"/>
    <x v="306"/>
    <x v="0"/>
    <x v="1"/>
    <x v="0"/>
    <x v="1"/>
    <x v="0"/>
    <x v="3"/>
    <x v="0"/>
    <x v="0"/>
    <x v="0"/>
    <x v="0"/>
    <x v="280"/>
    <x v="1"/>
    <x v="0"/>
    <x v="280"/>
    <x v="0"/>
    <x v="0"/>
    <x v="215"/>
    <x v="0"/>
    <x v="220"/>
    <x v="1"/>
    <x v="306"/>
    <x v="1"/>
    <x v="3"/>
    <x v="3"/>
    <x v="1"/>
    <x v="1"/>
    <x v="9"/>
    <x v="9"/>
    <x v="0"/>
    <x v="0"/>
    <x v="1"/>
    <x v="280"/>
    <x v="0"/>
    <x v="0"/>
    <x v="0"/>
    <x v="1"/>
    <x v="220"/>
    <x v="0"/>
    <x v="1"/>
    <x v="1"/>
    <x v="23"/>
    <x v="0"/>
    <x v="86"/>
    <x v="86"/>
    <x v="228"/>
    <x v="0"/>
    <x v="1"/>
    <x v="0"/>
    <x v="0"/>
    <x v="5"/>
    <x v="220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229"/>
    <x v="280"/>
    <x v="0"/>
    <x v="7"/>
    <x v="280"/>
    <x v="1"/>
    <x v="0"/>
    <x v="306"/>
    <x v="0"/>
    <x v="1"/>
    <x v="0"/>
    <x v="1"/>
    <x v="0"/>
    <x v="3"/>
    <x v="0"/>
    <x v="0"/>
    <x v="0"/>
    <x v="0"/>
    <x v="280"/>
    <x v="1"/>
    <x v="0"/>
    <x v="280"/>
    <x v="0"/>
    <x v="0"/>
    <x v="215"/>
    <x v="0"/>
    <x v="220"/>
    <x v="1"/>
    <x v="306"/>
    <x v="1"/>
    <x v="3"/>
    <x v="3"/>
    <x v="1"/>
    <x v="1"/>
    <x v="9"/>
    <x v="9"/>
    <x v="0"/>
    <x v="0"/>
    <x v="1"/>
    <x v="280"/>
    <x v="0"/>
    <x v="0"/>
    <x v="0"/>
    <x v="1"/>
    <x v="220"/>
    <x v="0"/>
    <x v="1"/>
    <x v="1"/>
    <x v="23"/>
    <x v="0"/>
    <x v="86"/>
    <x v="86"/>
    <x v="229"/>
    <x v="0"/>
    <x v="1"/>
    <x v="0"/>
    <x v="0"/>
    <x v="5"/>
    <x v="220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71"/>
    <x v="0"/>
    <x v="24"/>
    <x v="0"/>
    <x v="0"/>
    <x v="0"/>
    <x v="286"/>
    <x v="301"/>
    <x v="0"/>
    <x v="0"/>
    <x v="0"/>
    <x v="12"/>
    <x v="1"/>
    <x v="0"/>
    <x v="286"/>
    <x v="11"/>
    <x v="0"/>
    <x v="0"/>
    <x v="0"/>
    <x v="286"/>
    <x v="301"/>
    <x v="0"/>
    <x v="0"/>
    <x v="0"/>
    <x v="0"/>
    <x v="0"/>
    <x v="0"/>
    <x v="0"/>
    <x v="0"/>
    <x v="0"/>
    <x v="230"/>
    <x v="281"/>
    <x v="0"/>
    <x v="285"/>
    <x v="281"/>
    <x v="1"/>
    <x v="0"/>
    <x v="307"/>
    <x v="0"/>
    <x v="0"/>
    <x v="0"/>
    <x v="0"/>
    <x v="0"/>
    <x v="12"/>
    <x v="0"/>
    <x v="0"/>
    <x v="0"/>
    <x v="0"/>
    <x v="281"/>
    <x v="0"/>
    <x v="0"/>
    <x v="281"/>
    <x v="0"/>
    <x v="0"/>
    <x v="216"/>
    <x v="0"/>
    <x v="221"/>
    <x v="1"/>
    <x v="307"/>
    <x v="0"/>
    <x v="0"/>
    <x v="1"/>
    <x v="0"/>
    <x v="25"/>
    <x v="371"/>
    <x v="371"/>
    <x v="0"/>
    <x v="0"/>
    <x v="0"/>
    <x v="281"/>
    <x v="0"/>
    <x v="0"/>
    <x v="0"/>
    <x v="0"/>
    <x v="221"/>
    <x v="0"/>
    <x v="0"/>
    <x v="0"/>
    <x v="23"/>
    <x v="0"/>
    <x v="87"/>
    <x v="87"/>
    <x v="230"/>
    <x v="0"/>
    <x v="0"/>
    <x v="0"/>
    <x v="0"/>
    <x v="312"/>
    <x v="22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202"/>
    <x v="0"/>
    <x v="0"/>
    <x v="0"/>
    <x v="0"/>
    <x v="0"/>
    <x v="0"/>
  </r>
  <r>
    <x v="0"/>
    <x v="372"/>
    <x v="0"/>
    <x v="24"/>
    <x v="0"/>
    <x v="0"/>
    <x v="0"/>
    <x v="130"/>
    <x v="134"/>
    <x v="0"/>
    <x v="0"/>
    <x v="0"/>
    <x v="12"/>
    <x v="0"/>
    <x v="0"/>
    <x v="130"/>
    <x v="10"/>
    <x v="0"/>
    <x v="0"/>
    <x v="0"/>
    <x v="130"/>
    <x v="134"/>
    <x v="0"/>
    <x v="0"/>
    <x v="0"/>
    <x v="0"/>
    <x v="0"/>
    <x v="0"/>
    <x v="0"/>
    <x v="0"/>
    <x v="0"/>
    <x v="231"/>
    <x v="133"/>
    <x v="0"/>
    <x v="130"/>
    <x v="133"/>
    <x v="1"/>
    <x v="0"/>
    <x v="143"/>
    <x v="2"/>
    <x v="0"/>
    <x v="2"/>
    <x v="0"/>
    <x v="0"/>
    <x v="12"/>
    <x v="0"/>
    <x v="0"/>
    <x v="0"/>
    <x v="0"/>
    <x v="133"/>
    <x v="0"/>
    <x v="2"/>
    <x v="133"/>
    <x v="0"/>
    <x v="0"/>
    <x v="109"/>
    <x v="0"/>
    <x v="109"/>
    <x v="1"/>
    <x v="143"/>
    <x v="0"/>
    <x v="0"/>
    <x v="1"/>
    <x v="0"/>
    <x v="25"/>
    <x v="372"/>
    <x v="372"/>
    <x v="0"/>
    <x v="0"/>
    <x v="0"/>
    <x v="133"/>
    <x v="0"/>
    <x v="0"/>
    <x v="0"/>
    <x v="0"/>
    <x v="109"/>
    <x v="0"/>
    <x v="0"/>
    <x v="0"/>
    <x v="23"/>
    <x v="0"/>
    <x v="84"/>
    <x v="84"/>
    <x v="231"/>
    <x v="0"/>
    <x v="0"/>
    <x v="0"/>
    <x v="0"/>
    <x v="313"/>
    <x v="10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27"/>
    <x v="203"/>
    <x v="0"/>
    <x v="0"/>
    <x v="0"/>
    <x v="0"/>
    <x v="0"/>
    <x v="149"/>
  </r>
  <r>
    <x v="1"/>
    <x v="373"/>
    <x v="0"/>
    <x v="24"/>
    <x v="0"/>
    <x v="0"/>
    <x v="0"/>
    <x v="287"/>
    <x v="302"/>
    <x v="0"/>
    <x v="0"/>
    <x v="0"/>
    <x v="2"/>
    <x v="1"/>
    <x v="0"/>
    <x v="287"/>
    <x v="3"/>
    <x v="0"/>
    <x v="0"/>
    <x v="0"/>
    <x v="287"/>
    <x v="302"/>
    <x v="0"/>
    <x v="3"/>
    <x v="0"/>
    <x v="0"/>
    <x v="0"/>
    <x v="0"/>
    <x v="1"/>
    <x v="1"/>
    <x v="0"/>
    <x v="4"/>
    <x v="6"/>
    <x v="0"/>
    <x v="286"/>
    <x v="6"/>
    <x v="36"/>
    <x v="0"/>
    <x v="93"/>
    <x v="0"/>
    <x v="0"/>
    <x v="0"/>
    <x v="0"/>
    <x v="0"/>
    <x v="2"/>
    <x v="0"/>
    <x v="0"/>
    <x v="0"/>
    <x v="0"/>
    <x v="6"/>
    <x v="0"/>
    <x v="0"/>
    <x v="6"/>
    <x v="143"/>
    <x v="0"/>
    <x v="6"/>
    <x v="1"/>
    <x v="7"/>
    <x v="36"/>
    <x v="93"/>
    <x v="0"/>
    <x v="2"/>
    <x v="0"/>
    <x v="0"/>
    <x v="25"/>
    <x v="373"/>
    <x v="373"/>
    <x v="0"/>
    <x v="0"/>
    <x v="0"/>
    <x v="6"/>
    <x v="0"/>
    <x v="0"/>
    <x v="0"/>
    <x v="0"/>
    <x v="7"/>
    <x v="0"/>
    <x v="0"/>
    <x v="0"/>
    <x v="23"/>
    <x v="0"/>
    <x v="3"/>
    <x v="3"/>
    <x v="4"/>
    <x v="1"/>
    <x v="0"/>
    <x v="0"/>
    <x v="0"/>
    <x v="314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28"/>
    <x v="4"/>
    <x v="0"/>
    <x v="0"/>
    <x v="0"/>
    <x v="0"/>
    <x v="0"/>
    <x v="15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44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45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146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2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5"/>
    <x v="0"/>
    <x v="7"/>
    <x v="35"/>
    <x v="49"/>
    <x v="0"/>
    <x v="124"/>
    <x v="0"/>
    <x v="1"/>
    <x v="0"/>
    <x v="1"/>
    <x v="0"/>
    <x v="3"/>
    <x v="0"/>
    <x v="0"/>
    <x v="0"/>
    <x v="0"/>
    <x v="35"/>
    <x v="1"/>
    <x v="0"/>
    <x v="35"/>
    <x v="147"/>
    <x v="0"/>
    <x v="6"/>
    <x v="1"/>
    <x v="7"/>
    <x v="49"/>
    <x v="124"/>
    <x v="1"/>
    <x v="3"/>
    <x v="3"/>
    <x v="1"/>
    <x v="1"/>
    <x v="9"/>
    <x v="9"/>
    <x v="0"/>
    <x v="0"/>
    <x v="1"/>
    <x v="35"/>
    <x v="0"/>
    <x v="0"/>
    <x v="0"/>
    <x v="1"/>
    <x v="7"/>
    <x v="0"/>
    <x v="1"/>
    <x v="1"/>
    <x v="2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148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2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49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50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3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374"/>
    <x v="0"/>
    <x v="25"/>
    <x v="0"/>
    <x v="0"/>
    <x v="0"/>
    <x v="288"/>
    <x v="303"/>
    <x v="0"/>
    <x v="0"/>
    <x v="0"/>
    <x v="2"/>
    <x v="1"/>
    <x v="0"/>
    <x v="288"/>
    <x v="3"/>
    <x v="0"/>
    <x v="0"/>
    <x v="0"/>
    <x v="288"/>
    <x v="303"/>
    <x v="0"/>
    <x v="3"/>
    <x v="0"/>
    <x v="0"/>
    <x v="0"/>
    <x v="0"/>
    <x v="1"/>
    <x v="1"/>
    <x v="0"/>
    <x v="4"/>
    <x v="6"/>
    <x v="0"/>
    <x v="287"/>
    <x v="6"/>
    <x v="4"/>
    <x v="0"/>
    <x v="6"/>
    <x v="0"/>
    <x v="0"/>
    <x v="0"/>
    <x v="0"/>
    <x v="0"/>
    <x v="2"/>
    <x v="0"/>
    <x v="0"/>
    <x v="0"/>
    <x v="0"/>
    <x v="6"/>
    <x v="0"/>
    <x v="0"/>
    <x v="6"/>
    <x v="151"/>
    <x v="0"/>
    <x v="6"/>
    <x v="1"/>
    <x v="7"/>
    <x v="4"/>
    <x v="6"/>
    <x v="0"/>
    <x v="2"/>
    <x v="0"/>
    <x v="0"/>
    <x v="25"/>
    <x v="374"/>
    <x v="374"/>
    <x v="0"/>
    <x v="0"/>
    <x v="0"/>
    <x v="6"/>
    <x v="0"/>
    <x v="0"/>
    <x v="0"/>
    <x v="0"/>
    <x v="7"/>
    <x v="0"/>
    <x v="0"/>
    <x v="0"/>
    <x v="24"/>
    <x v="0"/>
    <x v="3"/>
    <x v="3"/>
    <x v="4"/>
    <x v="1"/>
    <x v="0"/>
    <x v="0"/>
    <x v="0"/>
    <x v="315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29"/>
    <x v="4"/>
    <x v="0"/>
    <x v="0"/>
    <x v="0"/>
    <x v="0"/>
    <x v="0"/>
    <x v="151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3"/>
    <x v="0"/>
    <x v="7"/>
    <x v="33"/>
    <x v="17"/>
    <x v="0"/>
    <x v="34"/>
    <x v="0"/>
    <x v="1"/>
    <x v="0"/>
    <x v="1"/>
    <x v="0"/>
    <x v="3"/>
    <x v="0"/>
    <x v="0"/>
    <x v="0"/>
    <x v="0"/>
    <x v="33"/>
    <x v="1"/>
    <x v="0"/>
    <x v="33"/>
    <x v="152"/>
    <x v="0"/>
    <x v="6"/>
    <x v="1"/>
    <x v="7"/>
    <x v="17"/>
    <x v="34"/>
    <x v="1"/>
    <x v="3"/>
    <x v="3"/>
    <x v="1"/>
    <x v="1"/>
    <x v="9"/>
    <x v="9"/>
    <x v="0"/>
    <x v="0"/>
    <x v="1"/>
    <x v="33"/>
    <x v="0"/>
    <x v="0"/>
    <x v="0"/>
    <x v="1"/>
    <x v="7"/>
    <x v="0"/>
    <x v="1"/>
    <x v="1"/>
    <x v="2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282"/>
    <x v="0"/>
    <x v="7"/>
    <x v="282"/>
    <x v="95"/>
    <x v="0"/>
    <x v="308"/>
    <x v="0"/>
    <x v="1"/>
    <x v="0"/>
    <x v="1"/>
    <x v="0"/>
    <x v="3"/>
    <x v="0"/>
    <x v="0"/>
    <x v="0"/>
    <x v="0"/>
    <x v="282"/>
    <x v="1"/>
    <x v="0"/>
    <x v="282"/>
    <x v="153"/>
    <x v="0"/>
    <x v="6"/>
    <x v="1"/>
    <x v="7"/>
    <x v="95"/>
    <x v="308"/>
    <x v="1"/>
    <x v="3"/>
    <x v="3"/>
    <x v="1"/>
    <x v="1"/>
    <x v="9"/>
    <x v="9"/>
    <x v="0"/>
    <x v="0"/>
    <x v="1"/>
    <x v="282"/>
    <x v="0"/>
    <x v="0"/>
    <x v="0"/>
    <x v="1"/>
    <x v="7"/>
    <x v="0"/>
    <x v="1"/>
    <x v="1"/>
    <x v="2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54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92"/>
    <x v="0"/>
    <x v="7"/>
    <x v="92"/>
    <x v="96"/>
    <x v="0"/>
    <x v="309"/>
    <x v="0"/>
    <x v="1"/>
    <x v="0"/>
    <x v="1"/>
    <x v="0"/>
    <x v="3"/>
    <x v="0"/>
    <x v="0"/>
    <x v="0"/>
    <x v="0"/>
    <x v="92"/>
    <x v="1"/>
    <x v="0"/>
    <x v="92"/>
    <x v="155"/>
    <x v="0"/>
    <x v="6"/>
    <x v="1"/>
    <x v="7"/>
    <x v="96"/>
    <x v="309"/>
    <x v="1"/>
    <x v="3"/>
    <x v="3"/>
    <x v="1"/>
    <x v="1"/>
    <x v="9"/>
    <x v="9"/>
    <x v="0"/>
    <x v="0"/>
    <x v="1"/>
    <x v="92"/>
    <x v="0"/>
    <x v="0"/>
    <x v="0"/>
    <x v="1"/>
    <x v="7"/>
    <x v="0"/>
    <x v="1"/>
    <x v="1"/>
    <x v="2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56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57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58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4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75"/>
    <x v="0"/>
    <x v="25"/>
    <x v="0"/>
    <x v="0"/>
    <x v="0"/>
    <x v="205"/>
    <x v="304"/>
    <x v="0"/>
    <x v="0"/>
    <x v="0"/>
    <x v="15"/>
    <x v="0"/>
    <x v="0"/>
    <x v="205"/>
    <x v="14"/>
    <x v="0"/>
    <x v="0"/>
    <x v="0"/>
    <x v="205"/>
    <x v="304"/>
    <x v="0"/>
    <x v="0"/>
    <x v="0"/>
    <x v="0"/>
    <x v="0"/>
    <x v="0"/>
    <x v="0"/>
    <x v="0"/>
    <x v="0"/>
    <x v="232"/>
    <x v="208"/>
    <x v="0"/>
    <x v="205"/>
    <x v="208"/>
    <x v="97"/>
    <x v="0"/>
    <x v="310"/>
    <x v="0"/>
    <x v="0"/>
    <x v="0"/>
    <x v="0"/>
    <x v="0"/>
    <x v="15"/>
    <x v="0"/>
    <x v="0"/>
    <x v="0"/>
    <x v="0"/>
    <x v="208"/>
    <x v="0"/>
    <x v="0"/>
    <x v="208"/>
    <x v="0"/>
    <x v="0"/>
    <x v="163"/>
    <x v="0"/>
    <x v="170"/>
    <x v="97"/>
    <x v="310"/>
    <x v="0"/>
    <x v="9"/>
    <x v="0"/>
    <x v="0"/>
    <x v="25"/>
    <x v="375"/>
    <x v="375"/>
    <x v="0"/>
    <x v="0"/>
    <x v="0"/>
    <x v="208"/>
    <x v="0"/>
    <x v="0"/>
    <x v="0"/>
    <x v="0"/>
    <x v="170"/>
    <x v="0"/>
    <x v="0"/>
    <x v="0"/>
    <x v="24"/>
    <x v="0"/>
    <x v="39"/>
    <x v="39"/>
    <x v="232"/>
    <x v="0"/>
    <x v="0"/>
    <x v="0"/>
    <x v="0"/>
    <x v="316"/>
    <x v="17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30"/>
    <x v="204"/>
    <x v="0"/>
    <x v="0"/>
    <x v="0"/>
    <x v="0"/>
    <x v="0"/>
    <x v="0"/>
  </r>
  <r>
    <x v="0"/>
    <x v="376"/>
    <x v="0"/>
    <x v="24"/>
    <x v="0"/>
    <x v="0"/>
    <x v="0"/>
    <x v="191"/>
    <x v="198"/>
    <x v="0"/>
    <x v="0"/>
    <x v="0"/>
    <x v="1"/>
    <x v="0"/>
    <x v="0"/>
    <x v="191"/>
    <x v="2"/>
    <x v="0"/>
    <x v="0"/>
    <x v="0"/>
    <x v="191"/>
    <x v="198"/>
    <x v="0"/>
    <x v="0"/>
    <x v="0"/>
    <x v="0"/>
    <x v="0"/>
    <x v="0"/>
    <x v="0"/>
    <x v="0"/>
    <x v="0"/>
    <x v="233"/>
    <x v="194"/>
    <x v="0"/>
    <x v="191"/>
    <x v="194"/>
    <x v="1"/>
    <x v="0"/>
    <x v="207"/>
    <x v="2"/>
    <x v="0"/>
    <x v="2"/>
    <x v="0"/>
    <x v="0"/>
    <x v="1"/>
    <x v="0"/>
    <x v="0"/>
    <x v="0"/>
    <x v="0"/>
    <x v="194"/>
    <x v="0"/>
    <x v="2"/>
    <x v="194"/>
    <x v="0"/>
    <x v="0"/>
    <x v="152"/>
    <x v="0"/>
    <x v="158"/>
    <x v="1"/>
    <x v="207"/>
    <x v="0"/>
    <x v="1"/>
    <x v="0"/>
    <x v="0"/>
    <x v="26"/>
    <x v="376"/>
    <x v="376"/>
    <x v="0"/>
    <x v="0"/>
    <x v="0"/>
    <x v="194"/>
    <x v="0"/>
    <x v="0"/>
    <x v="0"/>
    <x v="0"/>
    <x v="158"/>
    <x v="0"/>
    <x v="0"/>
    <x v="0"/>
    <x v="23"/>
    <x v="0"/>
    <x v="33"/>
    <x v="33"/>
    <x v="233"/>
    <x v="0"/>
    <x v="0"/>
    <x v="0"/>
    <x v="0"/>
    <x v="317"/>
    <x v="15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31"/>
    <x v="205"/>
    <x v="0"/>
    <x v="0"/>
    <x v="0"/>
    <x v="0"/>
    <x v="0"/>
    <x v="152"/>
  </r>
  <r>
    <x v="0"/>
    <x v="377"/>
    <x v="0"/>
    <x v="25"/>
    <x v="0"/>
    <x v="0"/>
    <x v="0"/>
    <x v="204"/>
    <x v="213"/>
    <x v="0"/>
    <x v="0"/>
    <x v="0"/>
    <x v="0"/>
    <x v="0"/>
    <x v="0"/>
    <x v="204"/>
    <x v="0"/>
    <x v="0"/>
    <x v="0"/>
    <x v="0"/>
    <x v="204"/>
    <x v="213"/>
    <x v="0"/>
    <x v="0"/>
    <x v="0"/>
    <x v="0"/>
    <x v="0"/>
    <x v="0"/>
    <x v="0"/>
    <x v="0"/>
    <x v="0"/>
    <x v="234"/>
    <x v="207"/>
    <x v="0"/>
    <x v="204"/>
    <x v="207"/>
    <x v="1"/>
    <x v="0"/>
    <x v="222"/>
    <x v="2"/>
    <x v="0"/>
    <x v="2"/>
    <x v="0"/>
    <x v="0"/>
    <x v="0"/>
    <x v="0"/>
    <x v="0"/>
    <x v="0"/>
    <x v="0"/>
    <x v="207"/>
    <x v="0"/>
    <x v="2"/>
    <x v="207"/>
    <x v="0"/>
    <x v="0"/>
    <x v="217"/>
    <x v="0"/>
    <x v="222"/>
    <x v="1"/>
    <x v="222"/>
    <x v="0"/>
    <x v="0"/>
    <x v="1"/>
    <x v="0"/>
    <x v="26"/>
    <x v="377"/>
    <x v="377"/>
    <x v="0"/>
    <x v="0"/>
    <x v="0"/>
    <x v="207"/>
    <x v="0"/>
    <x v="0"/>
    <x v="0"/>
    <x v="0"/>
    <x v="222"/>
    <x v="0"/>
    <x v="0"/>
    <x v="0"/>
    <x v="24"/>
    <x v="0"/>
    <x v="88"/>
    <x v="88"/>
    <x v="234"/>
    <x v="0"/>
    <x v="0"/>
    <x v="0"/>
    <x v="0"/>
    <x v="318"/>
    <x v="2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2"/>
    <x v="206"/>
    <x v="0"/>
    <x v="0"/>
    <x v="0"/>
    <x v="0"/>
    <x v="0"/>
    <x v="153"/>
  </r>
  <r>
    <x v="0"/>
    <x v="378"/>
    <x v="0"/>
    <x v="24"/>
    <x v="0"/>
    <x v="0"/>
    <x v="0"/>
    <x v="289"/>
    <x v="305"/>
    <x v="0"/>
    <x v="0"/>
    <x v="0"/>
    <x v="4"/>
    <x v="0"/>
    <x v="0"/>
    <x v="289"/>
    <x v="4"/>
    <x v="0"/>
    <x v="0"/>
    <x v="0"/>
    <x v="289"/>
    <x v="305"/>
    <x v="0"/>
    <x v="0"/>
    <x v="0"/>
    <x v="0"/>
    <x v="0"/>
    <x v="0"/>
    <x v="0"/>
    <x v="0"/>
    <x v="0"/>
    <x v="235"/>
    <x v="283"/>
    <x v="0"/>
    <x v="288"/>
    <x v="283"/>
    <x v="1"/>
    <x v="0"/>
    <x v="311"/>
    <x v="2"/>
    <x v="0"/>
    <x v="2"/>
    <x v="0"/>
    <x v="0"/>
    <x v="4"/>
    <x v="0"/>
    <x v="0"/>
    <x v="0"/>
    <x v="0"/>
    <x v="283"/>
    <x v="0"/>
    <x v="2"/>
    <x v="283"/>
    <x v="0"/>
    <x v="0"/>
    <x v="218"/>
    <x v="0"/>
    <x v="223"/>
    <x v="1"/>
    <x v="311"/>
    <x v="0"/>
    <x v="4"/>
    <x v="1"/>
    <x v="0"/>
    <x v="26"/>
    <x v="378"/>
    <x v="378"/>
    <x v="0"/>
    <x v="0"/>
    <x v="0"/>
    <x v="283"/>
    <x v="0"/>
    <x v="0"/>
    <x v="0"/>
    <x v="0"/>
    <x v="223"/>
    <x v="0"/>
    <x v="0"/>
    <x v="0"/>
    <x v="23"/>
    <x v="0"/>
    <x v="19"/>
    <x v="19"/>
    <x v="235"/>
    <x v="0"/>
    <x v="0"/>
    <x v="0"/>
    <x v="0"/>
    <x v="319"/>
    <x v="223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33"/>
    <x v="207"/>
    <x v="0"/>
    <x v="0"/>
    <x v="0"/>
    <x v="0"/>
    <x v="0"/>
    <x v="154"/>
  </r>
  <r>
    <x v="0"/>
    <x v="379"/>
    <x v="0"/>
    <x v="25"/>
    <x v="0"/>
    <x v="0"/>
    <x v="0"/>
    <x v="290"/>
    <x v="306"/>
    <x v="0"/>
    <x v="0"/>
    <x v="0"/>
    <x v="0"/>
    <x v="0"/>
    <x v="0"/>
    <x v="290"/>
    <x v="0"/>
    <x v="0"/>
    <x v="0"/>
    <x v="0"/>
    <x v="290"/>
    <x v="306"/>
    <x v="0"/>
    <x v="0"/>
    <x v="0"/>
    <x v="0"/>
    <x v="0"/>
    <x v="0"/>
    <x v="0"/>
    <x v="0"/>
    <x v="0"/>
    <x v="236"/>
    <x v="284"/>
    <x v="0"/>
    <x v="289"/>
    <x v="284"/>
    <x v="1"/>
    <x v="0"/>
    <x v="312"/>
    <x v="2"/>
    <x v="0"/>
    <x v="2"/>
    <x v="0"/>
    <x v="0"/>
    <x v="0"/>
    <x v="0"/>
    <x v="0"/>
    <x v="0"/>
    <x v="0"/>
    <x v="284"/>
    <x v="0"/>
    <x v="2"/>
    <x v="284"/>
    <x v="0"/>
    <x v="0"/>
    <x v="219"/>
    <x v="0"/>
    <x v="224"/>
    <x v="1"/>
    <x v="312"/>
    <x v="0"/>
    <x v="0"/>
    <x v="1"/>
    <x v="0"/>
    <x v="26"/>
    <x v="379"/>
    <x v="379"/>
    <x v="0"/>
    <x v="0"/>
    <x v="0"/>
    <x v="284"/>
    <x v="0"/>
    <x v="0"/>
    <x v="0"/>
    <x v="0"/>
    <x v="224"/>
    <x v="0"/>
    <x v="0"/>
    <x v="0"/>
    <x v="24"/>
    <x v="0"/>
    <x v="4"/>
    <x v="4"/>
    <x v="236"/>
    <x v="0"/>
    <x v="0"/>
    <x v="0"/>
    <x v="0"/>
    <x v="320"/>
    <x v="2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4"/>
    <x v="208"/>
    <x v="0"/>
    <x v="0"/>
    <x v="0"/>
    <x v="0"/>
    <x v="0"/>
    <x v="155"/>
  </r>
  <r>
    <x v="0"/>
    <x v="380"/>
    <x v="0"/>
    <x v="25"/>
    <x v="0"/>
    <x v="0"/>
    <x v="0"/>
    <x v="291"/>
    <x v="307"/>
    <x v="0"/>
    <x v="0"/>
    <x v="0"/>
    <x v="0"/>
    <x v="0"/>
    <x v="0"/>
    <x v="291"/>
    <x v="0"/>
    <x v="0"/>
    <x v="0"/>
    <x v="0"/>
    <x v="291"/>
    <x v="307"/>
    <x v="0"/>
    <x v="0"/>
    <x v="0"/>
    <x v="0"/>
    <x v="0"/>
    <x v="0"/>
    <x v="0"/>
    <x v="0"/>
    <x v="0"/>
    <x v="237"/>
    <x v="285"/>
    <x v="0"/>
    <x v="290"/>
    <x v="285"/>
    <x v="1"/>
    <x v="0"/>
    <x v="313"/>
    <x v="2"/>
    <x v="0"/>
    <x v="2"/>
    <x v="0"/>
    <x v="0"/>
    <x v="0"/>
    <x v="0"/>
    <x v="0"/>
    <x v="0"/>
    <x v="0"/>
    <x v="285"/>
    <x v="0"/>
    <x v="2"/>
    <x v="285"/>
    <x v="0"/>
    <x v="0"/>
    <x v="220"/>
    <x v="0"/>
    <x v="225"/>
    <x v="1"/>
    <x v="313"/>
    <x v="0"/>
    <x v="0"/>
    <x v="1"/>
    <x v="0"/>
    <x v="26"/>
    <x v="380"/>
    <x v="380"/>
    <x v="0"/>
    <x v="0"/>
    <x v="0"/>
    <x v="285"/>
    <x v="0"/>
    <x v="0"/>
    <x v="0"/>
    <x v="0"/>
    <x v="225"/>
    <x v="0"/>
    <x v="0"/>
    <x v="0"/>
    <x v="24"/>
    <x v="0"/>
    <x v="4"/>
    <x v="4"/>
    <x v="237"/>
    <x v="0"/>
    <x v="0"/>
    <x v="0"/>
    <x v="0"/>
    <x v="321"/>
    <x v="2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5"/>
    <x v="209"/>
    <x v="0"/>
    <x v="0"/>
    <x v="0"/>
    <x v="0"/>
    <x v="0"/>
    <x v="156"/>
  </r>
  <r>
    <x v="0"/>
    <x v="381"/>
    <x v="0"/>
    <x v="26"/>
    <x v="0"/>
    <x v="0"/>
    <x v="0"/>
    <x v="292"/>
    <x v="308"/>
    <x v="0"/>
    <x v="0"/>
    <x v="0"/>
    <x v="0"/>
    <x v="0"/>
    <x v="0"/>
    <x v="292"/>
    <x v="0"/>
    <x v="0"/>
    <x v="0"/>
    <x v="0"/>
    <x v="292"/>
    <x v="308"/>
    <x v="0"/>
    <x v="0"/>
    <x v="0"/>
    <x v="0"/>
    <x v="0"/>
    <x v="1"/>
    <x v="0"/>
    <x v="0"/>
    <x v="0"/>
    <x v="238"/>
    <x v="286"/>
    <x v="0"/>
    <x v="291"/>
    <x v="286"/>
    <x v="98"/>
    <x v="0"/>
    <x v="314"/>
    <x v="0"/>
    <x v="0"/>
    <x v="0"/>
    <x v="0"/>
    <x v="0"/>
    <x v="0"/>
    <x v="0"/>
    <x v="0"/>
    <x v="0"/>
    <x v="0"/>
    <x v="286"/>
    <x v="0"/>
    <x v="0"/>
    <x v="286"/>
    <x v="0"/>
    <x v="0"/>
    <x v="221"/>
    <x v="0"/>
    <x v="226"/>
    <x v="98"/>
    <x v="314"/>
    <x v="0"/>
    <x v="0"/>
    <x v="0"/>
    <x v="0"/>
    <x v="26"/>
    <x v="381"/>
    <x v="381"/>
    <x v="0"/>
    <x v="0"/>
    <x v="0"/>
    <x v="286"/>
    <x v="0"/>
    <x v="0"/>
    <x v="0"/>
    <x v="0"/>
    <x v="226"/>
    <x v="0"/>
    <x v="0"/>
    <x v="0"/>
    <x v="25"/>
    <x v="0"/>
    <x v="1"/>
    <x v="1"/>
    <x v="238"/>
    <x v="0"/>
    <x v="0"/>
    <x v="0"/>
    <x v="0"/>
    <x v="322"/>
    <x v="2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6"/>
    <x v="210"/>
    <x v="0"/>
    <x v="0"/>
    <x v="0"/>
    <x v="0"/>
    <x v="0"/>
    <x v="0"/>
  </r>
  <r>
    <x v="0"/>
    <x v="382"/>
    <x v="0"/>
    <x v="24"/>
    <x v="0"/>
    <x v="0"/>
    <x v="0"/>
    <x v="293"/>
    <x v="309"/>
    <x v="0"/>
    <x v="0"/>
    <x v="0"/>
    <x v="0"/>
    <x v="0"/>
    <x v="0"/>
    <x v="293"/>
    <x v="0"/>
    <x v="0"/>
    <x v="0"/>
    <x v="0"/>
    <x v="293"/>
    <x v="309"/>
    <x v="0"/>
    <x v="0"/>
    <x v="0"/>
    <x v="0"/>
    <x v="0"/>
    <x v="0"/>
    <x v="0"/>
    <x v="0"/>
    <x v="0"/>
    <x v="239"/>
    <x v="287"/>
    <x v="0"/>
    <x v="292"/>
    <x v="287"/>
    <x v="1"/>
    <x v="0"/>
    <x v="315"/>
    <x v="2"/>
    <x v="0"/>
    <x v="2"/>
    <x v="0"/>
    <x v="0"/>
    <x v="0"/>
    <x v="0"/>
    <x v="0"/>
    <x v="0"/>
    <x v="0"/>
    <x v="287"/>
    <x v="0"/>
    <x v="2"/>
    <x v="287"/>
    <x v="0"/>
    <x v="0"/>
    <x v="222"/>
    <x v="0"/>
    <x v="227"/>
    <x v="1"/>
    <x v="315"/>
    <x v="0"/>
    <x v="0"/>
    <x v="1"/>
    <x v="0"/>
    <x v="26"/>
    <x v="382"/>
    <x v="382"/>
    <x v="0"/>
    <x v="0"/>
    <x v="0"/>
    <x v="287"/>
    <x v="0"/>
    <x v="0"/>
    <x v="0"/>
    <x v="0"/>
    <x v="227"/>
    <x v="0"/>
    <x v="0"/>
    <x v="0"/>
    <x v="23"/>
    <x v="0"/>
    <x v="61"/>
    <x v="61"/>
    <x v="239"/>
    <x v="0"/>
    <x v="0"/>
    <x v="0"/>
    <x v="0"/>
    <x v="323"/>
    <x v="2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7"/>
    <x v="211"/>
    <x v="0"/>
    <x v="0"/>
    <x v="0"/>
    <x v="0"/>
    <x v="0"/>
    <x v="157"/>
  </r>
  <r>
    <x v="0"/>
    <x v="383"/>
    <x v="0"/>
    <x v="25"/>
    <x v="0"/>
    <x v="0"/>
    <x v="0"/>
    <x v="294"/>
    <x v="310"/>
    <x v="0"/>
    <x v="0"/>
    <x v="0"/>
    <x v="12"/>
    <x v="0"/>
    <x v="0"/>
    <x v="294"/>
    <x v="10"/>
    <x v="0"/>
    <x v="0"/>
    <x v="0"/>
    <x v="294"/>
    <x v="310"/>
    <x v="0"/>
    <x v="0"/>
    <x v="0"/>
    <x v="0"/>
    <x v="0"/>
    <x v="0"/>
    <x v="0"/>
    <x v="0"/>
    <x v="0"/>
    <x v="240"/>
    <x v="288"/>
    <x v="0"/>
    <x v="293"/>
    <x v="288"/>
    <x v="1"/>
    <x v="0"/>
    <x v="316"/>
    <x v="0"/>
    <x v="0"/>
    <x v="0"/>
    <x v="0"/>
    <x v="0"/>
    <x v="12"/>
    <x v="0"/>
    <x v="0"/>
    <x v="0"/>
    <x v="0"/>
    <x v="288"/>
    <x v="0"/>
    <x v="0"/>
    <x v="288"/>
    <x v="0"/>
    <x v="0"/>
    <x v="223"/>
    <x v="0"/>
    <x v="228"/>
    <x v="1"/>
    <x v="316"/>
    <x v="0"/>
    <x v="0"/>
    <x v="1"/>
    <x v="0"/>
    <x v="26"/>
    <x v="383"/>
    <x v="383"/>
    <x v="0"/>
    <x v="0"/>
    <x v="0"/>
    <x v="288"/>
    <x v="0"/>
    <x v="0"/>
    <x v="0"/>
    <x v="0"/>
    <x v="228"/>
    <x v="0"/>
    <x v="0"/>
    <x v="0"/>
    <x v="24"/>
    <x v="0"/>
    <x v="29"/>
    <x v="29"/>
    <x v="240"/>
    <x v="0"/>
    <x v="0"/>
    <x v="0"/>
    <x v="0"/>
    <x v="324"/>
    <x v="22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26"/>
    <x v="212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241"/>
    <x v="288"/>
    <x v="0"/>
    <x v="7"/>
    <x v="288"/>
    <x v="1"/>
    <x v="0"/>
    <x v="316"/>
    <x v="0"/>
    <x v="1"/>
    <x v="0"/>
    <x v="1"/>
    <x v="0"/>
    <x v="3"/>
    <x v="0"/>
    <x v="0"/>
    <x v="0"/>
    <x v="0"/>
    <x v="288"/>
    <x v="1"/>
    <x v="0"/>
    <x v="288"/>
    <x v="0"/>
    <x v="0"/>
    <x v="223"/>
    <x v="0"/>
    <x v="228"/>
    <x v="1"/>
    <x v="316"/>
    <x v="1"/>
    <x v="3"/>
    <x v="3"/>
    <x v="1"/>
    <x v="1"/>
    <x v="9"/>
    <x v="9"/>
    <x v="0"/>
    <x v="0"/>
    <x v="1"/>
    <x v="288"/>
    <x v="0"/>
    <x v="0"/>
    <x v="0"/>
    <x v="1"/>
    <x v="228"/>
    <x v="0"/>
    <x v="1"/>
    <x v="1"/>
    <x v="24"/>
    <x v="0"/>
    <x v="29"/>
    <x v="29"/>
    <x v="241"/>
    <x v="0"/>
    <x v="1"/>
    <x v="0"/>
    <x v="0"/>
    <x v="5"/>
    <x v="228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242"/>
    <x v="288"/>
    <x v="0"/>
    <x v="7"/>
    <x v="288"/>
    <x v="1"/>
    <x v="0"/>
    <x v="316"/>
    <x v="0"/>
    <x v="1"/>
    <x v="0"/>
    <x v="1"/>
    <x v="0"/>
    <x v="3"/>
    <x v="0"/>
    <x v="0"/>
    <x v="0"/>
    <x v="0"/>
    <x v="288"/>
    <x v="1"/>
    <x v="0"/>
    <x v="288"/>
    <x v="0"/>
    <x v="0"/>
    <x v="223"/>
    <x v="0"/>
    <x v="228"/>
    <x v="1"/>
    <x v="316"/>
    <x v="1"/>
    <x v="3"/>
    <x v="3"/>
    <x v="1"/>
    <x v="1"/>
    <x v="9"/>
    <x v="9"/>
    <x v="0"/>
    <x v="0"/>
    <x v="1"/>
    <x v="288"/>
    <x v="0"/>
    <x v="0"/>
    <x v="0"/>
    <x v="1"/>
    <x v="228"/>
    <x v="0"/>
    <x v="1"/>
    <x v="1"/>
    <x v="24"/>
    <x v="0"/>
    <x v="29"/>
    <x v="29"/>
    <x v="242"/>
    <x v="0"/>
    <x v="1"/>
    <x v="0"/>
    <x v="0"/>
    <x v="5"/>
    <x v="228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84"/>
    <x v="0"/>
    <x v="27"/>
    <x v="0"/>
    <x v="0"/>
    <x v="0"/>
    <x v="295"/>
    <x v="311"/>
    <x v="0"/>
    <x v="0"/>
    <x v="0"/>
    <x v="4"/>
    <x v="0"/>
    <x v="0"/>
    <x v="295"/>
    <x v="4"/>
    <x v="0"/>
    <x v="0"/>
    <x v="0"/>
    <x v="295"/>
    <x v="311"/>
    <x v="0"/>
    <x v="0"/>
    <x v="0"/>
    <x v="0"/>
    <x v="0"/>
    <x v="0"/>
    <x v="0"/>
    <x v="0"/>
    <x v="0"/>
    <x v="243"/>
    <x v="289"/>
    <x v="0"/>
    <x v="294"/>
    <x v="289"/>
    <x v="99"/>
    <x v="0"/>
    <x v="317"/>
    <x v="0"/>
    <x v="0"/>
    <x v="0"/>
    <x v="0"/>
    <x v="0"/>
    <x v="4"/>
    <x v="0"/>
    <x v="0"/>
    <x v="0"/>
    <x v="0"/>
    <x v="289"/>
    <x v="0"/>
    <x v="0"/>
    <x v="289"/>
    <x v="0"/>
    <x v="0"/>
    <x v="224"/>
    <x v="0"/>
    <x v="229"/>
    <x v="99"/>
    <x v="317"/>
    <x v="0"/>
    <x v="0"/>
    <x v="0"/>
    <x v="0"/>
    <x v="26"/>
    <x v="384"/>
    <x v="384"/>
    <x v="0"/>
    <x v="0"/>
    <x v="0"/>
    <x v="289"/>
    <x v="0"/>
    <x v="0"/>
    <x v="0"/>
    <x v="0"/>
    <x v="229"/>
    <x v="0"/>
    <x v="0"/>
    <x v="0"/>
    <x v="26"/>
    <x v="0"/>
    <x v="17"/>
    <x v="17"/>
    <x v="243"/>
    <x v="0"/>
    <x v="0"/>
    <x v="0"/>
    <x v="0"/>
    <x v="325"/>
    <x v="229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38"/>
    <x v="213"/>
    <x v="0"/>
    <x v="0"/>
    <x v="0"/>
    <x v="0"/>
    <x v="0"/>
    <x v="0"/>
  </r>
  <r>
    <x v="0"/>
    <x v="385"/>
    <x v="0"/>
    <x v="27"/>
    <x v="0"/>
    <x v="0"/>
    <x v="0"/>
    <x v="296"/>
    <x v="312"/>
    <x v="0"/>
    <x v="0"/>
    <x v="0"/>
    <x v="4"/>
    <x v="0"/>
    <x v="0"/>
    <x v="296"/>
    <x v="4"/>
    <x v="0"/>
    <x v="0"/>
    <x v="0"/>
    <x v="296"/>
    <x v="312"/>
    <x v="0"/>
    <x v="0"/>
    <x v="0"/>
    <x v="0"/>
    <x v="0"/>
    <x v="0"/>
    <x v="0"/>
    <x v="0"/>
    <x v="0"/>
    <x v="243"/>
    <x v="290"/>
    <x v="0"/>
    <x v="295"/>
    <x v="290"/>
    <x v="1"/>
    <x v="0"/>
    <x v="318"/>
    <x v="1"/>
    <x v="0"/>
    <x v="1"/>
    <x v="0"/>
    <x v="0"/>
    <x v="4"/>
    <x v="0"/>
    <x v="0"/>
    <x v="0"/>
    <x v="0"/>
    <x v="290"/>
    <x v="0"/>
    <x v="1"/>
    <x v="290"/>
    <x v="0"/>
    <x v="0"/>
    <x v="225"/>
    <x v="0"/>
    <x v="230"/>
    <x v="1"/>
    <x v="318"/>
    <x v="0"/>
    <x v="0"/>
    <x v="1"/>
    <x v="0"/>
    <x v="26"/>
    <x v="385"/>
    <x v="385"/>
    <x v="0"/>
    <x v="0"/>
    <x v="0"/>
    <x v="290"/>
    <x v="0"/>
    <x v="0"/>
    <x v="0"/>
    <x v="0"/>
    <x v="230"/>
    <x v="0"/>
    <x v="0"/>
    <x v="0"/>
    <x v="26"/>
    <x v="0"/>
    <x v="17"/>
    <x v="17"/>
    <x v="243"/>
    <x v="0"/>
    <x v="0"/>
    <x v="0"/>
    <x v="0"/>
    <x v="326"/>
    <x v="23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38"/>
    <x v="213"/>
    <x v="0"/>
    <x v="0"/>
    <x v="0"/>
    <x v="0"/>
    <x v="0"/>
    <x v="0"/>
  </r>
  <r>
    <x v="0"/>
    <x v="386"/>
    <x v="0"/>
    <x v="23"/>
    <x v="0"/>
    <x v="0"/>
    <x v="0"/>
    <x v="197"/>
    <x v="205"/>
    <x v="0"/>
    <x v="0"/>
    <x v="0"/>
    <x v="0"/>
    <x v="0"/>
    <x v="0"/>
    <x v="197"/>
    <x v="0"/>
    <x v="0"/>
    <x v="0"/>
    <x v="0"/>
    <x v="197"/>
    <x v="205"/>
    <x v="0"/>
    <x v="0"/>
    <x v="0"/>
    <x v="0"/>
    <x v="0"/>
    <x v="0"/>
    <x v="0"/>
    <x v="0"/>
    <x v="0"/>
    <x v="244"/>
    <x v="200"/>
    <x v="0"/>
    <x v="197"/>
    <x v="200"/>
    <x v="1"/>
    <x v="0"/>
    <x v="214"/>
    <x v="2"/>
    <x v="0"/>
    <x v="2"/>
    <x v="0"/>
    <x v="0"/>
    <x v="0"/>
    <x v="0"/>
    <x v="0"/>
    <x v="0"/>
    <x v="0"/>
    <x v="200"/>
    <x v="0"/>
    <x v="2"/>
    <x v="200"/>
    <x v="0"/>
    <x v="0"/>
    <x v="157"/>
    <x v="0"/>
    <x v="164"/>
    <x v="1"/>
    <x v="214"/>
    <x v="0"/>
    <x v="0"/>
    <x v="1"/>
    <x v="0"/>
    <x v="26"/>
    <x v="386"/>
    <x v="386"/>
    <x v="0"/>
    <x v="0"/>
    <x v="0"/>
    <x v="200"/>
    <x v="0"/>
    <x v="0"/>
    <x v="0"/>
    <x v="0"/>
    <x v="164"/>
    <x v="0"/>
    <x v="0"/>
    <x v="0"/>
    <x v="22"/>
    <x v="0"/>
    <x v="89"/>
    <x v="89"/>
    <x v="244"/>
    <x v="0"/>
    <x v="0"/>
    <x v="0"/>
    <x v="0"/>
    <x v="327"/>
    <x v="1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5"/>
    <x v="200"/>
    <x v="0"/>
    <x v="0"/>
    <x v="0"/>
    <x v="0"/>
    <x v="0"/>
    <x v="158"/>
  </r>
  <r>
    <x v="0"/>
    <x v="387"/>
    <x v="0"/>
    <x v="26"/>
    <x v="0"/>
    <x v="0"/>
    <x v="0"/>
    <x v="297"/>
    <x v="313"/>
    <x v="0"/>
    <x v="0"/>
    <x v="0"/>
    <x v="1"/>
    <x v="0"/>
    <x v="0"/>
    <x v="297"/>
    <x v="2"/>
    <x v="0"/>
    <x v="0"/>
    <x v="0"/>
    <x v="297"/>
    <x v="313"/>
    <x v="0"/>
    <x v="0"/>
    <x v="0"/>
    <x v="0"/>
    <x v="0"/>
    <x v="5"/>
    <x v="0"/>
    <x v="0"/>
    <x v="0"/>
    <x v="245"/>
    <x v="291"/>
    <x v="0"/>
    <x v="296"/>
    <x v="291"/>
    <x v="100"/>
    <x v="0"/>
    <x v="319"/>
    <x v="0"/>
    <x v="0"/>
    <x v="0"/>
    <x v="0"/>
    <x v="0"/>
    <x v="1"/>
    <x v="0"/>
    <x v="0"/>
    <x v="0"/>
    <x v="0"/>
    <x v="291"/>
    <x v="0"/>
    <x v="0"/>
    <x v="291"/>
    <x v="0"/>
    <x v="0"/>
    <x v="226"/>
    <x v="0"/>
    <x v="231"/>
    <x v="100"/>
    <x v="319"/>
    <x v="0"/>
    <x v="1"/>
    <x v="0"/>
    <x v="0"/>
    <x v="26"/>
    <x v="387"/>
    <x v="387"/>
    <x v="0"/>
    <x v="0"/>
    <x v="0"/>
    <x v="291"/>
    <x v="0"/>
    <x v="0"/>
    <x v="0"/>
    <x v="0"/>
    <x v="231"/>
    <x v="0"/>
    <x v="0"/>
    <x v="0"/>
    <x v="25"/>
    <x v="0"/>
    <x v="9"/>
    <x v="9"/>
    <x v="245"/>
    <x v="0"/>
    <x v="0"/>
    <x v="0"/>
    <x v="0"/>
    <x v="328"/>
    <x v="23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39"/>
    <x v="214"/>
    <x v="0"/>
    <x v="0"/>
    <x v="0"/>
    <x v="0"/>
    <x v="0"/>
    <x v="159"/>
  </r>
  <r>
    <x v="0"/>
    <x v="388"/>
    <x v="0"/>
    <x v="25"/>
    <x v="0"/>
    <x v="0"/>
    <x v="0"/>
    <x v="37"/>
    <x v="38"/>
    <x v="0"/>
    <x v="0"/>
    <x v="0"/>
    <x v="4"/>
    <x v="0"/>
    <x v="0"/>
    <x v="37"/>
    <x v="4"/>
    <x v="0"/>
    <x v="0"/>
    <x v="0"/>
    <x v="37"/>
    <x v="38"/>
    <x v="0"/>
    <x v="0"/>
    <x v="0"/>
    <x v="0"/>
    <x v="0"/>
    <x v="0"/>
    <x v="0"/>
    <x v="0"/>
    <x v="0"/>
    <x v="246"/>
    <x v="41"/>
    <x v="0"/>
    <x v="37"/>
    <x v="41"/>
    <x v="1"/>
    <x v="0"/>
    <x v="42"/>
    <x v="2"/>
    <x v="0"/>
    <x v="2"/>
    <x v="0"/>
    <x v="0"/>
    <x v="4"/>
    <x v="0"/>
    <x v="0"/>
    <x v="0"/>
    <x v="0"/>
    <x v="41"/>
    <x v="0"/>
    <x v="2"/>
    <x v="41"/>
    <x v="0"/>
    <x v="0"/>
    <x v="30"/>
    <x v="0"/>
    <x v="29"/>
    <x v="1"/>
    <x v="42"/>
    <x v="0"/>
    <x v="0"/>
    <x v="1"/>
    <x v="0"/>
    <x v="26"/>
    <x v="388"/>
    <x v="388"/>
    <x v="0"/>
    <x v="0"/>
    <x v="0"/>
    <x v="41"/>
    <x v="0"/>
    <x v="0"/>
    <x v="0"/>
    <x v="0"/>
    <x v="29"/>
    <x v="0"/>
    <x v="0"/>
    <x v="0"/>
    <x v="24"/>
    <x v="0"/>
    <x v="17"/>
    <x v="17"/>
    <x v="246"/>
    <x v="0"/>
    <x v="0"/>
    <x v="0"/>
    <x v="0"/>
    <x v="329"/>
    <x v="29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40"/>
    <x v="215"/>
    <x v="0"/>
    <x v="0"/>
    <x v="0"/>
    <x v="0"/>
    <x v="0"/>
    <x v="160"/>
  </r>
  <r>
    <x v="0"/>
    <x v="389"/>
    <x v="0"/>
    <x v="25"/>
    <x v="0"/>
    <x v="0"/>
    <x v="0"/>
    <x v="263"/>
    <x v="277"/>
    <x v="0"/>
    <x v="0"/>
    <x v="0"/>
    <x v="1"/>
    <x v="0"/>
    <x v="0"/>
    <x v="263"/>
    <x v="2"/>
    <x v="0"/>
    <x v="0"/>
    <x v="0"/>
    <x v="263"/>
    <x v="277"/>
    <x v="0"/>
    <x v="0"/>
    <x v="0"/>
    <x v="0"/>
    <x v="0"/>
    <x v="0"/>
    <x v="0"/>
    <x v="0"/>
    <x v="0"/>
    <x v="247"/>
    <x v="259"/>
    <x v="0"/>
    <x v="262"/>
    <x v="259"/>
    <x v="1"/>
    <x v="0"/>
    <x v="282"/>
    <x v="2"/>
    <x v="0"/>
    <x v="2"/>
    <x v="0"/>
    <x v="0"/>
    <x v="1"/>
    <x v="0"/>
    <x v="0"/>
    <x v="0"/>
    <x v="0"/>
    <x v="259"/>
    <x v="0"/>
    <x v="2"/>
    <x v="259"/>
    <x v="0"/>
    <x v="0"/>
    <x v="204"/>
    <x v="0"/>
    <x v="208"/>
    <x v="1"/>
    <x v="282"/>
    <x v="0"/>
    <x v="1"/>
    <x v="0"/>
    <x v="0"/>
    <x v="26"/>
    <x v="389"/>
    <x v="389"/>
    <x v="0"/>
    <x v="0"/>
    <x v="0"/>
    <x v="259"/>
    <x v="0"/>
    <x v="0"/>
    <x v="0"/>
    <x v="0"/>
    <x v="208"/>
    <x v="0"/>
    <x v="0"/>
    <x v="0"/>
    <x v="24"/>
    <x v="0"/>
    <x v="36"/>
    <x v="36"/>
    <x v="247"/>
    <x v="0"/>
    <x v="0"/>
    <x v="0"/>
    <x v="0"/>
    <x v="330"/>
    <x v="20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39"/>
    <x v="214"/>
    <x v="0"/>
    <x v="0"/>
    <x v="0"/>
    <x v="0"/>
    <x v="0"/>
    <x v="161"/>
  </r>
  <r>
    <x v="0"/>
    <x v="390"/>
    <x v="0"/>
    <x v="25"/>
    <x v="0"/>
    <x v="0"/>
    <x v="0"/>
    <x v="46"/>
    <x v="47"/>
    <x v="0"/>
    <x v="0"/>
    <x v="0"/>
    <x v="1"/>
    <x v="0"/>
    <x v="0"/>
    <x v="46"/>
    <x v="2"/>
    <x v="0"/>
    <x v="0"/>
    <x v="0"/>
    <x v="46"/>
    <x v="47"/>
    <x v="0"/>
    <x v="0"/>
    <x v="0"/>
    <x v="0"/>
    <x v="0"/>
    <x v="0"/>
    <x v="0"/>
    <x v="0"/>
    <x v="0"/>
    <x v="248"/>
    <x v="50"/>
    <x v="0"/>
    <x v="46"/>
    <x v="50"/>
    <x v="1"/>
    <x v="0"/>
    <x v="51"/>
    <x v="2"/>
    <x v="0"/>
    <x v="2"/>
    <x v="0"/>
    <x v="0"/>
    <x v="1"/>
    <x v="0"/>
    <x v="0"/>
    <x v="0"/>
    <x v="0"/>
    <x v="50"/>
    <x v="0"/>
    <x v="2"/>
    <x v="50"/>
    <x v="0"/>
    <x v="0"/>
    <x v="38"/>
    <x v="0"/>
    <x v="37"/>
    <x v="1"/>
    <x v="51"/>
    <x v="0"/>
    <x v="1"/>
    <x v="0"/>
    <x v="0"/>
    <x v="26"/>
    <x v="390"/>
    <x v="390"/>
    <x v="0"/>
    <x v="0"/>
    <x v="0"/>
    <x v="50"/>
    <x v="0"/>
    <x v="0"/>
    <x v="0"/>
    <x v="0"/>
    <x v="37"/>
    <x v="0"/>
    <x v="0"/>
    <x v="0"/>
    <x v="24"/>
    <x v="0"/>
    <x v="12"/>
    <x v="12"/>
    <x v="248"/>
    <x v="0"/>
    <x v="0"/>
    <x v="0"/>
    <x v="0"/>
    <x v="331"/>
    <x v="3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39"/>
    <x v="214"/>
    <x v="0"/>
    <x v="0"/>
    <x v="0"/>
    <x v="0"/>
    <x v="0"/>
    <x v="162"/>
  </r>
  <r>
    <x v="0"/>
    <x v="391"/>
    <x v="0"/>
    <x v="25"/>
    <x v="0"/>
    <x v="0"/>
    <x v="0"/>
    <x v="298"/>
    <x v="314"/>
    <x v="0"/>
    <x v="0"/>
    <x v="0"/>
    <x v="12"/>
    <x v="1"/>
    <x v="0"/>
    <x v="298"/>
    <x v="11"/>
    <x v="0"/>
    <x v="0"/>
    <x v="0"/>
    <x v="298"/>
    <x v="314"/>
    <x v="0"/>
    <x v="0"/>
    <x v="0"/>
    <x v="0"/>
    <x v="0"/>
    <x v="0"/>
    <x v="0"/>
    <x v="0"/>
    <x v="0"/>
    <x v="249"/>
    <x v="292"/>
    <x v="0"/>
    <x v="297"/>
    <x v="292"/>
    <x v="1"/>
    <x v="0"/>
    <x v="320"/>
    <x v="0"/>
    <x v="0"/>
    <x v="0"/>
    <x v="0"/>
    <x v="0"/>
    <x v="12"/>
    <x v="0"/>
    <x v="0"/>
    <x v="0"/>
    <x v="0"/>
    <x v="292"/>
    <x v="0"/>
    <x v="0"/>
    <x v="292"/>
    <x v="0"/>
    <x v="0"/>
    <x v="227"/>
    <x v="0"/>
    <x v="232"/>
    <x v="1"/>
    <x v="320"/>
    <x v="0"/>
    <x v="0"/>
    <x v="1"/>
    <x v="0"/>
    <x v="26"/>
    <x v="391"/>
    <x v="391"/>
    <x v="0"/>
    <x v="0"/>
    <x v="0"/>
    <x v="292"/>
    <x v="0"/>
    <x v="0"/>
    <x v="0"/>
    <x v="0"/>
    <x v="232"/>
    <x v="0"/>
    <x v="0"/>
    <x v="0"/>
    <x v="24"/>
    <x v="0"/>
    <x v="90"/>
    <x v="90"/>
    <x v="249"/>
    <x v="0"/>
    <x v="0"/>
    <x v="0"/>
    <x v="0"/>
    <x v="332"/>
    <x v="23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216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250"/>
    <x v="293"/>
    <x v="0"/>
    <x v="7"/>
    <x v="293"/>
    <x v="1"/>
    <x v="0"/>
    <x v="321"/>
    <x v="0"/>
    <x v="1"/>
    <x v="0"/>
    <x v="1"/>
    <x v="0"/>
    <x v="3"/>
    <x v="0"/>
    <x v="0"/>
    <x v="0"/>
    <x v="0"/>
    <x v="293"/>
    <x v="1"/>
    <x v="0"/>
    <x v="293"/>
    <x v="0"/>
    <x v="0"/>
    <x v="228"/>
    <x v="0"/>
    <x v="233"/>
    <x v="1"/>
    <x v="321"/>
    <x v="1"/>
    <x v="3"/>
    <x v="3"/>
    <x v="1"/>
    <x v="1"/>
    <x v="9"/>
    <x v="9"/>
    <x v="0"/>
    <x v="0"/>
    <x v="1"/>
    <x v="293"/>
    <x v="0"/>
    <x v="0"/>
    <x v="0"/>
    <x v="1"/>
    <x v="233"/>
    <x v="0"/>
    <x v="1"/>
    <x v="1"/>
    <x v="24"/>
    <x v="0"/>
    <x v="91"/>
    <x v="91"/>
    <x v="250"/>
    <x v="0"/>
    <x v="1"/>
    <x v="0"/>
    <x v="0"/>
    <x v="5"/>
    <x v="233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392"/>
    <x v="2"/>
    <x v="24"/>
    <x v="0"/>
    <x v="0"/>
    <x v="0"/>
    <x v="73"/>
    <x v="315"/>
    <x v="0"/>
    <x v="0"/>
    <x v="0"/>
    <x v="5"/>
    <x v="3"/>
    <x v="0"/>
    <x v="73"/>
    <x v="5"/>
    <x v="0"/>
    <x v="0"/>
    <x v="0"/>
    <x v="73"/>
    <x v="315"/>
    <x v="0"/>
    <x v="0"/>
    <x v="0"/>
    <x v="0"/>
    <x v="0"/>
    <x v="1"/>
    <x v="0"/>
    <x v="0"/>
    <x v="0"/>
    <x v="251"/>
    <x v="75"/>
    <x v="0"/>
    <x v="73"/>
    <x v="75"/>
    <x v="83"/>
    <x v="0"/>
    <x v="249"/>
    <x v="0"/>
    <x v="0"/>
    <x v="0"/>
    <x v="0"/>
    <x v="0"/>
    <x v="5"/>
    <x v="0"/>
    <x v="0"/>
    <x v="0"/>
    <x v="0"/>
    <x v="75"/>
    <x v="0"/>
    <x v="0"/>
    <x v="75"/>
    <x v="0"/>
    <x v="0"/>
    <x v="59"/>
    <x v="0"/>
    <x v="58"/>
    <x v="83"/>
    <x v="249"/>
    <x v="0"/>
    <x v="5"/>
    <x v="0"/>
    <x v="0"/>
    <x v="26"/>
    <x v="392"/>
    <x v="392"/>
    <x v="0"/>
    <x v="0"/>
    <x v="0"/>
    <x v="75"/>
    <x v="0"/>
    <x v="0"/>
    <x v="0"/>
    <x v="0"/>
    <x v="58"/>
    <x v="0"/>
    <x v="0"/>
    <x v="0"/>
    <x v="23"/>
    <x v="0"/>
    <x v="92"/>
    <x v="92"/>
    <x v="251"/>
    <x v="0"/>
    <x v="0"/>
    <x v="0"/>
    <x v="0"/>
    <x v="333"/>
    <x v="58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241"/>
    <x v="217"/>
    <x v="0"/>
    <x v="0"/>
    <x v="0"/>
    <x v="0"/>
    <x v="0"/>
    <x v="0"/>
  </r>
  <r>
    <x v="1"/>
    <x v="393"/>
    <x v="2"/>
    <x v="25"/>
    <x v="0"/>
    <x v="0"/>
    <x v="0"/>
    <x v="299"/>
    <x v="316"/>
    <x v="0"/>
    <x v="0"/>
    <x v="0"/>
    <x v="19"/>
    <x v="3"/>
    <x v="0"/>
    <x v="299"/>
    <x v="5"/>
    <x v="0"/>
    <x v="0"/>
    <x v="0"/>
    <x v="299"/>
    <x v="316"/>
    <x v="0"/>
    <x v="3"/>
    <x v="0"/>
    <x v="0"/>
    <x v="0"/>
    <x v="0"/>
    <x v="1"/>
    <x v="1"/>
    <x v="0"/>
    <x v="4"/>
    <x v="294"/>
    <x v="0"/>
    <x v="298"/>
    <x v="294"/>
    <x v="1"/>
    <x v="0"/>
    <x v="322"/>
    <x v="3"/>
    <x v="0"/>
    <x v="3"/>
    <x v="0"/>
    <x v="0"/>
    <x v="19"/>
    <x v="0"/>
    <x v="0"/>
    <x v="0"/>
    <x v="0"/>
    <x v="294"/>
    <x v="0"/>
    <x v="3"/>
    <x v="294"/>
    <x v="0"/>
    <x v="0"/>
    <x v="6"/>
    <x v="1"/>
    <x v="7"/>
    <x v="1"/>
    <x v="322"/>
    <x v="0"/>
    <x v="6"/>
    <x v="4"/>
    <x v="0"/>
    <x v="27"/>
    <x v="393"/>
    <x v="393"/>
    <x v="0"/>
    <x v="0"/>
    <x v="0"/>
    <x v="294"/>
    <x v="0"/>
    <x v="0"/>
    <x v="0"/>
    <x v="0"/>
    <x v="7"/>
    <x v="0"/>
    <x v="0"/>
    <x v="0"/>
    <x v="24"/>
    <x v="0"/>
    <x v="3"/>
    <x v="3"/>
    <x v="4"/>
    <x v="1"/>
    <x v="0"/>
    <x v="0"/>
    <x v="0"/>
    <x v="334"/>
    <x v="7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87"/>
    <x v="4"/>
    <x v="0"/>
    <x v="0"/>
    <x v="0"/>
    <x v="0"/>
    <x v="0"/>
    <x v="0"/>
  </r>
  <r>
    <x v="0"/>
    <x v="394"/>
    <x v="0"/>
    <x v="27"/>
    <x v="0"/>
    <x v="0"/>
    <x v="0"/>
    <x v="300"/>
    <x v="317"/>
    <x v="0"/>
    <x v="0"/>
    <x v="0"/>
    <x v="4"/>
    <x v="0"/>
    <x v="0"/>
    <x v="300"/>
    <x v="4"/>
    <x v="0"/>
    <x v="0"/>
    <x v="0"/>
    <x v="300"/>
    <x v="317"/>
    <x v="0"/>
    <x v="0"/>
    <x v="0"/>
    <x v="0"/>
    <x v="0"/>
    <x v="0"/>
    <x v="0"/>
    <x v="0"/>
    <x v="0"/>
    <x v="252"/>
    <x v="295"/>
    <x v="0"/>
    <x v="299"/>
    <x v="295"/>
    <x v="101"/>
    <x v="0"/>
    <x v="323"/>
    <x v="0"/>
    <x v="0"/>
    <x v="0"/>
    <x v="0"/>
    <x v="0"/>
    <x v="4"/>
    <x v="0"/>
    <x v="0"/>
    <x v="0"/>
    <x v="0"/>
    <x v="295"/>
    <x v="0"/>
    <x v="0"/>
    <x v="295"/>
    <x v="0"/>
    <x v="0"/>
    <x v="229"/>
    <x v="0"/>
    <x v="234"/>
    <x v="101"/>
    <x v="323"/>
    <x v="0"/>
    <x v="4"/>
    <x v="0"/>
    <x v="0"/>
    <x v="27"/>
    <x v="394"/>
    <x v="394"/>
    <x v="0"/>
    <x v="0"/>
    <x v="0"/>
    <x v="295"/>
    <x v="0"/>
    <x v="0"/>
    <x v="0"/>
    <x v="0"/>
    <x v="234"/>
    <x v="0"/>
    <x v="0"/>
    <x v="0"/>
    <x v="26"/>
    <x v="0"/>
    <x v="26"/>
    <x v="26"/>
    <x v="252"/>
    <x v="0"/>
    <x v="0"/>
    <x v="0"/>
    <x v="0"/>
    <x v="335"/>
    <x v="234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42"/>
    <x v="218"/>
    <x v="0"/>
    <x v="0"/>
    <x v="0"/>
    <x v="0"/>
    <x v="0"/>
    <x v="0"/>
  </r>
  <r>
    <x v="0"/>
    <x v="395"/>
    <x v="0"/>
    <x v="27"/>
    <x v="0"/>
    <x v="0"/>
    <x v="0"/>
    <x v="301"/>
    <x v="318"/>
    <x v="0"/>
    <x v="0"/>
    <x v="0"/>
    <x v="4"/>
    <x v="0"/>
    <x v="0"/>
    <x v="301"/>
    <x v="4"/>
    <x v="0"/>
    <x v="0"/>
    <x v="0"/>
    <x v="301"/>
    <x v="318"/>
    <x v="0"/>
    <x v="0"/>
    <x v="0"/>
    <x v="0"/>
    <x v="0"/>
    <x v="0"/>
    <x v="0"/>
    <x v="0"/>
    <x v="0"/>
    <x v="252"/>
    <x v="296"/>
    <x v="0"/>
    <x v="300"/>
    <x v="296"/>
    <x v="1"/>
    <x v="0"/>
    <x v="324"/>
    <x v="1"/>
    <x v="0"/>
    <x v="1"/>
    <x v="0"/>
    <x v="0"/>
    <x v="4"/>
    <x v="0"/>
    <x v="0"/>
    <x v="0"/>
    <x v="0"/>
    <x v="296"/>
    <x v="0"/>
    <x v="1"/>
    <x v="296"/>
    <x v="0"/>
    <x v="0"/>
    <x v="230"/>
    <x v="0"/>
    <x v="235"/>
    <x v="1"/>
    <x v="324"/>
    <x v="0"/>
    <x v="4"/>
    <x v="0"/>
    <x v="0"/>
    <x v="27"/>
    <x v="395"/>
    <x v="395"/>
    <x v="0"/>
    <x v="0"/>
    <x v="0"/>
    <x v="296"/>
    <x v="0"/>
    <x v="0"/>
    <x v="0"/>
    <x v="0"/>
    <x v="235"/>
    <x v="0"/>
    <x v="0"/>
    <x v="0"/>
    <x v="26"/>
    <x v="0"/>
    <x v="26"/>
    <x v="26"/>
    <x v="252"/>
    <x v="0"/>
    <x v="0"/>
    <x v="0"/>
    <x v="0"/>
    <x v="335"/>
    <x v="235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42"/>
    <x v="218"/>
    <x v="0"/>
    <x v="0"/>
    <x v="0"/>
    <x v="0"/>
    <x v="0"/>
    <x v="0"/>
  </r>
  <r>
    <x v="0"/>
    <x v="396"/>
    <x v="0"/>
    <x v="27"/>
    <x v="0"/>
    <x v="0"/>
    <x v="0"/>
    <x v="38"/>
    <x v="39"/>
    <x v="0"/>
    <x v="0"/>
    <x v="0"/>
    <x v="0"/>
    <x v="0"/>
    <x v="0"/>
    <x v="38"/>
    <x v="0"/>
    <x v="0"/>
    <x v="0"/>
    <x v="0"/>
    <x v="38"/>
    <x v="39"/>
    <x v="0"/>
    <x v="0"/>
    <x v="0"/>
    <x v="0"/>
    <x v="0"/>
    <x v="0"/>
    <x v="0"/>
    <x v="0"/>
    <x v="0"/>
    <x v="253"/>
    <x v="42"/>
    <x v="0"/>
    <x v="38"/>
    <x v="42"/>
    <x v="24"/>
    <x v="0"/>
    <x v="43"/>
    <x v="0"/>
    <x v="0"/>
    <x v="0"/>
    <x v="0"/>
    <x v="0"/>
    <x v="0"/>
    <x v="0"/>
    <x v="0"/>
    <x v="0"/>
    <x v="0"/>
    <x v="42"/>
    <x v="0"/>
    <x v="0"/>
    <x v="42"/>
    <x v="0"/>
    <x v="0"/>
    <x v="31"/>
    <x v="0"/>
    <x v="30"/>
    <x v="24"/>
    <x v="43"/>
    <x v="0"/>
    <x v="0"/>
    <x v="0"/>
    <x v="0"/>
    <x v="27"/>
    <x v="396"/>
    <x v="396"/>
    <x v="0"/>
    <x v="0"/>
    <x v="0"/>
    <x v="42"/>
    <x v="0"/>
    <x v="0"/>
    <x v="0"/>
    <x v="0"/>
    <x v="30"/>
    <x v="0"/>
    <x v="0"/>
    <x v="0"/>
    <x v="26"/>
    <x v="0"/>
    <x v="18"/>
    <x v="18"/>
    <x v="253"/>
    <x v="0"/>
    <x v="0"/>
    <x v="0"/>
    <x v="0"/>
    <x v="336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3"/>
    <x v="219"/>
    <x v="0"/>
    <x v="0"/>
    <x v="0"/>
    <x v="0"/>
    <x v="0"/>
    <x v="0"/>
  </r>
  <r>
    <x v="0"/>
    <x v="397"/>
    <x v="0"/>
    <x v="27"/>
    <x v="0"/>
    <x v="0"/>
    <x v="0"/>
    <x v="39"/>
    <x v="40"/>
    <x v="0"/>
    <x v="0"/>
    <x v="0"/>
    <x v="0"/>
    <x v="0"/>
    <x v="0"/>
    <x v="39"/>
    <x v="0"/>
    <x v="0"/>
    <x v="0"/>
    <x v="0"/>
    <x v="39"/>
    <x v="40"/>
    <x v="0"/>
    <x v="0"/>
    <x v="0"/>
    <x v="0"/>
    <x v="0"/>
    <x v="0"/>
    <x v="0"/>
    <x v="0"/>
    <x v="0"/>
    <x v="253"/>
    <x v="43"/>
    <x v="0"/>
    <x v="39"/>
    <x v="43"/>
    <x v="1"/>
    <x v="0"/>
    <x v="44"/>
    <x v="1"/>
    <x v="0"/>
    <x v="1"/>
    <x v="0"/>
    <x v="0"/>
    <x v="0"/>
    <x v="0"/>
    <x v="0"/>
    <x v="0"/>
    <x v="0"/>
    <x v="43"/>
    <x v="0"/>
    <x v="1"/>
    <x v="43"/>
    <x v="0"/>
    <x v="0"/>
    <x v="32"/>
    <x v="0"/>
    <x v="31"/>
    <x v="1"/>
    <x v="44"/>
    <x v="0"/>
    <x v="0"/>
    <x v="1"/>
    <x v="0"/>
    <x v="27"/>
    <x v="397"/>
    <x v="397"/>
    <x v="0"/>
    <x v="0"/>
    <x v="0"/>
    <x v="43"/>
    <x v="0"/>
    <x v="0"/>
    <x v="0"/>
    <x v="0"/>
    <x v="31"/>
    <x v="0"/>
    <x v="0"/>
    <x v="0"/>
    <x v="26"/>
    <x v="0"/>
    <x v="18"/>
    <x v="18"/>
    <x v="253"/>
    <x v="0"/>
    <x v="0"/>
    <x v="0"/>
    <x v="0"/>
    <x v="336"/>
    <x v="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3"/>
    <x v="219"/>
    <x v="0"/>
    <x v="0"/>
    <x v="0"/>
    <x v="0"/>
    <x v="0"/>
    <x v="0"/>
  </r>
  <r>
    <x v="0"/>
    <x v="398"/>
    <x v="0"/>
    <x v="26"/>
    <x v="0"/>
    <x v="0"/>
    <x v="0"/>
    <x v="166"/>
    <x v="240"/>
    <x v="0"/>
    <x v="0"/>
    <x v="0"/>
    <x v="1"/>
    <x v="0"/>
    <x v="0"/>
    <x v="166"/>
    <x v="2"/>
    <x v="0"/>
    <x v="0"/>
    <x v="0"/>
    <x v="166"/>
    <x v="240"/>
    <x v="0"/>
    <x v="0"/>
    <x v="0"/>
    <x v="0"/>
    <x v="0"/>
    <x v="0"/>
    <x v="0"/>
    <x v="0"/>
    <x v="0"/>
    <x v="254"/>
    <x v="169"/>
    <x v="0"/>
    <x v="166"/>
    <x v="169"/>
    <x v="1"/>
    <x v="0"/>
    <x v="247"/>
    <x v="2"/>
    <x v="0"/>
    <x v="2"/>
    <x v="0"/>
    <x v="0"/>
    <x v="1"/>
    <x v="0"/>
    <x v="0"/>
    <x v="0"/>
    <x v="0"/>
    <x v="169"/>
    <x v="0"/>
    <x v="2"/>
    <x v="169"/>
    <x v="0"/>
    <x v="0"/>
    <x v="136"/>
    <x v="0"/>
    <x v="140"/>
    <x v="1"/>
    <x v="247"/>
    <x v="0"/>
    <x v="0"/>
    <x v="1"/>
    <x v="0"/>
    <x v="27"/>
    <x v="398"/>
    <x v="398"/>
    <x v="0"/>
    <x v="0"/>
    <x v="0"/>
    <x v="169"/>
    <x v="0"/>
    <x v="0"/>
    <x v="0"/>
    <x v="0"/>
    <x v="140"/>
    <x v="0"/>
    <x v="0"/>
    <x v="0"/>
    <x v="25"/>
    <x v="0"/>
    <x v="33"/>
    <x v="33"/>
    <x v="254"/>
    <x v="0"/>
    <x v="0"/>
    <x v="0"/>
    <x v="0"/>
    <x v="337"/>
    <x v="14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44"/>
    <x v="220"/>
    <x v="0"/>
    <x v="0"/>
    <x v="0"/>
    <x v="0"/>
    <x v="0"/>
    <x v="163"/>
  </r>
  <r>
    <x v="0"/>
    <x v="399"/>
    <x v="0"/>
    <x v="27"/>
    <x v="0"/>
    <x v="0"/>
    <x v="0"/>
    <x v="23"/>
    <x v="24"/>
    <x v="0"/>
    <x v="0"/>
    <x v="0"/>
    <x v="0"/>
    <x v="0"/>
    <x v="0"/>
    <x v="23"/>
    <x v="0"/>
    <x v="0"/>
    <x v="0"/>
    <x v="0"/>
    <x v="23"/>
    <x v="24"/>
    <x v="0"/>
    <x v="0"/>
    <x v="0"/>
    <x v="0"/>
    <x v="0"/>
    <x v="0"/>
    <x v="0"/>
    <x v="0"/>
    <x v="0"/>
    <x v="255"/>
    <x v="24"/>
    <x v="0"/>
    <x v="23"/>
    <x v="24"/>
    <x v="13"/>
    <x v="0"/>
    <x v="25"/>
    <x v="0"/>
    <x v="0"/>
    <x v="0"/>
    <x v="0"/>
    <x v="0"/>
    <x v="0"/>
    <x v="0"/>
    <x v="0"/>
    <x v="0"/>
    <x v="0"/>
    <x v="24"/>
    <x v="0"/>
    <x v="0"/>
    <x v="24"/>
    <x v="0"/>
    <x v="0"/>
    <x v="21"/>
    <x v="0"/>
    <x v="20"/>
    <x v="13"/>
    <x v="25"/>
    <x v="0"/>
    <x v="0"/>
    <x v="0"/>
    <x v="0"/>
    <x v="27"/>
    <x v="399"/>
    <x v="399"/>
    <x v="0"/>
    <x v="0"/>
    <x v="0"/>
    <x v="24"/>
    <x v="0"/>
    <x v="0"/>
    <x v="0"/>
    <x v="0"/>
    <x v="20"/>
    <x v="0"/>
    <x v="0"/>
    <x v="0"/>
    <x v="26"/>
    <x v="0"/>
    <x v="12"/>
    <x v="12"/>
    <x v="255"/>
    <x v="0"/>
    <x v="0"/>
    <x v="0"/>
    <x v="0"/>
    <x v="338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5"/>
    <x v="221"/>
    <x v="0"/>
    <x v="0"/>
    <x v="0"/>
    <x v="0"/>
    <x v="0"/>
    <x v="0"/>
  </r>
  <r>
    <x v="0"/>
    <x v="400"/>
    <x v="0"/>
    <x v="25"/>
    <x v="0"/>
    <x v="0"/>
    <x v="0"/>
    <x v="302"/>
    <x v="319"/>
    <x v="0"/>
    <x v="0"/>
    <x v="0"/>
    <x v="1"/>
    <x v="0"/>
    <x v="0"/>
    <x v="302"/>
    <x v="2"/>
    <x v="0"/>
    <x v="0"/>
    <x v="0"/>
    <x v="302"/>
    <x v="319"/>
    <x v="0"/>
    <x v="0"/>
    <x v="0"/>
    <x v="0"/>
    <x v="0"/>
    <x v="0"/>
    <x v="0"/>
    <x v="0"/>
    <x v="0"/>
    <x v="256"/>
    <x v="297"/>
    <x v="0"/>
    <x v="301"/>
    <x v="297"/>
    <x v="1"/>
    <x v="0"/>
    <x v="325"/>
    <x v="2"/>
    <x v="0"/>
    <x v="2"/>
    <x v="0"/>
    <x v="0"/>
    <x v="1"/>
    <x v="0"/>
    <x v="0"/>
    <x v="0"/>
    <x v="0"/>
    <x v="297"/>
    <x v="0"/>
    <x v="2"/>
    <x v="297"/>
    <x v="0"/>
    <x v="0"/>
    <x v="231"/>
    <x v="0"/>
    <x v="236"/>
    <x v="1"/>
    <x v="325"/>
    <x v="0"/>
    <x v="1"/>
    <x v="2"/>
    <x v="0"/>
    <x v="27"/>
    <x v="400"/>
    <x v="400"/>
    <x v="0"/>
    <x v="0"/>
    <x v="0"/>
    <x v="297"/>
    <x v="0"/>
    <x v="0"/>
    <x v="0"/>
    <x v="0"/>
    <x v="236"/>
    <x v="0"/>
    <x v="0"/>
    <x v="0"/>
    <x v="24"/>
    <x v="0"/>
    <x v="4"/>
    <x v="4"/>
    <x v="256"/>
    <x v="0"/>
    <x v="0"/>
    <x v="0"/>
    <x v="0"/>
    <x v="339"/>
    <x v="23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46"/>
    <x v="222"/>
    <x v="0"/>
    <x v="0"/>
    <x v="0"/>
    <x v="0"/>
    <x v="0"/>
    <x v="164"/>
  </r>
  <r>
    <x v="0"/>
    <x v="401"/>
    <x v="0"/>
    <x v="27"/>
    <x v="0"/>
    <x v="0"/>
    <x v="0"/>
    <x v="24"/>
    <x v="25"/>
    <x v="0"/>
    <x v="0"/>
    <x v="0"/>
    <x v="0"/>
    <x v="0"/>
    <x v="0"/>
    <x v="24"/>
    <x v="0"/>
    <x v="0"/>
    <x v="0"/>
    <x v="0"/>
    <x v="24"/>
    <x v="25"/>
    <x v="0"/>
    <x v="0"/>
    <x v="0"/>
    <x v="0"/>
    <x v="0"/>
    <x v="0"/>
    <x v="0"/>
    <x v="0"/>
    <x v="0"/>
    <x v="255"/>
    <x v="25"/>
    <x v="0"/>
    <x v="24"/>
    <x v="25"/>
    <x v="1"/>
    <x v="0"/>
    <x v="26"/>
    <x v="1"/>
    <x v="0"/>
    <x v="1"/>
    <x v="0"/>
    <x v="0"/>
    <x v="0"/>
    <x v="0"/>
    <x v="0"/>
    <x v="0"/>
    <x v="0"/>
    <x v="25"/>
    <x v="0"/>
    <x v="1"/>
    <x v="25"/>
    <x v="0"/>
    <x v="0"/>
    <x v="22"/>
    <x v="0"/>
    <x v="21"/>
    <x v="1"/>
    <x v="26"/>
    <x v="0"/>
    <x v="0"/>
    <x v="1"/>
    <x v="0"/>
    <x v="27"/>
    <x v="401"/>
    <x v="401"/>
    <x v="0"/>
    <x v="0"/>
    <x v="0"/>
    <x v="25"/>
    <x v="0"/>
    <x v="0"/>
    <x v="0"/>
    <x v="0"/>
    <x v="21"/>
    <x v="0"/>
    <x v="0"/>
    <x v="0"/>
    <x v="26"/>
    <x v="0"/>
    <x v="12"/>
    <x v="12"/>
    <x v="255"/>
    <x v="0"/>
    <x v="0"/>
    <x v="0"/>
    <x v="0"/>
    <x v="338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5"/>
    <x v="221"/>
    <x v="0"/>
    <x v="0"/>
    <x v="0"/>
    <x v="0"/>
    <x v="0"/>
    <x v="0"/>
  </r>
  <r>
    <x v="0"/>
    <x v="402"/>
    <x v="0"/>
    <x v="27"/>
    <x v="0"/>
    <x v="0"/>
    <x v="0"/>
    <x v="303"/>
    <x v="320"/>
    <x v="0"/>
    <x v="0"/>
    <x v="0"/>
    <x v="0"/>
    <x v="0"/>
    <x v="0"/>
    <x v="303"/>
    <x v="0"/>
    <x v="0"/>
    <x v="0"/>
    <x v="0"/>
    <x v="303"/>
    <x v="320"/>
    <x v="0"/>
    <x v="0"/>
    <x v="0"/>
    <x v="0"/>
    <x v="0"/>
    <x v="0"/>
    <x v="0"/>
    <x v="0"/>
    <x v="0"/>
    <x v="257"/>
    <x v="298"/>
    <x v="0"/>
    <x v="302"/>
    <x v="298"/>
    <x v="102"/>
    <x v="0"/>
    <x v="326"/>
    <x v="0"/>
    <x v="0"/>
    <x v="0"/>
    <x v="0"/>
    <x v="0"/>
    <x v="0"/>
    <x v="0"/>
    <x v="0"/>
    <x v="0"/>
    <x v="0"/>
    <x v="298"/>
    <x v="0"/>
    <x v="0"/>
    <x v="298"/>
    <x v="0"/>
    <x v="0"/>
    <x v="232"/>
    <x v="0"/>
    <x v="237"/>
    <x v="102"/>
    <x v="326"/>
    <x v="0"/>
    <x v="0"/>
    <x v="0"/>
    <x v="0"/>
    <x v="27"/>
    <x v="402"/>
    <x v="402"/>
    <x v="0"/>
    <x v="0"/>
    <x v="0"/>
    <x v="298"/>
    <x v="0"/>
    <x v="0"/>
    <x v="0"/>
    <x v="0"/>
    <x v="237"/>
    <x v="0"/>
    <x v="0"/>
    <x v="0"/>
    <x v="26"/>
    <x v="0"/>
    <x v="37"/>
    <x v="37"/>
    <x v="257"/>
    <x v="0"/>
    <x v="0"/>
    <x v="0"/>
    <x v="0"/>
    <x v="340"/>
    <x v="2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7"/>
    <x v="223"/>
    <x v="0"/>
    <x v="0"/>
    <x v="0"/>
    <x v="0"/>
    <x v="0"/>
    <x v="0"/>
  </r>
  <r>
    <x v="0"/>
    <x v="403"/>
    <x v="0"/>
    <x v="27"/>
    <x v="0"/>
    <x v="0"/>
    <x v="0"/>
    <x v="119"/>
    <x v="123"/>
    <x v="0"/>
    <x v="0"/>
    <x v="0"/>
    <x v="0"/>
    <x v="0"/>
    <x v="0"/>
    <x v="119"/>
    <x v="0"/>
    <x v="0"/>
    <x v="0"/>
    <x v="0"/>
    <x v="119"/>
    <x v="123"/>
    <x v="0"/>
    <x v="0"/>
    <x v="0"/>
    <x v="0"/>
    <x v="0"/>
    <x v="0"/>
    <x v="0"/>
    <x v="0"/>
    <x v="0"/>
    <x v="257"/>
    <x v="119"/>
    <x v="0"/>
    <x v="119"/>
    <x v="119"/>
    <x v="1"/>
    <x v="0"/>
    <x v="129"/>
    <x v="1"/>
    <x v="0"/>
    <x v="1"/>
    <x v="0"/>
    <x v="0"/>
    <x v="0"/>
    <x v="0"/>
    <x v="0"/>
    <x v="0"/>
    <x v="0"/>
    <x v="119"/>
    <x v="0"/>
    <x v="1"/>
    <x v="119"/>
    <x v="0"/>
    <x v="0"/>
    <x v="96"/>
    <x v="0"/>
    <x v="238"/>
    <x v="1"/>
    <x v="129"/>
    <x v="0"/>
    <x v="0"/>
    <x v="1"/>
    <x v="0"/>
    <x v="27"/>
    <x v="403"/>
    <x v="403"/>
    <x v="0"/>
    <x v="0"/>
    <x v="0"/>
    <x v="119"/>
    <x v="0"/>
    <x v="0"/>
    <x v="0"/>
    <x v="0"/>
    <x v="238"/>
    <x v="0"/>
    <x v="0"/>
    <x v="0"/>
    <x v="26"/>
    <x v="0"/>
    <x v="37"/>
    <x v="37"/>
    <x v="257"/>
    <x v="0"/>
    <x v="0"/>
    <x v="0"/>
    <x v="0"/>
    <x v="340"/>
    <x v="2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7"/>
    <x v="223"/>
    <x v="0"/>
    <x v="0"/>
    <x v="0"/>
    <x v="0"/>
    <x v="0"/>
    <x v="0"/>
  </r>
  <r>
    <x v="0"/>
    <x v="404"/>
    <x v="0"/>
    <x v="25"/>
    <x v="0"/>
    <x v="0"/>
    <x v="0"/>
    <x v="46"/>
    <x v="47"/>
    <x v="0"/>
    <x v="0"/>
    <x v="0"/>
    <x v="0"/>
    <x v="0"/>
    <x v="0"/>
    <x v="46"/>
    <x v="0"/>
    <x v="0"/>
    <x v="0"/>
    <x v="0"/>
    <x v="46"/>
    <x v="47"/>
    <x v="0"/>
    <x v="0"/>
    <x v="0"/>
    <x v="0"/>
    <x v="0"/>
    <x v="0"/>
    <x v="0"/>
    <x v="0"/>
    <x v="0"/>
    <x v="258"/>
    <x v="50"/>
    <x v="0"/>
    <x v="46"/>
    <x v="50"/>
    <x v="1"/>
    <x v="0"/>
    <x v="51"/>
    <x v="2"/>
    <x v="0"/>
    <x v="2"/>
    <x v="0"/>
    <x v="0"/>
    <x v="0"/>
    <x v="0"/>
    <x v="0"/>
    <x v="0"/>
    <x v="0"/>
    <x v="50"/>
    <x v="0"/>
    <x v="2"/>
    <x v="50"/>
    <x v="0"/>
    <x v="0"/>
    <x v="38"/>
    <x v="0"/>
    <x v="37"/>
    <x v="1"/>
    <x v="51"/>
    <x v="0"/>
    <x v="0"/>
    <x v="1"/>
    <x v="0"/>
    <x v="27"/>
    <x v="404"/>
    <x v="404"/>
    <x v="0"/>
    <x v="0"/>
    <x v="0"/>
    <x v="50"/>
    <x v="0"/>
    <x v="0"/>
    <x v="0"/>
    <x v="0"/>
    <x v="37"/>
    <x v="0"/>
    <x v="0"/>
    <x v="0"/>
    <x v="24"/>
    <x v="0"/>
    <x v="12"/>
    <x v="12"/>
    <x v="258"/>
    <x v="0"/>
    <x v="0"/>
    <x v="0"/>
    <x v="0"/>
    <x v="341"/>
    <x v="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8"/>
    <x v="224"/>
    <x v="0"/>
    <x v="0"/>
    <x v="0"/>
    <x v="0"/>
    <x v="0"/>
    <x v="165"/>
  </r>
  <r>
    <x v="0"/>
    <x v="405"/>
    <x v="0"/>
    <x v="26"/>
    <x v="0"/>
    <x v="0"/>
    <x v="0"/>
    <x v="304"/>
    <x v="321"/>
    <x v="0"/>
    <x v="0"/>
    <x v="0"/>
    <x v="8"/>
    <x v="0"/>
    <x v="0"/>
    <x v="304"/>
    <x v="8"/>
    <x v="0"/>
    <x v="0"/>
    <x v="0"/>
    <x v="304"/>
    <x v="321"/>
    <x v="0"/>
    <x v="0"/>
    <x v="0"/>
    <x v="0"/>
    <x v="0"/>
    <x v="0"/>
    <x v="0"/>
    <x v="0"/>
    <x v="0"/>
    <x v="259"/>
    <x v="148"/>
    <x v="0"/>
    <x v="303"/>
    <x v="148"/>
    <x v="1"/>
    <x v="0"/>
    <x v="160"/>
    <x v="2"/>
    <x v="0"/>
    <x v="2"/>
    <x v="0"/>
    <x v="0"/>
    <x v="8"/>
    <x v="0"/>
    <x v="0"/>
    <x v="0"/>
    <x v="0"/>
    <x v="148"/>
    <x v="0"/>
    <x v="2"/>
    <x v="148"/>
    <x v="0"/>
    <x v="0"/>
    <x v="120"/>
    <x v="0"/>
    <x v="124"/>
    <x v="1"/>
    <x v="160"/>
    <x v="0"/>
    <x v="0"/>
    <x v="1"/>
    <x v="0"/>
    <x v="27"/>
    <x v="405"/>
    <x v="405"/>
    <x v="0"/>
    <x v="0"/>
    <x v="0"/>
    <x v="148"/>
    <x v="0"/>
    <x v="0"/>
    <x v="0"/>
    <x v="0"/>
    <x v="124"/>
    <x v="0"/>
    <x v="0"/>
    <x v="0"/>
    <x v="25"/>
    <x v="0"/>
    <x v="8"/>
    <x v="8"/>
    <x v="259"/>
    <x v="0"/>
    <x v="0"/>
    <x v="0"/>
    <x v="0"/>
    <x v="342"/>
    <x v="124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249"/>
    <x v="225"/>
    <x v="0"/>
    <x v="0"/>
    <x v="0"/>
    <x v="0"/>
    <x v="0"/>
    <x v="166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260"/>
    <x v="148"/>
    <x v="0"/>
    <x v="7"/>
    <x v="148"/>
    <x v="1"/>
    <x v="0"/>
    <x v="160"/>
    <x v="2"/>
    <x v="1"/>
    <x v="2"/>
    <x v="1"/>
    <x v="0"/>
    <x v="3"/>
    <x v="0"/>
    <x v="0"/>
    <x v="0"/>
    <x v="0"/>
    <x v="148"/>
    <x v="1"/>
    <x v="2"/>
    <x v="148"/>
    <x v="0"/>
    <x v="0"/>
    <x v="120"/>
    <x v="0"/>
    <x v="124"/>
    <x v="1"/>
    <x v="160"/>
    <x v="1"/>
    <x v="3"/>
    <x v="3"/>
    <x v="1"/>
    <x v="1"/>
    <x v="9"/>
    <x v="9"/>
    <x v="0"/>
    <x v="0"/>
    <x v="1"/>
    <x v="148"/>
    <x v="0"/>
    <x v="0"/>
    <x v="0"/>
    <x v="1"/>
    <x v="124"/>
    <x v="0"/>
    <x v="1"/>
    <x v="1"/>
    <x v="25"/>
    <x v="0"/>
    <x v="8"/>
    <x v="8"/>
    <x v="260"/>
    <x v="0"/>
    <x v="1"/>
    <x v="0"/>
    <x v="0"/>
    <x v="5"/>
    <x v="124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06"/>
    <x v="0"/>
    <x v="27"/>
    <x v="0"/>
    <x v="0"/>
    <x v="0"/>
    <x v="10"/>
    <x v="10"/>
    <x v="0"/>
    <x v="0"/>
    <x v="0"/>
    <x v="1"/>
    <x v="0"/>
    <x v="0"/>
    <x v="10"/>
    <x v="2"/>
    <x v="0"/>
    <x v="0"/>
    <x v="0"/>
    <x v="10"/>
    <x v="10"/>
    <x v="0"/>
    <x v="0"/>
    <x v="0"/>
    <x v="0"/>
    <x v="0"/>
    <x v="0"/>
    <x v="0"/>
    <x v="0"/>
    <x v="0"/>
    <x v="261"/>
    <x v="11"/>
    <x v="0"/>
    <x v="10"/>
    <x v="11"/>
    <x v="8"/>
    <x v="0"/>
    <x v="11"/>
    <x v="0"/>
    <x v="0"/>
    <x v="0"/>
    <x v="0"/>
    <x v="0"/>
    <x v="1"/>
    <x v="0"/>
    <x v="0"/>
    <x v="0"/>
    <x v="0"/>
    <x v="11"/>
    <x v="0"/>
    <x v="0"/>
    <x v="11"/>
    <x v="0"/>
    <x v="0"/>
    <x v="9"/>
    <x v="0"/>
    <x v="116"/>
    <x v="8"/>
    <x v="11"/>
    <x v="0"/>
    <x v="1"/>
    <x v="0"/>
    <x v="0"/>
    <x v="27"/>
    <x v="406"/>
    <x v="406"/>
    <x v="0"/>
    <x v="0"/>
    <x v="0"/>
    <x v="11"/>
    <x v="0"/>
    <x v="0"/>
    <x v="0"/>
    <x v="0"/>
    <x v="116"/>
    <x v="0"/>
    <x v="0"/>
    <x v="0"/>
    <x v="26"/>
    <x v="0"/>
    <x v="12"/>
    <x v="12"/>
    <x v="261"/>
    <x v="0"/>
    <x v="0"/>
    <x v="0"/>
    <x v="0"/>
    <x v="343"/>
    <x v="11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0"/>
    <x v="226"/>
    <x v="0"/>
    <x v="0"/>
    <x v="0"/>
    <x v="0"/>
    <x v="0"/>
    <x v="0"/>
  </r>
  <r>
    <x v="0"/>
    <x v="407"/>
    <x v="0"/>
    <x v="27"/>
    <x v="0"/>
    <x v="0"/>
    <x v="0"/>
    <x v="11"/>
    <x v="11"/>
    <x v="0"/>
    <x v="0"/>
    <x v="0"/>
    <x v="1"/>
    <x v="0"/>
    <x v="0"/>
    <x v="11"/>
    <x v="2"/>
    <x v="0"/>
    <x v="0"/>
    <x v="0"/>
    <x v="11"/>
    <x v="11"/>
    <x v="0"/>
    <x v="0"/>
    <x v="0"/>
    <x v="0"/>
    <x v="0"/>
    <x v="0"/>
    <x v="0"/>
    <x v="0"/>
    <x v="0"/>
    <x v="261"/>
    <x v="12"/>
    <x v="0"/>
    <x v="11"/>
    <x v="12"/>
    <x v="1"/>
    <x v="0"/>
    <x v="12"/>
    <x v="1"/>
    <x v="0"/>
    <x v="1"/>
    <x v="0"/>
    <x v="0"/>
    <x v="1"/>
    <x v="0"/>
    <x v="0"/>
    <x v="0"/>
    <x v="0"/>
    <x v="12"/>
    <x v="0"/>
    <x v="1"/>
    <x v="12"/>
    <x v="0"/>
    <x v="0"/>
    <x v="10"/>
    <x v="0"/>
    <x v="117"/>
    <x v="1"/>
    <x v="12"/>
    <x v="0"/>
    <x v="1"/>
    <x v="0"/>
    <x v="0"/>
    <x v="27"/>
    <x v="407"/>
    <x v="407"/>
    <x v="0"/>
    <x v="0"/>
    <x v="0"/>
    <x v="12"/>
    <x v="0"/>
    <x v="0"/>
    <x v="0"/>
    <x v="0"/>
    <x v="117"/>
    <x v="0"/>
    <x v="0"/>
    <x v="0"/>
    <x v="26"/>
    <x v="0"/>
    <x v="12"/>
    <x v="12"/>
    <x v="261"/>
    <x v="0"/>
    <x v="0"/>
    <x v="0"/>
    <x v="0"/>
    <x v="343"/>
    <x v="11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0"/>
    <x v="226"/>
    <x v="0"/>
    <x v="0"/>
    <x v="0"/>
    <x v="0"/>
    <x v="0"/>
    <x v="0"/>
  </r>
  <r>
    <x v="0"/>
    <x v="408"/>
    <x v="0"/>
    <x v="26"/>
    <x v="0"/>
    <x v="0"/>
    <x v="0"/>
    <x v="305"/>
    <x v="322"/>
    <x v="0"/>
    <x v="0"/>
    <x v="0"/>
    <x v="4"/>
    <x v="0"/>
    <x v="0"/>
    <x v="305"/>
    <x v="4"/>
    <x v="0"/>
    <x v="0"/>
    <x v="0"/>
    <x v="305"/>
    <x v="322"/>
    <x v="0"/>
    <x v="0"/>
    <x v="0"/>
    <x v="0"/>
    <x v="0"/>
    <x v="0"/>
    <x v="0"/>
    <x v="0"/>
    <x v="0"/>
    <x v="262"/>
    <x v="299"/>
    <x v="0"/>
    <x v="304"/>
    <x v="299"/>
    <x v="1"/>
    <x v="0"/>
    <x v="327"/>
    <x v="2"/>
    <x v="0"/>
    <x v="2"/>
    <x v="0"/>
    <x v="0"/>
    <x v="4"/>
    <x v="0"/>
    <x v="0"/>
    <x v="0"/>
    <x v="0"/>
    <x v="299"/>
    <x v="0"/>
    <x v="2"/>
    <x v="299"/>
    <x v="0"/>
    <x v="0"/>
    <x v="233"/>
    <x v="0"/>
    <x v="239"/>
    <x v="1"/>
    <x v="327"/>
    <x v="0"/>
    <x v="0"/>
    <x v="1"/>
    <x v="0"/>
    <x v="27"/>
    <x v="408"/>
    <x v="408"/>
    <x v="0"/>
    <x v="0"/>
    <x v="0"/>
    <x v="299"/>
    <x v="0"/>
    <x v="0"/>
    <x v="0"/>
    <x v="0"/>
    <x v="239"/>
    <x v="0"/>
    <x v="0"/>
    <x v="0"/>
    <x v="25"/>
    <x v="0"/>
    <x v="42"/>
    <x v="42"/>
    <x v="262"/>
    <x v="0"/>
    <x v="0"/>
    <x v="0"/>
    <x v="0"/>
    <x v="344"/>
    <x v="239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94"/>
    <x v="227"/>
    <x v="0"/>
    <x v="0"/>
    <x v="0"/>
    <x v="0"/>
    <x v="0"/>
    <x v="167"/>
  </r>
  <r>
    <x v="0"/>
    <x v="409"/>
    <x v="0"/>
    <x v="25"/>
    <x v="0"/>
    <x v="0"/>
    <x v="0"/>
    <x v="306"/>
    <x v="323"/>
    <x v="0"/>
    <x v="0"/>
    <x v="0"/>
    <x v="1"/>
    <x v="0"/>
    <x v="0"/>
    <x v="306"/>
    <x v="2"/>
    <x v="0"/>
    <x v="0"/>
    <x v="0"/>
    <x v="306"/>
    <x v="323"/>
    <x v="0"/>
    <x v="0"/>
    <x v="0"/>
    <x v="0"/>
    <x v="0"/>
    <x v="0"/>
    <x v="0"/>
    <x v="0"/>
    <x v="0"/>
    <x v="263"/>
    <x v="300"/>
    <x v="0"/>
    <x v="305"/>
    <x v="300"/>
    <x v="1"/>
    <x v="0"/>
    <x v="328"/>
    <x v="2"/>
    <x v="0"/>
    <x v="2"/>
    <x v="0"/>
    <x v="0"/>
    <x v="1"/>
    <x v="0"/>
    <x v="0"/>
    <x v="0"/>
    <x v="0"/>
    <x v="300"/>
    <x v="0"/>
    <x v="2"/>
    <x v="300"/>
    <x v="0"/>
    <x v="0"/>
    <x v="234"/>
    <x v="0"/>
    <x v="240"/>
    <x v="1"/>
    <x v="328"/>
    <x v="0"/>
    <x v="1"/>
    <x v="2"/>
    <x v="0"/>
    <x v="27"/>
    <x v="409"/>
    <x v="409"/>
    <x v="0"/>
    <x v="0"/>
    <x v="0"/>
    <x v="300"/>
    <x v="0"/>
    <x v="0"/>
    <x v="0"/>
    <x v="0"/>
    <x v="240"/>
    <x v="0"/>
    <x v="0"/>
    <x v="0"/>
    <x v="24"/>
    <x v="0"/>
    <x v="45"/>
    <x v="45"/>
    <x v="263"/>
    <x v="0"/>
    <x v="0"/>
    <x v="0"/>
    <x v="0"/>
    <x v="345"/>
    <x v="24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0"/>
    <x v="226"/>
    <x v="0"/>
    <x v="0"/>
    <x v="0"/>
    <x v="0"/>
    <x v="0"/>
    <x v="168"/>
  </r>
  <r>
    <x v="0"/>
    <x v="410"/>
    <x v="0"/>
    <x v="27"/>
    <x v="0"/>
    <x v="0"/>
    <x v="0"/>
    <x v="307"/>
    <x v="324"/>
    <x v="0"/>
    <x v="0"/>
    <x v="0"/>
    <x v="1"/>
    <x v="0"/>
    <x v="0"/>
    <x v="307"/>
    <x v="2"/>
    <x v="0"/>
    <x v="0"/>
    <x v="0"/>
    <x v="307"/>
    <x v="324"/>
    <x v="0"/>
    <x v="0"/>
    <x v="0"/>
    <x v="0"/>
    <x v="0"/>
    <x v="0"/>
    <x v="0"/>
    <x v="0"/>
    <x v="0"/>
    <x v="264"/>
    <x v="301"/>
    <x v="0"/>
    <x v="306"/>
    <x v="301"/>
    <x v="103"/>
    <x v="0"/>
    <x v="329"/>
    <x v="0"/>
    <x v="0"/>
    <x v="0"/>
    <x v="0"/>
    <x v="0"/>
    <x v="1"/>
    <x v="0"/>
    <x v="0"/>
    <x v="0"/>
    <x v="0"/>
    <x v="301"/>
    <x v="0"/>
    <x v="0"/>
    <x v="301"/>
    <x v="0"/>
    <x v="0"/>
    <x v="235"/>
    <x v="0"/>
    <x v="241"/>
    <x v="103"/>
    <x v="329"/>
    <x v="0"/>
    <x v="1"/>
    <x v="0"/>
    <x v="0"/>
    <x v="27"/>
    <x v="410"/>
    <x v="410"/>
    <x v="0"/>
    <x v="0"/>
    <x v="0"/>
    <x v="301"/>
    <x v="0"/>
    <x v="0"/>
    <x v="0"/>
    <x v="0"/>
    <x v="241"/>
    <x v="0"/>
    <x v="0"/>
    <x v="0"/>
    <x v="26"/>
    <x v="0"/>
    <x v="93"/>
    <x v="93"/>
    <x v="264"/>
    <x v="0"/>
    <x v="0"/>
    <x v="0"/>
    <x v="0"/>
    <x v="346"/>
    <x v="24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1"/>
    <x v="228"/>
    <x v="0"/>
    <x v="0"/>
    <x v="0"/>
    <x v="0"/>
    <x v="0"/>
    <x v="0"/>
  </r>
  <r>
    <x v="0"/>
    <x v="411"/>
    <x v="0"/>
    <x v="27"/>
    <x v="0"/>
    <x v="0"/>
    <x v="0"/>
    <x v="195"/>
    <x v="325"/>
    <x v="0"/>
    <x v="0"/>
    <x v="0"/>
    <x v="1"/>
    <x v="0"/>
    <x v="0"/>
    <x v="195"/>
    <x v="2"/>
    <x v="0"/>
    <x v="0"/>
    <x v="0"/>
    <x v="195"/>
    <x v="325"/>
    <x v="0"/>
    <x v="0"/>
    <x v="0"/>
    <x v="0"/>
    <x v="0"/>
    <x v="0"/>
    <x v="0"/>
    <x v="0"/>
    <x v="0"/>
    <x v="264"/>
    <x v="198"/>
    <x v="0"/>
    <x v="195"/>
    <x v="198"/>
    <x v="1"/>
    <x v="0"/>
    <x v="330"/>
    <x v="1"/>
    <x v="0"/>
    <x v="1"/>
    <x v="0"/>
    <x v="0"/>
    <x v="1"/>
    <x v="0"/>
    <x v="0"/>
    <x v="0"/>
    <x v="0"/>
    <x v="198"/>
    <x v="0"/>
    <x v="1"/>
    <x v="198"/>
    <x v="0"/>
    <x v="0"/>
    <x v="236"/>
    <x v="0"/>
    <x v="162"/>
    <x v="1"/>
    <x v="330"/>
    <x v="0"/>
    <x v="1"/>
    <x v="2"/>
    <x v="0"/>
    <x v="27"/>
    <x v="411"/>
    <x v="411"/>
    <x v="0"/>
    <x v="0"/>
    <x v="0"/>
    <x v="198"/>
    <x v="0"/>
    <x v="0"/>
    <x v="0"/>
    <x v="0"/>
    <x v="162"/>
    <x v="0"/>
    <x v="0"/>
    <x v="0"/>
    <x v="26"/>
    <x v="0"/>
    <x v="93"/>
    <x v="93"/>
    <x v="264"/>
    <x v="0"/>
    <x v="0"/>
    <x v="0"/>
    <x v="0"/>
    <x v="346"/>
    <x v="16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1"/>
    <x v="228"/>
    <x v="0"/>
    <x v="0"/>
    <x v="0"/>
    <x v="0"/>
    <x v="0"/>
    <x v="0"/>
  </r>
  <r>
    <x v="0"/>
    <x v="412"/>
    <x v="0"/>
    <x v="26"/>
    <x v="0"/>
    <x v="0"/>
    <x v="0"/>
    <x v="308"/>
    <x v="326"/>
    <x v="0"/>
    <x v="0"/>
    <x v="0"/>
    <x v="1"/>
    <x v="0"/>
    <x v="0"/>
    <x v="308"/>
    <x v="2"/>
    <x v="0"/>
    <x v="0"/>
    <x v="0"/>
    <x v="308"/>
    <x v="326"/>
    <x v="0"/>
    <x v="0"/>
    <x v="0"/>
    <x v="0"/>
    <x v="0"/>
    <x v="0"/>
    <x v="0"/>
    <x v="0"/>
    <x v="0"/>
    <x v="265"/>
    <x v="302"/>
    <x v="0"/>
    <x v="307"/>
    <x v="302"/>
    <x v="1"/>
    <x v="0"/>
    <x v="331"/>
    <x v="2"/>
    <x v="0"/>
    <x v="2"/>
    <x v="0"/>
    <x v="0"/>
    <x v="1"/>
    <x v="0"/>
    <x v="0"/>
    <x v="0"/>
    <x v="0"/>
    <x v="302"/>
    <x v="0"/>
    <x v="2"/>
    <x v="302"/>
    <x v="0"/>
    <x v="0"/>
    <x v="237"/>
    <x v="0"/>
    <x v="242"/>
    <x v="1"/>
    <x v="331"/>
    <x v="0"/>
    <x v="1"/>
    <x v="2"/>
    <x v="0"/>
    <x v="27"/>
    <x v="412"/>
    <x v="412"/>
    <x v="0"/>
    <x v="0"/>
    <x v="0"/>
    <x v="302"/>
    <x v="0"/>
    <x v="0"/>
    <x v="0"/>
    <x v="0"/>
    <x v="242"/>
    <x v="0"/>
    <x v="0"/>
    <x v="0"/>
    <x v="25"/>
    <x v="0"/>
    <x v="45"/>
    <x v="45"/>
    <x v="265"/>
    <x v="0"/>
    <x v="0"/>
    <x v="0"/>
    <x v="0"/>
    <x v="347"/>
    <x v="24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1"/>
    <x v="228"/>
    <x v="0"/>
    <x v="0"/>
    <x v="0"/>
    <x v="0"/>
    <x v="0"/>
    <x v="169"/>
  </r>
  <r>
    <x v="0"/>
    <x v="413"/>
    <x v="0"/>
    <x v="26"/>
    <x v="0"/>
    <x v="0"/>
    <x v="0"/>
    <x v="309"/>
    <x v="327"/>
    <x v="0"/>
    <x v="0"/>
    <x v="0"/>
    <x v="4"/>
    <x v="0"/>
    <x v="0"/>
    <x v="309"/>
    <x v="4"/>
    <x v="0"/>
    <x v="0"/>
    <x v="0"/>
    <x v="309"/>
    <x v="327"/>
    <x v="0"/>
    <x v="0"/>
    <x v="0"/>
    <x v="0"/>
    <x v="0"/>
    <x v="0"/>
    <x v="0"/>
    <x v="0"/>
    <x v="0"/>
    <x v="266"/>
    <x v="303"/>
    <x v="0"/>
    <x v="308"/>
    <x v="303"/>
    <x v="1"/>
    <x v="0"/>
    <x v="332"/>
    <x v="2"/>
    <x v="0"/>
    <x v="2"/>
    <x v="0"/>
    <x v="0"/>
    <x v="4"/>
    <x v="0"/>
    <x v="0"/>
    <x v="0"/>
    <x v="0"/>
    <x v="303"/>
    <x v="0"/>
    <x v="2"/>
    <x v="303"/>
    <x v="0"/>
    <x v="0"/>
    <x v="238"/>
    <x v="0"/>
    <x v="243"/>
    <x v="1"/>
    <x v="332"/>
    <x v="0"/>
    <x v="0"/>
    <x v="1"/>
    <x v="0"/>
    <x v="27"/>
    <x v="413"/>
    <x v="413"/>
    <x v="0"/>
    <x v="0"/>
    <x v="0"/>
    <x v="303"/>
    <x v="0"/>
    <x v="0"/>
    <x v="0"/>
    <x v="0"/>
    <x v="243"/>
    <x v="0"/>
    <x v="0"/>
    <x v="0"/>
    <x v="25"/>
    <x v="0"/>
    <x v="35"/>
    <x v="35"/>
    <x v="266"/>
    <x v="0"/>
    <x v="0"/>
    <x v="0"/>
    <x v="0"/>
    <x v="348"/>
    <x v="243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52"/>
    <x v="229"/>
    <x v="0"/>
    <x v="0"/>
    <x v="0"/>
    <x v="0"/>
    <x v="0"/>
    <x v="170"/>
  </r>
  <r>
    <x v="1"/>
    <x v="414"/>
    <x v="0"/>
    <x v="26"/>
    <x v="0"/>
    <x v="0"/>
    <x v="0"/>
    <x v="310"/>
    <x v="328"/>
    <x v="0"/>
    <x v="0"/>
    <x v="0"/>
    <x v="36"/>
    <x v="0"/>
    <x v="0"/>
    <x v="310"/>
    <x v="10"/>
    <x v="0"/>
    <x v="0"/>
    <x v="0"/>
    <x v="310"/>
    <x v="328"/>
    <x v="0"/>
    <x v="3"/>
    <x v="0"/>
    <x v="0"/>
    <x v="0"/>
    <x v="0"/>
    <x v="1"/>
    <x v="1"/>
    <x v="0"/>
    <x v="4"/>
    <x v="304"/>
    <x v="0"/>
    <x v="309"/>
    <x v="304"/>
    <x v="1"/>
    <x v="0"/>
    <x v="333"/>
    <x v="0"/>
    <x v="0"/>
    <x v="0"/>
    <x v="0"/>
    <x v="1"/>
    <x v="36"/>
    <x v="0"/>
    <x v="1"/>
    <x v="1"/>
    <x v="0"/>
    <x v="304"/>
    <x v="0"/>
    <x v="0"/>
    <x v="304"/>
    <x v="0"/>
    <x v="0"/>
    <x v="6"/>
    <x v="1"/>
    <x v="7"/>
    <x v="1"/>
    <x v="333"/>
    <x v="0"/>
    <x v="0"/>
    <x v="1"/>
    <x v="0"/>
    <x v="27"/>
    <x v="414"/>
    <x v="414"/>
    <x v="0"/>
    <x v="0"/>
    <x v="0"/>
    <x v="304"/>
    <x v="0"/>
    <x v="0"/>
    <x v="0"/>
    <x v="0"/>
    <x v="7"/>
    <x v="0"/>
    <x v="0"/>
    <x v="0"/>
    <x v="25"/>
    <x v="0"/>
    <x v="3"/>
    <x v="3"/>
    <x v="4"/>
    <x v="1"/>
    <x v="0"/>
    <x v="0"/>
    <x v="0"/>
    <x v="349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37"/>
  </r>
  <r>
    <x v="0"/>
    <x v="415"/>
    <x v="0"/>
    <x v="25"/>
    <x v="0"/>
    <x v="0"/>
    <x v="0"/>
    <x v="311"/>
    <x v="329"/>
    <x v="0"/>
    <x v="0"/>
    <x v="0"/>
    <x v="4"/>
    <x v="0"/>
    <x v="0"/>
    <x v="311"/>
    <x v="4"/>
    <x v="0"/>
    <x v="0"/>
    <x v="0"/>
    <x v="311"/>
    <x v="329"/>
    <x v="0"/>
    <x v="0"/>
    <x v="0"/>
    <x v="0"/>
    <x v="0"/>
    <x v="0"/>
    <x v="0"/>
    <x v="0"/>
    <x v="0"/>
    <x v="267"/>
    <x v="305"/>
    <x v="0"/>
    <x v="310"/>
    <x v="305"/>
    <x v="1"/>
    <x v="0"/>
    <x v="334"/>
    <x v="2"/>
    <x v="0"/>
    <x v="2"/>
    <x v="0"/>
    <x v="0"/>
    <x v="4"/>
    <x v="0"/>
    <x v="0"/>
    <x v="0"/>
    <x v="0"/>
    <x v="305"/>
    <x v="0"/>
    <x v="2"/>
    <x v="305"/>
    <x v="0"/>
    <x v="0"/>
    <x v="239"/>
    <x v="0"/>
    <x v="244"/>
    <x v="1"/>
    <x v="334"/>
    <x v="0"/>
    <x v="4"/>
    <x v="0"/>
    <x v="0"/>
    <x v="27"/>
    <x v="415"/>
    <x v="415"/>
    <x v="0"/>
    <x v="0"/>
    <x v="0"/>
    <x v="305"/>
    <x v="0"/>
    <x v="0"/>
    <x v="0"/>
    <x v="0"/>
    <x v="244"/>
    <x v="0"/>
    <x v="0"/>
    <x v="0"/>
    <x v="24"/>
    <x v="0"/>
    <x v="9"/>
    <x v="9"/>
    <x v="267"/>
    <x v="0"/>
    <x v="0"/>
    <x v="0"/>
    <x v="0"/>
    <x v="350"/>
    <x v="244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42"/>
    <x v="218"/>
    <x v="0"/>
    <x v="0"/>
    <x v="0"/>
    <x v="0"/>
    <x v="0"/>
    <x v="171"/>
  </r>
  <r>
    <x v="0"/>
    <x v="416"/>
    <x v="0"/>
    <x v="26"/>
    <x v="0"/>
    <x v="0"/>
    <x v="0"/>
    <x v="312"/>
    <x v="330"/>
    <x v="0"/>
    <x v="0"/>
    <x v="0"/>
    <x v="4"/>
    <x v="0"/>
    <x v="0"/>
    <x v="312"/>
    <x v="4"/>
    <x v="0"/>
    <x v="0"/>
    <x v="0"/>
    <x v="312"/>
    <x v="330"/>
    <x v="0"/>
    <x v="0"/>
    <x v="0"/>
    <x v="0"/>
    <x v="0"/>
    <x v="0"/>
    <x v="0"/>
    <x v="0"/>
    <x v="0"/>
    <x v="268"/>
    <x v="306"/>
    <x v="0"/>
    <x v="311"/>
    <x v="306"/>
    <x v="1"/>
    <x v="0"/>
    <x v="335"/>
    <x v="2"/>
    <x v="0"/>
    <x v="2"/>
    <x v="0"/>
    <x v="0"/>
    <x v="4"/>
    <x v="0"/>
    <x v="0"/>
    <x v="0"/>
    <x v="0"/>
    <x v="306"/>
    <x v="0"/>
    <x v="2"/>
    <x v="306"/>
    <x v="0"/>
    <x v="0"/>
    <x v="240"/>
    <x v="0"/>
    <x v="245"/>
    <x v="1"/>
    <x v="335"/>
    <x v="0"/>
    <x v="0"/>
    <x v="1"/>
    <x v="0"/>
    <x v="27"/>
    <x v="416"/>
    <x v="416"/>
    <x v="0"/>
    <x v="0"/>
    <x v="0"/>
    <x v="306"/>
    <x v="0"/>
    <x v="0"/>
    <x v="0"/>
    <x v="0"/>
    <x v="245"/>
    <x v="0"/>
    <x v="0"/>
    <x v="0"/>
    <x v="25"/>
    <x v="0"/>
    <x v="9"/>
    <x v="9"/>
    <x v="268"/>
    <x v="0"/>
    <x v="0"/>
    <x v="0"/>
    <x v="0"/>
    <x v="351"/>
    <x v="245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53"/>
    <x v="230"/>
    <x v="0"/>
    <x v="0"/>
    <x v="0"/>
    <x v="0"/>
    <x v="0"/>
    <x v="172"/>
  </r>
  <r>
    <x v="0"/>
    <x v="417"/>
    <x v="0"/>
    <x v="26"/>
    <x v="0"/>
    <x v="0"/>
    <x v="0"/>
    <x v="313"/>
    <x v="331"/>
    <x v="0"/>
    <x v="0"/>
    <x v="0"/>
    <x v="1"/>
    <x v="0"/>
    <x v="0"/>
    <x v="313"/>
    <x v="2"/>
    <x v="0"/>
    <x v="0"/>
    <x v="0"/>
    <x v="313"/>
    <x v="331"/>
    <x v="0"/>
    <x v="0"/>
    <x v="0"/>
    <x v="0"/>
    <x v="0"/>
    <x v="0"/>
    <x v="0"/>
    <x v="0"/>
    <x v="0"/>
    <x v="269"/>
    <x v="307"/>
    <x v="0"/>
    <x v="312"/>
    <x v="307"/>
    <x v="1"/>
    <x v="0"/>
    <x v="336"/>
    <x v="2"/>
    <x v="0"/>
    <x v="2"/>
    <x v="0"/>
    <x v="0"/>
    <x v="1"/>
    <x v="0"/>
    <x v="0"/>
    <x v="0"/>
    <x v="0"/>
    <x v="307"/>
    <x v="0"/>
    <x v="2"/>
    <x v="307"/>
    <x v="0"/>
    <x v="0"/>
    <x v="241"/>
    <x v="0"/>
    <x v="246"/>
    <x v="1"/>
    <x v="336"/>
    <x v="0"/>
    <x v="1"/>
    <x v="0"/>
    <x v="0"/>
    <x v="27"/>
    <x v="417"/>
    <x v="417"/>
    <x v="0"/>
    <x v="0"/>
    <x v="0"/>
    <x v="307"/>
    <x v="0"/>
    <x v="0"/>
    <x v="0"/>
    <x v="0"/>
    <x v="246"/>
    <x v="0"/>
    <x v="0"/>
    <x v="0"/>
    <x v="25"/>
    <x v="0"/>
    <x v="4"/>
    <x v="4"/>
    <x v="269"/>
    <x v="0"/>
    <x v="0"/>
    <x v="0"/>
    <x v="0"/>
    <x v="352"/>
    <x v="24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4"/>
    <x v="231"/>
    <x v="0"/>
    <x v="0"/>
    <x v="0"/>
    <x v="0"/>
    <x v="0"/>
    <x v="173"/>
  </r>
  <r>
    <x v="0"/>
    <x v="418"/>
    <x v="0"/>
    <x v="26"/>
    <x v="0"/>
    <x v="0"/>
    <x v="0"/>
    <x v="45"/>
    <x v="46"/>
    <x v="0"/>
    <x v="0"/>
    <x v="0"/>
    <x v="1"/>
    <x v="0"/>
    <x v="0"/>
    <x v="45"/>
    <x v="2"/>
    <x v="0"/>
    <x v="0"/>
    <x v="0"/>
    <x v="45"/>
    <x v="46"/>
    <x v="0"/>
    <x v="0"/>
    <x v="0"/>
    <x v="0"/>
    <x v="0"/>
    <x v="0"/>
    <x v="0"/>
    <x v="0"/>
    <x v="0"/>
    <x v="270"/>
    <x v="49"/>
    <x v="0"/>
    <x v="45"/>
    <x v="49"/>
    <x v="1"/>
    <x v="0"/>
    <x v="50"/>
    <x v="2"/>
    <x v="0"/>
    <x v="2"/>
    <x v="0"/>
    <x v="0"/>
    <x v="1"/>
    <x v="0"/>
    <x v="0"/>
    <x v="0"/>
    <x v="0"/>
    <x v="49"/>
    <x v="0"/>
    <x v="2"/>
    <x v="49"/>
    <x v="0"/>
    <x v="0"/>
    <x v="37"/>
    <x v="0"/>
    <x v="36"/>
    <x v="1"/>
    <x v="50"/>
    <x v="0"/>
    <x v="1"/>
    <x v="0"/>
    <x v="0"/>
    <x v="27"/>
    <x v="418"/>
    <x v="418"/>
    <x v="0"/>
    <x v="0"/>
    <x v="0"/>
    <x v="49"/>
    <x v="0"/>
    <x v="0"/>
    <x v="0"/>
    <x v="0"/>
    <x v="36"/>
    <x v="0"/>
    <x v="0"/>
    <x v="0"/>
    <x v="25"/>
    <x v="0"/>
    <x v="21"/>
    <x v="21"/>
    <x v="270"/>
    <x v="0"/>
    <x v="0"/>
    <x v="0"/>
    <x v="0"/>
    <x v="353"/>
    <x v="3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32"/>
    <x v="111"/>
    <x v="0"/>
    <x v="0"/>
    <x v="0"/>
    <x v="0"/>
    <x v="0"/>
    <x v="174"/>
  </r>
  <r>
    <x v="0"/>
    <x v="419"/>
    <x v="0"/>
    <x v="27"/>
    <x v="0"/>
    <x v="0"/>
    <x v="0"/>
    <x v="314"/>
    <x v="332"/>
    <x v="0"/>
    <x v="0"/>
    <x v="0"/>
    <x v="4"/>
    <x v="0"/>
    <x v="0"/>
    <x v="314"/>
    <x v="4"/>
    <x v="0"/>
    <x v="0"/>
    <x v="0"/>
    <x v="314"/>
    <x v="332"/>
    <x v="0"/>
    <x v="0"/>
    <x v="0"/>
    <x v="0"/>
    <x v="0"/>
    <x v="0"/>
    <x v="0"/>
    <x v="0"/>
    <x v="0"/>
    <x v="271"/>
    <x v="308"/>
    <x v="0"/>
    <x v="313"/>
    <x v="308"/>
    <x v="104"/>
    <x v="0"/>
    <x v="337"/>
    <x v="0"/>
    <x v="0"/>
    <x v="0"/>
    <x v="0"/>
    <x v="0"/>
    <x v="4"/>
    <x v="0"/>
    <x v="0"/>
    <x v="0"/>
    <x v="0"/>
    <x v="308"/>
    <x v="0"/>
    <x v="0"/>
    <x v="308"/>
    <x v="0"/>
    <x v="0"/>
    <x v="242"/>
    <x v="0"/>
    <x v="247"/>
    <x v="104"/>
    <x v="337"/>
    <x v="0"/>
    <x v="4"/>
    <x v="0"/>
    <x v="0"/>
    <x v="27"/>
    <x v="419"/>
    <x v="419"/>
    <x v="0"/>
    <x v="0"/>
    <x v="0"/>
    <x v="308"/>
    <x v="0"/>
    <x v="0"/>
    <x v="0"/>
    <x v="0"/>
    <x v="247"/>
    <x v="0"/>
    <x v="0"/>
    <x v="0"/>
    <x v="26"/>
    <x v="0"/>
    <x v="50"/>
    <x v="50"/>
    <x v="271"/>
    <x v="0"/>
    <x v="0"/>
    <x v="0"/>
    <x v="0"/>
    <x v="354"/>
    <x v="247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55"/>
    <x v="232"/>
    <x v="0"/>
    <x v="0"/>
    <x v="0"/>
    <x v="0"/>
    <x v="0"/>
    <x v="0"/>
  </r>
  <r>
    <x v="0"/>
    <x v="420"/>
    <x v="0"/>
    <x v="27"/>
    <x v="0"/>
    <x v="0"/>
    <x v="0"/>
    <x v="315"/>
    <x v="333"/>
    <x v="0"/>
    <x v="0"/>
    <x v="0"/>
    <x v="4"/>
    <x v="0"/>
    <x v="0"/>
    <x v="315"/>
    <x v="4"/>
    <x v="0"/>
    <x v="0"/>
    <x v="0"/>
    <x v="315"/>
    <x v="333"/>
    <x v="0"/>
    <x v="0"/>
    <x v="0"/>
    <x v="0"/>
    <x v="0"/>
    <x v="0"/>
    <x v="0"/>
    <x v="0"/>
    <x v="0"/>
    <x v="271"/>
    <x v="309"/>
    <x v="0"/>
    <x v="314"/>
    <x v="309"/>
    <x v="1"/>
    <x v="0"/>
    <x v="338"/>
    <x v="1"/>
    <x v="0"/>
    <x v="1"/>
    <x v="0"/>
    <x v="0"/>
    <x v="4"/>
    <x v="0"/>
    <x v="0"/>
    <x v="0"/>
    <x v="0"/>
    <x v="309"/>
    <x v="0"/>
    <x v="1"/>
    <x v="309"/>
    <x v="0"/>
    <x v="0"/>
    <x v="243"/>
    <x v="0"/>
    <x v="248"/>
    <x v="1"/>
    <x v="338"/>
    <x v="0"/>
    <x v="4"/>
    <x v="10"/>
    <x v="0"/>
    <x v="27"/>
    <x v="420"/>
    <x v="420"/>
    <x v="0"/>
    <x v="0"/>
    <x v="0"/>
    <x v="309"/>
    <x v="0"/>
    <x v="0"/>
    <x v="0"/>
    <x v="0"/>
    <x v="248"/>
    <x v="0"/>
    <x v="0"/>
    <x v="0"/>
    <x v="26"/>
    <x v="0"/>
    <x v="50"/>
    <x v="50"/>
    <x v="271"/>
    <x v="0"/>
    <x v="0"/>
    <x v="0"/>
    <x v="0"/>
    <x v="354"/>
    <x v="248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55"/>
    <x v="232"/>
    <x v="0"/>
    <x v="0"/>
    <x v="0"/>
    <x v="0"/>
    <x v="0"/>
    <x v="0"/>
  </r>
  <r>
    <x v="0"/>
    <x v="421"/>
    <x v="0"/>
    <x v="26"/>
    <x v="0"/>
    <x v="0"/>
    <x v="0"/>
    <x v="292"/>
    <x v="334"/>
    <x v="0"/>
    <x v="0"/>
    <x v="0"/>
    <x v="4"/>
    <x v="0"/>
    <x v="0"/>
    <x v="292"/>
    <x v="4"/>
    <x v="0"/>
    <x v="0"/>
    <x v="0"/>
    <x v="292"/>
    <x v="334"/>
    <x v="0"/>
    <x v="0"/>
    <x v="0"/>
    <x v="0"/>
    <x v="0"/>
    <x v="0"/>
    <x v="0"/>
    <x v="0"/>
    <x v="0"/>
    <x v="272"/>
    <x v="286"/>
    <x v="0"/>
    <x v="291"/>
    <x v="286"/>
    <x v="1"/>
    <x v="0"/>
    <x v="339"/>
    <x v="2"/>
    <x v="0"/>
    <x v="2"/>
    <x v="0"/>
    <x v="0"/>
    <x v="4"/>
    <x v="0"/>
    <x v="0"/>
    <x v="0"/>
    <x v="0"/>
    <x v="286"/>
    <x v="0"/>
    <x v="2"/>
    <x v="286"/>
    <x v="0"/>
    <x v="0"/>
    <x v="221"/>
    <x v="0"/>
    <x v="226"/>
    <x v="1"/>
    <x v="339"/>
    <x v="0"/>
    <x v="4"/>
    <x v="0"/>
    <x v="0"/>
    <x v="27"/>
    <x v="421"/>
    <x v="421"/>
    <x v="0"/>
    <x v="0"/>
    <x v="0"/>
    <x v="286"/>
    <x v="0"/>
    <x v="0"/>
    <x v="0"/>
    <x v="0"/>
    <x v="226"/>
    <x v="0"/>
    <x v="0"/>
    <x v="0"/>
    <x v="25"/>
    <x v="0"/>
    <x v="23"/>
    <x v="23"/>
    <x v="272"/>
    <x v="0"/>
    <x v="0"/>
    <x v="0"/>
    <x v="0"/>
    <x v="355"/>
    <x v="226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56"/>
    <x v="233"/>
    <x v="0"/>
    <x v="0"/>
    <x v="0"/>
    <x v="0"/>
    <x v="0"/>
    <x v="175"/>
  </r>
  <r>
    <x v="0"/>
    <x v="422"/>
    <x v="0"/>
    <x v="26"/>
    <x v="0"/>
    <x v="0"/>
    <x v="0"/>
    <x v="316"/>
    <x v="335"/>
    <x v="0"/>
    <x v="0"/>
    <x v="0"/>
    <x v="4"/>
    <x v="0"/>
    <x v="0"/>
    <x v="316"/>
    <x v="4"/>
    <x v="0"/>
    <x v="0"/>
    <x v="0"/>
    <x v="316"/>
    <x v="335"/>
    <x v="0"/>
    <x v="0"/>
    <x v="0"/>
    <x v="0"/>
    <x v="0"/>
    <x v="0"/>
    <x v="0"/>
    <x v="0"/>
    <x v="0"/>
    <x v="273"/>
    <x v="310"/>
    <x v="0"/>
    <x v="315"/>
    <x v="310"/>
    <x v="1"/>
    <x v="0"/>
    <x v="340"/>
    <x v="2"/>
    <x v="0"/>
    <x v="2"/>
    <x v="0"/>
    <x v="0"/>
    <x v="4"/>
    <x v="0"/>
    <x v="0"/>
    <x v="0"/>
    <x v="0"/>
    <x v="310"/>
    <x v="0"/>
    <x v="2"/>
    <x v="310"/>
    <x v="0"/>
    <x v="0"/>
    <x v="244"/>
    <x v="0"/>
    <x v="249"/>
    <x v="1"/>
    <x v="340"/>
    <x v="0"/>
    <x v="4"/>
    <x v="0"/>
    <x v="0"/>
    <x v="27"/>
    <x v="422"/>
    <x v="422"/>
    <x v="0"/>
    <x v="0"/>
    <x v="0"/>
    <x v="310"/>
    <x v="0"/>
    <x v="0"/>
    <x v="0"/>
    <x v="0"/>
    <x v="249"/>
    <x v="0"/>
    <x v="0"/>
    <x v="0"/>
    <x v="25"/>
    <x v="0"/>
    <x v="10"/>
    <x v="10"/>
    <x v="273"/>
    <x v="0"/>
    <x v="0"/>
    <x v="0"/>
    <x v="0"/>
    <x v="356"/>
    <x v="249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56"/>
    <x v="233"/>
    <x v="0"/>
    <x v="0"/>
    <x v="0"/>
    <x v="0"/>
    <x v="0"/>
    <x v="176"/>
  </r>
  <r>
    <x v="1"/>
    <x v="423"/>
    <x v="2"/>
    <x v="27"/>
    <x v="0"/>
    <x v="0"/>
    <x v="0"/>
    <x v="299"/>
    <x v="316"/>
    <x v="0"/>
    <x v="0"/>
    <x v="0"/>
    <x v="19"/>
    <x v="3"/>
    <x v="0"/>
    <x v="299"/>
    <x v="5"/>
    <x v="0"/>
    <x v="0"/>
    <x v="0"/>
    <x v="299"/>
    <x v="316"/>
    <x v="0"/>
    <x v="3"/>
    <x v="0"/>
    <x v="0"/>
    <x v="0"/>
    <x v="0"/>
    <x v="1"/>
    <x v="1"/>
    <x v="0"/>
    <x v="4"/>
    <x v="294"/>
    <x v="0"/>
    <x v="7"/>
    <x v="294"/>
    <x v="1"/>
    <x v="0"/>
    <x v="322"/>
    <x v="3"/>
    <x v="0"/>
    <x v="3"/>
    <x v="0"/>
    <x v="0"/>
    <x v="19"/>
    <x v="0"/>
    <x v="0"/>
    <x v="0"/>
    <x v="0"/>
    <x v="294"/>
    <x v="0"/>
    <x v="3"/>
    <x v="294"/>
    <x v="0"/>
    <x v="0"/>
    <x v="6"/>
    <x v="1"/>
    <x v="7"/>
    <x v="1"/>
    <x v="322"/>
    <x v="0"/>
    <x v="6"/>
    <x v="4"/>
    <x v="0"/>
    <x v="28"/>
    <x v="423"/>
    <x v="423"/>
    <x v="0"/>
    <x v="0"/>
    <x v="0"/>
    <x v="294"/>
    <x v="0"/>
    <x v="0"/>
    <x v="0"/>
    <x v="0"/>
    <x v="7"/>
    <x v="0"/>
    <x v="0"/>
    <x v="0"/>
    <x v="26"/>
    <x v="0"/>
    <x v="3"/>
    <x v="3"/>
    <x v="4"/>
    <x v="1"/>
    <x v="0"/>
    <x v="0"/>
    <x v="0"/>
    <x v="357"/>
    <x v="7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87"/>
    <x v="4"/>
    <x v="0"/>
    <x v="0"/>
    <x v="0"/>
    <x v="0"/>
    <x v="0"/>
    <x v="0"/>
  </r>
  <r>
    <x v="1"/>
    <x v="424"/>
    <x v="0"/>
    <x v="26"/>
    <x v="0"/>
    <x v="0"/>
    <x v="0"/>
    <x v="317"/>
    <x v="336"/>
    <x v="0"/>
    <x v="0"/>
    <x v="0"/>
    <x v="0"/>
    <x v="0"/>
    <x v="0"/>
    <x v="317"/>
    <x v="0"/>
    <x v="0"/>
    <x v="0"/>
    <x v="0"/>
    <x v="317"/>
    <x v="336"/>
    <x v="0"/>
    <x v="0"/>
    <x v="0"/>
    <x v="0"/>
    <x v="0"/>
    <x v="0"/>
    <x v="1"/>
    <x v="1"/>
    <x v="0"/>
    <x v="4"/>
    <x v="311"/>
    <x v="0"/>
    <x v="316"/>
    <x v="311"/>
    <x v="1"/>
    <x v="0"/>
    <x v="341"/>
    <x v="2"/>
    <x v="0"/>
    <x v="2"/>
    <x v="0"/>
    <x v="0"/>
    <x v="0"/>
    <x v="0"/>
    <x v="0"/>
    <x v="0"/>
    <x v="0"/>
    <x v="311"/>
    <x v="0"/>
    <x v="2"/>
    <x v="311"/>
    <x v="0"/>
    <x v="0"/>
    <x v="6"/>
    <x v="0"/>
    <x v="250"/>
    <x v="1"/>
    <x v="341"/>
    <x v="0"/>
    <x v="0"/>
    <x v="1"/>
    <x v="0"/>
    <x v="28"/>
    <x v="410"/>
    <x v="424"/>
    <x v="0"/>
    <x v="0"/>
    <x v="0"/>
    <x v="311"/>
    <x v="0"/>
    <x v="0"/>
    <x v="0"/>
    <x v="0"/>
    <x v="250"/>
    <x v="0"/>
    <x v="0"/>
    <x v="0"/>
    <x v="25"/>
    <x v="0"/>
    <x v="3"/>
    <x v="3"/>
    <x v="4"/>
    <x v="1"/>
    <x v="0"/>
    <x v="0"/>
    <x v="0"/>
    <x v="358"/>
    <x v="25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7"/>
    <x v="211"/>
    <x v="0"/>
    <x v="0"/>
    <x v="0"/>
    <x v="0"/>
    <x v="0"/>
    <x v="177"/>
  </r>
  <r>
    <x v="1"/>
    <x v="425"/>
    <x v="0"/>
    <x v="27"/>
    <x v="0"/>
    <x v="0"/>
    <x v="0"/>
    <x v="318"/>
    <x v="337"/>
    <x v="0"/>
    <x v="0"/>
    <x v="0"/>
    <x v="1"/>
    <x v="0"/>
    <x v="0"/>
    <x v="318"/>
    <x v="2"/>
    <x v="0"/>
    <x v="0"/>
    <x v="0"/>
    <x v="318"/>
    <x v="337"/>
    <x v="0"/>
    <x v="0"/>
    <x v="0"/>
    <x v="0"/>
    <x v="0"/>
    <x v="0"/>
    <x v="1"/>
    <x v="1"/>
    <x v="0"/>
    <x v="4"/>
    <x v="312"/>
    <x v="0"/>
    <x v="317"/>
    <x v="312"/>
    <x v="105"/>
    <x v="0"/>
    <x v="342"/>
    <x v="0"/>
    <x v="0"/>
    <x v="0"/>
    <x v="0"/>
    <x v="0"/>
    <x v="1"/>
    <x v="0"/>
    <x v="0"/>
    <x v="0"/>
    <x v="0"/>
    <x v="312"/>
    <x v="0"/>
    <x v="0"/>
    <x v="312"/>
    <x v="0"/>
    <x v="0"/>
    <x v="6"/>
    <x v="0"/>
    <x v="251"/>
    <x v="105"/>
    <x v="342"/>
    <x v="0"/>
    <x v="0"/>
    <x v="0"/>
    <x v="0"/>
    <x v="28"/>
    <x v="424"/>
    <x v="425"/>
    <x v="0"/>
    <x v="0"/>
    <x v="0"/>
    <x v="312"/>
    <x v="0"/>
    <x v="0"/>
    <x v="0"/>
    <x v="0"/>
    <x v="251"/>
    <x v="0"/>
    <x v="0"/>
    <x v="0"/>
    <x v="26"/>
    <x v="0"/>
    <x v="3"/>
    <x v="3"/>
    <x v="4"/>
    <x v="1"/>
    <x v="0"/>
    <x v="0"/>
    <x v="0"/>
    <x v="359"/>
    <x v="25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7"/>
    <x v="4"/>
    <x v="0"/>
    <x v="0"/>
    <x v="0"/>
    <x v="0"/>
    <x v="0"/>
    <x v="0"/>
  </r>
  <r>
    <x v="1"/>
    <x v="426"/>
    <x v="0"/>
    <x v="27"/>
    <x v="0"/>
    <x v="0"/>
    <x v="0"/>
    <x v="319"/>
    <x v="338"/>
    <x v="0"/>
    <x v="0"/>
    <x v="0"/>
    <x v="1"/>
    <x v="0"/>
    <x v="0"/>
    <x v="319"/>
    <x v="2"/>
    <x v="0"/>
    <x v="0"/>
    <x v="0"/>
    <x v="319"/>
    <x v="338"/>
    <x v="0"/>
    <x v="0"/>
    <x v="0"/>
    <x v="0"/>
    <x v="0"/>
    <x v="0"/>
    <x v="1"/>
    <x v="1"/>
    <x v="0"/>
    <x v="4"/>
    <x v="313"/>
    <x v="0"/>
    <x v="318"/>
    <x v="313"/>
    <x v="1"/>
    <x v="0"/>
    <x v="343"/>
    <x v="1"/>
    <x v="0"/>
    <x v="1"/>
    <x v="0"/>
    <x v="0"/>
    <x v="1"/>
    <x v="0"/>
    <x v="0"/>
    <x v="0"/>
    <x v="0"/>
    <x v="313"/>
    <x v="0"/>
    <x v="1"/>
    <x v="313"/>
    <x v="0"/>
    <x v="0"/>
    <x v="6"/>
    <x v="0"/>
    <x v="252"/>
    <x v="1"/>
    <x v="343"/>
    <x v="0"/>
    <x v="0"/>
    <x v="1"/>
    <x v="0"/>
    <x v="28"/>
    <x v="425"/>
    <x v="426"/>
    <x v="0"/>
    <x v="0"/>
    <x v="0"/>
    <x v="313"/>
    <x v="0"/>
    <x v="0"/>
    <x v="0"/>
    <x v="0"/>
    <x v="252"/>
    <x v="0"/>
    <x v="0"/>
    <x v="0"/>
    <x v="26"/>
    <x v="0"/>
    <x v="3"/>
    <x v="3"/>
    <x v="4"/>
    <x v="1"/>
    <x v="0"/>
    <x v="0"/>
    <x v="0"/>
    <x v="359"/>
    <x v="25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7"/>
    <x v="4"/>
    <x v="0"/>
    <x v="0"/>
    <x v="0"/>
    <x v="0"/>
    <x v="0"/>
    <x v="0"/>
  </r>
  <r>
    <x v="0"/>
    <x v="427"/>
    <x v="0"/>
    <x v="26"/>
    <x v="0"/>
    <x v="0"/>
    <x v="0"/>
    <x v="68"/>
    <x v="69"/>
    <x v="0"/>
    <x v="0"/>
    <x v="0"/>
    <x v="15"/>
    <x v="0"/>
    <x v="0"/>
    <x v="68"/>
    <x v="14"/>
    <x v="0"/>
    <x v="0"/>
    <x v="0"/>
    <x v="68"/>
    <x v="69"/>
    <x v="0"/>
    <x v="0"/>
    <x v="0"/>
    <x v="0"/>
    <x v="0"/>
    <x v="0"/>
    <x v="0"/>
    <x v="0"/>
    <x v="0"/>
    <x v="274"/>
    <x v="70"/>
    <x v="0"/>
    <x v="68"/>
    <x v="70"/>
    <x v="1"/>
    <x v="0"/>
    <x v="71"/>
    <x v="0"/>
    <x v="0"/>
    <x v="0"/>
    <x v="0"/>
    <x v="0"/>
    <x v="15"/>
    <x v="0"/>
    <x v="0"/>
    <x v="0"/>
    <x v="0"/>
    <x v="70"/>
    <x v="0"/>
    <x v="0"/>
    <x v="70"/>
    <x v="0"/>
    <x v="0"/>
    <x v="55"/>
    <x v="0"/>
    <x v="54"/>
    <x v="1"/>
    <x v="71"/>
    <x v="0"/>
    <x v="9"/>
    <x v="0"/>
    <x v="0"/>
    <x v="28"/>
    <x v="426"/>
    <x v="427"/>
    <x v="0"/>
    <x v="0"/>
    <x v="0"/>
    <x v="70"/>
    <x v="0"/>
    <x v="0"/>
    <x v="0"/>
    <x v="0"/>
    <x v="54"/>
    <x v="0"/>
    <x v="0"/>
    <x v="0"/>
    <x v="25"/>
    <x v="0"/>
    <x v="33"/>
    <x v="33"/>
    <x v="274"/>
    <x v="0"/>
    <x v="0"/>
    <x v="0"/>
    <x v="0"/>
    <x v="360"/>
    <x v="5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5"/>
    <x v="234"/>
    <x v="0"/>
    <x v="0"/>
    <x v="0"/>
    <x v="0"/>
    <x v="0"/>
    <x v="0"/>
  </r>
  <r>
    <x v="0"/>
    <x v="428"/>
    <x v="0"/>
    <x v="26"/>
    <x v="0"/>
    <x v="0"/>
    <x v="0"/>
    <x v="320"/>
    <x v="339"/>
    <x v="0"/>
    <x v="0"/>
    <x v="0"/>
    <x v="14"/>
    <x v="0"/>
    <x v="0"/>
    <x v="320"/>
    <x v="13"/>
    <x v="0"/>
    <x v="0"/>
    <x v="0"/>
    <x v="320"/>
    <x v="339"/>
    <x v="0"/>
    <x v="0"/>
    <x v="0"/>
    <x v="0"/>
    <x v="0"/>
    <x v="2"/>
    <x v="0"/>
    <x v="0"/>
    <x v="0"/>
    <x v="275"/>
    <x v="314"/>
    <x v="0"/>
    <x v="319"/>
    <x v="314"/>
    <x v="1"/>
    <x v="0"/>
    <x v="344"/>
    <x v="2"/>
    <x v="0"/>
    <x v="2"/>
    <x v="0"/>
    <x v="0"/>
    <x v="14"/>
    <x v="0"/>
    <x v="0"/>
    <x v="0"/>
    <x v="0"/>
    <x v="314"/>
    <x v="0"/>
    <x v="2"/>
    <x v="314"/>
    <x v="0"/>
    <x v="0"/>
    <x v="245"/>
    <x v="0"/>
    <x v="253"/>
    <x v="1"/>
    <x v="344"/>
    <x v="0"/>
    <x v="8"/>
    <x v="6"/>
    <x v="0"/>
    <x v="28"/>
    <x v="427"/>
    <x v="428"/>
    <x v="0"/>
    <x v="0"/>
    <x v="0"/>
    <x v="314"/>
    <x v="0"/>
    <x v="0"/>
    <x v="0"/>
    <x v="0"/>
    <x v="253"/>
    <x v="0"/>
    <x v="0"/>
    <x v="0"/>
    <x v="25"/>
    <x v="0"/>
    <x v="59"/>
    <x v="59"/>
    <x v="275"/>
    <x v="0"/>
    <x v="0"/>
    <x v="0"/>
    <x v="0"/>
    <x v="361"/>
    <x v="25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8"/>
    <x v="235"/>
    <x v="0"/>
    <x v="0"/>
    <x v="0"/>
    <x v="0"/>
    <x v="0"/>
    <x v="178"/>
  </r>
  <r>
    <x v="0"/>
    <x v="429"/>
    <x v="0"/>
    <x v="27"/>
    <x v="0"/>
    <x v="0"/>
    <x v="0"/>
    <x v="321"/>
    <x v="340"/>
    <x v="0"/>
    <x v="0"/>
    <x v="0"/>
    <x v="15"/>
    <x v="0"/>
    <x v="0"/>
    <x v="321"/>
    <x v="14"/>
    <x v="0"/>
    <x v="0"/>
    <x v="0"/>
    <x v="321"/>
    <x v="340"/>
    <x v="0"/>
    <x v="0"/>
    <x v="0"/>
    <x v="0"/>
    <x v="0"/>
    <x v="1"/>
    <x v="0"/>
    <x v="0"/>
    <x v="0"/>
    <x v="276"/>
    <x v="315"/>
    <x v="0"/>
    <x v="320"/>
    <x v="315"/>
    <x v="106"/>
    <x v="0"/>
    <x v="345"/>
    <x v="0"/>
    <x v="0"/>
    <x v="0"/>
    <x v="0"/>
    <x v="0"/>
    <x v="15"/>
    <x v="0"/>
    <x v="0"/>
    <x v="0"/>
    <x v="0"/>
    <x v="315"/>
    <x v="0"/>
    <x v="0"/>
    <x v="315"/>
    <x v="0"/>
    <x v="0"/>
    <x v="246"/>
    <x v="0"/>
    <x v="254"/>
    <x v="106"/>
    <x v="345"/>
    <x v="0"/>
    <x v="0"/>
    <x v="0"/>
    <x v="0"/>
    <x v="28"/>
    <x v="428"/>
    <x v="429"/>
    <x v="0"/>
    <x v="0"/>
    <x v="0"/>
    <x v="315"/>
    <x v="0"/>
    <x v="0"/>
    <x v="0"/>
    <x v="0"/>
    <x v="254"/>
    <x v="0"/>
    <x v="0"/>
    <x v="0"/>
    <x v="26"/>
    <x v="0"/>
    <x v="6"/>
    <x v="6"/>
    <x v="276"/>
    <x v="0"/>
    <x v="0"/>
    <x v="0"/>
    <x v="0"/>
    <x v="362"/>
    <x v="25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59"/>
    <x v="236"/>
    <x v="0"/>
    <x v="0"/>
    <x v="0"/>
    <x v="0"/>
    <x v="0"/>
    <x v="0"/>
  </r>
  <r>
    <x v="0"/>
    <x v="430"/>
    <x v="0"/>
    <x v="26"/>
    <x v="0"/>
    <x v="0"/>
    <x v="0"/>
    <x v="322"/>
    <x v="341"/>
    <x v="0"/>
    <x v="0"/>
    <x v="0"/>
    <x v="14"/>
    <x v="0"/>
    <x v="0"/>
    <x v="322"/>
    <x v="13"/>
    <x v="0"/>
    <x v="0"/>
    <x v="0"/>
    <x v="322"/>
    <x v="341"/>
    <x v="0"/>
    <x v="0"/>
    <x v="0"/>
    <x v="0"/>
    <x v="0"/>
    <x v="0"/>
    <x v="0"/>
    <x v="0"/>
    <x v="0"/>
    <x v="277"/>
    <x v="316"/>
    <x v="0"/>
    <x v="321"/>
    <x v="316"/>
    <x v="1"/>
    <x v="0"/>
    <x v="346"/>
    <x v="2"/>
    <x v="0"/>
    <x v="2"/>
    <x v="0"/>
    <x v="0"/>
    <x v="14"/>
    <x v="0"/>
    <x v="0"/>
    <x v="0"/>
    <x v="0"/>
    <x v="316"/>
    <x v="0"/>
    <x v="2"/>
    <x v="316"/>
    <x v="0"/>
    <x v="0"/>
    <x v="247"/>
    <x v="0"/>
    <x v="255"/>
    <x v="1"/>
    <x v="346"/>
    <x v="0"/>
    <x v="8"/>
    <x v="6"/>
    <x v="0"/>
    <x v="28"/>
    <x v="429"/>
    <x v="430"/>
    <x v="0"/>
    <x v="0"/>
    <x v="0"/>
    <x v="316"/>
    <x v="0"/>
    <x v="0"/>
    <x v="0"/>
    <x v="0"/>
    <x v="255"/>
    <x v="0"/>
    <x v="0"/>
    <x v="0"/>
    <x v="25"/>
    <x v="0"/>
    <x v="6"/>
    <x v="6"/>
    <x v="277"/>
    <x v="0"/>
    <x v="0"/>
    <x v="0"/>
    <x v="0"/>
    <x v="363"/>
    <x v="25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0"/>
    <x v="237"/>
    <x v="0"/>
    <x v="0"/>
    <x v="0"/>
    <x v="0"/>
    <x v="0"/>
    <x v="179"/>
  </r>
  <r>
    <x v="0"/>
    <x v="431"/>
    <x v="0"/>
    <x v="26"/>
    <x v="0"/>
    <x v="0"/>
    <x v="0"/>
    <x v="323"/>
    <x v="342"/>
    <x v="0"/>
    <x v="0"/>
    <x v="0"/>
    <x v="15"/>
    <x v="0"/>
    <x v="0"/>
    <x v="323"/>
    <x v="14"/>
    <x v="0"/>
    <x v="0"/>
    <x v="0"/>
    <x v="323"/>
    <x v="342"/>
    <x v="0"/>
    <x v="0"/>
    <x v="0"/>
    <x v="0"/>
    <x v="0"/>
    <x v="0"/>
    <x v="0"/>
    <x v="0"/>
    <x v="0"/>
    <x v="278"/>
    <x v="317"/>
    <x v="0"/>
    <x v="322"/>
    <x v="317"/>
    <x v="1"/>
    <x v="0"/>
    <x v="347"/>
    <x v="2"/>
    <x v="0"/>
    <x v="2"/>
    <x v="0"/>
    <x v="0"/>
    <x v="15"/>
    <x v="0"/>
    <x v="0"/>
    <x v="0"/>
    <x v="0"/>
    <x v="317"/>
    <x v="0"/>
    <x v="2"/>
    <x v="317"/>
    <x v="0"/>
    <x v="0"/>
    <x v="248"/>
    <x v="0"/>
    <x v="256"/>
    <x v="1"/>
    <x v="347"/>
    <x v="0"/>
    <x v="9"/>
    <x v="8"/>
    <x v="0"/>
    <x v="28"/>
    <x v="430"/>
    <x v="431"/>
    <x v="0"/>
    <x v="0"/>
    <x v="0"/>
    <x v="317"/>
    <x v="0"/>
    <x v="0"/>
    <x v="0"/>
    <x v="0"/>
    <x v="256"/>
    <x v="0"/>
    <x v="0"/>
    <x v="0"/>
    <x v="25"/>
    <x v="0"/>
    <x v="35"/>
    <x v="35"/>
    <x v="278"/>
    <x v="0"/>
    <x v="0"/>
    <x v="0"/>
    <x v="0"/>
    <x v="364"/>
    <x v="25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1"/>
    <x v="238"/>
    <x v="0"/>
    <x v="0"/>
    <x v="0"/>
    <x v="0"/>
    <x v="0"/>
    <x v="180"/>
  </r>
  <r>
    <x v="0"/>
    <x v="432"/>
    <x v="0"/>
    <x v="26"/>
    <x v="0"/>
    <x v="0"/>
    <x v="0"/>
    <x v="324"/>
    <x v="343"/>
    <x v="0"/>
    <x v="0"/>
    <x v="0"/>
    <x v="0"/>
    <x v="0"/>
    <x v="0"/>
    <x v="324"/>
    <x v="0"/>
    <x v="0"/>
    <x v="0"/>
    <x v="0"/>
    <x v="324"/>
    <x v="343"/>
    <x v="0"/>
    <x v="0"/>
    <x v="0"/>
    <x v="0"/>
    <x v="0"/>
    <x v="0"/>
    <x v="0"/>
    <x v="0"/>
    <x v="0"/>
    <x v="279"/>
    <x v="318"/>
    <x v="0"/>
    <x v="323"/>
    <x v="318"/>
    <x v="1"/>
    <x v="0"/>
    <x v="348"/>
    <x v="2"/>
    <x v="0"/>
    <x v="2"/>
    <x v="0"/>
    <x v="0"/>
    <x v="0"/>
    <x v="0"/>
    <x v="0"/>
    <x v="0"/>
    <x v="0"/>
    <x v="318"/>
    <x v="0"/>
    <x v="2"/>
    <x v="318"/>
    <x v="0"/>
    <x v="0"/>
    <x v="249"/>
    <x v="0"/>
    <x v="257"/>
    <x v="1"/>
    <x v="348"/>
    <x v="0"/>
    <x v="0"/>
    <x v="1"/>
    <x v="0"/>
    <x v="28"/>
    <x v="431"/>
    <x v="432"/>
    <x v="0"/>
    <x v="0"/>
    <x v="0"/>
    <x v="318"/>
    <x v="0"/>
    <x v="0"/>
    <x v="0"/>
    <x v="0"/>
    <x v="257"/>
    <x v="0"/>
    <x v="0"/>
    <x v="0"/>
    <x v="25"/>
    <x v="0"/>
    <x v="13"/>
    <x v="13"/>
    <x v="279"/>
    <x v="0"/>
    <x v="0"/>
    <x v="0"/>
    <x v="0"/>
    <x v="365"/>
    <x v="2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62"/>
    <x v="239"/>
    <x v="0"/>
    <x v="0"/>
    <x v="0"/>
    <x v="0"/>
    <x v="0"/>
    <x v="181"/>
  </r>
  <r>
    <x v="0"/>
    <x v="433"/>
    <x v="0"/>
    <x v="27"/>
    <x v="0"/>
    <x v="0"/>
    <x v="0"/>
    <x v="325"/>
    <x v="344"/>
    <x v="0"/>
    <x v="0"/>
    <x v="0"/>
    <x v="15"/>
    <x v="0"/>
    <x v="0"/>
    <x v="325"/>
    <x v="14"/>
    <x v="0"/>
    <x v="0"/>
    <x v="0"/>
    <x v="325"/>
    <x v="344"/>
    <x v="0"/>
    <x v="0"/>
    <x v="0"/>
    <x v="0"/>
    <x v="0"/>
    <x v="0"/>
    <x v="0"/>
    <x v="0"/>
    <x v="0"/>
    <x v="280"/>
    <x v="319"/>
    <x v="0"/>
    <x v="324"/>
    <x v="319"/>
    <x v="1"/>
    <x v="0"/>
    <x v="349"/>
    <x v="2"/>
    <x v="0"/>
    <x v="2"/>
    <x v="0"/>
    <x v="0"/>
    <x v="15"/>
    <x v="0"/>
    <x v="0"/>
    <x v="0"/>
    <x v="0"/>
    <x v="319"/>
    <x v="0"/>
    <x v="2"/>
    <x v="319"/>
    <x v="0"/>
    <x v="0"/>
    <x v="250"/>
    <x v="0"/>
    <x v="258"/>
    <x v="1"/>
    <x v="349"/>
    <x v="0"/>
    <x v="9"/>
    <x v="0"/>
    <x v="0"/>
    <x v="28"/>
    <x v="432"/>
    <x v="433"/>
    <x v="0"/>
    <x v="0"/>
    <x v="0"/>
    <x v="319"/>
    <x v="0"/>
    <x v="0"/>
    <x v="0"/>
    <x v="0"/>
    <x v="258"/>
    <x v="0"/>
    <x v="0"/>
    <x v="0"/>
    <x v="26"/>
    <x v="0"/>
    <x v="64"/>
    <x v="64"/>
    <x v="280"/>
    <x v="0"/>
    <x v="0"/>
    <x v="0"/>
    <x v="0"/>
    <x v="366"/>
    <x v="25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3"/>
    <x v="240"/>
    <x v="0"/>
    <x v="0"/>
    <x v="0"/>
    <x v="0"/>
    <x v="0"/>
    <x v="182"/>
  </r>
  <r>
    <x v="0"/>
    <x v="434"/>
    <x v="0"/>
    <x v="26"/>
    <x v="0"/>
    <x v="0"/>
    <x v="0"/>
    <x v="326"/>
    <x v="345"/>
    <x v="0"/>
    <x v="0"/>
    <x v="0"/>
    <x v="1"/>
    <x v="0"/>
    <x v="0"/>
    <x v="326"/>
    <x v="2"/>
    <x v="0"/>
    <x v="0"/>
    <x v="0"/>
    <x v="326"/>
    <x v="345"/>
    <x v="0"/>
    <x v="0"/>
    <x v="0"/>
    <x v="0"/>
    <x v="0"/>
    <x v="0"/>
    <x v="0"/>
    <x v="0"/>
    <x v="0"/>
    <x v="281"/>
    <x v="320"/>
    <x v="0"/>
    <x v="325"/>
    <x v="320"/>
    <x v="1"/>
    <x v="0"/>
    <x v="350"/>
    <x v="2"/>
    <x v="0"/>
    <x v="2"/>
    <x v="0"/>
    <x v="0"/>
    <x v="1"/>
    <x v="0"/>
    <x v="0"/>
    <x v="0"/>
    <x v="0"/>
    <x v="320"/>
    <x v="0"/>
    <x v="2"/>
    <x v="320"/>
    <x v="0"/>
    <x v="0"/>
    <x v="251"/>
    <x v="0"/>
    <x v="259"/>
    <x v="1"/>
    <x v="350"/>
    <x v="0"/>
    <x v="0"/>
    <x v="1"/>
    <x v="0"/>
    <x v="28"/>
    <x v="433"/>
    <x v="434"/>
    <x v="0"/>
    <x v="0"/>
    <x v="0"/>
    <x v="320"/>
    <x v="0"/>
    <x v="0"/>
    <x v="0"/>
    <x v="0"/>
    <x v="259"/>
    <x v="0"/>
    <x v="0"/>
    <x v="0"/>
    <x v="25"/>
    <x v="0"/>
    <x v="94"/>
    <x v="94"/>
    <x v="281"/>
    <x v="0"/>
    <x v="0"/>
    <x v="0"/>
    <x v="0"/>
    <x v="367"/>
    <x v="25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4"/>
    <x v="241"/>
    <x v="0"/>
    <x v="0"/>
    <x v="0"/>
    <x v="0"/>
    <x v="0"/>
    <x v="183"/>
  </r>
  <r>
    <x v="0"/>
    <x v="435"/>
    <x v="0"/>
    <x v="27"/>
    <x v="0"/>
    <x v="0"/>
    <x v="0"/>
    <x v="327"/>
    <x v="346"/>
    <x v="0"/>
    <x v="0"/>
    <x v="0"/>
    <x v="1"/>
    <x v="0"/>
    <x v="0"/>
    <x v="327"/>
    <x v="2"/>
    <x v="0"/>
    <x v="0"/>
    <x v="0"/>
    <x v="327"/>
    <x v="346"/>
    <x v="0"/>
    <x v="0"/>
    <x v="0"/>
    <x v="0"/>
    <x v="0"/>
    <x v="1"/>
    <x v="0"/>
    <x v="0"/>
    <x v="0"/>
    <x v="282"/>
    <x v="321"/>
    <x v="0"/>
    <x v="326"/>
    <x v="321"/>
    <x v="107"/>
    <x v="0"/>
    <x v="351"/>
    <x v="0"/>
    <x v="0"/>
    <x v="0"/>
    <x v="0"/>
    <x v="0"/>
    <x v="1"/>
    <x v="0"/>
    <x v="0"/>
    <x v="0"/>
    <x v="0"/>
    <x v="321"/>
    <x v="0"/>
    <x v="0"/>
    <x v="321"/>
    <x v="0"/>
    <x v="0"/>
    <x v="252"/>
    <x v="0"/>
    <x v="260"/>
    <x v="107"/>
    <x v="351"/>
    <x v="0"/>
    <x v="0"/>
    <x v="0"/>
    <x v="0"/>
    <x v="28"/>
    <x v="434"/>
    <x v="435"/>
    <x v="0"/>
    <x v="0"/>
    <x v="0"/>
    <x v="321"/>
    <x v="0"/>
    <x v="0"/>
    <x v="0"/>
    <x v="0"/>
    <x v="260"/>
    <x v="0"/>
    <x v="0"/>
    <x v="0"/>
    <x v="26"/>
    <x v="0"/>
    <x v="44"/>
    <x v="44"/>
    <x v="282"/>
    <x v="0"/>
    <x v="0"/>
    <x v="0"/>
    <x v="0"/>
    <x v="368"/>
    <x v="26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5"/>
    <x v="242"/>
    <x v="0"/>
    <x v="0"/>
    <x v="0"/>
    <x v="0"/>
    <x v="0"/>
    <x v="0"/>
  </r>
  <r>
    <x v="0"/>
    <x v="436"/>
    <x v="0"/>
    <x v="27"/>
    <x v="0"/>
    <x v="0"/>
    <x v="0"/>
    <x v="99"/>
    <x v="206"/>
    <x v="0"/>
    <x v="0"/>
    <x v="0"/>
    <x v="1"/>
    <x v="0"/>
    <x v="0"/>
    <x v="99"/>
    <x v="2"/>
    <x v="0"/>
    <x v="0"/>
    <x v="0"/>
    <x v="99"/>
    <x v="206"/>
    <x v="0"/>
    <x v="0"/>
    <x v="0"/>
    <x v="0"/>
    <x v="0"/>
    <x v="0"/>
    <x v="0"/>
    <x v="0"/>
    <x v="0"/>
    <x v="283"/>
    <x v="101"/>
    <x v="0"/>
    <x v="99"/>
    <x v="101"/>
    <x v="74"/>
    <x v="0"/>
    <x v="215"/>
    <x v="0"/>
    <x v="0"/>
    <x v="0"/>
    <x v="0"/>
    <x v="0"/>
    <x v="1"/>
    <x v="0"/>
    <x v="0"/>
    <x v="0"/>
    <x v="0"/>
    <x v="101"/>
    <x v="0"/>
    <x v="0"/>
    <x v="101"/>
    <x v="0"/>
    <x v="0"/>
    <x v="80"/>
    <x v="0"/>
    <x v="79"/>
    <x v="74"/>
    <x v="215"/>
    <x v="0"/>
    <x v="0"/>
    <x v="0"/>
    <x v="0"/>
    <x v="28"/>
    <x v="435"/>
    <x v="436"/>
    <x v="0"/>
    <x v="0"/>
    <x v="0"/>
    <x v="101"/>
    <x v="0"/>
    <x v="0"/>
    <x v="0"/>
    <x v="0"/>
    <x v="79"/>
    <x v="0"/>
    <x v="0"/>
    <x v="0"/>
    <x v="26"/>
    <x v="0"/>
    <x v="61"/>
    <x v="61"/>
    <x v="283"/>
    <x v="0"/>
    <x v="0"/>
    <x v="0"/>
    <x v="0"/>
    <x v="369"/>
    <x v="7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6"/>
    <x v="243"/>
    <x v="0"/>
    <x v="0"/>
    <x v="0"/>
    <x v="0"/>
    <x v="0"/>
    <x v="0"/>
  </r>
  <r>
    <x v="0"/>
    <x v="437"/>
    <x v="0"/>
    <x v="27"/>
    <x v="0"/>
    <x v="0"/>
    <x v="0"/>
    <x v="193"/>
    <x v="200"/>
    <x v="0"/>
    <x v="0"/>
    <x v="0"/>
    <x v="1"/>
    <x v="0"/>
    <x v="0"/>
    <x v="193"/>
    <x v="2"/>
    <x v="0"/>
    <x v="0"/>
    <x v="0"/>
    <x v="193"/>
    <x v="200"/>
    <x v="0"/>
    <x v="0"/>
    <x v="0"/>
    <x v="0"/>
    <x v="0"/>
    <x v="0"/>
    <x v="0"/>
    <x v="0"/>
    <x v="0"/>
    <x v="283"/>
    <x v="196"/>
    <x v="0"/>
    <x v="193"/>
    <x v="196"/>
    <x v="1"/>
    <x v="0"/>
    <x v="209"/>
    <x v="1"/>
    <x v="0"/>
    <x v="1"/>
    <x v="0"/>
    <x v="0"/>
    <x v="1"/>
    <x v="0"/>
    <x v="0"/>
    <x v="0"/>
    <x v="0"/>
    <x v="196"/>
    <x v="0"/>
    <x v="1"/>
    <x v="196"/>
    <x v="0"/>
    <x v="0"/>
    <x v="154"/>
    <x v="0"/>
    <x v="160"/>
    <x v="1"/>
    <x v="209"/>
    <x v="0"/>
    <x v="0"/>
    <x v="1"/>
    <x v="0"/>
    <x v="28"/>
    <x v="436"/>
    <x v="437"/>
    <x v="0"/>
    <x v="0"/>
    <x v="0"/>
    <x v="196"/>
    <x v="0"/>
    <x v="0"/>
    <x v="0"/>
    <x v="0"/>
    <x v="160"/>
    <x v="0"/>
    <x v="0"/>
    <x v="0"/>
    <x v="26"/>
    <x v="0"/>
    <x v="61"/>
    <x v="61"/>
    <x v="283"/>
    <x v="0"/>
    <x v="0"/>
    <x v="0"/>
    <x v="0"/>
    <x v="369"/>
    <x v="16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6"/>
    <x v="243"/>
    <x v="0"/>
    <x v="0"/>
    <x v="0"/>
    <x v="0"/>
    <x v="0"/>
    <x v="0"/>
  </r>
  <r>
    <x v="0"/>
    <x v="438"/>
    <x v="0"/>
    <x v="26"/>
    <x v="0"/>
    <x v="0"/>
    <x v="0"/>
    <x v="328"/>
    <x v="347"/>
    <x v="0"/>
    <x v="0"/>
    <x v="0"/>
    <x v="1"/>
    <x v="0"/>
    <x v="0"/>
    <x v="328"/>
    <x v="2"/>
    <x v="0"/>
    <x v="0"/>
    <x v="0"/>
    <x v="328"/>
    <x v="347"/>
    <x v="0"/>
    <x v="0"/>
    <x v="0"/>
    <x v="0"/>
    <x v="0"/>
    <x v="0"/>
    <x v="0"/>
    <x v="0"/>
    <x v="0"/>
    <x v="284"/>
    <x v="322"/>
    <x v="0"/>
    <x v="327"/>
    <x v="322"/>
    <x v="1"/>
    <x v="0"/>
    <x v="352"/>
    <x v="2"/>
    <x v="0"/>
    <x v="2"/>
    <x v="0"/>
    <x v="0"/>
    <x v="1"/>
    <x v="0"/>
    <x v="0"/>
    <x v="0"/>
    <x v="0"/>
    <x v="322"/>
    <x v="0"/>
    <x v="2"/>
    <x v="322"/>
    <x v="0"/>
    <x v="0"/>
    <x v="253"/>
    <x v="0"/>
    <x v="261"/>
    <x v="1"/>
    <x v="352"/>
    <x v="0"/>
    <x v="0"/>
    <x v="1"/>
    <x v="0"/>
    <x v="28"/>
    <x v="437"/>
    <x v="438"/>
    <x v="0"/>
    <x v="0"/>
    <x v="0"/>
    <x v="322"/>
    <x v="0"/>
    <x v="0"/>
    <x v="0"/>
    <x v="0"/>
    <x v="261"/>
    <x v="0"/>
    <x v="0"/>
    <x v="0"/>
    <x v="25"/>
    <x v="0"/>
    <x v="45"/>
    <x v="45"/>
    <x v="284"/>
    <x v="0"/>
    <x v="0"/>
    <x v="0"/>
    <x v="0"/>
    <x v="370"/>
    <x v="26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6"/>
    <x v="243"/>
    <x v="0"/>
    <x v="0"/>
    <x v="0"/>
    <x v="0"/>
    <x v="0"/>
    <x v="184"/>
  </r>
  <r>
    <x v="0"/>
    <x v="439"/>
    <x v="0"/>
    <x v="27"/>
    <x v="0"/>
    <x v="0"/>
    <x v="0"/>
    <x v="329"/>
    <x v="348"/>
    <x v="0"/>
    <x v="0"/>
    <x v="0"/>
    <x v="1"/>
    <x v="0"/>
    <x v="0"/>
    <x v="329"/>
    <x v="2"/>
    <x v="0"/>
    <x v="0"/>
    <x v="0"/>
    <x v="329"/>
    <x v="348"/>
    <x v="0"/>
    <x v="0"/>
    <x v="0"/>
    <x v="0"/>
    <x v="0"/>
    <x v="0"/>
    <x v="0"/>
    <x v="0"/>
    <x v="0"/>
    <x v="285"/>
    <x v="323"/>
    <x v="0"/>
    <x v="328"/>
    <x v="323"/>
    <x v="1"/>
    <x v="0"/>
    <x v="353"/>
    <x v="2"/>
    <x v="0"/>
    <x v="2"/>
    <x v="0"/>
    <x v="0"/>
    <x v="1"/>
    <x v="0"/>
    <x v="0"/>
    <x v="0"/>
    <x v="0"/>
    <x v="323"/>
    <x v="0"/>
    <x v="2"/>
    <x v="323"/>
    <x v="0"/>
    <x v="0"/>
    <x v="254"/>
    <x v="0"/>
    <x v="262"/>
    <x v="1"/>
    <x v="353"/>
    <x v="0"/>
    <x v="0"/>
    <x v="1"/>
    <x v="0"/>
    <x v="28"/>
    <x v="438"/>
    <x v="439"/>
    <x v="0"/>
    <x v="0"/>
    <x v="0"/>
    <x v="323"/>
    <x v="0"/>
    <x v="0"/>
    <x v="0"/>
    <x v="0"/>
    <x v="262"/>
    <x v="0"/>
    <x v="0"/>
    <x v="0"/>
    <x v="26"/>
    <x v="0"/>
    <x v="4"/>
    <x v="4"/>
    <x v="285"/>
    <x v="0"/>
    <x v="0"/>
    <x v="0"/>
    <x v="0"/>
    <x v="371"/>
    <x v="26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7"/>
    <x v="244"/>
    <x v="0"/>
    <x v="0"/>
    <x v="0"/>
    <x v="0"/>
    <x v="0"/>
    <x v="185"/>
  </r>
  <r>
    <x v="0"/>
    <x v="440"/>
    <x v="0"/>
    <x v="26"/>
    <x v="0"/>
    <x v="0"/>
    <x v="0"/>
    <x v="46"/>
    <x v="47"/>
    <x v="0"/>
    <x v="0"/>
    <x v="0"/>
    <x v="0"/>
    <x v="0"/>
    <x v="0"/>
    <x v="46"/>
    <x v="0"/>
    <x v="0"/>
    <x v="0"/>
    <x v="0"/>
    <x v="46"/>
    <x v="47"/>
    <x v="0"/>
    <x v="0"/>
    <x v="0"/>
    <x v="0"/>
    <x v="0"/>
    <x v="0"/>
    <x v="0"/>
    <x v="0"/>
    <x v="0"/>
    <x v="286"/>
    <x v="50"/>
    <x v="0"/>
    <x v="46"/>
    <x v="50"/>
    <x v="1"/>
    <x v="0"/>
    <x v="51"/>
    <x v="2"/>
    <x v="0"/>
    <x v="2"/>
    <x v="0"/>
    <x v="0"/>
    <x v="0"/>
    <x v="0"/>
    <x v="0"/>
    <x v="0"/>
    <x v="0"/>
    <x v="50"/>
    <x v="0"/>
    <x v="2"/>
    <x v="50"/>
    <x v="0"/>
    <x v="0"/>
    <x v="38"/>
    <x v="0"/>
    <x v="37"/>
    <x v="1"/>
    <x v="51"/>
    <x v="0"/>
    <x v="0"/>
    <x v="1"/>
    <x v="0"/>
    <x v="28"/>
    <x v="439"/>
    <x v="440"/>
    <x v="0"/>
    <x v="0"/>
    <x v="0"/>
    <x v="50"/>
    <x v="0"/>
    <x v="0"/>
    <x v="0"/>
    <x v="0"/>
    <x v="37"/>
    <x v="0"/>
    <x v="0"/>
    <x v="0"/>
    <x v="25"/>
    <x v="0"/>
    <x v="12"/>
    <x v="12"/>
    <x v="286"/>
    <x v="0"/>
    <x v="0"/>
    <x v="0"/>
    <x v="0"/>
    <x v="372"/>
    <x v="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68"/>
    <x v="245"/>
    <x v="0"/>
    <x v="0"/>
    <x v="0"/>
    <x v="0"/>
    <x v="0"/>
    <x v="186"/>
  </r>
  <r>
    <x v="0"/>
    <x v="441"/>
    <x v="0"/>
    <x v="27"/>
    <x v="0"/>
    <x v="0"/>
    <x v="0"/>
    <x v="330"/>
    <x v="349"/>
    <x v="0"/>
    <x v="0"/>
    <x v="0"/>
    <x v="14"/>
    <x v="0"/>
    <x v="0"/>
    <x v="330"/>
    <x v="13"/>
    <x v="0"/>
    <x v="0"/>
    <x v="0"/>
    <x v="330"/>
    <x v="349"/>
    <x v="0"/>
    <x v="0"/>
    <x v="0"/>
    <x v="0"/>
    <x v="0"/>
    <x v="0"/>
    <x v="0"/>
    <x v="0"/>
    <x v="0"/>
    <x v="287"/>
    <x v="324"/>
    <x v="0"/>
    <x v="329"/>
    <x v="324"/>
    <x v="1"/>
    <x v="0"/>
    <x v="354"/>
    <x v="4"/>
    <x v="0"/>
    <x v="4"/>
    <x v="0"/>
    <x v="0"/>
    <x v="14"/>
    <x v="0"/>
    <x v="0"/>
    <x v="0"/>
    <x v="0"/>
    <x v="324"/>
    <x v="0"/>
    <x v="4"/>
    <x v="324"/>
    <x v="0"/>
    <x v="0"/>
    <x v="255"/>
    <x v="0"/>
    <x v="263"/>
    <x v="1"/>
    <x v="354"/>
    <x v="0"/>
    <x v="0"/>
    <x v="1"/>
    <x v="0"/>
    <x v="28"/>
    <x v="440"/>
    <x v="441"/>
    <x v="0"/>
    <x v="0"/>
    <x v="0"/>
    <x v="324"/>
    <x v="0"/>
    <x v="0"/>
    <x v="0"/>
    <x v="0"/>
    <x v="263"/>
    <x v="0"/>
    <x v="0"/>
    <x v="0"/>
    <x v="26"/>
    <x v="0"/>
    <x v="95"/>
    <x v="95"/>
    <x v="287"/>
    <x v="0"/>
    <x v="0"/>
    <x v="0"/>
    <x v="0"/>
    <x v="373"/>
    <x v="26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18"/>
    <x v="192"/>
    <x v="0"/>
    <x v="0"/>
    <x v="0"/>
    <x v="0"/>
    <x v="0"/>
    <x v="0"/>
  </r>
  <r>
    <x v="1"/>
    <x v="442"/>
    <x v="0"/>
    <x v="26"/>
    <x v="0"/>
    <x v="0"/>
    <x v="0"/>
    <x v="331"/>
    <x v="350"/>
    <x v="0"/>
    <x v="0"/>
    <x v="0"/>
    <x v="2"/>
    <x v="1"/>
    <x v="0"/>
    <x v="331"/>
    <x v="3"/>
    <x v="0"/>
    <x v="0"/>
    <x v="0"/>
    <x v="331"/>
    <x v="350"/>
    <x v="0"/>
    <x v="3"/>
    <x v="0"/>
    <x v="0"/>
    <x v="0"/>
    <x v="0"/>
    <x v="1"/>
    <x v="1"/>
    <x v="0"/>
    <x v="4"/>
    <x v="6"/>
    <x v="0"/>
    <x v="330"/>
    <x v="6"/>
    <x v="4"/>
    <x v="0"/>
    <x v="6"/>
    <x v="0"/>
    <x v="0"/>
    <x v="0"/>
    <x v="0"/>
    <x v="0"/>
    <x v="2"/>
    <x v="0"/>
    <x v="0"/>
    <x v="0"/>
    <x v="0"/>
    <x v="6"/>
    <x v="0"/>
    <x v="0"/>
    <x v="6"/>
    <x v="159"/>
    <x v="0"/>
    <x v="6"/>
    <x v="1"/>
    <x v="7"/>
    <x v="4"/>
    <x v="6"/>
    <x v="0"/>
    <x v="2"/>
    <x v="0"/>
    <x v="0"/>
    <x v="28"/>
    <x v="441"/>
    <x v="442"/>
    <x v="0"/>
    <x v="0"/>
    <x v="0"/>
    <x v="6"/>
    <x v="0"/>
    <x v="0"/>
    <x v="0"/>
    <x v="0"/>
    <x v="7"/>
    <x v="0"/>
    <x v="0"/>
    <x v="0"/>
    <x v="25"/>
    <x v="0"/>
    <x v="3"/>
    <x v="3"/>
    <x v="4"/>
    <x v="1"/>
    <x v="0"/>
    <x v="0"/>
    <x v="0"/>
    <x v="374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69"/>
    <x v="4"/>
    <x v="0"/>
    <x v="0"/>
    <x v="0"/>
    <x v="0"/>
    <x v="0"/>
    <x v="187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6"/>
    <x v="0"/>
    <x v="8"/>
    <x v="0"/>
    <x v="1"/>
    <x v="0"/>
    <x v="1"/>
    <x v="0"/>
    <x v="3"/>
    <x v="0"/>
    <x v="0"/>
    <x v="0"/>
    <x v="0"/>
    <x v="8"/>
    <x v="1"/>
    <x v="0"/>
    <x v="8"/>
    <x v="160"/>
    <x v="0"/>
    <x v="6"/>
    <x v="1"/>
    <x v="7"/>
    <x v="6"/>
    <x v="8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2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61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62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63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64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4"/>
    <x v="0"/>
    <x v="6"/>
    <x v="0"/>
    <x v="1"/>
    <x v="0"/>
    <x v="1"/>
    <x v="0"/>
    <x v="3"/>
    <x v="0"/>
    <x v="0"/>
    <x v="0"/>
    <x v="0"/>
    <x v="6"/>
    <x v="1"/>
    <x v="0"/>
    <x v="6"/>
    <x v="165"/>
    <x v="0"/>
    <x v="6"/>
    <x v="1"/>
    <x v="7"/>
    <x v="4"/>
    <x v="6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7"/>
    <x v="0"/>
    <x v="7"/>
    <x v="37"/>
    <x v="21"/>
    <x v="0"/>
    <x v="38"/>
    <x v="0"/>
    <x v="1"/>
    <x v="0"/>
    <x v="1"/>
    <x v="0"/>
    <x v="3"/>
    <x v="0"/>
    <x v="0"/>
    <x v="0"/>
    <x v="0"/>
    <x v="37"/>
    <x v="1"/>
    <x v="0"/>
    <x v="37"/>
    <x v="166"/>
    <x v="0"/>
    <x v="6"/>
    <x v="1"/>
    <x v="7"/>
    <x v="21"/>
    <x v="38"/>
    <x v="1"/>
    <x v="3"/>
    <x v="3"/>
    <x v="1"/>
    <x v="1"/>
    <x v="9"/>
    <x v="9"/>
    <x v="0"/>
    <x v="0"/>
    <x v="1"/>
    <x v="37"/>
    <x v="0"/>
    <x v="0"/>
    <x v="0"/>
    <x v="1"/>
    <x v="7"/>
    <x v="0"/>
    <x v="1"/>
    <x v="1"/>
    <x v="2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5"/>
    <x v="0"/>
    <x v="7"/>
    <x v="325"/>
    <x v="108"/>
    <x v="0"/>
    <x v="355"/>
    <x v="0"/>
    <x v="1"/>
    <x v="0"/>
    <x v="1"/>
    <x v="0"/>
    <x v="3"/>
    <x v="0"/>
    <x v="0"/>
    <x v="0"/>
    <x v="0"/>
    <x v="325"/>
    <x v="1"/>
    <x v="0"/>
    <x v="325"/>
    <x v="167"/>
    <x v="0"/>
    <x v="6"/>
    <x v="1"/>
    <x v="7"/>
    <x v="108"/>
    <x v="355"/>
    <x v="1"/>
    <x v="3"/>
    <x v="3"/>
    <x v="1"/>
    <x v="1"/>
    <x v="9"/>
    <x v="9"/>
    <x v="0"/>
    <x v="0"/>
    <x v="1"/>
    <x v="325"/>
    <x v="0"/>
    <x v="0"/>
    <x v="0"/>
    <x v="1"/>
    <x v="7"/>
    <x v="0"/>
    <x v="1"/>
    <x v="1"/>
    <x v="25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443"/>
    <x v="0"/>
    <x v="27"/>
    <x v="0"/>
    <x v="0"/>
    <x v="0"/>
    <x v="332"/>
    <x v="351"/>
    <x v="0"/>
    <x v="0"/>
    <x v="0"/>
    <x v="2"/>
    <x v="1"/>
    <x v="0"/>
    <x v="332"/>
    <x v="3"/>
    <x v="0"/>
    <x v="0"/>
    <x v="0"/>
    <x v="332"/>
    <x v="351"/>
    <x v="0"/>
    <x v="3"/>
    <x v="0"/>
    <x v="0"/>
    <x v="0"/>
    <x v="0"/>
    <x v="1"/>
    <x v="1"/>
    <x v="0"/>
    <x v="4"/>
    <x v="116"/>
    <x v="0"/>
    <x v="331"/>
    <x v="116"/>
    <x v="48"/>
    <x v="0"/>
    <x v="123"/>
    <x v="0"/>
    <x v="0"/>
    <x v="0"/>
    <x v="0"/>
    <x v="0"/>
    <x v="2"/>
    <x v="0"/>
    <x v="0"/>
    <x v="0"/>
    <x v="0"/>
    <x v="116"/>
    <x v="0"/>
    <x v="0"/>
    <x v="116"/>
    <x v="168"/>
    <x v="0"/>
    <x v="6"/>
    <x v="1"/>
    <x v="7"/>
    <x v="48"/>
    <x v="123"/>
    <x v="0"/>
    <x v="2"/>
    <x v="0"/>
    <x v="0"/>
    <x v="28"/>
    <x v="442"/>
    <x v="443"/>
    <x v="0"/>
    <x v="0"/>
    <x v="0"/>
    <x v="116"/>
    <x v="0"/>
    <x v="0"/>
    <x v="0"/>
    <x v="0"/>
    <x v="7"/>
    <x v="0"/>
    <x v="0"/>
    <x v="0"/>
    <x v="26"/>
    <x v="0"/>
    <x v="3"/>
    <x v="3"/>
    <x v="4"/>
    <x v="1"/>
    <x v="0"/>
    <x v="0"/>
    <x v="0"/>
    <x v="375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70"/>
    <x v="4"/>
    <x v="0"/>
    <x v="0"/>
    <x v="0"/>
    <x v="0"/>
    <x v="0"/>
    <x v="188"/>
  </r>
  <r>
    <x v="1"/>
    <x v="444"/>
    <x v="0"/>
    <x v="28"/>
    <x v="0"/>
    <x v="0"/>
    <x v="0"/>
    <x v="333"/>
    <x v="352"/>
    <x v="0"/>
    <x v="0"/>
    <x v="0"/>
    <x v="2"/>
    <x v="1"/>
    <x v="0"/>
    <x v="333"/>
    <x v="3"/>
    <x v="0"/>
    <x v="0"/>
    <x v="0"/>
    <x v="333"/>
    <x v="352"/>
    <x v="0"/>
    <x v="3"/>
    <x v="0"/>
    <x v="0"/>
    <x v="0"/>
    <x v="0"/>
    <x v="1"/>
    <x v="1"/>
    <x v="0"/>
    <x v="4"/>
    <x v="6"/>
    <x v="0"/>
    <x v="332"/>
    <x v="6"/>
    <x v="36"/>
    <x v="0"/>
    <x v="93"/>
    <x v="0"/>
    <x v="0"/>
    <x v="0"/>
    <x v="0"/>
    <x v="0"/>
    <x v="2"/>
    <x v="0"/>
    <x v="0"/>
    <x v="0"/>
    <x v="0"/>
    <x v="6"/>
    <x v="0"/>
    <x v="0"/>
    <x v="6"/>
    <x v="169"/>
    <x v="0"/>
    <x v="6"/>
    <x v="1"/>
    <x v="7"/>
    <x v="36"/>
    <x v="93"/>
    <x v="0"/>
    <x v="2"/>
    <x v="0"/>
    <x v="0"/>
    <x v="28"/>
    <x v="443"/>
    <x v="444"/>
    <x v="0"/>
    <x v="0"/>
    <x v="0"/>
    <x v="6"/>
    <x v="0"/>
    <x v="0"/>
    <x v="0"/>
    <x v="0"/>
    <x v="7"/>
    <x v="0"/>
    <x v="0"/>
    <x v="0"/>
    <x v="27"/>
    <x v="0"/>
    <x v="3"/>
    <x v="3"/>
    <x v="4"/>
    <x v="1"/>
    <x v="0"/>
    <x v="0"/>
    <x v="0"/>
    <x v="376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71"/>
    <x v="4"/>
    <x v="0"/>
    <x v="0"/>
    <x v="0"/>
    <x v="0"/>
    <x v="0"/>
    <x v="189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70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7"/>
    <x v="0"/>
    <x v="7"/>
    <x v="7"/>
    <x v="40"/>
    <x v="0"/>
    <x v="97"/>
    <x v="0"/>
    <x v="1"/>
    <x v="0"/>
    <x v="1"/>
    <x v="0"/>
    <x v="3"/>
    <x v="0"/>
    <x v="0"/>
    <x v="0"/>
    <x v="0"/>
    <x v="7"/>
    <x v="1"/>
    <x v="0"/>
    <x v="7"/>
    <x v="171"/>
    <x v="0"/>
    <x v="6"/>
    <x v="1"/>
    <x v="7"/>
    <x v="40"/>
    <x v="97"/>
    <x v="1"/>
    <x v="3"/>
    <x v="3"/>
    <x v="1"/>
    <x v="1"/>
    <x v="9"/>
    <x v="9"/>
    <x v="0"/>
    <x v="0"/>
    <x v="1"/>
    <x v="7"/>
    <x v="0"/>
    <x v="0"/>
    <x v="0"/>
    <x v="1"/>
    <x v="7"/>
    <x v="0"/>
    <x v="1"/>
    <x v="1"/>
    <x v="2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72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7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45"/>
    <x v="0"/>
    <x v="27"/>
    <x v="0"/>
    <x v="0"/>
    <x v="0"/>
    <x v="334"/>
    <x v="353"/>
    <x v="0"/>
    <x v="0"/>
    <x v="0"/>
    <x v="1"/>
    <x v="0"/>
    <x v="0"/>
    <x v="334"/>
    <x v="2"/>
    <x v="0"/>
    <x v="0"/>
    <x v="0"/>
    <x v="334"/>
    <x v="353"/>
    <x v="0"/>
    <x v="0"/>
    <x v="0"/>
    <x v="0"/>
    <x v="0"/>
    <x v="3"/>
    <x v="0"/>
    <x v="0"/>
    <x v="0"/>
    <x v="288"/>
    <x v="326"/>
    <x v="0"/>
    <x v="333"/>
    <x v="326"/>
    <x v="109"/>
    <x v="0"/>
    <x v="356"/>
    <x v="0"/>
    <x v="0"/>
    <x v="0"/>
    <x v="0"/>
    <x v="0"/>
    <x v="1"/>
    <x v="0"/>
    <x v="0"/>
    <x v="0"/>
    <x v="0"/>
    <x v="326"/>
    <x v="0"/>
    <x v="0"/>
    <x v="326"/>
    <x v="0"/>
    <x v="0"/>
    <x v="256"/>
    <x v="0"/>
    <x v="264"/>
    <x v="109"/>
    <x v="356"/>
    <x v="0"/>
    <x v="1"/>
    <x v="0"/>
    <x v="0"/>
    <x v="28"/>
    <x v="444"/>
    <x v="445"/>
    <x v="0"/>
    <x v="0"/>
    <x v="0"/>
    <x v="326"/>
    <x v="0"/>
    <x v="0"/>
    <x v="0"/>
    <x v="0"/>
    <x v="264"/>
    <x v="0"/>
    <x v="0"/>
    <x v="0"/>
    <x v="26"/>
    <x v="0"/>
    <x v="38"/>
    <x v="38"/>
    <x v="288"/>
    <x v="0"/>
    <x v="0"/>
    <x v="0"/>
    <x v="0"/>
    <x v="377"/>
    <x v="26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72"/>
    <x v="246"/>
    <x v="0"/>
    <x v="0"/>
    <x v="0"/>
    <x v="0"/>
    <x v="0"/>
    <x v="0"/>
  </r>
  <r>
    <x v="0"/>
    <x v="446"/>
    <x v="0"/>
    <x v="27"/>
    <x v="0"/>
    <x v="0"/>
    <x v="0"/>
    <x v="335"/>
    <x v="354"/>
    <x v="0"/>
    <x v="0"/>
    <x v="0"/>
    <x v="1"/>
    <x v="0"/>
    <x v="0"/>
    <x v="335"/>
    <x v="2"/>
    <x v="0"/>
    <x v="0"/>
    <x v="0"/>
    <x v="335"/>
    <x v="354"/>
    <x v="0"/>
    <x v="0"/>
    <x v="0"/>
    <x v="0"/>
    <x v="0"/>
    <x v="3"/>
    <x v="0"/>
    <x v="0"/>
    <x v="0"/>
    <x v="288"/>
    <x v="327"/>
    <x v="0"/>
    <x v="334"/>
    <x v="327"/>
    <x v="1"/>
    <x v="0"/>
    <x v="357"/>
    <x v="1"/>
    <x v="0"/>
    <x v="1"/>
    <x v="0"/>
    <x v="0"/>
    <x v="1"/>
    <x v="0"/>
    <x v="0"/>
    <x v="0"/>
    <x v="0"/>
    <x v="327"/>
    <x v="0"/>
    <x v="1"/>
    <x v="327"/>
    <x v="0"/>
    <x v="0"/>
    <x v="257"/>
    <x v="0"/>
    <x v="265"/>
    <x v="1"/>
    <x v="357"/>
    <x v="0"/>
    <x v="1"/>
    <x v="0"/>
    <x v="0"/>
    <x v="28"/>
    <x v="445"/>
    <x v="446"/>
    <x v="0"/>
    <x v="0"/>
    <x v="0"/>
    <x v="327"/>
    <x v="0"/>
    <x v="0"/>
    <x v="0"/>
    <x v="0"/>
    <x v="265"/>
    <x v="0"/>
    <x v="0"/>
    <x v="0"/>
    <x v="26"/>
    <x v="0"/>
    <x v="38"/>
    <x v="38"/>
    <x v="288"/>
    <x v="0"/>
    <x v="0"/>
    <x v="0"/>
    <x v="0"/>
    <x v="377"/>
    <x v="26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72"/>
    <x v="246"/>
    <x v="0"/>
    <x v="0"/>
    <x v="0"/>
    <x v="0"/>
    <x v="0"/>
    <x v="0"/>
  </r>
  <r>
    <x v="0"/>
    <x v="447"/>
    <x v="0"/>
    <x v="27"/>
    <x v="0"/>
    <x v="0"/>
    <x v="0"/>
    <x v="336"/>
    <x v="355"/>
    <x v="0"/>
    <x v="0"/>
    <x v="0"/>
    <x v="1"/>
    <x v="0"/>
    <x v="0"/>
    <x v="336"/>
    <x v="2"/>
    <x v="0"/>
    <x v="0"/>
    <x v="0"/>
    <x v="336"/>
    <x v="355"/>
    <x v="0"/>
    <x v="0"/>
    <x v="0"/>
    <x v="0"/>
    <x v="0"/>
    <x v="0"/>
    <x v="0"/>
    <x v="0"/>
    <x v="0"/>
    <x v="289"/>
    <x v="328"/>
    <x v="0"/>
    <x v="335"/>
    <x v="328"/>
    <x v="1"/>
    <x v="0"/>
    <x v="358"/>
    <x v="4"/>
    <x v="0"/>
    <x v="4"/>
    <x v="0"/>
    <x v="0"/>
    <x v="1"/>
    <x v="0"/>
    <x v="0"/>
    <x v="0"/>
    <x v="0"/>
    <x v="328"/>
    <x v="0"/>
    <x v="4"/>
    <x v="328"/>
    <x v="0"/>
    <x v="0"/>
    <x v="258"/>
    <x v="0"/>
    <x v="266"/>
    <x v="1"/>
    <x v="358"/>
    <x v="0"/>
    <x v="0"/>
    <x v="1"/>
    <x v="0"/>
    <x v="28"/>
    <x v="446"/>
    <x v="447"/>
    <x v="0"/>
    <x v="0"/>
    <x v="0"/>
    <x v="328"/>
    <x v="0"/>
    <x v="0"/>
    <x v="0"/>
    <x v="0"/>
    <x v="266"/>
    <x v="0"/>
    <x v="0"/>
    <x v="0"/>
    <x v="26"/>
    <x v="0"/>
    <x v="96"/>
    <x v="96"/>
    <x v="289"/>
    <x v="0"/>
    <x v="0"/>
    <x v="0"/>
    <x v="0"/>
    <x v="378"/>
    <x v="26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73"/>
    <x v="247"/>
    <x v="0"/>
    <x v="0"/>
    <x v="0"/>
    <x v="0"/>
    <x v="0"/>
    <x v="0"/>
  </r>
  <r>
    <x v="0"/>
    <x v="448"/>
    <x v="0"/>
    <x v="26"/>
    <x v="0"/>
    <x v="0"/>
    <x v="0"/>
    <x v="337"/>
    <x v="356"/>
    <x v="0"/>
    <x v="0"/>
    <x v="0"/>
    <x v="14"/>
    <x v="0"/>
    <x v="0"/>
    <x v="337"/>
    <x v="13"/>
    <x v="0"/>
    <x v="0"/>
    <x v="0"/>
    <x v="337"/>
    <x v="356"/>
    <x v="0"/>
    <x v="0"/>
    <x v="0"/>
    <x v="0"/>
    <x v="0"/>
    <x v="0"/>
    <x v="0"/>
    <x v="0"/>
    <x v="0"/>
    <x v="290"/>
    <x v="329"/>
    <x v="0"/>
    <x v="336"/>
    <x v="329"/>
    <x v="1"/>
    <x v="0"/>
    <x v="359"/>
    <x v="2"/>
    <x v="0"/>
    <x v="2"/>
    <x v="0"/>
    <x v="0"/>
    <x v="14"/>
    <x v="0"/>
    <x v="0"/>
    <x v="0"/>
    <x v="0"/>
    <x v="329"/>
    <x v="0"/>
    <x v="2"/>
    <x v="329"/>
    <x v="0"/>
    <x v="0"/>
    <x v="259"/>
    <x v="0"/>
    <x v="267"/>
    <x v="1"/>
    <x v="359"/>
    <x v="0"/>
    <x v="0"/>
    <x v="0"/>
    <x v="0"/>
    <x v="28"/>
    <x v="447"/>
    <x v="448"/>
    <x v="0"/>
    <x v="0"/>
    <x v="0"/>
    <x v="329"/>
    <x v="0"/>
    <x v="0"/>
    <x v="0"/>
    <x v="0"/>
    <x v="267"/>
    <x v="0"/>
    <x v="0"/>
    <x v="0"/>
    <x v="25"/>
    <x v="0"/>
    <x v="4"/>
    <x v="4"/>
    <x v="290"/>
    <x v="0"/>
    <x v="0"/>
    <x v="0"/>
    <x v="0"/>
    <x v="379"/>
    <x v="26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74"/>
    <x v="248"/>
    <x v="0"/>
    <x v="0"/>
    <x v="0"/>
    <x v="0"/>
    <x v="0"/>
    <x v="190"/>
  </r>
  <r>
    <x v="0"/>
    <x v="449"/>
    <x v="0"/>
    <x v="27"/>
    <x v="0"/>
    <x v="0"/>
    <x v="0"/>
    <x v="338"/>
    <x v="357"/>
    <x v="0"/>
    <x v="0"/>
    <x v="0"/>
    <x v="0"/>
    <x v="0"/>
    <x v="0"/>
    <x v="338"/>
    <x v="0"/>
    <x v="0"/>
    <x v="0"/>
    <x v="0"/>
    <x v="338"/>
    <x v="357"/>
    <x v="0"/>
    <x v="0"/>
    <x v="0"/>
    <x v="0"/>
    <x v="0"/>
    <x v="0"/>
    <x v="0"/>
    <x v="0"/>
    <x v="0"/>
    <x v="291"/>
    <x v="330"/>
    <x v="0"/>
    <x v="337"/>
    <x v="330"/>
    <x v="1"/>
    <x v="0"/>
    <x v="360"/>
    <x v="2"/>
    <x v="0"/>
    <x v="2"/>
    <x v="0"/>
    <x v="0"/>
    <x v="0"/>
    <x v="0"/>
    <x v="0"/>
    <x v="0"/>
    <x v="0"/>
    <x v="330"/>
    <x v="0"/>
    <x v="2"/>
    <x v="330"/>
    <x v="0"/>
    <x v="0"/>
    <x v="260"/>
    <x v="0"/>
    <x v="268"/>
    <x v="1"/>
    <x v="360"/>
    <x v="0"/>
    <x v="0"/>
    <x v="1"/>
    <x v="0"/>
    <x v="28"/>
    <x v="448"/>
    <x v="449"/>
    <x v="0"/>
    <x v="0"/>
    <x v="0"/>
    <x v="330"/>
    <x v="0"/>
    <x v="0"/>
    <x v="0"/>
    <x v="0"/>
    <x v="268"/>
    <x v="0"/>
    <x v="0"/>
    <x v="0"/>
    <x v="26"/>
    <x v="0"/>
    <x v="4"/>
    <x v="4"/>
    <x v="291"/>
    <x v="0"/>
    <x v="0"/>
    <x v="0"/>
    <x v="0"/>
    <x v="380"/>
    <x v="2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5"/>
    <x v="249"/>
    <x v="0"/>
    <x v="0"/>
    <x v="0"/>
    <x v="0"/>
    <x v="0"/>
    <x v="191"/>
  </r>
  <r>
    <x v="0"/>
    <x v="450"/>
    <x v="0"/>
    <x v="28"/>
    <x v="0"/>
    <x v="0"/>
    <x v="0"/>
    <x v="339"/>
    <x v="358"/>
    <x v="0"/>
    <x v="0"/>
    <x v="0"/>
    <x v="0"/>
    <x v="0"/>
    <x v="0"/>
    <x v="339"/>
    <x v="0"/>
    <x v="0"/>
    <x v="0"/>
    <x v="0"/>
    <x v="339"/>
    <x v="358"/>
    <x v="0"/>
    <x v="0"/>
    <x v="0"/>
    <x v="0"/>
    <x v="0"/>
    <x v="0"/>
    <x v="0"/>
    <x v="0"/>
    <x v="0"/>
    <x v="292"/>
    <x v="331"/>
    <x v="0"/>
    <x v="338"/>
    <x v="331"/>
    <x v="110"/>
    <x v="0"/>
    <x v="361"/>
    <x v="0"/>
    <x v="0"/>
    <x v="0"/>
    <x v="0"/>
    <x v="0"/>
    <x v="0"/>
    <x v="0"/>
    <x v="0"/>
    <x v="0"/>
    <x v="0"/>
    <x v="331"/>
    <x v="0"/>
    <x v="0"/>
    <x v="331"/>
    <x v="0"/>
    <x v="0"/>
    <x v="261"/>
    <x v="0"/>
    <x v="269"/>
    <x v="110"/>
    <x v="361"/>
    <x v="0"/>
    <x v="0"/>
    <x v="0"/>
    <x v="0"/>
    <x v="28"/>
    <x v="449"/>
    <x v="450"/>
    <x v="0"/>
    <x v="0"/>
    <x v="0"/>
    <x v="331"/>
    <x v="0"/>
    <x v="0"/>
    <x v="0"/>
    <x v="0"/>
    <x v="269"/>
    <x v="0"/>
    <x v="0"/>
    <x v="0"/>
    <x v="27"/>
    <x v="0"/>
    <x v="37"/>
    <x v="37"/>
    <x v="292"/>
    <x v="0"/>
    <x v="0"/>
    <x v="0"/>
    <x v="0"/>
    <x v="381"/>
    <x v="2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6"/>
    <x v="250"/>
    <x v="0"/>
    <x v="0"/>
    <x v="0"/>
    <x v="0"/>
    <x v="0"/>
    <x v="0"/>
  </r>
  <r>
    <x v="0"/>
    <x v="451"/>
    <x v="0"/>
    <x v="28"/>
    <x v="0"/>
    <x v="0"/>
    <x v="0"/>
    <x v="340"/>
    <x v="359"/>
    <x v="0"/>
    <x v="0"/>
    <x v="0"/>
    <x v="0"/>
    <x v="0"/>
    <x v="0"/>
    <x v="340"/>
    <x v="0"/>
    <x v="0"/>
    <x v="0"/>
    <x v="0"/>
    <x v="340"/>
    <x v="359"/>
    <x v="0"/>
    <x v="0"/>
    <x v="0"/>
    <x v="0"/>
    <x v="0"/>
    <x v="0"/>
    <x v="0"/>
    <x v="0"/>
    <x v="0"/>
    <x v="292"/>
    <x v="332"/>
    <x v="0"/>
    <x v="339"/>
    <x v="332"/>
    <x v="1"/>
    <x v="0"/>
    <x v="362"/>
    <x v="1"/>
    <x v="0"/>
    <x v="1"/>
    <x v="0"/>
    <x v="0"/>
    <x v="0"/>
    <x v="0"/>
    <x v="0"/>
    <x v="0"/>
    <x v="0"/>
    <x v="332"/>
    <x v="0"/>
    <x v="1"/>
    <x v="332"/>
    <x v="0"/>
    <x v="0"/>
    <x v="262"/>
    <x v="0"/>
    <x v="270"/>
    <x v="1"/>
    <x v="362"/>
    <x v="0"/>
    <x v="0"/>
    <x v="1"/>
    <x v="0"/>
    <x v="28"/>
    <x v="450"/>
    <x v="451"/>
    <x v="0"/>
    <x v="0"/>
    <x v="0"/>
    <x v="332"/>
    <x v="0"/>
    <x v="0"/>
    <x v="0"/>
    <x v="0"/>
    <x v="270"/>
    <x v="0"/>
    <x v="0"/>
    <x v="0"/>
    <x v="27"/>
    <x v="0"/>
    <x v="37"/>
    <x v="37"/>
    <x v="292"/>
    <x v="0"/>
    <x v="0"/>
    <x v="0"/>
    <x v="0"/>
    <x v="381"/>
    <x v="27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6"/>
    <x v="250"/>
    <x v="0"/>
    <x v="0"/>
    <x v="0"/>
    <x v="0"/>
    <x v="0"/>
    <x v="0"/>
  </r>
  <r>
    <x v="0"/>
    <x v="452"/>
    <x v="0"/>
    <x v="27"/>
    <x v="0"/>
    <x v="0"/>
    <x v="0"/>
    <x v="341"/>
    <x v="360"/>
    <x v="0"/>
    <x v="0"/>
    <x v="0"/>
    <x v="0"/>
    <x v="0"/>
    <x v="0"/>
    <x v="341"/>
    <x v="0"/>
    <x v="0"/>
    <x v="0"/>
    <x v="0"/>
    <x v="341"/>
    <x v="360"/>
    <x v="0"/>
    <x v="0"/>
    <x v="0"/>
    <x v="0"/>
    <x v="0"/>
    <x v="0"/>
    <x v="0"/>
    <x v="0"/>
    <x v="0"/>
    <x v="293"/>
    <x v="333"/>
    <x v="0"/>
    <x v="340"/>
    <x v="333"/>
    <x v="1"/>
    <x v="0"/>
    <x v="363"/>
    <x v="2"/>
    <x v="0"/>
    <x v="2"/>
    <x v="0"/>
    <x v="0"/>
    <x v="0"/>
    <x v="0"/>
    <x v="0"/>
    <x v="0"/>
    <x v="0"/>
    <x v="333"/>
    <x v="0"/>
    <x v="2"/>
    <x v="333"/>
    <x v="0"/>
    <x v="0"/>
    <x v="263"/>
    <x v="0"/>
    <x v="271"/>
    <x v="1"/>
    <x v="363"/>
    <x v="0"/>
    <x v="0"/>
    <x v="1"/>
    <x v="0"/>
    <x v="28"/>
    <x v="451"/>
    <x v="452"/>
    <x v="0"/>
    <x v="0"/>
    <x v="0"/>
    <x v="333"/>
    <x v="0"/>
    <x v="0"/>
    <x v="0"/>
    <x v="0"/>
    <x v="271"/>
    <x v="0"/>
    <x v="0"/>
    <x v="0"/>
    <x v="26"/>
    <x v="0"/>
    <x v="1"/>
    <x v="1"/>
    <x v="293"/>
    <x v="0"/>
    <x v="0"/>
    <x v="0"/>
    <x v="0"/>
    <x v="382"/>
    <x v="2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7"/>
    <x v="251"/>
    <x v="0"/>
    <x v="0"/>
    <x v="0"/>
    <x v="0"/>
    <x v="0"/>
    <x v="192"/>
  </r>
  <r>
    <x v="0"/>
    <x v="453"/>
    <x v="0"/>
    <x v="28"/>
    <x v="0"/>
    <x v="0"/>
    <x v="0"/>
    <x v="342"/>
    <x v="361"/>
    <x v="0"/>
    <x v="0"/>
    <x v="0"/>
    <x v="0"/>
    <x v="0"/>
    <x v="0"/>
    <x v="342"/>
    <x v="0"/>
    <x v="0"/>
    <x v="0"/>
    <x v="0"/>
    <x v="342"/>
    <x v="361"/>
    <x v="0"/>
    <x v="0"/>
    <x v="0"/>
    <x v="0"/>
    <x v="0"/>
    <x v="1"/>
    <x v="0"/>
    <x v="0"/>
    <x v="0"/>
    <x v="294"/>
    <x v="334"/>
    <x v="0"/>
    <x v="341"/>
    <x v="334"/>
    <x v="111"/>
    <x v="0"/>
    <x v="364"/>
    <x v="0"/>
    <x v="0"/>
    <x v="0"/>
    <x v="0"/>
    <x v="0"/>
    <x v="0"/>
    <x v="0"/>
    <x v="0"/>
    <x v="0"/>
    <x v="0"/>
    <x v="334"/>
    <x v="0"/>
    <x v="0"/>
    <x v="334"/>
    <x v="0"/>
    <x v="0"/>
    <x v="264"/>
    <x v="0"/>
    <x v="272"/>
    <x v="111"/>
    <x v="364"/>
    <x v="0"/>
    <x v="0"/>
    <x v="0"/>
    <x v="0"/>
    <x v="28"/>
    <x v="452"/>
    <x v="453"/>
    <x v="0"/>
    <x v="0"/>
    <x v="0"/>
    <x v="334"/>
    <x v="0"/>
    <x v="0"/>
    <x v="0"/>
    <x v="0"/>
    <x v="272"/>
    <x v="0"/>
    <x v="0"/>
    <x v="0"/>
    <x v="27"/>
    <x v="0"/>
    <x v="0"/>
    <x v="0"/>
    <x v="294"/>
    <x v="0"/>
    <x v="0"/>
    <x v="0"/>
    <x v="0"/>
    <x v="383"/>
    <x v="2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8"/>
    <x v="252"/>
    <x v="0"/>
    <x v="0"/>
    <x v="0"/>
    <x v="0"/>
    <x v="0"/>
    <x v="0"/>
  </r>
  <r>
    <x v="0"/>
    <x v="454"/>
    <x v="0"/>
    <x v="27"/>
    <x v="0"/>
    <x v="0"/>
    <x v="0"/>
    <x v="339"/>
    <x v="362"/>
    <x v="0"/>
    <x v="0"/>
    <x v="0"/>
    <x v="0"/>
    <x v="0"/>
    <x v="0"/>
    <x v="339"/>
    <x v="0"/>
    <x v="0"/>
    <x v="0"/>
    <x v="0"/>
    <x v="339"/>
    <x v="362"/>
    <x v="0"/>
    <x v="0"/>
    <x v="0"/>
    <x v="0"/>
    <x v="0"/>
    <x v="0"/>
    <x v="0"/>
    <x v="0"/>
    <x v="0"/>
    <x v="295"/>
    <x v="331"/>
    <x v="0"/>
    <x v="338"/>
    <x v="331"/>
    <x v="1"/>
    <x v="0"/>
    <x v="365"/>
    <x v="4"/>
    <x v="0"/>
    <x v="4"/>
    <x v="0"/>
    <x v="0"/>
    <x v="0"/>
    <x v="0"/>
    <x v="0"/>
    <x v="0"/>
    <x v="0"/>
    <x v="331"/>
    <x v="0"/>
    <x v="4"/>
    <x v="331"/>
    <x v="0"/>
    <x v="0"/>
    <x v="261"/>
    <x v="0"/>
    <x v="269"/>
    <x v="1"/>
    <x v="365"/>
    <x v="0"/>
    <x v="0"/>
    <x v="1"/>
    <x v="0"/>
    <x v="28"/>
    <x v="453"/>
    <x v="454"/>
    <x v="0"/>
    <x v="0"/>
    <x v="0"/>
    <x v="331"/>
    <x v="0"/>
    <x v="0"/>
    <x v="0"/>
    <x v="0"/>
    <x v="269"/>
    <x v="0"/>
    <x v="0"/>
    <x v="0"/>
    <x v="26"/>
    <x v="0"/>
    <x v="37"/>
    <x v="37"/>
    <x v="295"/>
    <x v="0"/>
    <x v="0"/>
    <x v="0"/>
    <x v="0"/>
    <x v="384"/>
    <x v="2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9"/>
    <x v="253"/>
    <x v="0"/>
    <x v="0"/>
    <x v="0"/>
    <x v="0"/>
    <x v="0"/>
    <x v="0"/>
  </r>
  <r>
    <x v="0"/>
    <x v="455"/>
    <x v="0"/>
    <x v="27"/>
    <x v="0"/>
    <x v="0"/>
    <x v="0"/>
    <x v="340"/>
    <x v="359"/>
    <x v="0"/>
    <x v="0"/>
    <x v="0"/>
    <x v="0"/>
    <x v="0"/>
    <x v="0"/>
    <x v="340"/>
    <x v="0"/>
    <x v="0"/>
    <x v="0"/>
    <x v="0"/>
    <x v="340"/>
    <x v="359"/>
    <x v="0"/>
    <x v="0"/>
    <x v="0"/>
    <x v="0"/>
    <x v="0"/>
    <x v="3"/>
    <x v="0"/>
    <x v="0"/>
    <x v="0"/>
    <x v="295"/>
    <x v="332"/>
    <x v="0"/>
    <x v="339"/>
    <x v="332"/>
    <x v="1"/>
    <x v="0"/>
    <x v="362"/>
    <x v="4"/>
    <x v="0"/>
    <x v="4"/>
    <x v="0"/>
    <x v="0"/>
    <x v="0"/>
    <x v="0"/>
    <x v="0"/>
    <x v="0"/>
    <x v="0"/>
    <x v="332"/>
    <x v="0"/>
    <x v="4"/>
    <x v="332"/>
    <x v="0"/>
    <x v="0"/>
    <x v="262"/>
    <x v="0"/>
    <x v="270"/>
    <x v="1"/>
    <x v="362"/>
    <x v="0"/>
    <x v="0"/>
    <x v="1"/>
    <x v="0"/>
    <x v="28"/>
    <x v="454"/>
    <x v="455"/>
    <x v="0"/>
    <x v="0"/>
    <x v="0"/>
    <x v="332"/>
    <x v="0"/>
    <x v="0"/>
    <x v="0"/>
    <x v="0"/>
    <x v="270"/>
    <x v="0"/>
    <x v="0"/>
    <x v="0"/>
    <x v="26"/>
    <x v="0"/>
    <x v="37"/>
    <x v="37"/>
    <x v="295"/>
    <x v="0"/>
    <x v="0"/>
    <x v="0"/>
    <x v="0"/>
    <x v="385"/>
    <x v="27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9"/>
    <x v="253"/>
    <x v="0"/>
    <x v="0"/>
    <x v="0"/>
    <x v="0"/>
    <x v="0"/>
    <x v="0"/>
  </r>
  <r>
    <x v="1"/>
    <x v="456"/>
    <x v="2"/>
    <x v="27"/>
    <x v="0"/>
    <x v="0"/>
    <x v="0"/>
    <x v="343"/>
    <x v="363"/>
    <x v="0"/>
    <x v="0"/>
    <x v="0"/>
    <x v="6"/>
    <x v="3"/>
    <x v="0"/>
    <x v="343"/>
    <x v="6"/>
    <x v="0"/>
    <x v="0"/>
    <x v="0"/>
    <x v="343"/>
    <x v="363"/>
    <x v="0"/>
    <x v="3"/>
    <x v="0"/>
    <x v="0"/>
    <x v="0"/>
    <x v="0"/>
    <x v="1"/>
    <x v="1"/>
    <x v="0"/>
    <x v="4"/>
    <x v="335"/>
    <x v="0"/>
    <x v="342"/>
    <x v="335"/>
    <x v="1"/>
    <x v="0"/>
    <x v="366"/>
    <x v="3"/>
    <x v="0"/>
    <x v="3"/>
    <x v="0"/>
    <x v="0"/>
    <x v="6"/>
    <x v="0"/>
    <x v="0"/>
    <x v="0"/>
    <x v="0"/>
    <x v="335"/>
    <x v="0"/>
    <x v="3"/>
    <x v="335"/>
    <x v="0"/>
    <x v="0"/>
    <x v="6"/>
    <x v="1"/>
    <x v="7"/>
    <x v="1"/>
    <x v="366"/>
    <x v="0"/>
    <x v="6"/>
    <x v="4"/>
    <x v="0"/>
    <x v="28"/>
    <x v="455"/>
    <x v="456"/>
    <x v="0"/>
    <x v="0"/>
    <x v="0"/>
    <x v="335"/>
    <x v="0"/>
    <x v="0"/>
    <x v="0"/>
    <x v="0"/>
    <x v="7"/>
    <x v="0"/>
    <x v="0"/>
    <x v="0"/>
    <x v="26"/>
    <x v="0"/>
    <x v="3"/>
    <x v="3"/>
    <x v="4"/>
    <x v="1"/>
    <x v="0"/>
    <x v="0"/>
    <x v="0"/>
    <x v="386"/>
    <x v="7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11"/>
    <x v="4"/>
    <x v="0"/>
    <x v="0"/>
    <x v="0"/>
    <x v="0"/>
    <x v="0"/>
    <x v="0"/>
  </r>
  <r>
    <x v="0"/>
    <x v="457"/>
    <x v="0"/>
    <x v="27"/>
    <x v="0"/>
    <x v="0"/>
    <x v="0"/>
    <x v="108"/>
    <x v="110"/>
    <x v="0"/>
    <x v="0"/>
    <x v="0"/>
    <x v="0"/>
    <x v="0"/>
    <x v="0"/>
    <x v="108"/>
    <x v="0"/>
    <x v="0"/>
    <x v="0"/>
    <x v="0"/>
    <x v="108"/>
    <x v="110"/>
    <x v="0"/>
    <x v="0"/>
    <x v="0"/>
    <x v="0"/>
    <x v="0"/>
    <x v="0"/>
    <x v="0"/>
    <x v="0"/>
    <x v="0"/>
    <x v="296"/>
    <x v="110"/>
    <x v="0"/>
    <x v="108"/>
    <x v="110"/>
    <x v="1"/>
    <x v="0"/>
    <x v="117"/>
    <x v="2"/>
    <x v="0"/>
    <x v="2"/>
    <x v="0"/>
    <x v="0"/>
    <x v="0"/>
    <x v="0"/>
    <x v="0"/>
    <x v="0"/>
    <x v="0"/>
    <x v="110"/>
    <x v="0"/>
    <x v="2"/>
    <x v="110"/>
    <x v="0"/>
    <x v="0"/>
    <x v="89"/>
    <x v="0"/>
    <x v="88"/>
    <x v="1"/>
    <x v="117"/>
    <x v="0"/>
    <x v="0"/>
    <x v="1"/>
    <x v="0"/>
    <x v="28"/>
    <x v="456"/>
    <x v="457"/>
    <x v="0"/>
    <x v="0"/>
    <x v="0"/>
    <x v="110"/>
    <x v="0"/>
    <x v="0"/>
    <x v="0"/>
    <x v="0"/>
    <x v="88"/>
    <x v="0"/>
    <x v="0"/>
    <x v="0"/>
    <x v="26"/>
    <x v="0"/>
    <x v="21"/>
    <x v="21"/>
    <x v="296"/>
    <x v="0"/>
    <x v="0"/>
    <x v="0"/>
    <x v="0"/>
    <x v="387"/>
    <x v="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6"/>
    <x v="250"/>
    <x v="0"/>
    <x v="0"/>
    <x v="0"/>
    <x v="0"/>
    <x v="0"/>
    <x v="193"/>
  </r>
  <r>
    <x v="0"/>
    <x v="458"/>
    <x v="0"/>
    <x v="28"/>
    <x v="0"/>
    <x v="0"/>
    <x v="0"/>
    <x v="344"/>
    <x v="364"/>
    <x v="0"/>
    <x v="0"/>
    <x v="0"/>
    <x v="1"/>
    <x v="0"/>
    <x v="0"/>
    <x v="344"/>
    <x v="2"/>
    <x v="0"/>
    <x v="0"/>
    <x v="0"/>
    <x v="344"/>
    <x v="364"/>
    <x v="0"/>
    <x v="0"/>
    <x v="0"/>
    <x v="0"/>
    <x v="0"/>
    <x v="0"/>
    <x v="0"/>
    <x v="0"/>
    <x v="0"/>
    <x v="297"/>
    <x v="336"/>
    <x v="0"/>
    <x v="343"/>
    <x v="336"/>
    <x v="112"/>
    <x v="0"/>
    <x v="367"/>
    <x v="0"/>
    <x v="0"/>
    <x v="0"/>
    <x v="0"/>
    <x v="0"/>
    <x v="1"/>
    <x v="0"/>
    <x v="0"/>
    <x v="0"/>
    <x v="0"/>
    <x v="336"/>
    <x v="0"/>
    <x v="0"/>
    <x v="336"/>
    <x v="0"/>
    <x v="0"/>
    <x v="265"/>
    <x v="0"/>
    <x v="273"/>
    <x v="112"/>
    <x v="367"/>
    <x v="0"/>
    <x v="0"/>
    <x v="0"/>
    <x v="0"/>
    <x v="28"/>
    <x v="457"/>
    <x v="458"/>
    <x v="0"/>
    <x v="0"/>
    <x v="0"/>
    <x v="336"/>
    <x v="0"/>
    <x v="0"/>
    <x v="0"/>
    <x v="0"/>
    <x v="273"/>
    <x v="0"/>
    <x v="0"/>
    <x v="0"/>
    <x v="27"/>
    <x v="0"/>
    <x v="97"/>
    <x v="97"/>
    <x v="297"/>
    <x v="0"/>
    <x v="0"/>
    <x v="0"/>
    <x v="0"/>
    <x v="388"/>
    <x v="27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80"/>
    <x v="254"/>
    <x v="0"/>
    <x v="0"/>
    <x v="0"/>
    <x v="0"/>
    <x v="0"/>
    <x v="0"/>
  </r>
  <r>
    <x v="0"/>
    <x v="459"/>
    <x v="0"/>
    <x v="28"/>
    <x v="0"/>
    <x v="0"/>
    <x v="0"/>
    <x v="345"/>
    <x v="365"/>
    <x v="0"/>
    <x v="0"/>
    <x v="0"/>
    <x v="1"/>
    <x v="0"/>
    <x v="0"/>
    <x v="345"/>
    <x v="2"/>
    <x v="0"/>
    <x v="0"/>
    <x v="0"/>
    <x v="345"/>
    <x v="365"/>
    <x v="0"/>
    <x v="0"/>
    <x v="0"/>
    <x v="0"/>
    <x v="0"/>
    <x v="0"/>
    <x v="0"/>
    <x v="0"/>
    <x v="0"/>
    <x v="297"/>
    <x v="337"/>
    <x v="0"/>
    <x v="344"/>
    <x v="337"/>
    <x v="1"/>
    <x v="0"/>
    <x v="368"/>
    <x v="1"/>
    <x v="0"/>
    <x v="1"/>
    <x v="0"/>
    <x v="0"/>
    <x v="1"/>
    <x v="0"/>
    <x v="0"/>
    <x v="0"/>
    <x v="0"/>
    <x v="337"/>
    <x v="0"/>
    <x v="1"/>
    <x v="337"/>
    <x v="0"/>
    <x v="0"/>
    <x v="266"/>
    <x v="0"/>
    <x v="274"/>
    <x v="1"/>
    <x v="368"/>
    <x v="0"/>
    <x v="0"/>
    <x v="1"/>
    <x v="0"/>
    <x v="28"/>
    <x v="458"/>
    <x v="459"/>
    <x v="0"/>
    <x v="0"/>
    <x v="0"/>
    <x v="337"/>
    <x v="0"/>
    <x v="0"/>
    <x v="0"/>
    <x v="0"/>
    <x v="274"/>
    <x v="0"/>
    <x v="0"/>
    <x v="0"/>
    <x v="27"/>
    <x v="0"/>
    <x v="97"/>
    <x v="97"/>
    <x v="297"/>
    <x v="0"/>
    <x v="0"/>
    <x v="0"/>
    <x v="0"/>
    <x v="388"/>
    <x v="27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80"/>
    <x v="254"/>
    <x v="0"/>
    <x v="0"/>
    <x v="0"/>
    <x v="0"/>
    <x v="0"/>
    <x v="0"/>
  </r>
  <r>
    <x v="1"/>
    <x v="460"/>
    <x v="0"/>
    <x v="26"/>
    <x v="0"/>
    <x v="0"/>
    <x v="0"/>
    <x v="192"/>
    <x v="366"/>
    <x v="0"/>
    <x v="0"/>
    <x v="0"/>
    <x v="1"/>
    <x v="0"/>
    <x v="0"/>
    <x v="192"/>
    <x v="2"/>
    <x v="0"/>
    <x v="0"/>
    <x v="0"/>
    <x v="192"/>
    <x v="366"/>
    <x v="0"/>
    <x v="0"/>
    <x v="0"/>
    <x v="0"/>
    <x v="0"/>
    <x v="0"/>
    <x v="1"/>
    <x v="1"/>
    <x v="0"/>
    <x v="4"/>
    <x v="195"/>
    <x v="0"/>
    <x v="192"/>
    <x v="195"/>
    <x v="1"/>
    <x v="0"/>
    <x v="369"/>
    <x v="2"/>
    <x v="0"/>
    <x v="2"/>
    <x v="0"/>
    <x v="0"/>
    <x v="1"/>
    <x v="0"/>
    <x v="0"/>
    <x v="0"/>
    <x v="0"/>
    <x v="195"/>
    <x v="0"/>
    <x v="2"/>
    <x v="195"/>
    <x v="0"/>
    <x v="0"/>
    <x v="6"/>
    <x v="0"/>
    <x v="159"/>
    <x v="1"/>
    <x v="369"/>
    <x v="0"/>
    <x v="0"/>
    <x v="1"/>
    <x v="0"/>
    <x v="29"/>
    <x v="459"/>
    <x v="460"/>
    <x v="0"/>
    <x v="0"/>
    <x v="0"/>
    <x v="195"/>
    <x v="0"/>
    <x v="0"/>
    <x v="0"/>
    <x v="0"/>
    <x v="159"/>
    <x v="0"/>
    <x v="0"/>
    <x v="0"/>
    <x v="25"/>
    <x v="0"/>
    <x v="3"/>
    <x v="3"/>
    <x v="4"/>
    <x v="1"/>
    <x v="0"/>
    <x v="0"/>
    <x v="0"/>
    <x v="389"/>
    <x v="15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81"/>
    <x v="4"/>
    <x v="0"/>
    <x v="0"/>
    <x v="0"/>
    <x v="0"/>
    <x v="0"/>
    <x v="194"/>
  </r>
  <r>
    <x v="0"/>
    <x v="461"/>
    <x v="0"/>
    <x v="27"/>
    <x v="0"/>
    <x v="0"/>
    <x v="0"/>
    <x v="191"/>
    <x v="198"/>
    <x v="0"/>
    <x v="0"/>
    <x v="0"/>
    <x v="1"/>
    <x v="0"/>
    <x v="0"/>
    <x v="191"/>
    <x v="2"/>
    <x v="0"/>
    <x v="0"/>
    <x v="0"/>
    <x v="191"/>
    <x v="198"/>
    <x v="0"/>
    <x v="3"/>
    <x v="0"/>
    <x v="0"/>
    <x v="0"/>
    <x v="0"/>
    <x v="0"/>
    <x v="0"/>
    <x v="0"/>
    <x v="298"/>
    <x v="194"/>
    <x v="0"/>
    <x v="191"/>
    <x v="194"/>
    <x v="1"/>
    <x v="0"/>
    <x v="207"/>
    <x v="2"/>
    <x v="0"/>
    <x v="2"/>
    <x v="0"/>
    <x v="0"/>
    <x v="1"/>
    <x v="0"/>
    <x v="0"/>
    <x v="0"/>
    <x v="0"/>
    <x v="194"/>
    <x v="0"/>
    <x v="2"/>
    <x v="194"/>
    <x v="0"/>
    <x v="0"/>
    <x v="152"/>
    <x v="1"/>
    <x v="7"/>
    <x v="1"/>
    <x v="207"/>
    <x v="0"/>
    <x v="0"/>
    <x v="1"/>
    <x v="0"/>
    <x v="29"/>
    <x v="460"/>
    <x v="461"/>
    <x v="0"/>
    <x v="0"/>
    <x v="0"/>
    <x v="194"/>
    <x v="0"/>
    <x v="0"/>
    <x v="0"/>
    <x v="0"/>
    <x v="7"/>
    <x v="0"/>
    <x v="0"/>
    <x v="0"/>
    <x v="26"/>
    <x v="0"/>
    <x v="84"/>
    <x v="84"/>
    <x v="298"/>
    <x v="0"/>
    <x v="0"/>
    <x v="0"/>
    <x v="0"/>
    <x v="390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82"/>
    <x v="255"/>
    <x v="0"/>
    <x v="0"/>
    <x v="0"/>
    <x v="0"/>
    <x v="0"/>
    <x v="195"/>
  </r>
  <r>
    <x v="0"/>
    <x v="462"/>
    <x v="0"/>
    <x v="27"/>
    <x v="0"/>
    <x v="0"/>
    <x v="0"/>
    <x v="346"/>
    <x v="367"/>
    <x v="0"/>
    <x v="0"/>
    <x v="0"/>
    <x v="0"/>
    <x v="0"/>
    <x v="0"/>
    <x v="346"/>
    <x v="0"/>
    <x v="0"/>
    <x v="0"/>
    <x v="0"/>
    <x v="346"/>
    <x v="367"/>
    <x v="0"/>
    <x v="0"/>
    <x v="0"/>
    <x v="0"/>
    <x v="0"/>
    <x v="2"/>
    <x v="0"/>
    <x v="0"/>
    <x v="0"/>
    <x v="299"/>
    <x v="338"/>
    <x v="0"/>
    <x v="345"/>
    <x v="338"/>
    <x v="1"/>
    <x v="0"/>
    <x v="370"/>
    <x v="2"/>
    <x v="0"/>
    <x v="2"/>
    <x v="0"/>
    <x v="0"/>
    <x v="0"/>
    <x v="0"/>
    <x v="0"/>
    <x v="0"/>
    <x v="0"/>
    <x v="338"/>
    <x v="0"/>
    <x v="2"/>
    <x v="338"/>
    <x v="0"/>
    <x v="0"/>
    <x v="267"/>
    <x v="0"/>
    <x v="275"/>
    <x v="1"/>
    <x v="370"/>
    <x v="0"/>
    <x v="0"/>
    <x v="1"/>
    <x v="0"/>
    <x v="29"/>
    <x v="461"/>
    <x v="462"/>
    <x v="0"/>
    <x v="0"/>
    <x v="0"/>
    <x v="338"/>
    <x v="0"/>
    <x v="0"/>
    <x v="0"/>
    <x v="0"/>
    <x v="275"/>
    <x v="0"/>
    <x v="0"/>
    <x v="0"/>
    <x v="26"/>
    <x v="0"/>
    <x v="4"/>
    <x v="4"/>
    <x v="299"/>
    <x v="0"/>
    <x v="0"/>
    <x v="0"/>
    <x v="0"/>
    <x v="391"/>
    <x v="2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83"/>
    <x v="256"/>
    <x v="0"/>
    <x v="0"/>
    <x v="0"/>
    <x v="0"/>
    <x v="0"/>
    <x v="196"/>
  </r>
  <r>
    <x v="0"/>
    <x v="463"/>
    <x v="0"/>
    <x v="28"/>
    <x v="0"/>
    <x v="0"/>
    <x v="0"/>
    <x v="347"/>
    <x v="368"/>
    <x v="0"/>
    <x v="0"/>
    <x v="0"/>
    <x v="1"/>
    <x v="0"/>
    <x v="0"/>
    <x v="347"/>
    <x v="2"/>
    <x v="0"/>
    <x v="0"/>
    <x v="0"/>
    <x v="347"/>
    <x v="368"/>
    <x v="0"/>
    <x v="0"/>
    <x v="0"/>
    <x v="0"/>
    <x v="0"/>
    <x v="0"/>
    <x v="0"/>
    <x v="0"/>
    <x v="0"/>
    <x v="300"/>
    <x v="280"/>
    <x v="0"/>
    <x v="346"/>
    <x v="280"/>
    <x v="1"/>
    <x v="0"/>
    <x v="306"/>
    <x v="2"/>
    <x v="0"/>
    <x v="2"/>
    <x v="0"/>
    <x v="0"/>
    <x v="1"/>
    <x v="0"/>
    <x v="0"/>
    <x v="0"/>
    <x v="0"/>
    <x v="280"/>
    <x v="0"/>
    <x v="2"/>
    <x v="280"/>
    <x v="0"/>
    <x v="0"/>
    <x v="215"/>
    <x v="0"/>
    <x v="220"/>
    <x v="1"/>
    <x v="306"/>
    <x v="0"/>
    <x v="0"/>
    <x v="1"/>
    <x v="0"/>
    <x v="29"/>
    <x v="462"/>
    <x v="463"/>
    <x v="0"/>
    <x v="0"/>
    <x v="0"/>
    <x v="280"/>
    <x v="0"/>
    <x v="0"/>
    <x v="0"/>
    <x v="0"/>
    <x v="220"/>
    <x v="0"/>
    <x v="0"/>
    <x v="0"/>
    <x v="27"/>
    <x v="0"/>
    <x v="5"/>
    <x v="5"/>
    <x v="300"/>
    <x v="0"/>
    <x v="0"/>
    <x v="0"/>
    <x v="0"/>
    <x v="392"/>
    <x v="22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84"/>
    <x v="257"/>
    <x v="0"/>
    <x v="0"/>
    <x v="0"/>
    <x v="0"/>
    <x v="0"/>
    <x v="197"/>
  </r>
  <r>
    <x v="1"/>
    <x v="464"/>
    <x v="0"/>
    <x v="28"/>
    <x v="0"/>
    <x v="0"/>
    <x v="0"/>
    <x v="212"/>
    <x v="223"/>
    <x v="0"/>
    <x v="0"/>
    <x v="0"/>
    <x v="30"/>
    <x v="0"/>
    <x v="0"/>
    <x v="212"/>
    <x v="9"/>
    <x v="0"/>
    <x v="0"/>
    <x v="0"/>
    <x v="212"/>
    <x v="223"/>
    <x v="0"/>
    <x v="3"/>
    <x v="0"/>
    <x v="0"/>
    <x v="0"/>
    <x v="0"/>
    <x v="1"/>
    <x v="1"/>
    <x v="0"/>
    <x v="4"/>
    <x v="213"/>
    <x v="0"/>
    <x v="212"/>
    <x v="213"/>
    <x v="1"/>
    <x v="0"/>
    <x v="231"/>
    <x v="0"/>
    <x v="0"/>
    <x v="0"/>
    <x v="0"/>
    <x v="0"/>
    <x v="30"/>
    <x v="0"/>
    <x v="0"/>
    <x v="0"/>
    <x v="0"/>
    <x v="213"/>
    <x v="0"/>
    <x v="0"/>
    <x v="213"/>
    <x v="0"/>
    <x v="0"/>
    <x v="6"/>
    <x v="1"/>
    <x v="7"/>
    <x v="1"/>
    <x v="231"/>
    <x v="0"/>
    <x v="0"/>
    <x v="1"/>
    <x v="0"/>
    <x v="29"/>
    <x v="463"/>
    <x v="464"/>
    <x v="0"/>
    <x v="0"/>
    <x v="0"/>
    <x v="213"/>
    <x v="0"/>
    <x v="0"/>
    <x v="0"/>
    <x v="0"/>
    <x v="7"/>
    <x v="0"/>
    <x v="0"/>
    <x v="0"/>
    <x v="27"/>
    <x v="0"/>
    <x v="3"/>
    <x v="3"/>
    <x v="4"/>
    <x v="1"/>
    <x v="0"/>
    <x v="0"/>
    <x v="0"/>
    <x v="393"/>
    <x v="7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65"/>
    <x v="0"/>
    <x v="28"/>
    <x v="0"/>
    <x v="0"/>
    <x v="0"/>
    <x v="348"/>
    <x v="369"/>
    <x v="0"/>
    <x v="0"/>
    <x v="0"/>
    <x v="12"/>
    <x v="1"/>
    <x v="0"/>
    <x v="348"/>
    <x v="11"/>
    <x v="0"/>
    <x v="0"/>
    <x v="0"/>
    <x v="348"/>
    <x v="369"/>
    <x v="0"/>
    <x v="0"/>
    <x v="0"/>
    <x v="0"/>
    <x v="0"/>
    <x v="0"/>
    <x v="0"/>
    <x v="0"/>
    <x v="0"/>
    <x v="301"/>
    <x v="339"/>
    <x v="0"/>
    <x v="347"/>
    <x v="339"/>
    <x v="1"/>
    <x v="0"/>
    <x v="371"/>
    <x v="0"/>
    <x v="0"/>
    <x v="0"/>
    <x v="0"/>
    <x v="0"/>
    <x v="12"/>
    <x v="0"/>
    <x v="0"/>
    <x v="0"/>
    <x v="0"/>
    <x v="339"/>
    <x v="0"/>
    <x v="0"/>
    <x v="339"/>
    <x v="0"/>
    <x v="0"/>
    <x v="268"/>
    <x v="0"/>
    <x v="276"/>
    <x v="1"/>
    <x v="371"/>
    <x v="0"/>
    <x v="0"/>
    <x v="1"/>
    <x v="0"/>
    <x v="29"/>
    <x v="464"/>
    <x v="465"/>
    <x v="0"/>
    <x v="0"/>
    <x v="0"/>
    <x v="339"/>
    <x v="0"/>
    <x v="0"/>
    <x v="0"/>
    <x v="0"/>
    <x v="276"/>
    <x v="0"/>
    <x v="0"/>
    <x v="0"/>
    <x v="27"/>
    <x v="0"/>
    <x v="35"/>
    <x v="35"/>
    <x v="301"/>
    <x v="0"/>
    <x v="0"/>
    <x v="0"/>
    <x v="0"/>
    <x v="394"/>
    <x v="27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99"/>
    <x v="258"/>
    <x v="0"/>
    <x v="0"/>
    <x v="0"/>
    <x v="0"/>
    <x v="0"/>
    <x v="0"/>
  </r>
  <r>
    <x v="0"/>
    <x v="466"/>
    <x v="0"/>
    <x v="27"/>
    <x v="0"/>
    <x v="0"/>
    <x v="0"/>
    <x v="349"/>
    <x v="370"/>
    <x v="0"/>
    <x v="0"/>
    <x v="0"/>
    <x v="14"/>
    <x v="0"/>
    <x v="0"/>
    <x v="349"/>
    <x v="13"/>
    <x v="0"/>
    <x v="0"/>
    <x v="0"/>
    <x v="349"/>
    <x v="370"/>
    <x v="0"/>
    <x v="0"/>
    <x v="0"/>
    <x v="0"/>
    <x v="0"/>
    <x v="0"/>
    <x v="0"/>
    <x v="0"/>
    <x v="0"/>
    <x v="302"/>
    <x v="340"/>
    <x v="0"/>
    <x v="348"/>
    <x v="340"/>
    <x v="1"/>
    <x v="0"/>
    <x v="372"/>
    <x v="0"/>
    <x v="0"/>
    <x v="0"/>
    <x v="0"/>
    <x v="0"/>
    <x v="14"/>
    <x v="0"/>
    <x v="0"/>
    <x v="0"/>
    <x v="0"/>
    <x v="340"/>
    <x v="0"/>
    <x v="0"/>
    <x v="340"/>
    <x v="0"/>
    <x v="0"/>
    <x v="269"/>
    <x v="0"/>
    <x v="277"/>
    <x v="1"/>
    <x v="372"/>
    <x v="0"/>
    <x v="0"/>
    <x v="1"/>
    <x v="0"/>
    <x v="29"/>
    <x v="465"/>
    <x v="466"/>
    <x v="0"/>
    <x v="0"/>
    <x v="0"/>
    <x v="340"/>
    <x v="0"/>
    <x v="0"/>
    <x v="0"/>
    <x v="0"/>
    <x v="277"/>
    <x v="0"/>
    <x v="0"/>
    <x v="0"/>
    <x v="26"/>
    <x v="0"/>
    <x v="61"/>
    <x v="61"/>
    <x v="302"/>
    <x v="0"/>
    <x v="0"/>
    <x v="0"/>
    <x v="0"/>
    <x v="395"/>
    <x v="27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85"/>
    <x v="259"/>
    <x v="0"/>
    <x v="0"/>
    <x v="0"/>
    <x v="0"/>
    <x v="0"/>
    <x v="0"/>
  </r>
  <r>
    <x v="0"/>
    <x v="467"/>
    <x v="0"/>
    <x v="28"/>
    <x v="0"/>
    <x v="0"/>
    <x v="0"/>
    <x v="23"/>
    <x v="24"/>
    <x v="0"/>
    <x v="0"/>
    <x v="0"/>
    <x v="0"/>
    <x v="0"/>
    <x v="0"/>
    <x v="23"/>
    <x v="0"/>
    <x v="0"/>
    <x v="0"/>
    <x v="0"/>
    <x v="23"/>
    <x v="24"/>
    <x v="0"/>
    <x v="0"/>
    <x v="0"/>
    <x v="0"/>
    <x v="0"/>
    <x v="0"/>
    <x v="0"/>
    <x v="0"/>
    <x v="0"/>
    <x v="303"/>
    <x v="24"/>
    <x v="0"/>
    <x v="23"/>
    <x v="24"/>
    <x v="13"/>
    <x v="0"/>
    <x v="25"/>
    <x v="0"/>
    <x v="0"/>
    <x v="0"/>
    <x v="0"/>
    <x v="0"/>
    <x v="0"/>
    <x v="0"/>
    <x v="0"/>
    <x v="0"/>
    <x v="0"/>
    <x v="24"/>
    <x v="0"/>
    <x v="0"/>
    <x v="24"/>
    <x v="0"/>
    <x v="0"/>
    <x v="21"/>
    <x v="0"/>
    <x v="20"/>
    <x v="13"/>
    <x v="25"/>
    <x v="0"/>
    <x v="0"/>
    <x v="0"/>
    <x v="0"/>
    <x v="29"/>
    <x v="466"/>
    <x v="467"/>
    <x v="0"/>
    <x v="0"/>
    <x v="0"/>
    <x v="24"/>
    <x v="0"/>
    <x v="0"/>
    <x v="0"/>
    <x v="0"/>
    <x v="20"/>
    <x v="0"/>
    <x v="0"/>
    <x v="0"/>
    <x v="27"/>
    <x v="0"/>
    <x v="12"/>
    <x v="12"/>
    <x v="303"/>
    <x v="0"/>
    <x v="0"/>
    <x v="0"/>
    <x v="0"/>
    <x v="396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86"/>
    <x v="260"/>
    <x v="0"/>
    <x v="0"/>
    <x v="0"/>
    <x v="0"/>
    <x v="0"/>
    <x v="0"/>
  </r>
  <r>
    <x v="0"/>
    <x v="468"/>
    <x v="0"/>
    <x v="28"/>
    <x v="0"/>
    <x v="0"/>
    <x v="0"/>
    <x v="24"/>
    <x v="25"/>
    <x v="0"/>
    <x v="0"/>
    <x v="0"/>
    <x v="0"/>
    <x v="0"/>
    <x v="0"/>
    <x v="24"/>
    <x v="0"/>
    <x v="0"/>
    <x v="0"/>
    <x v="0"/>
    <x v="24"/>
    <x v="25"/>
    <x v="0"/>
    <x v="0"/>
    <x v="0"/>
    <x v="0"/>
    <x v="0"/>
    <x v="0"/>
    <x v="0"/>
    <x v="0"/>
    <x v="0"/>
    <x v="303"/>
    <x v="25"/>
    <x v="0"/>
    <x v="24"/>
    <x v="25"/>
    <x v="1"/>
    <x v="0"/>
    <x v="26"/>
    <x v="1"/>
    <x v="0"/>
    <x v="1"/>
    <x v="0"/>
    <x v="0"/>
    <x v="0"/>
    <x v="0"/>
    <x v="0"/>
    <x v="0"/>
    <x v="0"/>
    <x v="25"/>
    <x v="0"/>
    <x v="1"/>
    <x v="25"/>
    <x v="0"/>
    <x v="0"/>
    <x v="22"/>
    <x v="0"/>
    <x v="21"/>
    <x v="1"/>
    <x v="26"/>
    <x v="0"/>
    <x v="0"/>
    <x v="1"/>
    <x v="0"/>
    <x v="29"/>
    <x v="467"/>
    <x v="468"/>
    <x v="0"/>
    <x v="0"/>
    <x v="0"/>
    <x v="25"/>
    <x v="0"/>
    <x v="0"/>
    <x v="0"/>
    <x v="0"/>
    <x v="21"/>
    <x v="0"/>
    <x v="0"/>
    <x v="0"/>
    <x v="27"/>
    <x v="0"/>
    <x v="12"/>
    <x v="12"/>
    <x v="303"/>
    <x v="0"/>
    <x v="0"/>
    <x v="0"/>
    <x v="0"/>
    <x v="396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86"/>
    <x v="260"/>
    <x v="0"/>
    <x v="0"/>
    <x v="0"/>
    <x v="0"/>
    <x v="0"/>
    <x v="0"/>
  </r>
  <r>
    <x v="0"/>
    <x v="469"/>
    <x v="0"/>
    <x v="27"/>
    <x v="0"/>
    <x v="0"/>
    <x v="0"/>
    <x v="350"/>
    <x v="371"/>
    <x v="0"/>
    <x v="0"/>
    <x v="0"/>
    <x v="0"/>
    <x v="0"/>
    <x v="0"/>
    <x v="350"/>
    <x v="0"/>
    <x v="0"/>
    <x v="0"/>
    <x v="0"/>
    <x v="350"/>
    <x v="371"/>
    <x v="0"/>
    <x v="0"/>
    <x v="0"/>
    <x v="0"/>
    <x v="0"/>
    <x v="0"/>
    <x v="0"/>
    <x v="0"/>
    <x v="0"/>
    <x v="304"/>
    <x v="341"/>
    <x v="0"/>
    <x v="349"/>
    <x v="341"/>
    <x v="1"/>
    <x v="0"/>
    <x v="373"/>
    <x v="2"/>
    <x v="0"/>
    <x v="2"/>
    <x v="0"/>
    <x v="0"/>
    <x v="0"/>
    <x v="0"/>
    <x v="0"/>
    <x v="0"/>
    <x v="0"/>
    <x v="341"/>
    <x v="0"/>
    <x v="2"/>
    <x v="341"/>
    <x v="0"/>
    <x v="0"/>
    <x v="270"/>
    <x v="0"/>
    <x v="278"/>
    <x v="1"/>
    <x v="373"/>
    <x v="0"/>
    <x v="0"/>
    <x v="1"/>
    <x v="0"/>
    <x v="29"/>
    <x v="468"/>
    <x v="469"/>
    <x v="0"/>
    <x v="0"/>
    <x v="0"/>
    <x v="341"/>
    <x v="0"/>
    <x v="0"/>
    <x v="0"/>
    <x v="0"/>
    <x v="278"/>
    <x v="0"/>
    <x v="0"/>
    <x v="0"/>
    <x v="26"/>
    <x v="0"/>
    <x v="76"/>
    <x v="76"/>
    <x v="304"/>
    <x v="0"/>
    <x v="0"/>
    <x v="0"/>
    <x v="0"/>
    <x v="397"/>
    <x v="2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87"/>
    <x v="261"/>
    <x v="0"/>
    <x v="0"/>
    <x v="0"/>
    <x v="0"/>
    <x v="0"/>
    <x v="198"/>
  </r>
  <r>
    <x v="0"/>
    <x v="470"/>
    <x v="0"/>
    <x v="29"/>
    <x v="0"/>
    <x v="0"/>
    <x v="0"/>
    <x v="351"/>
    <x v="372"/>
    <x v="0"/>
    <x v="0"/>
    <x v="0"/>
    <x v="1"/>
    <x v="0"/>
    <x v="0"/>
    <x v="351"/>
    <x v="2"/>
    <x v="0"/>
    <x v="0"/>
    <x v="0"/>
    <x v="351"/>
    <x v="372"/>
    <x v="0"/>
    <x v="0"/>
    <x v="0"/>
    <x v="0"/>
    <x v="0"/>
    <x v="0"/>
    <x v="0"/>
    <x v="0"/>
    <x v="0"/>
    <x v="305"/>
    <x v="342"/>
    <x v="0"/>
    <x v="350"/>
    <x v="342"/>
    <x v="113"/>
    <x v="0"/>
    <x v="374"/>
    <x v="0"/>
    <x v="0"/>
    <x v="0"/>
    <x v="0"/>
    <x v="0"/>
    <x v="1"/>
    <x v="0"/>
    <x v="0"/>
    <x v="0"/>
    <x v="0"/>
    <x v="342"/>
    <x v="0"/>
    <x v="0"/>
    <x v="342"/>
    <x v="0"/>
    <x v="0"/>
    <x v="271"/>
    <x v="0"/>
    <x v="279"/>
    <x v="113"/>
    <x v="374"/>
    <x v="0"/>
    <x v="0"/>
    <x v="0"/>
    <x v="0"/>
    <x v="29"/>
    <x v="469"/>
    <x v="470"/>
    <x v="0"/>
    <x v="0"/>
    <x v="0"/>
    <x v="342"/>
    <x v="0"/>
    <x v="0"/>
    <x v="0"/>
    <x v="0"/>
    <x v="279"/>
    <x v="0"/>
    <x v="0"/>
    <x v="0"/>
    <x v="28"/>
    <x v="0"/>
    <x v="95"/>
    <x v="95"/>
    <x v="305"/>
    <x v="0"/>
    <x v="0"/>
    <x v="0"/>
    <x v="0"/>
    <x v="398"/>
    <x v="27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88"/>
    <x v="262"/>
    <x v="0"/>
    <x v="0"/>
    <x v="0"/>
    <x v="0"/>
    <x v="0"/>
    <x v="0"/>
  </r>
  <r>
    <x v="0"/>
    <x v="471"/>
    <x v="0"/>
    <x v="29"/>
    <x v="0"/>
    <x v="0"/>
    <x v="0"/>
    <x v="352"/>
    <x v="373"/>
    <x v="0"/>
    <x v="0"/>
    <x v="0"/>
    <x v="1"/>
    <x v="0"/>
    <x v="0"/>
    <x v="352"/>
    <x v="2"/>
    <x v="0"/>
    <x v="0"/>
    <x v="0"/>
    <x v="352"/>
    <x v="373"/>
    <x v="0"/>
    <x v="0"/>
    <x v="0"/>
    <x v="0"/>
    <x v="0"/>
    <x v="0"/>
    <x v="0"/>
    <x v="0"/>
    <x v="0"/>
    <x v="305"/>
    <x v="343"/>
    <x v="0"/>
    <x v="351"/>
    <x v="343"/>
    <x v="1"/>
    <x v="0"/>
    <x v="375"/>
    <x v="1"/>
    <x v="0"/>
    <x v="1"/>
    <x v="0"/>
    <x v="0"/>
    <x v="1"/>
    <x v="0"/>
    <x v="0"/>
    <x v="0"/>
    <x v="0"/>
    <x v="343"/>
    <x v="0"/>
    <x v="1"/>
    <x v="343"/>
    <x v="0"/>
    <x v="0"/>
    <x v="272"/>
    <x v="0"/>
    <x v="280"/>
    <x v="1"/>
    <x v="375"/>
    <x v="0"/>
    <x v="0"/>
    <x v="1"/>
    <x v="0"/>
    <x v="29"/>
    <x v="470"/>
    <x v="471"/>
    <x v="0"/>
    <x v="0"/>
    <x v="0"/>
    <x v="343"/>
    <x v="0"/>
    <x v="0"/>
    <x v="0"/>
    <x v="0"/>
    <x v="280"/>
    <x v="0"/>
    <x v="0"/>
    <x v="0"/>
    <x v="28"/>
    <x v="0"/>
    <x v="95"/>
    <x v="95"/>
    <x v="305"/>
    <x v="0"/>
    <x v="0"/>
    <x v="0"/>
    <x v="0"/>
    <x v="398"/>
    <x v="28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88"/>
    <x v="262"/>
    <x v="0"/>
    <x v="0"/>
    <x v="0"/>
    <x v="0"/>
    <x v="0"/>
    <x v="0"/>
  </r>
  <r>
    <x v="1"/>
    <x v="472"/>
    <x v="0"/>
    <x v="28"/>
    <x v="0"/>
    <x v="0"/>
    <x v="0"/>
    <x v="353"/>
    <x v="374"/>
    <x v="0"/>
    <x v="0"/>
    <x v="0"/>
    <x v="9"/>
    <x v="0"/>
    <x v="0"/>
    <x v="353"/>
    <x v="9"/>
    <x v="0"/>
    <x v="0"/>
    <x v="0"/>
    <x v="353"/>
    <x v="374"/>
    <x v="0"/>
    <x v="3"/>
    <x v="0"/>
    <x v="0"/>
    <x v="0"/>
    <x v="0"/>
    <x v="1"/>
    <x v="1"/>
    <x v="0"/>
    <x v="4"/>
    <x v="344"/>
    <x v="0"/>
    <x v="352"/>
    <x v="344"/>
    <x v="1"/>
    <x v="0"/>
    <x v="376"/>
    <x v="0"/>
    <x v="0"/>
    <x v="0"/>
    <x v="0"/>
    <x v="0"/>
    <x v="9"/>
    <x v="0"/>
    <x v="0"/>
    <x v="0"/>
    <x v="0"/>
    <x v="344"/>
    <x v="0"/>
    <x v="0"/>
    <x v="344"/>
    <x v="0"/>
    <x v="0"/>
    <x v="6"/>
    <x v="1"/>
    <x v="7"/>
    <x v="1"/>
    <x v="376"/>
    <x v="0"/>
    <x v="0"/>
    <x v="1"/>
    <x v="0"/>
    <x v="29"/>
    <x v="471"/>
    <x v="472"/>
    <x v="0"/>
    <x v="0"/>
    <x v="0"/>
    <x v="344"/>
    <x v="0"/>
    <x v="0"/>
    <x v="0"/>
    <x v="0"/>
    <x v="7"/>
    <x v="0"/>
    <x v="0"/>
    <x v="0"/>
    <x v="27"/>
    <x v="0"/>
    <x v="3"/>
    <x v="3"/>
    <x v="4"/>
    <x v="1"/>
    <x v="0"/>
    <x v="0"/>
    <x v="0"/>
    <x v="399"/>
    <x v="7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73"/>
    <x v="0"/>
    <x v="28"/>
    <x v="0"/>
    <x v="0"/>
    <x v="0"/>
    <x v="354"/>
    <x v="375"/>
    <x v="0"/>
    <x v="0"/>
    <x v="0"/>
    <x v="12"/>
    <x v="1"/>
    <x v="0"/>
    <x v="354"/>
    <x v="11"/>
    <x v="0"/>
    <x v="0"/>
    <x v="0"/>
    <x v="354"/>
    <x v="375"/>
    <x v="0"/>
    <x v="0"/>
    <x v="0"/>
    <x v="0"/>
    <x v="0"/>
    <x v="0"/>
    <x v="0"/>
    <x v="0"/>
    <x v="0"/>
    <x v="306"/>
    <x v="345"/>
    <x v="0"/>
    <x v="353"/>
    <x v="345"/>
    <x v="1"/>
    <x v="0"/>
    <x v="377"/>
    <x v="0"/>
    <x v="0"/>
    <x v="0"/>
    <x v="0"/>
    <x v="0"/>
    <x v="12"/>
    <x v="0"/>
    <x v="0"/>
    <x v="0"/>
    <x v="0"/>
    <x v="345"/>
    <x v="0"/>
    <x v="0"/>
    <x v="345"/>
    <x v="0"/>
    <x v="0"/>
    <x v="273"/>
    <x v="0"/>
    <x v="281"/>
    <x v="1"/>
    <x v="377"/>
    <x v="0"/>
    <x v="0"/>
    <x v="1"/>
    <x v="0"/>
    <x v="29"/>
    <x v="472"/>
    <x v="473"/>
    <x v="0"/>
    <x v="0"/>
    <x v="0"/>
    <x v="345"/>
    <x v="0"/>
    <x v="0"/>
    <x v="0"/>
    <x v="0"/>
    <x v="281"/>
    <x v="0"/>
    <x v="0"/>
    <x v="0"/>
    <x v="27"/>
    <x v="0"/>
    <x v="94"/>
    <x v="94"/>
    <x v="306"/>
    <x v="0"/>
    <x v="0"/>
    <x v="0"/>
    <x v="0"/>
    <x v="400"/>
    <x v="28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263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307"/>
    <x v="345"/>
    <x v="0"/>
    <x v="7"/>
    <x v="345"/>
    <x v="1"/>
    <x v="0"/>
    <x v="377"/>
    <x v="0"/>
    <x v="1"/>
    <x v="0"/>
    <x v="1"/>
    <x v="0"/>
    <x v="3"/>
    <x v="0"/>
    <x v="0"/>
    <x v="0"/>
    <x v="0"/>
    <x v="345"/>
    <x v="1"/>
    <x v="0"/>
    <x v="345"/>
    <x v="0"/>
    <x v="0"/>
    <x v="273"/>
    <x v="0"/>
    <x v="281"/>
    <x v="1"/>
    <x v="377"/>
    <x v="1"/>
    <x v="3"/>
    <x v="3"/>
    <x v="1"/>
    <x v="1"/>
    <x v="9"/>
    <x v="9"/>
    <x v="0"/>
    <x v="0"/>
    <x v="1"/>
    <x v="345"/>
    <x v="0"/>
    <x v="0"/>
    <x v="0"/>
    <x v="1"/>
    <x v="281"/>
    <x v="0"/>
    <x v="1"/>
    <x v="1"/>
    <x v="27"/>
    <x v="0"/>
    <x v="94"/>
    <x v="94"/>
    <x v="307"/>
    <x v="0"/>
    <x v="1"/>
    <x v="0"/>
    <x v="0"/>
    <x v="5"/>
    <x v="281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308"/>
    <x v="263"/>
    <x v="0"/>
    <x v="7"/>
    <x v="263"/>
    <x v="1"/>
    <x v="0"/>
    <x v="288"/>
    <x v="0"/>
    <x v="1"/>
    <x v="0"/>
    <x v="1"/>
    <x v="0"/>
    <x v="3"/>
    <x v="0"/>
    <x v="0"/>
    <x v="0"/>
    <x v="0"/>
    <x v="263"/>
    <x v="1"/>
    <x v="0"/>
    <x v="263"/>
    <x v="0"/>
    <x v="0"/>
    <x v="206"/>
    <x v="0"/>
    <x v="210"/>
    <x v="1"/>
    <x v="288"/>
    <x v="1"/>
    <x v="3"/>
    <x v="3"/>
    <x v="1"/>
    <x v="1"/>
    <x v="9"/>
    <x v="9"/>
    <x v="0"/>
    <x v="0"/>
    <x v="1"/>
    <x v="263"/>
    <x v="0"/>
    <x v="0"/>
    <x v="0"/>
    <x v="1"/>
    <x v="210"/>
    <x v="0"/>
    <x v="1"/>
    <x v="1"/>
    <x v="27"/>
    <x v="0"/>
    <x v="4"/>
    <x v="4"/>
    <x v="308"/>
    <x v="0"/>
    <x v="1"/>
    <x v="0"/>
    <x v="0"/>
    <x v="5"/>
    <x v="210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309"/>
    <x v="346"/>
    <x v="0"/>
    <x v="7"/>
    <x v="346"/>
    <x v="1"/>
    <x v="0"/>
    <x v="378"/>
    <x v="0"/>
    <x v="1"/>
    <x v="0"/>
    <x v="1"/>
    <x v="0"/>
    <x v="3"/>
    <x v="0"/>
    <x v="0"/>
    <x v="0"/>
    <x v="0"/>
    <x v="346"/>
    <x v="1"/>
    <x v="0"/>
    <x v="346"/>
    <x v="0"/>
    <x v="0"/>
    <x v="274"/>
    <x v="0"/>
    <x v="282"/>
    <x v="1"/>
    <x v="378"/>
    <x v="1"/>
    <x v="3"/>
    <x v="3"/>
    <x v="1"/>
    <x v="1"/>
    <x v="9"/>
    <x v="9"/>
    <x v="0"/>
    <x v="0"/>
    <x v="1"/>
    <x v="346"/>
    <x v="0"/>
    <x v="0"/>
    <x v="0"/>
    <x v="1"/>
    <x v="282"/>
    <x v="0"/>
    <x v="1"/>
    <x v="1"/>
    <x v="27"/>
    <x v="0"/>
    <x v="98"/>
    <x v="98"/>
    <x v="309"/>
    <x v="0"/>
    <x v="1"/>
    <x v="0"/>
    <x v="0"/>
    <x v="5"/>
    <x v="282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74"/>
    <x v="0"/>
    <x v="29"/>
    <x v="0"/>
    <x v="0"/>
    <x v="0"/>
    <x v="295"/>
    <x v="311"/>
    <x v="0"/>
    <x v="0"/>
    <x v="0"/>
    <x v="4"/>
    <x v="0"/>
    <x v="0"/>
    <x v="295"/>
    <x v="4"/>
    <x v="0"/>
    <x v="0"/>
    <x v="0"/>
    <x v="295"/>
    <x v="311"/>
    <x v="0"/>
    <x v="0"/>
    <x v="0"/>
    <x v="0"/>
    <x v="0"/>
    <x v="0"/>
    <x v="0"/>
    <x v="0"/>
    <x v="0"/>
    <x v="310"/>
    <x v="289"/>
    <x v="0"/>
    <x v="294"/>
    <x v="289"/>
    <x v="99"/>
    <x v="0"/>
    <x v="317"/>
    <x v="0"/>
    <x v="0"/>
    <x v="0"/>
    <x v="0"/>
    <x v="0"/>
    <x v="4"/>
    <x v="0"/>
    <x v="0"/>
    <x v="0"/>
    <x v="0"/>
    <x v="289"/>
    <x v="0"/>
    <x v="0"/>
    <x v="289"/>
    <x v="0"/>
    <x v="0"/>
    <x v="224"/>
    <x v="0"/>
    <x v="229"/>
    <x v="99"/>
    <x v="317"/>
    <x v="0"/>
    <x v="4"/>
    <x v="0"/>
    <x v="0"/>
    <x v="29"/>
    <x v="473"/>
    <x v="474"/>
    <x v="0"/>
    <x v="0"/>
    <x v="0"/>
    <x v="289"/>
    <x v="0"/>
    <x v="0"/>
    <x v="0"/>
    <x v="0"/>
    <x v="229"/>
    <x v="0"/>
    <x v="0"/>
    <x v="0"/>
    <x v="28"/>
    <x v="0"/>
    <x v="17"/>
    <x v="17"/>
    <x v="310"/>
    <x v="0"/>
    <x v="0"/>
    <x v="0"/>
    <x v="0"/>
    <x v="401"/>
    <x v="229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89"/>
    <x v="264"/>
    <x v="0"/>
    <x v="0"/>
    <x v="0"/>
    <x v="0"/>
    <x v="0"/>
    <x v="0"/>
  </r>
  <r>
    <x v="0"/>
    <x v="475"/>
    <x v="0"/>
    <x v="29"/>
    <x v="0"/>
    <x v="0"/>
    <x v="0"/>
    <x v="296"/>
    <x v="312"/>
    <x v="0"/>
    <x v="0"/>
    <x v="0"/>
    <x v="4"/>
    <x v="0"/>
    <x v="0"/>
    <x v="296"/>
    <x v="4"/>
    <x v="0"/>
    <x v="0"/>
    <x v="0"/>
    <x v="296"/>
    <x v="312"/>
    <x v="0"/>
    <x v="0"/>
    <x v="0"/>
    <x v="0"/>
    <x v="0"/>
    <x v="0"/>
    <x v="0"/>
    <x v="0"/>
    <x v="0"/>
    <x v="310"/>
    <x v="290"/>
    <x v="0"/>
    <x v="295"/>
    <x v="290"/>
    <x v="1"/>
    <x v="0"/>
    <x v="318"/>
    <x v="1"/>
    <x v="0"/>
    <x v="1"/>
    <x v="0"/>
    <x v="0"/>
    <x v="4"/>
    <x v="0"/>
    <x v="0"/>
    <x v="0"/>
    <x v="0"/>
    <x v="290"/>
    <x v="0"/>
    <x v="1"/>
    <x v="290"/>
    <x v="0"/>
    <x v="0"/>
    <x v="225"/>
    <x v="0"/>
    <x v="230"/>
    <x v="1"/>
    <x v="318"/>
    <x v="0"/>
    <x v="4"/>
    <x v="10"/>
    <x v="0"/>
    <x v="29"/>
    <x v="474"/>
    <x v="475"/>
    <x v="0"/>
    <x v="0"/>
    <x v="0"/>
    <x v="290"/>
    <x v="0"/>
    <x v="0"/>
    <x v="0"/>
    <x v="0"/>
    <x v="230"/>
    <x v="0"/>
    <x v="0"/>
    <x v="0"/>
    <x v="28"/>
    <x v="0"/>
    <x v="17"/>
    <x v="17"/>
    <x v="310"/>
    <x v="0"/>
    <x v="0"/>
    <x v="0"/>
    <x v="0"/>
    <x v="401"/>
    <x v="23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89"/>
    <x v="264"/>
    <x v="0"/>
    <x v="0"/>
    <x v="0"/>
    <x v="0"/>
    <x v="0"/>
    <x v="0"/>
  </r>
  <r>
    <x v="0"/>
    <x v="476"/>
    <x v="0"/>
    <x v="29"/>
    <x v="0"/>
    <x v="0"/>
    <x v="0"/>
    <x v="355"/>
    <x v="376"/>
    <x v="0"/>
    <x v="0"/>
    <x v="0"/>
    <x v="4"/>
    <x v="0"/>
    <x v="0"/>
    <x v="355"/>
    <x v="4"/>
    <x v="0"/>
    <x v="0"/>
    <x v="0"/>
    <x v="355"/>
    <x v="376"/>
    <x v="0"/>
    <x v="0"/>
    <x v="0"/>
    <x v="0"/>
    <x v="0"/>
    <x v="0"/>
    <x v="0"/>
    <x v="0"/>
    <x v="0"/>
    <x v="311"/>
    <x v="347"/>
    <x v="0"/>
    <x v="354"/>
    <x v="347"/>
    <x v="114"/>
    <x v="0"/>
    <x v="379"/>
    <x v="0"/>
    <x v="0"/>
    <x v="0"/>
    <x v="0"/>
    <x v="0"/>
    <x v="4"/>
    <x v="0"/>
    <x v="0"/>
    <x v="0"/>
    <x v="0"/>
    <x v="347"/>
    <x v="0"/>
    <x v="0"/>
    <x v="347"/>
    <x v="0"/>
    <x v="0"/>
    <x v="275"/>
    <x v="0"/>
    <x v="283"/>
    <x v="114"/>
    <x v="379"/>
    <x v="0"/>
    <x v="4"/>
    <x v="0"/>
    <x v="0"/>
    <x v="29"/>
    <x v="475"/>
    <x v="476"/>
    <x v="0"/>
    <x v="0"/>
    <x v="0"/>
    <x v="347"/>
    <x v="0"/>
    <x v="0"/>
    <x v="0"/>
    <x v="0"/>
    <x v="283"/>
    <x v="0"/>
    <x v="0"/>
    <x v="0"/>
    <x v="28"/>
    <x v="0"/>
    <x v="66"/>
    <x v="66"/>
    <x v="311"/>
    <x v="0"/>
    <x v="0"/>
    <x v="0"/>
    <x v="0"/>
    <x v="402"/>
    <x v="283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90"/>
    <x v="265"/>
    <x v="0"/>
    <x v="0"/>
    <x v="0"/>
    <x v="0"/>
    <x v="0"/>
    <x v="0"/>
  </r>
  <r>
    <x v="0"/>
    <x v="477"/>
    <x v="0"/>
    <x v="29"/>
    <x v="0"/>
    <x v="0"/>
    <x v="0"/>
    <x v="356"/>
    <x v="377"/>
    <x v="0"/>
    <x v="0"/>
    <x v="0"/>
    <x v="4"/>
    <x v="0"/>
    <x v="0"/>
    <x v="356"/>
    <x v="4"/>
    <x v="0"/>
    <x v="0"/>
    <x v="0"/>
    <x v="356"/>
    <x v="377"/>
    <x v="0"/>
    <x v="0"/>
    <x v="0"/>
    <x v="0"/>
    <x v="0"/>
    <x v="0"/>
    <x v="0"/>
    <x v="0"/>
    <x v="0"/>
    <x v="311"/>
    <x v="348"/>
    <x v="0"/>
    <x v="355"/>
    <x v="348"/>
    <x v="1"/>
    <x v="0"/>
    <x v="380"/>
    <x v="1"/>
    <x v="0"/>
    <x v="1"/>
    <x v="0"/>
    <x v="0"/>
    <x v="4"/>
    <x v="0"/>
    <x v="0"/>
    <x v="0"/>
    <x v="0"/>
    <x v="348"/>
    <x v="0"/>
    <x v="1"/>
    <x v="348"/>
    <x v="0"/>
    <x v="0"/>
    <x v="276"/>
    <x v="0"/>
    <x v="284"/>
    <x v="1"/>
    <x v="380"/>
    <x v="0"/>
    <x v="4"/>
    <x v="10"/>
    <x v="0"/>
    <x v="29"/>
    <x v="476"/>
    <x v="477"/>
    <x v="0"/>
    <x v="0"/>
    <x v="0"/>
    <x v="348"/>
    <x v="0"/>
    <x v="0"/>
    <x v="0"/>
    <x v="0"/>
    <x v="284"/>
    <x v="0"/>
    <x v="0"/>
    <x v="0"/>
    <x v="28"/>
    <x v="0"/>
    <x v="66"/>
    <x v="66"/>
    <x v="311"/>
    <x v="0"/>
    <x v="0"/>
    <x v="0"/>
    <x v="0"/>
    <x v="402"/>
    <x v="284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90"/>
    <x v="265"/>
    <x v="0"/>
    <x v="0"/>
    <x v="0"/>
    <x v="0"/>
    <x v="0"/>
    <x v="0"/>
  </r>
  <r>
    <x v="0"/>
    <x v="478"/>
    <x v="0"/>
    <x v="28"/>
    <x v="0"/>
    <x v="0"/>
    <x v="0"/>
    <x v="357"/>
    <x v="378"/>
    <x v="0"/>
    <x v="0"/>
    <x v="0"/>
    <x v="12"/>
    <x v="1"/>
    <x v="0"/>
    <x v="357"/>
    <x v="11"/>
    <x v="0"/>
    <x v="0"/>
    <x v="0"/>
    <x v="357"/>
    <x v="378"/>
    <x v="0"/>
    <x v="0"/>
    <x v="0"/>
    <x v="0"/>
    <x v="0"/>
    <x v="0"/>
    <x v="0"/>
    <x v="0"/>
    <x v="0"/>
    <x v="312"/>
    <x v="349"/>
    <x v="0"/>
    <x v="356"/>
    <x v="349"/>
    <x v="1"/>
    <x v="0"/>
    <x v="381"/>
    <x v="0"/>
    <x v="0"/>
    <x v="0"/>
    <x v="0"/>
    <x v="0"/>
    <x v="12"/>
    <x v="0"/>
    <x v="0"/>
    <x v="0"/>
    <x v="0"/>
    <x v="349"/>
    <x v="0"/>
    <x v="0"/>
    <x v="349"/>
    <x v="0"/>
    <x v="0"/>
    <x v="277"/>
    <x v="0"/>
    <x v="285"/>
    <x v="1"/>
    <x v="381"/>
    <x v="0"/>
    <x v="0"/>
    <x v="1"/>
    <x v="0"/>
    <x v="29"/>
    <x v="477"/>
    <x v="478"/>
    <x v="0"/>
    <x v="0"/>
    <x v="0"/>
    <x v="349"/>
    <x v="0"/>
    <x v="0"/>
    <x v="0"/>
    <x v="0"/>
    <x v="285"/>
    <x v="0"/>
    <x v="0"/>
    <x v="0"/>
    <x v="27"/>
    <x v="0"/>
    <x v="99"/>
    <x v="99"/>
    <x v="312"/>
    <x v="0"/>
    <x v="0"/>
    <x v="0"/>
    <x v="0"/>
    <x v="403"/>
    <x v="28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91"/>
    <x v="266"/>
    <x v="0"/>
    <x v="0"/>
    <x v="0"/>
    <x v="0"/>
    <x v="0"/>
    <x v="0"/>
  </r>
  <r>
    <x v="1"/>
    <x v="479"/>
    <x v="3"/>
    <x v="28"/>
    <x v="0"/>
    <x v="0"/>
    <x v="0"/>
    <x v="358"/>
    <x v="379"/>
    <x v="0"/>
    <x v="0"/>
    <x v="0"/>
    <x v="38"/>
    <x v="4"/>
    <x v="0"/>
    <x v="358"/>
    <x v="20"/>
    <x v="0"/>
    <x v="0"/>
    <x v="0"/>
    <x v="358"/>
    <x v="379"/>
    <x v="0"/>
    <x v="3"/>
    <x v="0"/>
    <x v="0"/>
    <x v="0"/>
    <x v="4"/>
    <x v="1"/>
    <x v="1"/>
    <x v="0"/>
    <x v="4"/>
    <x v="350"/>
    <x v="0"/>
    <x v="357"/>
    <x v="350"/>
    <x v="1"/>
    <x v="0"/>
    <x v="382"/>
    <x v="8"/>
    <x v="0"/>
    <x v="8"/>
    <x v="0"/>
    <x v="0"/>
    <x v="38"/>
    <x v="0"/>
    <x v="0"/>
    <x v="0"/>
    <x v="0"/>
    <x v="350"/>
    <x v="0"/>
    <x v="8"/>
    <x v="350"/>
    <x v="173"/>
    <x v="0"/>
    <x v="6"/>
    <x v="1"/>
    <x v="7"/>
    <x v="1"/>
    <x v="382"/>
    <x v="0"/>
    <x v="12"/>
    <x v="7"/>
    <x v="0"/>
    <x v="29"/>
    <x v="478"/>
    <x v="479"/>
    <x v="0"/>
    <x v="0"/>
    <x v="0"/>
    <x v="350"/>
    <x v="0"/>
    <x v="0"/>
    <x v="0"/>
    <x v="0"/>
    <x v="7"/>
    <x v="0"/>
    <x v="0"/>
    <x v="0"/>
    <x v="27"/>
    <x v="0"/>
    <x v="3"/>
    <x v="3"/>
    <x v="4"/>
    <x v="1"/>
    <x v="0"/>
    <x v="0"/>
    <x v="0"/>
    <x v="404"/>
    <x v="7"/>
    <x v="0"/>
    <x v="0"/>
    <x v="0"/>
    <x v="0"/>
    <x v="0"/>
    <x v="0"/>
    <x v="0"/>
    <x v="6"/>
    <x v="0"/>
    <x v="0"/>
    <x v="0"/>
    <x v="0"/>
    <x v="0"/>
    <x v="0"/>
    <x v="0"/>
    <x v="0"/>
    <x v="0"/>
    <x v="1"/>
    <x v="0"/>
    <x v="0"/>
    <x v="0"/>
    <x v="0"/>
    <x v="0"/>
    <x v="0"/>
    <x v="5"/>
    <x v="4"/>
    <x v="0"/>
    <x v="0"/>
    <x v="0"/>
    <x v="0"/>
    <x v="0"/>
    <x v="199"/>
  </r>
  <r>
    <x v="0"/>
    <x v="480"/>
    <x v="0"/>
    <x v="28"/>
    <x v="0"/>
    <x v="0"/>
    <x v="0"/>
    <x v="359"/>
    <x v="380"/>
    <x v="0"/>
    <x v="0"/>
    <x v="0"/>
    <x v="15"/>
    <x v="0"/>
    <x v="0"/>
    <x v="359"/>
    <x v="14"/>
    <x v="0"/>
    <x v="0"/>
    <x v="0"/>
    <x v="359"/>
    <x v="380"/>
    <x v="0"/>
    <x v="0"/>
    <x v="0"/>
    <x v="0"/>
    <x v="0"/>
    <x v="1"/>
    <x v="0"/>
    <x v="0"/>
    <x v="0"/>
    <x v="313"/>
    <x v="315"/>
    <x v="0"/>
    <x v="358"/>
    <x v="315"/>
    <x v="115"/>
    <x v="0"/>
    <x v="383"/>
    <x v="0"/>
    <x v="0"/>
    <x v="0"/>
    <x v="0"/>
    <x v="0"/>
    <x v="15"/>
    <x v="0"/>
    <x v="0"/>
    <x v="0"/>
    <x v="0"/>
    <x v="315"/>
    <x v="0"/>
    <x v="0"/>
    <x v="315"/>
    <x v="0"/>
    <x v="0"/>
    <x v="246"/>
    <x v="0"/>
    <x v="254"/>
    <x v="115"/>
    <x v="383"/>
    <x v="0"/>
    <x v="0"/>
    <x v="0"/>
    <x v="0"/>
    <x v="29"/>
    <x v="479"/>
    <x v="480"/>
    <x v="0"/>
    <x v="0"/>
    <x v="0"/>
    <x v="315"/>
    <x v="0"/>
    <x v="0"/>
    <x v="0"/>
    <x v="0"/>
    <x v="254"/>
    <x v="0"/>
    <x v="0"/>
    <x v="0"/>
    <x v="27"/>
    <x v="0"/>
    <x v="6"/>
    <x v="6"/>
    <x v="313"/>
    <x v="0"/>
    <x v="0"/>
    <x v="0"/>
    <x v="0"/>
    <x v="405"/>
    <x v="25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92"/>
    <x v="267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1"/>
    <x v="0"/>
    <x v="0"/>
    <x v="1"/>
    <x v="314"/>
    <x v="315"/>
    <x v="0"/>
    <x v="7"/>
    <x v="315"/>
    <x v="106"/>
    <x v="0"/>
    <x v="345"/>
    <x v="0"/>
    <x v="1"/>
    <x v="0"/>
    <x v="1"/>
    <x v="0"/>
    <x v="3"/>
    <x v="0"/>
    <x v="0"/>
    <x v="0"/>
    <x v="0"/>
    <x v="315"/>
    <x v="1"/>
    <x v="0"/>
    <x v="315"/>
    <x v="0"/>
    <x v="0"/>
    <x v="246"/>
    <x v="0"/>
    <x v="254"/>
    <x v="106"/>
    <x v="345"/>
    <x v="1"/>
    <x v="3"/>
    <x v="3"/>
    <x v="1"/>
    <x v="1"/>
    <x v="9"/>
    <x v="9"/>
    <x v="0"/>
    <x v="0"/>
    <x v="1"/>
    <x v="315"/>
    <x v="0"/>
    <x v="0"/>
    <x v="0"/>
    <x v="1"/>
    <x v="254"/>
    <x v="0"/>
    <x v="1"/>
    <x v="1"/>
    <x v="27"/>
    <x v="0"/>
    <x v="6"/>
    <x v="6"/>
    <x v="314"/>
    <x v="0"/>
    <x v="1"/>
    <x v="0"/>
    <x v="0"/>
    <x v="5"/>
    <x v="254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81"/>
    <x v="3"/>
    <x v="27"/>
    <x v="0"/>
    <x v="0"/>
    <x v="0"/>
    <x v="360"/>
    <x v="381"/>
    <x v="0"/>
    <x v="0"/>
    <x v="0"/>
    <x v="7"/>
    <x v="4"/>
    <x v="0"/>
    <x v="360"/>
    <x v="7"/>
    <x v="0"/>
    <x v="0"/>
    <x v="0"/>
    <x v="360"/>
    <x v="381"/>
    <x v="0"/>
    <x v="0"/>
    <x v="0"/>
    <x v="0"/>
    <x v="0"/>
    <x v="0"/>
    <x v="0"/>
    <x v="0"/>
    <x v="0"/>
    <x v="315"/>
    <x v="26"/>
    <x v="0"/>
    <x v="359"/>
    <x v="26"/>
    <x v="1"/>
    <x v="0"/>
    <x v="27"/>
    <x v="0"/>
    <x v="0"/>
    <x v="0"/>
    <x v="0"/>
    <x v="0"/>
    <x v="7"/>
    <x v="0"/>
    <x v="0"/>
    <x v="0"/>
    <x v="0"/>
    <x v="26"/>
    <x v="0"/>
    <x v="0"/>
    <x v="26"/>
    <x v="0"/>
    <x v="0"/>
    <x v="23"/>
    <x v="0"/>
    <x v="22"/>
    <x v="1"/>
    <x v="27"/>
    <x v="0"/>
    <x v="0"/>
    <x v="0"/>
    <x v="0"/>
    <x v="29"/>
    <x v="480"/>
    <x v="481"/>
    <x v="0"/>
    <x v="0"/>
    <x v="0"/>
    <x v="26"/>
    <x v="0"/>
    <x v="0"/>
    <x v="0"/>
    <x v="0"/>
    <x v="22"/>
    <x v="0"/>
    <x v="0"/>
    <x v="0"/>
    <x v="26"/>
    <x v="0"/>
    <x v="13"/>
    <x v="13"/>
    <x v="315"/>
    <x v="0"/>
    <x v="0"/>
    <x v="0"/>
    <x v="0"/>
    <x v="406"/>
    <x v="22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18"/>
    <x v="268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316"/>
    <x v="351"/>
    <x v="0"/>
    <x v="7"/>
    <x v="351"/>
    <x v="1"/>
    <x v="0"/>
    <x v="384"/>
    <x v="0"/>
    <x v="1"/>
    <x v="0"/>
    <x v="1"/>
    <x v="0"/>
    <x v="3"/>
    <x v="0"/>
    <x v="0"/>
    <x v="0"/>
    <x v="0"/>
    <x v="351"/>
    <x v="1"/>
    <x v="0"/>
    <x v="351"/>
    <x v="0"/>
    <x v="0"/>
    <x v="278"/>
    <x v="0"/>
    <x v="286"/>
    <x v="1"/>
    <x v="384"/>
    <x v="1"/>
    <x v="3"/>
    <x v="3"/>
    <x v="1"/>
    <x v="1"/>
    <x v="9"/>
    <x v="9"/>
    <x v="0"/>
    <x v="0"/>
    <x v="1"/>
    <x v="351"/>
    <x v="0"/>
    <x v="0"/>
    <x v="0"/>
    <x v="1"/>
    <x v="286"/>
    <x v="0"/>
    <x v="1"/>
    <x v="1"/>
    <x v="26"/>
    <x v="0"/>
    <x v="11"/>
    <x v="11"/>
    <x v="316"/>
    <x v="0"/>
    <x v="1"/>
    <x v="0"/>
    <x v="0"/>
    <x v="5"/>
    <x v="286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82"/>
    <x v="0"/>
    <x v="29"/>
    <x v="0"/>
    <x v="0"/>
    <x v="0"/>
    <x v="361"/>
    <x v="382"/>
    <x v="0"/>
    <x v="0"/>
    <x v="0"/>
    <x v="0"/>
    <x v="0"/>
    <x v="0"/>
    <x v="361"/>
    <x v="0"/>
    <x v="0"/>
    <x v="0"/>
    <x v="0"/>
    <x v="361"/>
    <x v="382"/>
    <x v="0"/>
    <x v="0"/>
    <x v="0"/>
    <x v="0"/>
    <x v="0"/>
    <x v="0"/>
    <x v="0"/>
    <x v="0"/>
    <x v="0"/>
    <x v="317"/>
    <x v="352"/>
    <x v="0"/>
    <x v="360"/>
    <x v="352"/>
    <x v="116"/>
    <x v="0"/>
    <x v="385"/>
    <x v="0"/>
    <x v="0"/>
    <x v="0"/>
    <x v="0"/>
    <x v="0"/>
    <x v="0"/>
    <x v="0"/>
    <x v="0"/>
    <x v="0"/>
    <x v="0"/>
    <x v="352"/>
    <x v="0"/>
    <x v="0"/>
    <x v="352"/>
    <x v="0"/>
    <x v="0"/>
    <x v="279"/>
    <x v="0"/>
    <x v="287"/>
    <x v="116"/>
    <x v="385"/>
    <x v="0"/>
    <x v="0"/>
    <x v="0"/>
    <x v="0"/>
    <x v="29"/>
    <x v="481"/>
    <x v="482"/>
    <x v="0"/>
    <x v="0"/>
    <x v="0"/>
    <x v="352"/>
    <x v="0"/>
    <x v="0"/>
    <x v="0"/>
    <x v="0"/>
    <x v="287"/>
    <x v="0"/>
    <x v="0"/>
    <x v="0"/>
    <x v="28"/>
    <x v="0"/>
    <x v="27"/>
    <x v="27"/>
    <x v="317"/>
    <x v="0"/>
    <x v="0"/>
    <x v="0"/>
    <x v="0"/>
    <x v="407"/>
    <x v="2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3"/>
    <x v="269"/>
    <x v="0"/>
    <x v="0"/>
    <x v="0"/>
    <x v="0"/>
    <x v="0"/>
    <x v="0"/>
  </r>
  <r>
    <x v="0"/>
    <x v="483"/>
    <x v="0"/>
    <x v="29"/>
    <x v="0"/>
    <x v="0"/>
    <x v="0"/>
    <x v="362"/>
    <x v="383"/>
    <x v="0"/>
    <x v="0"/>
    <x v="0"/>
    <x v="0"/>
    <x v="0"/>
    <x v="0"/>
    <x v="362"/>
    <x v="0"/>
    <x v="0"/>
    <x v="0"/>
    <x v="0"/>
    <x v="362"/>
    <x v="383"/>
    <x v="0"/>
    <x v="0"/>
    <x v="0"/>
    <x v="0"/>
    <x v="0"/>
    <x v="0"/>
    <x v="0"/>
    <x v="0"/>
    <x v="0"/>
    <x v="317"/>
    <x v="353"/>
    <x v="0"/>
    <x v="361"/>
    <x v="353"/>
    <x v="1"/>
    <x v="0"/>
    <x v="386"/>
    <x v="1"/>
    <x v="0"/>
    <x v="1"/>
    <x v="0"/>
    <x v="0"/>
    <x v="0"/>
    <x v="0"/>
    <x v="0"/>
    <x v="0"/>
    <x v="0"/>
    <x v="353"/>
    <x v="0"/>
    <x v="1"/>
    <x v="353"/>
    <x v="0"/>
    <x v="0"/>
    <x v="280"/>
    <x v="0"/>
    <x v="288"/>
    <x v="1"/>
    <x v="386"/>
    <x v="0"/>
    <x v="0"/>
    <x v="1"/>
    <x v="0"/>
    <x v="29"/>
    <x v="482"/>
    <x v="483"/>
    <x v="0"/>
    <x v="0"/>
    <x v="0"/>
    <x v="353"/>
    <x v="0"/>
    <x v="0"/>
    <x v="0"/>
    <x v="0"/>
    <x v="288"/>
    <x v="0"/>
    <x v="0"/>
    <x v="0"/>
    <x v="28"/>
    <x v="0"/>
    <x v="27"/>
    <x v="27"/>
    <x v="317"/>
    <x v="0"/>
    <x v="0"/>
    <x v="0"/>
    <x v="0"/>
    <x v="407"/>
    <x v="2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3"/>
    <x v="269"/>
    <x v="0"/>
    <x v="0"/>
    <x v="0"/>
    <x v="0"/>
    <x v="0"/>
    <x v="0"/>
  </r>
  <r>
    <x v="1"/>
    <x v="484"/>
    <x v="1"/>
    <x v="27"/>
    <x v="0"/>
    <x v="0"/>
    <x v="0"/>
    <x v="363"/>
    <x v="384"/>
    <x v="0"/>
    <x v="0"/>
    <x v="0"/>
    <x v="39"/>
    <x v="5"/>
    <x v="0"/>
    <x v="363"/>
    <x v="15"/>
    <x v="0"/>
    <x v="0"/>
    <x v="0"/>
    <x v="363"/>
    <x v="384"/>
    <x v="0"/>
    <x v="3"/>
    <x v="0"/>
    <x v="0"/>
    <x v="0"/>
    <x v="0"/>
    <x v="1"/>
    <x v="1"/>
    <x v="0"/>
    <x v="4"/>
    <x v="354"/>
    <x v="0"/>
    <x v="362"/>
    <x v="354"/>
    <x v="1"/>
    <x v="0"/>
    <x v="387"/>
    <x v="0"/>
    <x v="0"/>
    <x v="0"/>
    <x v="0"/>
    <x v="0"/>
    <x v="39"/>
    <x v="0"/>
    <x v="0"/>
    <x v="0"/>
    <x v="0"/>
    <x v="354"/>
    <x v="0"/>
    <x v="0"/>
    <x v="354"/>
    <x v="0"/>
    <x v="0"/>
    <x v="6"/>
    <x v="1"/>
    <x v="7"/>
    <x v="1"/>
    <x v="387"/>
    <x v="0"/>
    <x v="12"/>
    <x v="0"/>
    <x v="0"/>
    <x v="29"/>
    <x v="483"/>
    <x v="484"/>
    <x v="0"/>
    <x v="0"/>
    <x v="0"/>
    <x v="354"/>
    <x v="0"/>
    <x v="0"/>
    <x v="0"/>
    <x v="0"/>
    <x v="7"/>
    <x v="0"/>
    <x v="0"/>
    <x v="0"/>
    <x v="26"/>
    <x v="0"/>
    <x v="3"/>
    <x v="3"/>
    <x v="4"/>
    <x v="1"/>
    <x v="0"/>
    <x v="0"/>
    <x v="0"/>
    <x v="408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85"/>
    <x v="0"/>
    <x v="28"/>
    <x v="0"/>
    <x v="0"/>
    <x v="0"/>
    <x v="364"/>
    <x v="385"/>
    <x v="0"/>
    <x v="0"/>
    <x v="0"/>
    <x v="0"/>
    <x v="0"/>
    <x v="0"/>
    <x v="364"/>
    <x v="0"/>
    <x v="0"/>
    <x v="0"/>
    <x v="0"/>
    <x v="364"/>
    <x v="385"/>
    <x v="0"/>
    <x v="0"/>
    <x v="0"/>
    <x v="0"/>
    <x v="0"/>
    <x v="0"/>
    <x v="0"/>
    <x v="0"/>
    <x v="0"/>
    <x v="318"/>
    <x v="355"/>
    <x v="0"/>
    <x v="363"/>
    <x v="355"/>
    <x v="1"/>
    <x v="0"/>
    <x v="388"/>
    <x v="2"/>
    <x v="0"/>
    <x v="2"/>
    <x v="0"/>
    <x v="0"/>
    <x v="0"/>
    <x v="0"/>
    <x v="0"/>
    <x v="0"/>
    <x v="0"/>
    <x v="355"/>
    <x v="0"/>
    <x v="2"/>
    <x v="355"/>
    <x v="0"/>
    <x v="0"/>
    <x v="281"/>
    <x v="0"/>
    <x v="289"/>
    <x v="1"/>
    <x v="388"/>
    <x v="0"/>
    <x v="0"/>
    <x v="1"/>
    <x v="0"/>
    <x v="29"/>
    <x v="484"/>
    <x v="485"/>
    <x v="0"/>
    <x v="0"/>
    <x v="0"/>
    <x v="355"/>
    <x v="0"/>
    <x v="0"/>
    <x v="0"/>
    <x v="0"/>
    <x v="289"/>
    <x v="0"/>
    <x v="0"/>
    <x v="0"/>
    <x v="27"/>
    <x v="0"/>
    <x v="45"/>
    <x v="45"/>
    <x v="318"/>
    <x v="0"/>
    <x v="0"/>
    <x v="0"/>
    <x v="0"/>
    <x v="409"/>
    <x v="2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3"/>
    <x v="269"/>
    <x v="0"/>
    <x v="0"/>
    <x v="0"/>
    <x v="0"/>
    <x v="0"/>
    <x v="200"/>
  </r>
  <r>
    <x v="1"/>
    <x v="486"/>
    <x v="1"/>
    <x v="28"/>
    <x v="0"/>
    <x v="0"/>
    <x v="0"/>
    <x v="365"/>
    <x v="386"/>
    <x v="0"/>
    <x v="0"/>
    <x v="0"/>
    <x v="27"/>
    <x v="5"/>
    <x v="0"/>
    <x v="365"/>
    <x v="15"/>
    <x v="0"/>
    <x v="0"/>
    <x v="0"/>
    <x v="365"/>
    <x v="386"/>
    <x v="0"/>
    <x v="3"/>
    <x v="0"/>
    <x v="0"/>
    <x v="0"/>
    <x v="0"/>
    <x v="1"/>
    <x v="1"/>
    <x v="0"/>
    <x v="4"/>
    <x v="356"/>
    <x v="0"/>
    <x v="364"/>
    <x v="356"/>
    <x v="1"/>
    <x v="0"/>
    <x v="389"/>
    <x v="0"/>
    <x v="0"/>
    <x v="0"/>
    <x v="0"/>
    <x v="0"/>
    <x v="27"/>
    <x v="0"/>
    <x v="0"/>
    <x v="0"/>
    <x v="0"/>
    <x v="356"/>
    <x v="0"/>
    <x v="0"/>
    <x v="356"/>
    <x v="0"/>
    <x v="0"/>
    <x v="6"/>
    <x v="1"/>
    <x v="7"/>
    <x v="1"/>
    <x v="389"/>
    <x v="0"/>
    <x v="12"/>
    <x v="0"/>
    <x v="0"/>
    <x v="29"/>
    <x v="485"/>
    <x v="486"/>
    <x v="0"/>
    <x v="0"/>
    <x v="0"/>
    <x v="356"/>
    <x v="0"/>
    <x v="0"/>
    <x v="0"/>
    <x v="0"/>
    <x v="7"/>
    <x v="0"/>
    <x v="0"/>
    <x v="0"/>
    <x v="27"/>
    <x v="0"/>
    <x v="3"/>
    <x v="3"/>
    <x v="4"/>
    <x v="1"/>
    <x v="0"/>
    <x v="0"/>
    <x v="0"/>
    <x v="410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487"/>
    <x v="0"/>
    <x v="28"/>
    <x v="0"/>
    <x v="0"/>
    <x v="0"/>
    <x v="366"/>
    <x v="387"/>
    <x v="0"/>
    <x v="0"/>
    <x v="0"/>
    <x v="23"/>
    <x v="0"/>
    <x v="0"/>
    <x v="366"/>
    <x v="18"/>
    <x v="0"/>
    <x v="0"/>
    <x v="0"/>
    <x v="366"/>
    <x v="387"/>
    <x v="0"/>
    <x v="3"/>
    <x v="0"/>
    <x v="0"/>
    <x v="0"/>
    <x v="0"/>
    <x v="1"/>
    <x v="1"/>
    <x v="0"/>
    <x v="4"/>
    <x v="357"/>
    <x v="0"/>
    <x v="365"/>
    <x v="357"/>
    <x v="1"/>
    <x v="0"/>
    <x v="390"/>
    <x v="0"/>
    <x v="0"/>
    <x v="0"/>
    <x v="0"/>
    <x v="0"/>
    <x v="23"/>
    <x v="0"/>
    <x v="0"/>
    <x v="0"/>
    <x v="0"/>
    <x v="357"/>
    <x v="0"/>
    <x v="0"/>
    <x v="357"/>
    <x v="0"/>
    <x v="0"/>
    <x v="6"/>
    <x v="1"/>
    <x v="7"/>
    <x v="1"/>
    <x v="390"/>
    <x v="0"/>
    <x v="0"/>
    <x v="0"/>
    <x v="0"/>
    <x v="29"/>
    <x v="486"/>
    <x v="487"/>
    <x v="0"/>
    <x v="0"/>
    <x v="0"/>
    <x v="357"/>
    <x v="0"/>
    <x v="0"/>
    <x v="0"/>
    <x v="0"/>
    <x v="7"/>
    <x v="0"/>
    <x v="0"/>
    <x v="0"/>
    <x v="27"/>
    <x v="0"/>
    <x v="3"/>
    <x v="3"/>
    <x v="4"/>
    <x v="1"/>
    <x v="0"/>
    <x v="0"/>
    <x v="0"/>
    <x v="411"/>
    <x v="7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  <x v="123"/>
    <x v="104"/>
    <x v="0"/>
    <x v="0"/>
    <x v="0"/>
    <x v="0"/>
    <x v="0"/>
    <x v="0"/>
  </r>
  <r>
    <x v="1"/>
    <x v="488"/>
    <x v="0"/>
    <x v="27"/>
    <x v="0"/>
    <x v="0"/>
    <x v="0"/>
    <x v="367"/>
    <x v="388"/>
    <x v="0"/>
    <x v="0"/>
    <x v="0"/>
    <x v="23"/>
    <x v="0"/>
    <x v="0"/>
    <x v="367"/>
    <x v="18"/>
    <x v="0"/>
    <x v="0"/>
    <x v="0"/>
    <x v="367"/>
    <x v="388"/>
    <x v="0"/>
    <x v="3"/>
    <x v="0"/>
    <x v="0"/>
    <x v="0"/>
    <x v="0"/>
    <x v="1"/>
    <x v="1"/>
    <x v="0"/>
    <x v="4"/>
    <x v="358"/>
    <x v="0"/>
    <x v="366"/>
    <x v="358"/>
    <x v="1"/>
    <x v="0"/>
    <x v="391"/>
    <x v="0"/>
    <x v="0"/>
    <x v="0"/>
    <x v="0"/>
    <x v="0"/>
    <x v="23"/>
    <x v="0"/>
    <x v="0"/>
    <x v="0"/>
    <x v="0"/>
    <x v="358"/>
    <x v="0"/>
    <x v="0"/>
    <x v="358"/>
    <x v="0"/>
    <x v="0"/>
    <x v="6"/>
    <x v="1"/>
    <x v="7"/>
    <x v="1"/>
    <x v="391"/>
    <x v="0"/>
    <x v="0"/>
    <x v="1"/>
    <x v="0"/>
    <x v="29"/>
    <x v="487"/>
    <x v="488"/>
    <x v="0"/>
    <x v="0"/>
    <x v="0"/>
    <x v="358"/>
    <x v="0"/>
    <x v="0"/>
    <x v="0"/>
    <x v="0"/>
    <x v="7"/>
    <x v="0"/>
    <x v="0"/>
    <x v="0"/>
    <x v="26"/>
    <x v="0"/>
    <x v="3"/>
    <x v="3"/>
    <x v="4"/>
    <x v="1"/>
    <x v="0"/>
    <x v="0"/>
    <x v="0"/>
    <x v="412"/>
    <x v="7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  <x v="123"/>
    <x v="104"/>
    <x v="0"/>
    <x v="0"/>
    <x v="0"/>
    <x v="0"/>
    <x v="0"/>
    <x v="0"/>
  </r>
  <r>
    <x v="1"/>
    <x v="489"/>
    <x v="3"/>
    <x v="27"/>
    <x v="0"/>
    <x v="0"/>
    <x v="0"/>
    <x v="368"/>
    <x v="389"/>
    <x v="0"/>
    <x v="0"/>
    <x v="0"/>
    <x v="40"/>
    <x v="4"/>
    <x v="0"/>
    <x v="368"/>
    <x v="20"/>
    <x v="0"/>
    <x v="0"/>
    <x v="0"/>
    <x v="368"/>
    <x v="389"/>
    <x v="0"/>
    <x v="3"/>
    <x v="0"/>
    <x v="0"/>
    <x v="0"/>
    <x v="0"/>
    <x v="1"/>
    <x v="1"/>
    <x v="0"/>
    <x v="4"/>
    <x v="359"/>
    <x v="0"/>
    <x v="367"/>
    <x v="359"/>
    <x v="1"/>
    <x v="0"/>
    <x v="392"/>
    <x v="0"/>
    <x v="0"/>
    <x v="0"/>
    <x v="0"/>
    <x v="0"/>
    <x v="40"/>
    <x v="0"/>
    <x v="0"/>
    <x v="0"/>
    <x v="0"/>
    <x v="359"/>
    <x v="0"/>
    <x v="0"/>
    <x v="359"/>
    <x v="0"/>
    <x v="0"/>
    <x v="6"/>
    <x v="1"/>
    <x v="7"/>
    <x v="1"/>
    <x v="392"/>
    <x v="0"/>
    <x v="0"/>
    <x v="1"/>
    <x v="0"/>
    <x v="29"/>
    <x v="488"/>
    <x v="489"/>
    <x v="0"/>
    <x v="0"/>
    <x v="0"/>
    <x v="359"/>
    <x v="0"/>
    <x v="0"/>
    <x v="0"/>
    <x v="0"/>
    <x v="7"/>
    <x v="0"/>
    <x v="0"/>
    <x v="0"/>
    <x v="26"/>
    <x v="0"/>
    <x v="3"/>
    <x v="3"/>
    <x v="4"/>
    <x v="1"/>
    <x v="0"/>
    <x v="0"/>
    <x v="0"/>
    <x v="413"/>
    <x v="7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490"/>
    <x v="1"/>
    <x v="28"/>
    <x v="0"/>
    <x v="0"/>
    <x v="0"/>
    <x v="369"/>
    <x v="390"/>
    <x v="0"/>
    <x v="0"/>
    <x v="0"/>
    <x v="31"/>
    <x v="5"/>
    <x v="0"/>
    <x v="369"/>
    <x v="15"/>
    <x v="0"/>
    <x v="0"/>
    <x v="0"/>
    <x v="369"/>
    <x v="390"/>
    <x v="0"/>
    <x v="3"/>
    <x v="0"/>
    <x v="0"/>
    <x v="0"/>
    <x v="0"/>
    <x v="1"/>
    <x v="1"/>
    <x v="0"/>
    <x v="4"/>
    <x v="360"/>
    <x v="0"/>
    <x v="368"/>
    <x v="360"/>
    <x v="1"/>
    <x v="0"/>
    <x v="393"/>
    <x v="0"/>
    <x v="0"/>
    <x v="0"/>
    <x v="0"/>
    <x v="0"/>
    <x v="31"/>
    <x v="0"/>
    <x v="0"/>
    <x v="0"/>
    <x v="0"/>
    <x v="360"/>
    <x v="0"/>
    <x v="0"/>
    <x v="360"/>
    <x v="0"/>
    <x v="0"/>
    <x v="6"/>
    <x v="1"/>
    <x v="7"/>
    <x v="1"/>
    <x v="393"/>
    <x v="0"/>
    <x v="12"/>
    <x v="0"/>
    <x v="0"/>
    <x v="29"/>
    <x v="489"/>
    <x v="490"/>
    <x v="0"/>
    <x v="0"/>
    <x v="0"/>
    <x v="360"/>
    <x v="0"/>
    <x v="0"/>
    <x v="0"/>
    <x v="0"/>
    <x v="7"/>
    <x v="0"/>
    <x v="0"/>
    <x v="0"/>
    <x v="27"/>
    <x v="0"/>
    <x v="3"/>
    <x v="3"/>
    <x v="4"/>
    <x v="1"/>
    <x v="0"/>
    <x v="0"/>
    <x v="0"/>
    <x v="414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491"/>
    <x v="0"/>
    <x v="30"/>
    <x v="0"/>
    <x v="0"/>
    <x v="0"/>
    <x v="370"/>
    <x v="391"/>
    <x v="0"/>
    <x v="0"/>
    <x v="0"/>
    <x v="1"/>
    <x v="0"/>
    <x v="0"/>
    <x v="370"/>
    <x v="2"/>
    <x v="0"/>
    <x v="0"/>
    <x v="0"/>
    <x v="370"/>
    <x v="391"/>
    <x v="0"/>
    <x v="0"/>
    <x v="0"/>
    <x v="0"/>
    <x v="0"/>
    <x v="0"/>
    <x v="0"/>
    <x v="0"/>
    <x v="0"/>
    <x v="319"/>
    <x v="361"/>
    <x v="0"/>
    <x v="369"/>
    <x v="361"/>
    <x v="117"/>
    <x v="0"/>
    <x v="394"/>
    <x v="0"/>
    <x v="0"/>
    <x v="0"/>
    <x v="0"/>
    <x v="0"/>
    <x v="1"/>
    <x v="0"/>
    <x v="0"/>
    <x v="0"/>
    <x v="0"/>
    <x v="361"/>
    <x v="0"/>
    <x v="0"/>
    <x v="361"/>
    <x v="0"/>
    <x v="0"/>
    <x v="282"/>
    <x v="0"/>
    <x v="290"/>
    <x v="117"/>
    <x v="394"/>
    <x v="0"/>
    <x v="0"/>
    <x v="0"/>
    <x v="0"/>
    <x v="30"/>
    <x v="490"/>
    <x v="491"/>
    <x v="0"/>
    <x v="0"/>
    <x v="0"/>
    <x v="361"/>
    <x v="0"/>
    <x v="0"/>
    <x v="0"/>
    <x v="0"/>
    <x v="290"/>
    <x v="0"/>
    <x v="0"/>
    <x v="0"/>
    <x v="29"/>
    <x v="0"/>
    <x v="63"/>
    <x v="63"/>
    <x v="319"/>
    <x v="0"/>
    <x v="0"/>
    <x v="0"/>
    <x v="0"/>
    <x v="415"/>
    <x v="29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94"/>
    <x v="270"/>
    <x v="0"/>
    <x v="0"/>
    <x v="0"/>
    <x v="0"/>
    <x v="0"/>
    <x v="0"/>
  </r>
  <r>
    <x v="0"/>
    <x v="492"/>
    <x v="0"/>
    <x v="30"/>
    <x v="0"/>
    <x v="0"/>
    <x v="0"/>
    <x v="371"/>
    <x v="392"/>
    <x v="0"/>
    <x v="0"/>
    <x v="0"/>
    <x v="1"/>
    <x v="0"/>
    <x v="0"/>
    <x v="371"/>
    <x v="2"/>
    <x v="0"/>
    <x v="0"/>
    <x v="0"/>
    <x v="371"/>
    <x v="392"/>
    <x v="0"/>
    <x v="0"/>
    <x v="0"/>
    <x v="0"/>
    <x v="0"/>
    <x v="0"/>
    <x v="0"/>
    <x v="0"/>
    <x v="0"/>
    <x v="319"/>
    <x v="362"/>
    <x v="0"/>
    <x v="370"/>
    <x v="362"/>
    <x v="1"/>
    <x v="0"/>
    <x v="395"/>
    <x v="1"/>
    <x v="0"/>
    <x v="1"/>
    <x v="0"/>
    <x v="0"/>
    <x v="1"/>
    <x v="0"/>
    <x v="0"/>
    <x v="0"/>
    <x v="0"/>
    <x v="362"/>
    <x v="0"/>
    <x v="1"/>
    <x v="362"/>
    <x v="0"/>
    <x v="0"/>
    <x v="283"/>
    <x v="0"/>
    <x v="291"/>
    <x v="1"/>
    <x v="395"/>
    <x v="0"/>
    <x v="0"/>
    <x v="0"/>
    <x v="0"/>
    <x v="30"/>
    <x v="491"/>
    <x v="492"/>
    <x v="0"/>
    <x v="0"/>
    <x v="0"/>
    <x v="362"/>
    <x v="0"/>
    <x v="0"/>
    <x v="0"/>
    <x v="0"/>
    <x v="291"/>
    <x v="0"/>
    <x v="0"/>
    <x v="0"/>
    <x v="29"/>
    <x v="0"/>
    <x v="63"/>
    <x v="63"/>
    <x v="319"/>
    <x v="0"/>
    <x v="0"/>
    <x v="0"/>
    <x v="0"/>
    <x v="415"/>
    <x v="29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94"/>
    <x v="270"/>
    <x v="0"/>
    <x v="0"/>
    <x v="0"/>
    <x v="0"/>
    <x v="0"/>
    <x v="0"/>
  </r>
  <r>
    <x v="1"/>
    <x v="493"/>
    <x v="0"/>
    <x v="29"/>
    <x v="0"/>
    <x v="0"/>
    <x v="0"/>
    <x v="29"/>
    <x v="30"/>
    <x v="0"/>
    <x v="0"/>
    <x v="0"/>
    <x v="16"/>
    <x v="0"/>
    <x v="0"/>
    <x v="29"/>
    <x v="9"/>
    <x v="0"/>
    <x v="0"/>
    <x v="0"/>
    <x v="29"/>
    <x v="30"/>
    <x v="0"/>
    <x v="3"/>
    <x v="0"/>
    <x v="0"/>
    <x v="0"/>
    <x v="0"/>
    <x v="1"/>
    <x v="1"/>
    <x v="0"/>
    <x v="4"/>
    <x v="30"/>
    <x v="0"/>
    <x v="29"/>
    <x v="30"/>
    <x v="1"/>
    <x v="0"/>
    <x v="31"/>
    <x v="0"/>
    <x v="0"/>
    <x v="0"/>
    <x v="0"/>
    <x v="0"/>
    <x v="16"/>
    <x v="0"/>
    <x v="0"/>
    <x v="0"/>
    <x v="0"/>
    <x v="30"/>
    <x v="0"/>
    <x v="0"/>
    <x v="30"/>
    <x v="0"/>
    <x v="0"/>
    <x v="6"/>
    <x v="1"/>
    <x v="7"/>
    <x v="1"/>
    <x v="31"/>
    <x v="0"/>
    <x v="0"/>
    <x v="1"/>
    <x v="0"/>
    <x v="30"/>
    <x v="492"/>
    <x v="493"/>
    <x v="0"/>
    <x v="0"/>
    <x v="0"/>
    <x v="30"/>
    <x v="0"/>
    <x v="0"/>
    <x v="0"/>
    <x v="0"/>
    <x v="7"/>
    <x v="0"/>
    <x v="0"/>
    <x v="0"/>
    <x v="28"/>
    <x v="0"/>
    <x v="3"/>
    <x v="3"/>
    <x v="4"/>
    <x v="1"/>
    <x v="0"/>
    <x v="0"/>
    <x v="0"/>
    <x v="416"/>
    <x v="7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494"/>
    <x v="0"/>
    <x v="29"/>
    <x v="0"/>
    <x v="0"/>
    <x v="0"/>
    <x v="372"/>
    <x v="393"/>
    <x v="0"/>
    <x v="0"/>
    <x v="0"/>
    <x v="2"/>
    <x v="1"/>
    <x v="0"/>
    <x v="372"/>
    <x v="3"/>
    <x v="0"/>
    <x v="0"/>
    <x v="0"/>
    <x v="372"/>
    <x v="393"/>
    <x v="0"/>
    <x v="3"/>
    <x v="0"/>
    <x v="0"/>
    <x v="0"/>
    <x v="0"/>
    <x v="1"/>
    <x v="1"/>
    <x v="0"/>
    <x v="4"/>
    <x v="6"/>
    <x v="0"/>
    <x v="371"/>
    <x v="6"/>
    <x v="36"/>
    <x v="0"/>
    <x v="93"/>
    <x v="0"/>
    <x v="0"/>
    <x v="0"/>
    <x v="0"/>
    <x v="0"/>
    <x v="2"/>
    <x v="0"/>
    <x v="0"/>
    <x v="0"/>
    <x v="0"/>
    <x v="6"/>
    <x v="0"/>
    <x v="0"/>
    <x v="6"/>
    <x v="174"/>
    <x v="0"/>
    <x v="6"/>
    <x v="1"/>
    <x v="7"/>
    <x v="36"/>
    <x v="93"/>
    <x v="0"/>
    <x v="2"/>
    <x v="0"/>
    <x v="0"/>
    <x v="30"/>
    <x v="493"/>
    <x v="494"/>
    <x v="0"/>
    <x v="0"/>
    <x v="0"/>
    <x v="6"/>
    <x v="0"/>
    <x v="0"/>
    <x v="0"/>
    <x v="0"/>
    <x v="7"/>
    <x v="0"/>
    <x v="0"/>
    <x v="0"/>
    <x v="28"/>
    <x v="0"/>
    <x v="3"/>
    <x v="3"/>
    <x v="4"/>
    <x v="1"/>
    <x v="0"/>
    <x v="0"/>
    <x v="0"/>
    <x v="417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95"/>
    <x v="4"/>
    <x v="0"/>
    <x v="0"/>
    <x v="0"/>
    <x v="0"/>
    <x v="0"/>
    <x v="201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175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2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92"/>
    <x v="0"/>
    <x v="7"/>
    <x v="92"/>
    <x v="38"/>
    <x v="0"/>
    <x v="95"/>
    <x v="0"/>
    <x v="1"/>
    <x v="0"/>
    <x v="1"/>
    <x v="0"/>
    <x v="3"/>
    <x v="0"/>
    <x v="0"/>
    <x v="0"/>
    <x v="0"/>
    <x v="92"/>
    <x v="1"/>
    <x v="0"/>
    <x v="92"/>
    <x v="176"/>
    <x v="0"/>
    <x v="6"/>
    <x v="1"/>
    <x v="7"/>
    <x v="38"/>
    <x v="95"/>
    <x v="1"/>
    <x v="3"/>
    <x v="3"/>
    <x v="1"/>
    <x v="1"/>
    <x v="9"/>
    <x v="9"/>
    <x v="0"/>
    <x v="0"/>
    <x v="1"/>
    <x v="92"/>
    <x v="0"/>
    <x v="0"/>
    <x v="0"/>
    <x v="1"/>
    <x v="7"/>
    <x v="0"/>
    <x v="1"/>
    <x v="1"/>
    <x v="2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77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2"/>
    <x v="0"/>
    <x v="7"/>
    <x v="32"/>
    <x v="42"/>
    <x v="0"/>
    <x v="99"/>
    <x v="0"/>
    <x v="1"/>
    <x v="0"/>
    <x v="1"/>
    <x v="0"/>
    <x v="3"/>
    <x v="0"/>
    <x v="0"/>
    <x v="0"/>
    <x v="0"/>
    <x v="32"/>
    <x v="1"/>
    <x v="0"/>
    <x v="32"/>
    <x v="178"/>
    <x v="0"/>
    <x v="6"/>
    <x v="1"/>
    <x v="7"/>
    <x v="42"/>
    <x v="99"/>
    <x v="1"/>
    <x v="3"/>
    <x v="3"/>
    <x v="1"/>
    <x v="1"/>
    <x v="9"/>
    <x v="9"/>
    <x v="0"/>
    <x v="0"/>
    <x v="1"/>
    <x v="32"/>
    <x v="0"/>
    <x v="0"/>
    <x v="0"/>
    <x v="1"/>
    <x v="7"/>
    <x v="0"/>
    <x v="1"/>
    <x v="1"/>
    <x v="2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63"/>
    <x v="0"/>
    <x v="7"/>
    <x v="363"/>
    <x v="118"/>
    <x v="0"/>
    <x v="396"/>
    <x v="0"/>
    <x v="1"/>
    <x v="0"/>
    <x v="1"/>
    <x v="0"/>
    <x v="3"/>
    <x v="0"/>
    <x v="0"/>
    <x v="0"/>
    <x v="0"/>
    <x v="363"/>
    <x v="1"/>
    <x v="0"/>
    <x v="363"/>
    <x v="179"/>
    <x v="0"/>
    <x v="6"/>
    <x v="1"/>
    <x v="7"/>
    <x v="118"/>
    <x v="396"/>
    <x v="1"/>
    <x v="3"/>
    <x v="3"/>
    <x v="1"/>
    <x v="1"/>
    <x v="9"/>
    <x v="9"/>
    <x v="0"/>
    <x v="0"/>
    <x v="1"/>
    <x v="363"/>
    <x v="0"/>
    <x v="0"/>
    <x v="0"/>
    <x v="1"/>
    <x v="7"/>
    <x v="0"/>
    <x v="1"/>
    <x v="1"/>
    <x v="28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495"/>
    <x v="0"/>
    <x v="30"/>
    <x v="0"/>
    <x v="0"/>
    <x v="0"/>
    <x v="373"/>
    <x v="394"/>
    <x v="0"/>
    <x v="0"/>
    <x v="0"/>
    <x v="2"/>
    <x v="1"/>
    <x v="0"/>
    <x v="373"/>
    <x v="3"/>
    <x v="0"/>
    <x v="0"/>
    <x v="0"/>
    <x v="373"/>
    <x v="394"/>
    <x v="0"/>
    <x v="3"/>
    <x v="0"/>
    <x v="0"/>
    <x v="0"/>
    <x v="0"/>
    <x v="1"/>
    <x v="1"/>
    <x v="0"/>
    <x v="4"/>
    <x v="6"/>
    <x v="0"/>
    <x v="372"/>
    <x v="6"/>
    <x v="36"/>
    <x v="0"/>
    <x v="93"/>
    <x v="0"/>
    <x v="0"/>
    <x v="0"/>
    <x v="0"/>
    <x v="0"/>
    <x v="2"/>
    <x v="0"/>
    <x v="0"/>
    <x v="0"/>
    <x v="0"/>
    <x v="6"/>
    <x v="0"/>
    <x v="0"/>
    <x v="6"/>
    <x v="180"/>
    <x v="0"/>
    <x v="6"/>
    <x v="1"/>
    <x v="7"/>
    <x v="36"/>
    <x v="93"/>
    <x v="0"/>
    <x v="2"/>
    <x v="0"/>
    <x v="0"/>
    <x v="30"/>
    <x v="494"/>
    <x v="495"/>
    <x v="0"/>
    <x v="0"/>
    <x v="0"/>
    <x v="6"/>
    <x v="0"/>
    <x v="0"/>
    <x v="0"/>
    <x v="0"/>
    <x v="7"/>
    <x v="0"/>
    <x v="0"/>
    <x v="0"/>
    <x v="29"/>
    <x v="0"/>
    <x v="3"/>
    <x v="3"/>
    <x v="4"/>
    <x v="1"/>
    <x v="0"/>
    <x v="0"/>
    <x v="0"/>
    <x v="418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96"/>
    <x v="4"/>
    <x v="0"/>
    <x v="0"/>
    <x v="0"/>
    <x v="0"/>
    <x v="0"/>
    <x v="202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81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82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5"/>
    <x v="0"/>
    <x v="7"/>
    <x v="35"/>
    <x v="49"/>
    <x v="0"/>
    <x v="124"/>
    <x v="0"/>
    <x v="1"/>
    <x v="0"/>
    <x v="1"/>
    <x v="0"/>
    <x v="3"/>
    <x v="0"/>
    <x v="0"/>
    <x v="0"/>
    <x v="0"/>
    <x v="35"/>
    <x v="1"/>
    <x v="0"/>
    <x v="35"/>
    <x v="183"/>
    <x v="0"/>
    <x v="6"/>
    <x v="1"/>
    <x v="7"/>
    <x v="49"/>
    <x v="124"/>
    <x v="1"/>
    <x v="3"/>
    <x v="3"/>
    <x v="1"/>
    <x v="1"/>
    <x v="9"/>
    <x v="9"/>
    <x v="0"/>
    <x v="0"/>
    <x v="1"/>
    <x v="35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168"/>
    <x v="0"/>
    <x v="7"/>
    <x v="168"/>
    <x v="63"/>
    <x v="0"/>
    <x v="180"/>
    <x v="0"/>
    <x v="1"/>
    <x v="0"/>
    <x v="1"/>
    <x v="0"/>
    <x v="3"/>
    <x v="0"/>
    <x v="0"/>
    <x v="0"/>
    <x v="0"/>
    <x v="168"/>
    <x v="1"/>
    <x v="0"/>
    <x v="168"/>
    <x v="184"/>
    <x v="0"/>
    <x v="6"/>
    <x v="1"/>
    <x v="7"/>
    <x v="63"/>
    <x v="180"/>
    <x v="1"/>
    <x v="3"/>
    <x v="3"/>
    <x v="1"/>
    <x v="1"/>
    <x v="9"/>
    <x v="9"/>
    <x v="0"/>
    <x v="0"/>
    <x v="1"/>
    <x v="168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85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8"/>
    <x v="0"/>
    <x v="7"/>
    <x v="8"/>
    <x v="39"/>
    <x v="0"/>
    <x v="96"/>
    <x v="0"/>
    <x v="1"/>
    <x v="0"/>
    <x v="1"/>
    <x v="0"/>
    <x v="3"/>
    <x v="0"/>
    <x v="0"/>
    <x v="0"/>
    <x v="0"/>
    <x v="8"/>
    <x v="1"/>
    <x v="0"/>
    <x v="8"/>
    <x v="186"/>
    <x v="0"/>
    <x v="6"/>
    <x v="1"/>
    <x v="7"/>
    <x v="39"/>
    <x v="96"/>
    <x v="1"/>
    <x v="3"/>
    <x v="3"/>
    <x v="1"/>
    <x v="1"/>
    <x v="9"/>
    <x v="9"/>
    <x v="0"/>
    <x v="0"/>
    <x v="1"/>
    <x v="8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87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88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89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92"/>
    <x v="0"/>
    <x v="7"/>
    <x v="92"/>
    <x v="38"/>
    <x v="0"/>
    <x v="95"/>
    <x v="0"/>
    <x v="1"/>
    <x v="0"/>
    <x v="1"/>
    <x v="0"/>
    <x v="3"/>
    <x v="0"/>
    <x v="0"/>
    <x v="0"/>
    <x v="0"/>
    <x v="92"/>
    <x v="1"/>
    <x v="0"/>
    <x v="92"/>
    <x v="190"/>
    <x v="0"/>
    <x v="6"/>
    <x v="1"/>
    <x v="7"/>
    <x v="38"/>
    <x v="95"/>
    <x v="1"/>
    <x v="3"/>
    <x v="3"/>
    <x v="1"/>
    <x v="1"/>
    <x v="9"/>
    <x v="9"/>
    <x v="0"/>
    <x v="0"/>
    <x v="1"/>
    <x v="92"/>
    <x v="0"/>
    <x v="0"/>
    <x v="0"/>
    <x v="1"/>
    <x v="7"/>
    <x v="0"/>
    <x v="1"/>
    <x v="1"/>
    <x v="29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496"/>
    <x v="2"/>
    <x v="27"/>
    <x v="0"/>
    <x v="0"/>
    <x v="0"/>
    <x v="374"/>
    <x v="395"/>
    <x v="0"/>
    <x v="0"/>
    <x v="0"/>
    <x v="41"/>
    <x v="3"/>
    <x v="0"/>
    <x v="374"/>
    <x v="5"/>
    <x v="0"/>
    <x v="0"/>
    <x v="0"/>
    <x v="374"/>
    <x v="395"/>
    <x v="0"/>
    <x v="3"/>
    <x v="0"/>
    <x v="0"/>
    <x v="0"/>
    <x v="0"/>
    <x v="1"/>
    <x v="1"/>
    <x v="0"/>
    <x v="4"/>
    <x v="364"/>
    <x v="0"/>
    <x v="373"/>
    <x v="364"/>
    <x v="1"/>
    <x v="0"/>
    <x v="397"/>
    <x v="0"/>
    <x v="0"/>
    <x v="0"/>
    <x v="0"/>
    <x v="0"/>
    <x v="41"/>
    <x v="0"/>
    <x v="0"/>
    <x v="0"/>
    <x v="0"/>
    <x v="364"/>
    <x v="0"/>
    <x v="0"/>
    <x v="364"/>
    <x v="0"/>
    <x v="0"/>
    <x v="6"/>
    <x v="1"/>
    <x v="7"/>
    <x v="1"/>
    <x v="397"/>
    <x v="0"/>
    <x v="6"/>
    <x v="0"/>
    <x v="0"/>
    <x v="30"/>
    <x v="495"/>
    <x v="496"/>
    <x v="0"/>
    <x v="0"/>
    <x v="0"/>
    <x v="364"/>
    <x v="0"/>
    <x v="0"/>
    <x v="0"/>
    <x v="0"/>
    <x v="7"/>
    <x v="0"/>
    <x v="0"/>
    <x v="0"/>
    <x v="26"/>
    <x v="0"/>
    <x v="3"/>
    <x v="3"/>
    <x v="4"/>
    <x v="1"/>
    <x v="0"/>
    <x v="0"/>
    <x v="0"/>
    <x v="419"/>
    <x v="7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297"/>
    <x v="4"/>
    <x v="0"/>
    <x v="0"/>
    <x v="0"/>
    <x v="0"/>
    <x v="0"/>
    <x v="203"/>
  </r>
  <r>
    <x v="0"/>
    <x v="497"/>
    <x v="0"/>
    <x v="30"/>
    <x v="0"/>
    <x v="0"/>
    <x v="0"/>
    <x v="375"/>
    <x v="396"/>
    <x v="0"/>
    <x v="0"/>
    <x v="0"/>
    <x v="0"/>
    <x v="0"/>
    <x v="0"/>
    <x v="375"/>
    <x v="0"/>
    <x v="0"/>
    <x v="0"/>
    <x v="0"/>
    <x v="375"/>
    <x v="396"/>
    <x v="0"/>
    <x v="0"/>
    <x v="0"/>
    <x v="0"/>
    <x v="0"/>
    <x v="1"/>
    <x v="0"/>
    <x v="0"/>
    <x v="0"/>
    <x v="320"/>
    <x v="365"/>
    <x v="0"/>
    <x v="374"/>
    <x v="365"/>
    <x v="119"/>
    <x v="0"/>
    <x v="398"/>
    <x v="0"/>
    <x v="0"/>
    <x v="0"/>
    <x v="0"/>
    <x v="0"/>
    <x v="0"/>
    <x v="0"/>
    <x v="0"/>
    <x v="0"/>
    <x v="0"/>
    <x v="365"/>
    <x v="0"/>
    <x v="0"/>
    <x v="365"/>
    <x v="0"/>
    <x v="0"/>
    <x v="284"/>
    <x v="0"/>
    <x v="292"/>
    <x v="119"/>
    <x v="398"/>
    <x v="0"/>
    <x v="0"/>
    <x v="0"/>
    <x v="0"/>
    <x v="30"/>
    <x v="496"/>
    <x v="497"/>
    <x v="0"/>
    <x v="0"/>
    <x v="0"/>
    <x v="365"/>
    <x v="0"/>
    <x v="0"/>
    <x v="0"/>
    <x v="0"/>
    <x v="292"/>
    <x v="0"/>
    <x v="0"/>
    <x v="0"/>
    <x v="29"/>
    <x v="0"/>
    <x v="10"/>
    <x v="10"/>
    <x v="320"/>
    <x v="0"/>
    <x v="0"/>
    <x v="0"/>
    <x v="0"/>
    <x v="420"/>
    <x v="2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8"/>
    <x v="271"/>
    <x v="0"/>
    <x v="0"/>
    <x v="0"/>
    <x v="0"/>
    <x v="0"/>
    <x v="0"/>
  </r>
  <r>
    <x v="0"/>
    <x v="498"/>
    <x v="0"/>
    <x v="29"/>
    <x v="0"/>
    <x v="0"/>
    <x v="0"/>
    <x v="16"/>
    <x v="16"/>
    <x v="0"/>
    <x v="0"/>
    <x v="0"/>
    <x v="0"/>
    <x v="0"/>
    <x v="0"/>
    <x v="16"/>
    <x v="0"/>
    <x v="0"/>
    <x v="0"/>
    <x v="0"/>
    <x v="16"/>
    <x v="16"/>
    <x v="0"/>
    <x v="0"/>
    <x v="0"/>
    <x v="0"/>
    <x v="0"/>
    <x v="0"/>
    <x v="0"/>
    <x v="0"/>
    <x v="0"/>
    <x v="321"/>
    <x v="17"/>
    <x v="0"/>
    <x v="16"/>
    <x v="17"/>
    <x v="1"/>
    <x v="0"/>
    <x v="17"/>
    <x v="2"/>
    <x v="0"/>
    <x v="2"/>
    <x v="0"/>
    <x v="0"/>
    <x v="0"/>
    <x v="0"/>
    <x v="0"/>
    <x v="0"/>
    <x v="0"/>
    <x v="17"/>
    <x v="0"/>
    <x v="2"/>
    <x v="17"/>
    <x v="0"/>
    <x v="0"/>
    <x v="14"/>
    <x v="0"/>
    <x v="13"/>
    <x v="1"/>
    <x v="17"/>
    <x v="0"/>
    <x v="0"/>
    <x v="1"/>
    <x v="0"/>
    <x v="30"/>
    <x v="497"/>
    <x v="498"/>
    <x v="0"/>
    <x v="0"/>
    <x v="0"/>
    <x v="17"/>
    <x v="0"/>
    <x v="0"/>
    <x v="0"/>
    <x v="0"/>
    <x v="13"/>
    <x v="0"/>
    <x v="0"/>
    <x v="0"/>
    <x v="28"/>
    <x v="0"/>
    <x v="9"/>
    <x v="9"/>
    <x v="321"/>
    <x v="0"/>
    <x v="0"/>
    <x v="0"/>
    <x v="0"/>
    <x v="421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9"/>
    <x v="272"/>
    <x v="0"/>
    <x v="0"/>
    <x v="0"/>
    <x v="0"/>
    <x v="0"/>
    <x v="204"/>
  </r>
  <r>
    <x v="0"/>
    <x v="499"/>
    <x v="0"/>
    <x v="29"/>
    <x v="0"/>
    <x v="0"/>
    <x v="0"/>
    <x v="94"/>
    <x v="96"/>
    <x v="0"/>
    <x v="0"/>
    <x v="0"/>
    <x v="1"/>
    <x v="0"/>
    <x v="0"/>
    <x v="94"/>
    <x v="2"/>
    <x v="0"/>
    <x v="0"/>
    <x v="0"/>
    <x v="94"/>
    <x v="96"/>
    <x v="0"/>
    <x v="0"/>
    <x v="0"/>
    <x v="0"/>
    <x v="0"/>
    <x v="0"/>
    <x v="0"/>
    <x v="0"/>
    <x v="0"/>
    <x v="322"/>
    <x v="95"/>
    <x v="0"/>
    <x v="94"/>
    <x v="95"/>
    <x v="1"/>
    <x v="0"/>
    <x v="102"/>
    <x v="2"/>
    <x v="0"/>
    <x v="2"/>
    <x v="0"/>
    <x v="0"/>
    <x v="1"/>
    <x v="0"/>
    <x v="0"/>
    <x v="0"/>
    <x v="0"/>
    <x v="95"/>
    <x v="0"/>
    <x v="2"/>
    <x v="95"/>
    <x v="0"/>
    <x v="0"/>
    <x v="74"/>
    <x v="0"/>
    <x v="73"/>
    <x v="1"/>
    <x v="102"/>
    <x v="0"/>
    <x v="0"/>
    <x v="1"/>
    <x v="0"/>
    <x v="31"/>
    <x v="498"/>
    <x v="499"/>
    <x v="0"/>
    <x v="0"/>
    <x v="0"/>
    <x v="95"/>
    <x v="0"/>
    <x v="0"/>
    <x v="0"/>
    <x v="0"/>
    <x v="73"/>
    <x v="0"/>
    <x v="0"/>
    <x v="0"/>
    <x v="28"/>
    <x v="0"/>
    <x v="93"/>
    <x v="93"/>
    <x v="322"/>
    <x v="0"/>
    <x v="0"/>
    <x v="0"/>
    <x v="0"/>
    <x v="422"/>
    <x v="7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00"/>
    <x v="273"/>
    <x v="0"/>
    <x v="0"/>
    <x v="0"/>
    <x v="0"/>
    <x v="0"/>
    <x v="205"/>
  </r>
  <r>
    <x v="0"/>
    <x v="500"/>
    <x v="0"/>
    <x v="29"/>
    <x v="0"/>
    <x v="0"/>
    <x v="0"/>
    <x v="376"/>
    <x v="397"/>
    <x v="0"/>
    <x v="0"/>
    <x v="0"/>
    <x v="1"/>
    <x v="0"/>
    <x v="0"/>
    <x v="376"/>
    <x v="2"/>
    <x v="0"/>
    <x v="0"/>
    <x v="0"/>
    <x v="376"/>
    <x v="397"/>
    <x v="0"/>
    <x v="0"/>
    <x v="0"/>
    <x v="0"/>
    <x v="0"/>
    <x v="0"/>
    <x v="0"/>
    <x v="0"/>
    <x v="0"/>
    <x v="322"/>
    <x v="366"/>
    <x v="0"/>
    <x v="375"/>
    <x v="366"/>
    <x v="1"/>
    <x v="0"/>
    <x v="399"/>
    <x v="2"/>
    <x v="0"/>
    <x v="2"/>
    <x v="0"/>
    <x v="0"/>
    <x v="1"/>
    <x v="0"/>
    <x v="0"/>
    <x v="0"/>
    <x v="0"/>
    <x v="366"/>
    <x v="0"/>
    <x v="2"/>
    <x v="366"/>
    <x v="0"/>
    <x v="0"/>
    <x v="285"/>
    <x v="0"/>
    <x v="293"/>
    <x v="1"/>
    <x v="399"/>
    <x v="0"/>
    <x v="0"/>
    <x v="1"/>
    <x v="0"/>
    <x v="31"/>
    <x v="499"/>
    <x v="500"/>
    <x v="0"/>
    <x v="0"/>
    <x v="0"/>
    <x v="366"/>
    <x v="0"/>
    <x v="0"/>
    <x v="0"/>
    <x v="0"/>
    <x v="293"/>
    <x v="0"/>
    <x v="0"/>
    <x v="0"/>
    <x v="28"/>
    <x v="0"/>
    <x v="93"/>
    <x v="93"/>
    <x v="322"/>
    <x v="0"/>
    <x v="0"/>
    <x v="0"/>
    <x v="0"/>
    <x v="423"/>
    <x v="29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00"/>
    <x v="273"/>
    <x v="0"/>
    <x v="0"/>
    <x v="0"/>
    <x v="0"/>
    <x v="0"/>
    <x v="206"/>
  </r>
  <r>
    <x v="0"/>
    <x v="501"/>
    <x v="0"/>
    <x v="30"/>
    <x v="0"/>
    <x v="0"/>
    <x v="0"/>
    <x v="23"/>
    <x v="24"/>
    <x v="0"/>
    <x v="0"/>
    <x v="0"/>
    <x v="0"/>
    <x v="0"/>
    <x v="0"/>
    <x v="23"/>
    <x v="0"/>
    <x v="0"/>
    <x v="0"/>
    <x v="0"/>
    <x v="23"/>
    <x v="24"/>
    <x v="0"/>
    <x v="0"/>
    <x v="0"/>
    <x v="0"/>
    <x v="0"/>
    <x v="0"/>
    <x v="0"/>
    <x v="0"/>
    <x v="0"/>
    <x v="323"/>
    <x v="24"/>
    <x v="0"/>
    <x v="23"/>
    <x v="24"/>
    <x v="13"/>
    <x v="0"/>
    <x v="25"/>
    <x v="0"/>
    <x v="0"/>
    <x v="0"/>
    <x v="0"/>
    <x v="0"/>
    <x v="0"/>
    <x v="0"/>
    <x v="0"/>
    <x v="0"/>
    <x v="0"/>
    <x v="24"/>
    <x v="0"/>
    <x v="0"/>
    <x v="24"/>
    <x v="0"/>
    <x v="0"/>
    <x v="21"/>
    <x v="0"/>
    <x v="20"/>
    <x v="13"/>
    <x v="25"/>
    <x v="0"/>
    <x v="0"/>
    <x v="0"/>
    <x v="0"/>
    <x v="31"/>
    <x v="500"/>
    <x v="501"/>
    <x v="0"/>
    <x v="0"/>
    <x v="0"/>
    <x v="24"/>
    <x v="0"/>
    <x v="0"/>
    <x v="0"/>
    <x v="0"/>
    <x v="20"/>
    <x v="0"/>
    <x v="0"/>
    <x v="0"/>
    <x v="29"/>
    <x v="0"/>
    <x v="12"/>
    <x v="12"/>
    <x v="323"/>
    <x v="0"/>
    <x v="0"/>
    <x v="0"/>
    <x v="0"/>
    <x v="424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1"/>
    <x v="272"/>
    <x v="0"/>
    <x v="0"/>
    <x v="0"/>
    <x v="0"/>
    <x v="0"/>
    <x v="0"/>
  </r>
  <r>
    <x v="0"/>
    <x v="502"/>
    <x v="0"/>
    <x v="30"/>
    <x v="0"/>
    <x v="0"/>
    <x v="0"/>
    <x v="24"/>
    <x v="25"/>
    <x v="0"/>
    <x v="0"/>
    <x v="0"/>
    <x v="0"/>
    <x v="0"/>
    <x v="0"/>
    <x v="24"/>
    <x v="0"/>
    <x v="0"/>
    <x v="0"/>
    <x v="0"/>
    <x v="24"/>
    <x v="25"/>
    <x v="0"/>
    <x v="0"/>
    <x v="0"/>
    <x v="0"/>
    <x v="0"/>
    <x v="0"/>
    <x v="0"/>
    <x v="0"/>
    <x v="0"/>
    <x v="323"/>
    <x v="25"/>
    <x v="0"/>
    <x v="24"/>
    <x v="25"/>
    <x v="1"/>
    <x v="0"/>
    <x v="26"/>
    <x v="1"/>
    <x v="0"/>
    <x v="1"/>
    <x v="0"/>
    <x v="0"/>
    <x v="0"/>
    <x v="0"/>
    <x v="0"/>
    <x v="0"/>
    <x v="0"/>
    <x v="25"/>
    <x v="0"/>
    <x v="1"/>
    <x v="25"/>
    <x v="0"/>
    <x v="0"/>
    <x v="22"/>
    <x v="0"/>
    <x v="21"/>
    <x v="1"/>
    <x v="26"/>
    <x v="0"/>
    <x v="0"/>
    <x v="1"/>
    <x v="0"/>
    <x v="31"/>
    <x v="501"/>
    <x v="502"/>
    <x v="0"/>
    <x v="0"/>
    <x v="0"/>
    <x v="25"/>
    <x v="0"/>
    <x v="0"/>
    <x v="0"/>
    <x v="0"/>
    <x v="21"/>
    <x v="0"/>
    <x v="0"/>
    <x v="0"/>
    <x v="29"/>
    <x v="0"/>
    <x v="12"/>
    <x v="12"/>
    <x v="323"/>
    <x v="0"/>
    <x v="0"/>
    <x v="0"/>
    <x v="0"/>
    <x v="424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1"/>
    <x v="272"/>
    <x v="0"/>
    <x v="0"/>
    <x v="0"/>
    <x v="0"/>
    <x v="0"/>
    <x v="0"/>
  </r>
  <r>
    <x v="0"/>
    <x v="503"/>
    <x v="0"/>
    <x v="30"/>
    <x v="0"/>
    <x v="0"/>
    <x v="0"/>
    <x v="377"/>
    <x v="398"/>
    <x v="0"/>
    <x v="0"/>
    <x v="0"/>
    <x v="12"/>
    <x v="1"/>
    <x v="0"/>
    <x v="377"/>
    <x v="11"/>
    <x v="0"/>
    <x v="0"/>
    <x v="0"/>
    <x v="377"/>
    <x v="398"/>
    <x v="0"/>
    <x v="0"/>
    <x v="0"/>
    <x v="0"/>
    <x v="0"/>
    <x v="0"/>
    <x v="0"/>
    <x v="0"/>
    <x v="0"/>
    <x v="324"/>
    <x v="96"/>
    <x v="0"/>
    <x v="376"/>
    <x v="96"/>
    <x v="1"/>
    <x v="0"/>
    <x v="103"/>
    <x v="0"/>
    <x v="0"/>
    <x v="0"/>
    <x v="0"/>
    <x v="0"/>
    <x v="12"/>
    <x v="0"/>
    <x v="0"/>
    <x v="0"/>
    <x v="0"/>
    <x v="96"/>
    <x v="0"/>
    <x v="0"/>
    <x v="96"/>
    <x v="0"/>
    <x v="0"/>
    <x v="75"/>
    <x v="0"/>
    <x v="74"/>
    <x v="1"/>
    <x v="103"/>
    <x v="0"/>
    <x v="0"/>
    <x v="1"/>
    <x v="0"/>
    <x v="31"/>
    <x v="502"/>
    <x v="503"/>
    <x v="0"/>
    <x v="0"/>
    <x v="0"/>
    <x v="96"/>
    <x v="0"/>
    <x v="0"/>
    <x v="0"/>
    <x v="0"/>
    <x v="74"/>
    <x v="0"/>
    <x v="0"/>
    <x v="0"/>
    <x v="29"/>
    <x v="0"/>
    <x v="42"/>
    <x v="42"/>
    <x v="324"/>
    <x v="0"/>
    <x v="0"/>
    <x v="0"/>
    <x v="0"/>
    <x v="425"/>
    <x v="7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6"/>
    <x v="216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325"/>
    <x v="367"/>
    <x v="0"/>
    <x v="7"/>
    <x v="367"/>
    <x v="1"/>
    <x v="0"/>
    <x v="400"/>
    <x v="0"/>
    <x v="1"/>
    <x v="0"/>
    <x v="1"/>
    <x v="0"/>
    <x v="3"/>
    <x v="0"/>
    <x v="0"/>
    <x v="0"/>
    <x v="0"/>
    <x v="367"/>
    <x v="1"/>
    <x v="0"/>
    <x v="367"/>
    <x v="0"/>
    <x v="0"/>
    <x v="286"/>
    <x v="0"/>
    <x v="294"/>
    <x v="1"/>
    <x v="400"/>
    <x v="1"/>
    <x v="3"/>
    <x v="3"/>
    <x v="1"/>
    <x v="1"/>
    <x v="9"/>
    <x v="9"/>
    <x v="0"/>
    <x v="0"/>
    <x v="1"/>
    <x v="367"/>
    <x v="0"/>
    <x v="0"/>
    <x v="0"/>
    <x v="1"/>
    <x v="294"/>
    <x v="0"/>
    <x v="1"/>
    <x v="1"/>
    <x v="29"/>
    <x v="0"/>
    <x v="100"/>
    <x v="100"/>
    <x v="325"/>
    <x v="0"/>
    <x v="1"/>
    <x v="0"/>
    <x v="0"/>
    <x v="5"/>
    <x v="294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504"/>
    <x v="0"/>
    <x v="31"/>
    <x v="0"/>
    <x v="0"/>
    <x v="0"/>
    <x v="378"/>
    <x v="399"/>
    <x v="0"/>
    <x v="0"/>
    <x v="0"/>
    <x v="1"/>
    <x v="0"/>
    <x v="0"/>
    <x v="378"/>
    <x v="2"/>
    <x v="0"/>
    <x v="0"/>
    <x v="0"/>
    <x v="378"/>
    <x v="399"/>
    <x v="0"/>
    <x v="0"/>
    <x v="0"/>
    <x v="0"/>
    <x v="0"/>
    <x v="0"/>
    <x v="0"/>
    <x v="0"/>
    <x v="0"/>
    <x v="326"/>
    <x v="368"/>
    <x v="0"/>
    <x v="377"/>
    <x v="368"/>
    <x v="120"/>
    <x v="0"/>
    <x v="401"/>
    <x v="0"/>
    <x v="0"/>
    <x v="0"/>
    <x v="0"/>
    <x v="0"/>
    <x v="1"/>
    <x v="0"/>
    <x v="0"/>
    <x v="0"/>
    <x v="0"/>
    <x v="368"/>
    <x v="0"/>
    <x v="0"/>
    <x v="368"/>
    <x v="0"/>
    <x v="0"/>
    <x v="287"/>
    <x v="0"/>
    <x v="295"/>
    <x v="120"/>
    <x v="401"/>
    <x v="0"/>
    <x v="1"/>
    <x v="0"/>
    <x v="0"/>
    <x v="31"/>
    <x v="503"/>
    <x v="504"/>
    <x v="0"/>
    <x v="0"/>
    <x v="0"/>
    <x v="368"/>
    <x v="0"/>
    <x v="0"/>
    <x v="0"/>
    <x v="0"/>
    <x v="295"/>
    <x v="0"/>
    <x v="0"/>
    <x v="0"/>
    <x v="30"/>
    <x v="0"/>
    <x v="95"/>
    <x v="95"/>
    <x v="326"/>
    <x v="0"/>
    <x v="0"/>
    <x v="0"/>
    <x v="0"/>
    <x v="426"/>
    <x v="29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02"/>
    <x v="243"/>
    <x v="0"/>
    <x v="0"/>
    <x v="0"/>
    <x v="0"/>
    <x v="0"/>
    <x v="0"/>
  </r>
  <r>
    <x v="0"/>
    <x v="505"/>
    <x v="0"/>
    <x v="31"/>
    <x v="0"/>
    <x v="0"/>
    <x v="0"/>
    <x v="379"/>
    <x v="400"/>
    <x v="0"/>
    <x v="0"/>
    <x v="0"/>
    <x v="1"/>
    <x v="0"/>
    <x v="0"/>
    <x v="379"/>
    <x v="2"/>
    <x v="0"/>
    <x v="0"/>
    <x v="0"/>
    <x v="379"/>
    <x v="400"/>
    <x v="0"/>
    <x v="0"/>
    <x v="0"/>
    <x v="0"/>
    <x v="0"/>
    <x v="0"/>
    <x v="0"/>
    <x v="0"/>
    <x v="0"/>
    <x v="326"/>
    <x v="369"/>
    <x v="0"/>
    <x v="378"/>
    <x v="369"/>
    <x v="1"/>
    <x v="0"/>
    <x v="402"/>
    <x v="1"/>
    <x v="0"/>
    <x v="1"/>
    <x v="0"/>
    <x v="0"/>
    <x v="1"/>
    <x v="0"/>
    <x v="0"/>
    <x v="0"/>
    <x v="0"/>
    <x v="369"/>
    <x v="0"/>
    <x v="1"/>
    <x v="369"/>
    <x v="0"/>
    <x v="0"/>
    <x v="288"/>
    <x v="0"/>
    <x v="296"/>
    <x v="1"/>
    <x v="402"/>
    <x v="0"/>
    <x v="1"/>
    <x v="0"/>
    <x v="0"/>
    <x v="31"/>
    <x v="504"/>
    <x v="505"/>
    <x v="0"/>
    <x v="0"/>
    <x v="0"/>
    <x v="369"/>
    <x v="0"/>
    <x v="0"/>
    <x v="0"/>
    <x v="0"/>
    <x v="296"/>
    <x v="0"/>
    <x v="0"/>
    <x v="0"/>
    <x v="30"/>
    <x v="0"/>
    <x v="95"/>
    <x v="95"/>
    <x v="326"/>
    <x v="0"/>
    <x v="0"/>
    <x v="0"/>
    <x v="0"/>
    <x v="426"/>
    <x v="29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02"/>
    <x v="243"/>
    <x v="0"/>
    <x v="0"/>
    <x v="0"/>
    <x v="0"/>
    <x v="0"/>
    <x v="0"/>
  </r>
  <r>
    <x v="0"/>
    <x v="506"/>
    <x v="2"/>
    <x v="30"/>
    <x v="0"/>
    <x v="0"/>
    <x v="0"/>
    <x v="380"/>
    <x v="401"/>
    <x v="0"/>
    <x v="0"/>
    <x v="0"/>
    <x v="5"/>
    <x v="3"/>
    <x v="0"/>
    <x v="380"/>
    <x v="5"/>
    <x v="0"/>
    <x v="0"/>
    <x v="0"/>
    <x v="380"/>
    <x v="401"/>
    <x v="0"/>
    <x v="0"/>
    <x v="0"/>
    <x v="0"/>
    <x v="0"/>
    <x v="1"/>
    <x v="0"/>
    <x v="0"/>
    <x v="0"/>
    <x v="327"/>
    <x v="370"/>
    <x v="0"/>
    <x v="379"/>
    <x v="370"/>
    <x v="121"/>
    <x v="0"/>
    <x v="403"/>
    <x v="0"/>
    <x v="0"/>
    <x v="0"/>
    <x v="0"/>
    <x v="0"/>
    <x v="5"/>
    <x v="0"/>
    <x v="0"/>
    <x v="0"/>
    <x v="0"/>
    <x v="370"/>
    <x v="0"/>
    <x v="0"/>
    <x v="370"/>
    <x v="0"/>
    <x v="0"/>
    <x v="289"/>
    <x v="0"/>
    <x v="297"/>
    <x v="121"/>
    <x v="403"/>
    <x v="0"/>
    <x v="5"/>
    <x v="0"/>
    <x v="0"/>
    <x v="31"/>
    <x v="505"/>
    <x v="506"/>
    <x v="0"/>
    <x v="0"/>
    <x v="0"/>
    <x v="370"/>
    <x v="0"/>
    <x v="0"/>
    <x v="0"/>
    <x v="0"/>
    <x v="297"/>
    <x v="0"/>
    <x v="0"/>
    <x v="0"/>
    <x v="29"/>
    <x v="0"/>
    <x v="22"/>
    <x v="22"/>
    <x v="327"/>
    <x v="0"/>
    <x v="0"/>
    <x v="0"/>
    <x v="0"/>
    <x v="427"/>
    <x v="297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303"/>
    <x v="274"/>
    <x v="0"/>
    <x v="0"/>
    <x v="0"/>
    <x v="0"/>
    <x v="0"/>
    <x v="0"/>
  </r>
  <r>
    <x v="0"/>
    <x v="507"/>
    <x v="0"/>
    <x v="30"/>
    <x v="0"/>
    <x v="0"/>
    <x v="0"/>
    <x v="381"/>
    <x v="402"/>
    <x v="0"/>
    <x v="0"/>
    <x v="0"/>
    <x v="1"/>
    <x v="0"/>
    <x v="0"/>
    <x v="381"/>
    <x v="2"/>
    <x v="0"/>
    <x v="0"/>
    <x v="0"/>
    <x v="381"/>
    <x v="402"/>
    <x v="0"/>
    <x v="0"/>
    <x v="0"/>
    <x v="0"/>
    <x v="0"/>
    <x v="0"/>
    <x v="0"/>
    <x v="0"/>
    <x v="0"/>
    <x v="328"/>
    <x v="371"/>
    <x v="0"/>
    <x v="380"/>
    <x v="371"/>
    <x v="1"/>
    <x v="0"/>
    <x v="404"/>
    <x v="2"/>
    <x v="0"/>
    <x v="2"/>
    <x v="0"/>
    <x v="0"/>
    <x v="1"/>
    <x v="0"/>
    <x v="0"/>
    <x v="0"/>
    <x v="0"/>
    <x v="371"/>
    <x v="0"/>
    <x v="2"/>
    <x v="371"/>
    <x v="0"/>
    <x v="0"/>
    <x v="290"/>
    <x v="0"/>
    <x v="298"/>
    <x v="1"/>
    <x v="404"/>
    <x v="0"/>
    <x v="1"/>
    <x v="0"/>
    <x v="0"/>
    <x v="31"/>
    <x v="506"/>
    <x v="507"/>
    <x v="0"/>
    <x v="0"/>
    <x v="0"/>
    <x v="371"/>
    <x v="0"/>
    <x v="0"/>
    <x v="0"/>
    <x v="0"/>
    <x v="298"/>
    <x v="0"/>
    <x v="0"/>
    <x v="0"/>
    <x v="29"/>
    <x v="0"/>
    <x v="4"/>
    <x v="4"/>
    <x v="328"/>
    <x v="0"/>
    <x v="0"/>
    <x v="0"/>
    <x v="0"/>
    <x v="428"/>
    <x v="29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04"/>
    <x v="275"/>
    <x v="0"/>
    <x v="0"/>
    <x v="0"/>
    <x v="0"/>
    <x v="0"/>
    <x v="207"/>
  </r>
  <r>
    <x v="0"/>
    <x v="508"/>
    <x v="0"/>
    <x v="30"/>
    <x v="0"/>
    <x v="0"/>
    <x v="0"/>
    <x v="382"/>
    <x v="403"/>
    <x v="0"/>
    <x v="0"/>
    <x v="0"/>
    <x v="1"/>
    <x v="0"/>
    <x v="0"/>
    <x v="382"/>
    <x v="2"/>
    <x v="0"/>
    <x v="0"/>
    <x v="0"/>
    <x v="382"/>
    <x v="403"/>
    <x v="0"/>
    <x v="0"/>
    <x v="0"/>
    <x v="0"/>
    <x v="0"/>
    <x v="0"/>
    <x v="0"/>
    <x v="0"/>
    <x v="0"/>
    <x v="329"/>
    <x v="372"/>
    <x v="0"/>
    <x v="381"/>
    <x v="372"/>
    <x v="1"/>
    <x v="0"/>
    <x v="405"/>
    <x v="6"/>
    <x v="0"/>
    <x v="6"/>
    <x v="0"/>
    <x v="0"/>
    <x v="1"/>
    <x v="0"/>
    <x v="0"/>
    <x v="0"/>
    <x v="0"/>
    <x v="372"/>
    <x v="0"/>
    <x v="6"/>
    <x v="372"/>
    <x v="0"/>
    <x v="0"/>
    <x v="291"/>
    <x v="0"/>
    <x v="299"/>
    <x v="1"/>
    <x v="405"/>
    <x v="0"/>
    <x v="0"/>
    <x v="1"/>
    <x v="0"/>
    <x v="31"/>
    <x v="507"/>
    <x v="508"/>
    <x v="0"/>
    <x v="0"/>
    <x v="0"/>
    <x v="372"/>
    <x v="0"/>
    <x v="0"/>
    <x v="0"/>
    <x v="0"/>
    <x v="299"/>
    <x v="0"/>
    <x v="0"/>
    <x v="0"/>
    <x v="29"/>
    <x v="0"/>
    <x v="101"/>
    <x v="101"/>
    <x v="329"/>
    <x v="0"/>
    <x v="0"/>
    <x v="0"/>
    <x v="0"/>
    <x v="429"/>
    <x v="29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02"/>
    <x v="276"/>
    <x v="0"/>
    <x v="0"/>
    <x v="0"/>
    <x v="0"/>
    <x v="0"/>
    <x v="0"/>
  </r>
  <r>
    <x v="0"/>
    <x v="509"/>
    <x v="0"/>
    <x v="30"/>
    <x v="0"/>
    <x v="0"/>
    <x v="0"/>
    <x v="383"/>
    <x v="404"/>
    <x v="0"/>
    <x v="0"/>
    <x v="0"/>
    <x v="4"/>
    <x v="0"/>
    <x v="0"/>
    <x v="383"/>
    <x v="4"/>
    <x v="0"/>
    <x v="0"/>
    <x v="0"/>
    <x v="383"/>
    <x v="404"/>
    <x v="0"/>
    <x v="0"/>
    <x v="0"/>
    <x v="0"/>
    <x v="0"/>
    <x v="1"/>
    <x v="0"/>
    <x v="0"/>
    <x v="0"/>
    <x v="330"/>
    <x v="373"/>
    <x v="0"/>
    <x v="382"/>
    <x v="373"/>
    <x v="122"/>
    <x v="0"/>
    <x v="406"/>
    <x v="0"/>
    <x v="0"/>
    <x v="0"/>
    <x v="0"/>
    <x v="0"/>
    <x v="4"/>
    <x v="0"/>
    <x v="0"/>
    <x v="0"/>
    <x v="0"/>
    <x v="373"/>
    <x v="0"/>
    <x v="0"/>
    <x v="373"/>
    <x v="0"/>
    <x v="0"/>
    <x v="292"/>
    <x v="0"/>
    <x v="300"/>
    <x v="122"/>
    <x v="406"/>
    <x v="0"/>
    <x v="0"/>
    <x v="0"/>
    <x v="0"/>
    <x v="31"/>
    <x v="508"/>
    <x v="509"/>
    <x v="0"/>
    <x v="0"/>
    <x v="0"/>
    <x v="373"/>
    <x v="0"/>
    <x v="0"/>
    <x v="0"/>
    <x v="0"/>
    <x v="300"/>
    <x v="0"/>
    <x v="0"/>
    <x v="0"/>
    <x v="29"/>
    <x v="0"/>
    <x v="57"/>
    <x v="57"/>
    <x v="330"/>
    <x v="0"/>
    <x v="0"/>
    <x v="0"/>
    <x v="0"/>
    <x v="430"/>
    <x v="30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209"/>
    <x v="183"/>
    <x v="0"/>
    <x v="0"/>
    <x v="0"/>
    <x v="0"/>
    <x v="0"/>
    <x v="0"/>
  </r>
  <r>
    <x v="0"/>
    <x v="510"/>
    <x v="0"/>
    <x v="30"/>
    <x v="0"/>
    <x v="0"/>
    <x v="0"/>
    <x v="99"/>
    <x v="206"/>
    <x v="0"/>
    <x v="0"/>
    <x v="0"/>
    <x v="0"/>
    <x v="0"/>
    <x v="0"/>
    <x v="99"/>
    <x v="0"/>
    <x v="0"/>
    <x v="0"/>
    <x v="0"/>
    <x v="99"/>
    <x v="206"/>
    <x v="0"/>
    <x v="0"/>
    <x v="0"/>
    <x v="0"/>
    <x v="0"/>
    <x v="0"/>
    <x v="0"/>
    <x v="0"/>
    <x v="0"/>
    <x v="331"/>
    <x v="101"/>
    <x v="0"/>
    <x v="99"/>
    <x v="101"/>
    <x v="74"/>
    <x v="0"/>
    <x v="215"/>
    <x v="0"/>
    <x v="0"/>
    <x v="0"/>
    <x v="0"/>
    <x v="0"/>
    <x v="0"/>
    <x v="0"/>
    <x v="0"/>
    <x v="0"/>
    <x v="0"/>
    <x v="101"/>
    <x v="0"/>
    <x v="0"/>
    <x v="101"/>
    <x v="0"/>
    <x v="0"/>
    <x v="80"/>
    <x v="0"/>
    <x v="79"/>
    <x v="74"/>
    <x v="215"/>
    <x v="0"/>
    <x v="0"/>
    <x v="0"/>
    <x v="0"/>
    <x v="31"/>
    <x v="509"/>
    <x v="510"/>
    <x v="0"/>
    <x v="0"/>
    <x v="0"/>
    <x v="101"/>
    <x v="0"/>
    <x v="0"/>
    <x v="0"/>
    <x v="0"/>
    <x v="79"/>
    <x v="0"/>
    <x v="0"/>
    <x v="0"/>
    <x v="29"/>
    <x v="0"/>
    <x v="22"/>
    <x v="22"/>
    <x v="331"/>
    <x v="0"/>
    <x v="0"/>
    <x v="0"/>
    <x v="0"/>
    <x v="431"/>
    <x v="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5"/>
    <x v="123"/>
    <x v="0"/>
    <x v="0"/>
    <x v="0"/>
    <x v="0"/>
    <x v="0"/>
    <x v="0"/>
  </r>
  <r>
    <x v="0"/>
    <x v="511"/>
    <x v="0"/>
    <x v="30"/>
    <x v="0"/>
    <x v="0"/>
    <x v="0"/>
    <x v="193"/>
    <x v="200"/>
    <x v="0"/>
    <x v="0"/>
    <x v="0"/>
    <x v="0"/>
    <x v="0"/>
    <x v="0"/>
    <x v="193"/>
    <x v="0"/>
    <x v="0"/>
    <x v="0"/>
    <x v="0"/>
    <x v="193"/>
    <x v="200"/>
    <x v="0"/>
    <x v="0"/>
    <x v="0"/>
    <x v="0"/>
    <x v="0"/>
    <x v="0"/>
    <x v="0"/>
    <x v="0"/>
    <x v="0"/>
    <x v="331"/>
    <x v="196"/>
    <x v="0"/>
    <x v="193"/>
    <x v="196"/>
    <x v="1"/>
    <x v="0"/>
    <x v="209"/>
    <x v="1"/>
    <x v="0"/>
    <x v="1"/>
    <x v="0"/>
    <x v="0"/>
    <x v="0"/>
    <x v="0"/>
    <x v="0"/>
    <x v="0"/>
    <x v="0"/>
    <x v="196"/>
    <x v="0"/>
    <x v="1"/>
    <x v="196"/>
    <x v="0"/>
    <x v="0"/>
    <x v="154"/>
    <x v="0"/>
    <x v="160"/>
    <x v="1"/>
    <x v="209"/>
    <x v="0"/>
    <x v="0"/>
    <x v="1"/>
    <x v="0"/>
    <x v="31"/>
    <x v="510"/>
    <x v="511"/>
    <x v="0"/>
    <x v="0"/>
    <x v="0"/>
    <x v="196"/>
    <x v="0"/>
    <x v="0"/>
    <x v="0"/>
    <x v="0"/>
    <x v="160"/>
    <x v="0"/>
    <x v="0"/>
    <x v="0"/>
    <x v="29"/>
    <x v="0"/>
    <x v="22"/>
    <x v="22"/>
    <x v="331"/>
    <x v="0"/>
    <x v="0"/>
    <x v="0"/>
    <x v="0"/>
    <x v="431"/>
    <x v="16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5"/>
    <x v="123"/>
    <x v="0"/>
    <x v="0"/>
    <x v="0"/>
    <x v="0"/>
    <x v="0"/>
    <x v="0"/>
  </r>
  <r>
    <x v="0"/>
    <x v="512"/>
    <x v="0"/>
    <x v="29"/>
    <x v="0"/>
    <x v="0"/>
    <x v="0"/>
    <x v="384"/>
    <x v="405"/>
    <x v="0"/>
    <x v="0"/>
    <x v="0"/>
    <x v="0"/>
    <x v="0"/>
    <x v="0"/>
    <x v="384"/>
    <x v="0"/>
    <x v="0"/>
    <x v="0"/>
    <x v="0"/>
    <x v="384"/>
    <x v="405"/>
    <x v="0"/>
    <x v="3"/>
    <x v="0"/>
    <x v="0"/>
    <x v="0"/>
    <x v="0"/>
    <x v="0"/>
    <x v="0"/>
    <x v="0"/>
    <x v="332"/>
    <x v="374"/>
    <x v="0"/>
    <x v="383"/>
    <x v="374"/>
    <x v="1"/>
    <x v="0"/>
    <x v="407"/>
    <x v="2"/>
    <x v="0"/>
    <x v="2"/>
    <x v="0"/>
    <x v="0"/>
    <x v="0"/>
    <x v="0"/>
    <x v="0"/>
    <x v="0"/>
    <x v="0"/>
    <x v="374"/>
    <x v="0"/>
    <x v="2"/>
    <x v="374"/>
    <x v="0"/>
    <x v="0"/>
    <x v="293"/>
    <x v="1"/>
    <x v="7"/>
    <x v="1"/>
    <x v="407"/>
    <x v="0"/>
    <x v="0"/>
    <x v="0"/>
    <x v="0"/>
    <x v="31"/>
    <x v="511"/>
    <x v="512"/>
    <x v="0"/>
    <x v="0"/>
    <x v="0"/>
    <x v="374"/>
    <x v="0"/>
    <x v="0"/>
    <x v="0"/>
    <x v="0"/>
    <x v="7"/>
    <x v="0"/>
    <x v="0"/>
    <x v="0"/>
    <x v="28"/>
    <x v="0"/>
    <x v="45"/>
    <x v="45"/>
    <x v="332"/>
    <x v="0"/>
    <x v="0"/>
    <x v="0"/>
    <x v="0"/>
    <x v="43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5"/>
    <x v="123"/>
    <x v="0"/>
    <x v="0"/>
    <x v="0"/>
    <x v="0"/>
    <x v="0"/>
    <x v="208"/>
  </r>
  <r>
    <x v="0"/>
    <x v="513"/>
    <x v="0"/>
    <x v="30"/>
    <x v="0"/>
    <x v="0"/>
    <x v="0"/>
    <x v="191"/>
    <x v="198"/>
    <x v="0"/>
    <x v="0"/>
    <x v="0"/>
    <x v="8"/>
    <x v="0"/>
    <x v="0"/>
    <x v="191"/>
    <x v="8"/>
    <x v="0"/>
    <x v="0"/>
    <x v="0"/>
    <x v="191"/>
    <x v="198"/>
    <x v="0"/>
    <x v="0"/>
    <x v="0"/>
    <x v="0"/>
    <x v="0"/>
    <x v="0"/>
    <x v="0"/>
    <x v="0"/>
    <x v="0"/>
    <x v="333"/>
    <x v="194"/>
    <x v="0"/>
    <x v="191"/>
    <x v="194"/>
    <x v="1"/>
    <x v="0"/>
    <x v="207"/>
    <x v="2"/>
    <x v="0"/>
    <x v="2"/>
    <x v="0"/>
    <x v="0"/>
    <x v="8"/>
    <x v="0"/>
    <x v="0"/>
    <x v="0"/>
    <x v="0"/>
    <x v="194"/>
    <x v="0"/>
    <x v="2"/>
    <x v="194"/>
    <x v="0"/>
    <x v="0"/>
    <x v="152"/>
    <x v="0"/>
    <x v="158"/>
    <x v="1"/>
    <x v="207"/>
    <x v="0"/>
    <x v="7"/>
    <x v="5"/>
    <x v="0"/>
    <x v="31"/>
    <x v="512"/>
    <x v="513"/>
    <x v="0"/>
    <x v="0"/>
    <x v="0"/>
    <x v="194"/>
    <x v="0"/>
    <x v="0"/>
    <x v="0"/>
    <x v="0"/>
    <x v="158"/>
    <x v="0"/>
    <x v="0"/>
    <x v="0"/>
    <x v="29"/>
    <x v="0"/>
    <x v="33"/>
    <x v="33"/>
    <x v="333"/>
    <x v="0"/>
    <x v="0"/>
    <x v="0"/>
    <x v="0"/>
    <x v="433"/>
    <x v="158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305"/>
    <x v="277"/>
    <x v="0"/>
    <x v="0"/>
    <x v="0"/>
    <x v="0"/>
    <x v="0"/>
    <x v="209"/>
  </r>
  <r>
    <x v="0"/>
    <x v="514"/>
    <x v="0"/>
    <x v="31"/>
    <x v="0"/>
    <x v="0"/>
    <x v="0"/>
    <x v="385"/>
    <x v="406"/>
    <x v="0"/>
    <x v="0"/>
    <x v="0"/>
    <x v="1"/>
    <x v="0"/>
    <x v="0"/>
    <x v="385"/>
    <x v="2"/>
    <x v="0"/>
    <x v="0"/>
    <x v="0"/>
    <x v="385"/>
    <x v="406"/>
    <x v="0"/>
    <x v="0"/>
    <x v="0"/>
    <x v="0"/>
    <x v="0"/>
    <x v="0"/>
    <x v="0"/>
    <x v="0"/>
    <x v="0"/>
    <x v="334"/>
    <x v="375"/>
    <x v="0"/>
    <x v="384"/>
    <x v="375"/>
    <x v="123"/>
    <x v="0"/>
    <x v="408"/>
    <x v="0"/>
    <x v="0"/>
    <x v="0"/>
    <x v="0"/>
    <x v="0"/>
    <x v="1"/>
    <x v="0"/>
    <x v="0"/>
    <x v="0"/>
    <x v="0"/>
    <x v="375"/>
    <x v="0"/>
    <x v="0"/>
    <x v="375"/>
    <x v="0"/>
    <x v="0"/>
    <x v="294"/>
    <x v="0"/>
    <x v="301"/>
    <x v="123"/>
    <x v="408"/>
    <x v="0"/>
    <x v="1"/>
    <x v="0"/>
    <x v="0"/>
    <x v="31"/>
    <x v="513"/>
    <x v="514"/>
    <x v="0"/>
    <x v="0"/>
    <x v="0"/>
    <x v="375"/>
    <x v="0"/>
    <x v="0"/>
    <x v="0"/>
    <x v="0"/>
    <x v="301"/>
    <x v="0"/>
    <x v="0"/>
    <x v="0"/>
    <x v="30"/>
    <x v="0"/>
    <x v="38"/>
    <x v="38"/>
    <x v="334"/>
    <x v="0"/>
    <x v="0"/>
    <x v="0"/>
    <x v="0"/>
    <x v="434"/>
    <x v="30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06"/>
    <x v="278"/>
    <x v="0"/>
    <x v="0"/>
    <x v="0"/>
    <x v="0"/>
    <x v="0"/>
    <x v="0"/>
  </r>
  <r>
    <x v="0"/>
    <x v="515"/>
    <x v="0"/>
    <x v="31"/>
    <x v="0"/>
    <x v="0"/>
    <x v="0"/>
    <x v="386"/>
    <x v="407"/>
    <x v="0"/>
    <x v="0"/>
    <x v="0"/>
    <x v="1"/>
    <x v="0"/>
    <x v="0"/>
    <x v="386"/>
    <x v="2"/>
    <x v="0"/>
    <x v="0"/>
    <x v="0"/>
    <x v="386"/>
    <x v="407"/>
    <x v="0"/>
    <x v="0"/>
    <x v="0"/>
    <x v="0"/>
    <x v="0"/>
    <x v="0"/>
    <x v="0"/>
    <x v="0"/>
    <x v="0"/>
    <x v="334"/>
    <x v="376"/>
    <x v="0"/>
    <x v="385"/>
    <x v="376"/>
    <x v="1"/>
    <x v="0"/>
    <x v="409"/>
    <x v="1"/>
    <x v="0"/>
    <x v="1"/>
    <x v="0"/>
    <x v="0"/>
    <x v="1"/>
    <x v="0"/>
    <x v="0"/>
    <x v="0"/>
    <x v="0"/>
    <x v="376"/>
    <x v="0"/>
    <x v="1"/>
    <x v="376"/>
    <x v="0"/>
    <x v="0"/>
    <x v="295"/>
    <x v="0"/>
    <x v="302"/>
    <x v="1"/>
    <x v="409"/>
    <x v="0"/>
    <x v="1"/>
    <x v="0"/>
    <x v="0"/>
    <x v="31"/>
    <x v="514"/>
    <x v="515"/>
    <x v="0"/>
    <x v="0"/>
    <x v="0"/>
    <x v="376"/>
    <x v="0"/>
    <x v="0"/>
    <x v="0"/>
    <x v="0"/>
    <x v="302"/>
    <x v="0"/>
    <x v="0"/>
    <x v="0"/>
    <x v="30"/>
    <x v="0"/>
    <x v="38"/>
    <x v="38"/>
    <x v="334"/>
    <x v="0"/>
    <x v="0"/>
    <x v="0"/>
    <x v="0"/>
    <x v="434"/>
    <x v="30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06"/>
    <x v="278"/>
    <x v="0"/>
    <x v="0"/>
    <x v="0"/>
    <x v="0"/>
    <x v="0"/>
    <x v="0"/>
  </r>
  <r>
    <x v="1"/>
    <x v="516"/>
    <x v="1"/>
    <x v="29"/>
    <x v="0"/>
    <x v="0"/>
    <x v="0"/>
    <x v="365"/>
    <x v="386"/>
    <x v="0"/>
    <x v="0"/>
    <x v="0"/>
    <x v="29"/>
    <x v="5"/>
    <x v="0"/>
    <x v="365"/>
    <x v="15"/>
    <x v="0"/>
    <x v="0"/>
    <x v="0"/>
    <x v="365"/>
    <x v="386"/>
    <x v="0"/>
    <x v="3"/>
    <x v="0"/>
    <x v="0"/>
    <x v="0"/>
    <x v="0"/>
    <x v="1"/>
    <x v="1"/>
    <x v="0"/>
    <x v="4"/>
    <x v="356"/>
    <x v="0"/>
    <x v="364"/>
    <x v="356"/>
    <x v="1"/>
    <x v="0"/>
    <x v="389"/>
    <x v="0"/>
    <x v="0"/>
    <x v="0"/>
    <x v="0"/>
    <x v="0"/>
    <x v="29"/>
    <x v="0"/>
    <x v="0"/>
    <x v="0"/>
    <x v="0"/>
    <x v="356"/>
    <x v="0"/>
    <x v="0"/>
    <x v="356"/>
    <x v="0"/>
    <x v="0"/>
    <x v="6"/>
    <x v="1"/>
    <x v="7"/>
    <x v="1"/>
    <x v="389"/>
    <x v="0"/>
    <x v="12"/>
    <x v="0"/>
    <x v="0"/>
    <x v="31"/>
    <x v="515"/>
    <x v="516"/>
    <x v="0"/>
    <x v="0"/>
    <x v="0"/>
    <x v="356"/>
    <x v="0"/>
    <x v="0"/>
    <x v="0"/>
    <x v="0"/>
    <x v="7"/>
    <x v="0"/>
    <x v="0"/>
    <x v="0"/>
    <x v="28"/>
    <x v="0"/>
    <x v="3"/>
    <x v="3"/>
    <x v="4"/>
    <x v="1"/>
    <x v="0"/>
    <x v="0"/>
    <x v="0"/>
    <x v="435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517"/>
    <x v="1"/>
    <x v="30"/>
    <x v="0"/>
    <x v="0"/>
    <x v="0"/>
    <x v="387"/>
    <x v="408"/>
    <x v="0"/>
    <x v="0"/>
    <x v="0"/>
    <x v="22"/>
    <x v="5"/>
    <x v="0"/>
    <x v="387"/>
    <x v="15"/>
    <x v="0"/>
    <x v="0"/>
    <x v="0"/>
    <x v="387"/>
    <x v="408"/>
    <x v="0"/>
    <x v="3"/>
    <x v="0"/>
    <x v="0"/>
    <x v="0"/>
    <x v="0"/>
    <x v="1"/>
    <x v="1"/>
    <x v="0"/>
    <x v="4"/>
    <x v="377"/>
    <x v="0"/>
    <x v="386"/>
    <x v="377"/>
    <x v="1"/>
    <x v="0"/>
    <x v="410"/>
    <x v="0"/>
    <x v="0"/>
    <x v="0"/>
    <x v="0"/>
    <x v="0"/>
    <x v="22"/>
    <x v="0"/>
    <x v="0"/>
    <x v="0"/>
    <x v="0"/>
    <x v="377"/>
    <x v="0"/>
    <x v="0"/>
    <x v="377"/>
    <x v="0"/>
    <x v="0"/>
    <x v="6"/>
    <x v="1"/>
    <x v="7"/>
    <x v="1"/>
    <x v="410"/>
    <x v="0"/>
    <x v="12"/>
    <x v="0"/>
    <x v="0"/>
    <x v="31"/>
    <x v="516"/>
    <x v="517"/>
    <x v="0"/>
    <x v="0"/>
    <x v="0"/>
    <x v="377"/>
    <x v="0"/>
    <x v="0"/>
    <x v="0"/>
    <x v="0"/>
    <x v="7"/>
    <x v="0"/>
    <x v="0"/>
    <x v="0"/>
    <x v="29"/>
    <x v="0"/>
    <x v="3"/>
    <x v="3"/>
    <x v="4"/>
    <x v="1"/>
    <x v="0"/>
    <x v="0"/>
    <x v="0"/>
    <x v="436"/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518"/>
    <x v="0"/>
    <x v="30"/>
    <x v="0"/>
    <x v="0"/>
    <x v="0"/>
    <x v="327"/>
    <x v="409"/>
    <x v="0"/>
    <x v="0"/>
    <x v="0"/>
    <x v="4"/>
    <x v="0"/>
    <x v="0"/>
    <x v="327"/>
    <x v="4"/>
    <x v="0"/>
    <x v="0"/>
    <x v="0"/>
    <x v="327"/>
    <x v="409"/>
    <x v="0"/>
    <x v="0"/>
    <x v="0"/>
    <x v="0"/>
    <x v="0"/>
    <x v="0"/>
    <x v="0"/>
    <x v="0"/>
    <x v="0"/>
    <x v="335"/>
    <x v="321"/>
    <x v="0"/>
    <x v="326"/>
    <x v="321"/>
    <x v="1"/>
    <x v="0"/>
    <x v="411"/>
    <x v="2"/>
    <x v="0"/>
    <x v="2"/>
    <x v="0"/>
    <x v="0"/>
    <x v="4"/>
    <x v="0"/>
    <x v="0"/>
    <x v="0"/>
    <x v="0"/>
    <x v="321"/>
    <x v="0"/>
    <x v="2"/>
    <x v="321"/>
    <x v="0"/>
    <x v="0"/>
    <x v="252"/>
    <x v="0"/>
    <x v="260"/>
    <x v="1"/>
    <x v="411"/>
    <x v="0"/>
    <x v="0"/>
    <x v="1"/>
    <x v="0"/>
    <x v="31"/>
    <x v="517"/>
    <x v="518"/>
    <x v="0"/>
    <x v="0"/>
    <x v="0"/>
    <x v="321"/>
    <x v="0"/>
    <x v="0"/>
    <x v="0"/>
    <x v="0"/>
    <x v="260"/>
    <x v="0"/>
    <x v="0"/>
    <x v="0"/>
    <x v="29"/>
    <x v="0"/>
    <x v="44"/>
    <x v="44"/>
    <x v="335"/>
    <x v="0"/>
    <x v="0"/>
    <x v="0"/>
    <x v="0"/>
    <x v="437"/>
    <x v="26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307"/>
    <x v="279"/>
    <x v="0"/>
    <x v="0"/>
    <x v="0"/>
    <x v="0"/>
    <x v="0"/>
    <x v="210"/>
  </r>
  <r>
    <x v="0"/>
    <x v="519"/>
    <x v="0"/>
    <x v="31"/>
    <x v="0"/>
    <x v="0"/>
    <x v="0"/>
    <x v="388"/>
    <x v="410"/>
    <x v="0"/>
    <x v="0"/>
    <x v="0"/>
    <x v="0"/>
    <x v="0"/>
    <x v="0"/>
    <x v="388"/>
    <x v="0"/>
    <x v="0"/>
    <x v="0"/>
    <x v="0"/>
    <x v="388"/>
    <x v="410"/>
    <x v="0"/>
    <x v="0"/>
    <x v="0"/>
    <x v="0"/>
    <x v="0"/>
    <x v="0"/>
    <x v="0"/>
    <x v="0"/>
    <x v="0"/>
    <x v="336"/>
    <x v="378"/>
    <x v="0"/>
    <x v="387"/>
    <x v="378"/>
    <x v="124"/>
    <x v="0"/>
    <x v="412"/>
    <x v="0"/>
    <x v="0"/>
    <x v="0"/>
    <x v="0"/>
    <x v="0"/>
    <x v="0"/>
    <x v="0"/>
    <x v="0"/>
    <x v="0"/>
    <x v="0"/>
    <x v="378"/>
    <x v="0"/>
    <x v="0"/>
    <x v="378"/>
    <x v="0"/>
    <x v="0"/>
    <x v="296"/>
    <x v="0"/>
    <x v="303"/>
    <x v="124"/>
    <x v="412"/>
    <x v="0"/>
    <x v="0"/>
    <x v="0"/>
    <x v="0"/>
    <x v="31"/>
    <x v="518"/>
    <x v="519"/>
    <x v="0"/>
    <x v="0"/>
    <x v="0"/>
    <x v="378"/>
    <x v="0"/>
    <x v="0"/>
    <x v="0"/>
    <x v="0"/>
    <x v="303"/>
    <x v="0"/>
    <x v="0"/>
    <x v="0"/>
    <x v="30"/>
    <x v="0"/>
    <x v="16"/>
    <x v="16"/>
    <x v="336"/>
    <x v="0"/>
    <x v="0"/>
    <x v="0"/>
    <x v="0"/>
    <x v="438"/>
    <x v="3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8"/>
    <x v="200"/>
    <x v="0"/>
    <x v="0"/>
    <x v="0"/>
    <x v="0"/>
    <x v="0"/>
    <x v="0"/>
  </r>
  <r>
    <x v="0"/>
    <x v="520"/>
    <x v="0"/>
    <x v="31"/>
    <x v="0"/>
    <x v="0"/>
    <x v="0"/>
    <x v="389"/>
    <x v="411"/>
    <x v="0"/>
    <x v="0"/>
    <x v="0"/>
    <x v="0"/>
    <x v="0"/>
    <x v="0"/>
    <x v="389"/>
    <x v="0"/>
    <x v="0"/>
    <x v="0"/>
    <x v="0"/>
    <x v="389"/>
    <x v="411"/>
    <x v="0"/>
    <x v="0"/>
    <x v="0"/>
    <x v="0"/>
    <x v="0"/>
    <x v="0"/>
    <x v="0"/>
    <x v="0"/>
    <x v="0"/>
    <x v="336"/>
    <x v="379"/>
    <x v="0"/>
    <x v="388"/>
    <x v="379"/>
    <x v="1"/>
    <x v="0"/>
    <x v="413"/>
    <x v="1"/>
    <x v="0"/>
    <x v="1"/>
    <x v="0"/>
    <x v="0"/>
    <x v="0"/>
    <x v="0"/>
    <x v="0"/>
    <x v="0"/>
    <x v="0"/>
    <x v="379"/>
    <x v="0"/>
    <x v="1"/>
    <x v="379"/>
    <x v="0"/>
    <x v="0"/>
    <x v="297"/>
    <x v="0"/>
    <x v="304"/>
    <x v="1"/>
    <x v="413"/>
    <x v="0"/>
    <x v="0"/>
    <x v="1"/>
    <x v="0"/>
    <x v="31"/>
    <x v="519"/>
    <x v="520"/>
    <x v="0"/>
    <x v="0"/>
    <x v="0"/>
    <x v="379"/>
    <x v="0"/>
    <x v="0"/>
    <x v="0"/>
    <x v="0"/>
    <x v="304"/>
    <x v="0"/>
    <x v="0"/>
    <x v="0"/>
    <x v="30"/>
    <x v="0"/>
    <x v="16"/>
    <x v="16"/>
    <x v="336"/>
    <x v="0"/>
    <x v="0"/>
    <x v="0"/>
    <x v="0"/>
    <x v="438"/>
    <x v="3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8"/>
    <x v="200"/>
    <x v="0"/>
    <x v="0"/>
    <x v="0"/>
    <x v="0"/>
    <x v="0"/>
    <x v="0"/>
  </r>
  <r>
    <x v="0"/>
    <x v="521"/>
    <x v="0"/>
    <x v="30"/>
    <x v="0"/>
    <x v="0"/>
    <x v="0"/>
    <x v="390"/>
    <x v="412"/>
    <x v="0"/>
    <x v="0"/>
    <x v="0"/>
    <x v="0"/>
    <x v="0"/>
    <x v="0"/>
    <x v="390"/>
    <x v="0"/>
    <x v="0"/>
    <x v="0"/>
    <x v="0"/>
    <x v="390"/>
    <x v="412"/>
    <x v="0"/>
    <x v="0"/>
    <x v="0"/>
    <x v="0"/>
    <x v="0"/>
    <x v="0"/>
    <x v="0"/>
    <x v="0"/>
    <x v="0"/>
    <x v="337"/>
    <x v="380"/>
    <x v="0"/>
    <x v="389"/>
    <x v="380"/>
    <x v="1"/>
    <x v="0"/>
    <x v="414"/>
    <x v="2"/>
    <x v="0"/>
    <x v="2"/>
    <x v="0"/>
    <x v="0"/>
    <x v="0"/>
    <x v="0"/>
    <x v="0"/>
    <x v="0"/>
    <x v="0"/>
    <x v="380"/>
    <x v="0"/>
    <x v="2"/>
    <x v="380"/>
    <x v="0"/>
    <x v="0"/>
    <x v="298"/>
    <x v="0"/>
    <x v="305"/>
    <x v="1"/>
    <x v="414"/>
    <x v="0"/>
    <x v="0"/>
    <x v="1"/>
    <x v="0"/>
    <x v="31"/>
    <x v="520"/>
    <x v="521"/>
    <x v="0"/>
    <x v="0"/>
    <x v="0"/>
    <x v="380"/>
    <x v="0"/>
    <x v="0"/>
    <x v="0"/>
    <x v="0"/>
    <x v="305"/>
    <x v="0"/>
    <x v="0"/>
    <x v="0"/>
    <x v="29"/>
    <x v="0"/>
    <x v="45"/>
    <x v="45"/>
    <x v="337"/>
    <x v="0"/>
    <x v="0"/>
    <x v="0"/>
    <x v="0"/>
    <x v="439"/>
    <x v="3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8"/>
    <x v="200"/>
    <x v="0"/>
    <x v="0"/>
    <x v="0"/>
    <x v="0"/>
    <x v="0"/>
    <x v="211"/>
  </r>
  <r>
    <x v="0"/>
    <x v="522"/>
    <x v="0"/>
    <x v="30"/>
    <x v="0"/>
    <x v="0"/>
    <x v="0"/>
    <x v="338"/>
    <x v="357"/>
    <x v="0"/>
    <x v="0"/>
    <x v="0"/>
    <x v="0"/>
    <x v="0"/>
    <x v="0"/>
    <x v="338"/>
    <x v="0"/>
    <x v="0"/>
    <x v="0"/>
    <x v="0"/>
    <x v="338"/>
    <x v="357"/>
    <x v="0"/>
    <x v="0"/>
    <x v="0"/>
    <x v="0"/>
    <x v="0"/>
    <x v="0"/>
    <x v="0"/>
    <x v="0"/>
    <x v="0"/>
    <x v="338"/>
    <x v="330"/>
    <x v="0"/>
    <x v="337"/>
    <x v="330"/>
    <x v="1"/>
    <x v="0"/>
    <x v="360"/>
    <x v="0"/>
    <x v="0"/>
    <x v="0"/>
    <x v="0"/>
    <x v="0"/>
    <x v="0"/>
    <x v="0"/>
    <x v="0"/>
    <x v="0"/>
    <x v="0"/>
    <x v="330"/>
    <x v="0"/>
    <x v="0"/>
    <x v="330"/>
    <x v="0"/>
    <x v="0"/>
    <x v="260"/>
    <x v="0"/>
    <x v="268"/>
    <x v="1"/>
    <x v="360"/>
    <x v="0"/>
    <x v="0"/>
    <x v="1"/>
    <x v="0"/>
    <x v="31"/>
    <x v="521"/>
    <x v="522"/>
    <x v="0"/>
    <x v="0"/>
    <x v="0"/>
    <x v="330"/>
    <x v="0"/>
    <x v="0"/>
    <x v="0"/>
    <x v="0"/>
    <x v="268"/>
    <x v="0"/>
    <x v="0"/>
    <x v="0"/>
    <x v="29"/>
    <x v="0"/>
    <x v="4"/>
    <x v="4"/>
    <x v="338"/>
    <x v="0"/>
    <x v="0"/>
    <x v="0"/>
    <x v="0"/>
    <x v="440"/>
    <x v="2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9"/>
    <x v="280"/>
    <x v="0"/>
    <x v="0"/>
    <x v="0"/>
    <x v="0"/>
    <x v="0"/>
    <x v="0"/>
  </r>
  <r>
    <x v="0"/>
    <x v="523"/>
    <x v="0"/>
    <x v="31"/>
    <x v="0"/>
    <x v="0"/>
    <x v="0"/>
    <x v="391"/>
    <x v="413"/>
    <x v="0"/>
    <x v="0"/>
    <x v="0"/>
    <x v="1"/>
    <x v="0"/>
    <x v="0"/>
    <x v="391"/>
    <x v="2"/>
    <x v="0"/>
    <x v="0"/>
    <x v="0"/>
    <x v="391"/>
    <x v="413"/>
    <x v="0"/>
    <x v="0"/>
    <x v="0"/>
    <x v="0"/>
    <x v="0"/>
    <x v="0"/>
    <x v="0"/>
    <x v="0"/>
    <x v="0"/>
    <x v="339"/>
    <x v="381"/>
    <x v="0"/>
    <x v="390"/>
    <x v="381"/>
    <x v="125"/>
    <x v="0"/>
    <x v="415"/>
    <x v="0"/>
    <x v="0"/>
    <x v="0"/>
    <x v="0"/>
    <x v="0"/>
    <x v="1"/>
    <x v="0"/>
    <x v="0"/>
    <x v="0"/>
    <x v="0"/>
    <x v="381"/>
    <x v="0"/>
    <x v="0"/>
    <x v="381"/>
    <x v="0"/>
    <x v="0"/>
    <x v="299"/>
    <x v="0"/>
    <x v="306"/>
    <x v="125"/>
    <x v="415"/>
    <x v="0"/>
    <x v="0"/>
    <x v="0"/>
    <x v="0"/>
    <x v="31"/>
    <x v="522"/>
    <x v="523"/>
    <x v="0"/>
    <x v="0"/>
    <x v="0"/>
    <x v="381"/>
    <x v="0"/>
    <x v="0"/>
    <x v="0"/>
    <x v="0"/>
    <x v="306"/>
    <x v="0"/>
    <x v="0"/>
    <x v="0"/>
    <x v="30"/>
    <x v="0"/>
    <x v="4"/>
    <x v="4"/>
    <x v="339"/>
    <x v="0"/>
    <x v="0"/>
    <x v="0"/>
    <x v="0"/>
    <x v="441"/>
    <x v="30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10"/>
    <x v="281"/>
    <x v="0"/>
    <x v="0"/>
    <x v="0"/>
    <x v="0"/>
    <x v="0"/>
    <x v="0"/>
  </r>
  <r>
    <x v="0"/>
    <x v="524"/>
    <x v="2"/>
    <x v="30"/>
    <x v="0"/>
    <x v="0"/>
    <x v="0"/>
    <x v="392"/>
    <x v="414"/>
    <x v="0"/>
    <x v="0"/>
    <x v="0"/>
    <x v="5"/>
    <x v="3"/>
    <x v="0"/>
    <x v="392"/>
    <x v="5"/>
    <x v="0"/>
    <x v="0"/>
    <x v="0"/>
    <x v="392"/>
    <x v="414"/>
    <x v="0"/>
    <x v="0"/>
    <x v="0"/>
    <x v="0"/>
    <x v="0"/>
    <x v="1"/>
    <x v="0"/>
    <x v="0"/>
    <x v="0"/>
    <x v="340"/>
    <x v="382"/>
    <x v="0"/>
    <x v="391"/>
    <x v="382"/>
    <x v="126"/>
    <x v="0"/>
    <x v="416"/>
    <x v="0"/>
    <x v="0"/>
    <x v="0"/>
    <x v="0"/>
    <x v="0"/>
    <x v="5"/>
    <x v="0"/>
    <x v="0"/>
    <x v="0"/>
    <x v="0"/>
    <x v="382"/>
    <x v="0"/>
    <x v="0"/>
    <x v="382"/>
    <x v="0"/>
    <x v="0"/>
    <x v="300"/>
    <x v="0"/>
    <x v="307"/>
    <x v="126"/>
    <x v="416"/>
    <x v="0"/>
    <x v="5"/>
    <x v="0"/>
    <x v="0"/>
    <x v="32"/>
    <x v="523"/>
    <x v="524"/>
    <x v="0"/>
    <x v="0"/>
    <x v="0"/>
    <x v="382"/>
    <x v="0"/>
    <x v="0"/>
    <x v="0"/>
    <x v="0"/>
    <x v="307"/>
    <x v="0"/>
    <x v="0"/>
    <x v="0"/>
    <x v="29"/>
    <x v="0"/>
    <x v="90"/>
    <x v="90"/>
    <x v="340"/>
    <x v="0"/>
    <x v="0"/>
    <x v="0"/>
    <x v="0"/>
    <x v="442"/>
    <x v="307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311"/>
    <x v="282"/>
    <x v="0"/>
    <x v="0"/>
    <x v="0"/>
    <x v="0"/>
    <x v="0"/>
    <x v="0"/>
  </r>
  <r>
    <x v="0"/>
    <x v="525"/>
    <x v="0"/>
    <x v="30"/>
    <x v="0"/>
    <x v="0"/>
    <x v="0"/>
    <x v="393"/>
    <x v="415"/>
    <x v="0"/>
    <x v="0"/>
    <x v="0"/>
    <x v="0"/>
    <x v="0"/>
    <x v="0"/>
    <x v="393"/>
    <x v="0"/>
    <x v="0"/>
    <x v="0"/>
    <x v="0"/>
    <x v="393"/>
    <x v="415"/>
    <x v="0"/>
    <x v="0"/>
    <x v="0"/>
    <x v="0"/>
    <x v="0"/>
    <x v="0"/>
    <x v="0"/>
    <x v="0"/>
    <x v="0"/>
    <x v="341"/>
    <x v="383"/>
    <x v="0"/>
    <x v="392"/>
    <x v="383"/>
    <x v="1"/>
    <x v="0"/>
    <x v="417"/>
    <x v="2"/>
    <x v="0"/>
    <x v="2"/>
    <x v="0"/>
    <x v="0"/>
    <x v="0"/>
    <x v="0"/>
    <x v="0"/>
    <x v="0"/>
    <x v="0"/>
    <x v="383"/>
    <x v="0"/>
    <x v="2"/>
    <x v="383"/>
    <x v="0"/>
    <x v="0"/>
    <x v="301"/>
    <x v="0"/>
    <x v="308"/>
    <x v="1"/>
    <x v="417"/>
    <x v="0"/>
    <x v="0"/>
    <x v="1"/>
    <x v="0"/>
    <x v="32"/>
    <x v="524"/>
    <x v="525"/>
    <x v="0"/>
    <x v="0"/>
    <x v="0"/>
    <x v="383"/>
    <x v="0"/>
    <x v="0"/>
    <x v="0"/>
    <x v="0"/>
    <x v="308"/>
    <x v="0"/>
    <x v="0"/>
    <x v="0"/>
    <x v="29"/>
    <x v="0"/>
    <x v="61"/>
    <x v="61"/>
    <x v="341"/>
    <x v="0"/>
    <x v="0"/>
    <x v="0"/>
    <x v="0"/>
    <x v="443"/>
    <x v="3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12"/>
    <x v="283"/>
    <x v="0"/>
    <x v="0"/>
    <x v="0"/>
    <x v="0"/>
    <x v="0"/>
    <x v="212"/>
  </r>
  <r>
    <x v="0"/>
    <x v="526"/>
    <x v="2"/>
    <x v="31"/>
    <x v="0"/>
    <x v="0"/>
    <x v="0"/>
    <x v="244"/>
    <x v="416"/>
    <x v="0"/>
    <x v="0"/>
    <x v="0"/>
    <x v="5"/>
    <x v="3"/>
    <x v="0"/>
    <x v="244"/>
    <x v="5"/>
    <x v="0"/>
    <x v="0"/>
    <x v="0"/>
    <x v="244"/>
    <x v="416"/>
    <x v="0"/>
    <x v="0"/>
    <x v="0"/>
    <x v="0"/>
    <x v="0"/>
    <x v="1"/>
    <x v="0"/>
    <x v="0"/>
    <x v="0"/>
    <x v="342"/>
    <x v="241"/>
    <x v="0"/>
    <x v="243"/>
    <x v="241"/>
    <x v="127"/>
    <x v="0"/>
    <x v="418"/>
    <x v="0"/>
    <x v="0"/>
    <x v="0"/>
    <x v="0"/>
    <x v="0"/>
    <x v="5"/>
    <x v="0"/>
    <x v="0"/>
    <x v="0"/>
    <x v="0"/>
    <x v="241"/>
    <x v="0"/>
    <x v="0"/>
    <x v="241"/>
    <x v="0"/>
    <x v="0"/>
    <x v="191"/>
    <x v="0"/>
    <x v="195"/>
    <x v="127"/>
    <x v="418"/>
    <x v="0"/>
    <x v="5"/>
    <x v="0"/>
    <x v="0"/>
    <x v="32"/>
    <x v="525"/>
    <x v="526"/>
    <x v="0"/>
    <x v="0"/>
    <x v="0"/>
    <x v="241"/>
    <x v="0"/>
    <x v="0"/>
    <x v="0"/>
    <x v="0"/>
    <x v="195"/>
    <x v="0"/>
    <x v="0"/>
    <x v="0"/>
    <x v="30"/>
    <x v="0"/>
    <x v="91"/>
    <x v="91"/>
    <x v="342"/>
    <x v="0"/>
    <x v="0"/>
    <x v="0"/>
    <x v="0"/>
    <x v="444"/>
    <x v="195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313"/>
    <x v="284"/>
    <x v="0"/>
    <x v="0"/>
    <x v="0"/>
    <x v="0"/>
    <x v="0"/>
    <x v="0"/>
  </r>
  <r>
    <x v="0"/>
    <x v="527"/>
    <x v="2"/>
    <x v="31"/>
    <x v="0"/>
    <x v="0"/>
    <x v="0"/>
    <x v="394"/>
    <x v="417"/>
    <x v="0"/>
    <x v="0"/>
    <x v="0"/>
    <x v="5"/>
    <x v="3"/>
    <x v="0"/>
    <x v="394"/>
    <x v="5"/>
    <x v="0"/>
    <x v="0"/>
    <x v="0"/>
    <x v="394"/>
    <x v="417"/>
    <x v="0"/>
    <x v="0"/>
    <x v="0"/>
    <x v="0"/>
    <x v="0"/>
    <x v="1"/>
    <x v="0"/>
    <x v="0"/>
    <x v="0"/>
    <x v="343"/>
    <x v="384"/>
    <x v="0"/>
    <x v="393"/>
    <x v="384"/>
    <x v="128"/>
    <x v="0"/>
    <x v="419"/>
    <x v="0"/>
    <x v="0"/>
    <x v="0"/>
    <x v="0"/>
    <x v="0"/>
    <x v="5"/>
    <x v="0"/>
    <x v="0"/>
    <x v="0"/>
    <x v="0"/>
    <x v="384"/>
    <x v="0"/>
    <x v="0"/>
    <x v="384"/>
    <x v="0"/>
    <x v="0"/>
    <x v="302"/>
    <x v="0"/>
    <x v="309"/>
    <x v="128"/>
    <x v="419"/>
    <x v="0"/>
    <x v="5"/>
    <x v="0"/>
    <x v="0"/>
    <x v="32"/>
    <x v="526"/>
    <x v="527"/>
    <x v="0"/>
    <x v="0"/>
    <x v="0"/>
    <x v="384"/>
    <x v="0"/>
    <x v="0"/>
    <x v="0"/>
    <x v="0"/>
    <x v="309"/>
    <x v="0"/>
    <x v="0"/>
    <x v="0"/>
    <x v="30"/>
    <x v="0"/>
    <x v="6"/>
    <x v="6"/>
    <x v="343"/>
    <x v="0"/>
    <x v="0"/>
    <x v="0"/>
    <x v="0"/>
    <x v="445"/>
    <x v="309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314"/>
    <x v="285"/>
    <x v="0"/>
    <x v="0"/>
    <x v="0"/>
    <x v="0"/>
    <x v="0"/>
    <x v="0"/>
  </r>
  <r>
    <x v="1"/>
    <x v="528"/>
    <x v="0"/>
    <x v="30"/>
    <x v="0"/>
    <x v="0"/>
    <x v="0"/>
    <x v="395"/>
    <x v="418"/>
    <x v="0"/>
    <x v="0"/>
    <x v="0"/>
    <x v="23"/>
    <x v="0"/>
    <x v="0"/>
    <x v="395"/>
    <x v="18"/>
    <x v="0"/>
    <x v="0"/>
    <x v="0"/>
    <x v="395"/>
    <x v="418"/>
    <x v="0"/>
    <x v="3"/>
    <x v="0"/>
    <x v="0"/>
    <x v="0"/>
    <x v="0"/>
    <x v="1"/>
    <x v="1"/>
    <x v="0"/>
    <x v="4"/>
    <x v="385"/>
    <x v="0"/>
    <x v="394"/>
    <x v="385"/>
    <x v="1"/>
    <x v="0"/>
    <x v="420"/>
    <x v="0"/>
    <x v="0"/>
    <x v="0"/>
    <x v="0"/>
    <x v="0"/>
    <x v="23"/>
    <x v="0"/>
    <x v="0"/>
    <x v="0"/>
    <x v="0"/>
    <x v="385"/>
    <x v="0"/>
    <x v="0"/>
    <x v="385"/>
    <x v="0"/>
    <x v="0"/>
    <x v="6"/>
    <x v="1"/>
    <x v="7"/>
    <x v="1"/>
    <x v="420"/>
    <x v="0"/>
    <x v="0"/>
    <x v="1"/>
    <x v="0"/>
    <x v="32"/>
    <x v="527"/>
    <x v="528"/>
    <x v="0"/>
    <x v="0"/>
    <x v="0"/>
    <x v="385"/>
    <x v="0"/>
    <x v="0"/>
    <x v="0"/>
    <x v="0"/>
    <x v="7"/>
    <x v="0"/>
    <x v="0"/>
    <x v="0"/>
    <x v="29"/>
    <x v="0"/>
    <x v="3"/>
    <x v="3"/>
    <x v="4"/>
    <x v="1"/>
    <x v="0"/>
    <x v="0"/>
    <x v="0"/>
    <x v="446"/>
    <x v="7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  <x v="123"/>
    <x v="104"/>
    <x v="0"/>
    <x v="0"/>
    <x v="0"/>
    <x v="0"/>
    <x v="0"/>
    <x v="0"/>
  </r>
  <r>
    <x v="1"/>
    <x v="529"/>
    <x v="2"/>
    <x v="31"/>
    <x v="0"/>
    <x v="0"/>
    <x v="0"/>
    <x v="396"/>
    <x v="419"/>
    <x v="0"/>
    <x v="0"/>
    <x v="0"/>
    <x v="19"/>
    <x v="3"/>
    <x v="0"/>
    <x v="396"/>
    <x v="5"/>
    <x v="0"/>
    <x v="0"/>
    <x v="0"/>
    <x v="396"/>
    <x v="419"/>
    <x v="0"/>
    <x v="3"/>
    <x v="0"/>
    <x v="0"/>
    <x v="0"/>
    <x v="0"/>
    <x v="1"/>
    <x v="1"/>
    <x v="0"/>
    <x v="4"/>
    <x v="386"/>
    <x v="0"/>
    <x v="395"/>
    <x v="386"/>
    <x v="1"/>
    <x v="0"/>
    <x v="421"/>
    <x v="3"/>
    <x v="0"/>
    <x v="3"/>
    <x v="0"/>
    <x v="0"/>
    <x v="19"/>
    <x v="0"/>
    <x v="0"/>
    <x v="0"/>
    <x v="0"/>
    <x v="386"/>
    <x v="0"/>
    <x v="3"/>
    <x v="386"/>
    <x v="0"/>
    <x v="0"/>
    <x v="6"/>
    <x v="1"/>
    <x v="7"/>
    <x v="1"/>
    <x v="421"/>
    <x v="0"/>
    <x v="6"/>
    <x v="4"/>
    <x v="0"/>
    <x v="32"/>
    <x v="528"/>
    <x v="529"/>
    <x v="0"/>
    <x v="0"/>
    <x v="0"/>
    <x v="386"/>
    <x v="0"/>
    <x v="0"/>
    <x v="0"/>
    <x v="0"/>
    <x v="7"/>
    <x v="0"/>
    <x v="0"/>
    <x v="0"/>
    <x v="30"/>
    <x v="0"/>
    <x v="3"/>
    <x v="3"/>
    <x v="4"/>
    <x v="1"/>
    <x v="0"/>
    <x v="0"/>
    <x v="0"/>
    <x v="447"/>
    <x v="7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87"/>
    <x v="4"/>
    <x v="0"/>
    <x v="0"/>
    <x v="0"/>
    <x v="0"/>
    <x v="0"/>
    <x v="0"/>
  </r>
  <r>
    <x v="0"/>
    <x v="530"/>
    <x v="0"/>
    <x v="31"/>
    <x v="0"/>
    <x v="0"/>
    <x v="0"/>
    <x v="397"/>
    <x v="420"/>
    <x v="0"/>
    <x v="0"/>
    <x v="0"/>
    <x v="4"/>
    <x v="0"/>
    <x v="0"/>
    <x v="397"/>
    <x v="4"/>
    <x v="0"/>
    <x v="0"/>
    <x v="0"/>
    <x v="397"/>
    <x v="420"/>
    <x v="0"/>
    <x v="0"/>
    <x v="0"/>
    <x v="0"/>
    <x v="0"/>
    <x v="0"/>
    <x v="0"/>
    <x v="0"/>
    <x v="0"/>
    <x v="344"/>
    <x v="387"/>
    <x v="0"/>
    <x v="396"/>
    <x v="387"/>
    <x v="1"/>
    <x v="0"/>
    <x v="422"/>
    <x v="0"/>
    <x v="0"/>
    <x v="0"/>
    <x v="0"/>
    <x v="0"/>
    <x v="4"/>
    <x v="0"/>
    <x v="0"/>
    <x v="0"/>
    <x v="0"/>
    <x v="387"/>
    <x v="0"/>
    <x v="0"/>
    <x v="387"/>
    <x v="0"/>
    <x v="0"/>
    <x v="303"/>
    <x v="0"/>
    <x v="310"/>
    <x v="1"/>
    <x v="422"/>
    <x v="0"/>
    <x v="0"/>
    <x v="1"/>
    <x v="0"/>
    <x v="32"/>
    <x v="529"/>
    <x v="530"/>
    <x v="0"/>
    <x v="0"/>
    <x v="0"/>
    <x v="387"/>
    <x v="0"/>
    <x v="0"/>
    <x v="0"/>
    <x v="0"/>
    <x v="310"/>
    <x v="0"/>
    <x v="0"/>
    <x v="0"/>
    <x v="30"/>
    <x v="0"/>
    <x v="7"/>
    <x v="7"/>
    <x v="344"/>
    <x v="0"/>
    <x v="0"/>
    <x v="0"/>
    <x v="0"/>
    <x v="448"/>
    <x v="31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315"/>
    <x v="286"/>
    <x v="0"/>
    <x v="0"/>
    <x v="0"/>
    <x v="0"/>
    <x v="0"/>
    <x v="0"/>
  </r>
  <r>
    <x v="0"/>
    <x v="531"/>
    <x v="0"/>
    <x v="31"/>
    <x v="0"/>
    <x v="0"/>
    <x v="0"/>
    <x v="283"/>
    <x v="421"/>
    <x v="0"/>
    <x v="0"/>
    <x v="0"/>
    <x v="0"/>
    <x v="0"/>
    <x v="0"/>
    <x v="283"/>
    <x v="0"/>
    <x v="0"/>
    <x v="0"/>
    <x v="0"/>
    <x v="283"/>
    <x v="421"/>
    <x v="0"/>
    <x v="0"/>
    <x v="0"/>
    <x v="0"/>
    <x v="0"/>
    <x v="0"/>
    <x v="0"/>
    <x v="0"/>
    <x v="0"/>
    <x v="345"/>
    <x v="278"/>
    <x v="0"/>
    <x v="282"/>
    <x v="278"/>
    <x v="1"/>
    <x v="0"/>
    <x v="423"/>
    <x v="4"/>
    <x v="0"/>
    <x v="4"/>
    <x v="0"/>
    <x v="0"/>
    <x v="0"/>
    <x v="0"/>
    <x v="0"/>
    <x v="0"/>
    <x v="0"/>
    <x v="278"/>
    <x v="0"/>
    <x v="4"/>
    <x v="278"/>
    <x v="0"/>
    <x v="0"/>
    <x v="304"/>
    <x v="0"/>
    <x v="218"/>
    <x v="1"/>
    <x v="423"/>
    <x v="0"/>
    <x v="0"/>
    <x v="1"/>
    <x v="0"/>
    <x v="32"/>
    <x v="530"/>
    <x v="531"/>
    <x v="0"/>
    <x v="0"/>
    <x v="0"/>
    <x v="278"/>
    <x v="0"/>
    <x v="0"/>
    <x v="0"/>
    <x v="0"/>
    <x v="218"/>
    <x v="0"/>
    <x v="0"/>
    <x v="0"/>
    <x v="30"/>
    <x v="0"/>
    <x v="85"/>
    <x v="85"/>
    <x v="345"/>
    <x v="0"/>
    <x v="0"/>
    <x v="0"/>
    <x v="0"/>
    <x v="449"/>
    <x v="2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5"/>
    <x v="200"/>
    <x v="0"/>
    <x v="0"/>
    <x v="0"/>
    <x v="0"/>
    <x v="0"/>
    <x v="0"/>
  </r>
  <r>
    <x v="0"/>
    <x v="532"/>
    <x v="0"/>
    <x v="31"/>
    <x v="0"/>
    <x v="0"/>
    <x v="0"/>
    <x v="284"/>
    <x v="299"/>
    <x v="0"/>
    <x v="0"/>
    <x v="0"/>
    <x v="0"/>
    <x v="0"/>
    <x v="0"/>
    <x v="284"/>
    <x v="0"/>
    <x v="0"/>
    <x v="0"/>
    <x v="0"/>
    <x v="284"/>
    <x v="299"/>
    <x v="0"/>
    <x v="0"/>
    <x v="0"/>
    <x v="0"/>
    <x v="0"/>
    <x v="0"/>
    <x v="0"/>
    <x v="0"/>
    <x v="0"/>
    <x v="345"/>
    <x v="279"/>
    <x v="0"/>
    <x v="283"/>
    <x v="279"/>
    <x v="1"/>
    <x v="0"/>
    <x v="305"/>
    <x v="4"/>
    <x v="0"/>
    <x v="4"/>
    <x v="0"/>
    <x v="0"/>
    <x v="0"/>
    <x v="0"/>
    <x v="0"/>
    <x v="0"/>
    <x v="0"/>
    <x v="279"/>
    <x v="0"/>
    <x v="4"/>
    <x v="279"/>
    <x v="0"/>
    <x v="0"/>
    <x v="214"/>
    <x v="0"/>
    <x v="219"/>
    <x v="1"/>
    <x v="305"/>
    <x v="0"/>
    <x v="0"/>
    <x v="1"/>
    <x v="0"/>
    <x v="32"/>
    <x v="531"/>
    <x v="532"/>
    <x v="0"/>
    <x v="0"/>
    <x v="0"/>
    <x v="279"/>
    <x v="0"/>
    <x v="0"/>
    <x v="0"/>
    <x v="0"/>
    <x v="219"/>
    <x v="0"/>
    <x v="0"/>
    <x v="0"/>
    <x v="30"/>
    <x v="0"/>
    <x v="85"/>
    <x v="85"/>
    <x v="345"/>
    <x v="0"/>
    <x v="0"/>
    <x v="0"/>
    <x v="0"/>
    <x v="450"/>
    <x v="2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5"/>
    <x v="200"/>
    <x v="0"/>
    <x v="0"/>
    <x v="0"/>
    <x v="0"/>
    <x v="0"/>
    <x v="0"/>
  </r>
  <r>
    <x v="0"/>
    <x v="533"/>
    <x v="0"/>
    <x v="31"/>
    <x v="0"/>
    <x v="0"/>
    <x v="0"/>
    <x v="197"/>
    <x v="205"/>
    <x v="0"/>
    <x v="0"/>
    <x v="0"/>
    <x v="0"/>
    <x v="0"/>
    <x v="0"/>
    <x v="197"/>
    <x v="0"/>
    <x v="0"/>
    <x v="0"/>
    <x v="0"/>
    <x v="197"/>
    <x v="205"/>
    <x v="0"/>
    <x v="0"/>
    <x v="0"/>
    <x v="0"/>
    <x v="0"/>
    <x v="0"/>
    <x v="0"/>
    <x v="0"/>
    <x v="0"/>
    <x v="346"/>
    <x v="200"/>
    <x v="0"/>
    <x v="197"/>
    <x v="200"/>
    <x v="1"/>
    <x v="0"/>
    <x v="214"/>
    <x v="4"/>
    <x v="0"/>
    <x v="4"/>
    <x v="0"/>
    <x v="0"/>
    <x v="0"/>
    <x v="0"/>
    <x v="0"/>
    <x v="0"/>
    <x v="0"/>
    <x v="200"/>
    <x v="0"/>
    <x v="4"/>
    <x v="200"/>
    <x v="0"/>
    <x v="0"/>
    <x v="157"/>
    <x v="0"/>
    <x v="164"/>
    <x v="1"/>
    <x v="214"/>
    <x v="0"/>
    <x v="0"/>
    <x v="1"/>
    <x v="0"/>
    <x v="32"/>
    <x v="532"/>
    <x v="533"/>
    <x v="0"/>
    <x v="0"/>
    <x v="0"/>
    <x v="200"/>
    <x v="0"/>
    <x v="0"/>
    <x v="0"/>
    <x v="0"/>
    <x v="164"/>
    <x v="0"/>
    <x v="0"/>
    <x v="0"/>
    <x v="30"/>
    <x v="0"/>
    <x v="89"/>
    <x v="89"/>
    <x v="346"/>
    <x v="0"/>
    <x v="0"/>
    <x v="0"/>
    <x v="0"/>
    <x v="451"/>
    <x v="1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5"/>
    <x v="200"/>
    <x v="0"/>
    <x v="0"/>
    <x v="0"/>
    <x v="0"/>
    <x v="0"/>
    <x v="0"/>
  </r>
  <r>
    <x v="0"/>
    <x v="534"/>
    <x v="0"/>
    <x v="31"/>
    <x v="0"/>
    <x v="0"/>
    <x v="0"/>
    <x v="398"/>
    <x v="422"/>
    <x v="0"/>
    <x v="0"/>
    <x v="0"/>
    <x v="1"/>
    <x v="0"/>
    <x v="0"/>
    <x v="398"/>
    <x v="2"/>
    <x v="0"/>
    <x v="0"/>
    <x v="0"/>
    <x v="398"/>
    <x v="422"/>
    <x v="0"/>
    <x v="0"/>
    <x v="0"/>
    <x v="0"/>
    <x v="0"/>
    <x v="0"/>
    <x v="0"/>
    <x v="0"/>
    <x v="0"/>
    <x v="347"/>
    <x v="388"/>
    <x v="0"/>
    <x v="397"/>
    <x v="388"/>
    <x v="1"/>
    <x v="0"/>
    <x v="424"/>
    <x v="4"/>
    <x v="0"/>
    <x v="4"/>
    <x v="0"/>
    <x v="0"/>
    <x v="1"/>
    <x v="0"/>
    <x v="0"/>
    <x v="0"/>
    <x v="0"/>
    <x v="388"/>
    <x v="0"/>
    <x v="4"/>
    <x v="388"/>
    <x v="0"/>
    <x v="0"/>
    <x v="305"/>
    <x v="0"/>
    <x v="311"/>
    <x v="1"/>
    <x v="424"/>
    <x v="0"/>
    <x v="0"/>
    <x v="1"/>
    <x v="0"/>
    <x v="32"/>
    <x v="533"/>
    <x v="534"/>
    <x v="0"/>
    <x v="0"/>
    <x v="0"/>
    <x v="388"/>
    <x v="0"/>
    <x v="0"/>
    <x v="0"/>
    <x v="0"/>
    <x v="311"/>
    <x v="0"/>
    <x v="0"/>
    <x v="0"/>
    <x v="30"/>
    <x v="0"/>
    <x v="86"/>
    <x v="86"/>
    <x v="347"/>
    <x v="0"/>
    <x v="0"/>
    <x v="0"/>
    <x v="0"/>
    <x v="452"/>
    <x v="31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7"/>
    <x v="108"/>
    <x v="0"/>
    <x v="0"/>
    <x v="0"/>
    <x v="0"/>
    <x v="0"/>
    <x v="0"/>
  </r>
  <r>
    <x v="0"/>
    <x v="535"/>
    <x v="0"/>
    <x v="31"/>
    <x v="0"/>
    <x v="0"/>
    <x v="0"/>
    <x v="399"/>
    <x v="423"/>
    <x v="0"/>
    <x v="0"/>
    <x v="0"/>
    <x v="4"/>
    <x v="0"/>
    <x v="0"/>
    <x v="399"/>
    <x v="4"/>
    <x v="0"/>
    <x v="0"/>
    <x v="0"/>
    <x v="399"/>
    <x v="423"/>
    <x v="0"/>
    <x v="0"/>
    <x v="0"/>
    <x v="0"/>
    <x v="0"/>
    <x v="0"/>
    <x v="0"/>
    <x v="0"/>
    <x v="0"/>
    <x v="348"/>
    <x v="389"/>
    <x v="0"/>
    <x v="398"/>
    <x v="389"/>
    <x v="129"/>
    <x v="0"/>
    <x v="425"/>
    <x v="0"/>
    <x v="0"/>
    <x v="0"/>
    <x v="0"/>
    <x v="0"/>
    <x v="4"/>
    <x v="0"/>
    <x v="0"/>
    <x v="0"/>
    <x v="0"/>
    <x v="389"/>
    <x v="0"/>
    <x v="0"/>
    <x v="389"/>
    <x v="0"/>
    <x v="0"/>
    <x v="306"/>
    <x v="0"/>
    <x v="312"/>
    <x v="129"/>
    <x v="425"/>
    <x v="0"/>
    <x v="0"/>
    <x v="0"/>
    <x v="0"/>
    <x v="32"/>
    <x v="534"/>
    <x v="535"/>
    <x v="0"/>
    <x v="0"/>
    <x v="0"/>
    <x v="389"/>
    <x v="0"/>
    <x v="0"/>
    <x v="0"/>
    <x v="0"/>
    <x v="312"/>
    <x v="0"/>
    <x v="0"/>
    <x v="0"/>
    <x v="30"/>
    <x v="0"/>
    <x v="39"/>
    <x v="39"/>
    <x v="348"/>
    <x v="0"/>
    <x v="0"/>
    <x v="0"/>
    <x v="0"/>
    <x v="453"/>
    <x v="312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316"/>
    <x v="287"/>
    <x v="0"/>
    <x v="0"/>
    <x v="0"/>
    <x v="0"/>
    <x v="0"/>
    <x v="0"/>
  </r>
  <r>
    <x v="0"/>
    <x v="536"/>
    <x v="0"/>
    <x v="31"/>
    <x v="0"/>
    <x v="0"/>
    <x v="0"/>
    <x v="400"/>
    <x v="424"/>
    <x v="0"/>
    <x v="0"/>
    <x v="0"/>
    <x v="4"/>
    <x v="0"/>
    <x v="0"/>
    <x v="400"/>
    <x v="4"/>
    <x v="0"/>
    <x v="0"/>
    <x v="0"/>
    <x v="400"/>
    <x v="424"/>
    <x v="0"/>
    <x v="0"/>
    <x v="0"/>
    <x v="0"/>
    <x v="0"/>
    <x v="0"/>
    <x v="0"/>
    <x v="0"/>
    <x v="0"/>
    <x v="348"/>
    <x v="390"/>
    <x v="0"/>
    <x v="399"/>
    <x v="390"/>
    <x v="1"/>
    <x v="0"/>
    <x v="426"/>
    <x v="1"/>
    <x v="0"/>
    <x v="1"/>
    <x v="0"/>
    <x v="0"/>
    <x v="4"/>
    <x v="0"/>
    <x v="0"/>
    <x v="0"/>
    <x v="0"/>
    <x v="390"/>
    <x v="0"/>
    <x v="1"/>
    <x v="390"/>
    <x v="0"/>
    <x v="0"/>
    <x v="307"/>
    <x v="0"/>
    <x v="313"/>
    <x v="1"/>
    <x v="426"/>
    <x v="0"/>
    <x v="0"/>
    <x v="1"/>
    <x v="0"/>
    <x v="32"/>
    <x v="535"/>
    <x v="536"/>
    <x v="0"/>
    <x v="0"/>
    <x v="0"/>
    <x v="390"/>
    <x v="0"/>
    <x v="0"/>
    <x v="0"/>
    <x v="0"/>
    <x v="313"/>
    <x v="0"/>
    <x v="0"/>
    <x v="0"/>
    <x v="30"/>
    <x v="0"/>
    <x v="39"/>
    <x v="39"/>
    <x v="348"/>
    <x v="0"/>
    <x v="0"/>
    <x v="0"/>
    <x v="0"/>
    <x v="453"/>
    <x v="313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316"/>
    <x v="287"/>
    <x v="0"/>
    <x v="0"/>
    <x v="0"/>
    <x v="0"/>
    <x v="0"/>
    <x v="0"/>
  </r>
  <r>
    <x v="0"/>
    <x v="537"/>
    <x v="0"/>
    <x v="31"/>
    <x v="0"/>
    <x v="0"/>
    <x v="0"/>
    <x v="381"/>
    <x v="402"/>
    <x v="0"/>
    <x v="0"/>
    <x v="0"/>
    <x v="1"/>
    <x v="0"/>
    <x v="0"/>
    <x v="381"/>
    <x v="2"/>
    <x v="0"/>
    <x v="0"/>
    <x v="0"/>
    <x v="381"/>
    <x v="402"/>
    <x v="0"/>
    <x v="0"/>
    <x v="0"/>
    <x v="0"/>
    <x v="0"/>
    <x v="0"/>
    <x v="0"/>
    <x v="0"/>
    <x v="0"/>
    <x v="349"/>
    <x v="371"/>
    <x v="0"/>
    <x v="380"/>
    <x v="371"/>
    <x v="1"/>
    <x v="0"/>
    <x v="404"/>
    <x v="2"/>
    <x v="0"/>
    <x v="2"/>
    <x v="0"/>
    <x v="0"/>
    <x v="1"/>
    <x v="0"/>
    <x v="0"/>
    <x v="0"/>
    <x v="0"/>
    <x v="371"/>
    <x v="0"/>
    <x v="2"/>
    <x v="371"/>
    <x v="0"/>
    <x v="0"/>
    <x v="290"/>
    <x v="0"/>
    <x v="298"/>
    <x v="1"/>
    <x v="404"/>
    <x v="0"/>
    <x v="0"/>
    <x v="2"/>
    <x v="0"/>
    <x v="32"/>
    <x v="536"/>
    <x v="537"/>
    <x v="0"/>
    <x v="0"/>
    <x v="0"/>
    <x v="371"/>
    <x v="0"/>
    <x v="0"/>
    <x v="0"/>
    <x v="0"/>
    <x v="298"/>
    <x v="0"/>
    <x v="0"/>
    <x v="0"/>
    <x v="30"/>
    <x v="0"/>
    <x v="4"/>
    <x v="4"/>
    <x v="349"/>
    <x v="0"/>
    <x v="0"/>
    <x v="0"/>
    <x v="0"/>
    <x v="454"/>
    <x v="29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17"/>
    <x v="288"/>
    <x v="0"/>
    <x v="0"/>
    <x v="0"/>
    <x v="0"/>
    <x v="0"/>
    <x v="213"/>
  </r>
  <r>
    <x v="0"/>
    <x v="538"/>
    <x v="0"/>
    <x v="31"/>
    <x v="0"/>
    <x v="0"/>
    <x v="0"/>
    <x v="313"/>
    <x v="331"/>
    <x v="0"/>
    <x v="0"/>
    <x v="0"/>
    <x v="1"/>
    <x v="0"/>
    <x v="0"/>
    <x v="313"/>
    <x v="2"/>
    <x v="0"/>
    <x v="0"/>
    <x v="0"/>
    <x v="313"/>
    <x v="331"/>
    <x v="0"/>
    <x v="0"/>
    <x v="0"/>
    <x v="0"/>
    <x v="0"/>
    <x v="0"/>
    <x v="0"/>
    <x v="0"/>
    <x v="0"/>
    <x v="350"/>
    <x v="307"/>
    <x v="0"/>
    <x v="312"/>
    <x v="307"/>
    <x v="1"/>
    <x v="0"/>
    <x v="336"/>
    <x v="2"/>
    <x v="0"/>
    <x v="2"/>
    <x v="0"/>
    <x v="0"/>
    <x v="1"/>
    <x v="0"/>
    <x v="0"/>
    <x v="0"/>
    <x v="0"/>
    <x v="307"/>
    <x v="0"/>
    <x v="2"/>
    <x v="307"/>
    <x v="0"/>
    <x v="0"/>
    <x v="241"/>
    <x v="0"/>
    <x v="246"/>
    <x v="1"/>
    <x v="336"/>
    <x v="0"/>
    <x v="0"/>
    <x v="1"/>
    <x v="0"/>
    <x v="32"/>
    <x v="537"/>
    <x v="538"/>
    <x v="0"/>
    <x v="0"/>
    <x v="0"/>
    <x v="307"/>
    <x v="0"/>
    <x v="0"/>
    <x v="0"/>
    <x v="0"/>
    <x v="246"/>
    <x v="0"/>
    <x v="0"/>
    <x v="0"/>
    <x v="30"/>
    <x v="0"/>
    <x v="22"/>
    <x v="22"/>
    <x v="350"/>
    <x v="0"/>
    <x v="0"/>
    <x v="0"/>
    <x v="0"/>
    <x v="455"/>
    <x v="24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18"/>
    <x v="289"/>
    <x v="0"/>
    <x v="0"/>
    <x v="0"/>
    <x v="0"/>
    <x v="0"/>
    <x v="214"/>
  </r>
  <r>
    <x v="0"/>
    <x v="539"/>
    <x v="0"/>
    <x v="31"/>
    <x v="0"/>
    <x v="0"/>
    <x v="0"/>
    <x v="401"/>
    <x v="425"/>
    <x v="0"/>
    <x v="0"/>
    <x v="0"/>
    <x v="1"/>
    <x v="0"/>
    <x v="0"/>
    <x v="401"/>
    <x v="2"/>
    <x v="0"/>
    <x v="0"/>
    <x v="0"/>
    <x v="401"/>
    <x v="425"/>
    <x v="0"/>
    <x v="0"/>
    <x v="0"/>
    <x v="0"/>
    <x v="0"/>
    <x v="0"/>
    <x v="0"/>
    <x v="0"/>
    <x v="0"/>
    <x v="350"/>
    <x v="391"/>
    <x v="0"/>
    <x v="400"/>
    <x v="391"/>
    <x v="1"/>
    <x v="0"/>
    <x v="427"/>
    <x v="2"/>
    <x v="0"/>
    <x v="2"/>
    <x v="0"/>
    <x v="0"/>
    <x v="1"/>
    <x v="0"/>
    <x v="0"/>
    <x v="0"/>
    <x v="0"/>
    <x v="391"/>
    <x v="0"/>
    <x v="2"/>
    <x v="391"/>
    <x v="0"/>
    <x v="0"/>
    <x v="308"/>
    <x v="0"/>
    <x v="314"/>
    <x v="1"/>
    <x v="427"/>
    <x v="0"/>
    <x v="0"/>
    <x v="1"/>
    <x v="0"/>
    <x v="32"/>
    <x v="538"/>
    <x v="539"/>
    <x v="0"/>
    <x v="0"/>
    <x v="0"/>
    <x v="391"/>
    <x v="0"/>
    <x v="0"/>
    <x v="0"/>
    <x v="0"/>
    <x v="314"/>
    <x v="0"/>
    <x v="0"/>
    <x v="0"/>
    <x v="30"/>
    <x v="0"/>
    <x v="22"/>
    <x v="22"/>
    <x v="350"/>
    <x v="0"/>
    <x v="0"/>
    <x v="0"/>
    <x v="0"/>
    <x v="456"/>
    <x v="31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18"/>
    <x v="289"/>
    <x v="0"/>
    <x v="0"/>
    <x v="0"/>
    <x v="0"/>
    <x v="0"/>
    <x v="215"/>
  </r>
  <r>
    <x v="0"/>
    <x v="540"/>
    <x v="0"/>
    <x v="31"/>
    <x v="0"/>
    <x v="0"/>
    <x v="0"/>
    <x v="217"/>
    <x v="229"/>
    <x v="0"/>
    <x v="0"/>
    <x v="0"/>
    <x v="12"/>
    <x v="1"/>
    <x v="0"/>
    <x v="217"/>
    <x v="11"/>
    <x v="0"/>
    <x v="0"/>
    <x v="0"/>
    <x v="217"/>
    <x v="229"/>
    <x v="0"/>
    <x v="0"/>
    <x v="0"/>
    <x v="0"/>
    <x v="0"/>
    <x v="0"/>
    <x v="0"/>
    <x v="0"/>
    <x v="0"/>
    <x v="351"/>
    <x v="218"/>
    <x v="0"/>
    <x v="217"/>
    <x v="218"/>
    <x v="1"/>
    <x v="0"/>
    <x v="237"/>
    <x v="0"/>
    <x v="0"/>
    <x v="0"/>
    <x v="0"/>
    <x v="0"/>
    <x v="12"/>
    <x v="0"/>
    <x v="0"/>
    <x v="0"/>
    <x v="0"/>
    <x v="218"/>
    <x v="0"/>
    <x v="0"/>
    <x v="218"/>
    <x v="0"/>
    <x v="0"/>
    <x v="172"/>
    <x v="0"/>
    <x v="178"/>
    <x v="1"/>
    <x v="237"/>
    <x v="0"/>
    <x v="0"/>
    <x v="1"/>
    <x v="0"/>
    <x v="32"/>
    <x v="539"/>
    <x v="540"/>
    <x v="0"/>
    <x v="0"/>
    <x v="0"/>
    <x v="218"/>
    <x v="0"/>
    <x v="0"/>
    <x v="0"/>
    <x v="0"/>
    <x v="178"/>
    <x v="0"/>
    <x v="0"/>
    <x v="0"/>
    <x v="30"/>
    <x v="0"/>
    <x v="73"/>
    <x v="73"/>
    <x v="351"/>
    <x v="0"/>
    <x v="0"/>
    <x v="0"/>
    <x v="0"/>
    <x v="457"/>
    <x v="17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5"/>
    <x v="290"/>
    <x v="0"/>
    <x v="0"/>
    <x v="0"/>
    <x v="0"/>
    <x v="0"/>
    <x v="0"/>
  </r>
  <r>
    <x v="0"/>
    <x v="541"/>
    <x v="0"/>
    <x v="31"/>
    <x v="0"/>
    <x v="0"/>
    <x v="0"/>
    <x v="402"/>
    <x v="426"/>
    <x v="0"/>
    <x v="0"/>
    <x v="0"/>
    <x v="12"/>
    <x v="0"/>
    <x v="0"/>
    <x v="402"/>
    <x v="9"/>
    <x v="0"/>
    <x v="0"/>
    <x v="0"/>
    <x v="402"/>
    <x v="426"/>
    <x v="0"/>
    <x v="0"/>
    <x v="0"/>
    <x v="0"/>
    <x v="0"/>
    <x v="0"/>
    <x v="0"/>
    <x v="0"/>
    <x v="0"/>
    <x v="352"/>
    <x v="392"/>
    <x v="0"/>
    <x v="401"/>
    <x v="392"/>
    <x v="1"/>
    <x v="0"/>
    <x v="428"/>
    <x v="6"/>
    <x v="0"/>
    <x v="6"/>
    <x v="0"/>
    <x v="0"/>
    <x v="12"/>
    <x v="0"/>
    <x v="0"/>
    <x v="0"/>
    <x v="0"/>
    <x v="392"/>
    <x v="0"/>
    <x v="6"/>
    <x v="392"/>
    <x v="0"/>
    <x v="0"/>
    <x v="309"/>
    <x v="0"/>
    <x v="315"/>
    <x v="1"/>
    <x v="428"/>
    <x v="0"/>
    <x v="0"/>
    <x v="1"/>
    <x v="0"/>
    <x v="32"/>
    <x v="540"/>
    <x v="541"/>
    <x v="0"/>
    <x v="0"/>
    <x v="0"/>
    <x v="392"/>
    <x v="0"/>
    <x v="0"/>
    <x v="0"/>
    <x v="0"/>
    <x v="315"/>
    <x v="0"/>
    <x v="0"/>
    <x v="0"/>
    <x v="30"/>
    <x v="0"/>
    <x v="30"/>
    <x v="30"/>
    <x v="352"/>
    <x v="0"/>
    <x v="0"/>
    <x v="0"/>
    <x v="0"/>
    <x v="458"/>
    <x v="315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19"/>
    <x v="291"/>
    <x v="0"/>
    <x v="0"/>
    <x v="0"/>
    <x v="0"/>
    <x v="0"/>
    <x v="0"/>
  </r>
  <r>
    <x v="0"/>
    <x v="542"/>
    <x v="0"/>
    <x v="31"/>
    <x v="0"/>
    <x v="0"/>
    <x v="0"/>
    <x v="403"/>
    <x v="427"/>
    <x v="0"/>
    <x v="0"/>
    <x v="0"/>
    <x v="12"/>
    <x v="1"/>
    <x v="0"/>
    <x v="403"/>
    <x v="11"/>
    <x v="0"/>
    <x v="0"/>
    <x v="0"/>
    <x v="403"/>
    <x v="427"/>
    <x v="0"/>
    <x v="0"/>
    <x v="0"/>
    <x v="0"/>
    <x v="0"/>
    <x v="0"/>
    <x v="0"/>
    <x v="0"/>
    <x v="0"/>
    <x v="353"/>
    <x v="393"/>
    <x v="0"/>
    <x v="402"/>
    <x v="393"/>
    <x v="1"/>
    <x v="0"/>
    <x v="429"/>
    <x v="0"/>
    <x v="0"/>
    <x v="0"/>
    <x v="0"/>
    <x v="0"/>
    <x v="12"/>
    <x v="0"/>
    <x v="0"/>
    <x v="0"/>
    <x v="0"/>
    <x v="393"/>
    <x v="0"/>
    <x v="0"/>
    <x v="393"/>
    <x v="0"/>
    <x v="0"/>
    <x v="310"/>
    <x v="0"/>
    <x v="316"/>
    <x v="1"/>
    <x v="429"/>
    <x v="0"/>
    <x v="0"/>
    <x v="1"/>
    <x v="0"/>
    <x v="32"/>
    <x v="541"/>
    <x v="542"/>
    <x v="0"/>
    <x v="0"/>
    <x v="0"/>
    <x v="393"/>
    <x v="0"/>
    <x v="0"/>
    <x v="0"/>
    <x v="0"/>
    <x v="316"/>
    <x v="0"/>
    <x v="0"/>
    <x v="0"/>
    <x v="30"/>
    <x v="0"/>
    <x v="102"/>
    <x v="102"/>
    <x v="353"/>
    <x v="0"/>
    <x v="0"/>
    <x v="0"/>
    <x v="0"/>
    <x v="459"/>
    <x v="316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20"/>
    <x v="292"/>
    <x v="0"/>
    <x v="0"/>
    <x v="0"/>
    <x v="0"/>
    <x v="0"/>
    <x v="0"/>
  </r>
  <r>
    <x v="1"/>
    <x v="543"/>
    <x v="0"/>
    <x v="31"/>
    <x v="0"/>
    <x v="0"/>
    <x v="0"/>
    <x v="404"/>
    <x v="428"/>
    <x v="0"/>
    <x v="0"/>
    <x v="0"/>
    <x v="2"/>
    <x v="1"/>
    <x v="0"/>
    <x v="404"/>
    <x v="3"/>
    <x v="0"/>
    <x v="0"/>
    <x v="0"/>
    <x v="404"/>
    <x v="428"/>
    <x v="0"/>
    <x v="3"/>
    <x v="0"/>
    <x v="0"/>
    <x v="0"/>
    <x v="0"/>
    <x v="1"/>
    <x v="1"/>
    <x v="0"/>
    <x v="4"/>
    <x v="35"/>
    <x v="0"/>
    <x v="403"/>
    <x v="35"/>
    <x v="49"/>
    <x v="0"/>
    <x v="124"/>
    <x v="0"/>
    <x v="0"/>
    <x v="0"/>
    <x v="0"/>
    <x v="0"/>
    <x v="2"/>
    <x v="0"/>
    <x v="0"/>
    <x v="0"/>
    <x v="0"/>
    <x v="35"/>
    <x v="0"/>
    <x v="0"/>
    <x v="35"/>
    <x v="191"/>
    <x v="0"/>
    <x v="6"/>
    <x v="1"/>
    <x v="7"/>
    <x v="49"/>
    <x v="124"/>
    <x v="0"/>
    <x v="2"/>
    <x v="0"/>
    <x v="0"/>
    <x v="32"/>
    <x v="542"/>
    <x v="543"/>
    <x v="0"/>
    <x v="0"/>
    <x v="0"/>
    <x v="35"/>
    <x v="0"/>
    <x v="0"/>
    <x v="0"/>
    <x v="0"/>
    <x v="7"/>
    <x v="0"/>
    <x v="0"/>
    <x v="0"/>
    <x v="30"/>
    <x v="0"/>
    <x v="3"/>
    <x v="3"/>
    <x v="4"/>
    <x v="1"/>
    <x v="0"/>
    <x v="0"/>
    <x v="0"/>
    <x v="460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21"/>
    <x v="4"/>
    <x v="0"/>
    <x v="0"/>
    <x v="0"/>
    <x v="0"/>
    <x v="0"/>
    <x v="216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6"/>
    <x v="0"/>
    <x v="7"/>
    <x v="6"/>
    <x v="36"/>
    <x v="0"/>
    <x v="93"/>
    <x v="0"/>
    <x v="1"/>
    <x v="0"/>
    <x v="1"/>
    <x v="0"/>
    <x v="3"/>
    <x v="0"/>
    <x v="0"/>
    <x v="0"/>
    <x v="0"/>
    <x v="6"/>
    <x v="1"/>
    <x v="0"/>
    <x v="6"/>
    <x v="192"/>
    <x v="0"/>
    <x v="6"/>
    <x v="1"/>
    <x v="7"/>
    <x v="36"/>
    <x v="93"/>
    <x v="1"/>
    <x v="3"/>
    <x v="3"/>
    <x v="1"/>
    <x v="1"/>
    <x v="9"/>
    <x v="9"/>
    <x v="0"/>
    <x v="0"/>
    <x v="1"/>
    <x v="6"/>
    <x v="0"/>
    <x v="0"/>
    <x v="0"/>
    <x v="1"/>
    <x v="7"/>
    <x v="0"/>
    <x v="1"/>
    <x v="1"/>
    <x v="3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1"/>
    <x v="1"/>
    <x v="1"/>
    <x v="4"/>
    <x v="36"/>
    <x v="0"/>
    <x v="7"/>
    <x v="36"/>
    <x v="130"/>
    <x v="0"/>
    <x v="430"/>
    <x v="0"/>
    <x v="1"/>
    <x v="0"/>
    <x v="1"/>
    <x v="0"/>
    <x v="3"/>
    <x v="0"/>
    <x v="0"/>
    <x v="0"/>
    <x v="0"/>
    <x v="36"/>
    <x v="1"/>
    <x v="0"/>
    <x v="36"/>
    <x v="193"/>
    <x v="0"/>
    <x v="6"/>
    <x v="1"/>
    <x v="7"/>
    <x v="130"/>
    <x v="430"/>
    <x v="1"/>
    <x v="3"/>
    <x v="3"/>
    <x v="1"/>
    <x v="1"/>
    <x v="9"/>
    <x v="9"/>
    <x v="0"/>
    <x v="0"/>
    <x v="1"/>
    <x v="36"/>
    <x v="0"/>
    <x v="0"/>
    <x v="0"/>
    <x v="1"/>
    <x v="7"/>
    <x v="0"/>
    <x v="1"/>
    <x v="1"/>
    <x v="30"/>
    <x v="0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544"/>
    <x v="2"/>
    <x v="31"/>
    <x v="0"/>
    <x v="0"/>
    <x v="0"/>
    <x v="405"/>
    <x v="429"/>
    <x v="0"/>
    <x v="0"/>
    <x v="0"/>
    <x v="42"/>
    <x v="3"/>
    <x v="0"/>
    <x v="405"/>
    <x v="5"/>
    <x v="0"/>
    <x v="0"/>
    <x v="0"/>
    <x v="405"/>
    <x v="429"/>
    <x v="0"/>
    <x v="3"/>
    <x v="0"/>
    <x v="0"/>
    <x v="0"/>
    <x v="0"/>
    <x v="1"/>
    <x v="1"/>
    <x v="0"/>
    <x v="4"/>
    <x v="394"/>
    <x v="0"/>
    <x v="404"/>
    <x v="394"/>
    <x v="1"/>
    <x v="0"/>
    <x v="431"/>
    <x v="0"/>
    <x v="0"/>
    <x v="0"/>
    <x v="0"/>
    <x v="0"/>
    <x v="42"/>
    <x v="0"/>
    <x v="0"/>
    <x v="0"/>
    <x v="0"/>
    <x v="394"/>
    <x v="0"/>
    <x v="0"/>
    <x v="394"/>
    <x v="0"/>
    <x v="0"/>
    <x v="6"/>
    <x v="1"/>
    <x v="7"/>
    <x v="1"/>
    <x v="431"/>
    <x v="0"/>
    <x v="6"/>
    <x v="4"/>
    <x v="0"/>
    <x v="32"/>
    <x v="543"/>
    <x v="544"/>
    <x v="0"/>
    <x v="0"/>
    <x v="0"/>
    <x v="394"/>
    <x v="0"/>
    <x v="0"/>
    <x v="0"/>
    <x v="0"/>
    <x v="7"/>
    <x v="0"/>
    <x v="0"/>
    <x v="0"/>
    <x v="30"/>
    <x v="0"/>
    <x v="3"/>
    <x v="3"/>
    <x v="4"/>
    <x v="1"/>
    <x v="0"/>
    <x v="0"/>
    <x v="0"/>
    <x v="461"/>
    <x v="7"/>
    <x v="0"/>
    <x v="0"/>
    <x v="0"/>
    <x v="0"/>
    <x v="0"/>
    <x v="0"/>
    <x v="0"/>
    <x v="17"/>
    <x v="0"/>
    <x v="0"/>
    <x v="0"/>
    <x v="0"/>
    <x v="0"/>
    <x v="0"/>
    <x v="0"/>
    <x v="0"/>
    <x v="0"/>
    <x v="0"/>
    <x v="0"/>
    <x v="0"/>
    <x v="0"/>
    <x v="0"/>
    <x v="0"/>
    <x v="0"/>
    <x v="322"/>
    <x v="4"/>
    <x v="0"/>
    <x v="0"/>
    <x v="0"/>
    <x v="0"/>
    <x v="0"/>
    <x v="0"/>
  </r>
  <r>
    <x v="0"/>
    <x v="545"/>
    <x v="0"/>
    <x v="31"/>
    <x v="0"/>
    <x v="0"/>
    <x v="0"/>
    <x v="406"/>
    <x v="430"/>
    <x v="0"/>
    <x v="0"/>
    <x v="0"/>
    <x v="0"/>
    <x v="0"/>
    <x v="0"/>
    <x v="406"/>
    <x v="0"/>
    <x v="0"/>
    <x v="0"/>
    <x v="0"/>
    <x v="406"/>
    <x v="430"/>
    <x v="0"/>
    <x v="0"/>
    <x v="0"/>
    <x v="0"/>
    <x v="0"/>
    <x v="0"/>
    <x v="0"/>
    <x v="0"/>
    <x v="0"/>
    <x v="354"/>
    <x v="395"/>
    <x v="0"/>
    <x v="405"/>
    <x v="395"/>
    <x v="1"/>
    <x v="0"/>
    <x v="432"/>
    <x v="2"/>
    <x v="0"/>
    <x v="2"/>
    <x v="0"/>
    <x v="0"/>
    <x v="0"/>
    <x v="0"/>
    <x v="0"/>
    <x v="0"/>
    <x v="0"/>
    <x v="395"/>
    <x v="0"/>
    <x v="2"/>
    <x v="395"/>
    <x v="0"/>
    <x v="0"/>
    <x v="311"/>
    <x v="0"/>
    <x v="317"/>
    <x v="1"/>
    <x v="432"/>
    <x v="0"/>
    <x v="0"/>
    <x v="1"/>
    <x v="0"/>
    <x v="32"/>
    <x v="544"/>
    <x v="545"/>
    <x v="0"/>
    <x v="0"/>
    <x v="0"/>
    <x v="395"/>
    <x v="0"/>
    <x v="0"/>
    <x v="0"/>
    <x v="0"/>
    <x v="317"/>
    <x v="0"/>
    <x v="0"/>
    <x v="0"/>
    <x v="30"/>
    <x v="0"/>
    <x v="45"/>
    <x v="45"/>
    <x v="354"/>
    <x v="0"/>
    <x v="0"/>
    <x v="0"/>
    <x v="0"/>
    <x v="462"/>
    <x v="3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23"/>
    <x v="293"/>
    <x v="0"/>
    <x v="0"/>
    <x v="0"/>
    <x v="0"/>
    <x v="0"/>
    <x v="217"/>
  </r>
  <r>
    <x v="0"/>
    <x v="546"/>
    <x v="0"/>
    <x v="31"/>
    <x v="0"/>
    <x v="0"/>
    <x v="0"/>
    <x v="407"/>
    <x v="431"/>
    <x v="0"/>
    <x v="0"/>
    <x v="0"/>
    <x v="12"/>
    <x v="0"/>
    <x v="0"/>
    <x v="407"/>
    <x v="10"/>
    <x v="0"/>
    <x v="0"/>
    <x v="0"/>
    <x v="407"/>
    <x v="431"/>
    <x v="0"/>
    <x v="0"/>
    <x v="0"/>
    <x v="0"/>
    <x v="0"/>
    <x v="0"/>
    <x v="0"/>
    <x v="0"/>
    <x v="0"/>
    <x v="355"/>
    <x v="396"/>
    <x v="0"/>
    <x v="406"/>
    <x v="396"/>
    <x v="1"/>
    <x v="0"/>
    <x v="433"/>
    <x v="2"/>
    <x v="0"/>
    <x v="2"/>
    <x v="0"/>
    <x v="0"/>
    <x v="12"/>
    <x v="0"/>
    <x v="0"/>
    <x v="0"/>
    <x v="0"/>
    <x v="396"/>
    <x v="0"/>
    <x v="2"/>
    <x v="396"/>
    <x v="0"/>
    <x v="0"/>
    <x v="312"/>
    <x v="0"/>
    <x v="318"/>
    <x v="1"/>
    <x v="433"/>
    <x v="0"/>
    <x v="0"/>
    <x v="1"/>
    <x v="0"/>
    <x v="32"/>
    <x v="545"/>
    <x v="546"/>
    <x v="0"/>
    <x v="0"/>
    <x v="0"/>
    <x v="396"/>
    <x v="0"/>
    <x v="0"/>
    <x v="0"/>
    <x v="0"/>
    <x v="318"/>
    <x v="0"/>
    <x v="0"/>
    <x v="0"/>
    <x v="30"/>
    <x v="0"/>
    <x v="103"/>
    <x v="103"/>
    <x v="355"/>
    <x v="0"/>
    <x v="0"/>
    <x v="0"/>
    <x v="0"/>
    <x v="463"/>
    <x v="31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24"/>
    <x v="294"/>
    <x v="0"/>
    <x v="0"/>
    <x v="0"/>
    <x v="0"/>
    <x v="0"/>
    <x v="218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356"/>
    <x v="397"/>
    <x v="0"/>
    <x v="7"/>
    <x v="397"/>
    <x v="1"/>
    <x v="0"/>
    <x v="434"/>
    <x v="2"/>
    <x v="1"/>
    <x v="2"/>
    <x v="1"/>
    <x v="0"/>
    <x v="3"/>
    <x v="0"/>
    <x v="0"/>
    <x v="0"/>
    <x v="0"/>
    <x v="397"/>
    <x v="1"/>
    <x v="2"/>
    <x v="397"/>
    <x v="0"/>
    <x v="0"/>
    <x v="313"/>
    <x v="0"/>
    <x v="319"/>
    <x v="1"/>
    <x v="434"/>
    <x v="1"/>
    <x v="3"/>
    <x v="3"/>
    <x v="1"/>
    <x v="1"/>
    <x v="9"/>
    <x v="9"/>
    <x v="0"/>
    <x v="0"/>
    <x v="1"/>
    <x v="397"/>
    <x v="0"/>
    <x v="0"/>
    <x v="0"/>
    <x v="1"/>
    <x v="319"/>
    <x v="0"/>
    <x v="1"/>
    <x v="1"/>
    <x v="30"/>
    <x v="0"/>
    <x v="52"/>
    <x v="52"/>
    <x v="356"/>
    <x v="0"/>
    <x v="1"/>
    <x v="0"/>
    <x v="0"/>
    <x v="5"/>
    <x v="319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357"/>
    <x v="398"/>
    <x v="0"/>
    <x v="7"/>
    <x v="398"/>
    <x v="1"/>
    <x v="0"/>
    <x v="435"/>
    <x v="2"/>
    <x v="1"/>
    <x v="2"/>
    <x v="1"/>
    <x v="0"/>
    <x v="3"/>
    <x v="0"/>
    <x v="0"/>
    <x v="0"/>
    <x v="0"/>
    <x v="398"/>
    <x v="1"/>
    <x v="2"/>
    <x v="398"/>
    <x v="0"/>
    <x v="0"/>
    <x v="314"/>
    <x v="0"/>
    <x v="320"/>
    <x v="1"/>
    <x v="435"/>
    <x v="1"/>
    <x v="3"/>
    <x v="3"/>
    <x v="1"/>
    <x v="1"/>
    <x v="9"/>
    <x v="9"/>
    <x v="0"/>
    <x v="0"/>
    <x v="1"/>
    <x v="398"/>
    <x v="0"/>
    <x v="0"/>
    <x v="0"/>
    <x v="1"/>
    <x v="320"/>
    <x v="0"/>
    <x v="1"/>
    <x v="1"/>
    <x v="30"/>
    <x v="0"/>
    <x v="77"/>
    <x v="77"/>
    <x v="357"/>
    <x v="0"/>
    <x v="1"/>
    <x v="0"/>
    <x v="0"/>
    <x v="5"/>
    <x v="320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0"/>
    <x v="0"/>
    <x v="0"/>
    <x v="1"/>
    <x v="358"/>
    <x v="399"/>
    <x v="0"/>
    <x v="7"/>
    <x v="399"/>
    <x v="1"/>
    <x v="0"/>
    <x v="436"/>
    <x v="2"/>
    <x v="1"/>
    <x v="2"/>
    <x v="1"/>
    <x v="0"/>
    <x v="3"/>
    <x v="0"/>
    <x v="0"/>
    <x v="0"/>
    <x v="0"/>
    <x v="399"/>
    <x v="1"/>
    <x v="2"/>
    <x v="399"/>
    <x v="0"/>
    <x v="0"/>
    <x v="315"/>
    <x v="0"/>
    <x v="321"/>
    <x v="1"/>
    <x v="436"/>
    <x v="1"/>
    <x v="3"/>
    <x v="3"/>
    <x v="1"/>
    <x v="1"/>
    <x v="9"/>
    <x v="9"/>
    <x v="0"/>
    <x v="0"/>
    <x v="1"/>
    <x v="399"/>
    <x v="0"/>
    <x v="0"/>
    <x v="0"/>
    <x v="1"/>
    <x v="321"/>
    <x v="0"/>
    <x v="1"/>
    <x v="1"/>
    <x v="30"/>
    <x v="0"/>
    <x v="85"/>
    <x v="85"/>
    <x v="358"/>
    <x v="0"/>
    <x v="1"/>
    <x v="0"/>
    <x v="0"/>
    <x v="5"/>
    <x v="321"/>
    <x v="0"/>
    <x v="1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1"/>
    <x v="547"/>
    <x v="0"/>
    <x v="31"/>
    <x v="0"/>
    <x v="0"/>
    <x v="0"/>
    <x v="152"/>
    <x v="158"/>
    <x v="0"/>
    <x v="0"/>
    <x v="0"/>
    <x v="37"/>
    <x v="0"/>
    <x v="0"/>
    <x v="152"/>
    <x v="9"/>
    <x v="0"/>
    <x v="0"/>
    <x v="0"/>
    <x v="152"/>
    <x v="158"/>
    <x v="0"/>
    <x v="3"/>
    <x v="0"/>
    <x v="0"/>
    <x v="0"/>
    <x v="0"/>
    <x v="1"/>
    <x v="1"/>
    <x v="0"/>
    <x v="4"/>
    <x v="156"/>
    <x v="0"/>
    <x v="7"/>
    <x v="156"/>
    <x v="1"/>
    <x v="0"/>
    <x v="168"/>
    <x v="0"/>
    <x v="0"/>
    <x v="0"/>
    <x v="0"/>
    <x v="0"/>
    <x v="37"/>
    <x v="0"/>
    <x v="0"/>
    <x v="0"/>
    <x v="0"/>
    <x v="156"/>
    <x v="0"/>
    <x v="0"/>
    <x v="156"/>
    <x v="0"/>
    <x v="0"/>
    <x v="6"/>
    <x v="1"/>
    <x v="7"/>
    <x v="1"/>
    <x v="168"/>
    <x v="0"/>
    <x v="0"/>
    <x v="1"/>
    <x v="2"/>
    <x v="33"/>
    <x v="546"/>
    <x v="547"/>
    <x v="0"/>
    <x v="0"/>
    <x v="0"/>
    <x v="156"/>
    <x v="0"/>
    <x v="0"/>
    <x v="0"/>
    <x v="0"/>
    <x v="7"/>
    <x v="0"/>
    <x v="0"/>
    <x v="0"/>
    <x v="30"/>
    <x v="0"/>
    <x v="3"/>
    <x v="3"/>
    <x v="4"/>
    <x v="1"/>
    <x v="0"/>
    <x v="0"/>
    <x v="0"/>
    <x v="464"/>
    <x v="7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5"/>
    <x v="4"/>
    <x v="0"/>
    <x v="0"/>
    <x v="0"/>
    <x v="0"/>
    <x v="0"/>
    <x v="0"/>
  </r>
  <r>
    <x v="0"/>
    <x v="548"/>
    <x v="0"/>
    <x v="31"/>
    <x v="0"/>
    <x v="0"/>
    <x v="0"/>
    <x v="408"/>
    <x v="432"/>
    <x v="0"/>
    <x v="0"/>
    <x v="0"/>
    <x v="0"/>
    <x v="0"/>
    <x v="0"/>
    <x v="408"/>
    <x v="0"/>
    <x v="0"/>
    <x v="0"/>
    <x v="0"/>
    <x v="408"/>
    <x v="432"/>
    <x v="0"/>
    <x v="3"/>
    <x v="0"/>
    <x v="0"/>
    <x v="0"/>
    <x v="0"/>
    <x v="0"/>
    <x v="0"/>
    <x v="0"/>
    <x v="359"/>
    <x v="400"/>
    <x v="0"/>
    <x v="407"/>
    <x v="400"/>
    <x v="1"/>
    <x v="0"/>
    <x v="437"/>
    <x v="2"/>
    <x v="0"/>
    <x v="2"/>
    <x v="0"/>
    <x v="0"/>
    <x v="0"/>
    <x v="0"/>
    <x v="0"/>
    <x v="0"/>
    <x v="0"/>
    <x v="400"/>
    <x v="0"/>
    <x v="2"/>
    <x v="400"/>
    <x v="0"/>
    <x v="0"/>
    <x v="316"/>
    <x v="1"/>
    <x v="7"/>
    <x v="1"/>
    <x v="437"/>
    <x v="0"/>
    <x v="0"/>
    <x v="1"/>
    <x v="2"/>
    <x v="33"/>
    <x v="547"/>
    <x v="548"/>
    <x v="0"/>
    <x v="0"/>
    <x v="0"/>
    <x v="400"/>
    <x v="0"/>
    <x v="0"/>
    <x v="0"/>
    <x v="0"/>
    <x v="7"/>
    <x v="0"/>
    <x v="0"/>
    <x v="0"/>
    <x v="30"/>
    <x v="0"/>
    <x v="5"/>
    <x v="5"/>
    <x v="359"/>
    <x v="0"/>
    <x v="0"/>
    <x v="0"/>
    <x v="0"/>
    <x v="46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25"/>
    <x v="295"/>
    <x v="0"/>
    <x v="0"/>
    <x v="0"/>
    <x v="0"/>
    <x v="0"/>
    <x v="219"/>
  </r>
  <r>
    <x v="0"/>
    <x v="549"/>
    <x v="0"/>
    <x v="31"/>
    <x v="0"/>
    <x v="0"/>
    <x v="0"/>
    <x v="338"/>
    <x v="357"/>
    <x v="0"/>
    <x v="0"/>
    <x v="0"/>
    <x v="0"/>
    <x v="0"/>
    <x v="0"/>
    <x v="338"/>
    <x v="0"/>
    <x v="0"/>
    <x v="0"/>
    <x v="0"/>
    <x v="338"/>
    <x v="357"/>
    <x v="0"/>
    <x v="3"/>
    <x v="0"/>
    <x v="0"/>
    <x v="0"/>
    <x v="0"/>
    <x v="0"/>
    <x v="0"/>
    <x v="0"/>
    <x v="360"/>
    <x v="330"/>
    <x v="0"/>
    <x v="337"/>
    <x v="330"/>
    <x v="1"/>
    <x v="0"/>
    <x v="360"/>
    <x v="2"/>
    <x v="0"/>
    <x v="2"/>
    <x v="0"/>
    <x v="0"/>
    <x v="0"/>
    <x v="0"/>
    <x v="0"/>
    <x v="0"/>
    <x v="0"/>
    <x v="330"/>
    <x v="0"/>
    <x v="2"/>
    <x v="330"/>
    <x v="0"/>
    <x v="0"/>
    <x v="260"/>
    <x v="1"/>
    <x v="7"/>
    <x v="1"/>
    <x v="360"/>
    <x v="0"/>
    <x v="0"/>
    <x v="1"/>
    <x v="2"/>
    <x v="33"/>
    <x v="548"/>
    <x v="549"/>
    <x v="0"/>
    <x v="0"/>
    <x v="0"/>
    <x v="330"/>
    <x v="0"/>
    <x v="0"/>
    <x v="0"/>
    <x v="0"/>
    <x v="7"/>
    <x v="0"/>
    <x v="0"/>
    <x v="0"/>
    <x v="30"/>
    <x v="0"/>
    <x v="4"/>
    <x v="4"/>
    <x v="360"/>
    <x v="0"/>
    <x v="0"/>
    <x v="0"/>
    <x v="0"/>
    <x v="46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26"/>
    <x v="296"/>
    <x v="0"/>
    <x v="0"/>
    <x v="0"/>
    <x v="0"/>
    <x v="0"/>
    <x v="220"/>
  </r>
  <r>
    <x v="0"/>
    <x v="550"/>
    <x v="0"/>
    <x v="31"/>
    <x v="0"/>
    <x v="0"/>
    <x v="0"/>
    <x v="80"/>
    <x v="81"/>
    <x v="0"/>
    <x v="0"/>
    <x v="0"/>
    <x v="14"/>
    <x v="0"/>
    <x v="0"/>
    <x v="80"/>
    <x v="13"/>
    <x v="0"/>
    <x v="0"/>
    <x v="0"/>
    <x v="80"/>
    <x v="81"/>
    <x v="0"/>
    <x v="3"/>
    <x v="0"/>
    <x v="0"/>
    <x v="0"/>
    <x v="0"/>
    <x v="0"/>
    <x v="0"/>
    <x v="0"/>
    <x v="361"/>
    <x v="82"/>
    <x v="0"/>
    <x v="80"/>
    <x v="82"/>
    <x v="1"/>
    <x v="0"/>
    <x v="83"/>
    <x v="0"/>
    <x v="0"/>
    <x v="0"/>
    <x v="0"/>
    <x v="0"/>
    <x v="14"/>
    <x v="0"/>
    <x v="0"/>
    <x v="0"/>
    <x v="0"/>
    <x v="82"/>
    <x v="0"/>
    <x v="0"/>
    <x v="82"/>
    <x v="0"/>
    <x v="0"/>
    <x v="64"/>
    <x v="1"/>
    <x v="7"/>
    <x v="1"/>
    <x v="83"/>
    <x v="0"/>
    <x v="0"/>
    <x v="1"/>
    <x v="0"/>
    <x v="34"/>
    <x v="549"/>
    <x v="550"/>
    <x v="0"/>
    <x v="0"/>
    <x v="0"/>
    <x v="82"/>
    <x v="0"/>
    <x v="0"/>
    <x v="0"/>
    <x v="0"/>
    <x v="7"/>
    <x v="0"/>
    <x v="0"/>
    <x v="0"/>
    <x v="30"/>
    <x v="0"/>
    <x v="36"/>
    <x v="36"/>
    <x v="361"/>
    <x v="0"/>
    <x v="0"/>
    <x v="0"/>
    <x v="0"/>
    <x v="467"/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27"/>
    <x v="297"/>
    <x v="0"/>
    <x v="0"/>
    <x v="0"/>
    <x v="0"/>
    <x v="0"/>
    <x v="0"/>
  </r>
  <r>
    <x v="4"/>
    <x v="9"/>
    <x v="1"/>
    <x v="2"/>
    <x v="1"/>
    <x v="1"/>
    <x v="1"/>
    <x v="409"/>
    <x v="433"/>
    <x v="1"/>
    <x v="0"/>
    <x v="1"/>
    <x v="3"/>
    <x v="2"/>
    <x v="0"/>
    <x v="409"/>
    <x v="1"/>
    <x v="1"/>
    <x v="1"/>
    <x v="1"/>
    <x v="409"/>
    <x v="433"/>
    <x v="0"/>
    <x v="2"/>
    <x v="0"/>
    <x v="1"/>
    <x v="1"/>
    <x v="6"/>
    <x v="2"/>
    <x v="1"/>
    <x v="1"/>
    <x v="4"/>
    <x v="401"/>
    <x v="0"/>
    <x v="408"/>
    <x v="401"/>
    <x v="1"/>
    <x v="0"/>
    <x v="438"/>
    <x v="8"/>
    <x v="1"/>
    <x v="8"/>
    <x v="1"/>
    <x v="0"/>
    <x v="3"/>
    <x v="0"/>
    <x v="0"/>
    <x v="0"/>
    <x v="0"/>
    <x v="401"/>
    <x v="1"/>
    <x v="8"/>
    <x v="401"/>
    <x v="0"/>
    <x v="1"/>
    <x v="317"/>
    <x v="2"/>
    <x v="322"/>
    <x v="1"/>
    <x v="438"/>
    <x v="1"/>
    <x v="3"/>
    <x v="3"/>
    <x v="1"/>
    <x v="1"/>
    <x v="9"/>
    <x v="9"/>
    <x v="0"/>
    <x v="0"/>
    <x v="1"/>
    <x v="401"/>
    <x v="0"/>
    <x v="0"/>
    <x v="0"/>
    <x v="1"/>
    <x v="322"/>
    <x v="0"/>
    <x v="1"/>
    <x v="1"/>
    <x v="31"/>
    <x v="1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1"/>
    <x v="0"/>
    <x v="1"/>
    <x v="1"/>
    <x v="0"/>
    <x v="0"/>
    <x v="0"/>
    <x v="5"/>
    <x v="4"/>
    <x v="0"/>
    <x v="0"/>
    <x v="0"/>
    <x v="0"/>
    <x v="0"/>
    <x v="0"/>
  </r>
  <r>
    <x v="2"/>
    <x v="9"/>
    <x v="1"/>
    <x v="2"/>
    <x v="1"/>
    <x v="1"/>
    <x v="1"/>
    <x v="7"/>
    <x v="7"/>
    <x v="1"/>
    <x v="0"/>
    <x v="1"/>
    <x v="3"/>
    <x v="2"/>
    <x v="0"/>
    <x v="7"/>
    <x v="1"/>
    <x v="1"/>
    <x v="1"/>
    <x v="1"/>
    <x v="7"/>
    <x v="7"/>
    <x v="0"/>
    <x v="2"/>
    <x v="0"/>
    <x v="1"/>
    <x v="1"/>
    <x v="6"/>
    <x v="2"/>
    <x v="1"/>
    <x v="1"/>
    <x v="4"/>
    <x v="402"/>
    <x v="0"/>
    <x v="7"/>
    <x v="401"/>
    <x v="1"/>
    <x v="0"/>
    <x v="439"/>
    <x v="8"/>
    <x v="1"/>
    <x v="8"/>
    <x v="1"/>
    <x v="0"/>
    <x v="3"/>
    <x v="0"/>
    <x v="0"/>
    <x v="0"/>
    <x v="0"/>
    <x v="401"/>
    <x v="1"/>
    <x v="8"/>
    <x v="402"/>
    <x v="0"/>
    <x v="1"/>
    <x v="6"/>
    <x v="2"/>
    <x v="7"/>
    <x v="1"/>
    <x v="438"/>
    <x v="1"/>
    <x v="3"/>
    <x v="3"/>
    <x v="1"/>
    <x v="1"/>
    <x v="9"/>
    <x v="9"/>
    <x v="0"/>
    <x v="0"/>
    <x v="1"/>
    <x v="402"/>
    <x v="0"/>
    <x v="0"/>
    <x v="0"/>
    <x v="1"/>
    <x v="7"/>
    <x v="0"/>
    <x v="1"/>
    <x v="1"/>
    <x v="31"/>
    <x v="1"/>
    <x v="3"/>
    <x v="3"/>
    <x v="4"/>
    <x v="1"/>
    <x v="1"/>
    <x v="0"/>
    <x v="0"/>
    <x v="5"/>
    <x v="7"/>
    <x v="0"/>
    <x v="1"/>
    <x v="1"/>
    <x v="0"/>
    <x v="0"/>
    <x v="0"/>
    <x v="0"/>
    <x v="2"/>
    <x v="0"/>
    <x v="0"/>
    <x v="1"/>
    <x v="0"/>
    <x v="0"/>
    <x v="0"/>
    <x v="0"/>
    <x v="0"/>
    <x v="0"/>
    <x v="1"/>
    <x v="0"/>
    <x v="0"/>
    <x v="0"/>
    <x v="0"/>
    <x v="0"/>
    <x v="0"/>
    <x v="5"/>
    <x v="4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366" firstHeaderRow="1" firstDataRow="1" firstDataCol="1"/>
  <pivotFields count="122">
    <pivotField compact="0" showAll="0">
      <items count="6">
        <item x="3"/>
        <item x="4"/>
        <item x="0"/>
        <item x="1"/>
        <item x="2"/>
        <item t="default"/>
      </items>
    </pivotField>
    <pivotField compact="0" showAll="0">
      <items count="552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9"/>
        <item t="default"/>
      </items>
    </pivotField>
    <pivotField compact="0" showAll="0">
      <items count="6">
        <item x="0"/>
        <item x="3"/>
        <item x="2"/>
        <item x="4"/>
        <item x="1"/>
        <item t="default"/>
      </items>
    </pivotField>
    <pivotField compact="0" showAll="0">
      <items count="33">
        <item x="1"/>
        <item x="10"/>
        <item x="11"/>
        <item x="13"/>
        <item x="12"/>
        <item x="14"/>
        <item x="15"/>
        <item x="16"/>
        <item x="17"/>
        <item x="19"/>
        <item x="20"/>
        <item x="3"/>
        <item x="18"/>
        <item x="21"/>
        <item x="22"/>
        <item x="23"/>
        <item x="24"/>
        <item x="25"/>
        <item x="26"/>
        <item x="27"/>
        <item x="28"/>
        <item x="29"/>
        <item x="4"/>
        <item x="30"/>
        <item x="31"/>
        <item x="5"/>
        <item x="6"/>
        <item x="7"/>
        <item x="8"/>
        <item x="9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1">
        <item x="260"/>
        <item x="77"/>
        <item x="104"/>
        <item x="376"/>
        <item x="259"/>
        <item x="189"/>
        <item x="155"/>
        <item x="328"/>
        <item x="374"/>
        <item x="118"/>
        <item x="401"/>
        <item x="319"/>
        <item x="176"/>
        <item x="228"/>
        <item x="65"/>
        <item x="45"/>
        <item x="308"/>
        <item x="185"/>
        <item x="151"/>
        <item x="108"/>
        <item x="74"/>
        <item x="366"/>
        <item x="211"/>
        <item x="335"/>
        <item x="386"/>
        <item x="240"/>
        <item x="233"/>
        <item x="173"/>
        <item x="280"/>
        <item x="186"/>
        <item x="98"/>
        <item x="1"/>
        <item x="390"/>
        <item x="356"/>
        <item x="384"/>
        <item x="235"/>
        <item x="400"/>
        <item x="11"/>
        <item x="276"/>
        <item x="86"/>
        <item x="193"/>
        <item x="20"/>
        <item x="251"/>
        <item x="188"/>
        <item x="256"/>
        <item x="159"/>
        <item x="3"/>
        <item x="371"/>
        <item x="175"/>
        <item x="197"/>
        <item x="154"/>
        <item x="352"/>
        <item x="49"/>
        <item x="24"/>
        <item x="72"/>
        <item x="218"/>
        <item x="379"/>
        <item x="122"/>
        <item x="9"/>
        <item x="202"/>
        <item x="39"/>
        <item x="289"/>
        <item x="241"/>
        <item x="110"/>
        <item x="258"/>
        <item x="57"/>
        <item x="231"/>
        <item x="187"/>
        <item x="166"/>
        <item x="107"/>
        <item x="68"/>
        <item x="248"/>
        <item x="221"/>
        <item x="262"/>
        <item x="41"/>
        <item x="306"/>
        <item x="191"/>
        <item x="406"/>
        <item x="364"/>
        <item x="61"/>
        <item x="177"/>
        <item x="130"/>
        <item x="296"/>
        <item x="389"/>
        <item x="28"/>
        <item x="301"/>
        <item x="318"/>
        <item x="195"/>
        <item x="36"/>
        <item x="149"/>
        <item x="362"/>
        <item x="142"/>
        <item x="239"/>
        <item x="263"/>
        <item x="5"/>
        <item x="345"/>
        <item x="161"/>
        <item x="64"/>
        <item x="93"/>
        <item x="137"/>
        <item x="119"/>
        <item x="284"/>
        <item x="249"/>
        <item x="315"/>
        <item x="53"/>
        <item x="238"/>
        <item x="340"/>
        <item x="80"/>
        <item x="402"/>
        <item x="150"/>
        <item x="73"/>
        <item x="217"/>
        <item x="147"/>
        <item x="194"/>
        <item x="210"/>
        <item x="103"/>
        <item x="334"/>
        <item x="396"/>
        <item x="385"/>
        <item x="311"/>
        <item x="312"/>
        <item x="232"/>
        <item x="172"/>
        <item x="184"/>
        <item x="44"/>
        <item x="97"/>
        <item x="112"/>
        <item x="355"/>
        <item x="274"/>
        <item x="16"/>
        <item x="297"/>
        <item x="243"/>
        <item x="52"/>
        <item x="234"/>
        <item x="299"/>
        <item x="399"/>
        <item x="10"/>
        <item x="244"/>
        <item x="15"/>
        <item x="275"/>
        <item x="85"/>
        <item x="99"/>
        <item x="82"/>
        <item x="19"/>
        <item x="153"/>
        <item x="268"/>
        <item x="305"/>
        <item x="207"/>
        <item x="382"/>
        <item x="198"/>
        <item x="22"/>
        <item x="347"/>
        <item x="255"/>
        <item x="117"/>
        <item x="158"/>
        <item x="2"/>
        <item x="392"/>
        <item x="370"/>
        <item x="293"/>
        <item x="203"/>
        <item x="174"/>
        <item x="200"/>
        <item x="219"/>
        <item x="100"/>
        <item x="145"/>
        <item x="205"/>
        <item x="254"/>
        <item x="264"/>
        <item x="0"/>
        <item x="351"/>
        <item x="408"/>
        <item x="48"/>
        <item x="23"/>
        <item x="71"/>
        <item x="378"/>
        <item x="156"/>
        <item x="121"/>
        <item x="63"/>
        <item x="292"/>
        <item x="341"/>
        <item x="8"/>
        <item x="79"/>
        <item x="229"/>
        <item x="342"/>
        <item x="47"/>
        <item x="182"/>
        <item x="109"/>
        <item x="337"/>
        <item x="391"/>
        <item x="290"/>
        <item x="313"/>
        <item x="329"/>
        <item x="381"/>
        <item x="167"/>
        <item x="227"/>
        <item x="348"/>
        <item x="291"/>
        <item x="247"/>
        <item x="277"/>
        <item x="330"/>
        <item x="87"/>
        <item x="246"/>
        <item x="332"/>
        <item x="220"/>
        <item x="380"/>
        <item x="261"/>
        <item x="230"/>
        <item x="76"/>
        <item x="302"/>
        <item x="46"/>
        <item x="192"/>
        <item x="67"/>
        <item x="17"/>
        <item x="164"/>
        <item x="201"/>
        <item x="179"/>
        <item x="60"/>
        <item x="14"/>
        <item x="144"/>
        <item x="81"/>
        <item x="206"/>
        <item x="21"/>
        <item x="171"/>
        <item x="388"/>
        <item x="393"/>
        <item x="116"/>
        <item x="326"/>
        <item x="27"/>
        <item x="338"/>
        <item x="300"/>
        <item x="272"/>
        <item x="394"/>
        <item x="42"/>
        <item x="346"/>
        <item x="84"/>
        <item x="350"/>
        <item x="271"/>
        <item x="135"/>
        <item x="309"/>
        <item x="40"/>
        <item x="307"/>
        <item x="322"/>
        <item x="321"/>
        <item x="35"/>
        <item x="323"/>
        <item x="132"/>
        <item x="267"/>
        <item x="13"/>
        <item x="148"/>
        <item x="120"/>
        <item x="75"/>
        <item x="361"/>
        <item x="343"/>
        <item x="324"/>
        <item x="403"/>
        <item x="397"/>
        <item x="223"/>
        <item x="169"/>
        <item x="123"/>
        <item x="214"/>
        <item x="316"/>
        <item x="270"/>
        <item x="38"/>
        <item x="12"/>
        <item x="129"/>
        <item x="215"/>
        <item x="25"/>
        <item x="106"/>
        <item x="50"/>
        <item x="141"/>
        <item x="213"/>
        <item x="281"/>
        <item x="375"/>
        <item x="126"/>
        <item x="377"/>
        <item x="56"/>
        <item x="180"/>
        <item x="4"/>
        <item x="94"/>
        <item x="113"/>
        <item x="160"/>
        <item x="29"/>
        <item x="138"/>
        <item x="295"/>
        <item x="134"/>
        <item x="96"/>
        <item x="18"/>
        <item x="265"/>
        <item x="303"/>
        <item x="283"/>
        <item x="314"/>
        <item x="320"/>
        <item x="55"/>
        <item x="257"/>
        <item x="266"/>
        <item x="105"/>
        <item x="237"/>
        <item x="101"/>
        <item x="58"/>
        <item x="339"/>
        <item x="95"/>
        <item x="285"/>
        <item x="37"/>
        <item x="199"/>
        <item x="226"/>
        <item x="245"/>
        <item x="279"/>
        <item x="383"/>
        <item x="250"/>
        <item x="133"/>
        <item x="26"/>
        <item x="136"/>
        <item x="252"/>
        <item x="66"/>
        <item x="69"/>
        <item x="83"/>
        <item x="344"/>
        <item x="170"/>
        <item x="216"/>
        <item x="360"/>
        <item x="131"/>
        <item x="125"/>
        <item x="92"/>
        <item x="102"/>
        <item x="304"/>
        <item x="62"/>
        <item x="190"/>
        <item x="196"/>
        <item x="269"/>
        <item x="405"/>
        <item x="204"/>
        <item x="359"/>
        <item x="349"/>
        <item x="327"/>
        <item x="178"/>
        <item x="398"/>
        <item x="59"/>
        <item x="294"/>
        <item x="157"/>
        <item x="404"/>
        <item x="395"/>
        <item x="222"/>
        <item x="387"/>
        <item x="317"/>
        <item x="369"/>
        <item x="127"/>
        <item x="70"/>
        <item x="365"/>
        <item x="168"/>
        <item x="325"/>
        <item x="111"/>
        <item x="333"/>
        <item x="34"/>
        <item x="162"/>
        <item x="354"/>
        <item x="6"/>
        <item x="139"/>
        <item x="51"/>
        <item x="115"/>
        <item x="163"/>
        <item x="286"/>
        <item x="336"/>
        <item x="225"/>
        <item x="353"/>
        <item x="128"/>
        <item x="273"/>
        <item x="407"/>
        <item x="30"/>
        <item x="209"/>
        <item x="31"/>
        <item x="236"/>
        <item x="372"/>
        <item x="124"/>
        <item x="212"/>
        <item x="90"/>
        <item x="242"/>
        <item x="310"/>
        <item x="288"/>
        <item x="89"/>
        <item x="88"/>
        <item x="208"/>
        <item x="33"/>
        <item x="357"/>
        <item x="253"/>
        <item x="287"/>
        <item x="368"/>
        <item x="367"/>
        <item x="32"/>
        <item x="91"/>
        <item x="331"/>
        <item x="282"/>
        <item x="224"/>
        <item x="363"/>
        <item x="165"/>
        <item x="114"/>
        <item x="373"/>
        <item x="43"/>
        <item x="181"/>
        <item x="298"/>
        <item x="152"/>
        <item x="143"/>
        <item x="278"/>
        <item x="78"/>
        <item x="54"/>
        <item x="183"/>
        <item x="358"/>
        <item x="140"/>
        <item x="146"/>
        <item x="409"/>
        <item x="7"/>
        <item t="default"/>
      </items>
    </pivotField>
    <pivotField compact="0" showAll="0">
      <items count="435">
        <item x="274"/>
        <item x="120"/>
        <item x="78"/>
        <item x="201"/>
        <item x="106"/>
        <item x="397"/>
        <item x="273"/>
        <item x="196"/>
        <item x="161"/>
        <item x="347"/>
        <item x="395"/>
        <item x="121"/>
        <item x="425"/>
        <item x="338"/>
        <item x="182"/>
        <item x="241"/>
        <item x="66"/>
        <item x="46"/>
        <item x="326"/>
        <item x="192"/>
        <item x="157"/>
        <item x="110"/>
        <item x="75"/>
        <item x="387"/>
        <item x="220"/>
        <item x="354"/>
        <item x="407"/>
        <item x="253"/>
        <item x="246"/>
        <item x="179"/>
        <item x="294"/>
        <item x="193"/>
        <item x="100"/>
        <item x="1"/>
        <item x="412"/>
        <item x="377"/>
        <item x="405"/>
        <item x="248"/>
        <item x="424"/>
        <item x="11"/>
        <item x="290"/>
        <item x="88"/>
        <item x="200"/>
        <item x="21"/>
        <item x="195"/>
        <item x="264"/>
        <item x="270"/>
        <item x="165"/>
        <item x="3"/>
        <item x="392"/>
        <item x="181"/>
        <item x="160"/>
        <item x="205"/>
        <item x="373"/>
        <item x="50"/>
        <item x="25"/>
        <item x="73"/>
        <item x="230"/>
        <item x="400"/>
        <item x="126"/>
        <item x="9"/>
        <item x="211"/>
        <item x="222"/>
        <item x="40"/>
        <item x="305"/>
        <item x="254"/>
        <item x="112"/>
        <item x="272"/>
        <item x="58"/>
        <item x="244"/>
        <item x="172"/>
        <item x="194"/>
        <item x="240"/>
        <item x="109"/>
        <item x="69"/>
        <item x="261"/>
        <item x="233"/>
        <item x="276"/>
        <item x="42"/>
        <item x="323"/>
        <item x="198"/>
        <item x="430"/>
        <item x="385"/>
        <item x="62"/>
        <item x="183"/>
        <item x="134"/>
        <item x="312"/>
        <item x="411"/>
        <item x="29"/>
        <item x="337"/>
        <item x="318"/>
        <item x="203"/>
        <item x="325"/>
        <item x="37"/>
        <item x="155"/>
        <item x="383"/>
        <item x="148"/>
        <item x="252"/>
        <item x="277"/>
        <item x="5"/>
        <item x="365"/>
        <item x="167"/>
        <item x="65"/>
        <item x="95"/>
        <item x="142"/>
        <item x="123"/>
        <item x="299"/>
        <item x="262"/>
        <item x="333"/>
        <item x="54"/>
        <item x="251"/>
        <item x="359"/>
        <item x="190"/>
        <item x="81"/>
        <item x="426"/>
        <item x="156"/>
        <item x="74"/>
        <item x="315"/>
        <item x="229"/>
        <item x="153"/>
        <item x="202"/>
        <item x="219"/>
        <item x="105"/>
        <item x="353"/>
        <item x="406"/>
        <item x="419"/>
        <item x="245"/>
        <item x="329"/>
        <item x="330"/>
        <item x="178"/>
        <item x="191"/>
        <item x="99"/>
        <item x="45"/>
        <item x="114"/>
        <item x="376"/>
        <item x="288"/>
        <item x="16"/>
        <item x="313"/>
        <item x="256"/>
        <item x="53"/>
        <item x="247"/>
        <item x="297"/>
        <item x="316"/>
        <item x="423"/>
        <item x="10"/>
        <item x="143"/>
        <item x="416"/>
        <item x="257"/>
        <item x="289"/>
        <item x="15"/>
        <item x="87"/>
        <item x="206"/>
        <item x="101"/>
        <item x="83"/>
        <item x="20"/>
        <item x="159"/>
        <item x="282"/>
        <item x="322"/>
        <item x="216"/>
        <item x="403"/>
        <item x="207"/>
        <item x="269"/>
        <item x="23"/>
        <item x="368"/>
        <item x="119"/>
        <item x="164"/>
        <item x="2"/>
        <item x="414"/>
        <item x="391"/>
        <item x="309"/>
        <item x="212"/>
        <item x="180"/>
        <item x="209"/>
        <item x="231"/>
        <item x="102"/>
        <item x="151"/>
        <item x="304"/>
        <item x="214"/>
        <item x="0"/>
        <item x="372"/>
        <item x="278"/>
        <item x="268"/>
        <item x="49"/>
        <item x="221"/>
        <item x="432"/>
        <item x="24"/>
        <item x="72"/>
        <item x="399"/>
        <item x="162"/>
        <item x="125"/>
        <item x="8"/>
        <item x="64"/>
        <item x="308"/>
        <item x="136"/>
        <item x="334"/>
        <item x="360"/>
        <item x="80"/>
        <item x="242"/>
        <item x="361"/>
        <item x="48"/>
        <item x="111"/>
        <item x="188"/>
        <item x="413"/>
        <item x="356"/>
        <item x="306"/>
        <item x="331"/>
        <item x="348"/>
        <item x="402"/>
        <item x="173"/>
        <item x="239"/>
        <item x="369"/>
        <item x="260"/>
        <item x="307"/>
        <item x="291"/>
        <item x="349"/>
        <item x="351"/>
        <item x="89"/>
        <item x="259"/>
        <item x="275"/>
        <item x="232"/>
        <item x="401"/>
        <item x="243"/>
        <item x="77"/>
        <item x="319"/>
        <item x="199"/>
        <item x="47"/>
        <item x="366"/>
        <item x="68"/>
        <item x="18"/>
        <item x="17"/>
        <item x="170"/>
        <item x="61"/>
        <item x="210"/>
        <item x="185"/>
        <item x="14"/>
        <item x="150"/>
        <item x="82"/>
        <item x="225"/>
        <item x="215"/>
        <item x="22"/>
        <item x="410"/>
        <item x="118"/>
        <item x="177"/>
        <item x="415"/>
        <item x="28"/>
        <item x="345"/>
        <item x="357"/>
        <item x="317"/>
        <item x="286"/>
        <item x="417"/>
        <item x="43"/>
        <item x="367"/>
        <item x="86"/>
        <item x="371"/>
        <item x="285"/>
        <item x="140"/>
        <item x="324"/>
        <item x="327"/>
        <item x="36"/>
        <item x="340"/>
        <item x="41"/>
        <item x="341"/>
        <item x="342"/>
        <item x="137"/>
        <item x="281"/>
        <item x="13"/>
        <item x="154"/>
        <item x="124"/>
        <item x="76"/>
        <item x="382"/>
        <item x="363"/>
        <item x="343"/>
        <item x="427"/>
        <item x="420"/>
        <item x="235"/>
        <item x="175"/>
        <item x="127"/>
        <item x="226"/>
        <item x="335"/>
        <item x="284"/>
        <item x="39"/>
        <item x="12"/>
        <item x="133"/>
        <item x="227"/>
        <item x="26"/>
        <item x="108"/>
        <item x="147"/>
        <item x="51"/>
        <item x="224"/>
        <item x="295"/>
        <item x="396"/>
        <item x="130"/>
        <item x="4"/>
        <item x="398"/>
        <item x="186"/>
        <item x="57"/>
        <item x="96"/>
        <item x="115"/>
        <item x="166"/>
        <item x="30"/>
        <item x="144"/>
        <item x="311"/>
        <item x="139"/>
        <item x="98"/>
        <item x="19"/>
        <item x="279"/>
        <item x="320"/>
        <item x="298"/>
        <item x="421"/>
        <item x="332"/>
        <item x="339"/>
        <item x="56"/>
        <item x="271"/>
        <item x="280"/>
        <item x="107"/>
        <item x="358"/>
        <item x="250"/>
        <item x="59"/>
        <item x="103"/>
        <item x="85"/>
        <item x="362"/>
        <item x="97"/>
        <item x="300"/>
        <item x="38"/>
        <item x="208"/>
        <item x="238"/>
        <item x="258"/>
        <item x="293"/>
        <item x="404"/>
        <item x="263"/>
        <item x="265"/>
        <item x="138"/>
        <item x="27"/>
        <item x="141"/>
        <item x="266"/>
        <item x="122"/>
        <item x="67"/>
        <item x="70"/>
        <item x="84"/>
        <item x="364"/>
        <item x="176"/>
        <item x="228"/>
        <item x="381"/>
        <item x="135"/>
        <item x="129"/>
        <item x="104"/>
        <item x="94"/>
        <item x="321"/>
        <item x="63"/>
        <item x="197"/>
        <item x="204"/>
        <item x="283"/>
        <item x="429"/>
        <item x="380"/>
        <item x="213"/>
        <item x="370"/>
        <item x="346"/>
        <item x="409"/>
        <item x="184"/>
        <item x="422"/>
        <item x="60"/>
        <item x="310"/>
        <item x="163"/>
        <item x="428"/>
        <item x="418"/>
        <item x="234"/>
        <item x="408"/>
        <item x="336"/>
        <item x="390"/>
        <item x="131"/>
        <item x="71"/>
        <item x="386"/>
        <item x="174"/>
        <item x="344"/>
        <item x="113"/>
        <item x="352"/>
        <item x="35"/>
        <item x="168"/>
        <item x="375"/>
        <item x="6"/>
        <item x="52"/>
        <item x="145"/>
        <item x="117"/>
        <item x="169"/>
        <item x="301"/>
        <item x="355"/>
        <item x="237"/>
        <item x="374"/>
        <item x="132"/>
        <item x="287"/>
        <item x="431"/>
        <item x="31"/>
        <item x="218"/>
        <item x="32"/>
        <item x="249"/>
        <item x="393"/>
        <item x="128"/>
        <item x="223"/>
        <item x="92"/>
        <item x="255"/>
        <item x="328"/>
        <item x="303"/>
        <item x="91"/>
        <item x="217"/>
        <item x="90"/>
        <item x="34"/>
        <item x="378"/>
        <item x="267"/>
        <item x="302"/>
        <item x="389"/>
        <item x="388"/>
        <item x="33"/>
        <item x="93"/>
        <item x="350"/>
        <item x="296"/>
        <item x="236"/>
        <item x="384"/>
        <item x="171"/>
        <item x="116"/>
        <item x="394"/>
        <item x="44"/>
        <item x="187"/>
        <item x="314"/>
        <item x="158"/>
        <item x="149"/>
        <item x="292"/>
        <item x="79"/>
        <item x="55"/>
        <item x="189"/>
        <item x="379"/>
        <item x="146"/>
        <item x="152"/>
        <item x="433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4">
        <item x="26"/>
        <item x="14"/>
        <item x="18"/>
        <item x="34"/>
        <item x="25"/>
        <item x="1"/>
        <item x="15"/>
        <item x="0"/>
        <item x="16"/>
        <item x="11"/>
        <item x="12"/>
        <item x="30"/>
        <item x="8"/>
        <item x="28"/>
        <item x="37"/>
        <item x="23"/>
        <item x="24"/>
        <item x="39"/>
        <item x="10"/>
        <item x="7"/>
        <item x="38"/>
        <item x="40"/>
        <item x="31"/>
        <item x="5"/>
        <item x="41"/>
        <item x="35"/>
        <item x="19"/>
        <item x="6"/>
        <item x="29"/>
        <item x="33"/>
        <item x="27"/>
        <item x="9"/>
        <item x="22"/>
        <item x="32"/>
        <item x="4"/>
        <item x="21"/>
        <item x="20"/>
        <item x="13"/>
        <item x="42"/>
        <item x="36"/>
        <item x="17"/>
        <item x="2"/>
        <item x="3"/>
        <item t="default"/>
      </items>
    </pivotField>
    <pivotField compact="0" showAll="0">
      <items count="8">
        <item x="0"/>
        <item x="4"/>
        <item x="3"/>
        <item x="6"/>
        <item x="5"/>
        <item x="1"/>
        <item x="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411">
        <item x="260"/>
        <item x="77"/>
        <item x="104"/>
        <item x="376"/>
        <item x="259"/>
        <item x="189"/>
        <item x="155"/>
        <item x="328"/>
        <item x="374"/>
        <item x="118"/>
        <item x="401"/>
        <item x="319"/>
        <item x="176"/>
        <item x="228"/>
        <item x="65"/>
        <item x="45"/>
        <item x="308"/>
        <item x="185"/>
        <item x="151"/>
        <item x="108"/>
        <item x="74"/>
        <item x="366"/>
        <item x="211"/>
        <item x="335"/>
        <item x="386"/>
        <item x="240"/>
        <item x="233"/>
        <item x="173"/>
        <item x="280"/>
        <item x="186"/>
        <item x="98"/>
        <item x="1"/>
        <item x="390"/>
        <item x="356"/>
        <item x="384"/>
        <item x="235"/>
        <item x="400"/>
        <item x="11"/>
        <item x="276"/>
        <item x="86"/>
        <item x="193"/>
        <item x="20"/>
        <item x="251"/>
        <item x="188"/>
        <item x="256"/>
        <item x="159"/>
        <item x="3"/>
        <item x="371"/>
        <item x="175"/>
        <item x="197"/>
        <item x="154"/>
        <item x="352"/>
        <item x="49"/>
        <item x="24"/>
        <item x="72"/>
        <item x="218"/>
        <item x="379"/>
        <item x="122"/>
        <item x="9"/>
        <item x="202"/>
        <item x="39"/>
        <item x="289"/>
        <item x="241"/>
        <item x="110"/>
        <item x="258"/>
        <item x="57"/>
        <item x="231"/>
        <item x="187"/>
        <item x="166"/>
        <item x="107"/>
        <item x="68"/>
        <item x="248"/>
        <item x="221"/>
        <item x="262"/>
        <item x="41"/>
        <item x="306"/>
        <item x="191"/>
        <item x="406"/>
        <item x="364"/>
        <item x="61"/>
        <item x="177"/>
        <item x="130"/>
        <item x="296"/>
        <item x="389"/>
        <item x="28"/>
        <item x="301"/>
        <item x="318"/>
        <item x="195"/>
        <item x="36"/>
        <item x="149"/>
        <item x="362"/>
        <item x="142"/>
        <item x="239"/>
        <item x="263"/>
        <item x="5"/>
        <item x="345"/>
        <item x="161"/>
        <item x="64"/>
        <item x="93"/>
        <item x="137"/>
        <item x="119"/>
        <item x="284"/>
        <item x="249"/>
        <item x="315"/>
        <item x="53"/>
        <item x="238"/>
        <item x="340"/>
        <item x="80"/>
        <item x="402"/>
        <item x="150"/>
        <item x="73"/>
        <item x="217"/>
        <item x="147"/>
        <item x="194"/>
        <item x="210"/>
        <item x="103"/>
        <item x="334"/>
        <item x="396"/>
        <item x="385"/>
        <item x="311"/>
        <item x="312"/>
        <item x="232"/>
        <item x="172"/>
        <item x="184"/>
        <item x="44"/>
        <item x="97"/>
        <item x="112"/>
        <item x="355"/>
        <item x="274"/>
        <item x="16"/>
        <item x="297"/>
        <item x="243"/>
        <item x="52"/>
        <item x="234"/>
        <item x="299"/>
        <item x="399"/>
        <item x="10"/>
        <item x="244"/>
        <item x="15"/>
        <item x="275"/>
        <item x="85"/>
        <item x="99"/>
        <item x="82"/>
        <item x="19"/>
        <item x="153"/>
        <item x="268"/>
        <item x="305"/>
        <item x="207"/>
        <item x="382"/>
        <item x="198"/>
        <item x="22"/>
        <item x="347"/>
        <item x="255"/>
        <item x="117"/>
        <item x="158"/>
        <item x="2"/>
        <item x="392"/>
        <item x="370"/>
        <item x="293"/>
        <item x="203"/>
        <item x="174"/>
        <item x="200"/>
        <item x="219"/>
        <item x="100"/>
        <item x="145"/>
        <item x="205"/>
        <item x="254"/>
        <item x="264"/>
        <item x="0"/>
        <item x="351"/>
        <item x="408"/>
        <item x="48"/>
        <item x="23"/>
        <item x="71"/>
        <item x="378"/>
        <item x="156"/>
        <item x="121"/>
        <item x="63"/>
        <item x="292"/>
        <item x="341"/>
        <item x="8"/>
        <item x="79"/>
        <item x="229"/>
        <item x="342"/>
        <item x="47"/>
        <item x="182"/>
        <item x="109"/>
        <item x="337"/>
        <item x="391"/>
        <item x="290"/>
        <item x="313"/>
        <item x="329"/>
        <item x="381"/>
        <item x="167"/>
        <item x="227"/>
        <item x="348"/>
        <item x="291"/>
        <item x="247"/>
        <item x="277"/>
        <item x="330"/>
        <item x="87"/>
        <item x="246"/>
        <item x="332"/>
        <item x="220"/>
        <item x="380"/>
        <item x="261"/>
        <item x="230"/>
        <item x="76"/>
        <item x="302"/>
        <item x="46"/>
        <item x="192"/>
        <item x="67"/>
        <item x="17"/>
        <item x="164"/>
        <item x="201"/>
        <item x="179"/>
        <item x="60"/>
        <item x="14"/>
        <item x="144"/>
        <item x="81"/>
        <item x="206"/>
        <item x="21"/>
        <item x="171"/>
        <item x="388"/>
        <item x="393"/>
        <item x="116"/>
        <item x="326"/>
        <item x="27"/>
        <item x="338"/>
        <item x="300"/>
        <item x="272"/>
        <item x="394"/>
        <item x="42"/>
        <item x="346"/>
        <item x="84"/>
        <item x="350"/>
        <item x="271"/>
        <item x="135"/>
        <item x="309"/>
        <item x="40"/>
        <item x="307"/>
        <item x="322"/>
        <item x="321"/>
        <item x="35"/>
        <item x="323"/>
        <item x="132"/>
        <item x="267"/>
        <item x="13"/>
        <item x="148"/>
        <item x="120"/>
        <item x="75"/>
        <item x="361"/>
        <item x="343"/>
        <item x="324"/>
        <item x="403"/>
        <item x="397"/>
        <item x="223"/>
        <item x="169"/>
        <item x="123"/>
        <item x="214"/>
        <item x="316"/>
        <item x="270"/>
        <item x="38"/>
        <item x="12"/>
        <item x="129"/>
        <item x="215"/>
        <item x="25"/>
        <item x="106"/>
        <item x="50"/>
        <item x="141"/>
        <item x="213"/>
        <item x="281"/>
        <item x="375"/>
        <item x="126"/>
        <item x="377"/>
        <item x="56"/>
        <item x="180"/>
        <item x="4"/>
        <item x="94"/>
        <item x="113"/>
        <item x="160"/>
        <item x="29"/>
        <item x="138"/>
        <item x="295"/>
        <item x="134"/>
        <item x="96"/>
        <item x="18"/>
        <item x="265"/>
        <item x="303"/>
        <item x="283"/>
        <item x="314"/>
        <item x="320"/>
        <item x="55"/>
        <item x="257"/>
        <item x="266"/>
        <item x="105"/>
        <item x="237"/>
        <item x="101"/>
        <item x="58"/>
        <item x="339"/>
        <item x="95"/>
        <item x="285"/>
        <item x="37"/>
        <item x="199"/>
        <item x="226"/>
        <item x="245"/>
        <item x="279"/>
        <item x="383"/>
        <item x="250"/>
        <item x="133"/>
        <item x="26"/>
        <item x="136"/>
        <item x="252"/>
        <item x="66"/>
        <item x="69"/>
        <item x="83"/>
        <item x="344"/>
        <item x="170"/>
        <item x="216"/>
        <item x="360"/>
        <item x="131"/>
        <item x="125"/>
        <item x="92"/>
        <item x="102"/>
        <item x="304"/>
        <item x="62"/>
        <item x="190"/>
        <item x="196"/>
        <item x="269"/>
        <item x="405"/>
        <item x="204"/>
        <item x="359"/>
        <item x="349"/>
        <item x="327"/>
        <item x="178"/>
        <item x="398"/>
        <item x="59"/>
        <item x="294"/>
        <item x="157"/>
        <item x="404"/>
        <item x="395"/>
        <item x="222"/>
        <item x="387"/>
        <item x="317"/>
        <item x="369"/>
        <item x="127"/>
        <item x="70"/>
        <item x="365"/>
        <item x="168"/>
        <item x="325"/>
        <item x="111"/>
        <item x="333"/>
        <item x="34"/>
        <item x="162"/>
        <item x="354"/>
        <item x="6"/>
        <item x="139"/>
        <item x="51"/>
        <item x="115"/>
        <item x="163"/>
        <item x="286"/>
        <item x="336"/>
        <item x="225"/>
        <item x="353"/>
        <item x="128"/>
        <item x="273"/>
        <item x="407"/>
        <item x="30"/>
        <item x="209"/>
        <item x="31"/>
        <item x="236"/>
        <item x="372"/>
        <item x="124"/>
        <item x="212"/>
        <item x="90"/>
        <item x="242"/>
        <item x="310"/>
        <item x="288"/>
        <item x="89"/>
        <item x="88"/>
        <item x="208"/>
        <item x="33"/>
        <item x="357"/>
        <item x="253"/>
        <item x="287"/>
        <item x="368"/>
        <item x="367"/>
        <item x="32"/>
        <item x="91"/>
        <item x="331"/>
        <item x="282"/>
        <item x="224"/>
        <item x="363"/>
        <item x="165"/>
        <item x="114"/>
        <item x="373"/>
        <item x="43"/>
        <item x="181"/>
        <item x="298"/>
        <item x="152"/>
        <item x="143"/>
        <item x="278"/>
        <item x="78"/>
        <item x="54"/>
        <item x="183"/>
        <item x="358"/>
        <item x="140"/>
        <item x="146"/>
        <item x="409"/>
        <item x="7"/>
        <item t="default"/>
      </items>
    </pivotField>
    <pivotField compact="0" showAll="0">
      <items count="22">
        <item x="18"/>
        <item x="7"/>
        <item x="17"/>
        <item x="2"/>
        <item x="11"/>
        <item x="10"/>
        <item x="6"/>
        <item x="12"/>
        <item x="3"/>
        <item x="5"/>
        <item x="15"/>
        <item x="20"/>
        <item x="9"/>
        <item x="0"/>
        <item x="13"/>
        <item x="4"/>
        <item x="16"/>
        <item x="8"/>
        <item x="19"/>
        <item x="1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1">
        <item x="260"/>
        <item x="77"/>
        <item x="104"/>
        <item x="376"/>
        <item x="259"/>
        <item x="189"/>
        <item x="155"/>
        <item x="328"/>
        <item x="374"/>
        <item x="118"/>
        <item x="401"/>
        <item x="319"/>
        <item x="176"/>
        <item x="228"/>
        <item x="65"/>
        <item x="45"/>
        <item x="308"/>
        <item x="185"/>
        <item x="151"/>
        <item x="108"/>
        <item x="74"/>
        <item x="366"/>
        <item x="211"/>
        <item x="335"/>
        <item x="386"/>
        <item x="240"/>
        <item x="233"/>
        <item x="173"/>
        <item x="280"/>
        <item x="186"/>
        <item x="98"/>
        <item x="1"/>
        <item x="390"/>
        <item x="356"/>
        <item x="384"/>
        <item x="235"/>
        <item x="400"/>
        <item x="11"/>
        <item x="276"/>
        <item x="86"/>
        <item x="193"/>
        <item x="20"/>
        <item x="251"/>
        <item x="188"/>
        <item x="256"/>
        <item x="159"/>
        <item x="3"/>
        <item x="371"/>
        <item x="175"/>
        <item x="197"/>
        <item x="154"/>
        <item x="352"/>
        <item x="49"/>
        <item x="24"/>
        <item x="72"/>
        <item x="218"/>
        <item x="379"/>
        <item x="122"/>
        <item x="9"/>
        <item x="202"/>
        <item x="39"/>
        <item x="289"/>
        <item x="241"/>
        <item x="110"/>
        <item x="258"/>
        <item x="57"/>
        <item x="231"/>
        <item x="187"/>
        <item x="166"/>
        <item x="107"/>
        <item x="68"/>
        <item x="248"/>
        <item x="221"/>
        <item x="262"/>
        <item x="41"/>
        <item x="306"/>
        <item x="191"/>
        <item x="406"/>
        <item x="364"/>
        <item x="61"/>
        <item x="177"/>
        <item x="130"/>
        <item x="296"/>
        <item x="389"/>
        <item x="28"/>
        <item x="301"/>
        <item x="318"/>
        <item x="195"/>
        <item x="36"/>
        <item x="149"/>
        <item x="362"/>
        <item x="142"/>
        <item x="239"/>
        <item x="263"/>
        <item x="5"/>
        <item x="345"/>
        <item x="161"/>
        <item x="64"/>
        <item x="93"/>
        <item x="137"/>
        <item x="119"/>
        <item x="284"/>
        <item x="249"/>
        <item x="315"/>
        <item x="53"/>
        <item x="238"/>
        <item x="340"/>
        <item x="80"/>
        <item x="402"/>
        <item x="150"/>
        <item x="73"/>
        <item x="217"/>
        <item x="147"/>
        <item x="194"/>
        <item x="210"/>
        <item x="103"/>
        <item x="334"/>
        <item x="396"/>
        <item x="385"/>
        <item x="311"/>
        <item x="312"/>
        <item x="232"/>
        <item x="172"/>
        <item x="184"/>
        <item x="44"/>
        <item x="97"/>
        <item x="112"/>
        <item x="355"/>
        <item x="274"/>
        <item x="16"/>
        <item x="297"/>
        <item x="243"/>
        <item x="52"/>
        <item x="234"/>
        <item x="299"/>
        <item x="399"/>
        <item x="10"/>
        <item x="244"/>
        <item x="15"/>
        <item x="275"/>
        <item x="85"/>
        <item x="99"/>
        <item x="82"/>
        <item x="19"/>
        <item x="153"/>
        <item x="268"/>
        <item x="305"/>
        <item x="207"/>
        <item x="382"/>
        <item x="198"/>
        <item x="22"/>
        <item x="347"/>
        <item x="255"/>
        <item x="117"/>
        <item x="158"/>
        <item x="2"/>
        <item x="392"/>
        <item x="370"/>
        <item x="293"/>
        <item x="203"/>
        <item x="174"/>
        <item x="200"/>
        <item x="219"/>
        <item x="100"/>
        <item x="145"/>
        <item x="205"/>
        <item x="254"/>
        <item x="264"/>
        <item x="0"/>
        <item x="351"/>
        <item x="408"/>
        <item x="48"/>
        <item x="23"/>
        <item x="71"/>
        <item x="378"/>
        <item x="156"/>
        <item x="121"/>
        <item x="63"/>
        <item x="292"/>
        <item x="341"/>
        <item x="8"/>
        <item x="79"/>
        <item x="229"/>
        <item x="342"/>
        <item x="47"/>
        <item x="182"/>
        <item x="109"/>
        <item x="337"/>
        <item x="391"/>
        <item x="290"/>
        <item x="313"/>
        <item x="329"/>
        <item x="381"/>
        <item x="167"/>
        <item x="227"/>
        <item x="348"/>
        <item x="291"/>
        <item x="247"/>
        <item x="277"/>
        <item x="330"/>
        <item x="87"/>
        <item x="246"/>
        <item x="332"/>
        <item x="220"/>
        <item x="380"/>
        <item x="261"/>
        <item x="230"/>
        <item x="76"/>
        <item x="302"/>
        <item x="46"/>
        <item x="192"/>
        <item x="67"/>
        <item x="17"/>
        <item x="164"/>
        <item x="201"/>
        <item x="179"/>
        <item x="60"/>
        <item x="14"/>
        <item x="144"/>
        <item x="81"/>
        <item x="206"/>
        <item x="21"/>
        <item x="171"/>
        <item x="388"/>
        <item x="393"/>
        <item x="116"/>
        <item x="326"/>
        <item x="27"/>
        <item x="338"/>
        <item x="300"/>
        <item x="272"/>
        <item x="394"/>
        <item x="42"/>
        <item x="346"/>
        <item x="84"/>
        <item x="350"/>
        <item x="271"/>
        <item x="135"/>
        <item x="309"/>
        <item x="40"/>
        <item x="307"/>
        <item x="322"/>
        <item x="321"/>
        <item x="35"/>
        <item x="323"/>
        <item x="132"/>
        <item x="267"/>
        <item x="13"/>
        <item x="148"/>
        <item x="120"/>
        <item x="75"/>
        <item x="361"/>
        <item x="343"/>
        <item x="324"/>
        <item x="403"/>
        <item x="397"/>
        <item x="223"/>
        <item x="169"/>
        <item x="123"/>
        <item x="214"/>
        <item x="316"/>
        <item x="270"/>
        <item x="38"/>
        <item x="12"/>
        <item x="129"/>
        <item x="215"/>
        <item x="25"/>
        <item x="106"/>
        <item x="50"/>
        <item x="141"/>
        <item x="213"/>
        <item x="281"/>
        <item x="375"/>
        <item x="126"/>
        <item x="377"/>
        <item x="56"/>
        <item x="180"/>
        <item x="4"/>
        <item x="94"/>
        <item x="113"/>
        <item x="160"/>
        <item x="29"/>
        <item x="138"/>
        <item x="295"/>
        <item x="134"/>
        <item x="96"/>
        <item x="18"/>
        <item x="265"/>
        <item x="303"/>
        <item x="283"/>
        <item x="314"/>
        <item x="320"/>
        <item x="55"/>
        <item x="257"/>
        <item x="266"/>
        <item x="105"/>
        <item x="237"/>
        <item x="101"/>
        <item x="58"/>
        <item x="339"/>
        <item x="95"/>
        <item x="285"/>
        <item x="37"/>
        <item x="199"/>
        <item x="226"/>
        <item x="245"/>
        <item x="279"/>
        <item x="383"/>
        <item x="250"/>
        <item x="133"/>
        <item x="26"/>
        <item x="136"/>
        <item x="252"/>
        <item x="66"/>
        <item x="69"/>
        <item x="83"/>
        <item x="344"/>
        <item x="170"/>
        <item x="216"/>
        <item x="360"/>
        <item x="131"/>
        <item x="125"/>
        <item x="92"/>
        <item x="102"/>
        <item x="304"/>
        <item x="62"/>
        <item x="190"/>
        <item x="196"/>
        <item x="269"/>
        <item x="405"/>
        <item x="204"/>
        <item x="359"/>
        <item x="349"/>
        <item x="327"/>
        <item x="178"/>
        <item x="398"/>
        <item x="59"/>
        <item x="294"/>
        <item x="157"/>
        <item x="404"/>
        <item x="395"/>
        <item x="222"/>
        <item x="387"/>
        <item x="317"/>
        <item x="369"/>
        <item x="127"/>
        <item x="70"/>
        <item x="365"/>
        <item x="168"/>
        <item x="325"/>
        <item x="111"/>
        <item x="333"/>
        <item x="34"/>
        <item x="162"/>
        <item x="354"/>
        <item x="6"/>
        <item x="139"/>
        <item x="51"/>
        <item x="115"/>
        <item x="163"/>
        <item x="286"/>
        <item x="336"/>
        <item x="225"/>
        <item x="353"/>
        <item x="128"/>
        <item x="273"/>
        <item x="407"/>
        <item x="30"/>
        <item x="209"/>
        <item x="31"/>
        <item x="236"/>
        <item x="372"/>
        <item x="124"/>
        <item x="212"/>
        <item x="90"/>
        <item x="242"/>
        <item x="310"/>
        <item x="288"/>
        <item x="89"/>
        <item x="88"/>
        <item x="208"/>
        <item x="33"/>
        <item x="357"/>
        <item x="253"/>
        <item x="287"/>
        <item x="368"/>
        <item x="367"/>
        <item x="32"/>
        <item x="91"/>
        <item x="331"/>
        <item x="282"/>
        <item x="224"/>
        <item x="363"/>
        <item x="165"/>
        <item x="114"/>
        <item x="373"/>
        <item x="43"/>
        <item x="181"/>
        <item x="298"/>
        <item x="152"/>
        <item x="143"/>
        <item x="278"/>
        <item x="78"/>
        <item x="54"/>
        <item x="183"/>
        <item x="358"/>
        <item x="140"/>
        <item x="146"/>
        <item x="409"/>
        <item x="7"/>
        <item t="default"/>
      </items>
    </pivotField>
    <pivotField compact="0" showAll="0">
      <items count="435">
        <item x="274"/>
        <item x="120"/>
        <item x="78"/>
        <item x="201"/>
        <item x="106"/>
        <item x="397"/>
        <item x="273"/>
        <item x="196"/>
        <item x="161"/>
        <item x="347"/>
        <item x="395"/>
        <item x="121"/>
        <item x="425"/>
        <item x="338"/>
        <item x="182"/>
        <item x="241"/>
        <item x="66"/>
        <item x="46"/>
        <item x="326"/>
        <item x="192"/>
        <item x="157"/>
        <item x="110"/>
        <item x="75"/>
        <item x="387"/>
        <item x="220"/>
        <item x="354"/>
        <item x="407"/>
        <item x="253"/>
        <item x="246"/>
        <item x="179"/>
        <item x="294"/>
        <item x="193"/>
        <item x="100"/>
        <item x="1"/>
        <item x="412"/>
        <item x="377"/>
        <item x="405"/>
        <item x="248"/>
        <item x="424"/>
        <item x="11"/>
        <item x="290"/>
        <item x="88"/>
        <item x="200"/>
        <item x="21"/>
        <item x="195"/>
        <item x="264"/>
        <item x="270"/>
        <item x="165"/>
        <item x="3"/>
        <item x="392"/>
        <item x="181"/>
        <item x="160"/>
        <item x="205"/>
        <item x="373"/>
        <item x="50"/>
        <item x="25"/>
        <item x="73"/>
        <item x="230"/>
        <item x="400"/>
        <item x="126"/>
        <item x="9"/>
        <item x="211"/>
        <item x="222"/>
        <item x="40"/>
        <item x="305"/>
        <item x="254"/>
        <item x="112"/>
        <item x="272"/>
        <item x="58"/>
        <item x="244"/>
        <item x="172"/>
        <item x="194"/>
        <item x="240"/>
        <item x="109"/>
        <item x="69"/>
        <item x="261"/>
        <item x="233"/>
        <item x="276"/>
        <item x="42"/>
        <item x="323"/>
        <item x="198"/>
        <item x="430"/>
        <item x="385"/>
        <item x="62"/>
        <item x="183"/>
        <item x="134"/>
        <item x="312"/>
        <item x="411"/>
        <item x="29"/>
        <item x="337"/>
        <item x="318"/>
        <item x="203"/>
        <item x="325"/>
        <item x="37"/>
        <item x="155"/>
        <item x="383"/>
        <item x="148"/>
        <item x="252"/>
        <item x="277"/>
        <item x="5"/>
        <item x="365"/>
        <item x="167"/>
        <item x="65"/>
        <item x="95"/>
        <item x="142"/>
        <item x="123"/>
        <item x="299"/>
        <item x="262"/>
        <item x="333"/>
        <item x="54"/>
        <item x="251"/>
        <item x="359"/>
        <item x="190"/>
        <item x="81"/>
        <item x="426"/>
        <item x="156"/>
        <item x="74"/>
        <item x="315"/>
        <item x="229"/>
        <item x="153"/>
        <item x="202"/>
        <item x="219"/>
        <item x="105"/>
        <item x="353"/>
        <item x="406"/>
        <item x="419"/>
        <item x="245"/>
        <item x="329"/>
        <item x="330"/>
        <item x="178"/>
        <item x="191"/>
        <item x="99"/>
        <item x="45"/>
        <item x="114"/>
        <item x="376"/>
        <item x="288"/>
        <item x="16"/>
        <item x="313"/>
        <item x="256"/>
        <item x="53"/>
        <item x="247"/>
        <item x="297"/>
        <item x="316"/>
        <item x="423"/>
        <item x="10"/>
        <item x="143"/>
        <item x="416"/>
        <item x="257"/>
        <item x="289"/>
        <item x="15"/>
        <item x="87"/>
        <item x="206"/>
        <item x="101"/>
        <item x="83"/>
        <item x="20"/>
        <item x="159"/>
        <item x="282"/>
        <item x="322"/>
        <item x="216"/>
        <item x="403"/>
        <item x="207"/>
        <item x="269"/>
        <item x="23"/>
        <item x="368"/>
        <item x="119"/>
        <item x="164"/>
        <item x="2"/>
        <item x="414"/>
        <item x="391"/>
        <item x="309"/>
        <item x="212"/>
        <item x="180"/>
        <item x="209"/>
        <item x="231"/>
        <item x="102"/>
        <item x="151"/>
        <item x="304"/>
        <item x="214"/>
        <item x="0"/>
        <item x="372"/>
        <item x="278"/>
        <item x="268"/>
        <item x="49"/>
        <item x="221"/>
        <item x="432"/>
        <item x="24"/>
        <item x="72"/>
        <item x="399"/>
        <item x="162"/>
        <item x="125"/>
        <item x="8"/>
        <item x="64"/>
        <item x="308"/>
        <item x="136"/>
        <item x="334"/>
        <item x="360"/>
        <item x="80"/>
        <item x="242"/>
        <item x="361"/>
        <item x="48"/>
        <item x="111"/>
        <item x="188"/>
        <item x="413"/>
        <item x="356"/>
        <item x="306"/>
        <item x="331"/>
        <item x="348"/>
        <item x="402"/>
        <item x="173"/>
        <item x="239"/>
        <item x="369"/>
        <item x="260"/>
        <item x="307"/>
        <item x="291"/>
        <item x="349"/>
        <item x="351"/>
        <item x="89"/>
        <item x="259"/>
        <item x="275"/>
        <item x="232"/>
        <item x="401"/>
        <item x="243"/>
        <item x="77"/>
        <item x="319"/>
        <item x="199"/>
        <item x="47"/>
        <item x="366"/>
        <item x="68"/>
        <item x="18"/>
        <item x="17"/>
        <item x="170"/>
        <item x="61"/>
        <item x="210"/>
        <item x="185"/>
        <item x="14"/>
        <item x="150"/>
        <item x="82"/>
        <item x="225"/>
        <item x="215"/>
        <item x="22"/>
        <item x="410"/>
        <item x="118"/>
        <item x="177"/>
        <item x="415"/>
        <item x="28"/>
        <item x="345"/>
        <item x="357"/>
        <item x="317"/>
        <item x="286"/>
        <item x="417"/>
        <item x="43"/>
        <item x="367"/>
        <item x="86"/>
        <item x="371"/>
        <item x="285"/>
        <item x="140"/>
        <item x="324"/>
        <item x="327"/>
        <item x="36"/>
        <item x="340"/>
        <item x="41"/>
        <item x="341"/>
        <item x="342"/>
        <item x="137"/>
        <item x="281"/>
        <item x="13"/>
        <item x="154"/>
        <item x="124"/>
        <item x="76"/>
        <item x="382"/>
        <item x="363"/>
        <item x="343"/>
        <item x="427"/>
        <item x="420"/>
        <item x="235"/>
        <item x="175"/>
        <item x="127"/>
        <item x="226"/>
        <item x="335"/>
        <item x="284"/>
        <item x="39"/>
        <item x="12"/>
        <item x="133"/>
        <item x="227"/>
        <item x="26"/>
        <item x="108"/>
        <item x="147"/>
        <item x="51"/>
        <item x="224"/>
        <item x="295"/>
        <item x="396"/>
        <item x="130"/>
        <item x="4"/>
        <item x="398"/>
        <item x="186"/>
        <item x="57"/>
        <item x="96"/>
        <item x="115"/>
        <item x="166"/>
        <item x="30"/>
        <item x="144"/>
        <item x="311"/>
        <item x="139"/>
        <item x="98"/>
        <item x="19"/>
        <item x="279"/>
        <item x="320"/>
        <item x="298"/>
        <item x="421"/>
        <item x="332"/>
        <item x="339"/>
        <item x="56"/>
        <item x="271"/>
        <item x="280"/>
        <item x="107"/>
        <item x="358"/>
        <item x="250"/>
        <item x="59"/>
        <item x="103"/>
        <item x="85"/>
        <item x="362"/>
        <item x="97"/>
        <item x="300"/>
        <item x="38"/>
        <item x="208"/>
        <item x="238"/>
        <item x="258"/>
        <item x="293"/>
        <item x="404"/>
        <item x="263"/>
        <item x="265"/>
        <item x="138"/>
        <item x="27"/>
        <item x="141"/>
        <item x="266"/>
        <item x="122"/>
        <item x="67"/>
        <item x="70"/>
        <item x="84"/>
        <item x="364"/>
        <item x="176"/>
        <item x="228"/>
        <item x="381"/>
        <item x="135"/>
        <item x="129"/>
        <item x="104"/>
        <item x="94"/>
        <item x="321"/>
        <item x="63"/>
        <item x="197"/>
        <item x="204"/>
        <item x="283"/>
        <item x="429"/>
        <item x="380"/>
        <item x="213"/>
        <item x="370"/>
        <item x="346"/>
        <item x="409"/>
        <item x="184"/>
        <item x="422"/>
        <item x="60"/>
        <item x="310"/>
        <item x="163"/>
        <item x="428"/>
        <item x="418"/>
        <item x="234"/>
        <item x="408"/>
        <item x="336"/>
        <item x="390"/>
        <item x="131"/>
        <item x="71"/>
        <item x="386"/>
        <item x="174"/>
        <item x="344"/>
        <item x="113"/>
        <item x="352"/>
        <item x="35"/>
        <item x="168"/>
        <item x="375"/>
        <item x="6"/>
        <item x="52"/>
        <item x="145"/>
        <item x="117"/>
        <item x="169"/>
        <item x="301"/>
        <item x="355"/>
        <item x="237"/>
        <item x="374"/>
        <item x="132"/>
        <item x="287"/>
        <item x="431"/>
        <item x="31"/>
        <item x="218"/>
        <item x="32"/>
        <item x="249"/>
        <item x="393"/>
        <item x="128"/>
        <item x="223"/>
        <item x="92"/>
        <item x="255"/>
        <item x="328"/>
        <item x="303"/>
        <item x="91"/>
        <item x="217"/>
        <item x="90"/>
        <item x="34"/>
        <item x="378"/>
        <item x="267"/>
        <item x="302"/>
        <item x="389"/>
        <item x="388"/>
        <item x="33"/>
        <item x="93"/>
        <item x="350"/>
        <item x="296"/>
        <item x="236"/>
        <item x="384"/>
        <item x="171"/>
        <item x="116"/>
        <item x="394"/>
        <item x="44"/>
        <item x="187"/>
        <item x="314"/>
        <item x="158"/>
        <item x="149"/>
        <item x="292"/>
        <item x="79"/>
        <item x="55"/>
        <item x="189"/>
        <item x="379"/>
        <item x="146"/>
        <item x="152"/>
        <item x="433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8">
        <item x="1"/>
        <item x="3"/>
        <item x="5"/>
        <item x="4"/>
        <item x="2"/>
        <item x="0"/>
        <item x="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63">
        <item x="115"/>
        <item x="302"/>
        <item x="235"/>
        <item x="221"/>
        <item x="183"/>
        <item x="126"/>
        <item x="207"/>
        <item x="311"/>
        <item x="144"/>
        <item x="111"/>
        <item x="170"/>
        <item x="243"/>
        <item x="112"/>
        <item x="310"/>
        <item x="156"/>
        <item x="348"/>
        <item x="225"/>
        <item x="271"/>
        <item x="13"/>
        <item x="0"/>
        <item x="295"/>
        <item x="33"/>
        <item x="2"/>
        <item x="1"/>
        <item x="3"/>
        <item x="5"/>
        <item x="6"/>
        <item x="103"/>
        <item x="8"/>
        <item x="7"/>
        <item x="9"/>
        <item x="16"/>
        <item x="10"/>
        <item x="11"/>
        <item x="18"/>
        <item x="12"/>
        <item x="15"/>
        <item x="14"/>
        <item x="50"/>
        <item x="29"/>
        <item x="28"/>
        <item x="20"/>
        <item x="19"/>
        <item x="27"/>
        <item x="38"/>
        <item x="23"/>
        <item x="24"/>
        <item x="21"/>
        <item x="25"/>
        <item x="48"/>
        <item x="26"/>
        <item x="22"/>
        <item x="39"/>
        <item x="30"/>
        <item x="41"/>
        <item x="31"/>
        <item x="32"/>
        <item x="37"/>
        <item x="35"/>
        <item x="43"/>
        <item x="36"/>
        <item x="40"/>
        <item x="44"/>
        <item x="52"/>
        <item x="42"/>
        <item x="51"/>
        <item x="45"/>
        <item x="46"/>
        <item x="53"/>
        <item x="49"/>
        <item x="54"/>
        <item x="55"/>
        <item x="58"/>
        <item x="56"/>
        <item x="57"/>
        <item x="59"/>
        <item x="118"/>
        <item x="62"/>
        <item x="61"/>
        <item x="60"/>
        <item x="63"/>
        <item x="65"/>
        <item x="77"/>
        <item x="69"/>
        <item x="82"/>
        <item x="92"/>
        <item x="70"/>
        <item x="74"/>
        <item x="78"/>
        <item x="73"/>
        <item x="107"/>
        <item x="83"/>
        <item x="80"/>
        <item x="79"/>
        <item x="97"/>
        <item x="86"/>
        <item x="93"/>
        <item x="89"/>
        <item x="90"/>
        <item x="163"/>
        <item x="96"/>
        <item x="81"/>
        <item x="85"/>
        <item x="84"/>
        <item x="98"/>
        <item x="116"/>
        <item x="87"/>
        <item x="94"/>
        <item x="95"/>
        <item x="101"/>
        <item x="99"/>
        <item x="109"/>
        <item x="100"/>
        <item x="104"/>
        <item x="102"/>
        <item x="110"/>
        <item x="108"/>
        <item x="114"/>
        <item x="117"/>
        <item x="122"/>
        <item x="119"/>
        <item x="130"/>
        <item x="120"/>
        <item x="124"/>
        <item x="127"/>
        <item x="125"/>
        <item x="129"/>
        <item x="131"/>
        <item x="132"/>
        <item x="134"/>
        <item x="136"/>
        <item x="133"/>
        <item x="135"/>
        <item x="139"/>
        <item x="143"/>
        <item x="145"/>
        <item x="162"/>
        <item x="146"/>
        <item x="148"/>
        <item x="147"/>
        <item x="149"/>
        <item x="150"/>
        <item x="151"/>
        <item x="152"/>
        <item x="153"/>
        <item x="154"/>
        <item x="159"/>
        <item x="155"/>
        <item x="158"/>
        <item x="157"/>
        <item x="160"/>
        <item x="164"/>
        <item x="166"/>
        <item x="168"/>
        <item x="161"/>
        <item x="165"/>
        <item x="171"/>
        <item x="169"/>
        <item x="172"/>
        <item x="173"/>
        <item x="175"/>
        <item x="177"/>
        <item x="178"/>
        <item x="181"/>
        <item x="186"/>
        <item x="179"/>
        <item x="182"/>
        <item x="180"/>
        <item x="184"/>
        <item x="192"/>
        <item x="187"/>
        <item x="191"/>
        <item x="188"/>
        <item x="200"/>
        <item x="195"/>
        <item x="197"/>
        <item x="205"/>
        <item x="198"/>
        <item x="189"/>
        <item x="204"/>
        <item x="190"/>
        <item x="201"/>
        <item x="206"/>
        <item x="196"/>
        <item x="202"/>
        <item x="214"/>
        <item x="208"/>
        <item x="210"/>
        <item x="209"/>
        <item x="219"/>
        <item x="218"/>
        <item x="211"/>
        <item x="212"/>
        <item x="215"/>
        <item x="220"/>
        <item x="217"/>
        <item x="222"/>
        <item x="224"/>
        <item x="226"/>
        <item x="345"/>
        <item x="244"/>
        <item x="346"/>
        <item x="232"/>
        <item x="251"/>
        <item x="231"/>
        <item x="233"/>
        <item x="234"/>
        <item x="237"/>
        <item x="239"/>
        <item x="240"/>
        <item x="236"/>
        <item x="241"/>
        <item x="242"/>
        <item x="238"/>
        <item x="248"/>
        <item x="247"/>
        <item x="245"/>
        <item x="246"/>
        <item x="256"/>
        <item x="258"/>
        <item x="257"/>
        <item x="254"/>
        <item x="252"/>
        <item x="267"/>
        <item x="253"/>
        <item x="255"/>
        <item x="261"/>
        <item x="275"/>
        <item x="259"/>
        <item x="260"/>
        <item x="264"/>
        <item x="266"/>
        <item x="269"/>
        <item x="272"/>
        <item x="273"/>
        <item x="278"/>
        <item x="279"/>
        <item x="268"/>
        <item x="270"/>
        <item x="276"/>
        <item x="277"/>
        <item x="286"/>
        <item x="290"/>
        <item x="288"/>
        <item x="283"/>
        <item x="281"/>
        <item x="262"/>
        <item x="274"/>
        <item x="287"/>
        <item x="285"/>
        <item x="282"/>
        <item x="280"/>
        <item x="289"/>
        <item x="292"/>
        <item x="296"/>
        <item x="294"/>
        <item x="291"/>
        <item x="293"/>
        <item x="297"/>
        <item x="314"/>
        <item x="313"/>
        <item x="304"/>
        <item x="303"/>
        <item x="298"/>
        <item x="300"/>
        <item x="299"/>
        <item x="305"/>
        <item x="317"/>
        <item x="319"/>
        <item x="334"/>
        <item x="320"/>
        <item x="321"/>
        <item x="323"/>
        <item x="322"/>
        <item x="340"/>
        <item x="327"/>
        <item x="329"/>
        <item x="330"/>
        <item x="331"/>
        <item x="326"/>
        <item x="342"/>
        <item x="328"/>
        <item x="336"/>
        <item x="339"/>
        <item x="333"/>
        <item x="335"/>
        <item x="338"/>
        <item x="341"/>
        <item x="349"/>
        <item x="347"/>
        <item x="344"/>
        <item x="350"/>
        <item x="358"/>
        <item x="357"/>
        <item x="356"/>
        <item x="355"/>
        <item x="359"/>
        <item x="360"/>
        <item x="361"/>
        <item x="137"/>
        <item x="138"/>
        <item x="64"/>
        <item x="17"/>
        <item x="34"/>
        <item x="47"/>
        <item x="66"/>
        <item x="223"/>
        <item x="68"/>
        <item x="67"/>
        <item x="75"/>
        <item x="71"/>
        <item x="72"/>
        <item x="76"/>
        <item x="88"/>
        <item x="91"/>
        <item x="106"/>
        <item x="105"/>
        <item x="113"/>
        <item x="121"/>
        <item x="128"/>
        <item x="123"/>
        <item x="140"/>
        <item x="142"/>
        <item x="141"/>
        <item x="167"/>
        <item x="174"/>
        <item x="176"/>
        <item x="185"/>
        <item x="193"/>
        <item x="194"/>
        <item x="199"/>
        <item x="203"/>
        <item x="213"/>
        <item x="216"/>
        <item x="230"/>
        <item x="227"/>
        <item x="229"/>
        <item x="228"/>
        <item x="250"/>
        <item x="249"/>
        <item x="263"/>
        <item x="265"/>
        <item x="284"/>
        <item x="316"/>
        <item x="315"/>
        <item x="301"/>
        <item x="312"/>
        <item x="309"/>
        <item x="308"/>
        <item x="307"/>
        <item x="306"/>
        <item x="318"/>
        <item x="325"/>
        <item x="324"/>
        <item x="332"/>
        <item x="337"/>
        <item x="343"/>
        <item x="352"/>
        <item x="353"/>
        <item x="351"/>
        <item x="354"/>
        <item x="4"/>
        <item t="default"/>
      </items>
    </pivotField>
    <pivotField compact="0" showAll="0">
      <items count="404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x="402"/>
        <item t="default"/>
      </items>
    </pivotField>
    <pivotField compact="0" showAll="0">
      <items count="2">
        <item x="0"/>
        <item t="default"/>
      </items>
    </pivotField>
    <pivotField compact="0" showAll="0">
      <items count="410">
        <item x="259"/>
        <item x="77"/>
        <item x="104"/>
        <item x="375"/>
        <item x="258"/>
        <item x="189"/>
        <item x="155"/>
        <item x="327"/>
        <item x="373"/>
        <item x="118"/>
        <item x="400"/>
        <item x="318"/>
        <item x="176"/>
        <item x="227"/>
        <item x="65"/>
        <item x="45"/>
        <item x="307"/>
        <item x="185"/>
        <item x="151"/>
        <item x="108"/>
        <item x="74"/>
        <item x="365"/>
        <item x="211"/>
        <item x="334"/>
        <item x="385"/>
        <item x="239"/>
        <item x="232"/>
        <item x="173"/>
        <item x="279"/>
        <item x="186"/>
        <item x="98"/>
        <item x="1"/>
        <item x="389"/>
        <item x="355"/>
        <item x="383"/>
        <item x="234"/>
        <item x="399"/>
        <item x="11"/>
        <item x="275"/>
        <item x="86"/>
        <item x="193"/>
        <item x="20"/>
        <item x="250"/>
        <item x="188"/>
        <item x="255"/>
        <item x="159"/>
        <item x="3"/>
        <item x="370"/>
        <item x="175"/>
        <item x="197"/>
        <item x="154"/>
        <item x="351"/>
        <item x="49"/>
        <item x="24"/>
        <item x="72"/>
        <item x="218"/>
        <item x="378"/>
        <item x="122"/>
        <item x="9"/>
        <item x="202"/>
        <item x="39"/>
        <item x="288"/>
        <item x="240"/>
        <item x="110"/>
        <item x="257"/>
        <item x="57"/>
        <item x="230"/>
        <item x="187"/>
        <item x="166"/>
        <item x="107"/>
        <item x="68"/>
        <item x="247"/>
        <item x="221"/>
        <item x="261"/>
        <item x="41"/>
        <item x="305"/>
        <item x="191"/>
        <item x="405"/>
        <item x="363"/>
        <item x="61"/>
        <item x="177"/>
        <item x="130"/>
        <item x="295"/>
        <item x="388"/>
        <item x="28"/>
        <item x="300"/>
        <item x="317"/>
        <item x="195"/>
        <item x="36"/>
        <item x="149"/>
        <item x="361"/>
        <item x="142"/>
        <item x="238"/>
        <item x="262"/>
        <item x="5"/>
        <item x="344"/>
        <item x="161"/>
        <item x="64"/>
        <item x="93"/>
        <item x="137"/>
        <item x="119"/>
        <item x="283"/>
        <item x="248"/>
        <item x="314"/>
        <item x="53"/>
        <item x="237"/>
        <item x="339"/>
        <item x="80"/>
        <item x="401"/>
        <item x="150"/>
        <item x="73"/>
        <item x="217"/>
        <item x="147"/>
        <item x="194"/>
        <item x="210"/>
        <item x="103"/>
        <item x="333"/>
        <item x="395"/>
        <item x="384"/>
        <item x="310"/>
        <item x="311"/>
        <item x="231"/>
        <item x="172"/>
        <item x="184"/>
        <item x="44"/>
        <item x="97"/>
        <item x="112"/>
        <item x="354"/>
        <item x="273"/>
        <item x="16"/>
        <item x="296"/>
        <item x="242"/>
        <item x="52"/>
        <item x="233"/>
        <item x="298"/>
        <item x="398"/>
        <item x="10"/>
        <item x="243"/>
        <item x="15"/>
        <item x="274"/>
        <item x="85"/>
        <item x="99"/>
        <item x="82"/>
        <item x="19"/>
        <item x="153"/>
        <item x="267"/>
        <item x="304"/>
        <item x="207"/>
        <item x="381"/>
        <item x="198"/>
        <item x="22"/>
        <item x="346"/>
        <item x="254"/>
        <item x="117"/>
        <item x="158"/>
        <item x="2"/>
        <item x="391"/>
        <item x="369"/>
        <item x="292"/>
        <item x="203"/>
        <item x="174"/>
        <item x="200"/>
        <item x="219"/>
        <item x="100"/>
        <item x="145"/>
        <item x="205"/>
        <item x="253"/>
        <item x="263"/>
        <item x="0"/>
        <item x="350"/>
        <item x="407"/>
        <item x="48"/>
        <item x="23"/>
        <item x="71"/>
        <item x="377"/>
        <item x="156"/>
        <item x="121"/>
        <item x="63"/>
        <item x="291"/>
        <item x="340"/>
        <item x="8"/>
        <item x="79"/>
        <item x="228"/>
        <item x="341"/>
        <item x="47"/>
        <item x="182"/>
        <item x="109"/>
        <item x="336"/>
        <item x="390"/>
        <item x="289"/>
        <item x="312"/>
        <item x="328"/>
        <item x="380"/>
        <item x="167"/>
        <item x="226"/>
        <item x="347"/>
        <item x="290"/>
        <item x="246"/>
        <item x="276"/>
        <item x="329"/>
        <item x="87"/>
        <item x="245"/>
        <item x="331"/>
        <item x="220"/>
        <item x="379"/>
        <item x="260"/>
        <item x="229"/>
        <item x="76"/>
        <item x="301"/>
        <item x="46"/>
        <item x="192"/>
        <item x="67"/>
        <item x="17"/>
        <item x="164"/>
        <item x="201"/>
        <item x="179"/>
        <item x="60"/>
        <item x="14"/>
        <item x="144"/>
        <item x="81"/>
        <item x="206"/>
        <item x="21"/>
        <item x="171"/>
        <item x="387"/>
        <item x="392"/>
        <item x="116"/>
        <item x="325"/>
        <item x="27"/>
        <item x="337"/>
        <item x="299"/>
        <item x="271"/>
        <item x="393"/>
        <item x="42"/>
        <item x="345"/>
        <item x="84"/>
        <item x="349"/>
        <item x="270"/>
        <item x="135"/>
        <item x="308"/>
        <item x="40"/>
        <item x="306"/>
        <item x="321"/>
        <item x="320"/>
        <item x="35"/>
        <item x="322"/>
        <item x="132"/>
        <item x="266"/>
        <item x="13"/>
        <item x="148"/>
        <item x="120"/>
        <item x="75"/>
        <item x="360"/>
        <item x="342"/>
        <item x="323"/>
        <item x="402"/>
        <item x="396"/>
        <item x="223"/>
        <item x="169"/>
        <item x="123"/>
        <item x="214"/>
        <item x="315"/>
        <item x="269"/>
        <item x="38"/>
        <item x="12"/>
        <item x="129"/>
        <item x="215"/>
        <item x="25"/>
        <item x="106"/>
        <item x="50"/>
        <item x="141"/>
        <item x="213"/>
        <item x="280"/>
        <item x="374"/>
        <item x="126"/>
        <item x="376"/>
        <item x="56"/>
        <item x="180"/>
        <item x="4"/>
        <item x="94"/>
        <item x="113"/>
        <item x="160"/>
        <item x="29"/>
        <item x="138"/>
        <item x="294"/>
        <item x="134"/>
        <item x="96"/>
        <item x="18"/>
        <item x="264"/>
        <item x="302"/>
        <item x="282"/>
        <item x="313"/>
        <item x="319"/>
        <item x="55"/>
        <item x="256"/>
        <item x="265"/>
        <item x="105"/>
        <item x="236"/>
        <item x="101"/>
        <item x="58"/>
        <item x="338"/>
        <item x="95"/>
        <item x="284"/>
        <item x="37"/>
        <item x="199"/>
        <item x="225"/>
        <item x="244"/>
        <item x="278"/>
        <item x="382"/>
        <item x="249"/>
        <item x="133"/>
        <item x="26"/>
        <item x="136"/>
        <item x="251"/>
        <item x="66"/>
        <item x="69"/>
        <item x="83"/>
        <item x="343"/>
        <item x="170"/>
        <item x="216"/>
        <item x="359"/>
        <item x="131"/>
        <item x="125"/>
        <item x="92"/>
        <item x="102"/>
        <item x="303"/>
        <item x="62"/>
        <item x="190"/>
        <item x="196"/>
        <item x="268"/>
        <item x="404"/>
        <item x="204"/>
        <item x="358"/>
        <item x="348"/>
        <item x="326"/>
        <item x="178"/>
        <item x="397"/>
        <item x="59"/>
        <item x="293"/>
        <item x="157"/>
        <item x="403"/>
        <item x="394"/>
        <item x="222"/>
        <item x="386"/>
        <item x="316"/>
        <item x="368"/>
        <item x="127"/>
        <item x="70"/>
        <item x="364"/>
        <item x="168"/>
        <item x="324"/>
        <item x="111"/>
        <item x="332"/>
        <item x="34"/>
        <item x="162"/>
        <item x="353"/>
        <item x="6"/>
        <item x="139"/>
        <item x="51"/>
        <item x="115"/>
        <item x="163"/>
        <item x="285"/>
        <item x="335"/>
        <item x="352"/>
        <item x="128"/>
        <item x="272"/>
        <item x="406"/>
        <item x="30"/>
        <item x="209"/>
        <item x="31"/>
        <item x="235"/>
        <item x="371"/>
        <item x="124"/>
        <item x="212"/>
        <item x="90"/>
        <item x="241"/>
        <item x="309"/>
        <item x="287"/>
        <item x="89"/>
        <item x="88"/>
        <item x="208"/>
        <item x="33"/>
        <item x="356"/>
        <item x="252"/>
        <item x="286"/>
        <item x="367"/>
        <item x="366"/>
        <item x="32"/>
        <item x="91"/>
        <item x="330"/>
        <item x="281"/>
        <item x="224"/>
        <item x="362"/>
        <item x="165"/>
        <item x="114"/>
        <item x="372"/>
        <item x="43"/>
        <item x="181"/>
        <item x="297"/>
        <item x="152"/>
        <item x="143"/>
        <item x="277"/>
        <item x="78"/>
        <item x="54"/>
        <item x="183"/>
        <item x="357"/>
        <item x="140"/>
        <item x="146"/>
        <item x="408"/>
        <item x="7"/>
        <item t="default"/>
      </items>
    </pivotField>
    <pivotField compact="0" showAll="0">
      <items count="403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t="default"/>
      </items>
    </pivotField>
    <pivotField compact="0" showAll="0">
      <items count="132">
        <item x="51"/>
        <item x="72"/>
        <item x="52"/>
        <item x="75"/>
        <item x="64"/>
        <item x="92"/>
        <item x="84"/>
        <item x="83"/>
        <item x="70"/>
        <item x="59"/>
        <item x="91"/>
        <item x="100"/>
        <item x="127"/>
        <item x="50"/>
        <item x="126"/>
        <item x="105"/>
        <item x="73"/>
        <item x="97"/>
        <item x="98"/>
        <item x="111"/>
        <item x="125"/>
        <item x="121"/>
        <item x="30"/>
        <item x="11"/>
        <item x="29"/>
        <item x="10"/>
        <item x="33"/>
        <item x="79"/>
        <item x="128"/>
        <item x="115"/>
        <item x="106"/>
        <item x="9"/>
        <item x="68"/>
        <item x="80"/>
        <item x="58"/>
        <item x="32"/>
        <item x="78"/>
        <item x="119"/>
        <item x="67"/>
        <item x="77"/>
        <item x="109"/>
        <item x="123"/>
        <item x="85"/>
        <item x="65"/>
        <item x="69"/>
        <item x="43"/>
        <item x="114"/>
        <item x="26"/>
        <item x="130"/>
        <item x="86"/>
        <item x="129"/>
        <item x="8"/>
        <item x="122"/>
        <item x="88"/>
        <item x="53"/>
        <item x="20"/>
        <item x="93"/>
        <item x="34"/>
        <item x="37"/>
        <item x="35"/>
        <item x="74"/>
        <item x="108"/>
        <item x="12"/>
        <item x="40"/>
        <item x="89"/>
        <item x="28"/>
        <item x="60"/>
        <item x="2"/>
        <item x="117"/>
        <item x="36"/>
        <item x="66"/>
        <item x="38"/>
        <item x="5"/>
        <item x="17"/>
        <item x="0"/>
        <item x="113"/>
        <item x="25"/>
        <item x="13"/>
        <item x="4"/>
        <item x="31"/>
        <item x="107"/>
        <item x="120"/>
        <item x="54"/>
        <item x="42"/>
        <item x="7"/>
        <item x="96"/>
        <item x="55"/>
        <item x="95"/>
        <item x="46"/>
        <item x="82"/>
        <item x="16"/>
        <item x="87"/>
        <item x="48"/>
        <item x="90"/>
        <item x="71"/>
        <item x="39"/>
        <item x="27"/>
        <item x="15"/>
        <item x="63"/>
        <item x="124"/>
        <item x="49"/>
        <item x="14"/>
        <item x="6"/>
        <item x="101"/>
        <item x="76"/>
        <item x="118"/>
        <item x="81"/>
        <item x="103"/>
        <item x="19"/>
        <item x="23"/>
        <item x="116"/>
        <item x="21"/>
        <item x="41"/>
        <item x="24"/>
        <item x="62"/>
        <item x="45"/>
        <item x="57"/>
        <item x="22"/>
        <item x="3"/>
        <item x="61"/>
        <item x="56"/>
        <item x="99"/>
        <item x="102"/>
        <item x="94"/>
        <item x="104"/>
        <item x="110"/>
        <item x="18"/>
        <item x="112"/>
        <item x="44"/>
        <item x="47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41">
        <item x="279"/>
        <item x="126"/>
        <item x="80"/>
        <item x="210"/>
        <item x="113"/>
        <item x="399"/>
        <item x="278"/>
        <item x="205"/>
        <item x="171"/>
        <item x="352"/>
        <item x="397"/>
        <item x="127"/>
        <item x="427"/>
        <item x="343"/>
        <item x="191"/>
        <item x="248"/>
        <item x="68"/>
        <item x="50"/>
        <item x="331"/>
        <item x="201"/>
        <item x="167"/>
        <item x="117"/>
        <item x="77"/>
        <item x="390"/>
        <item x="228"/>
        <item x="357"/>
        <item x="409"/>
        <item x="260"/>
        <item x="254"/>
        <item x="188"/>
        <item x="300"/>
        <item x="202"/>
        <item x="107"/>
        <item x="1"/>
        <item x="414"/>
        <item x="380"/>
        <item x="407"/>
        <item x="256"/>
        <item x="426"/>
        <item x="12"/>
        <item x="296"/>
        <item x="90"/>
        <item x="209"/>
        <item x="22"/>
        <item x="204"/>
        <item x="270"/>
        <item x="276"/>
        <item x="175"/>
        <item x="3"/>
        <item x="395"/>
        <item x="190"/>
        <item x="170"/>
        <item x="214"/>
        <item x="375"/>
        <item x="54"/>
        <item x="26"/>
        <item x="75"/>
        <item x="238"/>
        <item x="402"/>
        <item x="132"/>
        <item x="10"/>
        <item x="220"/>
        <item x="230"/>
        <item x="44"/>
        <item x="311"/>
        <item x="261"/>
        <item x="119"/>
        <item x="277"/>
        <item x="60"/>
        <item x="252"/>
        <item x="181"/>
        <item x="203"/>
        <item x="247"/>
        <item x="116"/>
        <item x="71"/>
        <item x="267"/>
        <item x="241"/>
        <item x="281"/>
        <item x="46"/>
        <item x="328"/>
        <item x="284"/>
        <item x="207"/>
        <item x="432"/>
        <item x="388"/>
        <item x="64"/>
        <item x="192"/>
        <item x="143"/>
        <item x="318"/>
        <item x="413"/>
        <item x="30"/>
        <item x="342"/>
        <item x="324"/>
        <item x="212"/>
        <item x="330"/>
        <item x="41"/>
        <item x="165"/>
        <item x="386"/>
        <item x="158"/>
        <item x="259"/>
        <item x="282"/>
        <item x="5"/>
        <item x="368"/>
        <item x="177"/>
        <item x="67"/>
        <item x="101"/>
        <item x="151"/>
        <item x="129"/>
        <item x="305"/>
        <item x="268"/>
        <item x="338"/>
        <item x="56"/>
        <item x="258"/>
        <item x="250"/>
        <item x="362"/>
        <item x="199"/>
        <item x="83"/>
        <item x="428"/>
        <item x="166"/>
        <item x="76"/>
        <item x="249"/>
        <item x="237"/>
        <item x="163"/>
        <item x="211"/>
        <item x="227"/>
        <item x="435"/>
        <item x="112"/>
        <item x="356"/>
        <item x="138"/>
        <item x="408"/>
        <item x="421"/>
        <item x="253"/>
        <item x="334"/>
        <item x="335"/>
        <item x="187"/>
        <item x="103"/>
        <item x="200"/>
        <item x="106"/>
        <item x="283"/>
        <item x="49"/>
        <item x="121"/>
        <item x="320"/>
        <item x="379"/>
        <item x="294"/>
        <item x="17"/>
        <item x="319"/>
        <item x="262"/>
        <item x="37"/>
        <item x="430"/>
        <item x="255"/>
        <item x="140"/>
        <item x="303"/>
        <item x="322"/>
        <item x="425"/>
        <item x="11"/>
        <item x="355"/>
        <item x="152"/>
        <item x="139"/>
        <item x="418"/>
        <item x="263"/>
        <item x="295"/>
        <item x="94"/>
        <item x="16"/>
        <item x="89"/>
        <item x="215"/>
        <item x="108"/>
        <item x="85"/>
        <item x="21"/>
        <item x="169"/>
        <item x="288"/>
        <item x="327"/>
        <item x="384"/>
        <item x="7"/>
        <item x="225"/>
        <item x="97"/>
        <item x="405"/>
        <item x="216"/>
        <item x="275"/>
        <item x="24"/>
        <item x="306"/>
        <item x="34"/>
        <item x="125"/>
        <item x="174"/>
        <item x="2"/>
        <item x="416"/>
        <item x="394"/>
        <item x="6"/>
        <item x="93"/>
        <item x="315"/>
        <item x="221"/>
        <item x="189"/>
        <item x="218"/>
        <item x="239"/>
        <item x="309"/>
        <item x="95"/>
        <item x="109"/>
        <item x="377"/>
        <item x="316"/>
        <item x="161"/>
        <item x="310"/>
        <item x="308"/>
        <item x="223"/>
        <item x="400"/>
        <item x="0"/>
        <item x="374"/>
        <item x="274"/>
        <item x="53"/>
        <item x="229"/>
        <item x="437"/>
        <item x="25"/>
        <item x="74"/>
        <item x="401"/>
        <item x="172"/>
        <item x="131"/>
        <item x="33"/>
        <item x="99"/>
        <item x="9"/>
        <item x="66"/>
        <item x="314"/>
        <item x="145"/>
        <item x="339"/>
        <item x="363"/>
        <item x="82"/>
        <item x="364"/>
        <item x="52"/>
        <item x="118"/>
        <item x="197"/>
        <item x="415"/>
        <item x="359"/>
        <item x="312"/>
        <item x="336"/>
        <item x="353"/>
        <item x="404"/>
        <item x="182"/>
        <item x="246"/>
        <item x="371"/>
        <item x="266"/>
        <item x="313"/>
        <item x="297"/>
        <item x="378"/>
        <item x="32"/>
        <item x="354"/>
        <item x="123"/>
        <item x="91"/>
        <item x="265"/>
        <item x="280"/>
        <item x="240"/>
        <item x="403"/>
        <item x="251"/>
        <item x="79"/>
        <item x="325"/>
        <item x="208"/>
        <item x="51"/>
        <item x="369"/>
        <item x="70"/>
        <item x="19"/>
        <item x="8"/>
        <item x="18"/>
        <item x="96"/>
        <item x="63"/>
        <item x="219"/>
        <item x="194"/>
        <item x="226"/>
        <item x="180"/>
        <item x="15"/>
        <item x="160"/>
        <item x="137"/>
        <item x="84"/>
        <item x="233"/>
        <item x="224"/>
        <item x="23"/>
        <item x="412"/>
        <item x="36"/>
        <item x="124"/>
        <item x="186"/>
        <item x="417"/>
        <item x="29"/>
        <item x="350"/>
        <item x="360"/>
        <item x="323"/>
        <item x="292"/>
        <item x="419"/>
        <item x="47"/>
        <item x="396"/>
        <item x="370"/>
        <item x="88"/>
        <item x="38"/>
        <item x="373"/>
        <item x="244"/>
        <item x="291"/>
        <item x="104"/>
        <item x="149"/>
        <item x="329"/>
        <item x="332"/>
        <item x="40"/>
        <item x="345"/>
        <item x="383"/>
        <item x="45"/>
        <item x="346"/>
        <item x="347"/>
        <item x="146"/>
        <item x="287"/>
        <item x="14"/>
        <item x="164"/>
        <item x="130"/>
        <item x="78"/>
        <item x="434"/>
        <item x="385"/>
        <item x="366"/>
        <item x="348"/>
        <item x="429"/>
        <item x="422"/>
        <item x="243"/>
        <item x="184"/>
        <item x="133"/>
        <item x="234"/>
        <item x="340"/>
        <item x="290"/>
        <item x="39"/>
        <item x="98"/>
        <item x="43"/>
        <item x="136"/>
        <item x="13"/>
        <item x="142"/>
        <item x="179"/>
        <item x="235"/>
        <item x="27"/>
        <item x="115"/>
        <item x="157"/>
        <item x="55"/>
        <item x="232"/>
        <item x="301"/>
        <item x="398"/>
        <item x="436"/>
        <item x="4"/>
        <item x="195"/>
        <item x="59"/>
        <item x="102"/>
        <item x="122"/>
        <item x="176"/>
        <item x="154"/>
        <item x="31"/>
        <item x="153"/>
        <item x="317"/>
        <item x="148"/>
        <item x="105"/>
        <item x="20"/>
        <item x="285"/>
        <item x="326"/>
        <item x="304"/>
        <item x="423"/>
        <item x="433"/>
        <item x="337"/>
        <item x="344"/>
        <item x="58"/>
        <item x="286"/>
        <item x="114"/>
        <item x="361"/>
        <item x="257"/>
        <item x="61"/>
        <item x="110"/>
        <item x="87"/>
        <item x="365"/>
        <item x="35"/>
        <item x="42"/>
        <item x="217"/>
        <item x="245"/>
        <item x="264"/>
        <item x="299"/>
        <item x="406"/>
        <item x="269"/>
        <item x="271"/>
        <item x="147"/>
        <item x="28"/>
        <item x="150"/>
        <item x="272"/>
        <item x="128"/>
        <item x="69"/>
        <item x="72"/>
        <item x="86"/>
        <item x="155"/>
        <item x="367"/>
        <item x="185"/>
        <item x="236"/>
        <item x="144"/>
        <item x="135"/>
        <item x="111"/>
        <item x="100"/>
        <item x="65"/>
        <item x="206"/>
        <item x="213"/>
        <item x="289"/>
        <item x="431"/>
        <item x="222"/>
        <item x="372"/>
        <item x="351"/>
        <item x="411"/>
        <item x="193"/>
        <item x="424"/>
        <item x="62"/>
        <item x="173"/>
        <item x="420"/>
        <item x="242"/>
        <item x="410"/>
        <item x="341"/>
        <item x="393"/>
        <item x="73"/>
        <item x="389"/>
        <item x="183"/>
        <item x="349"/>
        <item x="120"/>
        <item x="178"/>
        <item x="307"/>
        <item x="358"/>
        <item x="376"/>
        <item x="141"/>
        <item x="293"/>
        <item x="134"/>
        <item x="231"/>
        <item x="333"/>
        <item x="92"/>
        <item x="381"/>
        <item x="273"/>
        <item x="392"/>
        <item x="391"/>
        <item x="302"/>
        <item x="387"/>
        <item x="48"/>
        <item x="321"/>
        <item x="196"/>
        <item x="168"/>
        <item x="159"/>
        <item x="298"/>
        <item x="81"/>
        <item x="57"/>
        <item x="198"/>
        <item x="382"/>
        <item x="156"/>
        <item x="162"/>
        <item x="438"/>
        <item x="439"/>
        <item t="default"/>
      </items>
    </pivotField>
    <pivotField compact="0" showAll="0">
      <items count="10">
        <item x="0"/>
        <item x="2"/>
        <item x="6"/>
        <item x="5"/>
        <item x="3"/>
        <item x="7"/>
        <item x="1"/>
        <item x="4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2"/>
        <item x="7"/>
        <item x="4"/>
        <item x="1"/>
        <item x="5"/>
        <item x="6"/>
        <item x="3"/>
        <item x="0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4">
        <item x="26"/>
        <item x="14"/>
        <item x="18"/>
        <item x="34"/>
        <item x="25"/>
        <item x="1"/>
        <item x="15"/>
        <item x="0"/>
        <item x="16"/>
        <item x="11"/>
        <item x="12"/>
        <item x="30"/>
        <item x="8"/>
        <item x="28"/>
        <item x="37"/>
        <item x="23"/>
        <item x="24"/>
        <item x="39"/>
        <item x="10"/>
        <item x="7"/>
        <item x="38"/>
        <item x="40"/>
        <item x="31"/>
        <item x="5"/>
        <item x="41"/>
        <item x="35"/>
        <item x="19"/>
        <item x="6"/>
        <item x="29"/>
        <item x="33"/>
        <item x="27"/>
        <item x="9"/>
        <item x="22"/>
        <item x="32"/>
        <item x="4"/>
        <item x="21"/>
        <item x="20"/>
        <item x="13"/>
        <item x="42"/>
        <item x="36"/>
        <item x="17"/>
        <item x="2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03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6"/>
        <item x="7"/>
        <item x="5"/>
        <item x="3"/>
        <item x="0"/>
        <item x="1"/>
        <item x="2"/>
        <item x="8"/>
        <item t="default"/>
      </items>
    </pivotField>
    <pivotField compact="0" showAll="0">
      <items count="404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x="402"/>
        <item t="default"/>
      </items>
    </pivotField>
    <pivotField compact="0" showAll="0">
      <items count="195">
        <item x="33"/>
        <item x="144"/>
        <item x="122"/>
        <item x="156"/>
        <item x="92"/>
        <item x="71"/>
        <item x="106"/>
        <item x="27"/>
        <item x="90"/>
        <item x="125"/>
        <item x="34"/>
        <item x="63"/>
        <item x="141"/>
        <item x="140"/>
        <item x="186"/>
        <item x="28"/>
        <item x="17"/>
        <item x="177"/>
        <item x="137"/>
        <item x="8"/>
        <item x="46"/>
        <item x="58"/>
        <item x="174"/>
        <item x="143"/>
        <item x="158"/>
        <item x="48"/>
        <item x="25"/>
        <item x="151"/>
        <item x="133"/>
        <item x="129"/>
        <item x="94"/>
        <item x="102"/>
        <item x="91"/>
        <item x="107"/>
        <item x="115"/>
        <item x="117"/>
        <item x="120"/>
        <item x="131"/>
        <item x="147"/>
        <item x="154"/>
        <item x="15"/>
        <item x="162"/>
        <item x="166"/>
        <item x="168"/>
        <item x="178"/>
        <item x="184"/>
        <item x="193"/>
        <item x="2"/>
        <item x="32"/>
        <item x="36"/>
        <item x="39"/>
        <item x="6"/>
        <item x="68"/>
        <item x="72"/>
        <item x="75"/>
        <item x="84"/>
        <item x="95"/>
        <item x="54"/>
        <item x="153"/>
        <item x="132"/>
        <item x="51"/>
        <item x="57"/>
        <item x="103"/>
        <item x="86"/>
        <item x="157"/>
        <item x="1"/>
        <item x="170"/>
        <item x="20"/>
        <item x="52"/>
        <item x="18"/>
        <item x="176"/>
        <item x="128"/>
        <item x="29"/>
        <item x="109"/>
        <item x="16"/>
        <item x="65"/>
        <item x="188"/>
        <item x="62"/>
        <item x="167"/>
        <item x="113"/>
        <item x="145"/>
        <item x="96"/>
        <item x="11"/>
        <item x="21"/>
        <item x="42"/>
        <item x="136"/>
        <item x="111"/>
        <item x="89"/>
        <item x="4"/>
        <item x="43"/>
        <item x="183"/>
        <item x="78"/>
        <item x="93"/>
        <item x="135"/>
        <item x="64"/>
        <item x="101"/>
        <item x="49"/>
        <item x="185"/>
        <item x="179"/>
        <item x="37"/>
        <item x="108"/>
        <item x="77"/>
        <item x="7"/>
        <item x="148"/>
        <item x="50"/>
        <item x="163"/>
        <item x="164"/>
        <item x="175"/>
        <item x="118"/>
        <item x="192"/>
        <item x="110"/>
        <item x="181"/>
        <item x="53"/>
        <item x="191"/>
        <item x="14"/>
        <item x="44"/>
        <item x="13"/>
        <item x="3"/>
        <item x="30"/>
        <item x="69"/>
        <item x="26"/>
        <item x="88"/>
        <item x="97"/>
        <item x="190"/>
        <item x="116"/>
        <item x="80"/>
        <item x="130"/>
        <item x="104"/>
        <item x="112"/>
        <item x="171"/>
        <item x="9"/>
        <item x="24"/>
        <item x="114"/>
        <item x="172"/>
        <item x="10"/>
        <item x="23"/>
        <item x="12"/>
        <item x="41"/>
        <item x="123"/>
        <item x="139"/>
        <item x="19"/>
        <item x="55"/>
        <item x="60"/>
        <item x="169"/>
        <item x="121"/>
        <item x="149"/>
        <item x="87"/>
        <item x="126"/>
        <item x="31"/>
        <item x="45"/>
        <item x="5"/>
        <item x="59"/>
        <item x="66"/>
        <item x="105"/>
        <item x="161"/>
        <item x="67"/>
        <item x="134"/>
        <item x="85"/>
        <item x="152"/>
        <item x="22"/>
        <item x="119"/>
        <item x="61"/>
        <item x="74"/>
        <item x="56"/>
        <item x="79"/>
        <item x="76"/>
        <item x="146"/>
        <item x="38"/>
        <item x="73"/>
        <item x="182"/>
        <item x="189"/>
        <item x="127"/>
        <item x="159"/>
        <item x="155"/>
        <item x="150"/>
        <item x="47"/>
        <item x="138"/>
        <item x="70"/>
        <item x="187"/>
        <item x="35"/>
        <item x="180"/>
        <item x="124"/>
        <item x="165"/>
        <item x="160"/>
        <item x="83"/>
        <item x="100"/>
        <item x="40"/>
        <item x="173"/>
        <item x="99"/>
        <item x="81"/>
        <item x="82"/>
        <item x="98"/>
        <item x="142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19">
        <item x="63"/>
        <item x="85"/>
        <item x="285"/>
        <item x="150"/>
        <item x="129"/>
        <item x="253"/>
        <item x="95"/>
        <item x="308"/>
        <item x="145"/>
        <item x="181"/>
        <item x="52"/>
        <item x="37"/>
        <item x="237"/>
        <item x="126"/>
        <item x="89"/>
        <item x="60"/>
        <item x="167"/>
        <item x="257"/>
        <item x="295"/>
        <item x="186"/>
        <item x="142"/>
        <item x="79"/>
        <item x="1"/>
        <item x="298"/>
        <item x="276"/>
        <item x="293"/>
        <item x="188"/>
        <item x="307"/>
        <item x="10"/>
        <item x="211"/>
        <item x="69"/>
        <item x="154"/>
        <item x="18"/>
        <item x="198"/>
        <item x="149"/>
        <item x="201"/>
        <item x="132"/>
        <item x="3"/>
        <item x="283"/>
        <item x="144"/>
        <item x="157"/>
        <item x="128"/>
        <item x="272"/>
        <item x="41"/>
        <item x="22"/>
        <item x="58"/>
        <item x="173"/>
        <item x="288"/>
        <item x="99"/>
        <item x="8"/>
        <item x="161"/>
        <item x="32"/>
        <item x="218"/>
        <item x="91"/>
        <item x="45"/>
        <item x="184"/>
        <item x="148"/>
        <item x="136"/>
        <item x="88"/>
        <item x="55"/>
        <item x="195"/>
        <item x="176"/>
        <item x="203"/>
        <item x="34"/>
        <item x="234"/>
        <item x="152"/>
        <item x="311"/>
        <item x="281"/>
        <item x="48"/>
        <item x="146"/>
        <item x="109"/>
        <item x="225"/>
        <item x="297"/>
        <item x="26"/>
        <item x="230"/>
        <item x="236"/>
        <item x="29"/>
        <item x="124"/>
        <item x="280"/>
        <item x="119"/>
        <item x="204"/>
        <item x="5"/>
        <item x="266"/>
        <item x="134"/>
        <item x="51"/>
        <item x="73"/>
        <item x="114"/>
        <item x="96"/>
        <item x="214"/>
        <item x="196"/>
        <item x="243"/>
        <item x="182"/>
        <item x="262"/>
        <item x="64"/>
        <item x="309"/>
        <item x="125"/>
        <item x="59"/>
        <item x="172"/>
        <item x="122"/>
        <item x="155"/>
        <item x="166"/>
        <item x="314"/>
        <item x="84"/>
        <item x="104"/>
        <item x="256"/>
        <item x="294"/>
        <item x="239"/>
        <item x="240"/>
        <item x="185"/>
        <item x="141"/>
        <item x="75"/>
        <item x="36"/>
        <item x="78"/>
        <item x="93"/>
        <item x="227"/>
        <item x="275"/>
        <item x="209"/>
        <item x="14"/>
        <item x="226"/>
        <item x="190"/>
        <item x="106"/>
        <item x="187"/>
        <item x="306"/>
        <item x="9"/>
        <item x="105"/>
        <item x="191"/>
        <item x="210"/>
        <item x="68"/>
        <item x="80"/>
        <item x="65"/>
        <item x="17"/>
        <item x="127"/>
        <item x="206"/>
        <item x="233"/>
        <item x="278"/>
        <item x="165"/>
        <item x="291"/>
        <item x="158"/>
        <item x="20"/>
        <item x="215"/>
        <item x="200"/>
        <item x="94"/>
        <item x="131"/>
        <item x="2"/>
        <item x="300"/>
        <item x="282"/>
        <item x="222"/>
        <item x="162"/>
        <item x="143"/>
        <item x="159"/>
        <item x="174"/>
        <item x="81"/>
        <item x="273"/>
        <item x="223"/>
        <item x="121"/>
        <item x="163"/>
        <item x="286"/>
        <item x="0"/>
        <item x="271"/>
        <item x="316"/>
        <item x="40"/>
        <item x="21"/>
        <item x="57"/>
        <item x="287"/>
        <item x="130"/>
        <item x="98"/>
        <item x="50"/>
        <item x="221"/>
        <item x="263"/>
        <item x="7"/>
        <item x="264"/>
        <item x="39"/>
        <item x="90"/>
        <item x="259"/>
        <item x="299"/>
        <item x="219"/>
        <item x="241"/>
        <item x="254"/>
        <item x="290"/>
        <item x="137"/>
        <item x="180"/>
        <item x="268"/>
        <item x="220"/>
        <item x="194"/>
        <item x="212"/>
        <item x="274"/>
        <item x="255"/>
        <item x="70"/>
        <item x="193"/>
        <item x="175"/>
        <item x="289"/>
        <item x="202"/>
        <item x="183"/>
        <item x="62"/>
        <item x="231"/>
        <item x="38"/>
        <item x="153"/>
        <item x="54"/>
        <item x="15"/>
        <item x="160"/>
        <item x="47"/>
        <item x="13"/>
        <item x="120"/>
        <item x="103"/>
        <item x="164"/>
        <item x="19"/>
        <item x="140"/>
        <item x="296"/>
        <item x="301"/>
        <item x="251"/>
        <item x="25"/>
        <item x="260"/>
        <item x="229"/>
        <item x="208"/>
        <item x="302"/>
        <item x="35"/>
        <item x="267"/>
        <item x="67"/>
        <item x="270"/>
        <item x="76"/>
        <item x="112"/>
        <item x="238"/>
        <item x="33"/>
        <item x="235"/>
        <item x="247"/>
        <item x="246"/>
        <item x="28"/>
        <item x="248"/>
        <item x="12"/>
        <item x="123"/>
        <item x="97"/>
        <item x="61"/>
        <item x="313"/>
        <item x="279"/>
        <item x="249"/>
        <item x="310"/>
        <item x="303"/>
        <item x="178"/>
        <item x="100"/>
        <item x="169"/>
        <item x="244"/>
        <item x="207"/>
        <item x="31"/>
        <item x="102"/>
        <item x="11"/>
        <item x="108"/>
        <item x="170"/>
        <item x="23"/>
        <item x="87"/>
        <item x="118"/>
        <item x="168"/>
        <item x="284"/>
        <item x="315"/>
        <item x="44"/>
        <item x="147"/>
        <item x="4"/>
        <item x="74"/>
        <item x="133"/>
        <item x="116"/>
        <item x="27"/>
        <item x="115"/>
        <item x="224"/>
        <item x="111"/>
        <item x="77"/>
        <item x="16"/>
        <item x="232"/>
        <item x="213"/>
        <item x="312"/>
        <item x="242"/>
        <item x="245"/>
        <item x="43"/>
        <item x="205"/>
        <item x="86"/>
        <item x="189"/>
        <item x="82"/>
        <item x="46"/>
        <item x="261"/>
        <item x="30"/>
        <item x="179"/>
        <item x="192"/>
        <item x="292"/>
        <item x="197"/>
        <item x="24"/>
        <item x="113"/>
        <item x="199"/>
        <item x="53"/>
        <item x="56"/>
        <item x="66"/>
        <item x="117"/>
        <item x="304"/>
        <item x="265"/>
        <item x="139"/>
        <item x="171"/>
        <item x="110"/>
        <item x="101"/>
        <item x="72"/>
        <item x="83"/>
        <item x="49"/>
        <item x="151"/>
        <item x="156"/>
        <item x="217"/>
        <item x="269"/>
        <item x="252"/>
        <item x="305"/>
        <item x="177"/>
        <item x="138"/>
        <item x="250"/>
        <item x="92"/>
        <item x="135"/>
        <item x="216"/>
        <item x="258"/>
        <item x="107"/>
        <item x="71"/>
        <item x="277"/>
        <item x="228"/>
        <item x="42"/>
        <item x="317"/>
        <item x="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24">
        <item x="62"/>
        <item x="84"/>
        <item x="293"/>
        <item x="156"/>
        <item x="133"/>
        <item x="261"/>
        <item x="95"/>
        <item x="314"/>
        <item x="252"/>
        <item x="185"/>
        <item x="51"/>
        <item x="36"/>
        <item x="242"/>
        <item x="152"/>
        <item x="130"/>
        <item x="88"/>
        <item x="59"/>
        <item x="174"/>
        <item x="265"/>
        <item x="302"/>
        <item x="190"/>
        <item x="146"/>
        <item x="153"/>
        <item x="78"/>
        <item x="1"/>
        <item x="305"/>
        <item x="284"/>
        <item x="192"/>
        <item x="313"/>
        <item x="117"/>
        <item x="215"/>
        <item x="69"/>
        <item x="160"/>
        <item x="17"/>
        <item x="202"/>
        <item x="155"/>
        <item x="205"/>
        <item x="136"/>
        <item x="3"/>
        <item x="291"/>
        <item x="148"/>
        <item x="164"/>
        <item x="132"/>
        <item x="280"/>
        <item x="40"/>
        <item x="21"/>
        <item x="57"/>
        <item x="179"/>
        <item x="296"/>
        <item x="98"/>
        <item x="9"/>
        <item x="168"/>
        <item x="31"/>
        <item x="223"/>
        <item x="90"/>
        <item x="44"/>
        <item x="188"/>
        <item x="154"/>
        <item x="140"/>
        <item x="87"/>
        <item x="54"/>
        <item x="199"/>
        <item x="207"/>
        <item x="33"/>
        <item x="240"/>
        <item x="158"/>
        <item x="317"/>
        <item x="289"/>
        <item x="47"/>
        <item x="149"/>
        <item x="109"/>
        <item x="230"/>
        <item x="304"/>
        <item x="25"/>
        <item x="235"/>
        <item x="251"/>
        <item x="162"/>
        <item x="28"/>
        <item x="128"/>
        <item x="288"/>
        <item x="123"/>
        <item x="208"/>
        <item x="5"/>
        <item x="274"/>
        <item x="138"/>
        <item x="50"/>
        <item x="119"/>
        <item x="115"/>
        <item x="238"/>
        <item x="219"/>
        <item x="200"/>
        <item x="248"/>
        <item x="186"/>
        <item x="270"/>
        <item x="63"/>
        <item x="315"/>
        <item x="129"/>
        <item x="58"/>
        <item x="178"/>
        <item x="126"/>
        <item x="161"/>
        <item x="173"/>
        <item x="320"/>
        <item x="83"/>
        <item x="104"/>
        <item x="264"/>
        <item x="301"/>
        <item x="244"/>
        <item x="245"/>
        <item x="189"/>
        <item x="145"/>
        <item x="74"/>
        <item x="151"/>
        <item x="35"/>
        <item x="77"/>
        <item x="92"/>
        <item x="232"/>
        <item x="283"/>
        <item x="213"/>
        <item x="13"/>
        <item x="231"/>
        <item x="194"/>
        <item x="106"/>
        <item x="191"/>
        <item x="312"/>
        <item x="116"/>
        <item x="105"/>
        <item x="195"/>
        <item x="214"/>
        <item x="68"/>
        <item x="79"/>
        <item x="65"/>
        <item x="16"/>
        <item x="131"/>
        <item x="210"/>
        <item x="239"/>
        <item x="286"/>
        <item x="172"/>
        <item x="299"/>
        <item x="165"/>
        <item x="19"/>
        <item x="220"/>
        <item x="204"/>
        <item x="94"/>
        <item x="135"/>
        <item x="2"/>
        <item x="307"/>
        <item x="290"/>
        <item x="227"/>
        <item x="6"/>
        <item x="169"/>
        <item x="147"/>
        <item x="166"/>
        <item x="180"/>
        <item x="80"/>
        <item x="281"/>
        <item x="228"/>
        <item x="125"/>
        <item x="170"/>
        <item x="294"/>
        <item x="0"/>
        <item x="279"/>
        <item x="39"/>
        <item x="20"/>
        <item x="56"/>
        <item x="295"/>
        <item x="134"/>
        <item x="97"/>
        <item x="49"/>
        <item x="226"/>
        <item x="271"/>
        <item x="8"/>
        <item x="111"/>
        <item x="272"/>
        <item x="38"/>
        <item x="89"/>
        <item x="267"/>
        <item x="306"/>
        <item x="224"/>
        <item x="246"/>
        <item x="262"/>
        <item x="298"/>
        <item x="141"/>
        <item x="184"/>
        <item x="276"/>
        <item x="225"/>
        <item x="198"/>
        <item x="216"/>
        <item x="282"/>
        <item x="263"/>
        <item x="70"/>
        <item x="197"/>
        <item x="297"/>
        <item x="206"/>
        <item x="187"/>
        <item x="61"/>
        <item x="236"/>
        <item x="37"/>
        <item x="159"/>
        <item x="53"/>
        <item x="14"/>
        <item x="167"/>
        <item x="46"/>
        <item x="12"/>
        <item x="124"/>
        <item x="103"/>
        <item x="64"/>
        <item x="171"/>
        <item x="18"/>
        <item x="144"/>
        <item x="303"/>
        <item x="308"/>
        <item x="259"/>
        <item x="24"/>
        <item x="268"/>
        <item x="234"/>
        <item x="212"/>
        <item x="309"/>
        <item x="34"/>
        <item x="275"/>
        <item x="67"/>
        <item x="278"/>
        <item x="75"/>
        <item x="113"/>
        <item x="243"/>
        <item x="32"/>
        <item x="241"/>
        <item x="255"/>
        <item x="254"/>
        <item x="27"/>
        <item x="256"/>
        <item x="11"/>
        <item x="127"/>
        <item x="96"/>
        <item x="60"/>
        <item x="319"/>
        <item x="287"/>
        <item x="257"/>
        <item x="316"/>
        <item x="310"/>
        <item x="182"/>
        <item x="99"/>
        <item x="249"/>
        <item x="211"/>
        <item x="72"/>
        <item x="30"/>
        <item x="102"/>
        <item x="10"/>
        <item x="108"/>
        <item x="176"/>
        <item x="22"/>
        <item x="86"/>
        <item x="122"/>
        <item x="175"/>
        <item x="217"/>
        <item x="292"/>
        <item x="321"/>
        <item x="43"/>
        <item x="150"/>
        <item x="4"/>
        <item x="73"/>
        <item x="93"/>
        <item x="137"/>
        <item x="120"/>
        <item x="26"/>
        <item x="118"/>
        <item x="229"/>
        <item x="112"/>
        <item x="76"/>
        <item x="15"/>
        <item x="237"/>
        <item x="218"/>
        <item x="318"/>
        <item x="247"/>
        <item x="253"/>
        <item x="42"/>
        <item x="209"/>
        <item x="85"/>
        <item x="193"/>
        <item x="81"/>
        <item x="45"/>
        <item x="269"/>
        <item x="29"/>
        <item x="183"/>
        <item x="196"/>
        <item x="300"/>
        <item x="201"/>
        <item x="23"/>
        <item x="114"/>
        <item x="203"/>
        <item x="52"/>
        <item x="55"/>
        <item x="66"/>
        <item x="121"/>
        <item x="273"/>
        <item x="143"/>
        <item x="177"/>
        <item x="110"/>
        <item x="101"/>
        <item x="82"/>
        <item x="48"/>
        <item x="157"/>
        <item x="163"/>
        <item x="222"/>
        <item x="277"/>
        <item x="260"/>
        <item x="311"/>
        <item x="181"/>
        <item x="250"/>
        <item x="142"/>
        <item x="258"/>
        <item x="91"/>
        <item x="139"/>
        <item x="221"/>
        <item x="266"/>
        <item x="107"/>
        <item x="100"/>
        <item x="71"/>
        <item x="285"/>
        <item x="233"/>
        <item x="41"/>
        <item x="322"/>
        <item x="7"/>
        <item t="default"/>
      </items>
    </pivotField>
    <pivotField compact="0" showAll="0">
      <items count="132">
        <item x="51"/>
        <item x="72"/>
        <item x="52"/>
        <item x="75"/>
        <item x="64"/>
        <item x="92"/>
        <item x="84"/>
        <item x="83"/>
        <item x="70"/>
        <item x="59"/>
        <item x="91"/>
        <item x="100"/>
        <item x="127"/>
        <item x="50"/>
        <item x="126"/>
        <item x="105"/>
        <item x="73"/>
        <item x="97"/>
        <item x="98"/>
        <item x="111"/>
        <item x="125"/>
        <item x="121"/>
        <item x="30"/>
        <item x="11"/>
        <item x="29"/>
        <item x="10"/>
        <item x="33"/>
        <item x="79"/>
        <item x="128"/>
        <item x="115"/>
        <item x="106"/>
        <item x="9"/>
        <item x="68"/>
        <item x="80"/>
        <item x="58"/>
        <item x="32"/>
        <item x="78"/>
        <item x="119"/>
        <item x="67"/>
        <item x="77"/>
        <item x="109"/>
        <item x="123"/>
        <item x="85"/>
        <item x="65"/>
        <item x="69"/>
        <item x="43"/>
        <item x="114"/>
        <item x="26"/>
        <item x="130"/>
        <item x="86"/>
        <item x="129"/>
        <item x="8"/>
        <item x="122"/>
        <item x="88"/>
        <item x="53"/>
        <item x="20"/>
        <item x="93"/>
        <item x="34"/>
        <item x="37"/>
        <item x="35"/>
        <item x="74"/>
        <item x="108"/>
        <item x="12"/>
        <item x="40"/>
        <item x="89"/>
        <item x="28"/>
        <item x="60"/>
        <item x="2"/>
        <item x="117"/>
        <item x="36"/>
        <item x="66"/>
        <item x="38"/>
        <item x="5"/>
        <item x="17"/>
        <item x="0"/>
        <item x="113"/>
        <item x="25"/>
        <item x="13"/>
        <item x="4"/>
        <item x="31"/>
        <item x="107"/>
        <item x="120"/>
        <item x="54"/>
        <item x="42"/>
        <item x="7"/>
        <item x="96"/>
        <item x="55"/>
        <item x="95"/>
        <item x="46"/>
        <item x="82"/>
        <item x="16"/>
        <item x="87"/>
        <item x="48"/>
        <item x="90"/>
        <item x="71"/>
        <item x="39"/>
        <item x="27"/>
        <item x="15"/>
        <item x="63"/>
        <item x="124"/>
        <item x="49"/>
        <item x="14"/>
        <item x="6"/>
        <item x="101"/>
        <item x="76"/>
        <item x="118"/>
        <item x="81"/>
        <item x="103"/>
        <item x="19"/>
        <item x="23"/>
        <item x="116"/>
        <item x="21"/>
        <item x="41"/>
        <item x="24"/>
        <item x="62"/>
        <item x="45"/>
        <item x="57"/>
        <item x="22"/>
        <item x="3"/>
        <item x="61"/>
        <item x="56"/>
        <item x="99"/>
        <item x="102"/>
        <item x="94"/>
        <item x="104"/>
        <item x="110"/>
        <item x="18"/>
        <item x="112"/>
        <item x="44"/>
        <item x="47"/>
        <item x="1"/>
        <item t="default"/>
      </items>
    </pivotField>
    <pivotField compact="0" showAll="0">
      <items count="440">
        <item x="279"/>
        <item x="126"/>
        <item x="80"/>
        <item x="210"/>
        <item x="113"/>
        <item x="399"/>
        <item x="278"/>
        <item x="205"/>
        <item x="171"/>
        <item x="352"/>
        <item x="397"/>
        <item x="127"/>
        <item x="427"/>
        <item x="343"/>
        <item x="191"/>
        <item x="248"/>
        <item x="68"/>
        <item x="50"/>
        <item x="331"/>
        <item x="201"/>
        <item x="167"/>
        <item x="117"/>
        <item x="77"/>
        <item x="390"/>
        <item x="228"/>
        <item x="357"/>
        <item x="409"/>
        <item x="260"/>
        <item x="254"/>
        <item x="188"/>
        <item x="300"/>
        <item x="202"/>
        <item x="107"/>
        <item x="1"/>
        <item x="414"/>
        <item x="380"/>
        <item x="407"/>
        <item x="256"/>
        <item x="426"/>
        <item x="12"/>
        <item x="296"/>
        <item x="90"/>
        <item x="209"/>
        <item x="22"/>
        <item x="204"/>
        <item x="270"/>
        <item x="276"/>
        <item x="175"/>
        <item x="3"/>
        <item x="395"/>
        <item x="190"/>
        <item x="170"/>
        <item x="214"/>
        <item x="375"/>
        <item x="54"/>
        <item x="26"/>
        <item x="75"/>
        <item x="238"/>
        <item x="402"/>
        <item x="132"/>
        <item x="10"/>
        <item x="220"/>
        <item x="230"/>
        <item x="44"/>
        <item x="311"/>
        <item x="261"/>
        <item x="119"/>
        <item x="277"/>
        <item x="60"/>
        <item x="252"/>
        <item x="181"/>
        <item x="203"/>
        <item x="247"/>
        <item x="116"/>
        <item x="71"/>
        <item x="267"/>
        <item x="241"/>
        <item x="281"/>
        <item x="46"/>
        <item x="328"/>
        <item x="284"/>
        <item x="207"/>
        <item x="432"/>
        <item x="388"/>
        <item x="64"/>
        <item x="192"/>
        <item x="143"/>
        <item x="318"/>
        <item x="413"/>
        <item x="30"/>
        <item x="342"/>
        <item x="324"/>
        <item x="212"/>
        <item x="330"/>
        <item x="41"/>
        <item x="165"/>
        <item x="386"/>
        <item x="158"/>
        <item x="259"/>
        <item x="282"/>
        <item x="5"/>
        <item x="368"/>
        <item x="177"/>
        <item x="67"/>
        <item x="101"/>
        <item x="151"/>
        <item x="129"/>
        <item x="305"/>
        <item x="268"/>
        <item x="338"/>
        <item x="56"/>
        <item x="258"/>
        <item x="250"/>
        <item x="362"/>
        <item x="199"/>
        <item x="83"/>
        <item x="428"/>
        <item x="166"/>
        <item x="76"/>
        <item x="249"/>
        <item x="237"/>
        <item x="163"/>
        <item x="211"/>
        <item x="227"/>
        <item x="435"/>
        <item x="112"/>
        <item x="356"/>
        <item x="138"/>
        <item x="408"/>
        <item x="421"/>
        <item x="253"/>
        <item x="334"/>
        <item x="335"/>
        <item x="187"/>
        <item x="103"/>
        <item x="200"/>
        <item x="106"/>
        <item x="283"/>
        <item x="49"/>
        <item x="121"/>
        <item x="320"/>
        <item x="379"/>
        <item x="294"/>
        <item x="17"/>
        <item x="319"/>
        <item x="262"/>
        <item x="37"/>
        <item x="430"/>
        <item x="255"/>
        <item x="140"/>
        <item x="303"/>
        <item x="322"/>
        <item x="425"/>
        <item x="11"/>
        <item x="355"/>
        <item x="152"/>
        <item x="139"/>
        <item x="418"/>
        <item x="263"/>
        <item x="295"/>
        <item x="94"/>
        <item x="16"/>
        <item x="89"/>
        <item x="215"/>
        <item x="108"/>
        <item x="85"/>
        <item x="21"/>
        <item x="169"/>
        <item x="288"/>
        <item x="327"/>
        <item x="384"/>
        <item x="7"/>
        <item x="225"/>
        <item x="97"/>
        <item x="405"/>
        <item x="216"/>
        <item x="275"/>
        <item x="24"/>
        <item x="306"/>
        <item x="34"/>
        <item x="125"/>
        <item x="174"/>
        <item x="2"/>
        <item x="416"/>
        <item x="394"/>
        <item x="6"/>
        <item x="93"/>
        <item x="315"/>
        <item x="221"/>
        <item x="189"/>
        <item x="218"/>
        <item x="239"/>
        <item x="309"/>
        <item x="95"/>
        <item x="109"/>
        <item x="377"/>
        <item x="316"/>
        <item x="161"/>
        <item x="310"/>
        <item x="308"/>
        <item x="223"/>
        <item x="400"/>
        <item x="0"/>
        <item x="374"/>
        <item x="274"/>
        <item x="53"/>
        <item x="229"/>
        <item x="437"/>
        <item x="25"/>
        <item x="74"/>
        <item x="401"/>
        <item x="172"/>
        <item x="131"/>
        <item x="33"/>
        <item x="99"/>
        <item x="9"/>
        <item x="66"/>
        <item x="314"/>
        <item x="145"/>
        <item x="339"/>
        <item x="363"/>
        <item x="82"/>
        <item x="364"/>
        <item x="52"/>
        <item x="118"/>
        <item x="197"/>
        <item x="415"/>
        <item x="359"/>
        <item x="312"/>
        <item x="336"/>
        <item x="353"/>
        <item x="404"/>
        <item x="182"/>
        <item x="246"/>
        <item x="371"/>
        <item x="266"/>
        <item x="313"/>
        <item x="297"/>
        <item x="378"/>
        <item x="32"/>
        <item x="354"/>
        <item x="123"/>
        <item x="91"/>
        <item x="265"/>
        <item x="280"/>
        <item x="240"/>
        <item x="403"/>
        <item x="251"/>
        <item x="79"/>
        <item x="325"/>
        <item x="208"/>
        <item x="51"/>
        <item x="369"/>
        <item x="70"/>
        <item x="19"/>
        <item x="8"/>
        <item x="18"/>
        <item x="96"/>
        <item x="63"/>
        <item x="219"/>
        <item x="194"/>
        <item x="226"/>
        <item x="180"/>
        <item x="15"/>
        <item x="160"/>
        <item x="137"/>
        <item x="84"/>
        <item x="233"/>
        <item x="224"/>
        <item x="23"/>
        <item x="412"/>
        <item x="36"/>
        <item x="124"/>
        <item x="186"/>
        <item x="417"/>
        <item x="29"/>
        <item x="350"/>
        <item x="360"/>
        <item x="323"/>
        <item x="292"/>
        <item x="419"/>
        <item x="47"/>
        <item x="396"/>
        <item x="370"/>
        <item x="88"/>
        <item x="38"/>
        <item x="373"/>
        <item x="244"/>
        <item x="291"/>
        <item x="104"/>
        <item x="149"/>
        <item x="329"/>
        <item x="332"/>
        <item x="40"/>
        <item x="345"/>
        <item x="383"/>
        <item x="45"/>
        <item x="346"/>
        <item x="347"/>
        <item x="146"/>
        <item x="287"/>
        <item x="14"/>
        <item x="164"/>
        <item x="130"/>
        <item x="78"/>
        <item x="434"/>
        <item x="385"/>
        <item x="366"/>
        <item x="348"/>
        <item x="429"/>
        <item x="422"/>
        <item x="243"/>
        <item x="184"/>
        <item x="133"/>
        <item x="234"/>
        <item x="340"/>
        <item x="290"/>
        <item x="39"/>
        <item x="98"/>
        <item x="43"/>
        <item x="136"/>
        <item x="13"/>
        <item x="142"/>
        <item x="179"/>
        <item x="235"/>
        <item x="27"/>
        <item x="115"/>
        <item x="157"/>
        <item x="55"/>
        <item x="232"/>
        <item x="301"/>
        <item x="398"/>
        <item x="436"/>
        <item x="4"/>
        <item x="195"/>
        <item x="59"/>
        <item x="102"/>
        <item x="122"/>
        <item x="176"/>
        <item x="154"/>
        <item x="31"/>
        <item x="153"/>
        <item x="317"/>
        <item x="148"/>
        <item x="105"/>
        <item x="20"/>
        <item x="285"/>
        <item x="326"/>
        <item x="304"/>
        <item x="423"/>
        <item x="433"/>
        <item x="337"/>
        <item x="344"/>
        <item x="58"/>
        <item x="286"/>
        <item x="114"/>
        <item x="361"/>
        <item x="257"/>
        <item x="61"/>
        <item x="110"/>
        <item x="87"/>
        <item x="365"/>
        <item x="35"/>
        <item x="42"/>
        <item x="217"/>
        <item x="245"/>
        <item x="264"/>
        <item x="299"/>
        <item x="406"/>
        <item x="269"/>
        <item x="271"/>
        <item x="147"/>
        <item x="28"/>
        <item x="150"/>
        <item x="272"/>
        <item x="128"/>
        <item x="69"/>
        <item x="72"/>
        <item x="86"/>
        <item x="155"/>
        <item x="367"/>
        <item x="185"/>
        <item x="236"/>
        <item x="144"/>
        <item x="135"/>
        <item x="111"/>
        <item x="100"/>
        <item x="65"/>
        <item x="206"/>
        <item x="213"/>
        <item x="289"/>
        <item x="431"/>
        <item x="222"/>
        <item x="372"/>
        <item x="351"/>
        <item x="411"/>
        <item x="193"/>
        <item x="424"/>
        <item x="62"/>
        <item x="173"/>
        <item x="420"/>
        <item x="242"/>
        <item x="410"/>
        <item x="341"/>
        <item x="393"/>
        <item x="73"/>
        <item x="389"/>
        <item x="183"/>
        <item x="349"/>
        <item x="120"/>
        <item x="178"/>
        <item x="307"/>
        <item x="358"/>
        <item x="376"/>
        <item x="141"/>
        <item x="293"/>
        <item x="134"/>
        <item x="231"/>
        <item x="333"/>
        <item x="92"/>
        <item x="381"/>
        <item x="273"/>
        <item x="392"/>
        <item x="391"/>
        <item x="302"/>
        <item x="387"/>
        <item x="48"/>
        <item x="321"/>
        <item x="196"/>
        <item x="168"/>
        <item x="159"/>
        <item x="298"/>
        <item x="81"/>
        <item x="57"/>
        <item x="198"/>
        <item x="382"/>
        <item x="156"/>
        <item x="162"/>
        <item x="43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11"/>
        <item x="2"/>
        <item x="12"/>
        <item x="6"/>
        <item x="10"/>
        <item x="8"/>
        <item x="4"/>
        <item x="7"/>
        <item x="9"/>
        <item x="5"/>
        <item x="3"/>
        <item t="default"/>
      </items>
    </pivotField>
    <pivotField compact="0" showAll="0">
      <items count="13">
        <item x="1"/>
        <item x="2"/>
        <item x="11"/>
        <item x="9"/>
        <item x="7"/>
        <item x="0"/>
        <item x="4"/>
        <item x="6"/>
        <item x="10"/>
        <item x="5"/>
        <item x="8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6">
        <item x="2"/>
        <item x="11"/>
        <item x="12"/>
        <item x="13"/>
        <item x="14"/>
        <item x="15"/>
        <item x="16"/>
        <item x="17"/>
        <item x="18"/>
        <item x="19"/>
        <item x="20"/>
        <item x="3"/>
        <item x="21"/>
        <item x="22"/>
        <item x="23"/>
        <item x="24"/>
        <item x="25"/>
        <item x="26"/>
        <item x="27"/>
        <item x="28"/>
        <item x="29"/>
        <item x="30"/>
        <item x="4"/>
        <item x="31"/>
        <item x="32"/>
        <item x="5"/>
        <item x="6"/>
        <item x="7"/>
        <item x="8"/>
        <item x="9"/>
        <item x="10"/>
        <item x="33"/>
        <item x="34"/>
        <item x="0"/>
        <item x="1"/>
        <item t="default"/>
      </items>
    </pivotField>
    <pivotField compact="0" showAll="0">
      <items count="551">
        <item x="3"/>
        <item x="5"/>
        <item x="1"/>
        <item x="7"/>
        <item x="11"/>
        <item x="13"/>
        <item x="14"/>
        <item x="15"/>
        <item x="17"/>
        <item x="18"/>
        <item x="19"/>
        <item x="21"/>
        <item x="23"/>
        <item x="25"/>
        <item x="27"/>
        <item x="28"/>
        <item x="29"/>
        <item x="31"/>
        <item x="32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10"/>
        <item x="12"/>
        <item x="16"/>
        <item x="22"/>
        <item x="24"/>
        <item x="26"/>
        <item x="30"/>
        <item x="38"/>
        <item x="6"/>
        <item x="55"/>
        <item x="8"/>
        <item x="20"/>
        <item x="33"/>
        <item x="34"/>
        <item x="35"/>
        <item x="36"/>
        <item x="41"/>
        <item x="53"/>
        <item x="58"/>
        <item x="59"/>
        <item x="60"/>
        <item x="61"/>
        <item x="65"/>
        <item x="63"/>
        <item x="64"/>
        <item x="62"/>
        <item x="37"/>
        <item x="56"/>
        <item x="67"/>
        <item x="69"/>
        <item x="71"/>
        <item x="75"/>
        <item x="80"/>
        <item x="81"/>
        <item x="74"/>
        <item x="87"/>
        <item x="86"/>
        <item x="76"/>
        <item x="66"/>
        <item x="70"/>
        <item x="72"/>
        <item x="77"/>
        <item x="78"/>
        <item x="84"/>
        <item x="85"/>
        <item x="83"/>
        <item x="89"/>
        <item x="68"/>
        <item x="73"/>
        <item x="90"/>
        <item x="82"/>
        <item x="79"/>
        <item x="88"/>
        <item x="92"/>
        <item x="91"/>
        <item x="93"/>
        <item x="94"/>
        <item x="95"/>
        <item x="98"/>
        <item x="99"/>
        <item x="100"/>
        <item x="101"/>
        <item x="57"/>
        <item x="97"/>
        <item x="102"/>
        <item x="105"/>
        <item x="107"/>
        <item x="108"/>
        <item x="109"/>
        <item x="106"/>
        <item x="110"/>
        <item x="111"/>
        <item x="103"/>
        <item x="113"/>
        <item x="114"/>
        <item x="112"/>
        <item x="116"/>
        <item x="118"/>
        <item x="115"/>
        <item x="119"/>
        <item x="120"/>
        <item x="122"/>
        <item x="123"/>
        <item x="121"/>
        <item x="128"/>
        <item x="126"/>
        <item x="129"/>
        <item x="124"/>
        <item x="130"/>
        <item x="117"/>
        <item x="127"/>
        <item x="134"/>
        <item x="135"/>
        <item x="136"/>
        <item x="137"/>
        <item x="138"/>
        <item x="139"/>
        <item x="104"/>
        <item x="131"/>
        <item x="140"/>
        <item x="132"/>
        <item x="125"/>
        <item x="143"/>
        <item x="145"/>
        <item x="147"/>
        <item x="141"/>
        <item x="146"/>
        <item x="150"/>
        <item x="151"/>
        <item x="149"/>
        <item x="152"/>
        <item x="153"/>
        <item x="154"/>
        <item x="156"/>
        <item x="155"/>
        <item x="144"/>
        <item x="157"/>
        <item x="158"/>
        <item x="148"/>
        <item x="160"/>
        <item x="159"/>
        <item x="161"/>
        <item x="162"/>
        <item x="163"/>
        <item x="164"/>
        <item x="166"/>
        <item x="167"/>
        <item x="170"/>
        <item x="169"/>
        <item x="168"/>
        <item x="172"/>
        <item x="171"/>
        <item x="174"/>
        <item x="175"/>
        <item x="176"/>
        <item x="177"/>
        <item x="179"/>
        <item x="180"/>
        <item x="181"/>
        <item x="183"/>
        <item x="184"/>
        <item x="178"/>
        <item x="182"/>
        <item x="185"/>
        <item x="186"/>
        <item x="187"/>
        <item x="188"/>
        <item x="189"/>
        <item x="190"/>
        <item x="191"/>
        <item x="165"/>
        <item x="196"/>
        <item x="133"/>
        <item x="192"/>
        <item x="193"/>
        <item x="195"/>
        <item x="198"/>
        <item x="199"/>
        <item x="200"/>
        <item x="202"/>
        <item x="206"/>
        <item x="207"/>
        <item x="208"/>
        <item x="204"/>
        <item x="203"/>
        <item x="210"/>
        <item x="209"/>
        <item x="211"/>
        <item x="212"/>
        <item x="0"/>
        <item x="2"/>
        <item x="4"/>
        <item x="201"/>
        <item x="205"/>
        <item x="215"/>
        <item x="214"/>
        <item x="221"/>
        <item x="224"/>
        <item x="213"/>
        <item x="217"/>
        <item x="219"/>
        <item x="225"/>
        <item x="218"/>
        <item x="220"/>
        <item x="227"/>
        <item x="228"/>
        <item x="216"/>
        <item x="226"/>
        <item x="229"/>
        <item x="230"/>
        <item x="231"/>
        <item x="223"/>
        <item x="234"/>
        <item x="236"/>
        <item x="238"/>
        <item x="233"/>
        <item x="240"/>
        <item x="242"/>
        <item x="244"/>
        <item x="245"/>
        <item x="239"/>
        <item x="247"/>
        <item x="248"/>
        <item x="250"/>
        <item x="252"/>
        <item x="256"/>
        <item x="257"/>
        <item x="258"/>
        <item x="259"/>
        <item x="260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4"/>
        <item x="275"/>
        <item x="277"/>
        <item x="278"/>
        <item x="281"/>
        <item x="283"/>
        <item x="284"/>
        <item x="235"/>
        <item x="237"/>
        <item x="246"/>
        <item x="251"/>
        <item x="255"/>
        <item x="194"/>
        <item x="243"/>
        <item x="265"/>
        <item x="276"/>
        <item x="282"/>
        <item x="232"/>
        <item x="249"/>
        <item x="253"/>
        <item x="254"/>
        <item x="261"/>
        <item x="280"/>
        <item x="285"/>
        <item x="287"/>
        <item x="289"/>
        <item x="292"/>
        <item x="286"/>
        <item x="290"/>
        <item x="291"/>
        <item x="222"/>
        <item x="298"/>
        <item x="299"/>
        <item x="300"/>
        <item x="301"/>
        <item x="302"/>
        <item x="303"/>
        <item x="279"/>
        <item x="293"/>
        <item x="294"/>
        <item x="295"/>
        <item x="296"/>
        <item x="297"/>
        <item x="305"/>
        <item x="307"/>
        <item x="308"/>
        <item x="309"/>
        <item x="310"/>
        <item x="311"/>
        <item x="312"/>
        <item x="315"/>
        <item x="288"/>
        <item x="316"/>
        <item x="318"/>
        <item x="313"/>
        <item x="319"/>
        <item x="321"/>
        <item x="320"/>
        <item x="322"/>
        <item x="323"/>
        <item x="324"/>
        <item x="326"/>
        <item x="325"/>
        <item x="327"/>
        <item x="328"/>
        <item x="329"/>
        <item x="331"/>
        <item x="332"/>
        <item x="306"/>
        <item x="314"/>
        <item x="317"/>
        <item x="330"/>
        <item x="333"/>
        <item x="334"/>
        <item x="335"/>
        <item x="336"/>
        <item x="338"/>
        <item x="341"/>
        <item x="342"/>
        <item x="339"/>
        <item x="340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173"/>
        <item x="197"/>
        <item x="241"/>
        <item x="356"/>
        <item x="337"/>
        <item x="353"/>
        <item x="358"/>
        <item x="359"/>
        <item x="361"/>
        <item x="355"/>
        <item x="360"/>
        <item x="363"/>
        <item x="364"/>
        <item x="365"/>
        <item x="362"/>
        <item x="366"/>
        <item x="367"/>
        <item x="369"/>
        <item x="368"/>
        <item x="370"/>
        <item x="371"/>
        <item x="372"/>
        <item x="375"/>
        <item x="377"/>
        <item x="376"/>
        <item x="304"/>
        <item x="373"/>
        <item x="378"/>
        <item x="379"/>
        <item x="380"/>
        <item x="382"/>
        <item x="383"/>
        <item x="385"/>
        <item x="386"/>
        <item x="388"/>
        <item x="389"/>
        <item x="390"/>
        <item x="391"/>
        <item x="393"/>
        <item x="398"/>
        <item x="400"/>
        <item x="401"/>
        <item x="403"/>
        <item x="404"/>
        <item x="405"/>
        <item x="408"/>
        <item x="409"/>
        <item x="411"/>
        <item x="412"/>
        <item x="413"/>
        <item x="414"/>
        <item x="407"/>
        <item x="416"/>
        <item x="420"/>
        <item x="423"/>
        <item x="392"/>
        <item x="402"/>
        <item x="406"/>
        <item x="410"/>
        <item x="381"/>
        <item x="384"/>
        <item x="387"/>
        <item x="394"/>
        <item x="395"/>
        <item x="415"/>
        <item x="425"/>
        <item x="417"/>
        <item x="418"/>
        <item x="419"/>
        <item x="421"/>
        <item x="422"/>
        <item x="399"/>
        <item x="424"/>
        <item x="426"/>
        <item x="397"/>
        <item x="427"/>
        <item x="429"/>
        <item x="430"/>
        <item x="431"/>
        <item x="433"/>
        <item x="436"/>
        <item x="437"/>
        <item x="438"/>
        <item x="439"/>
        <item x="440"/>
        <item x="396"/>
        <item x="428"/>
        <item x="434"/>
        <item x="435"/>
        <item x="374"/>
        <item x="357"/>
        <item x="441"/>
        <item x="442"/>
        <item x="444"/>
        <item x="445"/>
        <item x="446"/>
        <item x="448"/>
        <item x="447"/>
        <item x="450"/>
        <item x="451"/>
        <item x="453"/>
        <item x="454"/>
        <item x="96"/>
        <item x="455"/>
        <item x="456"/>
        <item x="458"/>
        <item x="460"/>
        <item x="449"/>
        <item x="452"/>
        <item x="457"/>
        <item x="459"/>
        <item x="461"/>
        <item x="462"/>
        <item x="463"/>
        <item x="464"/>
        <item x="465"/>
        <item x="467"/>
        <item x="468"/>
        <item x="470"/>
        <item x="471"/>
        <item x="472"/>
        <item x="474"/>
        <item x="466"/>
        <item x="476"/>
        <item x="477"/>
        <item x="142"/>
        <item x="478"/>
        <item x="479"/>
        <item x="480"/>
        <item x="482"/>
        <item x="483"/>
        <item x="484"/>
        <item x="485"/>
        <item x="487"/>
        <item x="488"/>
        <item x="486"/>
        <item x="489"/>
        <item x="492"/>
        <item x="473"/>
        <item x="475"/>
        <item x="481"/>
        <item x="469"/>
        <item x="443"/>
        <item x="493"/>
        <item x="495"/>
        <item x="497"/>
        <item x="498"/>
        <item x="499"/>
        <item x="501"/>
        <item x="502"/>
        <item x="490"/>
        <item x="491"/>
        <item x="500"/>
        <item x="505"/>
        <item x="496"/>
        <item x="507"/>
        <item x="506"/>
        <item x="508"/>
        <item x="510"/>
        <item x="512"/>
        <item x="509"/>
        <item x="511"/>
        <item x="515"/>
        <item x="516"/>
        <item x="517"/>
        <item x="519"/>
        <item x="520"/>
        <item x="521"/>
        <item x="504"/>
        <item x="514"/>
        <item x="524"/>
        <item x="527"/>
        <item x="503"/>
        <item x="513"/>
        <item x="518"/>
        <item x="522"/>
        <item x="523"/>
        <item x="525"/>
        <item x="526"/>
        <item x="528"/>
        <item x="529"/>
        <item x="530"/>
        <item x="531"/>
        <item x="532"/>
        <item x="533"/>
        <item x="535"/>
        <item x="534"/>
        <item x="536"/>
        <item x="538"/>
        <item x="537"/>
        <item x="539"/>
        <item x="540"/>
        <item x="541"/>
        <item x="432"/>
        <item x="543"/>
        <item x="544"/>
        <item x="494"/>
        <item x="542"/>
        <item x="545"/>
        <item x="546"/>
        <item x="547"/>
        <item x="548"/>
        <item x="549"/>
        <item x="9"/>
        <item t="default"/>
      </items>
    </pivotField>
    <pivotField compact="0" showAll="0">
      <items count="552">
        <item x="0"/>
        <item x="1"/>
        <item x="2"/>
        <item x="3"/>
        <item x="4"/>
        <item x="5"/>
        <item x="10"/>
        <item x="11"/>
        <item x="12"/>
        <item x="13"/>
        <item x="14"/>
        <item x="15"/>
        <item x="25"/>
        <item x="21"/>
        <item x="19"/>
        <item x="18"/>
        <item x="22"/>
        <item x="23"/>
        <item x="17"/>
        <item x="16"/>
        <item x="28"/>
        <item x="29"/>
        <item x="30"/>
        <item x="31"/>
        <item x="32"/>
        <item x="38"/>
        <item x="39"/>
        <item x="26"/>
        <item x="27"/>
        <item x="40"/>
        <item x="43"/>
        <item x="44"/>
        <item x="45"/>
        <item x="47"/>
        <item x="46"/>
        <item x="48"/>
        <item x="49"/>
        <item x="50"/>
        <item x="24"/>
        <item x="6"/>
        <item x="7"/>
        <item x="8"/>
        <item x="20"/>
        <item x="33"/>
        <item x="34"/>
        <item x="35"/>
        <item x="36"/>
        <item x="41"/>
        <item x="42"/>
        <item x="51"/>
        <item x="52"/>
        <item x="53"/>
        <item x="54"/>
        <item x="55"/>
        <item x="58"/>
        <item x="59"/>
        <item x="63"/>
        <item x="64"/>
        <item x="65"/>
        <item x="60"/>
        <item x="61"/>
        <item x="62"/>
        <item x="37"/>
        <item x="56"/>
        <item x="75"/>
        <item x="76"/>
        <item x="66"/>
        <item x="67"/>
        <item x="69"/>
        <item x="70"/>
        <item x="71"/>
        <item x="72"/>
        <item x="74"/>
        <item x="77"/>
        <item x="78"/>
        <item x="81"/>
        <item x="84"/>
        <item x="85"/>
        <item x="86"/>
        <item x="87"/>
        <item x="82"/>
        <item x="83"/>
        <item x="89"/>
        <item x="68"/>
        <item x="73"/>
        <item x="90"/>
        <item x="79"/>
        <item x="80"/>
        <item x="88"/>
        <item x="92"/>
        <item x="91"/>
        <item x="94"/>
        <item x="93"/>
        <item x="95"/>
        <item x="99"/>
        <item x="100"/>
        <item x="101"/>
        <item x="57"/>
        <item x="97"/>
        <item x="98"/>
        <item x="102"/>
        <item x="105"/>
        <item x="108"/>
        <item x="109"/>
        <item x="106"/>
        <item x="107"/>
        <item x="110"/>
        <item x="111"/>
        <item x="103"/>
        <item x="114"/>
        <item x="112"/>
        <item x="113"/>
        <item x="116"/>
        <item x="115"/>
        <item x="119"/>
        <item x="120"/>
        <item x="121"/>
        <item x="122"/>
        <item x="123"/>
        <item x="129"/>
        <item x="125"/>
        <item x="126"/>
        <item x="124"/>
        <item x="117"/>
        <item x="118"/>
        <item x="127"/>
        <item x="128"/>
        <item x="130"/>
        <item x="134"/>
        <item x="135"/>
        <item x="136"/>
        <item x="137"/>
        <item x="138"/>
        <item x="139"/>
        <item x="104"/>
        <item x="131"/>
        <item x="132"/>
        <item x="140"/>
        <item x="141"/>
        <item x="145"/>
        <item x="146"/>
        <item x="147"/>
        <item x="143"/>
        <item x="149"/>
        <item x="150"/>
        <item x="151"/>
        <item x="152"/>
        <item x="153"/>
        <item x="154"/>
        <item x="155"/>
        <item x="156"/>
        <item x="157"/>
        <item x="144"/>
        <item x="148"/>
        <item x="159"/>
        <item x="160"/>
        <item x="161"/>
        <item x="158"/>
        <item x="162"/>
        <item x="163"/>
        <item x="164"/>
        <item x="167"/>
        <item x="169"/>
        <item x="170"/>
        <item x="172"/>
        <item x="168"/>
        <item x="171"/>
        <item x="165"/>
        <item x="166"/>
        <item x="174"/>
        <item x="175"/>
        <item x="178"/>
        <item x="179"/>
        <item x="180"/>
        <item x="181"/>
        <item x="182"/>
        <item x="183"/>
        <item x="184"/>
        <item x="185"/>
        <item x="186"/>
        <item x="176"/>
        <item x="177"/>
        <item x="187"/>
        <item x="188"/>
        <item x="189"/>
        <item x="190"/>
        <item x="133"/>
        <item x="191"/>
        <item x="192"/>
        <item x="193"/>
        <item x="195"/>
        <item x="196"/>
        <item x="199"/>
        <item x="198"/>
        <item x="200"/>
        <item x="201"/>
        <item x="202"/>
        <item x="205"/>
        <item x="206"/>
        <item x="207"/>
        <item x="208"/>
        <item x="203"/>
        <item x="204"/>
        <item x="210"/>
        <item x="209"/>
        <item x="211"/>
        <item x="212"/>
        <item x="213"/>
        <item x="214"/>
        <item x="215"/>
        <item x="217"/>
        <item x="219"/>
        <item x="221"/>
        <item x="224"/>
        <item x="225"/>
        <item x="218"/>
        <item x="220"/>
        <item x="216"/>
        <item x="226"/>
        <item x="227"/>
        <item x="228"/>
        <item x="229"/>
        <item x="230"/>
        <item x="231"/>
        <item x="222"/>
        <item x="223"/>
        <item x="233"/>
        <item x="235"/>
        <item x="236"/>
        <item x="234"/>
        <item x="237"/>
        <item x="238"/>
        <item x="240"/>
        <item x="245"/>
        <item x="242"/>
        <item x="244"/>
        <item x="239"/>
        <item x="247"/>
        <item x="252"/>
        <item x="251"/>
        <item x="248"/>
        <item x="257"/>
        <item x="258"/>
        <item x="260"/>
        <item x="262"/>
        <item x="255"/>
        <item x="256"/>
        <item x="259"/>
        <item x="264"/>
        <item x="266"/>
        <item x="263"/>
        <item x="267"/>
        <item x="268"/>
        <item x="269"/>
        <item x="270"/>
        <item x="271"/>
        <item x="274"/>
        <item x="275"/>
        <item x="273"/>
        <item x="272"/>
        <item x="277"/>
        <item x="278"/>
        <item x="281"/>
        <item x="283"/>
        <item x="282"/>
        <item x="284"/>
        <item x="246"/>
        <item x="194"/>
        <item x="243"/>
        <item x="265"/>
        <item x="276"/>
        <item x="232"/>
        <item x="249"/>
        <item x="250"/>
        <item x="253"/>
        <item x="254"/>
        <item x="261"/>
        <item x="280"/>
        <item x="285"/>
        <item x="286"/>
        <item x="287"/>
        <item x="290"/>
        <item x="291"/>
        <item x="292"/>
        <item x="288"/>
        <item x="289"/>
        <item x="299"/>
        <item x="300"/>
        <item x="301"/>
        <item x="303"/>
        <item x="279"/>
        <item x="293"/>
        <item x="294"/>
        <item x="295"/>
        <item x="296"/>
        <item x="297"/>
        <item x="298"/>
        <item x="302"/>
        <item x="305"/>
        <item x="308"/>
        <item x="309"/>
        <item x="310"/>
        <item x="311"/>
        <item x="312"/>
        <item x="313"/>
        <item x="316"/>
        <item x="319"/>
        <item x="306"/>
        <item x="307"/>
        <item x="314"/>
        <item x="315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4"/>
        <item x="336"/>
        <item x="337"/>
        <item x="338"/>
        <item x="339"/>
        <item x="340"/>
        <item x="342"/>
        <item x="341"/>
        <item x="343"/>
        <item x="344"/>
        <item x="345"/>
        <item x="346"/>
        <item x="347"/>
        <item x="348"/>
        <item x="349"/>
        <item x="350"/>
        <item x="351"/>
        <item x="173"/>
        <item x="197"/>
        <item x="241"/>
        <item x="352"/>
        <item x="353"/>
        <item x="354"/>
        <item x="356"/>
        <item x="358"/>
        <item x="359"/>
        <item x="361"/>
        <item x="355"/>
        <item x="360"/>
        <item x="362"/>
        <item x="363"/>
        <item x="364"/>
        <item x="365"/>
        <item x="367"/>
        <item x="368"/>
        <item x="369"/>
        <item x="366"/>
        <item x="370"/>
        <item x="371"/>
        <item x="372"/>
        <item x="375"/>
        <item x="376"/>
        <item x="304"/>
        <item x="373"/>
        <item x="377"/>
        <item x="378"/>
        <item x="383"/>
        <item x="379"/>
        <item x="380"/>
        <item x="382"/>
        <item x="386"/>
        <item x="388"/>
        <item x="389"/>
        <item x="390"/>
        <item x="391"/>
        <item x="393"/>
        <item x="398"/>
        <item x="400"/>
        <item x="402"/>
        <item x="403"/>
        <item x="405"/>
        <item x="408"/>
        <item x="409"/>
        <item x="412"/>
        <item x="413"/>
        <item x="392"/>
        <item x="406"/>
        <item x="407"/>
        <item x="410"/>
        <item x="411"/>
        <item x="381"/>
        <item x="384"/>
        <item x="385"/>
        <item x="387"/>
        <item x="394"/>
        <item x="395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399"/>
        <item x="401"/>
        <item x="404"/>
        <item x="425"/>
        <item x="426"/>
        <item x="427"/>
        <item x="396"/>
        <item x="397"/>
        <item x="428"/>
        <item x="429"/>
        <item x="430"/>
        <item x="431"/>
        <item x="432"/>
        <item x="434"/>
        <item x="435"/>
        <item x="436"/>
        <item x="437"/>
        <item x="438"/>
        <item x="440"/>
        <item x="439"/>
        <item x="374"/>
        <item x="442"/>
        <item x="357"/>
        <item x="441"/>
        <item x="443"/>
        <item x="445"/>
        <item x="446"/>
        <item x="447"/>
        <item x="448"/>
        <item x="449"/>
        <item x="452"/>
        <item x="454"/>
        <item x="455"/>
        <item x="96"/>
        <item x="456"/>
        <item x="450"/>
        <item x="451"/>
        <item x="453"/>
        <item x="457"/>
        <item x="458"/>
        <item x="459"/>
        <item x="461"/>
        <item x="460"/>
        <item x="462"/>
        <item x="463"/>
        <item x="464"/>
        <item x="465"/>
        <item x="466"/>
        <item x="467"/>
        <item x="468"/>
        <item x="469"/>
        <item x="472"/>
        <item x="473"/>
        <item x="470"/>
        <item x="471"/>
        <item x="142"/>
        <item x="478"/>
        <item x="479"/>
        <item x="480"/>
        <item x="481"/>
        <item x="484"/>
        <item x="486"/>
        <item x="487"/>
        <item x="489"/>
        <item x="485"/>
        <item x="490"/>
        <item x="474"/>
        <item x="475"/>
        <item x="476"/>
        <item x="477"/>
        <item x="482"/>
        <item x="483"/>
        <item x="493"/>
        <item x="444"/>
        <item x="494"/>
        <item x="496"/>
        <item x="497"/>
        <item x="491"/>
        <item x="492"/>
        <item x="501"/>
        <item x="502"/>
        <item x="503"/>
        <item x="498"/>
        <item x="500"/>
        <item x="506"/>
        <item x="499"/>
        <item x="507"/>
        <item x="509"/>
        <item x="508"/>
        <item x="510"/>
        <item x="511"/>
        <item x="512"/>
        <item x="513"/>
        <item x="516"/>
        <item x="517"/>
        <item x="488"/>
        <item x="518"/>
        <item x="504"/>
        <item x="505"/>
        <item x="514"/>
        <item x="515"/>
        <item x="519"/>
        <item x="520"/>
        <item x="521"/>
        <item x="522"/>
        <item x="523"/>
        <item x="524"/>
        <item x="526"/>
        <item x="527"/>
        <item x="528"/>
        <item x="525"/>
        <item x="529"/>
        <item x="530"/>
        <item x="531"/>
        <item x="532"/>
        <item x="533"/>
        <item x="534"/>
        <item x="535"/>
        <item x="536"/>
        <item x="537"/>
        <item x="538"/>
        <item x="540"/>
        <item x="541"/>
        <item x="539"/>
        <item x="542"/>
        <item x="433"/>
        <item x="495"/>
        <item x="543"/>
        <item x="544"/>
        <item x="545"/>
        <item x="546"/>
        <item x="547"/>
        <item x="548"/>
        <item x="549"/>
        <item x="550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04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x="40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24">
        <item x="62"/>
        <item x="84"/>
        <item x="293"/>
        <item x="156"/>
        <item x="133"/>
        <item x="261"/>
        <item x="95"/>
        <item x="314"/>
        <item x="252"/>
        <item x="185"/>
        <item x="51"/>
        <item x="36"/>
        <item x="242"/>
        <item x="152"/>
        <item x="130"/>
        <item x="88"/>
        <item x="59"/>
        <item x="174"/>
        <item x="265"/>
        <item x="302"/>
        <item x="190"/>
        <item x="146"/>
        <item x="153"/>
        <item x="78"/>
        <item x="1"/>
        <item x="305"/>
        <item x="284"/>
        <item x="192"/>
        <item x="313"/>
        <item x="117"/>
        <item x="215"/>
        <item x="69"/>
        <item x="160"/>
        <item x="17"/>
        <item x="202"/>
        <item x="155"/>
        <item x="205"/>
        <item x="136"/>
        <item x="3"/>
        <item x="291"/>
        <item x="148"/>
        <item x="164"/>
        <item x="132"/>
        <item x="280"/>
        <item x="40"/>
        <item x="21"/>
        <item x="57"/>
        <item x="179"/>
        <item x="296"/>
        <item x="98"/>
        <item x="9"/>
        <item x="168"/>
        <item x="31"/>
        <item x="223"/>
        <item x="90"/>
        <item x="44"/>
        <item x="188"/>
        <item x="154"/>
        <item x="140"/>
        <item x="87"/>
        <item x="54"/>
        <item x="199"/>
        <item x="207"/>
        <item x="33"/>
        <item x="240"/>
        <item x="158"/>
        <item x="317"/>
        <item x="289"/>
        <item x="47"/>
        <item x="149"/>
        <item x="109"/>
        <item x="230"/>
        <item x="304"/>
        <item x="25"/>
        <item x="235"/>
        <item x="251"/>
        <item x="162"/>
        <item x="28"/>
        <item x="128"/>
        <item x="288"/>
        <item x="123"/>
        <item x="208"/>
        <item x="5"/>
        <item x="274"/>
        <item x="138"/>
        <item x="50"/>
        <item x="119"/>
        <item x="115"/>
        <item x="238"/>
        <item x="219"/>
        <item x="200"/>
        <item x="248"/>
        <item x="186"/>
        <item x="270"/>
        <item x="63"/>
        <item x="315"/>
        <item x="129"/>
        <item x="58"/>
        <item x="178"/>
        <item x="126"/>
        <item x="161"/>
        <item x="173"/>
        <item x="320"/>
        <item x="83"/>
        <item x="104"/>
        <item x="264"/>
        <item x="301"/>
        <item x="244"/>
        <item x="245"/>
        <item x="189"/>
        <item x="145"/>
        <item x="74"/>
        <item x="151"/>
        <item x="35"/>
        <item x="77"/>
        <item x="92"/>
        <item x="232"/>
        <item x="283"/>
        <item x="213"/>
        <item x="13"/>
        <item x="231"/>
        <item x="194"/>
        <item x="106"/>
        <item x="191"/>
        <item x="312"/>
        <item x="116"/>
        <item x="105"/>
        <item x="195"/>
        <item x="214"/>
        <item x="68"/>
        <item x="79"/>
        <item x="65"/>
        <item x="16"/>
        <item x="131"/>
        <item x="210"/>
        <item x="239"/>
        <item x="286"/>
        <item x="172"/>
        <item x="299"/>
        <item x="165"/>
        <item x="19"/>
        <item x="220"/>
        <item x="204"/>
        <item x="94"/>
        <item x="135"/>
        <item x="2"/>
        <item x="307"/>
        <item x="290"/>
        <item x="227"/>
        <item x="6"/>
        <item x="169"/>
        <item x="147"/>
        <item x="166"/>
        <item x="180"/>
        <item x="80"/>
        <item x="281"/>
        <item x="228"/>
        <item x="125"/>
        <item x="170"/>
        <item x="294"/>
        <item x="0"/>
        <item x="279"/>
        <item x="39"/>
        <item x="20"/>
        <item x="56"/>
        <item x="295"/>
        <item x="134"/>
        <item x="97"/>
        <item x="49"/>
        <item x="226"/>
        <item x="271"/>
        <item x="8"/>
        <item x="111"/>
        <item x="272"/>
        <item x="38"/>
        <item x="89"/>
        <item x="267"/>
        <item x="306"/>
        <item x="224"/>
        <item x="246"/>
        <item x="262"/>
        <item x="298"/>
        <item x="141"/>
        <item x="184"/>
        <item x="276"/>
        <item x="225"/>
        <item x="198"/>
        <item x="216"/>
        <item x="282"/>
        <item x="263"/>
        <item x="70"/>
        <item x="197"/>
        <item x="297"/>
        <item x="206"/>
        <item x="187"/>
        <item x="61"/>
        <item x="236"/>
        <item x="37"/>
        <item x="159"/>
        <item x="53"/>
        <item x="14"/>
        <item x="167"/>
        <item x="46"/>
        <item x="12"/>
        <item x="124"/>
        <item x="103"/>
        <item x="64"/>
        <item x="171"/>
        <item x="18"/>
        <item x="144"/>
        <item x="303"/>
        <item x="308"/>
        <item x="259"/>
        <item x="24"/>
        <item x="268"/>
        <item x="234"/>
        <item x="212"/>
        <item x="309"/>
        <item x="34"/>
        <item x="275"/>
        <item x="67"/>
        <item x="278"/>
        <item x="75"/>
        <item x="113"/>
        <item x="243"/>
        <item x="32"/>
        <item x="241"/>
        <item x="255"/>
        <item x="254"/>
        <item x="27"/>
        <item x="256"/>
        <item x="11"/>
        <item x="127"/>
        <item x="96"/>
        <item x="60"/>
        <item x="319"/>
        <item x="287"/>
        <item x="257"/>
        <item x="316"/>
        <item x="310"/>
        <item x="182"/>
        <item x="99"/>
        <item x="249"/>
        <item x="211"/>
        <item x="72"/>
        <item x="30"/>
        <item x="102"/>
        <item x="10"/>
        <item x="108"/>
        <item x="176"/>
        <item x="22"/>
        <item x="86"/>
        <item x="122"/>
        <item x="175"/>
        <item x="217"/>
        <item x="292"/>
        <item x="321"/>
        <item x="43"/>
        <item x="150"/>
        <item x="4"/>
        <item x="73"/>
        <item x="93"/>
        <item x="137"/>
        <item x="120"/>
        <item x="26"/>
        <item x="118"/>
        <item x="229"/>
        <item x="112"/>
        <item x="76"/>
        <item x="15"/>
        <item x="237"/>
        <item x="218"/>
        <item x="318"/>
        <item x="247"/>
        <item x="253"/>
        <item x="42"/>
        <item x="209"/>
        <item x="85"/>
        <item x="193"/>
        <item x="81"/>
        <item x="45"/>
        <item x="269"/>
        <item x="29"/>
        <item x="183"/>
        <item x="196"/>
        <item x="300"/>
        <item x="201"/>
        <item x="23"/>
        <item x="114"/>
        <item x="203"/>
        <item x="52"/>
        <item x="55"/>
        <item x="66"/>
        <item x="121"/>
        <item x="273"/>
        <item x="143"/>
        <item x="177"/>
        <item x="110"/>
        <item x="101"/>
        <item x="82"/>
        <item x="48"/>
        <item x="157"/>
        <item x="163"/>
        <item x="222"/>
        <item x="277"/>
        <item x="260"/>
        <item x="311"/>
        <item x="181"/>
        <item x="250"/>
        <item x="142"/>
        <item x="258"/>
        <item x="91"/>
        <item x="139"/>
        <item x="221"/>
        <item x="266"/>
        <item x="107"/>
        <item x="100"/>
        <item x="71"/>
        <item x="285"/>
        <item x="233"/>
        <item x="41"/>
        <item x="322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3">
        <item x="1"/>
        <item x="9"/>
        <item x="10"/>
        <item x="12"/>
        <item x="11"/>
        <item x="13"/>
        <item x="14"/>
        <item x="15"/>
        <item x="16"/>
        <item x="18"/>
        <item x="19"/>
        <item x="2"/>
        <item x="17"/>
        <item x="20"/>
        <item x="21"/>
        <item x="22"/>
        <item x="23"/>
        <item x="24"/>
        <item x="25"/>
        <item x="26"/>
        <item x="27"/>
        <item x="28"/>
        <item x="3"/>
        <item x="29"/>
        <item x="30"/>
        <item x="4"/>
        <item x="5"/>
        <item x="6"/>
        <item x="7"/>
        <item x="8"/>
        <item x="0"/>
        <item x="3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5">
        <item x="40"/>
        <item x="47"/>
        <item x="25"/>
        <item x="32"/>
        <item x="94"/>
        <item x="69"/>
        <item x="43"/>
        <item x="4"/>
        <item x="22"/>
        <item x="78"/>
        <item x="70"/>
        <item x="84"/>
        <item x="19"/>
        <item x="33"/>
        <item x="88"/>
        <item x="30"/>
        <item x="38"/>
        <item x="71"/>
        <item x="60"/>
        <item x="20"/>
        <item x="68"/>
        <item x="6"/>
        <item x="10"/>
        <item x="61"/>
        <item x="95"/>
        <item x="8"/>
        <item x="42"/>
        <item x="29"/>
        <item x="34"/>
        <item x="1"/>
        <item x="23"/>
        <item x="86"/>
        <item x="39"/>
        <item x="63"/>
        <item x="11"/>
        <item x="5"/>
        <item x="101"/>
        <item x="81"/>
        <item x="66"/>
        <item x="90"/>
        <item x="21"/>
        <item x="50"/>
        <item x="24"/>
        <item x="41"/>
        <item x="51"/>
        <item x="99"/>
        <item x="36"/>
        <item x="96"/>
        <item x="46"/>
        <item x="75"/>
        <item x="52"/>
        <item x="54"/>
        <item x="87"/>
        <item x="65"/>
        <item x="55"/>
        <item x="18"/>
        <item x="49"/>
        <item x="0"/>
        <item x="13"/>
        <item x="17"/>
        <item x="57"/>
        <item x="67"/>
        <item x="74"/>
        <item x="64"/>
        <item x="35"/>
        <item x="72"/>
        <item x="100"/>
        <item x="76"/>
        <item x="59"/>
        <item x="7"/>
        <item x="83"/>
        <item x="98"/>
        <item x="53"/>
        <item x="77"/>
        <item x="89"/>
        <item x="28"/>
        <item x="91"/>
        <item x="73"/>
        <item x="97"/>
        <item x="2"/>
        <item x="45"/>
        <item x="92"/>
        <item x="103"/>
        <item x="80"/>
        <item x="31"/>
        <item x="82"/>
        <item x="14"/>
        <item x="27"/>
        <item x="44"/>
        <item x="102"/>
        <item x="26"/>
        <item x="93"/>
        <item x="58"/>
        <item x="15"/>
        <item x="12"/>
        <item x="37"/>
        <item x="79"/>
        <item x="9"/>
        <item x="48"/>
        <item x="16"/>
        <item x="56"/>
        <item x="62"/>
        <item x="85"/>
        <item x="3"/>
        <item t="default"/>
      </items>
    </pivotField>
    <pivotField compact="0" showAll="0">
      <items count="105">
        <item x="6"/>
        <item x="62"/>
        <item x="31"/>
        <item x="10"/>
        <item x="93"/>
        <item x="81"/>
        <item x="9"/>
        <item x="51"/>
        <item x="24"/>
        <item x="99"/>
        <item x="41"/>
        <item x="8"/>
        <item x="86"/>
        <item x="69"/>
        <item x="68"/>
        <item x="5"/>
        <item x="11"/>
        <item x="29"/>
        <item x="39"/>
        <item x="23"/>
        <item x="1"/>
        <item x="43"/>
        <item x="34"/>
        <item x="70"/>
        <item x="101"/>
        <item x="63"/>
        <item x="42"/>
        <item x="61"/>
        <item x="95"/>
        <item x="71"/>
        <item x="30"/>
        <item x="60"/>
        <item x="38"/>
        <item x="20"/>
        <item x="75"/>
        <item x="16"/>
        <item x="56"/>
        <item x="85"/>
        <item x="27"/>
        <item x="14"/>
        <item x="37"/>
        <item x="44"/>
        <item x="50"/>
        <item x="103"/>
        <item x="66"/>
        <item x="90"/>
        <item x="88"/>
        <item x="32"/>
        <item x="94"/>
        <item x="65"/>
        <item x="84"/>
        <item x="33"/>
        <item x="25"/>
        <item x="78"/>
        <item x="4"/>
        <item x="19"/>
        <item x="22"/>
        <item x="87"/>
        <item x="48"/>
        <item x="92"/>
        <item x="76"/>
        <item x="59"/>
        <item x="73"/>
        <item x="67"/>
        <item x="91"/>
        <item x="83"/>
        <item x="0"/>
        <item x="13"/>
        <item x="35"/>
        <item x="47"/>
        <item x="98"/>
        <item x="18"/>
        <item x="49"/>
        <item x="72"/>
        <item x="57"/>
        <item x="17"/>
        <item x="100"/>
        <item x="28"/>
        <item x="74"/>
        <item x="64"/>
        <item x="7"/>
        <item x="80"/>
        <item x="53"/>
        <item x="89"/>
        <item x="77"/>
        <item x="52"/>
        <item x="54"/>
        <item x="40"/>
        <item x="55"/>
        <item x="21"/>
        <item x="36"/>
        <item x="58"/>
        <item x="26"/>
        <item x="12"/>
        <item x="79"/>
        <item x="15"/>
        <item x="82"/>
        <item x="102"/>
        <item x="46"/>
        <item x="96"/>
        <item x="45"/>
        <item x="97"/>
        <item x="2"/>
        <item x="3"/>
        <item t="default"/>
      </items>
    </pivotField>
    <pivotField axis="axisRow" compact="0" showAll="0">
      <items count="363">
        <item x="115"/>
        <item x="302"/>
        <item x="235"/>
        <item x="221"/>
        <item x="183"/>
        <item x="126"/>
        <item x="207"/>
        <item x="311"/>
        <item x="144"/>
        <item x="111"/>
        <item x="170"/>
        <item x="243"/>
        <item x="112"/>
        <item x="310"/>
        <item x="156"/>
        <item x="348"/>
        <item x="225"/>
        <item x="271"/>
        <item x="13"/>
        <item x="0"/>
        <item x="295"/>
        <item x="33"/>
        <item x="2"/>
        <item x="1"/>
        <item x="3"/>
        <item x="5"/>
        <item x="6"/>
        <item x="103"/>
        <item x="8"/>
        <item x="7"/>
        <item x="9"/>
        <item x="16"/>
        <item x="10"/>
        <item x="11"/>
        <item x="18"/>
        <item x="12"/>
        <item x="15"/>
        <item x="14"/>
        <item x="50"/>
        <item x="29"/>
        <item x="28"/>
        <item x="20"/>
        <item x="19"/>
        <item x="27"/>
        <item x="38"/>
        <item x="23"/>
        <item x="24"/>
        <item x="21"/>
        <item x="25"/>
        <item x="48"/>
        <item x="26"/>
        <item x="22"/>
        <item x="39"/>
        <item x="30"/>
        <item x="41"/>
        <item x="31"/>
        <item x="32"/>
        <item x="37"/>
        <item x="35"/>
        <item x="43"/>
        <item x="36"/>
        <item x="40"/>
        <item x="44"/>
        <item x="52"/>
        <item x="42"/>
        <item x="51"/>
        <item x="45"/>
        <item x="46"/>
        <item x="53"/>
        <item x="49"/>
        <item x="54"/>
        <item x="55"/>
        <item x="58"/>
        <item x="56"/>
        <item x="57"/>
        <item x="59"/>
        <item x="118"/>
        <item x="62"/>
        <item x="61"/>
        <item x="60"/>
        <item x="63"/>
        <item x="65"/>
        <item x="77"/>
        <item x="69"/>
        <item x="82"/>
        <item x="92"/>
        <item x="70"/>
        <item x="74"/>
        <item x="78"/>
        <item x="73"/>
        <item x="107"/>
        <item x="83"/>
        <item x="80"/>
        <item x="79"/>
        <item x="97"/>
        <item x="86"/>
        <item x="93"/>
        <item x="89"/>
        <item x="90"/>
        <item x="163"/>
        <item x="96"/>
        <item x="81"/>
        <item x="85"/>
        <item x="84"/>
        <item x="98"/>
        <item x="116"/>
        <item x="87"/>
        <item x="94"/>
        <item x="95"/>
        <item x="101"/>
        <item x="99"/>
        <item x="109"/>
        <item x="100"/>
        <item x="104"/>
        <item x="102"/>
        <item x="110"/>
        <item x="108"/>
        <item x="114"/>
        <item x="117"/>
        <item x="122"/>
        <item x="119"/>
        <item x="130"/>
        <item x="120"/>
        <item x="124"/>
        <item x="127"/>
        <item x="125"/>
        <item x="129"/>
        <item x="131"/>
        <item x="132"/>
        <item x="134"/>
        <item x="136"/>
        <item x="133"/>
        <item x="135"/>
        <item x="139"/>
        <item x="143"/>
        <item x="145"/>
        <item x="162"/>
        <item x="146"/>
        <item x="148"/>
        <item x="147"/>
        <item x="149"/>
        <item x="150"/>
        <item x="151"/>
        <item x="152"/>
        <item x="153"/>
        <item x="154"/>
        <item x="159"/>
        <item x="155"/>
        <item x="158"/>
        <item x="157"/>
        <item x="160"/>
        <item x="164"/>
        <item x="166"/>
        <item x="168"/>
        <item x="161"/>
        <item x="165"/>
        <item x="171"/>
        <item x="169"/>
        <item x="172"/>
        <item x="173"/>
        <item x="175"/>
        <item x="177"/>
        <item x="178"/>
        <item x="181"/>
        <item x="186"/>
        <item x="179"/>
        <item x="182"/>
        <item x="180"/>
        <item x="184"/>
        <item x="192"/>
        <item x="187"/>
        <item x="191"/>
        <item x="188"/>
        <item x="200"/>
        <item x="195"/>
        <item x="197"/>
        <item x="205"/>
        <item x="198"/>
        <item x="189"/>
        <item x="204"/>
        <item x="190"/>
        <item x="201"/>
        <item x="206"/>
        <item x="196"/>
        <item x="202"/>
        <item x="214"/>
        <item x="208"/>
        <item x="210"/>
        <item x="209"/>
        <item x="219"/>
        <item x="218"/>
        <item x="211"/>
        <item x="212"/>
        <item x="215"/>
        <item x="220"/>
        <item x="217"/>
        <item x="222"/>
        <item x="224"/>
        <item x="226"/>
        <item x="345"/>
        <item x="244"/>
        <item x="346"/>
        <item x="232"/>
        <item x="251"/>
        <item x="231"/>
        <item x="233"/>
        <item x="234"/>
        <item x="237"/>
        <item x="239"/>
        <item x="240"/>
        <item x="236"/>
        <item x="241"/>
        <item x="242"/>
        <item x="238"/>
        <item x="248"/>
        <item x="247"/>
        <item x="245"/>
        <item x="246"/>
        <item x="256"/>
        <item x="258"/>
        <item x="257"/>
        <item x="254"/>
        <item x="252"/>
        <item x="267"/>
        <item x="253"/>
        <item x="255"/>
        <item x="261"/>
        <item x="275"/>
        <item x="259"/>
        <item x="260"/>
        <item x="264"/>
        <item x="266"/>
        <item x="269"/>
        <item x="272"/>
        <item x="273"/>
        <item x="278"/>
        <item x="279"/>
        <item x="268"/>
        <item x="270"/>
        <item x="276"/>
        <item x="277"/>
        <item x="286"/>
        <item x="290"/>
        <item x="288"/>
        <item x="283"/>
        <item x="281"/>
        <item x="262"/>
        <item x="274"/>
        <item x="287"/>
        <item x="285"/>
        <item x="282"/>
        <item x="280"/>
        <item x="289"/>
        <item x="292"/>
        <item x="296"/>
        <item x="294"/>
        <item x="291"/>
        <item x="293"/>
        <item x="297"/>
        <item x="314"/>
        <item x="313"/>
        <item x="304"/>
        <item x="303"/>
        <item x="298"/>
        <item x="300"/>
        <item x="299"/>
        <item x="305"/>
        <item x="317"/>
        <item x="319"/>
        <item x="334"/>
        <item x="320"/>
        <item x="321"/>
        <item x="323"/>
        <item x="322"/>
        <item x="340"/>
        <item x="327"/>
        <item x="329"/>
        <item x="330"/>
        <item x="331"/>
        <item x="326"/>
        <item x="342"/>
        <item x="328"/>
        <item x="336"/>
        <item x="339"/>
        <item x="333"/>
        <item x="335"/>
        <item x="338"/>
        <item x="341"/>
        <item x="349"/>
        <item x="347"/>
        <item x="344"/>
        <item x="350"/>
        <item x="358"/>
        <item x="357"/>
        <item x="356"/>
        <item x="355"/>
        <item x="359"/>
        <item x="360"/>
        <item x="361"/>
        <item x="137"/>
        <item x="138"/>
        <item x="64"/>
        <item x="17"/>
        <item x="34"/>
        <item x="47"/>
        <item x="66"/>
        <item x="223"/>
        <item x="68"/>
        <item x="67"/>
        <item x="75"/>
        <item x="71"/>
        <item x="72"/>
        <item x="76"/>
        <item x="88"/>
        <item x="91"/>
        <item x="106"/>
        <item x="105"/>
        <item x="113"/>
        <item x="121"/>
        <item x="128"/>
        <item x="123"/>
        <item x="140"/>
        <item x="142"/>
        <item x="141"/>
        <item x="167"/>
        <item x="174"/>
        <item x="176"/>
        <item x="185"/>
        <item x="193"/>
        <item x="194"/>
        <item x="199"/>
        <item x="203"/>
        <item x="213"/>
        <item x="216"/>
        <item x="230"/>
        <item x="227"/>
        <item x="229"/>
        <item x="228"/>
        <item x="250"/>
        <item x="249"/>
        <item x="263"/>
        <item x="265"/>
        <item x="284"/>
        <item x="316"/>
        <item x="315"/>
        <item x="301"/>
        <item x="312"/>
        <item x="309"/>
        <item x="308"/>
        <item x="307"/>
        <item x="306"/>
        <item x="318"/>
        <item x="325"/>
        <item x="324"/>
        <item x="332"/>
        <item x="337"/>
        <item x="343"/>
        <item x="352"/>
        <item x="353"/>
        <item x="351"/>
        <item x="354"/>
        <item x="4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69">
        <item x="210"/>
        <item x="54"/>
        <item x="64"/>
        <item x="110"/>
        <item x="111"/>
        <item x="92"/>
        <item x="156"/>
        <item x="99"/>
        <item x="118"/>
        <item x="95"/>
        <item x="90"/>
        <item x="112"/>
        <item x="128"/>
        <item x="188"/>
        <item x="141"/>
        <item x="96"/>
        <item x="93"/>
        <item x="97"/>
        <item x="100"/>
        <item x="155"/>
        <item x="220"/>
        <item x="113"/>
        <item x="103"/>
        <item x="123"/>
        <item x="116"/>
        <item x="102"/>
        <item x="120"/>
        <item x="105"/>
        <item x="127"/>
        <item x="104"/>
        <item x="126"/>
        <item x="181"/>
        <item x="114"/>
        <item x="109"/>
        <item x="129"/>
        <item x="117"/>
        <item x="124"/>
        <item x="249"/>
        <item x="134"/>
        <item x="115"/>
        <item x="119"/>
        <item x="125"/>
        <item x="122"/>
        <item x="131"/>
        <item x="149"/>
        <item x="138"/>
        <item x="152"/>
        <item x="135"/>
        <item x="144"/>
        <item x="153"/>
        <item x="143"/>
        <item x="133"/>
        <item x="132"/>
        <item x="139"/>
        <item x="146"/>
        <item x="151"/>
        <item x="162"/>
        <item x="180"/>
        <item x="169"/>
        <item x="173"/>
        <item x="164"/>
        <item x="158"/>
        <item x="163"/>
        <item x="154"/>
        <item x="176"/>
        <item x="191"/>
        <item x="195"/>
        <item x="170"/>
        <item x="168"/>
        <item x="186"/>
        <item x="171"/>
        <item x="167"/>
        <item x="187"/>
        <item x="250"/>
        <item x="251"/>
        <item x="166"/>
        <item x="178"/>
        <item x="194"/>
        <item x="207"/>
        <item x="183"/>
        <item x="189"/>
        <item x="196"/>
        <item x="184"/>
        <item x="182"/>
        <item x="193"/>
        <item x="185"/>
        <item x="192"/>
        <item x="190"/>
        <item x="199"/>
        <item x="200"/>
        <item x="219"/>
        <item x="206"/>
        <item x="205"/>
        <item x="203"/>
        <item x="216"/>
        <item x="204"/>
        <item x="198"/>
        <item x="270"/>
        <item x="202"/>
        <item x="215"/>
        <item x="221"/>
        <item x="217"/>
        <item x="222"/>
        <item x="223"/>
        <item x="213"/>
        <item x="214"/>
        <item x="9"/>
        <item x="8"/>
        <item x="7"/>
        <item x="16"/>
        <item x="6"/>
        <item x="226"/>
        <item x="238"/>
        <item x="243"/>
        <item x="236"/>
        <item x="231"/>
        <item x="268"/>
        <item x="232"/>
        <item x="218"/>
        <item x="237"/>
        <item x="225"/>
        <item x="230"/>
        <item x="224"/>
        <item x="227"/>
        <item x="235"/>
        <item x="267"/>
        <item x="262"/>
        <item x="273"/>
        <item x="247"/>
        <item x="241"/>
        <item x="244"/>
        <item x="272"/>
        <item x="258"/>
        <item x="259"/>
        <item x="271"/>
        <item x="242"/>
        <item x="240"/>
        <item x="252"/>
        <item x="245"/>
        <item x="239"/>
        <item x="253"/>
        <item x="264"/>
        <item x="261"/>
        <item x="248"/>
        <item x="284"/>
        <item x="265"/>
        <item x="276"/>
        <item x="256"/>
        <item x="263"/>
        <item x="283"/>
        <item x="266"/>
        <item x="269"/>
        <item x="255"/>
        <item x="274"/>
        <item x="275"/>
        <item x="257"/>
        <item x="278"/>
        <item x="260"/>
        <item x="291"/>
        <item x="333"/>
        <item x="297"/>
        <item x="305"/>
        <item x="282"/>
        <item x="310"/>
        <item x="292"/>
        <item x="293"/>
        <item x="290"/>
        <item x="303"/>
        <item x="286"/>
        <item x="327"/>
        <item x="277"/>
        <item x="298"/>
        <item x="302"/>
        <item x="301"/>
        <item x="289"/>
        <item x="280"/>
        <item x="294"/>
        <item x="288"/>
        <item x="309"/>
        <item x="319"/>
        <item x="316"/>
        <item x="306"/>
        <item x="323"/>
        <item x="313"/>
        <item x="304"/>
        <item x="317"/>
        <item x="307"/>
        <item x="312"/>
        <item x="311"/>
        <item x="328"/>
        <item x="322"/>
        <item x="343"/>
        <item x="335"/>
        <item x="336"/>
        <item x="325"/>
        <item x="326"/>
        <item x="350"/>
        <item x="320"/>
        <item x="321"/>
        <item x="339"/>
        <item x="341"/>
        <item x="329"/>
        <item x="318"/>
        <item x="345"/>
        <item x="330"/>
        <item x="331"/>
        <item x="332"/>
        <item x="324"/>
        <item x="364"/>
        <item x="362"/>
        <item x="368"/>
        <item x="359"/>
        <item x="377"/>
        <item x="369"/>
        <item x="338"/>
        <item x="346"/>
        <item x="340"/>
        <item x="354"/>
        <item x="349"/>
        <item x="370"/>
        <item x="351"/>
        <item x="344"/>
        <item x="355"/>
        <item x="379"/>
        <item x="352"/>
        <item x="372"/>
        <item x="389"/>
        <item x="353"/>
        <item x="347"/>
        <item x="367"/>
        <item x="348"/>
        <item x="365"/>
        <item x="356"/>
        <item x="342"/>
        <item x="337"/>
        <item x="358"/>
        <item x="360"/>
        <item x="419"/>
        <item x="386"/>
        <item x="366"/>
        <item x="383"/>
        <item x="405"/>
        <item x="396"/>
        <item x="381"/>
        <item x="388"/>
        <item x="382"/>
        <item x="371"/>
        <item x="380"/>
        <item x="391"/>
        <item x="397"/>
        <item x="387"/>
        <item x="390"/>
        <item x="408"/>
        <item x="413"/>
        <item x="412"/>
        <item x="406"/>
        <item x="395"/>
        <item x="402"/>
        <item x="415"/>
        <item x="398"/>
        <item x="407"/>
        <item x="401"/>
        <item x="392"/>
        <item x="409"/>
        <item x="410"/>
        <item x="414"/>
        <item x="400"/>
        <item x="399"/>
        <item x="393"/>
        <item x="394"/>
        <item x="403"/>
        <item x="411"/>
        <item x="427"/>
        <item x="420"/>
        <item x="430"/>
        <item x="442"/>
        <item x="431"/>
        <item x="424"/>
        <item x="421"/>
        <item x="423"/>
        <item x="422"/>
        <item x="432"/>
        <item x="435"/>
        <item x="416"/>
        <item x="11"/>
        <item x="14"/>
        <item x="10"/>
        <item x="57"/>
        <item x="19"/>
        <item x="12"/>
        <item x="13"/>
        <item x="15"/>
        <item x="441"/>
        <item x="444"/>
        <item x="445"/>
        <item x="426"/>
        <item x="434"/>
        <item x="453"/>
        <item x="438"/>
        <item x="443"/>
        <item x="439"/>
        <item x="437"/>
        <item x="433"/>
        <item x="428"/>
        <item x="436"/>
        <item x="429"/>
        <item x="440"/>
        <item x="425"/>
        <item x="446"/>
        <item x="464"/>
        <item x="461"/>
        <item x="463"/>
        <item x="456"/>
        <item x="465"/>
        <item x="455"/>
        <item x="454"/>
        <item x="466"/>
        <item x="462"/>
        <item x="467"/>
        <item x="458"/>
        <item x="457"/>
        <item x="459"/>
        <item x="448"/>
        <item x="51"/>
        <item x="22"/>
        <item x="36"/>
        <item x="18"/>
        <item x="38"/>
        <item x="37"/>
        <item x="21"/>
        <item x="17"/>
        <item x="20"/>
        <item x="23"/>
        <item x="29"/>
        <item x="31"/>
        <item x="52"/>
        <item x="42"/>
        <item x="63"/>
        <item x="34"/>
        <item x="32"/>
        <item x="33"/>
        <item x="30"/>
        <item x="55"/>
        <item x="41"/>
        <item x="39"/>
        <item x="40"/>
        <item x="50"/>
        <item x="35"/>
        <item x="47"/>
        <item x="59"/>
        <item x="66"/>
        <item x="157"/>
        <item x="67"/>
        <item x="48"/>
        <item x="58"/>
        <item x="49"/>
        <item x="46"/>
        <item x="43"/>
        <item x="60"/>
        <item x="74"/>
        <item x="77"/>
        <item x="65"/>
        <item x="75"/>
        <item x="70"/>
        <item x="69"/>
        <item x="68"/>
        <item x="78"/>
        <item x="62"/>
        <item x="72"/>
        <item x="299"/>
        <item x="79"/>
        <item x="61"/>
        <item x="80"/>
        <item x="88"/>
        <item x="82"/>
        <item x="81"/>
        <item x="83"/>
        <item x="89"/>
        <item x="76"/>
        <item x="279"/>
        <item x="91"/>
        <item x="94"/>
        <item x="56"/>
        <item x="101"/>
        <item x="130"/>
        <item x="165"/>
        <item x="172"/>
        <item x="197"/>
        <item x="296"/>
        <item x="295"/>
        <item x="308"/>
        <item x="334"/>
        <item x="363"/>
        <item x="361"/>
        <item x="357"/>
        <item x="447"/>
        <item x="53"/>
        <item x="73"/>
        <item x="85"/>
        <item x="86"/>
        <item x="106"/>
        <item x="107"/>
        <item x="140"/>
        <item x="142"/>
        <item x="108"/>
        <item x="159"/>
        <item x="175"/>
        <item x="177"/>
        <item x="287"/>
        <item x="160"/>
        <item x="179"/>
        <item x="161"/>
        <item x="208"/>
        <item x="209"/>
        <item x="4"/>
        <item x="234"/>
        <item x="233"/>
        <item x="246"/>
        <item x="285"/>
        <item x="254"/>
        <item x="300"/>
        <item x="314"/>
        <item x="315"/>
        <item x="374"/>
        <item x="375"/>
        <item x="404"/>
        <item x="376"/>
        <item x="417"/>
        <item x="24"/>
        <item x="418"/>
        <item x="460"/>
        <item x="25"/>
        <item x="26"/>
        <item x="27"/>
        <item x="28"/>
        <item x="44"/>
        <item x="71"/>
        <item x="45"/>
        <item x="84"/>
        <item x="174"/>
        <item x="201"/>
        <item x="1"/>
        <item x="0"/>
        <item x="3"/>
        <item x="2"/>
        <item x="87"/>
        <item x="281"/>
        <item x="228"/>
        <item x="229"/>
        <item x="136"/>
        <item x="137"/>
        <item x="373"/>
        <item x="452"/>
        <item x="378"/>
        <item x="145"/>
        <item x="98"/>
        <item x="121"/>
        <item x="150"/>
        <item x="384"/>
        <item x="385"/>
        <item x="147"/>
        <item x="148"/>
        <item x="449"/>
        <item x="450"/>
        <item x="451"/>
        <item x="211"/>
        <item x="212"/>
        <item x="5"/>
        <item t="default"/>
      </items>
    </pivotField>
    <pivotField compact="0" showAll="0">
      <items count="323">
        <item x="62"/>
        <item x="84"/>
        <item x="293"/>
        <item x="156"/>
        <item x="133"/>
        <item x="261"/>
        <item x="95"/>
        <item x="314"/>
        <item x="252"/>
        <item x="185"/>
        <item x="51"/>
        <item x="36"/>
        <item x="242"/>
        <item x="152"/>
        <item x="130"/>
        <item x="88"/>
        <item x="59"/>
        <item x="174"/>
        <item x="265"/>
        <item x="302"/>
        <item x="190"/>
        <item x="146"/>
        <item x="153"/>
        <item x="78"/>
        <item x="1"/>
        <item x="305"/>
        <item x="284"/>
        <item x="192"/>
        <item x="313"/>
        <item x="117"/>
        <item x="215"/>
        <item x="69"/>
        <item x="160"/>
        <item x="17"/>
        <item x="202"/>
        <item x="155"/>
        <item x="205"/>
        <item x="136"/>
        <item x="3"/>
        <item x="291"/>
        <item x="148"/>
        <item x="164"/>
        <item x="132"/>
        <item x="280"/>
        <item x="40"/>
        <item x="21"/>
        <item x="57"/>
        <item x="179"/>
        <item x="296"/>
        <item x="98"/>
        <item x="9"/>
        <item x="168"/>
        <item x="31"/>
        <item x="223"/>
        <item x="90"/>
        <item x="44"/>
        <item x="188"/>
        <item x="154"/>
        <item x="140"/>
        <item x="87"/>
        <item x="54"/>
        <item x="199"/>
        <item x="207"/>
        <item x="33"/>
        <item x="240"/>
        <item x="158"/>
        <item x="317"/>
        <item x="289"/>
        <item x="47"/>
        <item x="149"/>
        <item x="109"/>
        <item x="230"/>
        <item x="304"/>
        <item x="25"/>
        <item x="235"/>
        <item x="251"/>
        <item x="162"/>
        <item x="28"/>
        <item x="128"/>
        <item x="288"/>
        <item x="123"/>
        <item x="208"/>
        <item x="5"/>
        <item x="274"/>
        <item x="138"/>
        <item x="50"/>
        <item x="119"/>
        <item x="115"/>
        <item x="238"/>
        <item x="219"/>
        <item x="200"/>
        <item x="248"/>
        <item x="186"/>
        <item x="270"/>
        <item x="63"/>
        <item x="315"/>
        <item x="129"/>
        <item x="58"/>
        <item x="178"/>
        <item x="126"/>
        <item x="161"/>
        <item x="173"/>
        <item x="320"/>
        <item x="83"/>
        <item x="104"/>
        <item x="264"/>
        <item x="301"/>
        <item x="244"/>
        <item x="245"/>
        <item x="189"/>
        <item x="145"/>
        <item x="74"/>
        <item x="151"/>
        <item x="35"/>
        <item x="77"/>
        <item x="92"/>
        <item x="232"/>
        <item x="283"/>
        <item x="213"/>
        <item x="13"/>
        <item x="231"/>
        <item x="194"/>
        <item x="106"/>
        <item x="191"/>
        <item x="312"/>
        <item x="116"/>
        <item x="105"/>
        <item x="195"/>
        <item x="214"/>
        <item x="68"/>
        <item x="79"/>
        <item x="65"/>
        <item x="16"/>
        <item x="131"/>
        <item x="210"/>
        <item x="239"/>
        <item x="286"/>
        <item x="172"/>
        <item x="299"/>
        <item x="165"/>
        <item x="19"/>
        <item x="220"/>
        <item x="204"/>
        <item x="94"/>
        <item x="135"/>
        <item x="2"/>
        <item x="307"/>
        <item x="290"/>
        <item x="227"/>
        <item x="6"/>
        <item x="169"/>
        <item x="147"/>
        <item x="166"/>
        <item x="180"/>
        <item x="80"/>
        <item x="281"/>
        <item x="228"/>
        <item x="125"/>
        <item x="170"/>
        <item x="294"/>
        <item x="0"/>
        <item x="279"/>
        <item x="39"/>
        <item x="20"/>
        <item x="56"/>
        <item x="295"/>
        <item x="134"/>
        <item x="97"/>
        <item x="49"/>
        <item x="226"/>
        <item x="271"/>
        <item x="8"/>
        <item x="111"/>
        <item x="272"/>
        <item x="38"/>
        <item x="89"/>
        <item x="267"/>
        <item x="306"/>
        <item x="224"/>
        <item x="246"/>
        <item x="262"/>
        <item x="298"/>
        <item x="141"/>
        <item x="184"/>
        <item x="276"/>
        <item x="225"/>
        <item x="198"/>
        <item x="216"/>
        <item x="282"/>
        <item x="263"/>
        <item x="70"/>
        <item x="197"/>
        <item x="297"/>
        <item x="206"/>
        <item x="187"/>
        <item x="61"/>
        <item x="236"/>
        <item x="37"/>
        <item x="159"/>
        <item x="53"/>
        <item x="14"/>
        <item x="167"/>
        <item x="46"/>
        <item x="12"/>
        <item x="124"/>
        <item x="103"/>
        <item x="64"/>
        <item x="171"/>
        <item x="18"/>
        <item x="144"/>
        <item x="303"/>
        <item x="308"/>
        <item x="259"/>
        <item x="24"/>
        <item x="268"/>
        <item x="234"/>
        <item x="212"/>
        <item x="309"/>
        <item x="34"/>
        <item x="275"/>
        <item x="67"/>
        <item x="278"/>
        <item x="75"/>
        <item x="113"/>
        <item x="243"/>
        <item x="32"/>
        <item x="241"/>
        <item x="255"/>
        <item x="254"/>
        <item x="27"/>
        <item x="256"/>
        <item x="11"/>
        <item x="127"/>
        <item x="96"/>
        <item x="60"/>
        <item x="319"/>
        <item x="287"/>
        <item x="257"/>
        <item x="316"/>
        <item x="310"/>
        <item x="182"/>
        <item x="99"/>
        <item x="249"/>
        <item x="211"/>
        <item x="72"/>
        <item x="30"/>
        <item x="102"/>
        <item x="10"/>
        <item x="108"/>
        <item x="176"/>
        <item x="22"/>
        <item x="86"/>
        <item x="122"/>
        <item x="175"/>
        <item x="217"/>
        <item x="292"/>
        <item x="321"/>
        <item x="43"/>
        <item x="150"/>
        <item x="4"/>
        <item x="73"/>
        <item x="93"/>
        <item x="137"/>
        <item x="120"/>
        <item x="26"/>
        <item x="118"/>
        <item x="229"/>
        <item x="112"/>
        <item x="76"/>
        <item x="15"/>
        <item x="237"/>
        <item x="218"/>
        <item x="318"/>
        <item x="247"/>
        <item x="253"/>
        <item x="42"/>
        <item x="209"/>
        <item x="85"/>
        <item x="193"/>
        <item x="81"/>
        <item x="45"/>
        <item x="269"/>
        <item x="29"/>
        <item x="183"/>
        <item x="196"/>
        <item x="300"/>
        <item x="201"/>
        <item x="23"/>
        <item x="114"/>
        <item x="203"/>
        <item x="52"/>
        <item x="55"/>
        <item x="66"/>
        <item x="121"/>
        <item x="273"/>
        <item x="143"/>
        <item x="177"/>
        <item x="110"/>
        <item x="101"/>
        <item x="82"/>
        <item x="48"/>
        <item x="157"/>
        <item x="163"/>
        <item x="222"/>
        <item x="277"/>
        <item x="260"/>
        <item x="311"/>
        <item x="181"/>
        <item x="250"/>
        <item x="142"/>
        <item x="258"/>
        <item x="91"/>
        <item x="139"/>
        <item x="221"/>
        <item x="266"/>
        <item x="107"/>
        <item x="100"/>
        <item x="71"/>
        <item x="285"/>
        <item x="233"/>
        <item x="41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9">
        <item x="15"/>
        <item x="13"/>
        <item x="0"/>
        <item x="10"/>
        <item x="14"/>
        <item x="8"/>
        <item x="3"/>
        <item x="7"/>
        <item x="1"/>
        <item x="6"/>
        <item x="11"/>
        <item x="9"/>
        <item x="17"/>
        <item x="4"/>
        <item x="12"/>
        <item x="5"/>
        <item x="16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29">
        <item x="259"/>
        <item x="163"/>
        <item x="181"/>
        <item x="23"/>
        <item x="180"/>
        <item x="191"/>
        <item x="194"/>
        <item x="228"/>
        <item x="4"/>
        <item x="229"/>
        <item x="269"/>
        <item x="271"/>
        <item x="295"/>
        <item x="296"/>
        <item x="24"/>
        <item x="321"/>
        <item x="25"/>
        <item x="26"/>
        <item x="39"/>
        <item x="40"/>
        <item x="73"/>
        <item x="74"/>
        <item x="22"/>
        <item x="75"/>
        <item x="91"/>
        <item x="92"/>
        <item x="128"/>
        <item x="130"/>
        <item x="162"/>
        <item x="270"/>
        <item x="129"/>
        <item x="274"/>
        <item x="142"/>
        <item x="131"/>
        <item x="34"/>
        <item x="282"/>
        <item x="103"/>
        <item x="65"/>
        <item x="157"/>
        <item x="158"/>
        <item x="209"/>
        <item x="251"/>
        <item x="97"/>
        <item x="19"/>
        <item x="45"/>
        <item x="277"/>
        <item x="244"/>
        <item x="233"/>
        <item x="238"/>
        <item x="159"/>
        <item x="83"/>
        <item x="88"/>
        <item x="223"/>
        <item x="28"/>
        <item x="313"/>
        <item x="173"/>
        <item x="235"/>
        <item x="287"/>
        <item x="306"/>
        <item x="231"/>
        <item x="292"/>
        <item x="78"/>
        <item x="179"/>
        <item x="96"/>
        <item x="252"/>
        <item x="59"/>
        <item x="230"/>
        <item x="236"/>
        <item x="86"/>
        <item x="27"/>
        <item x="276"/>
        <item x="317"/>
        <item x="30"/>
        <item x="300"/>
        <item x="151"/>
        <item x="111"/>
        <item x="308"/>
        <item x="227"/>
        <item x="216"/>
        <item x="205"/>
        <item x="201"/>
        <item x="280"/>
        <item x="324"/>
        <item x="310"/>
        <item x="55"/>
        <item x="79"/>
        <item x="98"/>
        <item x="72"/>
        <item x="68"/>
        <item x="327"/>
        <item x="123"/>
        <item x="114"/>
        <item x="140"/>
        <item x="109"/>
        <item x="290"/>
        <item x="57"/>
        <item x="314"/>
        <item x="35"/>
        <item x="7"/>
        <item x="60"/>
        <item x="203"/>
        <item x="106"/>
        <item x="113"/>
        <item x="18"/>
        <item x="199"/>
        <item x="192"/>
        <item x="320"/>
        <item x="211"/>
        <item x="161"/>
        <item x="104"/>
        <item x="312"/>
        <item x="264"/>
        <item x="33"/>
        <item x="260"/>
        <item x="67"/>
        <item x="185"/>
        <item x="323"/>
        <item x="177"/>
        <item x="297"/>
        <item x="126"/>
        <item x="318"/>
        <item x="17"/>
        <item x="172"/>
        <item x="107"/>
        <item x="301"/>
        <item x="15"/>
        <item x="305"/>
        <item x="94"/>
        <item x="268"/>
        <item x="261"/>
        <item x="145"/>
        <item x="234"/>
        <item x="29"/>
        <item x="217"/>
        <item x="95"/>
        <item x="121"/>
        <item x="182"/>
        <item x="309"/>
        <item x="0"/>
        <item x="10"/>
        <item x="155"/>
        <item x="117"/>
        <item x="293"/>
        <item x="135"/>
        <item x="20"/>
        <item x="281"/>
        <item x="208"/>
        <item x="120"/>
        <item x="188"/>
        <item x="143"/>
        <item x="307"/>
        <item x="294"/>
        <item x="105"/>
        <item x="101"/>
        <item x="49"/>
        <item x="278"/>
        <item x="214"/>
        <item x="37"/>
        <item x="165"/>
        <item x="303"/>
        <item x="47"/>
        <item x="257"/>
        <item x="169"/>
        <item x="241"/>
        <item x="273"/>
        <item x="154"/>
        <item x="174"/>
        <item x="175"/>
        <item x="132"/>
        <item x="56"/>
        <item x="302"/>
        <item x="152"/>
        <item x="6"/>
        <item x="195"/>
        <item x="247"/>
        <item x="58"/>
        <item x="291"/>
        <item x="249"/>
        <item x="196"/>
        <item x="263"/>
        <item x="84"/>
        <item x="90"/>
        <item x="325"/>
        <item x="221"/>
        <item x="166"/>
        <item x="160"/>
        <item x="136"/>
        <item x="176"/>
        <item x="99"/>
        <item x="134"/>
        <item x="85"/>
        <item x="81"/>
        <item x="255"/>
        <item x="2"/>
        <item x="102"/>
        <item x="80"/>
        <item x="220"/>
        <item x="186"/>
        <item x="207"/>
        <item x="183"/>
        <item x="239"/>
        <item x="3"/>
        <item x="243"/>
        <item x="64"/>
        <item x="100"/>
        <item x="279"/>
        <item x="8"/>
        <item x="16"/>
        <item x="31"/>
        <item x="189"/>
        <item x="197"/>
        <item x="38"/>
        <item x="156"/>
        <item x="1"/>
        <item x="13"/>
        <item x="115"/>
        <item x="124"/>
        <item x="147"/>
        <item x="44"/>
        <item x="285"/>
        <item x="206"/>
        <item x="93"/>
        <item x="168"/>
        <item x="275"/>
        <item x="146"/>
        <item x="311"/>
        <item x="246"/>
        <item x="21"/>
        <item x="171"/>
        <item x="286"/>
        <item x="164"/>
        <item x="184"/>
        <item x="63"/>
        <item x="215"/>
        <item x="202"/>
        <item x="87"/>
        <item x="258"/>
        <item x="212"/>
        <item x="266"/>
        <item x="137"/>
        <item x="213"/>
        <item x="119"/>
        <item x="50"/>
        <item x="77"/>
        <item x="54"/>
        <item x="253"/>
        <item x="178"/>
        <item x="204"/>
        <item x="36"/>
        <item x="138"/>
        <item x="254"/>
        <item x="224"/>
        <item x="48"/>
        <item x="222"/>
        <item x="219"/>
        <item x="322"/>
        <item x="304"/>
        <item x="53"/>
        <item x="198"/>
        <item x="298"/>
        <item x="288"/>
        <item x="118"/>
        <item x="299"/>
        <item x="267"/>
        <item x="116"/>
        <item x="108"/>
        <item x="242"/>
        <item x="200"/>
        <item x="262"/>
        <item x="89"/>
        <item x="284"/>
        <item x="71"/>
        <item x="316"/>
        <item x="250"/>
        <item x="82"/>
        <item x="237"/>
        <item x="225"/>
        <item x="289"/>
        <item x="210"/>
        <item x="167"/>
        <item x="125"/>
        <item x="133"/>
        <item x="110"/>
        <item x="69"/>
        <item x="150"/>
        <item x="248"/>
        <item x="144"/>
        <item x="326"/>
        <item x="232"/>
        <item x="12"/>
        <item x="52"/>
        <item x="61"/>
        <item x="193"/>
        <item x="51"/>
        <item x="218"/>
        <item x="245"/>
        <item x="127"/>
        <item x="42"/>
        <item x="62"/>
        <item x="315"/>
        <item x="226"/>
        <item x="76"/>
        <item x="272"/>
        <item x="14"/>
        <item x="11"/>
        <item x="148"/>
        <item x="240"/>
        <item x="265"/>
        <item x="112"/>
        <item x="32"/>
        <item x="46"/>
        <item x="43"/>
        <item x="141"/>
        <item x="283"/>
        <item x="256"/>
        <item x="149"/>
        <item x="187"/>
        <item x="66"/>
        <item x="319"/>
        <item x="170"/>
        <item x="70"/>
        <item x="153"/>
        <item x="139"/>
        <item x="122"/>
        <item x="9"/>
        <item x="41"/>
        <item x="190"/>
        <item x="5"/>
        <item t="default"/>
      </items>
    </pivotField>
    <pivotField compact="0" showAll="0">
      <items count="299">
        <item x="234"/>
        <item x="180"/>
        <item x="125"/>
        <item x="74"/>
        <item x="154"/>
        <item x="211"/>
        <item x="112"/>
        <item x="230"/>
        <item x="223"/>
        <item x="91"/>
        <item x="155"/>
        <item x="194"/>
        <item x="20"/>
        <item x="203"/>
        <item x="16"/>
        <item x="138"/>
        <item x="39"/>
        <item x="245"/>
        <item x="30"/>
        <item x="169"/>
        <item x="171"/>
        <item x="15"/>
        <item x="23"/>
        <item x="162"/>
        <item x="177"/>
        <item x="261"/>
        <item x="108"/>
        <item x="111"/>
        <item x="40"/>
        <item x="173"/>
        <item x="205"/>
        <item x="164"/>
        <item x="293"/>
        <item x="174"/>
        <item x="297"/>
        <item x="193"/>
        <item x="263"/>
        <item x="78"/>
        <item x="127"/>
        <item x="158"/>
        <item x="146"/>
        <item x="68"/>
        <item x="248"/>
        <item x="266"/>
        <item x="288"/>
        <item x="140"/>
        <item x="12"/>
        <item x="217"/>
        <item x="227"/>
        <item x="276"/>
        <item x="81"/>
        <item x="208"/>
        <item x="237"/>
        <item x="260"/>
        <item x="119"/>
        <item x="287"/>
        <item x="42"/>
        <item x="212"/>
        <item x="116"/>
        <item x="124"/>
        <item x="126"/>
        <item x="63"/>
        <item x="291"/>
        <item x="38"/>
        <item x="231"/>
        <item x="232"/>
        <item x="277"/>
        <item x="161"/>
        <item x="17"/>
        <item x="286"/>
        <item x="67"/>
        <item x="70"/>
        <item x="207"/>
        <item x="11"/>
        <item x="209"/>
        <item x="19"/>
        <item x="186"/>
        <item x="283"/>
        <item x="13"/>
        <item x="281"/>
        <item x="88"/>
        <item x="75"/>
        <item x="247"/>
        <item x="251"/>
        <item x="199"/>
        <item x="53"/>
        <item x="280"/>
        <item x="6"/>
        <item x="239"/>
        <item x="14"/>
        <item x="215"/>
        <item x="134"/>
        <item x="139"/>
        <item x="54"/>
        <item x="282"/>
        <item x="229"/>
        <item x="159"/>
        <item x="210"/>
        <item x="0"/>
        <item x="235"/>
        <item x="219"/>
        <item x="136"/>
        <item x="46"/>
        <item x="83"/>
        <item x="271"/>
        <item x="131"/>
        <item x="26"/>
        <item x="165"/>
        <item x="152"/>
        <item x="9"/>
        <item x="33"/>
        <item x="224"/>
        <item x="246"/>
        <item x="106"/>
        <item x="275"/>
        <item x="113"/>
        <item x="115"/>
        <item x="143"/>
        <item x="255"/>
        <item x="29"/>
        <item x="166"/>
        <item x="147"/>
        <item x="58"/>
        <item x="84"/>
        <item x="130"/>
        <item x="157"/>
        <item x="167"/>
        <item x="59"/>
        <item x="204"/>
        <item x="295"/>
        <item x="206"/>
        <item x="117"/>
        <item x="244"/>
        <item x="149"/>
        <item x="129"/>
        <item x="202"/>
        <item x="103"/>
        <item x="191"/>
        <item x="278"/>
        <item x="198"/>
        <item x="148"/>
        <item x="242"/>
        <item x="121"/>
        <item x="82"/>
        <item x="256"/>
        <item x="118"/>
        <item x="2"/>
        <item x="49"/>
        <item x="264"/>
        <item x="236"/>
        <item x="160"/>
        <item x="57"/>
        <item x="216"/>
        <item x="252"/>
        <item x="101"/>
        <item x="296"/>
        <item x="50"/>
        <item x="45"/>
        <item x="233"/>
        <item x="284"/>
        <item x="55"/>
        <item x="100"/>
        <item x="262"/>
        <item x="273"/>
        <item x="35"/>
        <item x="137"/>
        <item x="7"/>
        <item x="44"/>
        <item x="87"/>
        <item x="145"/>
        <item x="151"/>
        <item x="85"/>
        <item x="192"/>
        <item x="48"/>
        <item x="104"/>
        <item x="253"/>
        <item x="8"/>
        <item x="37"/>
        <item x="254"/>
        <item x="141"/>
        <item x="18"/>
        <item x="56"/>
        <item x="153"/>
        <item x="80"/>
        <item x="86"/>
        <item x="156"/>
        <item x="5"/>
        <item x="185"/>
        <item x="182"/>
        <item x="69"/>
        <item x="34"/>
        <item x="41"/>
        <item x="228"/>
        <item x="25"/>
        <item x="95"/>
        <item x="132"/>
        <item x="163"/>
        <item x="98"/>
        <item x="168"/>
        <item x="240"/>
        <item x="179"/>
        <item x="76"/>
        <item x="105"/>
        <item x="187"/>
        <item x="133"/>
        <item x="142"/>
        <item x="28"/>
        <item x="218"/>
        <item x="178"/>
        <item x="200"/>
        <item x="64"/>
        <item x="36"/>
        <item x="213"/>
        <item x="257"/>
        <item x="99"/>
        <item x="189"/>
        <item x="176"/>
        <item x="279"/>
        <item x="214"/>
        <item x="89"/>
        <item x="77"/>
        <item x="274"/>
        <item x="135"/>
        <item x="241"/>
        <item x="92"/>
        <item x="195"/>
        <item x="267"/>
        <item x="94"/>
        <item x="150"/>
        <item x="249"/>
        <item x="3"/>
        <item x="290"/>
        <item x="175"/>
        <item x="73"/>
        <item x="258"/>
        <item x="90"/>
        <item x="96"/>
        <item x="61"/>
        <item x="97"/>
        <item x="120"/>
        <item x="265"/>
        <item x="66"/>
        <item x="190"/>
        <item x="60"/>
        <item x="114"/>
        <item x="197"/>
        <item x="122"/>
        <item x="226"/>
        <item x="128"/>
        <item x="181"/>
        <item x="172"/>
        <item x="238"/>
        <item x="183"/>
        <item x="52"/>
        <item x="196"/>
        <item x="102"/>
        <item x="10"/>
        <item x="225"/>
        <item x="144"/>
        <item x="184"/>
        <item x="188"/>
        <item x="22"/>
        <item x="71"/>
        <item x="289"/>
        <item x="123"/>
        <item x="43"/>
        <item x="259"/>
        <item x="79"/>
        <item x="31"/>
        <item x="222"/>
        <item x="21"/>
        <item x="1"/>
        <item x="110"/>
        <item x="270"/>
        <item x="62"/>
        <item x="268"/>
        <item x="220"/>
        <item x="250"/>
        <item x="109"/>
        <item x="32"/>
        <item x="65"/>
        <item x="47"/>
        <item x="269"/>
        <item x="285"/>
        <item x="51"/>
        <item x="93"/>
        <item x="221"/>
        <item x="292"/>
        <item x="243"/>
        <item x="72"/>
        <item x="24"/>
        <item x="201"/>
        <item x="27"/>
        <item x="294"/>
        <item x="107"/>
        <item x="170"/>
        <item x="272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22">
        <item x="2"/>
        <item x="3"/>
        <item x="5"/>
        <item x="4"/>
        <item x="19"/>
        <item x="8"/>
        <item x="7"/>
        <item x="6"/>
        <item x="21"/>
        <item x="20"/>
        <item x="9"/>
        <item x="16"/>
        <item x="15"/>
        <item x="18"/>
        <item x="32"/>
        <item x="17"/>
        <item x="23"/>
        <item x="29"/>
        <item x="24"/>
        <item x="22"/>
        <item x="27"/>
        <item x="33"/>
        <item x="31"/>
        <item x="30"/>
        <item x="28"/>
        <item x="35"/>
        <item x="36"/>
        <item x="34"/>
        <item x="40"/>
        <item x="38"/>
        <item x="39"/>
        <item x="41"/>
        <item x="42"/>
        <item x="50"/>
        <item x="60"/>
        <item x="52"/>
        <item x="51"/>
        <item x="48"/>
        <item x="64"/>
        <item x="61"/>
        <item x="53"/>
        <item x="65"/>
        <item x="58"/>
        <item x="63"/>
        <item x="59"/>
        <item x="57"/>
        <item x="62"/>
        <item x="71"/>
        <item x="72"/>
        <item x="73"/>
        <item x="68"/>
        <item x="67"/>
        <item x="66"/>
        <item x="78"/>
        <item x="77"/>
        <item x="82"/>
        <item x="83"/>
        <item x="80"/>
        <item x="79"/>
        <item x="81"/>
        <item x="91"/>
        <item x="92"/>
        <item x="94"/>
        <item x="88"/>
        <item x="89"/>
        <item x="90"/>
        <item x="95"/>
        <item x="96"/>
        <item x="102"/>
        <item x="99"/>
        <item x="106"/>
        <item x="101"/>
        <item x="97"/>
        <item x="98"/>
        <item x="100"/>
        <item x="109"/>
        <item x="110"/>
        <item x="107"/>
        <item x="105"/>
        <item x="111"/>
        <item x="115"/>
        <item x="112"/>
        <item x="131"/>
        <item x="108"/>
        <item x="119"/>
        <item x="113"/>
        <item x="116"/>
        <item x="133"/>
        <item x="121"/>
        <item x="125"/>
        <item x="128"/>
        <item x="122"/>
        <item x="129"/>
        <item x="120"/>
        <item x="123"/>
        <item x="137"/>
        <item x="130"/>
        <item x="127"/>
        <item x="132"/>
        <item x="143"/>
        <item x="142"/>
        <item x="144"/>
        <item x="141"/>
        <item x="158"/>
        <item x="147"/>
        <item x="135"/>
        <item x="145"/>
        <item x="139"/>
        <item x="152"/>
        <item x="154"/>
        <item x="148"/>
        <item x="157"/>
        <item x="149"/>
        <item x="155"/>
        <item x="168"/>
        <item x="156"/>
        <item x="160"/>
        <item x="171"/>
        <item x="164"/>
        <item x="161"/>
        <item x="162"/>
        <item x="165"/>
        <item x="153"/>
        <item x="169"/>
        <item x="190"/>
        <item x="183"/>
        <item x="170"/>
        <item x="179"/>
        <item x="172"/>
        <item x="177"/>
        <item x="166"/>
        <item x="174"/>
        <item x="176"/>
        <item x="175"/>
        <item x="178"/>
        <item x="186"/>
        <item x="163"/>
        <item x="194"/>
        <item x="173"/>
        <item x="167"/>
        <item x="181"/>
        <item x="180"/>
        <item x="184"/>
        <item x="192"/>
        <item x="191"/>
        <item x="185"/>
        <item x="193"/>
        <item x="195"/>
        <item x="198"/>
        <item x="196"/>
        <item x="182"/>
        <item x="200"/>
        <item x="197"/>
        <item x="208"/>
        <item x="204"/>
        <item x="206"/>
        <item x="205"/>
        <item x="210"/>
        <item x="211"/>
        <item x="212"/>
        <item x="207"/>
        <item x="209"/>
        <item x="220"/>
        <item x="219"/>
        <item x="217"/>
        <item x="213"/>
        <item x="215"/>
        <item x="218"/>
        <item x="214"/>
        <item x="104"/>
        <item x="118"/>
        <item x="11"/>
        <item x="117"/>
        <item x="124"/>
        <item x="126"/>
        <item x="150"/>
        <item x="1"/>
        <item x="151"/>
        <item x="187"/>
        <item x="189"/>
        <item x="201"/>
        <item x="202"/>
        <item x="12"/>
        <item x="216"/>
        <item x="13"/>
        <item x="14"/>
        <item x="25"/>
        <item x="26"/>
        <item x="43"/>
        <item x="44"/>
        <item x="10"/>
        <item x="45"/>
        <item x="54"/>
        <item x="55"/>
        <item x="74"/>
        <item x="76"/>
        <item x="103"/>
        <item x="188"/>
        <item x="56"/>
        <item x="75"/>
        <item x="70"/>
        <item x="69"/>
        <item x="146"/>
        <item x="86"/>
        <item x="37"/>
        <item x="199"/>
        <item x="134"/>
        <item x="159"/>
        <item x="114"/>
        <item x="140"/>
        <item x="46"/>
        <item x="47"/>
        <item x="49"/>
        <item x="203"/>
        <item x="138"/>
        <item x="93"/>
        <item x="136"/>
        <item x="84"/>
        <item x="85"/>
        <item x="87"/>
        <item x="0"/>
        <item t="default"/>
      </items>
    </pivotField>
  </pivotFields>
  <rowFields count="1">
    <field x="83"/>
  </rowFields>
  <rowItems count="3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 t="grand">
      <x/>
    </i>
  </rowItems>
  <colItems count="1">
    <i/>
  </colItems>
  <dataFields count="1">
    <dataField name="求和项:收款金额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47" firstHeaderRow="1" firstDataRow="1" firstDataCol="1"/>
  <pivotFields count="122">
    <pivotField compact="0" showAll="0">
      <items count="6">
        <item x="3"/>
        <item x="4"/>
        <item x="0"/>
        <item x="1"/>
        <item x="2"/>
        <item t="default"/>
      </items>
    </pivotField>
    <pivotField compact="0" showAll="0">
      <items count="552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9"/>
        <item t="default"/>
      </items>
    </pivotField>
    <pivotField compact="0" showAll="0">
      <items count="6">
        <item x="0"/>
        <item x="3"/>
        <item x="2"/>
        <item x="4"/>
        <item x="1"/>
        <item t="default"/>
      </items>
    </pivotField>
    <pivotField compact="0" showAll="0">
      <items count="33">
        <item x="1"/>
        <item x="10"/>
        <item x="11"/>
        <item x="13"/>
        <item x="12"/>
        <item x="14"/>
        <item x="15"/>
        <item x="16"/>
        <item x="17"/>
        <item x="19"/>
        <item x="20"/>
        <item x="3"/>
        <item x="18"/>
        <item x="21"/>
        <item x="22"/>
        <item x="23"/>
        <item x="24"/>
        <item x="25"/>
        <item x="26"/>
        <item x="27"/>
        <item x="28"/>
        <item x="29"/>
        <item x="4"/>
        <item x="30"/>
        <item x="31"/>
        <item x="5"/>
        <item x="6"/>
        <item x="7"/>
        <item x="8"/>
        <item x="9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1">
        <item x="260"/>
        <item x="77"/>
        <item x="104"/>
        <item x="376"/>
        <item x="259"/>
        <item x="189"/>
        <item x="155"/>
        <item x="328"/>
        <item x="374"/>
        <item x="118"/>
        <item x="401"/>
        <item x="319"/>
        <item x="176"/>
        <item x="228"/>
        <item x="65"/>
        <item x="45"/>
        <item x="308"/>
        <item x="185"/>
        <item x="151"/>
        <item x="108"/>
        <item x="74"/>
        <item x="366"/>
        <item x="211"/>
        <item x="335"/>
        <item x="386"/>
        <item x="240"/>
        <item x="233"/>
        <item x="173"/>
        <item x="280"/>
        <item x="186"/>
        <item x="98"/>
        <item x="1"/>
        <item x="390"/>
        <item x="356"/>
        <item x="384"/>
        <item x="235"/>
        <item x="400"/>
        <item x="11"/>
        <item x="276"/>
        <item x="86"/>
        <item x="193"/>
        <item x="20"/>
        <item x="251"/>
        <item x="188"/>
        <item x="256"/>
        <item x="159"/>
        <item x="3"/>
        <item x="371"/>
        <item x="175"/>
        <item x="197"/>
        <item x="154"/>
        <item x="352"/>
        <item x="49"/>
        <item x="24"/>
        <item x="72"/>
        <item x="218"/>
        <item x="379"/>
        <item x="122"/>
        <item x="9"/>
        <item x="202"/>
        <item x="39"/>
        <item x="289"/>
        <item x="241"/>
        <item x="110"/>
        <item x="258"/>
        <item x="57"/>
        <item x="231"/>
        <item x="187"/>
        <item x="166"/>
        <item x="107"/>
        <item x="68"/>
        <item x="248"/>
        <item x="221"/>
        <item x="262"/>
        <item x="41"/>
        <item x="306"/>
        <item x="191"/>
        <item x="406"/>
        <item x="364"/>
        <item x="61"/>
        <item x="177"/>
        <item x="130"/>
        <item x="296"/>
        <item x="389"/>
        <item x="28"/>
        <item x="301"/>
        <item x="318"/>
        <item x="195"/>
        <item x="36"/>
        <item x="149"/>
        <item x="362"/>
        <item x="142"/>
        <item x="239"/>
        <item x="263"/>
        <item x="5"/>
        <item x="345"/>
        <item x="161"/>
        <item x="64"/>
        <item x="93"/>
        <item x="137"/>
        <item x="119"/>
        <item x="284"/>
        <item x="249"/>
        <item x="315"/>
        <item x="53"/>
        <item x="238"/>
        <item x="340"/>
        <item x="80"/>
        <item x="402"/>
        <item x="150"/>
        <item x="73"/>
        <item x="217"/>
        <item x="147"/>
        <item x="194"/>
        <item x="210"/>
        <item x="103"/>
        <item x="334"/>
        <item x="396"/>
        <item x="385"/>
        <item x="311"/>
        <item x="312"/>
        <item x="232"/>
        <item x="172"/>
        <item x="184"/>
        <item x="44"/>
        <item x="97"/>
        <item x="112"/>
        <item x="355"/>
        <item x="274"/>
        <item x="16"/>
        <item x="297"/>
        <item x="243"/>
        <item x="52"/>
        <item x="234"/>
        <item x="299"/>
        <item x="399"/>
        <item x="10"/>
        <item x="244"/>
        <item x="15"/>
        <item x="275"/>
        <item x="85"/>
        <item x="99"/>
        <item x="82"/>
        <item x="19"/>
        <item x="153"/>
        <item x="268"/>
        <item x="305"/>
        <item x="207"/>
        <item x="382"/>
        <item x="198"/>
        <item x="22"/>
        <item x="347"/>
        <item x="255"/>
        <item x="117"/>
        <item x="158"/>
        <item x="2"/>
        <item x="392"/>
        <item x="370"/>
        <item x="293"/>
        <item x="203"/>
        <item x="174"/>
        <item x="200"/>
        <item x="219"/>
        <item x="100"/>
        <item x="145"/>
        <item x="205"/>
        <item x="254"/>
        <item x="264"/>
        <item x="0"/>
        <item x="351"/>
        <item x="408"/>
        <item x="48"/>
        <item x="23"/>
        <item x="71"/>
        <item x="378"/>
        <item x="156"/>
        <item x="121"/>
        <item x="63"/>
        <item x="292"/>
        <item x="341"/>
        <item x="8"/>
        <item x="79"/>
        <item x="229"/>
        <item x="342"/>
        <item x="47"/>
        <item x="182"/>
        <item x="109"/>
        <item x="337"/>
        <item x="391"/>
        <item x="290"/>
        <item x="313"/>
        <item x="329"/>
        <item x="381"/>
        <item x="167"/>
        <item x="227"/>
        <item x="348"/>
        <item x="291"/>
        <item x="247"/>
        <item x="277"/>
        <item x="330"/>
        <item x="87"/>
        <item x="246"/>
        <item x="332"/>
        <item x="220"/>
        <item x="380"/>
        <item x="261"/>
        <item x="230"/>
        <item x="76"/>
        <item x="302"/>
        <item x="46"/>
        <item x="192"/>
        <item x="67"/>
        <item x="17"/>
        <item x="164"/>
        <item x="201"/>
        <item x="179"/>
        <item x="60"/>
        <item x="14"/>
        <item x="144"/>
        <item x="81"/>
        <item x="206"/>
        <item x="21"/>
        <item x="171"/>
        <item x="388"/>
        <item x="393"/>
        <item x="116"/>
        <item x="326"/>
        <item x="27"/>
        <item x="338"/>
        <item x="300"/>
        <item x="272"/>
        <item x="394"/>
        <item x="42"/>
        <item x="346"/>
        <item x="84"/>
        <item x="350"/>
        <item x="271"/>
        <item x="135"/>
        <item x="309"/>
        <item x="40"/>
        <item x="307"/>
        <item x="322"/>
        <item x="321"/>
        <item x="35"/>
        <item x="323"/>
        <item x="132"/>
        <item x="267"/>
        <item x="13"/>
        <item x="148"/>
        <item x="120"/>
        <item x="75"/>
        <item x="361"/>
        <item x="343"/>
        <item x="324"/>
        <item x="403"/>
        <item x="397"/>
        <item x="223"/>
        <item x="169"/>
        <item x="123"/>
        <item x="214"/>
        <item x="316"/>
        <item x="270"/>
        <item x="38"/>
        <item x="12"/>
        <item x="129"/>
        <item x="215"/>
        <item x="25"/>
        <item x="106"/>
        <item x="50"/>
        <item x="141"/>
        <item x="213"/>
        <item x="281"/>
        <item x="375"/>
        <item x="126"/>
        <item x="377"/>
        <item x="56"/>
        <item x="180"/>
        <item x="4"/>
        <item x="94"/>
        <item x="113"/>
        <item x="160"/>
        <item x="29"/>
        <item x="138"/>
        <item x="295"/>
        <item x="134"/>
        <item x="96"/>
        <item x="18"/>
        <item x="265"/>
        <item x="303"/>
        <item x="283"/>
        <item x="314"/>
        <item x="320"/>
        <item x="55"/>
        <item x="257"/>
        <item x="266"/>
        <item x="105"/>
        <item x="237"/>
        <item x="101"/>
        <item x="58"/>
        <item x="339"/>
        <item x="95"/>
        <item x="285"/>
        <item x="37"/>
        <item x="199"/>
        <item x="226"/>
        <item x="245"/>
        <item x="279"/>
        <item x="383"/>
        <item x="250"/>
        <item x="133"/>
        <item x="26"/>
        <item x="136"/>
        <item x="252"/>
        <item x="66"/>
        <item x="69"/>
        <item x="83"/>
        <item x="344"/>
        <item x="170"/>
        <item x="216"/>
        <item x="360"/>
        <item x="131"/>
        <item x="125"/>
        <item x="92"/>
        <item x="102"/>
        <item x="304"/>
        <item x="62"/>
        <item x="190"/>
        <item x="196"/>
        <item x="269"/>
        <item x="405"/>
        <item x="204"/>
        <item x="359"/>
        <item x="349"/>
        <item x="327"/>
        <item x="178"/>
        <item x="398"/>
        <item x="59"/>
        <item x="294"/>
        <item x="157"/>
        <item x="404"/>
        <item x="395"/>
        <item x="222"/>
        <item x="387"/>
        <item x="317"/>
        <item x="369"/>
        <item x="127"/>
        <item x="70"/>
        <item x="365"/>
        <item x="168"/>
        <item x="325"/>
        <item x="111"/>
        <item x="333"/>
        <item x="34"/>
        <item x="162"/>
        <item x="354"/>
        <item x="6"/>
        <item x="139"/>
        <item x="51"/>
        <item x="115"/>
        <item x="163"/>
        <item x="286"/>
        <item x="336"/>
        <item x="225"/>
        <item x="353"/>
        <item x="128"/>
        <item x="273"/>
        <item x="407"/>
        <item x="30"/>
        <item x="209"/>
        <item x="31"/>
        <item x="236"/>
        <item x="372"/>
        <item x="124"/>
        <item x="212"/>
        <item x="90"/>
        <item x="242"/>
        <item x="310"/>
        <item x="288"/>
        <item x="89"/>
        <item x="88"/>
        <item x="208"/>
        <item x="33"/>
        <item x="357"/>
        <item x="253"/>
        <item x="287"/>
        <item x="368"/>
        <item x="367"/>
        <item x="32"/>
        <item x="91"/>
        <item x="331"/>
        <item x="282"/>
        <item x="224"/>
        <item x="363"/>
        <item x="165"/>
        <item x="114"/>
        <item x="373"/>
        <item x="43"/>
        <item x="181"/>
        <item x="298"/>
        <item x="152"/>
        <item x="143"/>
        <item x="278"/>
        <item x="78"/>
        <item x="54"/>
        <item x="183"/>
        <item x="358"/>
        <item x="140"/>
        <item x="146"/>
        <item x="409"/>
        <item x="7"/>
        <item t="default"/>
      </items>
    </pivotField>
    <pivotField compact="0" showAll="0">
      <items count="435">
        <item x="274"/>
        <item x="120"/>
        <item x="78"/>
        <item x="201"/>
        <item x="106"/>
        <item x="397"/>
        <item x="273"/>
        <item x="196"/>
        <item x="161"/>
        <item x="347"/>
        <item x="395"/>
        <item x="121"/>
        <item x="425"/>
        <item x="338"/>
        <item x="182"/>
        <item x="241"/>
        <item x="66"/>
        <item x="46"/>
        <item x="326"/>
        <item x="192"/>
        <item x="157"/>
        <item x="110"/>
        <item x="75"/>
        <item x="387"/>
        <item x="220"/>
        <item x="354"/>
        <item x="407"/>
        <item x="253"/>
        <item x="246"/>
        <item x="179"/>
        <item x="294"/>
        <item x="193"/>
        <item x="100"/>
        <item x="1"/>
        <item x="412"/>
        <item x="377"/>
        <item x="405"/>
        <item x="248"/>
        <item x="424"/>
        <item x="11"/>
        <item x="290"/>
        <item x="88"/>
        <item x="200"/>
        <item x="21"/>
        <item x="195"/>
        <item x="264"/>
        <item x="270"/>
        <item x="165"/>
        <item x="3"/>
        <item x="392"/>
        <item x="181"/>
        <item x="160"/>
        <item x="205"/>
        <item x="373"/>
        <item x="50"/>
        <item x="25"/>
        <item x="73"/>
        <item x="230"/>
        <item x="400"/>
        <item x="126"/>
        <item x="9"/>
        <item x="211"/>
        <item x="222"/>
        <item x="40"/>
        <item x="305"/>
        <item x="254"/>
        <item x="112"/>
        <item x="272"/>
        <item x="58"/>
        <item x="244"/>
        <item x="172"/>
        <item x="194"/>
        <item x="240"/>
        <item x="109"/>
        <item x="69"/>
        <item x="261"/>
        <item x="233"/>
        <item x="276"/>
        <item x="42"/>
        <item x="323"/>
        <item x="198"/>
        <item x="430"/>
        <item x="385"/>
        <item x="62"/>
        <item x="183"/>
        <item x="134"/>
        <item x="312"/>
        <item x="411"/>
        <item x="29"/>
        <item x="337"/>
        <item x="318"/>
        <item x="203"/>
        <item x="325"/>
        <item x="37"/>
        <item x="155"/>
        <item x="383"/>
        <item x="148"/>
        <item x="252"/>
        <item x="277"/>
        <item x="5"/>
        <item x="365"/>
        <item x="167"/>
        <item x="65"/>
        <item x="95"/>
        <item x="142"/>
        <item x="123"/>
        <item x="299"/>
        <item x="262"/>
        <item x="333"/>
        <item x="54"/>
        <item x="251"/>
        <item x="359"/>
        <item x="190"/>
        <item x="81"/>
        <item x="426"/>
        <item x="156"/>
        <item x="74"/>
        <item x="315"/>
        <item x="229"/>
        <item x="153"/>
        <item x="202"/>
        <item x="219"/>
        <item x="105"/>
        <item x="353"/>
        <item x="406"/>
        <item x="419"/>
        <item x="245"/>
        <item x="329"/>
        <item x="330"/>
        <item x="178"/>
        <item x="191"/>
        <item x="99"/>
        <item x="45"/>
        <item x="114"/>
        <item x="376"/>
        <item x="288"/>
        <item x="16"/>
        <item x="313"/>
        <item x="256"/>
        <item x="53"/>
        <item x="247"/>
        <item x="297"/>
        <item x="316"/>
        <item x="423"/>
        <item x="10"/>
        <item x="143"/>
        <item x="416"/>
        <item x="257"/>
        <item x="289"/>
        <item x="15"/>
        <item x="87"/>
        <item x="206"/>
        <item x="101"/>
        <item x="83"/>
        <item x="20"/>
        <item x="159"/>
        <item x="282"/>
        <item x="322"/>
        <item x="216"/>
        <item x="403"/>
        <item x="207"/>
        <item x="269"/>
        <item x="23"/>
        <item x="368"/>
        <item x="119"/>
        <item x="164"/>
        <item x="2"/>
        <item x="414"/>
        <item x="391"/>
        <item x="309"/>
        <item x="212"/>
        <item x="180"/>
        <item x="209"/>
        <item x="231"/>
        <item x="102"/>
        <item x="151"/>
        <item x="304"/>
        <item x="214"/>
        <item x="0"/>
        <item x="372"/>
        <item x="278"/>
        <item x="268"/>
        <item x="49"/>
        <item x="221"/>
        <item x="432"/>
        <item x="24"/>
        <item x="72"/>
        <item x="399"/>
        <item x="162"/>
        <item x="125"/>
        <item x="8"/>
        <item x="64"/>
        <item x="308"/>
        <item x="136"/>
        <item x="334"/>
        <item x="360"/>
        <item x="80"/>
        <item x="242"/>
        <item x="361"/>
        <item x="48"/>
        <item x="111"/>
        <item x="188"/>
        <item x="413"/>
        <item x="356"/>
        <item x="306"/>
        <item x="331"/>
        <item x="348"/>
        <item x="402"/>
        <item x="173"/>
        <item x="239"/>
        <item x="369"/>
        <item x="260"/>
        <item x="307"/>
        <item x="291"/>
        <item x="349"/>
        <item x="351"/>
        <item x="89"/>
        <item x="259"/>
        <item x="275"/>
        <item x="232"/>
        <item x="401"/>
        <item x="243"/>
        <item x="77"/>
        <item x="319"/>
        <item x="199"/>
        <item x="47"/>
        <item x="366"/>
        <item x="68"/>
        <item x="18"/>
        <item x="17"/>
        <item x="170"/>
        <item x="61"/>
        <item x="210"/>
        <item x="185"/>
        <item x="14"/>
        <item x="150"/>
        <item x="82"/>
        <item x="225"/>
        <item x="215"/>
        <item x="22"/>
        <item x="410"/>
        <item x="118"/>
        <item x="177"/>
        <item x="415"/>
        <item x="28"/>
        <item x="345"/>
        <item x="357"/>
        <item x="317"/>
        <item x="286"/>
        <item x="417"/>
        <item x="43"/>
        <item x="367"/>
        <item x="86"/>
        <item x="371"/>
        <item x="285"/>
        <item x="140"/>
        <item x="324"/>
        <item x="327"/>
        <item x="36"/>
        <item x="340"/>
        <item x="41"/>
        <item x="341"/>
        <item x="342"/>
        <item x="137"/>
        <item x="281"/>
        <item x="13"/>
        <item x="154"/>
        <item x="124"/>
        <item x="76"/>
        <item x="382"/>
        <item x="363"/>
        <item x="343"/>
        <item x="427"/>
        <item x="420"/>
        <item x="235"/>
        <item x="175"/>
        <item x="127"/>
        <item x="226"/>
        <item x="335"/>
        <item x="284"/>
        <item x="39"/>
        <item x="12"/>
        <item x="133"/>
        <item x="227"/>
        <item x="26"/>
        <item x="108"/>
        <item x="147"/>
        <item x="51"/>
        <item x="224"/>
        <item x="295"/>
        <item x="396"/>
        <item x="130"/>
        <item x="4"/>
        <item x="398"/>
        <item x="186"/>
        <item x="57"/>
        <item x="96"/>
        <item x="115"/>
        <item x="166"/>
        <item x="30"/>
        <item x="144"/>
        <item x="311"/>
        <item x="139"/>
        <item x="98"/>
        <item x="19"/>
        <item x="279"/>
        <item x="320"/>
        <item x="298"/>
        <item x="421"/>
        <item x="332"/>
        <item x="339"/>
        <item x="56"/>
        <item x="271"/>
        <item x="280"/>
        <item x="107"/>
        <item x="358"/>
        <item x="250"/>
        <item x="59"/>
        <item x="103"/>
        <item x="85"/>
        <item x="362"/>
        <item x="97"/>
        <item x="300"/>
        <item x="38"/>
        <item x="208"/>
        <item x="238"/>
        <item x="258"/>
        <item x="293"/>
        <item x="404"/>
        <item x="263"/>
        <item x="265"/>
        <item x="138"/>
        <item x="27"/>
        <item x="141"/>
        <item x="266"/>
        <item x="122"/>
        <item x="67"/>
        <item x="70"/>
        <item x="84"/>
        <item x="364"/>
        <item x="176"/>
        <item x="228"/>
        <item x="381"/>
        <item x="135"/>
        <item x="129"/>
        <item x="104"/>
        <item x="94"/>
        <item x="321"/>
        <item x="63"/>
        <item x="197"/>
        <item x="204"/>
        <item x="283"/>
        <item x="429"/>
        <item x="380"/>
        <item x="213"/>
        <item x="370"/>
        <item x="346"/>
        <item x="409"/>
        <item x="184"/>
        <item x="422"/>
        <item x="60"/>
        <item x="310"/>
        <item x="163"/>
        <item x="428"/>
        <item x="418"/>
        <item x="234"/>
        <item x="408"/>
        <item x="336"/>
        <item x="390"/>
        <item x="131"/>
        <item x="71"/>
        <item x="386"/>
        <item x="174"/>
        <item x="344"/>
        <item x="113"/>
        <item x="352"/>
        <item x="35"/>
        <item x="168"/>
        <item x="375"/>
        <item x="6"/>
        <item x="52"/>
        <item x="145"/>
        <item x="117"/>
        <item x="169"/>
        <item x="301"/>
        <item x="355"/>
        <item x="237"/>
        <item x="374"/>
        <item x="132"/>
        <item x="287"/>
        <item x="431"/>
        <item x="31"/>
        <item x="218"/>
        <item x="32"/>
        <item x="249"/>
        <item x="393"/>
        <item x="128"/>
        <item x="223"/>
        <item x="92"/>
        <item x="255"/>
        <item x="328"/>
        <item x="303"/>
        <item x="91"/>
        <item x="217"/>
        <item x="90"/>
        <item x="34"/>
        <item x="378"/>
        <item x="267"/>
        <item x="302"/>
        <item x="389"/>
        <item x="388"/>
        <item x="33"/>
        <item x="93"/>
        <item x="350"/>
        <item x="296"/>
        <item x="236"/>
        <item x="384"/>
        <item x="171"/>
        <item x="116"/>
        <item x="394"/>
        <item x="44"/>
        <item x="187"/>
        <item x="314"/>
        <item x="158"/>
        <item x="149"/>
        <item x="292"/>
        <item x="79"/>
        <item x="55"/>
        <item x="189"/>
        <item x="379"/>
        <item x="146"/>
        <item x="152"/>
        <item x="433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4">
        <item x="26"/>
        <item x="14"/>
        <item x="18"/>
        <item x="34"/>
        <item x="25"/>
        <item x="1"/>
        <item x="15"/>
        <item x="0"/>
        <item x="16"/>
        <item x="11"/>
        <item x="12"/>
        <item x="30"/>
        <item x="8"/>
        <item x="28"/>
        <item x="37"/>
        <item x="23"/>
        <item x="24"/>
        <item x="39"/>
        <item x="10"/>
        <item x="7"/>
        <item x="38"/>
        <item x="40"/>
        <item x="31"/>
        <item x="5"/>
        <item x="41"/>
        <item x="35"/>
        <item x="19"/>
        <item x="6"/>
        <item x="29"/>
        <item x="33"/>
        <item x="27"/>
        <item x="9"/>
        <item x="22"/>
        <item x="32"/>
        <item x="4"/>
        <item x="21"/>
        <item x="20"/>
        <item x="13"/>
        <item x="42"/>
        <item x="36"/>
        <item x="17"/>
        <item x="2"/>
        <item x="3"/>
        <item t="default"/>
      </items>
    </pivotField>
    <pivotField compact="0" showAll="0">
      <items count="8">
        <item x="0"/>
        <item x="4"/>
        <item x="3"/>
        <item x="6"/>
        <item x="5"/>
        <item x="1"/>
        <item x="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411">
        <item x="260"/>
        <item x="77"/>
        <item x="104"/>
        <item x="376"/>
        <item x="259"/>
        <item x="189"/>
        <item x="155"/>
        <item x="328"/>
        <item x="374"/>
        <item x="118"/>
        <item x="401"/>
        <item x="319"/>
        <item x="176"/>
        <item x="228"/>
        <item x="65"/>
        <item x="45"/>
        <item x="308"/>
        <item x="185"/>
        <item x="151"/>
        <item x="108"/>
        <item x="74"/>
        <item x="366"/>
        <item x="211"/>
        <item x="335"/>
        <item x="386"/>
        <item x="240"/>
        <item x="233"/>
        <item x="173"/>
        <item x="280"/>
        <item x="186"/>
        <item x="98"/>
        <item x="1"/>
        <item x="390"/>
        <item x="356"/>
        <item x="384"/>
        <item x="235"/>
        <item x="400"/>
        <item x="11"/>
        <item x="276"/>
        <item x="86"/>
        <item x="193"/>
        <item x="20"/>
        <item x="251"/>
        <item x="188"/>
        <item x="256"/>
        <item x="159"/>
        <item x="3"/>
        <item x="371"/>
        <item x="175"/>
        <item x="197"/>
        <item x="154"/>
        <item x="352"/>
        <item x="49"/>
        <item x="24"/>
        <item x="72"/>
        <item x="218"/>
        <item x="379"/>
        <item x="122"/>
        <item x="9"/>
        <item x="202"/>
        <item x="39"/>
        <item x="289"/>
        <item x="241"/>
        <item x="110"/>
        <item x="258"/>
        <item x="57"/>
        <item x="231"/>
        <item x="187"/>
        <item x="166"/>
        <item x="107"/>
        <item x="68"/>
        <item x="248"/>
        <item x="221"/>
        <item x="262"/>
        <item x="41"/>
        <item x="306"/>
        <item x="191"/>
        <item x="406"/>
        <item x="364"/>
        <item x="61"/>
        <item x="177"/>
        <item x="130"/>
        <item x="296"/>
        <item x="389"/>
        <item x="28"/>
        <item x="301"/>
        <item x="318"/>
        <item x="195"/>
        <item x="36"/>
        <item x="149"/>
        <item x="362"/>
        <item x="142"/>
        <item x="239"/>
        <item x="263"/>
        <item x="5"/>
        <item x="345"/>
        <item x="161"/>
        <item x="64"/>
        <item x="93"/>
        <item x="137"/>
        <item x="119"/>
        <item x="284"/>
        <item x="249"/>
        <item x="315"/>
        <item x="53"/>
        <item x="238"/>
        <item x="340"/>
        <item x="80"/>
        <item x="402"/>
        <item x="150"/>
        <item x="73"/>
        <item x="217"/>
        <item x="147"/>
        <item x="194"/>
        <item x="210"/>
        <item x="103"/>
        <item x="334"/>
        <item x="396"/>
        <item x="385"/>
        <item x="311"/>
        <item x="312"/>
        <item x="232"/>
        <item x="172"/>
        <item x="184"/>
        <item x="44"/>
        <item x="97"/>
        <item x="112"/>
        <item x="355"/>
        <item x="274"/>
        <item x="16"/>
        <item x="297"/>
        <item x="243"/>
        <item x="52"/>
        <item x="234"/>
        <item x="299"/>
        <item x="399"/>
        <item x="10"/>
        <item x="244"/>
        <item x="15"/>
        <item x="275"/>
        <item x="85"/>
        <item x="99"/>
        <item x="82"/>
        <item x="19"/>
        <item x="153"/>
        <item x="268"/>
        <item x="305"/>
        <item x="207"/>
        <item x="382"/>
        <item x="198"/>
        <item x="22"/>
        <item x="347"/>
        <item x="255"/>
        <item x="117"/>
        <item x="158"/>
        <item x="2"/>
        <item x="392"/>
        <item x="370"/>
        <item x="293"/>
        <item x="203"/>
        <item x="174"/>
        <item x="200"/>
        <item x="219"/>
        <item x="100"/>
        <item x="145"/>
        <item x="205"/>
        <item x="254"/>
        <item x="264"/>
        <item x="0"/>
        <item x="351"/>
        <item x="408"/>
        <item x="48"/>
        <item x="23"/>
        <item x="71"/>
        <item x="378"/>
        <item x="156"/>
        <item x="121"/>
        <item x="63"/>
        <item x="292"/>
        <item x="341"/>
        <item x="8"/>
        <item x="79"/>
        <item x="229"/>
        <item x="342"/>
        <item x="47"/>
        <item x="182"/>
        <item x="109"/>
        <item x="337"/>
        <item x="391"/>
        <item x="290"/>
        <item x="313"/>
        <item x="329"/>
        <item x="381"/>
        <item x="167"/>
        <item x="227"/>
        <item x="348"/>
        <item x="291"/>
        <item x="247"/>
        <item x="277"/>
        <item x="330"/>
        <item x="87"/>
        <item x="246"/>
        <item x="332"/>
        <item x="220"/>
        <item x="380"/>
        <item x="261"/>
        <item x="230"/>
        <item x="76"/>
        <item x="302"/>
        <item x="46"/>
        <item x="192"/>
        <item x="67"/>
        <item x="17"/>
        <item x="164"/>
        <item x="201"/>
        <item x="179"/>
        <item x="60"/>
        <item x="14"/>
        <item x="144"/>
        <item x="81"/>
        <item x="206"/>
        <item x="21"/>
        <item x="171"/>
        <item x="388"/>
        <item x="393"/>
        <item x="116"/>
        <item x="326"/>
        <item x="27"/>
        <item x="338"/>
        <item x="300"/>
        <item x="272"/>
        <item x="394"/>
        <item x="42"/>
        <item x="346"/>
        <item x="84"/>
        <item x="350"/>
        <item x="271"/>
        <item x="135"/>
        <item x="309"/>
        <item x="40"/>
        <item x="307"/>
        <item x="322"/>
        <item x="321"/>
        <item x="35"/>
        <item x="323"/>
        <item x="132"/>
        <item x="267"/>
        <item x="13"/>
        <item x="148"/>
        <item x="120"/>
        <item x="75"/>
        <item x="361"/>
        <item x="343"/>
        <item x="324"/>
        <item x="403"/>
        <item x="397"/>
        <item x="223"/>
        <item x="169"/>
        <item x="123"/>
        <item x="214"/>
        <item x="316"/>
        <item x="270"/>
        <item x="38"/>
        <item x="12"/>
        <item x="129"/>
        <item x="215"/>
        <item x="25"/>
        <item x="106"/>
        <item x="50"/>
        <item x="141"/>
        <item x="213"/>
        <item x="281"/>
        <item x="375"/>
        <item x="126"/>
        <item x="377"/>
        <item x="56"/>
        <item x="180"/>
        <item x="4"/>
        <item x="94"/>
        <item x="113"/>
        <item x="160"/>
        <item x="29"/>
        <item x="138"/>
        <item x="295"/>
        <item x="134"/>
        <item x="96"/>
        <item x="18"/>
        <item x="265"/>
        <item x="303"/>
        <item x="283"/>
        <item x="314"/>
        <item x="320"/>
        <item x="55"/>
        <item x="257"/>
        <item x="266"/>
        <item x="105"/>
        <item x="237"/>
        <item x="101"/>
        <item x="58"/>
        <item x="339"/>
        <item x="95"/>
        <item x="285"/>
        <item x="37"/>
        <item x="199"/>
        <item x="226"/>
        <item x="245"/>
        <item x="279"/>
        <item x="383"/>
        <item x="250"/>
        <item x="133"/>
        <item x="26"/>
        <item x="136"/>
        <item x="252"/>
        <item x="66"/>
        <item x="69"/>
        <item x="83"/>
        <item x="344"/>
        <item x="170"/>
        <item x="216"/>
        <item x="360"/>
        <item x="131"/>
        <item x="125"/>
        <item x="92"/>
        <item x="102"/>
        <item x="304"/>
        <item x="62"/>
        <item x="190"/>
        <item x="196"/>
        <item x="269"/>
        <item x="405"/>
        <item x="204"/>
        <item x="359"/>
        <item x="349"/>
        <item x="327"/>
        <item x="178"/>
        <item x="398"/>
        <item x="59"/>
        <item x="294"/>
        <item x="157"/>
        <item x="404"/>
        <item x="395"/>
        <item x="222"/>
        <item x="387"/>
        <item x="317"/>
        <item x="369"/>
        <item x="127"/>
        <item x="70"/>
        <item x="365"/>
        <item x="168"/>
        <item x="325"/>
        <item x="111"/>
        <item x="333"/>
        <item x="34"/>
        <item x="162"/>
        <item x="354"/>
        <item x="6"/>
        <item x="139"/>
        <item x="51"/>
        <item x="115"/>
        <item x="163"/>
        <item x="286"/>
        <item x="336"/>
        <item x="225"/>
        <item x="353"/>
        <item x="128"/>
        <item x="273"/>
        <item x="407"/>
        <item x="30"/>
        <item x="209"/>
        <item x="31"/>
        <item x="236"/>
        <item x="372"/>
        <item x="124"/>
        <item x="212"/>
        <item x="90"/>
        <item x="242"/>
        <item x="310"/>
        <item x="288"/>
        <item x="89"/>
        <item x="88"/>
        <item x="208"/>
        <item x="33"/>
        <item x="357"/>
        <item x="253"/>
        <item x="287"/>
        <item x="368"/>
        <item x="367"/>
        <item x="32"/>
        <item x="91"/>
        <item x="331"/>
        <item x="282"/>
        <item x="224"/>
        <item x="363"/>
        <item x="165"/>
        <item x="114"/>
        <item x="373"/>
        <item x="43"/>
        <item x="181"/>
        <item x="298"/>
        <item x="152"/>
        <item x="143"/>
        <item x="278"/>
        <item x="78"/>
        <item x="54"/>
        <item x="183"/>
        <item x="358"/>
        <item x="140"/>
        <item x="146"/>
        <item x="409"/>
        <item x="7"/>
        <item t="default"/>
      </items>
    </pivotField>
    <pivotField compact="0" showAll="0">
      <items count="22">
        <item x="18"/>
        <item x="7"/>
        <item x="17"/>
        <item x="2"/>
        <item x="11"/>
        <item x="10"/>
        <item x="6"/>
        <item x="12"/>
        <item x="3"/>
        <item x="5"/>
        <item x="15"/>
        <item x="20"/>
        <item x="9"/>
        <item x="0"/>
        <item x="13"/>
        <item x="4"/>
        <item x="16"/>
        <item x="8"/>
        <item x="19"/>
        <item x="1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1">
        <item x="260"/>
        <item x="77"/>
        <item x="104"/>
        <item x="376"/>
        <item x="259"/>
        <item x="189"/>
        <item x="155"/>
        <item x="328"/>
        <item x="374"/>
        <item x="118"/>
        <item x="401"/>
        <item x="319"/>
        <item x="176"/>
        <item x="228"/>
        <item x="65"/>
        <item x="45"/>
        <item x="308"/>
        <item x="185"/>
        <item x="151"/>
        <item x="108"/>
        <item x="74"/>
        <item x="366"/>
        <item x="211"/>
        <item x="335"/>
        <item x="386"/>
        <item x="240"/>
        <item x="233"/>
        <item x="173"/>
        <item x="280"/>
        <item x="186"/>
        <item x="98"/>
        <item x="1"/>
        <item x="390"/>
        <item x="356"/>
        <item x="384"/>
        <item x="235"/>
        <item x="400"/>
        <item x="11"/>
        <item x="276"/>
        <item x="86"/>
        <item x="193"/>
        <item x="20"/>
        <item x="251"/>
        <item x="188"/>
        <item x="256"/>
        <item x="159"/>
        <item x="3"/>
        <item x="371"/>
        <item x="175"/>
        <item x="197"/>
        <item x="154"/>
        <item x="352"/>
        <item x="49"/>
        <item x="24"/>
        <item x="72"/>
        <item x="218"/>
        <item x="379"/>
        <item x="122"/>
        <item x="9"/>
        <item x="202"/>
        <item x="39"/>
        <item x="289"/>
        <item x="241"/>
        <item x="110"/>
        <item x="258"/>
        <item x="57"/>
        <item x="231"/>
        <item x="187"/>
        <item x="166"/>
        <item x="107"/>
        <item x="68"/>
        <item x="248"/>
        <item x="221"/>
        <item x="262"/>
        <item x="41"/>
        <item x="306"/>
        <item x="191"/>
        <item x="406"/>
        <item x="364"/>
        <item x="61"/>
        <item x="177"/>
        <item x="130"/>
        <item x="296"/>
        <item x="389"/>
        <item x="28"/>
        <item x="301"/>
        <item x="318"/>
        <item x="195"/>
        <item x="36"/>
        <item x="149"/>
        <item x="362"/>
        <item x="142"/>
        <item x="239"/>
        <item x="263"/>
        <item x="5"/>
        <item x="345"/>
        <item x="161"/>
        <item x="64"/>
        <item x="93"/>
        <item x="137"/>
        <item x="119"/>
        <item x="284"/>
        <item x="249"/>
        <item x="315"/>
        <item x="53"/>
        <item x="238"/>
        <item x="340"/>
        <item x="80"/>
        <item x="402"/>
        <item x="150"/>
        <item x="73"/>
        <item x="217"/>
        <item x="147"/>
        <item x="194"/>
        <item x="210"/>
        <item x="103"/>
        <item x="334"/>
        <item x="396"/>
        <item x="385"/>
        <item x="311"/>
        <item x="312"/>
        <item x="232"/>
        <item x="172"/>
        <item x="184"/>
        <item x="44"/>
        <item x="97"/>
        <item x="112"/>
        <item x="355"/>
        <item x="274"/>
        <item x="16"/>
        <item x="297"/>
        <item x="243"/>
        <item x="52"/>
        <item x="234"/>
        <item x="299"/>
        <item x="399"/>
        <item x="10"/>
        <item x="244"/>
        <item x="15"/>
        <item x="275"/>
        <item x="85"/>
        <item x="99"/>
        <item x="82"/>
        <item x="19"/>
        <item x="153"/>
        <item x="268"/>
        <item x="305"/>
        <item x="207"/>
        <item x="382"/>
        <item x="198"/>
        <item x="22"/>
        <item x="347"/>
        <item x="255"/>
        <item x="117"/>
        <item x="158"/>
        <item x="2"/>
        <item x="392"/>
        <item x="370"/>
        <item x="293"/>
        <item x="203"/>
        <item x="174"/>
        <item x="200"/>
        <item x="219"/>
        <item x="100"/>
        <item x="145"/>
        <item x="205"/>
        <item x="254"/>
        <item x="264"/>
        <item x="0"/>
        <item x="351"/>
        <item x="408"/>
        <item x="48"/>
        <item x="23"/>
        <item x="71"/>
        <item x="378"/>
        <item x="156"/>
        <item x="121"/>
        <item x="63"/>
        <item x="292"/>
        <item x="341"/>
        <item x="8"/>
        <item x="79"/>
        <item x="229"/>
        <item x="342"/>
        <item x="47"/>
        <item x="182"/>
        <item x="109"/>
        <item x="337"/>
        <item x="391"/>
        <item x="290"/>
        <item x="313"/>
        <item x="329"/>
        <item x="381"/>
        <item x="167"/>
        <item x="227"/>
        <item x="348"/>
        <item x="291"/>
        <item x="247"/>
        <item x="277"/>
        <item x="330"/>
        <item x="87"/>
        <item x="246"/>
        <item x="332"/>
        <item x="220"/>
        <item x="380"/>
        <item x="261"/>
        <item x="230"/>
        <item x="76"/>
        <item x="302"/>
        <item x="46"/>
        <item x="192"/>
        <item x="67"/>
        <item x="17"/>
        <item x="164"/>
        <item x="201"/>
        <item x="179"/>
        <item x="60"/>
        <item x="14"/>
        <item x="144"/>
        <item x="81"/>
        <item x="206"/>
        <item x="21"/>
        <item x="171"/>
        <item x="388"/>
        <item x="393"/>
        <item x="116"/>
        <item x="326"/>
        <item x="27"/>
        <item x="338"/>
        <item x="300"/>
        <item x="272"/>
        <item x="394"/>
        <item x="42"/>
        <item x="346"/>
        <item x="84"/>
        <item x="350"/>
        <item x="271"/>
        <item x="135"/>
        <item x="309"/>
        <item x="40"/>
        <item x="307"/>
        <item x="322"/>
        <item x="321"/>
        <item x="35"/>
        <item x="323"/>
        <item x="132"/>
        <item x="267"/>
        <item x="13"/>
        <item x="148"/>
        <item x="120"/>
        <item x="75"/>
        <item x="361"/>
        <item x="343"/>
        <item x="324"/>
        <item x="403"/>
        <item x="397"/>
        <item x="223"/>
        <item x="169"/>
        <item x="123"/>
        <item x="214"/>
        <item x="316"/>
        <item x="270"/>
        <item x="38"/>
        <item x="12"/>
        <item x="129"/>
        <item x="215"/>
        <item x="25"/>
        <item x="106"/>
        <item x="50"/>
        <item x="141"/>
        <item x="213"/>
        <item x="281"/>
        <item x="375"/>
        <item x="126"/>
        <item x="377"/>
        <item x="56"/>
        <item x="180"/>
        <item x="4"/>
        <item x="94"/>
        <item x="113"/>
        <item x="160"/>
        <item x="29"/>
        <item x="138"/>
        <item x="295"/>
        <item x="134"/>
        <item x="96"/>
        <item x="18"/>
        <item x="265"/>
        <item x="303"/>
        <item x="283"/>
        <item x="314"/>
        <item x="320"/>
        <item x="55"/>
        <item x="257"/>
        <item x="266"/>
        <item x="105"/>
        <item x="237"/>
        <item x="101"/>
        <item x="58"/>
        <item x="339"/>
        <item x="95"/>
        <item x="285"/>
        <item x="37"/>
        <item x="199"/>
        <item x="226"/>
        <item x="245"/>
        <item x="279"/>
        <item x="383"/>
        <item x="250"/>
        <item x="133"/>
        <item x="26"/>
        <item x="136"/>
        <item x="252"/>
        <item x="66"/>
        <item x="69"/>
        <item x="83"/>
        <item x="344"/>
        <item x="170"/>
        <item x="216"/>
        <item x="360"/>
        <item x="131"/>
        <item x="125"/>
        <item x="92"/>
        <item x="102"/>
        <item x="304"/>
        <item x="62"/>
        <item x="190"/>
        <item x="196"/>
        <item x="269"/>
        <item x="405"/>
        <item x="204"/>
        <item x="359"/>
        <item x="349"/>
        <item x="327"/>
        <item x="178"/>
        <item x="398"/>
        <item x="59"/>
        <item x="294"/>
        <item x="157"/>
        <item x="404"/>
        <item x="395"/>
        <item x="222"/>
        <item x="387"/>
        <item x="317"/>
        <item x="369"/>
        <item x="127"/>
        <item x="70"/>
        <item x="365"/>
        <item x="168"/>
        <item x="325"/>
        <item x="111"/>
        <item x="333"/>
        <item x="34"/>
        <item x="162"/>
        <item x="354"/>
        <item x="6"/>
        <item x="139"/>
        <item x="51"/>
        <item x="115"/>
        <item x="163"/>
        <item x="286"/>
        <item x="336"/>
        <item x="225"/>
        <item x="353"/>
        <item x="128"/>
        <item x="273"/>
        <item x="407"/>
        <item x="30"/>
        <item x="209"/>
        <item x="31"/>
        <item x="236"/>
        <item x="372"/>
        <item x="124"/>
        <item x="212"/>
        <item x="90"/>
        <item x="242"/>
        <item x="310"/>
        <item x="288"/>
        <item x="89"/>
        <item x="88"/>
        <item x="208"/>
        <item x="33"/>
        <item x="357"/>
        <item x="253"/>
        <item x="287"/>
        <item x="368"/>
        <item x="367"/>
        <item x="32"/>
        <item x="91"/>
        <item x="331"/>
        <item x="282"/>
        <item x="224"/>
        <item x="363"/>
        <item x="165"/>
        <item x="114"/>
        <item x="373"/>
        <item x="43"/>
        <item x="181"/>
        <item x="298"/>
        <item x="152"/>
        <item x="143"/>
        <item x="278"/>
        <item x="78"/>
        <item x="54"/>
        <item x="183"/>
        <item x="358"/>
        <item x="140"/>
        <item x="146"/>
        <item x="409"/>
        <item x="7"/>
        <item t="default"/>
      </items>
    </pivotField>
    <pivotField compact="0" showAll="0">
      <items count="435">
        <item x="274"/>
        <item x="120"/>
        <item x="78"/>
        <item x="201"/>
        <item x="106"/>
        <item x="397"/>
        <item x="273"/>
        <item x="196"/>
        <item x="161"/>
        <item x="347"/>
        <item x="395"/>
        <item x="121"/>
        <item x="425"/>
        <item x="338"/>
        <item x="182"/>
        <item x="241"/>
        <item x="66"/>
        <item x="46"/>
        <item x="326"/>
        <item x="192"/>
        <item x="157"/>
        <item x="110"/>
        <item x="75"/>
        <item x="387"/>
        <item x="220"/>
        <item x="354"/>
        <item x="407"/>
        <item x="253"/>
        <item x="246"/>
        <item x="179"/>
        <item x="294"/>
        <item x="193"/>
        <item x="100"/>
        <item x="1"/>
        <item x="412"/>
        <item x="377"/>
        <item x="405"/>
        <item x="248"/>
        <item x="424"/>
        <item x="11"/>
        <item x="290"/>
        <item x="88"/>
        <item x="200"/>
        <item x="21"/>
        <item x="195"/>
        <item x="264"/>
        <item x="270"/>
        <item x="165"/>
        <item x="3"/>
        <item x="392"/>
        <item x="181"/>
        <item x="160"/>
        <item x="205"/>
        <item x="373"/>
        <item x="50"/>
        <item x="25"/>
        <item x="73"/>
        <item x="230"/>
        <item x="400"/>
        <item x="126"/>
        <item x="9"/>
        <item x="211"/>
        <item x="222"/>
        <item x="40"/>
        <item x="305"/>
        <item x="254"/>
        <item x="112"/>
        <item x="272"/>
        <item x="58"/>
        <item x="244"/>
        <item x="172"/>
        <item x="194"/>
        <item x="240"/>
        <item x="109"/>
        <item x="69"/>
        <item x="261"/>
        <item x="233"/>
        <item x="276"/>
        <item x="42"/>
        <item x="323"/>
        <item x="198"/>
        <item x="430"/>
        <item x="385"/>
        <item x="62"/>
        <item x="183"/>
        <item x="134"/>
        <item x="312"/>
        <item x="411"/>
        <item x="29"/>
        <item x="337"/>
        <item x="318"/>
        <item x="203"/>
        <item x="325"/>
        <item x="37"/>
        <item x="155"/>
        <item x="383"/>
        <item x="148"/>
        <item x="252"/>
        <item x="277"/>
        <item x="5"/>
        <item x="365"/>
        <item x="167"/>
        <item x="65"/>
        <item x="95"/>
        <item x="142"/>
        <item x="123"/>
        <item x="299"/>
        <item x="262"/>
        <item x="333"/>
        <item x="54"/>
        <item x="251"/>
        <item x="359"/>
        <item x="190"/>
        <item x="81"/>
        <item x="426"/>
        <item x="156"/>
        <item x="74"/>
        <item x="315"/>
        <item x="229"/>
        <item x="153"/>
        <item x="202"/>
        <item x="219"/>
        <item x="105"/>
        <item x="353"/>
        <item x="406"/>
        <item x="419"/>
        <item x="245"/>
        <item x="329"/>
        <item x="330"/>
        <item x="178"/>
        <item x="191"/>
        <item x="99"/>
        <item x="45"/>
        <item x="114"/>
        <item x="376"/>
        <item x="288"/>
        <item x="16"/>
        <item x="313"/>
        <item x="256"/>
        <item x="53"/>
        <item x="247"/>
        <item x="297"/>
        <item x="316"/>
        <item x="423"/>
        <item x="10"/>
        <item x="143"/>
        <item x="416"/>
        <item x="257"/>
        <item x="289"/>
        <item x="15"/>
        <item x="87"/>
        <item x="206"/>
        <item x="101"/>
        <item x="83"/>
        <item x="20"/>
        <item x="159"/>
        <item x="282"/>
        <item x="322"/>
        <item x="216"/>
        <item x="403"/>
        <item x="207"/>
        <item x="269"/>
        <item x="23"/>
        <item x="368"/>
        <item x="119"/>
        <item x="164"/>
        <item x="2"/>
        <item x="414"/>
        <item x="391"/>
        <item x="309"/>
        <item x="212"/>
        <item x="180"/>
        <item x="209"/>
        <item x="231"/>
        <item x="102"/>
        <item x="151"/>
        <item x="304"/>
        <item x="214"/>
        <item x="0"/>
        <item x="372"/>
        <item x="278"/>
        <item x="268"/>
        <item x="49"/>
        <item x="221"/>
        <item x="432"/>
        <item x="24"/>
        <item x="72"/>
        <item x="399"/>
        <item x="162"/>
        <item x="125"/>
        <item x="8"/>
        <item x="64"/>
        <item x="308"/>
        <item x="136"/>
        <item x="334"/>
        <item x="360"/>
        <item x="80"/>
        <item x="242"/>
        <item x="361"/>
        <item x="48"/>
        <item x="111"/>
        <item x="188"/>
        <item x="413"/>
        <item x="356"/>
        <item x="306"/>
        <item x="331"/>
        <item x="348"/>
        <item x="402"/>
        <item x="173"/>
        <item x="239"/>
        <item x="369"/>
        <item x="260"/>
        <item x="307"/>
        <item x="291"/>
        <item x="349"/>
        <item x="351"/>
        <item x="89"/>
        <item x="259"/>
        <item x="275"/>
        <item x="232"/>
        <item x="401"/>
        <item x="243"/>
        <item x="77"/>
        <item x="319"/>
        <item x="199"/>
        <item x="47"/>
        <item x="366"/>
        <item x="68"/>
        <item x="18"/>
        <item x="17"/>
        <item x="170"/>
        <item x="61"/>
        <item x="210"/>
        <item x="185"/>
        <item x="14"/>
        <item x="150"/>
        <item x="82"/>
        <item x="225"/>
        <item x="215"/>
        <item x="22"/>
        <item x="410"/>
        <item x="118"/>
        <item x="177"/>
        <item x="415"/>
        <item x="28"/>
        <item x="345"/>
        <item x="357"/>
        <item x="317"/>
        <item x="286"/>
        <item x="417"/>
        <item x="43"/>
        <item x="367"/>
        <item x="86"/>
        <item x="371"/>
        <item x="285"/>
        <item x="140"/>
        <item x="324"/>
        <item x="327"/>
        <item x="36"/>
        <item x="340"/>
        <item x="41"/>
        <item x="341"/>
        <item x="342"/>
        <item x="137"/>
        <item x="281"/>
        <item x="13"/>
        <item x="154"/>
        <item x="124"/>
        <item x="76"/>
        <item x="382"/>
        <item x="363"/>
        <item x="343"/>
        <item x="427"/>
        <item x="420"/>
        <item x="235"/>
        <item x="175"/>
        <item x="127"/>
        <item x="226"/>
        <item x="335"/>
        <item x="284"/>
        <item x="39"/>
        <item x="12"/>
        <item x="133"/>
        <item x="227"/>
        <item x="26"/>
        <item x="108"/>
        <item x="147"/>
        <item x="51"/>
        <item x="224"/>
        <item x="295"/>
        <item x="396"/>
        <item x="130"/>
        <item x="4"/>
        <item x="398"/>
        <item x="186"/>
        <item x="57"/>
        <item x="96"/>
        <item x="115"/>
        <item x="166"/>
        <item x="30"/>
        <item x="144"/>
        <item x="311"/>
        <item x="139"/>
        <item x="98"/>
        <item x="19"/>
        <item x="279"/>
        <item x="320"/>
        <item x="298"/>
        <item x="421"/>
        <item x="332"/>
        <item x="339"/>
        <item x="56"/>
        <item x="271"/>
        <item x="280"/>
        <item x="107"/>
        <item x="358"/>
        <item x="250"/>
        <item x="59"/>
        <item x="103"/>
        <item x="85"/>
        <item x="362"/>
        <item x="97"/>
        <item x="300"/>
        <item x="38"/>
        <item x="208"/>
        <item x="238"/>
        <item x="258"/>
        <item x="293"/>
        <item x="404"/>
        <item x="263"/>
        <item x="265"/>
        <item x="138"/>
        <item x="27"/>
        <item x="141"/>
        <item x="266"/>
        <item x="122"/>
        <item x="67"/>
        <item x="70"/>
        <item x="84"/>
        <item x="364"/>
        <item x="176"/>
        <item x="228"/>
        <item x="381"/>
        <item x="135"/>
        <item x="129"/>
        <item x="104"/>
        <item x="94"/>
        <item x="321"/>
        <item x="63"/>
        <item x="197"/>
        <item x="204"/>
        <item x="283"/>
        <item x="429"/>
        <item x="380"/>
        <item x="213"/>
        <item x="370"/>
        <item x="346"/>
        <item x="409"/>
        <item x="184"/>
        <item x="422"/>
        <item x="60"/>
        <item x="310"/>
        <item x="163"/>
        <item x="428"/>
        <item x="418"/>
        <item x="234"/>
        <item x="408"/>
        <item x="336"/>
        <item x="390"/>
        <item x="131"/>
        <item x="71"/>
        <item x="386"/>
        <item x="174"/>
        <item x="344"/>
        <item x="113"/>
        <item x="352"/>
        <item x="35"/>
        <item x="168"/>
        <item x="375"/>
        <item x="6"/>
        <item x="52"/>
        <item x="145"/>
        <item x="117"/>
        <item x="169"/>
        <item x="301"/>
        <item x="355"/>
        <item x="237"/>
        <item x="374"/>
        <item x="132"/>
        <item x="287"/>
        <item x="431"/>
        <item x="31"/>
        <item x="218"/>
        <item x="32"/>
        <item x="249"/>
        <item x="393"/>
        <item x="128"/>
        <item x="223"/>
        <item x="92"/>
        <item x="255"/>
        <item x="328"/>
        <item x="303"/>
        <item x="91"/>
        <item x="217"/>
        <item x="90"/>
        <item x="34"/>
        <item x="378"/>
        <item x="267"/>
        <item x="302"/>
        <item x="389"/>
        <item x="388"/>
        <item x="33"/>
        <item x="93"/>
        <item x="350"/>
        <item x="296"/>
        <item x="236"/>
        <item x="384"/>
        <item x="171"/>
        <item x="116"/>
        <item x="394"/>
        <item x="44"/>
        <item x="187"/>
        <item x="314"/>
        <item x="158"/>
        <item x="149"/>
        <item x="292"/>
        <item x="79"/>
        <item x="55"/>
        <item x="189"/>
        <item x="379"/>
        <item x="146"/>
        <item x="152"/>
        <item x="433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8">
        <item x="1"/>
        <item x="3"/>
        <item x="5"/>
        <item x="4"/>
        <item x="2"/>
        <item x="0"/>
        <item x="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63">
        <item x="115"/>
        <item x="302"/>
        <item x="235"/>
        <item x="221"/>
        <item x="183"/>
        <item x="126"/>
        <item x="207"/>
        <item x="311"/>
        <item x="144"/>
        <item x="111"/>
        <item x="170"/>
        <item x="243"/>
        <item x="112"/>
        <item x="310"/>
        <item x="156"/>
        <item x="348"/>
        <item x="225"/>
        <item x="271"/>
        <item x="13"/>
        <item x="0"/>
        <item x="295"/>
        <item x="33"/>
        <item x="2"/>
        <item x="1"/>
        <item x="3"/>
        <item x="5"/>
        <item x="6"/>
        <item x="103"/>
        <item x="8"/>
        <item x="7"/>
        <item x="9"/>
        <item x="16"/>
        <item x="10"/>
        <item x="11"/>
        <item x="18"/>
        <item x="12"/>
        <item x="15"/>
        <item x="14"/>
        <item x="50"/>
        <item x="29"/>
        <item x="28"/>
        <item x="20"/>
        <item x="19"/>
        <item x="27"/>
        <item x="38"/>
        <item x="23"/>
        <item x="24"/>
        <item x="21"/>
        <item x="25"/>
        <item x="48"/>
        <item x="26"/>
        <item x="22"/>
        <item x="39"/>
        <item x="30"/>
        <item x="41"/>
        <item x="31"/>
        <item x="32"/>
        <item x="37"/>
        <item x="35"/>
        <item x="43"/>
        <item x="36"/>
        <item x="40"/>
        <item x="44"/>
        <item x="52"/>
        <item x="42"/>
        <item x="51"/>
        <item x="45"/>
        <item x="46"/>
        <item x="53"/>
        <item x="49"/>
        <item x="54"/>
        <item x="55"/>
        <item x="58"/>
        <item x="56"/>
        <item x="57"/>
        <item x="59"/>
        <item x="118"/>
        <item x="62"/>
        <item x="61"/>
        <item x="60"/>
        <item x="63"/>
        <item x="65"/>
        <item x="77"/>
        <item x="69"/>
        <item x="82"/>
        <item x="92"/>
        <item x="70"/>
        <item x="74"/>
        <item x="78"/>
        <item x="73"/>
        <item x="107"/>
        <item x="83"/>
        <item x="80"/>
        <item x="79"/>
        <item x="97"/>
        <item x="86"/>
        <item x="93"/>
        <item x="89"/>
        <item x="90"/>
        <item x="163"/>
        <item x="96"/>
        <item x="81"/>
        <item x="85"/>
        <item x="84"/>
        <item x="98"/>
        <item x="116"/>
        <item x="87"/>
        <item x="94"/>
        <item x="95"/>
        <item x="101"/>
        <item x="99"/>
        <item x="109"/>
        <item x="100"/>
        <item x="104"/>
        <item x="102"/>
        <item x="110"/>
        <item x="108"/>
        <item x="114"/>
        <item x="117"/>
        <item x="122"/>
        <item x="119"/>
        <item x="130"/>
        <item x="120"/>
        <item x="124"/>
        <item x="127"/>
        <item x="125"/>
        <item x="129"/>
        <item x="131"/>
        <item x="132"/>
        <item x="134"/>
        <item x="136"/>
        <item x="133"/>
        <item x="135"/>
        <item x="139"/>
        <item x="143"/>
        <item x="145"/>
        <item x="162"/>
        <item x="146"/>
        <item x="148"/>
        <item x="147"/>
        <item x="149"/>
        <item x="150"/>
        <item x="151"/>
        <item x="152"/>
        <item x="153"/>
        <item x="154"/>
        <item x="159"/>
        <item x="155"/>
        <item x="158"/>
        <item x="157"/>
        <item x="160"/>
        <item x="164"/>
        <item x="166"/>
        <item x="168"/>
        <item x="161"/>
        <item x="165"/>
        <item x="171"/>
        <item x="169"/>
        <item x="172"/>
        <item x="173"/>
        <item x="175"/>
        <item x="177"/>
        <item x="178"/>
        <item x="181"/>
        <item x="186"/>
        <item x="179"/>
        <item x="182"/>
        <item x="180"/>
        <item x="184"/>
        <item x="192"/>
        <item x="187"/>
        <item x="191"/>
        <item x="188"/>
        <item x="200"/>
        <item x="195"/>
        <item x="197"/>
        <item x="205"/>
        <item x="198"/>
        <item x="189"/>
        <item x="204"/>
        <item x="190"/>
        <item x="201"/>
        <item x="206"/>
        <item x="196"/>
        <item x="202"/>
        <item x="214"/>
        <item x="208"/>
        <item x="210"/>
        <item x="209"/>
        <item x="219"/>
        <item x="218"/>
        <item x="211"/>
        <item x="212"/>
        <item x="215"/>
        <item x="220"/>
        <item x="217"/>
        <item x="222"/>
        <item x="224"/>
        <item x="226"/>
        <item x="345"/>
        <item x="244"/>
        <item x="346"/>
        <item x="232"/>
        <item x="251"/>
        <item x="231"/>
        <item x="233"/>
        <item x="234"/>
        <item x="237"/>
        <item x="239"/>
        <item x="240"/>
        <item x="236"/>
        <item x="241"/>
        <item x="242"/>
        <item x="238"/>
        <item x="248"/>
        <item x="247"/>
        <item x="245"/>
        <item x="246"/>
        <item x="256"/>
        <item x="258"/>
        <item x="257"/>
        <item x="254"/>
        <item x="252"/>
        <item x="267"/>
        <item x="253"/>
        <item x="255"/>
        <item x="261"/>
        <item x="275"/>
        <item x="259"/>
        <item x="260"/>
        <item x="264"/>
        <item x="266"/>
        <item x="269"/>
        <item x="272"/>
        <item x="273"/>
        <item x="278"/>
        <item x="279"/>
        <item x="268"/>
        <item x="270"/>
        <item x="276"/>
        <item x="277"/>
        <item x="286"/>
        <item x="290"/>
        <item x="288"/>
        <item x="283"/>
        <item x="281"/>
        <item x="262"/>
        <item x="274"/>
        <item x="287"/>
        <item x="285"/>
        <item x="282"/>
        <item x="280"/>
        <item x="289"/>
        <item x="292"/>
        <item x="296"/>
        <item x="294"/>
        <item x="291"/>
        <item x="293"/>
        <item x="297"/>
        <item x="314"/>
        <item x="313"/>
        <item x="304"/>
        <item x="303"/>
        <item x="298"/>
        <item x="300"/>
        <item x="299"/>
        <item x="305"/>
        <item x="317"/>
        <item x="319"/>
        <item x="334"/>
        <item x="320"/>
        <item x="321"/>
        <item x="323"/>
        <item x="322"/>
        <item x="340"/>
        <item x="327"/>
        <item x="329"/>
        <item x="330"/>
        <item x="331"/>
        <item x="326"/>
        <item x="342"/>
        <item x="328"/>
        <item x="336"/>
        <item x="339"/>
        <item x="333"/>
        <item x="335"/>
        <item x="338"/>
        <item x="341"/>
        <item x="349"/>
        <item x="347"/>
        <item x="344"/>
        <item x="350"/>
        <item x="358"/>
        <item x="357"/>
        <item x="356"/>
        <item x="355"/>
        <item x="359"/>
        <item x="360"/>
        <item x="361"/>
        <item x="137"/>
        <item x="138"/>
        <item x="64"/>
        <item x="17"/>
        <item x="34"/>
        <item x="47"/>
        <item x="66"/>
        <item x="223"/>
        <item x="68"/>
        <item x="67"/>
        <item x="75"/>
        <item x="71"/>
        <item x="72"/>
        <item x="76"/>
        <item x="88"/>
        <item x="91"/>
        <item x="106"/>
        <item x="105"/>
        <item x="113"/>
        <item x="121"/>
        <item x="128"/>
        <item x="123"/>
        <item x="140"/>
        <item x="142"/>
        <item x="141"/>
        <item x="167"/>
        <item x="174"/>
        <item x="176"/>
        <item x="185"/>
        <item x="193"/>
        <item x="194"/>
        <item x="199"/>
        <item x="203"/>
        <item x="213"/>
        <item x="216"/>
        <item x="230"/>
        <item x="227"/>
        <item x="229"/>
        <item x="228"/>
        <item x="250"/>
        <item x="249"/>
        <item x="263"/>
        <item x="265"/>
        <item x="284"/>
        <item x="316"/>
        <item x="315"/>
        <item x="301"/>
        <item x="312"/>
        <item x="309"/>
        <item x="308"/>
        <item x="307"/>
        <item x="306"/>
        <item x="318"/>
        <item x="325"/>
        <item x="324"/>
        <item x="332"/>
        <item x="337"/>
        <item x="343"/>
        <item x="352"/>
        <item x="353"/>
        <item x="351"/>
        <item x="354"/>
        <item x="4"/>
        <item t="default"/>
      </items>
    </pivotField>
    <pivotField compact="0" showAll="0">
      <items count="404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x="402"/>
        <item t="default"/>
      </items>
    </pivotField>
    <pivotField compact="0" showAll="0">
      <items count="2">
        <item x="0"/>
        <item t="default"/>
      </items>
    </pivotField>
    <pivotField compact="0" showAll="0">
      <items count="410">
        <item x="259"/>
        <item x="77"/>
        <item x="104"/>
        <item x="375"/>
        <item x="258"/>
        <item x="189"/>
        <item x="155"/>
        <item x="327"/>
        <item x="373"/>
        <item x="118"/>
        <item x="400"/>
        <item x="318"/>
        <item x="176"/>
        <item x="227"/>
        <item x="65"/>
        <item x="45"/>
        <item x="307"/>
        <item x="185"/>
        <item x="151"/>
        <item x="108"/>
        <item x="74"/>
        <item x="365"/>
        <item x="211"/>
        <item x="334"/>
        <item x="385"/>
        <item x="239"/>
        <item x="232"/>
        <item x="173"/>
        <item x="279"/>
        <item x="186"/>
        <item x="98"/>
        <item x="1"/>
        <item x="389"/>
        <item x="355"/>
        <item x="383"/>
        <item x="234"/>
        <item x="399"/>
        <item x="11"/>
        <item x="275"/>
        <item x="86"/>
        <item x="193"/>
        <item x="20"/>
        <item x="250"/>
        <item x="188"/>
        <item x="255"/>
        <item x="159"/>
        <item x="3"/>
        <item x="370"/>
        <item x="175"/>
        <item x="197"/>
        <item x="154"/>
        <item x="351"/>
        <item x="49"/>
        <item x="24"/>
        <item x="72"/>
        <item x="218"/>
        <item x="378"/>
        <item x="122"/>
        <item x="9"/>
        <item x="202"/>
        <item x="39"/>
        <item x="288"/>
        <item x="240"/>
        <item x="110"/>
        <item x="257"/>
        <item x="57"/>
        <item x="230"/>
        <item x="187"/>
        <item x="166"/>
        <item x="107"/>
        <item x="68"/>
        <item x="247"/>
        <item x="221"/>
        <item x="261"/>
        <item x="41"/>
        <item x="305"/>
        <item x="191"/>
        <item x="405"/>
        <item x="363"/>
        <item x="61"/>
        <item x="177"/>
        <item x="130"/>
        <item x="295"/>
        <item x="388"/>
        <item x="28"/>
        <item x="300"/>
        <item x="317"/>
        <item x="195"/>
        <item x="36"/>
        <item x="149"/>
        <item x="361"/>
        <item x="142"/>
        <item x="238"/>
        <item x="262"/>
        <item x="5"/>
        <item x="344"/>
        <item x="161"/>
        <item x="64"/>
        <item x="93"/>
        <item x="137"/>
        <item x="119"/>
        <item x="283"/>
        <item x="248"/>
        <item x="314"/>
        <item x="53"/>
        <item x="237"/>
        <item x="339"/>
        <item x="80"/>
        <item x="401"/>
        <item x="150"/>
        <item x="73"/>
        <item x="217"/>
        <item x="147"/>
        <item x="194"/>
        <item x="210"/>
        <item x="103"/>
        <item x="333"/>
        <item x="395"/>
        <item x="384"/>
        <item x="310"/>
        <item x="311"/>
        <item x="231"/>
        <item x="172"/>
        <item x="184"/>
        <item x="44"/>
        <item x="97"/>
        <item x="112"/>
        <item x="354"/>
        <item x="273"/>
        <item x="16"/>
        <item x="296"/>
        <item x="242"/>
        <item x="52"/>
        <item x="233"/>
        <item x="298"/>
        <item x="398"/>
        <item x="10"/>
        <item x="243"/>
        <item x="15"/>
        <item x="274"/>
        <item x="85"/>
        <item x="99"/>
        <item x="82"/>
        <item x="19"/>
        <item x="153"/>
        <item x="267"/>
        <item x="304"/>
        <item x="207"/>
        <item x="381"/>
        <item x="198"/>
        <item x="22"/>
        <item x="346"/>
        <item x="254"/>
        <item x="117"/>
        <item x="158"/>
        <item x="2"/>
        <item x="391"/>
        <item x="369"/>
        <item x="292"/>
        <item x="203"/>
        <item x="174"/>
        <item x="200"/>
        <item x="219"/>
        <item x="100"/>
        <item x="145"/>
        <item x="205"/>
        <item x="253"/>
        <item x="263"/>
        <item x="0"/>
        <item x="350"/>
        <item x="407"/>
        <item x="48"/>
        <item x="23"/>
        <item x="71"/>
        <item x="377"/>
        <item x="156"/>
        <item x="121"/>
        <item x="63"/>
        <item x="291"/>
        <item x="340"/>
        <item x="8"/>
        <item x="79"/>
        <item x="228"/>
        <item x="341"/>
        <item x="47"/>
        <item x="182"/>
        <item x="109"/>
        <item x="336"/>
        <item x="390"/>
        <item x="289"/>
        <item x="312"/>
        <item x="328"/>
        <item x="380"/>
        <item x="167"/>
        <item x="226"/>
        <item x="347"/>
        <item x="290"/>
        <item x="246"/>
        <item x="276"/>
        <item x="329"/>
        <item x="87"/>
        <item x="245"/>
        <item x="331"/>
        <item x="220"/>
        <item x="379"/>
        <item x="260"/>
        <item x="229"/>
        <item x="76"/>
        <item x="301"/>
        <item x="46"/>
        <item x="192"/>
        <item x="67"/>
        <item x="17"/>
        <item x="164"/>
        <item x="201"/>
        <item x="179"/>
        <item x="60"/>
        <item x="14"/>
        <item x="144"/>
        <item x="81"/>
        <item x="206"/>
        <item x="21"/>
        <item x="171"/>
        <item x="387"/>
        <item x="392"/>
        <item x="116"/>
        <item x="325"/>
        <item x="27"/>
        <item x="337"/>
        <item x="299"/>
        <item x="271"/>
        <item x="393"/>
        <item x="42"/>
        <item x="345"/>
        <item x="84"/>
        <item x="349"/>
        <item x="270"/>
        <item x="135"/>
        <item x="308"/>
        <item x="40"/>
        <item x="306"/>
        <item x="321"/>
        <item x="320"/>
        <item x="35"/>
        <item x="322"/>
        <item x="132"/>
        <item x="266"/>
        <item x="13"/>
        <item x="148"/>
        <item x="120"/>
        <item x="75"/>
        <item x="360"/>
        <item x="342"/>
        <item x="323"/>
        <item x="402"/>
        <item x="396"/>
        <item x="223"/>
        <item x="169"/>
        <item x="123"/>
        <item x="214"/>
        <item x="315"/>
        <item x="269"/>
        <item x="38"/>
        <item x="12"/>
        <item x="129"/>
        <item x="215"/>
        <item x="25"/>
        <item x="106"/>
        <item x="50"/>
        <item x="141"/>
        <item x="213"/>
        <item x="280"/>
        <item x="374"/>
        <item x="126"/>
        <item x="376"/>
        <item x="56"/>
        <item x="180"/>
        <item x="4"/>
        <item x="94"/>
        <item x="113"/>
        <item x="160"/>
        <item x="29"/>
        <item x="138"/>
        <item x="294"/>
        <item x="134"/>
        <item x="96"/>
        <item x="18"/>
        <item x="264"/>
        <item x="302"/>
        <item x="282"/>
        <item x="313"/>
        <item x="319"/>
        <item x="55"/>
        <item x="256"/>
        <item x="265"/>
        <item x="105"/>
        <item x="236"/>
        <item x="101"/>
        <item x="58"/>
        <item x="338"/>
        <item x="95"/>
        <item x="284"/>
        <item x="37"/>
        <item x="199"/>
        <item x="225"/>
        <item x="244"/>
        <item x="278"/>
        <item x="382"/>
        <item x="249"/>
        <item x="133"/>
        <item x="26"/>
        <item x="136"/>
        <item x="251"/>
        <item x="66"/>
        <item x="69"/>
        <item x="83"/>
        <item x="343"/>
        <item x="170"/>
        <item x="216"/>
        <item x="359"/>
        <item x="131"/>
        <item x="125"/>
        <item x="92"/>
        <item x="102"/>
        <item x="303"/>
        <item x="62"/>
        <item x="190"/>
        <item x="196"/>
        <item x="268"/>
        <item x="404"/>
        <item x="204"/>
        <item x="358"/>
        <item x="348"/>
        <item x="326"/>
        <item x="178"/>
        <item x="397"/>
        <item x="59"/>
        <item x="293"/>
        <item x="157"/>
        <item x="403"/>
        <item x="394"/>
        <item x="222"/>
        <item x="386"/>
        <item x="316"/>
        <item x="368"/>
        <item x="127"/>
        <item x="70"/>
        <item x="364"/>
        <item x="168"/>
        <item x="324"/>
        <item x="111"/>
        <item x="332"/>
        <item x="34"/>
        <item x="162"/>
        <item x="353"/>
        <item x="6"/>
        <item x="139"/>
        <item x="51"/>
        <item x="115"/>
        <item x="163"/>
        <item x="285"/>
        <item x="335"/>
        <item x="352"/>
        <item x="128"/>
        <item x="272"/>
        <item x="406"/>
        <item x="30"/>
        <item x="209"/>
        <item x="31"/>
        <item x="235"/>
        <item x="371"/>
        <item x="124"/>
        <item x="212"/>
        <item x="90"/>
        <item x="241"/>
        <item x="309"/>
        <item x="287"/>
        <item x="89"/>
        <item x="88"/>
        <item x="208"/>
        <item x="33"/>
        <item x="356"/>
        <item x="252"/>
        <item x="286"/>
        <item x="367"/>
        <item x="366"/>
        <item x="32"/>
        <item x="91"/>
        <item x="330"/>
        <item x="281"/>
        <item x="224"/>
        <item x="362"/>
        <item x="165"/>
        <item x="114"/>
        <item x="372"/>
        <item x="43"/>
        <item x="181"/>
        <item x="297"/>
        <item x="152"/>
        <item x="143"/>
        <item x="277"/>
        <item x="78"/>
        <item x="54"/>
        <item x="183"/>
        <item x="357"/>
        <item x="140"/>
        <item x="146"/>
        <item x="408"/>
        <item x="7"/>
        <item t="default"/>
      </items>
    </pivotField>
    <pivotField compact="0" showAll="0">
      <items count="403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t="default"/>
      </items>
    </pivotField>
    <pivotField compact="0" showAll="0">
      <items count="132">
        <item x="51"/>
        <item x="72"/>
        <item x="52"/>
        <item x="75"/>
        <item x="64"/>
        <item x="92"/>
        <item x="84"/>
        <item x="83"/>
        <item x="70"/>
        <item x="59"/>
        <item x="91"/>
        <item x="100"/>
        <item x="127"/>
        <item x="50"/>
        <item x="126"/>
        <item x="105"/>
        <item x="73"/>
        <item x="97"/>
        <item x="98"/>
        <item x="111"/>
        <item x="125"/>
        <item x="121"/>
        <item x="30"/>
        <item x="11"/>
        <item x="29"/>
        <item x="10"/>
        <item x="33"/>
        <item x="79"/>
        <item x="128"/>
        <item x="115"/>
        <item x="106"/>
        <item x="9"/>
        <item x="68"/>
        <item x="80"/>
        <item x="58"/>
        <item x="32"/>
        <item x="78"/>
        <item x="119"/>
        <item x="67"/>
        <item x="77"/>
        <item x="109"/>
        <item x="123"/>
        <item x="85"/>
        <item x="65"/>
        <item x="69"/>
        <item x="43"/>
        <item x="114"/>
        <item x="26"/>
        <item x="130"/>
        <item x="86"/>
        <item x="129"/>
        <item x="8"/>
        <item x="122"/>
        <item x="88"/>
        <item x="53"/>
        <item x="20"/>
        <item x="93"/>
        <item x="34"/>
        <item x="37"/>
        <item x="35"/>
        <item x="74"/>
        <item x="108"/>
        <item x="12"/>
        <item x="40"/>
        <item x="89"/>
        <item x="28"/>
        <item x="60"/>
        <item x="2"/>
        <item x="117"/>
        <item x="36"/>
        <item x="66"/>
        <item x="38"/>
        <item x="5"/>
        <item x="17"/>
        <item x="0"/>
        <item x="113"/>
        <item x="25"/>
        <item x="13"/>
        <item x="4"/>
        <item x="31"/>
        <item x="107"/>
        <item x="120"/>
        <item x="54"/>
        <item x="42"/>
        <item x="7"/>
        <item x="96"/>
        <item x="55"/>
        <item x="95"/>
        <item x="46"/>
        <item x="82"/>
        <item x="16"/>
        <item x="87"/>
        <item x="48"/>
        <item x="90"/>
        <item x="71"/>
        <item x="39"/>
        <item x="27"/>
        <item x="15"/>
        <item x="63"/>
        <item x="124"/>
        <item x="49"/>
        <item x="14"/>
        <item x="6"/>
        <item x="101"/>
        <item x="76"/>
        <item x="118"/>
        <item x="81"/>
        <item x="103"/>
        <item x="19"/>
        <item x="23"/>
        <item x="116"/>
        <item x="21"/>
        <item x="41"/>
        <item x="24"/>
        <item x="62"/>
        <item x="45"/>
        <item x="57"/>
        <item x="22"/>
        <item x="3"/>
        <item x="61"/>
        <item x="56"/>
        <item x="99"/>
        <item x="102"/>
        <item x="94"/>
        <item x="104"/>
        <item x="110"/>
        <item x="18"/>
        <item x="112"/>
        <item x="44"/>
        <item x="47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41">
        <item x="279"/>
        <item x="126"/>
        <item x="80"/>
        <item x="210"/>
        <item x="113"/>
        <item x="399"/>
        <item x="278"/>
        <item x="205"/>
        <item x="171"/>
        <item x="352"/>
        <item x="397"/>
        <item x="127"/>
        <item x="427"/>
        <item x="343"/>
        <item x="191"/>
        <item x="248"/>
        <item x="68"/>
        <item x="50"/>
        <item x="331"/>
        <item x="201"/>
        <item x="167"/>
        <item x="117"/>
        <item x="77"/>
        <item x="390"/>
        <item x="228"/>
        <item x="357"/>
        <item x="409"/>
        <item x="260"/>
        <item x="254"/>
        <item x="188"/>
        <item x="300"/>
        <item x="202"/>
        <item x="107"/>
        <item x="1"/>
        <item x="414"/>
        <item x="380"/>
        <item x="407"/>
        <item x="256"/>
        <item x="426"/>
        <item x="12"/>
        <item x="296"/>
        <item x="90"/>
        <item x="209"/>
        <item x="22"/>
        <item x="204"/>
        <item x="270"/>
        <item x="276"/>
        <item x="175"/>
        <item x="3"/>
        <item x="395"/>
        <item x="190"/>
        <item x="170"/>
        <item x="214"/>
        <item x="375"/>
        <item x="54"/>
        <item x="26"/>
        <item x="75"/>
        <item x="238"/>
        <item x="402"/>
        <item x="132"/>
        <item x="10"/>
        <item x="220"/>
        <item x="230"/>
        <item x="44"/>
        <item x="311"/>
        <item x="261"/>
        <item x="119"/>
        <item x="277"/>
        <item x="60"/>
        <item x="252"/>
        <item x="181"/>
        <item x="203"/>
        <item x="247"/>
        <item x="116"/>
        <item x="71"/>
        <item x="267"/>
        <item x="241"/>
        <item x="281"/>
        <item x="46"/>
        <item x="328"/>
        <item x="284"/>
        <item x="207"/>
        <item x="432"/>
        <item x="388"/>
        <item x="64"/>
        <item x="192"/>
        <item x="143"/>
        <item x="318"/>
        <item x="413"/>
        <item x="30"/>
        <item x="342"/>
        <item x="324"/>
        <item x="212"/>
        <item x="330"/>
        <item x="41"/>
        <item x="165"/>
        <item x="386"/>
        <item x="158"/>
        <item x="259"/>
        <item x="282"/>
        <item x="5"/>
        <item x="368"/>
        <item x="177"/>
        <item x="67"/>
        <item x="101"/>
        <item x="151"/>
        <item x="129"/>
        <item x="305"/>
        <item x="268"/>
        <item x="338"/>
        <item x="56"/>
        <item x="258"/>
        <item x="250"/>
        <item x="362"/>
        <item x="199"/>
        <item x="83"/>
        <item x="428"/>
        <item x="166"/>
        <item x="76"/>
        <item x="249"/>
        <item x="237"/>
        <item x="163"/>
        <item x="211"/>
        <item x="227"/>
        <item x="435"/>
        <item x="112"/>
        <item x="356"/>
        <item x="138"/>
        <item x="408"/>
        <item x="421"/>
        <item x="253"/>
        <item x="334"/>
        <item x="335"/>
        <item x="187"/>
        <item x="103"/>
        <item x="200"/>
        <item x="106"/>
        <item x="283"/>
        <item x="49"/>
        <item x="121"/>
        <item x="320"/>
        <item x="379"/>
        <item x="294"/>
        <item x="17"/>
        <item x="319"/>
        <item x="262"/>
        <item x="37"/>
        <item x="430"/>
        <item x="255"/>
        <item x="140"/>
        <item x="303"/>
        <item x="322"/>
        <item x="425"/>
        <item x="11"/>
        <item x="355"/>
        <item x="152"/>
        <item x="139"/>
        <item x="418"/>
        <item x="263"/>
        <item x="295"/>
        <item x="94"/>
        <item x="16"/>
        <item x="89"/>
        <item x="215"/>
        <item x="108"/>
        <item x="85"/>
        <item x="21"/>
        <item x="169"/>
        <item x="288"/>
        <item x="327"/>
        <item x="384"/>
        <item x="7"/>
        <item x="225"/>
        <item x="97"/>
        <item x="405"/>
        <item x="216"/>
        <item x="275"/>
        <item x="24"/>
        <item x="306"/>
        <item x="34"/>
        <item x="125"/>
        <item x="174"/>
        <item x="2"/>
        <item x="416"/>
        <item x="394"/>
        <item x="6"/>
        <item x="93"/>
        <item x="315"/>
        <item x="221"/>
        <item x="189"/>
        <item x="218"/>
        <item x="239"/>
        <item x="309"/>
        <item x="95"/>
        <item x="109"/>
        <item x="377"/>
        <item x="316"/>
        <item x="161"/>
        <item x="310"/>
        <item x="308"/>
        <item x="223"/>
        <item x="400"/>
        <item x="0"/>
        <item x="374"/>
        <item x="274"/>
        <item x="53"/>
        <item x="229"/>
        <item x="437"/>
        <item x="25"/>
        <item x="74"/>
        <item x="401"/>
        <item x="172"/>
        <item x="131"/>
        <item x="33"/>
        <item x="99"/>
        <item x="9"/>
        <item x="66"/>
        <item x="314"/>
        <item x="145"/>
        <item x="339"/>
        <item x="363"/>
        <item x="82"/>
        <item x="364"/>
        <item x="52"/>
        <item x="118"/>
        <item x="197"/>
        <item x="415"/>
        <item x="359"/>
        <item x="312"/>
        <item x="336"/>
        <item x="353"/>
        <item x="404"/>
        <item x="182"/>
        <item x="246"/>
        <item x="371"/>
        <item x="266"/>
        <item x="313"/>
        <item x="297"/>
        <item x="378"/>
        <item x="32"/>
        <item x="354"/>
        <item x="123"/>
        <item x="91"/>
        <item x="265"/>
        <item x="280"/>
        <item x="240"/>
        <item x="403"/>
        <item x="251"/>
        <item x="79"/>
        <item x="325"/>
        <item x="208"/>
        <item x="51"/>
        <item x="369"/>
        <item x="70"/>
        <item x="19"/>
        <item x="8"/>
        <item x="18"/>
        <item x="96"/>
        <item x="63"/>
        <item x="219"/>
        <item x="194"/>
        <item x="226"/>
        <item x="180"/>
        <item x="15"/>
        <item x="160"/>
        <item x="137"/>
        <item x="84"/>
        <item x="233"/>
        <item x="224"/>
        <item x="23"/>
        <item x="412"/>
        <item x="36"/>
        <item x="124"/>
        <item x="186"/>
        <item x="417"/>
        <item x="29"/>
        <item x="350"/>
        <item x="360"/>
        <item x="323"/>
        <item x="292"/>
        <item x="419"/>
        <item x="47"/>
        <item x="396"/>
        <item x="370"/>
        <item x="88"/>
        <item x="38"/>
        <item x="373"/>
        <item x="244"/>
        <item x="291"/>
        <item x="104"/>
        <item x="149"/>
        <item x="329"/>
        <item x="332"/>
        <item x="40"/>
        <item x="345"/>
        <item x="383"/>
        <item x="45"/>
        <item x="346"/>
        <item x="347"/>
        <item x="146"/>
        <item x="287"/>
        <item x="14"/>
        <item x="164"/>
        <item x="130"/>
        <item x="78"/>
        <item x="434"/>
        <item x="385"/>
        <item x="366"/>
        <item x="348"/>
        <item x="429"/>
        <item x="422"/>
        <item x="243"/>
        <item x="184"/>
        <item x="133"/>
        <item x="234"/>
        <item x="340"/>
        <item x="290"/>
        <item x="39"/>
        <item x="98"/>
        <item x="43"/>
        <item x="136"/>
        <item x="13"/>
        <item x="142"/>
        <item x="179"/>
        <item x="235"/>
        <item x="27"/>
        <item x="115"/>
        <item x="157"/>
        <item x="55"/>
        <item x="232"/>
        <item x="301"/>
        <item x="398"/>
        <item x="436"/>
        <item x="4"/>
        <item x="195"/>
        <item x="59"/>
        <item x="102"/>
        <item x="122"/>
        <item x="176"/>
        <item x="154"/>
        <item x="31"/>
        <item x="153"/>
        <item x="317"/>
        <item x="148"/>
        <item x="105"/>
        <item x="20"/>
        <item x="285"/>
        <item x="326"/>
        <item x="304"/>
        <item x="423"/>
        <item x="433"/>
        <item x="337"/>
        <item x="344"/>
        <item x="58"/>
        <item x="286"/>
        <item x="114"/>
        <item x="361"/>
        <item x="257"/>
        <item x="61"/>
        <item x="110"/>
        <item x="87"/>
        <item x="365"/>
        <item x="35"/>
        <item x="42"/>
        <item x="217"/>
        <item x="245"/>
        <item x="264"/>
        <item x="299"/>
        <item x="406"/>
        <item x="269"/>
        <item x="271"/>
        <item x="147"/>
        <item x="28"/>
        <item x="150"/>
        <item x="272"/>
        <item x="128"/>
        <item x="69"/>
        <item x="72"/>
        <item x="86"/>
        <item x="155"/>
        <item x="367"/>
        <item x="185"/>
        <item x="236"/>
        <item x="144"/>
        <item x="135"/>
        <item x="111"/>
        <item x="100"/>
        <item x="65"/>
        <item x="206"/>
        <item x="213"/>
        <item x="289"/>
        <item x="431"/>
        <item x="222"/>
        <item x="372"/>
        <item x="351"/>
        <item x="411"/>
        <item x="193"/>
        <item x="424"/>
        <item x="62"/>
        <item x="173"/>
        <item x="420"/>
        <item x="242"/>
        <item x="410"/>
        <item x="341"/>
        <item x="393"/>
        <item x="73"/>
        <item x="389"/>
        <item x="183"/>
        <item x="349"/>
        <item x="120"/>
        <item x="178"/>
        <item x="307"/>
        <item x="358"/>
        <item x="376"/>
        <item x="141"/>
        <item x="293"/>
        <item x="134"/>
        <item x="231"/>
        <item x="333"/>
        <item x="92"/>
        <item x="381"/>
        <item x="273"/>
        <item x="392"/>
        <item x="391"/>
        <item x="302"/>
        <item x="387"/>
        <item x="48"/>
        <item x="321"/>
        <item x="196"/>
        <item x="168"/>
        <item x="159"/>
        <item x="298"/>
        <item x="81"/>
        <item x="57"/>
        <item x="198"/>
        <item x="382"/>
        <item x="156"/>
        <item x="162"/>
        <item x="438"/>
        <item x="439"/>
        <item t="default"/>
      </items>
    </pivotField>
    <pivotField compact="0" showAll="0">
      <items count="10">
        <item x="0"/>
        <item x="2"/>
        <item x="6"/>
        <item x="5"/>
        <item x="3"/>
        <item x="7"/>
        <item x="1"/>
        <item x="4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2"/>
        <item x="7"/>
        <item x="4"/>
        <item x="1"/>
        <item x="5"/>
        <item x="6"/>
        <item x="3"/>
        <item x="0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4">
        <item x="26"/>
        <item x="14"/>
        <item x="18"/>
        <item x="34"/>
        <item x="25"/>
        <item x="1"/>
        <item x="15"/>
        <item x="0"/>
        <item x="16"/>
        <item x="11"/>
        <item x="12"/>
        <item x="30"/>
        <item x="8"/>
        <item x="28"/>
        <item x="37"/>
        <item x="23"/>
        <item x="24"/>
        <item x="39"/>
        <item x="10"/>
        <item x="7"/>
        <item x="38"/>
        <item x="40"/>
        <item x="31"/>
        <item x="5"/>
        <item x="41"/>
        <item x="35"/>
        <item x="19"/>
        <item x="6"/>
        <item x="29"/>
        <item x="33"/>
        <item x="27"/>
        <item x="9"/>
        <item x="22"/>
        <item x="32"/>
        <item x="4"/>
        <item x="21"/>
        <item x="20"/>
        <item x="13"/>
        <item x="42"/>
        <item x="36"/>
        <item x="17"/>
        <item x="2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03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4"/>
        <item x="6"/>
        <item x="7"/>
        <item x="5"/>
        <item x="3"/>
        <item x="0"/>
        <item x="1"/>
        <item x="2"/>
        <item x="8"/>
        <item t="default"/>
      </items>
    </pivotField>
    <pivotField compact="0" showAll="0">
      <items count="404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x="402"/>
        <item t="default"/>
      </items>
    </pivotField>
    <pivotField compact="0" showAll="0">
      <items count="195">
        <item x="33"/>
        <item x="144"/>
        <item x="122"/>
        <item x="156"/>
        <item x="92"/>
        <item x="71"/>
        <item x="106"/>
        <item x="27"/>
        <item x="90"/>
        <item x="125"/>
        <item x="34"/>
        <item x="63"/>
        <item x="141"/>
        <item x="140"/>
        <item x="186"/>
        <item x="28"/>
        <item x="17"/>
        <item x="177"/>
        <item x="137"/>
        <item x="8"/>
        <item x="46"/>
        <item x="58"/>
        <item x="174"/>
        <item x="143"/>
        <item x="158"/>
        <item x="48"/>
        <item x="25"/>
        <item x="151"/>
        <item x="133"/>
        <item x="129"/>
        <item x="94"/>
        <item x="102"/>
        <item x="91"/>
        <item x="107"/>
        <item x="115"/>
        <item x="117"/>
        <item x="120"/>
        <item x="131"/>
        <item x="147"/>
        <item x="154"/>
        <item x="15"/>
        <item x="162"/>
        <item x="166"/>
        <item x="168"/>
        <item x="178"/>
        <item x="184"/>
        <item x="193"/>
        <item x="2"/>
        <item x="32"/>
        <item x="36"/>
        <item x="39"/>
        <item x="6"/>
        <item x="68"/>
        <item x="72"/>
        <item x="75"/>
        <item x="84"/>
        <item x="95"/>
        <item x="54"/>
        <item x="153"/>
        <item x="132"/>
        <item x="51"/>
        <item x="57"/>
        <item x="103"/>
        <item x="86"/>
        <item x="157"/>
        <item x="1"/>
        <item x="170"/>
        <item x="20"/>
        <item x="52"/>
        <item x="18"/>
        <item x="176"/>
        <item x="128"/>
        <item x="29"/>
        <item x="109"/>
        <item x="16"/>
        <item x="65"/>
        <item x="188"/>
        <item x="62"/>
        <item x="167"/>
        <item x="113"/>
        <item x="145"/>
        <item x="96"/>
        <item x="11"/>
        <item x="21"/>
        <item x="42"/>
        <item x="136"/>
        <item x="111"/>
        <item x="89"/>
        <item x="4"/>
        <item x="43"/>
        <item x="183"/>
        <item x="78"/>
        <item x="93"/>
        <item x="135"/>
        <item x="64"/>
        <item x="101"/>
        <item x="49"/>
        <item x="185"/>
        <item x="179"/>
        <item x="37"/>
        <item x="108"/>
        <item x="77"/>
        <item x="7"/>
        <item x="148"/>
        <item x="50"/>
        <item x="163"/>
        <item x="164"/>
        <item x="175"/>
        <item x="118"/>
        <item x="192"/>
        <item x="110"/>
        <item x="181"/>
        <item x="53"/>
        <item x="191"/>
        <item x="14"/>
        <item x="44"/>
        <item x="13"/>
        <item x="3"/>
        <item x="30"/>
        <item x="69"/>
        <item x="26"/>
        <item x="88"/>
        <item x="97"/>
        <item x="190"/>
        <item x="116"/>
        <item x="80"/>
        <item x="130"/>
        <item x="104"/>
        <item x="112"/>
        <item x="171"/>
        <item x="9"/>
        <item x="24"/>
        <item x="114"/>
        <item x="172"/>
        <item x="10"/>
        <item x="23"/>
        <item x="12"/>
        <item x="41"/>
        <item x="123"/>
        <item x="139"/>
        <item x="19"/>
        <item x="55"/>
        <item x="60"/>
        <item x="169"/>
        <item x="121"/>
        <item x="149"/>
        <item x="87"/>
        <item x="126"/>
        <item x="31"/>
        <item x="45"/>
        <item x="5"/>
        <item x="59"/>
        <item x="66"/>
        <item x="105"/>
        <item x="161"/>
        <item x="67"/>
        <item x="134"/>
        <item x="85"/>
        <item x="152"/>
        <item x="22"/>
        <item x="119"/>
        <item x="61"/>
        <item x="74"/>
        <item x="56"/>
        <item x="79"/>
        <item x="76"/>
        <item x="146"/>
        <item x="38"/>
        <item x="73"/>
        <item x="182"/>
        <item x="189"/>
        <item x="127"/>
        <item x="159"/>
        <item x="155"/>
        <item x="150"/>
        <item x="47"/>
        <item x="138"/>
        <item x="70"/>
        <item x="187"/>
        <item x="35"/>
        <item x="180"/>
        <item x="124"/>
        <item x="165"/>
        <item x="160"/>
        <item x="83"/>
        <item x="100"/>
        <item x="40"/>
        <item x="173"/>
        <item x="99"/>
        <item x="81"/>
        <item x="82"/>
        <item x="98"/>
        <item x="142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19">
        <item x="63"/>
        <item x="85"/>
        <item x="285"/>
        <item x="150"/>
        <item x="129"/>
        <item x="253"/>
        <item x="95"/>
        <item x="308"/>
        <item x="145"/>
        <item x="181"/>
        <item x="52"/>
        <item x="37"/>
        <item x="237"/>
        <item x="126"/>
        <item x="89"/>
        <item x="60"/>
        <item x="167"/>
        <item x="257"/>
        <item x="295"/>
        <item x="186"/>
        <item x="142"/>
        <item x="79"/>
        <item x="1"/>
        <item x="298"/>
        <item x="276"/>
        <item x="293"/>
        <item x="188"/>
        <item x="307"/>
        <item x="10"/>
        <item x="211"/>
        <item x="69"/>
        <item x="154"/>
        <item x="18"/>
        <item x="198"/>
        <item x="149"/>
        <item x="201"/>
        <item x="132"/>
        <item x="3"/>
        <item x="283"/>
        <item x="144"/>
        <item x="157"/>
        <item x="128"/>
        <item x="272"/>
        <item x="41"/>
        <item x="22"/>
        <item x="58"/>
        <item x="173"/>
        <item x="288"/>
        <item x="99"/>
        <item x="8"/>
        <item x="161"/>
        <item x="32"/>
        <item x="218"/>
        <item x="91"/>
        <item x="45"/>
        <item x="184"/>
        <item x="148"/>
        <item x="136"/>
        <item x="88"/>
        <item x="55"/>
        <item x="195"/>
        <item x="176"/>
        <item x="203"/>
        <item x="34"/>
        <item x="234"/>
        <item x="152"/>
        <item x="311"/>
        <item x="281"/>
        <item x="48"/>
        <item x="146"/>
        <item x="109"/>
        <item x="225"/>
        <item x="297"/>
        <item x="26"/>
        <item x="230"/>
        <item x="236"/>
        <item x="29"/>
        <item x="124"/>
        <item x="280"/>
        <item x="119"/>
        <item x="204"/>
        <item x="5"/>
        <item x="266"/>
        <item x="134"/>
        <item x="51"/>
        <item x="73"/>
        <item x="114"/>
        <item x="96"/>
        <item x="214"/>
        <item x="196"/>
        <item x="243"/>
        <item x="182"/>
        <item x="262"/>
        <item x="64"/>
        <item x="309"/>
        <item x="125"/>
        <item x="59"/>
        <item x="172"/>
        <item x="122"/>
        <item x="155"/>
        <item x="166"/>
        <item x="314"/>
        <item x="84"/>
        <item x="104"/>
        <item x="256"/>
        <item x="294"/>
        <item x="239"/>
        <item x="240"/>
        <item x="185"/>
        <item x="141"/>
        <item x="75"/>
        <item x="36"/>
        <item x="78"/>
        <item x="93"/>
        <item x="227"/>
        <item x="275"/>
        <item x="209"/>
        <item x="14"/>
        <item x="226"/>
        <item x="190"/>
        <item x="106"/>
        <item x="187"/>
        <item x="306"/>
        <item x="9"/>
        <item x="105"/>
        <item x="191"/>
        <item x="210"/>
        <item x="68"/>
        <item x="80"/>
        <item x="65"/>
        <item x="17"/>
        <item x="127"/>
        <item x="206"/>
        <item x="233"/>
        <item x="278"/>
        <item x="165"/>
        <item x="291"/>
        <item x="158"/>
        <item x="20"/>
        <item x="215"/>
        <item x="200"/>
        <item x="94"/>
        <item x="131"/>
        <item x="2"/>
        <item x="300"/>
        <item x="282"/>
        <item x="222"/>
        <item x="162"/>
        <item x="143"/>
        <item x="159"/>
        <item x="174"/>
        <item x="81"/>
        <item x="273"/>
        <item x="223"/>
        <item x="121"/>
        <item x="163"/>
        <item x="286"/>
        <item x="0"/>
        <item x="271"/>
        <item x="316"/>
        <item x="40"/>
        <item x="21"/>
        <item x="57"/>
        <item x="287"/>
        <item x="130"/>
        <item x="98"/>
        <item x="50"/>
        <item x="221"/>
        <item x="263"/>
        <item x="7"/>
        <item x="264"/>
        <item x="39"/>
        <item x="90"/>
        <item x="259"/>
        <item x="299"/>
        <item x="219"/>
        <item x="241"/>
        <item x="254"/>
        <item x="290"/>
        <item x="137"/>
        <item x="180"/>
        <item x="268"/>
        <item x="220"/>
        <item x="194"/>
        <item x="212"/>
        <item x="274"/>
        <item x="255"/>
        <item x="70"/>
        <item x="193"/>
        <item x="175"/>
        <item x="289"/>
        <item x="202"/>
        <item x="183"/>
        <item x="62"/>
        <item x="231"/>
        <item x="38"/>
        <item x="153"/>
        <item x="54"/>
        <item x="15"/>
        <item x="160"/>
        <item x="47"/>
        <item x="13"/>
        <item x="120"/>
        <item x="103"/>
        <item x="164"/>
        <item x="19"/>
        <item x="140"/>
        <item x="296"/>
        <item x="301"/>
        <item x="251"/>
        <item x="25"/>
        <item x="260"/>
        <item x="229"/>
        <item x="208"/>
        <item x="302"/>
        <item x="35"/>
        <item x="267"/>
        <item x="67"/>
        <item x="270"/>
        <item x="76"/>
        <item x="112"/>
        <item x="238"/>
        <item x="33"/>
        <item x="235"/>
        <item x="247"/>
        <item x="246"/>
        <item x="28"/>
        <item x="248"/>
        <item x="12"/>
        <item x="123"/>
        <item x="97"/>
        <item x="61"/>
        <item x="313"/>
        <item x="279"/>
        <item x="249"/>
        <item x="310"/>
        <item x="303"/>
        <item x="178"/>
        <item x="100"/>
        <item x="169"/>
        <item x="244"/>
        <item x="207"/>
        <item x="31"/>
        <item x="102"/>
        <item x="11"/>
        <item x="108"/>
        <item x="170"/>
        <item x="23"/>
        <item x="87"/>
        <item x="118"/>
        <item x="168"/>
        <item x="284"/>
        <item x="315"/>
        <item x="44"/>
        <item x="147"/>
        <item x="4"/>
        <item x="74"/>
        <item x="133"/>
        <item x="116"/>
        <item x="27"/>
        <item x="115"/>
        <item x="224"/>
        <item x="111"/>
        <item x="77"/>
        <item x="16"/>
        <item x="232"/>
        <item x="213"/>
        <item x="312"/>
        <item x="242"/>
        <item x="245"/>
        <item x="43"/>
        <item x="205"/>
        <item x="86"/>
        <item x="189"/>
        <item x="82"/>
        <item x="46"/>
        <item x="261"/>
        <item x="30"/>
        <item x="179"/>
        <item x="192"/>
        <item x="292"/>
        <item x="197"/>
        <item x="24"/>
        <item x="113"/>
        <item x="199"/>
        <item x="53"/>
        <item x="56"/>
        <item x="66"/>
        <item x="117"/>
        <item x="304"/>
        <item x="265"/>
        <item x="139"/>
        <item x="171"/>
        <item x="110"/>
        <item x="101"/>
        <item x="72"/>
        <item x="83"/>
        <item x="49"/>
        <item x="151"/>
        <item x="156"/>
        <item x="217"/>
        <item x="269"/>
        <item x="252"/>
        <item x="305"/>
        <item x="177"/>
        <item x="138"/>
        <item x="250"/>
        <item x="92"/>
        <item x="135"/>
        <item x="216"/>
        <item x="258"/>
        <item x="107"/>
        <item x="71"/>
        <item x="277"/>
        <item x="228"/>
        <item x="42"/>
        <item x="317"/>
        <item x="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24">
        <item x="62"/>
        <item x="84"/>
        <item x="293"/>
        <item x="156"/>
        <item x="133"/>
        <item x="261"/>
        <item x="95"/>
        <item x="314"/>
        <item x="252"/>
        <item x="185"/>
        <item x="51"/>
        <item x="36"/>
        <item x="242"/>
        <item x="152"/>
        <item x="130"/>
        <item x="88"/>
        <item x="59"/>
        <item x="174"/>
        <item x="265"/>
        <item x="302"/>
        <item x="190"/>
        <item x="146"/>
        <item x="153"/>
        <item x="78"/>
        <item x="1"/>
        <item x="305"/>
        <item x="284"/>
        <item x="192"/>
        <item x="313"/>
        <item x="117"/>
        <item x="215"/>
        <item x="69"/>
        <item x="160"/>
        <item x="17"/>
        <item x="202"/>
        <item x="155"/>
        <item x="205"/>
        <item x="136"/>
        <item x="3"/>
        <item x="291"/>
        <item x="148"/>
        <item x="164"/>
        <item x="132"/>
        <item x="280"/>
        <item x="40"/>
        <item x="21"/>
        <item x="57"/>
        <item x="179"/>
        <item x="296"/>
        <item x="98"/>
        <item x="9"/>
        <item x="168"/>
        <item x="31"/>
        <item x="223"/>
        <item x="90"/>
        <item x="44"/>
        <item x="188"/>
        <item x="154"/>
        <item x="140"/>
        <item x="87"/>
        <item x="54"/>
        <item x="199"/>
        <item x="207"/>
        <item x="33"/>
        <item x="240"/>
        <item x="158"/>
        <item x="317"/>
        <item x="289"/>
        <item x="47"/>
        <item x="149"/>
        <item x="109"/>
        <item x="230"/>
        <item x="304"/>
        <item x="25"/>
        <item x="235"/>
        <item x="251"/>
        <item x="162"/>
        <item x="28"/>
        <item x="128"/>
        <item x="288"/>
        <item x="123"/>
        <item x="208"/>
        <item x="5"/>
        <item x="274"/>
        <item x="138"/>
        <item x="50"/>
        <item x="119"/>
        <item x="115"/>
        <item x="238"/>
        <item x="219"/>
        <item x="200"/>
        <item x="248"/>
        <item x="186"/>
        <item x="270"/>
        <item x="63"/>
        <item x="315"/>
        <item x="129"/>
        <item x="58"/>
        <item x="178"/>
        <item x="126"/>
        <item x="161"/>
        <item x="173"/>
        <item x="320"/>
        <item x="83"/>
        <item x="104"/>
        <item x="264"/>
        <item x="301"/>
        <item x="244"/>
        <item x="245"/>
        <item x="189"/>
        <item x="145"/>
        <item x="74"/>
        <item x="151"/>
        <item x="35"/>
        <item x="77"/>
        <item x="92"/>
        <item x="232"/>
        <item x="283"/>
        <item x="213"/>
        <item x="13"/>
        <item x="231"/>
        <item x="194"/>
        <item x="106"/>
        <item x="191"/>
        <item x="312"/>
        <item x="116"/>
        <item x="105"/>
        <item x="195"/>
        <item x="214"/>
        <item x="68"/>
        <item x="79"/>
        <item x="65"/>
        <item x="16"/>
        <item x="131"/>
        <item x="210"/>
        <item x="239"/>
        <item x="286"/>
        <item x="172"/>
        <item x="299"/>
        <item x="165"/>
        <item x="19"/>
        <item x="220"/>
        <item x="204"/>
        <item x="94"/>
        <item x="135"/>
        <item x="2"/>
        <item x="307"/>
        <item x="290"/>
        <item x="227"/>
        <item x="6"/>
        <item x="169"/>
        <item x="147"/>
        <item x="166"/>
        <item x="180"/>
        <item x="80"/>
        <item x="281"/>
        <item x="228"/>
        <item x="125"/>
        <item x="170"/>
        <item x="294"/>
        <item x="0"/>
        <item x="279"/>
        <item x="39"/>
        <item x="20"/>
        <item x="56"/>
        <item x="295"/>
        <item x="134"/>
        <item x="97"/>
        <item x="49"/>
        <item x="226"/>
        <item x="271"/>
        <item x="8"/>
        <item x="111"/>
        <item x="272"/>
        <item x="38"/>
        <item x="89"/>
        <item x="267"/>
        <item x="306"/>
        <item x="224"/>
        <item x="246"/>
        <item x="262"/>
        <item x="298"/>
        <item x="141"/>
        <item x="184"/>
        <item x="276"/>
        <item x="225"/>
        <item x="198"/>
        <item x="216"/>
        <item x="282"/>
        <item x="263"/>
        <item x="70"/>
        <item x="197"/>
        <item x="297"/>
        <item x="206"/>
        <item x="187"/>
        <item x="61"/>
        <item x="236"/>
        <item x="37"/>
        <item x="159"/>
        <item x="53"/>
        <item x="14"/>
        <item x="167"/>
        <item x="46"/>
        <item x="12"/>
        <item x="124"/>
        <item x="103"/>
        <item x="64"/>
        <item x="171"/>
        <item x="18"/>
        <item x="144"/>
        <item x="303"/>
        <item x="308"/>
        <item x="259"/>
        <item x="24"/>
        <item x="268"/>
        <item x="234"/>
        <item x="212"/>
        <item x="309"/>
        <item x="34"/>
        <item x="275"/>
        <item x="67"/>
        <item x="278"/>
        <item x="75"/>
        <item x="113"/>
        <item x="243"/>
        <item x="32"/>
        <item x="241"/>
        <item x="255"/>
        <item x="254"/>
        <item x="27"/>
        <item x="256"/>
        <item x="11"/>
        <item x="127"/>
        <item x="96"/>
        <item x="60"/>
        <item x="319"/>
        <item x="287"/>
        <item x="257"/>
        <item x="316"/>
        <item x="310"/>
        <item x="182"/>
        <item x="99"/>
        <item x="249"/>
        <item x="211"/>
        <item x="72"/>
        <item x="30"/>
        <item x="102"/>
        <item x="10"/>
        <item x="108"/>
        <item x="176"/>
        <item x="22"/>
        <item x="86"/>
        <item x="122"/>
        <item x="175"/>
        <item x="217"/>
        <item x="292"/>
        <item x="321"/>
        <item x="43"/>
        <item x="150"/>
        <item x="4"/>
        <item x="73"/>
        <item x="93"/>
        <item x="137"/>
        <item x="120"/>
        <item x="26"/>
        <item x="118"/>
        <item x="229"/>
        <item x="112"/>
        <item x="76"/>
        <item x="15"/>
        <item x="237"/>
        <item x="218"/>
        <item x="318"/>
        <item x="247"/>
        <item x="253"/>
        <item x="42"/>
        <item x="209"/>
        <item x="85"/>
        <item x="193"/>
        <item x="81"/>
        <item x="45"/>
        <item x="269"/>
        <item x="29"/>
        <item x="183"/>
        <item x="196"/>
        <item x="300"/>
        <item x="201"/>
        <item x="23"/>
        <item x="114"/>
        <item x="203"/>
        <item x="52"/>
        <item x="55"/>
        <item x="66"/>
        <item x="121"/>
        <item x="273"/>
        <item x="143"/>
        <item x="177"/>
        <item x="110"/>
        <item x="101"/>
        <item x="82"/>
        <item x="48"/>
        <item x="157"/>
        <item x="163"/>
        <item x="222"/>
        <item x="277"/>
        <item x="260"/>
        <item x="311"/>
        <item x="181"/>
        <item x="250"/>
        <item x="142"/>
        <item x="258"/>
        <item x="91"/>
        <item x="139"/>
        <item x="221"/>
        <item x="266"/>
        <item x="107"/>
        <item x="100"/>
        <item x="71"/>
        <item x="285"/>
        <item x="233"/>
        <item x="41"/>
        <item x="322"/>
        <item x="7"/>
        <item t="default"/>
      </items>
    </pivotField>
    <pivotField compact="0" showAll="0">
      <items count="132">
        <item x="51"/>
        <item x="72"/>
        <item x="52"/>
        <item x="75"/>
        <item x="64"/>
        <item x="92"/>
        <item x="84"/>
        <item x="83"/>
        <item x="70"/>
        <item x="59"/>
        <item x="91"/>
        <item x="100"/>
        <item x="127"/>
        <item x="50"/>
        <item x="126"/>
        <item x="105"/>
        <item x="73"/>
        <item x="97"/>
        <item x="98"/>
        <item x="111"/>
        <item x="125"/>
        <item x="121"/>
        <item x="30"/>
        <item x="11"/>
        <item x="29"/>
        <item x="10"/>
        <item x="33"/>
        <item x="79"/>
        <item x="128"/>
        <item x="115"/>
        <item x="106"/>
        <item x="9"/>
        <item x="68"/>
        <item x="80"/>
        <item x="58"/>
        <item x="32"/>
        <item x="78"/>
        <item x="119"/>
        <item x="67"/>
        <item x="77"/>
        <item x="109"/>
        <item x="123"/>
        <item x="85"/>
        <item x="65"/>
        <item x="69"/>
        <item x="43"/>
        <item x="114"/>
        <item x="26"/>
        <item x="130"/>
        <item x="86"/>
        <item x="129"/>
        <item x="8"/>
        <item x="122"/>
        <item x="88"/>
        <item x="53"/>
        <item x="20"/>
        <item x="93"/>
        <item x="34"/>
        <item x="37"/>
        <item x="35"/>
        <item x="74"/>
        <item x="108"/>
        <item x="12"/>
        <item x="40"/>
        <item x="89"/>
        <item x="28"/>
        <item x="60"/>
        <item x="2"/>
        <item x="117"/>
        <item x="36"/>
        <item x="66"/>
        <item x="38"/>
        <item x="5"/>
        <item x="17"/>
        <item x="0"/>
        <item x="113"/>
        <item x="25"/>
        <item x="13"/>
        <item x="4"/>
        <item x="31"/>
        <item x="107"/>
        <item x="120"/>
        <item x="54"/>
        <item x="42"/>
        <item x="7"/>
        <item x="96"/>
        <item x="55"/>
        <item x="95"/>
        <item x="46"/>
        <item x="82"/>
        <item x="16"/>
        <item x="87"/>
        <item x="48"/>
        <item x="90"/>
        <item x="71"/>
        <item x="39"/>
        <item x="27"/>
        <item x="15"/>
        <item x="63"/>
        <item x="124"/>
        <item x="49"/>
        <item x="14"/>
        <item x="6"/>
        <item x="101"/>
        <item x="76"/>
        <item x="118"/>
        <item x="81"/>
        <item x="103"/>
        <item x="19"/>
        <item x="23"/>
        <item x="116"/>
        <item x="21"/>
        <item x="41"/>
        <item x="24"/>
        <item x="62"/>
        <item x="45"/>
        <item x="57"/>
        <item x="22"/>
        <item x="3"/>
        <item x="61"/>
        <item x="56"/>
        <item x="99"/>
        <item x="102"/>
        <item x="94"/>
        <item x="104"/>
        <item x="110"/>
        <item x="18"/>
        <item x="112"/>
        <item x="44"/>
        <item x="47"/>
        <item x="1"/>
        <item t="default"/>
      </items>
    </pivotField>
    <pivotField compact="0" showAll="0">
      <items count="440">
        <item x="279"/>
        <item x="126"/>
        <item x="80"/>
        <item x="210"/>
        <item x="113"/>
        <item x="399"/>
        <item x="278"/>
        <item x="205"/>
        <item x="171"/>
        <item x="352"/>
        <item x="397"/>
        <item x="127"/>
        <item x="427"/>
        <item x="343"/>
        <item x="191"/>
        <item x="248"/>
        <item x="68"/>
        <item x="50"/>
        <item x="331"/>
        <item x="201"/>
        <item x="167"/>
        <item x="117"/>
        <item x="77"/>
        <item x="390"/>
        <item x="228"/>
        <item x="357"/>
        <item x="409"/>
        <item x="260"/>
        <item x="254"/>
        <item x="188"/>
        <item x="300"/>
        <item x="202"/>
        <item x="107"/>
        <item x="1"/>
        <item x="414"/>
        <item x="380"/>
        <item x="407"/>
        <item x="256"/>
        <item x="426"/>
        <item x="12"/>
        <item x="296"/>
        <item x="90"/>
        <item x="209"/>
        <item x="22"/>
        <item x="204"/>
        <item x="270"/>
        <item x="276"/>
        <item x="175"/>
        <item x="3"/>
        <item x="395"/>
        <item x="190"/>
        <item x="170"/>
        <item x="214"/>
        <item x="375"/>
        <item x="54"/>
        <item x="26"/>
        <item x="75"/>
        <item x="238"/>
        <item x="402"/>
        <item x="132"/>
        <item x="10"/>
        <item x="220"/>
        <item x="230"/>
        <item x="44"/>
        <item x="311"/>
        <item x="261"/>
        <item x="119"/>
        <item x="277"/>
        <item x="60"/>
        <item x="252"/>
        <item x="181"/>
        <item x="203"/>
        <item x="247"/>
        <item x="116"/>
        <item x="71"/>
        <item x="267"/>
        <item x="241"/>
        <item x="281"/>
        <item x="46"/>
        <item x="328"/>
        <item x="284"/>
        <item x="207"/>
        <item x="432"/>
        <item x="388"/>
        <item x="64"/>
        <item x="192"/>
        <item x="143"/>
        <item x="318"/>
        <item x="413"/>
        <item x="30"/>
        <item x="342"/>
        <item x="324"/>
        <item x="212"/>
        <item x="330"/>
        <item x="41"/>
        <item x="165"/>
        <item x="386"/>
        <item x="158"/>
        <item x="259"/>
        <item x="282"/>
        <item x="5"/>
        <item x="368"/>
        <item x="177"/>
        <item x="67"/>
        <item x="101"/>
        <item x="151"/>
        <item x="129"/>
        <item x="305"/>
        <item x="268"/>
        <item x="338"/>
        <item x="56"/>
        <item x="258"/>
        <item x="250"/>
        <item x="362"/>
        <item x="199"/>
        <item x="83"/>
        <item x="428"/>
        <item x="166"/>
        <item x="76"/>
        <item x="249"/>
        <item x="237"/>
        <item x="163"/>
        <item x="211"/>
        <item x="227"/>
        <item x="435"/>
        <item x="112"/>
        <item x="356"/>
        <item x="138"/>
        <item x="408"/>
        <item x="421"/>
        <item x="253"/>
        <item x="334"/>
        <item x="335"/>
        <item x="187"/>
        <item x="103"/>
        <item x="200"/>
        <item x="106"/>
        <item x="283"/>
        <item x="49"/>
        <item x="121"/>
        <item x="320"/>
        <item x="379"/>
        <item x="294"/>
        <item x="17"/>
        <item x="319"/>
        <item x="262"/>
        <item x="37"/>
        <item x="430"/>
        <item x="255"/>
        <item x="140"/>
        <item x="303"/>
        <item x="322"/>
        <item x="425"/>
        <item x="11"/>
        <item x="355"/>
        <item x="152"/>
        <item x="139"/>
        <item x="418"/>
        <item x="263"/>
        <item x="295"/>
        <item x="94"/>
        <item x="16"/>
        <item x="89"/>
        <item x="215"/>
        <item x="108"/>
        <item x="85"/>
        <item x="21"/>
        <item x="169"/>
        <item x="288"/>
        <item x="327"/>
        <item x="384"/>
        <item x="7"/>
        <item x="225"/>
        <item x="97"/>
        <item x="405"/>
        <item x="216"/>
        <item x="275"/>
        <item x="24"/>
        <item x="306"/>
        <item x="34"/>
        <item x="125"/>
        <item x="174"/>
        <item x="2"/>
        <item x="416"/>
        <item x="394"/>
        <item x="6"/>
        <item x="93"/>
        <item x="315"/>
        <item x="221"/>
        <item x="189"/>
        <item x="218"/>
        <item x="239"/>
        <item x="309"/>
        <item x="95"/>
        <item x="109"/>
        <item x="377"/>
        <item x="316"/>
        <item x="161"/>
        <item x="310"/>
        <item x="308"/>
        <item x="223"/>
        <item x="400"/>
        <item x="0"/>
        <item x="374"/>
        <item x="274"/>
        <item x="53"/>
        <item x="229"/>
        <item x="437"/>
        <item x="25"/>
        <item x="74"/>
        <item x="401"/>
        <item x="172"/>
        <item x="131"/>
        <item x="33"/>
        <item x="99"/>
        <item x="9"/>
        <item x="66"/>
        <item x="314"/>
        <item x="145"/>
        <item x="339"/>
        <item x="363"/>
        <item x="82"/>
        <item x="364"/>
        <item x="52"/>
        <item x="118"/>
        <item x="197"/>
        <item x="415"/>
        <item x="359"/>
        <item x="312"/>
        <item x="336"/>
        <item x="353"/>
        <item x="404"/>
        <item x="182"/>
        <item x="246"/>
        <item x="371"/>
        <item x="266"/>
        <item x="313"/>
        <item x="297"/>
        <item x="378"/>
        <item x="32"/>
        <item x="354"/>
        <item x="123"/>
        <item x="91"/>
        <item x="265"/>
        <item x="280"/>
        <item x="240"/>
        <item x="403"/>
        <item x="251"/>
        <item x="79"/>
        <item x="325"/>
        <item x="208"/>
        <item x="51"/>
        <item x="369"/>
        <item x="70"/>
        <item x="19"/>
        <item x="8"/>
        <item x="18"/>
        <item x="96"/>
        <item x="63"/>
        <item x="219"/>
        <item x="194"/>
        <item x="226"/>
        <item x="180"/>
        <item x="15"/>
        <item x="160"/>
        <item x="137"/>
        <item x="84"/>
        <item x="233"/>
        <item x="224"/>
        <item x="23"/>
        <item x="412"/>
        <item x="36"/>
        <item x="124"/>
        <item x="186"/>
        <item x="417"/>
        <item x="29"/>
        <item x="350"/>
        <item x="360"/>
        <item x="323"/>
        <item x="292"/>
        <item x="419"/>
        <item x="47"/>
        <item x="396"/>
        <item x="370"/>
        <item x="88"/>
        <item x="38"/>
        <item x="373"/>
        <item x="244"/>
        <item x="291"/>
        <item x="104"/>
        <item x="149"/>
        <item x="329"/>
        <item x="332"/>
        <item x="40"/>
        <item x="345"/>
        <item x="383"/>
        <item x="45"/>
        <item x="346"/>
        <item x="347"/>
        <item x="146"/>
        <item x="287"/>
        <item x="14"/>
        <item x="164"/>
        <item x="130"/>
        <item x="78"/>
        <item x="434"/>
        <item x="385"/>
        <item x="366"/>
        <item x="348"/>
        <item x="429"/>
        <item x="422"/>
        <item x="243"/>
        <item x="184"/>
        <item x="133"/>
        <item x="234"/>
        <item x="340"/>
        <item x="290"/>
        <item x="39"/>
        <item x="98"/>
        <item x="43"/>
        <item x="136"/>
        <item x="13"/>
        <item x="142"/>
        <item x="179"/>
        <item x="235"/>
        <item x="27"/>
        <item x="115"/>
        <item x="157"/>
        <item x="55"/>
        <item x="232"/>
        <item x="301"/>
        <item x="398"/>
        <item x="436"/>
        <item x="4"/>
        <item x="195"/>
        <item x="59"/>
        <item x="102"/>
        <item x="122"/>
        <item x="176"/>
        <item x="154"/>
        <item x="31"/>
        <item x="153"/>
        <item x="317"/>
        <item x="148"/>
        <item x="105"/>
        <item x="20"/>
        <item x="285"/>
        <item x="326"/>
        <item x="304"/>
        <item x="423"/>
        <item x="433"/>
        <item x="337"/>
        <item x="344"/>
        <item x="58"/>
        <item x="286"/>
        <item x="114"/>
        <item x="361"/>
        <item x="257"/>
        <item x="61"/>
        <item x="110"/>
        <item x="87"/>
        <item x="365"/>
        <item x="35"/>
        <item x="42"/>
        <item x="217"/>
        <item x="245"/>
        <item x="264"/>
        <item x="299"/>
        <item x="406"/>
        <item x="269"/>
        <item x="271"/>
        <item x="147"/>
        <item x="28"/>
        <item x="150"/>
        <item x="272"/>
        <item x="128"/>
        <item x="69"/>
        <item x="72"/>
        <item x="86"/>
        <item x="155"/>
        <item x="367"/>
        <item x="185"/>
        <item x="236"/>
        <item x="144"/>
        <item x="135"/>
        <item x="111"/>
        <item x="100"/>
        <item x="65"/>
        <item x="206"/>
        <item x="213"/>
        <item x="289"/>
        <item x="431"/>
        <item x="222"/>
        <item x="372"/>
        <item x="351"/>
        <item x="411"/>
        <item x="193"/>
        <item x="424"/>
        <item x="62"/>
        <item x="173"/>
        <item x="420"/>
        <item x="242"/>
        <item x="410"/>
        <item x="341"/>
        <item x="393"/>
        <item x="73"/>
        <item x="389"/>
        <item x="183"/>
        <item x="349"/>
        <item x="120"/>
        <item x="178"/>
        <item x="307"/>
        <item x="358"/>
        <item x="376"/>
        <item x="141"/>
        <item x="293"/>
        <item x="134"/>
        <item x="231"/>
        <item x="333"/>
        <item x="92"/>
        <item x="381"/>
        <item x="273"/>
        <item x="392"/>
        <item x="391"/>
        <item x="302"/>
        <item x="387"/>
        <item x="48"/>
        <item x="321"/>
        <item x="196"/>
        <item x="168"/>
        <item x="159"/>
        <item x="298"/>
        <item x="81"/>
        <item x="57"/>
        <item x="198"/>
        <item x="382"/>
        <item x="156"/>
        <item x="162"/>
        <item x="43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11"/>
        <item x="2"/>
        <item x="12"/>
        <item x="6"/>
        <item x="10"/>
        <item x="8"/>
        <item x="4"/>
        <item x="7"/>
        <item x="9"/>
        <item x="5"/>
        <item x="3"/>
        <item t="default"/>
      </items>
    </pivotField>
    <pivotField compact="0" showAll="0">
      <items count="13">
        <item x="1"/>
        <item x="2"/>
        <item x="11"/>
        <item x="9"/>
        <item x="7"/>
        <item x="0"/>
        <item x="4"/>
        <item x="6"/>
        <item x="10"/>
        <item x="5"/>
        <item x="8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6">
        <item x="2"/>
        <item x="11"/>
        <item x="12"/>
        <item x="13"/>
        <item x="14"/>
        <item x="15"/>
        <item x="16"/>
        <item x="17"/>
        <item x="18"/>
        <item x="19"/>
        <item x="20"/>
        <item x="3"/>
        <item x="21"/>
        <item x="22"/>
        <item x="23"/>
        <item x="24"/>
        <item x="25"/>
        <item x="26"/>
        <item x="27"/>
        <item x="28"/>
        <item x="29"/>
        <item x="30"/>
        <item x="4"/>
        <item x="31"/>
        <item x="32"/>
        <item x="5"/>
        <item x="6"/>
        <item x="7"/>
        <item x="8"/>
        <item x="9"/>
        <item x="10"/>
        <item x="33"/>
        <item x="34"/>
        <item x="0"/>
        <item x="1"/>
        <item t="default"/>
      </items>
    </pivotField>
    <pivotField compact="0" showAll="0">
      <items count="551">
        <item x="3"/>
        <item x="5"/>
        <item x="1"/>
        <item x="7"/>
        <item x="11"/>
        <item x="13"/>
        <item x="14"/>
        <item x="15"/>
        <item x="17"/>
        <item x="18"/>
        <item x="19"/>
        <item x="21"/>
        <item x="23"/>
        <item x="25"/>
        <item x="27"/>
        <item x="28"/>
        <item x="29"/>
        <item x="31"/>
        <item x="32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10"/>
        <item x="12"/>
        <item x="16"/>
        <item x="22"/>
        <item x="24"/>
        <item x="26"/>
        <item x="30"/>
        <item x="38"/>
        <item x="6"/>
        <item x="55"/>
        <item x="8"/>
        <item x="20"/>
        <item x="33"/>
        <item x="34"/>
        <item x="35"/>
        <item x="36"/>
        <item x="41"/>
        <item x="53"/>
        <item x="58"/>
        <item x="59"/>
        <item x="60"/>
        <item x="61"/>
        <item x="65"/>
        <item x="63"/>
        <item x="64"/>
        <item x="62"/>
        <item x="37"/>
        <item x="56"/>
        <item x="67"/>
        <item x="69"/>
        <item x="71"/>
        <item x="75"/>
        <item x="80"/>
        <item x="81"/>
        <item x="74"/>
        <item x="87"/>
        <item x="86"/>
        <item x="76"/>
        <item x="66"/>
        <item x="70"/>
        <item x="72"/>
        <item x="77"/>
        <item x="78"/>
        <item x="84"/>
        <item x="85"/>
        <item x="83"/>
        <item x="89"/>
        <item x="68"/>
        <item x="73"/>
        <item x="90"/>
        <item x="82"/>
        <item x="79"/>
        <item x="88"/>
        <item x="92"/>
        <item x="91"/>
        <item x="93"/>
        <item x="94"/>
        <item x="95"/>
        <item x="98"/>
        <item x="99"/>
        <item x="100"/>
        <item x="101"/>
        <item x="57"/>
        <item x="97"/>
        <item x="102"/>
        <item x="105"/>
        <item x="107"/>
        <item x="108"/>
        <item x="109"/>
        <item x="106"/>
        <item x="110"/>
        <item x="111"/>
        <item x="103"/>
        <item x="113"/>
        <item x="114"/>
        <item x="112"/>
        <item x="116"/>
        <item x="118"/>
        <item x="115"/>
        <item x="119"/>
        <item x="120"/>
        <item x="122"/>
        <item x="123"/>
        <item x="121"/>
        <item x="128"/>
        <item x="126"/>
        <item x="129"/>
        <item x="124"/>
        <item x="130"/>
        <item x="117"/>
        <item x="127"/>
        <item x="134"/>
        <item x="135"/>
        <item x="136"/>
        <item x="137"/>
        <item x="138"/>
        <item x="139"/>
        <item x="104"/>
        <item x="131"/>
        <item x="140"/>
        <item x="132"/>
        <item x="125"/>
        <item x="143"/>
        <item x="145"/>
        <item x="147"/>
        <item x="141"/>
        <item x="146"/>
        <item x="150"/>
        <item x="151"/>
        <item x="149"/>
        <item x="152"/>
        <item x="153"/>
        <item x="154"/>
        <item x="156"/>
        <item x="155"/>
        <item x="144"/>
        <item x="157"/>
        <item x="158"/>
        <item x="148"/>
        <item x="160"/>
        <item x="159"/>
        <item x="161"/>
        <item x="162"/>
        <item x="163"/>
        <item x="164"/>
        <item x="166"/>
        <item x="167"/>
        <item x="170"/>
        <item x="169"/>
        <item x="168"/>
        <item x="172"/>
        <item x="171"/>
        <item x="174"/>
        <item x="175"/>
        <item x="176"/>
        <item x="177"/>
        <item x="179"/>
        <item x="180"/>
        <item x="181"/>
        <item x="183"/>
        <item x="184"/>
        <item x="178"/>
        <item x="182"/>
        <item x="185"/>
        <item x="186"/>
        <item x="187"/>
        <item x="188"/>
        <item x="189"/>
        <item x="190"/>
        <item x="191"/>
        <item x="165"/>
        <item x="196"/>
        <item x="133"/>
        <item x="192"/>
        <item x="193"/>
        <item x="195"/>
        <item x="198"/>
        <item x="199"/>
        <item x="200"/>
        <item x="202"/>
        <item x="206"/>
        <item x="207"/>
        <item x="208"/>
        <item x="204"/>
        <item x="203"/>
        <item x="210"/>
        <item x="209"/>
        <item x="211"/>
        <item x="212"/>
        <item x="0"/>
        <item x="2"/>
        <item x="4"/>
        <item x="201"/>
        <item x="205"/>
        <item x="215"/>
        <item x="214"/>
        <item x="221"/>
        <item x="224"/>
        <item x="213"/>
        <item x="217"/>
        <item x="219"/>
        <item x="225"/>
        <item x="218"/>
        <item x="220"/>
        <item x="227"/>
        <item x="228"/>
        <item x="216"/>
        <item x="226"/>
        <item x="229"/>
        <item x="230"/>
        <item x="231"/>
        <item x="223"/>
        <item x="234"/>
        <item x="236"/>
        <item x="238"/>
        <item x="233"/>
        <item x="240"/>
        <item x="242"/>
        <item x="244"/>
        <item x="245"/>
        <item x="239"/>
        <item x="247"/>
        <item x="248"/>
        <item x="250"/>
        <item x="252"/>
        <item x="256"/>
        <item x="257"/>
        <item x="258"/>
        <item x="259"/>
        <item x="260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4"/>
        <item x="275"/>
        <item x="277"/>
        <item x="278"/>
        <item x="281"/>
        <item x="283"/>
        <item x="284"/>
        <item x="235"/>
        <item x="237"/>
        <item x="246"/>
        <item x="251"/>
        <item x="255"/>
        <item x="194"/>
        <item x="243"/>
        <item x="265"/>
        <item x="276"/>
        <item x="282"/>
        <item x="232"/>
        <item x="249"/>
        <item x="253"/>
        <item x="254"/>
        <item x="261"/>
        <item x="280"/>
        <item x="285"/>
        <item x="287"/>
        <item x="289"/>
        <item x="292"/>
        <item x="286"/>
        <item x="290"/>
        <item x="291"/>
        <item x="222"/>
        <item x="298"/>
        <item x="299"/>
        <item x="300"/>
        <item x="301"/>
        <item x="302"/>
        <item x="303"/>
        <item x="279"/>
        <item x="293"/>
        <item x="294"/>
        <item x="295"/>
        <item x="296"/>
        <item x="297"/>
        <item x="305"/>
        <item x="307"/>
        <item x="308"/>
        <item x="309"/>
        <item x="310"/>
        <item x="311"/>
        <item x="312"/>
        <item x="315"/>
        <item x="288"/>
        <item x="316"/>
        <item x="318"/>
        <item x="313"/>
        <item x="319"/>
        <item x="321"/>
        <item x="320"/>
        <item x="322"/>
        <item x="323"/>
        <item x="324"/>
        <item x="326"/>
        <item x="325"/>
        <item x="327"/>
        <item x="328"/>
        <item x="329"/>
        <item x="331"/>
        <item x="332"/>
        <item x="306"/>
        <item x="314"/>
        <item x="317"/>
        <item x="330"/>
        <item x="333"/>
        <item x="334"/>
        <item x="335"/>
        <item x="336"/>
        <item x="338"/>
        <item x="341"/>
        <item x="342"/>
        <item x="339"/>
        <item x="340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173"/>
        <item x="197"/>
        <item x="241"/>
        <item x="356"/>
        <item x="337"/>
        <item x="353"/>
        <item x="358"/>
        <item x="359"/>
        <item x="361"/>
        <item x="355"/>
        <item x="360"/>
        <item x="363"/>
        <item x="364"/>
        <item x="365"/>
        <item x="362"/>
        <item x="366"/>
        <item x="367"/>
        <item x="369"/>
        <item x="368"/>
        <item x="370"/>
        <item x="371"/>
        <item x="372"/>
        <item x="375"/>
        <item x="377"/>
        <item x="376"/>
        <item x="304"/>
        <item x="373"/>
        <item x="378"/>
        <item x="379"/>
        <item x="380"/>
        <item x="382"/>
        <item x="383"/>
        <item x="385"/>
        <item x="386"/>
        <item x="388"/>
        <item x="389"/>
        <item x="390"/>
        <item x="391"/>
        <item x="393"/>
        <item x="398"/>
        <item x="400"/>
        <item x="401"/>
        <item x="403"/>
        <item x="404"/>
        <item x="405"/>
        <item x="408"/>
        <item x="409"/>
        <item x="411"/>
        <item x="412"/>
        <item x="413"/>
        <item x="414"/>
        <item x="407"/>
        <item x="416"/>
        <item x="420"/>
        <item x="423"/>
        <item x="392"/>
        <item x="402"/>
        <item x="406"/>
        <item x="410"/>
        <item x="381"/>
        <item x="384"/>
        <item x="387"/>
        <item x="394"/>
        <item x="395"/>
        <item x="415"/>
        <item x="425"/>
        <item x="417"/>
        <item x="418"/>
        <item x="419"/>
        <item x="421"/>
        <item x="422"/>
        <item x="399"/>
        <item x="424"/>
        <item x="426"/>
        <item x="397"/>
        <item x="427"/>
        <item x="429"/>
        <item x="430"/>
        <item x="431"/>
        <item x="433"/>
        <item x="436"/>
        <item x="437"/>
        <item x="438"/>
        <item x="439"/>
        <item x="440"/>
        <item x="396"/>
        <item x="428"/>
        <item x="434"/>
        <item x="435"/>
        <item x="374"/>
        <item x="357"/>
        <item x="441"/>
        <item x="442"/>
        <item x="444"/>
        <item x="445"/>
        <item x="446"/>
        <item x="448"/>
        <item x="447"/>
        <item x="450"/>
        <item x="451"/>
        <item x="453"/>
        <item x="454"/>
        <item x="96"/>
        <item x="455"/>
        <item x="456"/>
        <item x="458"/>
        <item x="460"/>
        <item x="449"/>
        <item x="452"/>
        <item x="457"/>
        <item x="459"/>
        <item x="461"/>
        <item x="462"/>
        <item x="463"/>
        <item x="464"/>
        <item x="465"/>
        <item x="467"/>
        <item x="468"/>
        <item x="470"/>
        <item x="471"/>
        <item x="472"/>
        <item x="474"/>
        <item x="466"/>
        <item x="476"/>
        <item x="477"/>
        <item x="142"/>
        <item x="478"/>
        <item x="479"/>
        <item x="480"/>
        <item x="482"/>
        <item x="483"/>
        <item x="484"/>
        <item x="485"/>
        <item x="487"/>
        <item x="488"/>
        <item x="486"/>
        <item x="489"/>
        <item x="492"/>
        <item x="473"/>
        <item x="475"/>
        <item x="481"/>
        <item x="469"/>
        <item x="443"/>
        <item x="493"/>
        <item x="495"/>
        <item x="497"/>
        <item x="498"/>
        <item x="499"/>
        <item x="501"/>
        <item x="502"/>
        <item x="490"/>
        <item x="491"/>
        <item x="500"/>
        <item x="505"/>
        <item x="496"/>
        <item x="507"/>
        <item x="506"/>
        <item x="508"/>
        <item x="510"/>
        <item x="512"/>
        <item x="509"/>
        <item x="511"/>
        <item x="515"/>
        <item x="516"/>
        <item x="517"/>
        <item x="519"/>
        <item x="520"/>
        <item x="521"/>
        <item x="504"/>
        <item x="514"/>
        <item x="524"/>
        <item x="527"/>
        <item x="503"/>
        <item x="513"/>
        <item x="518"/>
        <item x="522"/>
        <item x="523"/>
        <item x="525"/>
        <item x="526"/>
        <item x="528"/>
        <item x="529"/>
        <item x="530"/>
        <item x="531"/>
        <item x="532"/>
        <item x="533"/>
        <item x="535"/>
        <item x="534"/>
        <item x="536"/>
        <item x="538"/>
        <item x="537"/>
        <item x="539"/>
        <item x="540"/>
        <item x="541"/>
        <item x="432"/>
        <item x="543"/>
        <item x="544"/>
        <item x="494"/>
        <item x="542"/>
        <item x="545"/>
        <item x="546"/>
        <item x="547"/>
        <item x="548"/>
        <item x="549"/>
        <item x="9"/>
        <item t="default"/>
      </items>
    </pivotField>
    <pivotField compact="0" showAll="0">
      <items count="552">
        <item x="0"/>
        <item x="1"/>
        <item x="2"/>
        <item x="3"/>
        <item x="4"/>
        <item x="5"/>
        <item x="10"/>
        <item x="11"/>
        <item x="12"/>
        <item x="13"/>
        <item x="14"/>
        <item x="15"/>
        <item x="25"/>
        <item x="21"/>
        <item x="19"/>
        <item x="18"/>
        <item x="22"/>
        <item x="23"/>
        <item x="17"/>
        <item x="16"/>
        <item x="28"/>
        <item x="29"/>
        <item x="30"/>
        <item x="31"/>
        <item x="32"/>
        <item x="38"/>
        <item x="39"/>
        <item x="26"/>
        <item x="27"/>
        <item x="40"/>
        <item x="43"/>
        <item x="44"/>
        <item x="45"/>
        <item x="47"/>
        <item x="46"/>
        <item x="48"/>
        <item x="49"/>
        <item x="50"/>
        <item x="24"/>
        <item x="6"/>
        <item x="7"/>
        <item x="8"/>
        <item x="20"/>
        <item x="33"/>
        <item x="34"/>
        <item x="35"/>
        <item x="36"/>
        <item x="41"/>
        <item x="42"/>
        <item x="51"/>
        <item x="52"/>
        <item x="53"/>
        <item x="54"/>
        <item x="55"/>
        <item x="58"/>
        <item x="59"/>
        <item x="63"/>
        <item x="64"/>
        <item x="65"/>
        <item x="60"/>
        <item x="61"/>
        <item x="62"/>
        <item x="37"/>
        <item x="56"/>
        <item x="75"/>
        <item x="76"/>
        <item x="66"/>
        <item x="67"/>
        <item x="69"/>
        <item x="70"/>
        <item x="71"/>
        <item x="72"/>
        <item x="74"/>
        <item x="77"/>
        <item x="78"/>
        <item x="81"/>
        <item x="84"/>
        <item x="85"/>
        <item x="86"/>
        <item x="87"/>
        <item x="82"/>
        <item x="83"/>
        <item x="89"/>
        <item x="68"/>
        <item x="73"/>
        <item x="90"/>
        <item x="79"/>
        <item x="80"/>
        <item x="88"/>
        <item x="92"/>
        <item x="91"/>
        <item x="94"/>
        <item x="93"/>
        <item x="95"/>
        <item x="99"/>
        <item x="100"/>
        <item x="101"/>
        <item x="57"/>
        <item x="97"/>
        <item x="98"/>
        <item x="102"/>
        <item x="105"/>
        <item x="108"/>
        <item x="109"/>
        <item x="106"/>
        <item x="107"/>
        <item x="110"/>
        <item x="111"/>
        <item x="103"/>
        <item x="114"/>
        <item x="112"/>
        <item x="113"/>
        <item x="116"/>
        <item x="115"/>
        <item x="119"/>
        <item x="120"/>
        <item x="121"/>
        <item x="122"/>
        <item x="123"/>
        <item x="129"/>
        <item x="125"/>
        <item x="126"/>
        <item x="124"/>
        <item x="117"/>
        <item x="118"/>
        <item x="127"/>
        <item x="128"/>
        <item x="130"/>
        <item x="134"/>
        <item x="135"/>
        <item x="136"/>
        <item x="137"/>
        <item x="138"/>
        <item x="139"/>
        <item x="104"/>
        <item x="131"/>
        <item x="132"/>
        <item x="140"/>
        <item x="141"/>
        <item x="145"/>
        <item x="146"/>
        <item x="147"/>
        <item x="143"/>
        <item x="149"/>
        <item x="150"/>
        <item x="151"/>
        <item x="152"/>
        <item x="153"/>
        <item x="154"/>
        <item x="155"/>
        <item x="156"/>
        <item x="157"/>
        <item x="144"/>
        <item x="148"/>
        <item x="159"/>
        <item x="160"/>
        <item x="161"/>
        <item x="158"/>
        <item x="162"/>
        <item x="163"/>
        <item x="164"/>
        <item x="167"/>
        <item x="169"/>
        <item x="170"/>
        <item x="172"/>
        <item x="168"/>
        <item x="171"/>
        <item x="165"/>
        <item x="166"/>
        <item x="174"/>
        <item x="175"/>
        <item x="178"/>
        <item x="179"/>
        <item x="180"/>
        <item x="181"/>
        <item x="182"/>
        <item x="183"/>
        <item x="184"/>
        <item x="185"/>
        <item x="186"/>
        <item x="176"/>
        <item x="177"/>
        <item x="187"/>
        <item x="188"/>
        <item x="189"/>
        <item x="190"/>
        <item x="133"/>
        <item x="191"/>
        <item x="192"/>
        <item x="193"/>
        <item x="195"/>
        <item x="196"/>
        <item x="199"/>
        <item x="198"/>
        <item x="200"/>
        <item x="201"/>
        <item x="202"/>
        <item x="205"/>
        <item x="206"/>
        <item x="207"/>
        <item x="208"/>
        <item x="203"/>
        <item x="204"/>
        <item x="210"/>
        <item x="209"/>
        <item x="211"/>
        <item x="212"/>
        <item x="213"/>
        <item x="214"/>
        <item x="215"/>
        <item x="217"/>
        <item x="219"/>
        <item x="221"/>
        <item x="224"/>
        <item x="225"/>
        <item x="218"/>
        <item x="220"/>
        <item x="216"/>
        <item x="226"/>
        <item x="227"/>
        <item x="228"/>
        <item x="229"/>
        <item x="230"/>
        <item x="231"/>
        <item x="222"/>
        <item x="223"/>
        <item x="233"/>
        <item x="235"/>
        <item x="236"/>
        <item x="234"/>
        <item x="237"/>
        <item x="238"/>
        <item x="240"/>
        <item x="245"/>
        <item x="242"/>
        <item x="244"/>
        <item x="239"/>
        <item x="247"/>
        <item x="252"/>
        <item x="251"/>
        <item x="248"/>
        <item x="257"/>
        <item x="258"/>
        <item x="260"/>
        <item x="262"/>
        <item x="255"/>
        <item x="256"/>
        <item x="259"/>
        <item x="264"/>
        <item x="266"/>
        <item x="263"/>
        <item x="267"/>
        <item x="268"/>
        <item x="269"/>
        <item x="270"/>
        <item x="271"/>
        <item x="274"/>
        <item x="275"/>
        <item x="273"/>
        <item x="272"/>
        <item x="277"/>
        <item x="278"/>
        <item x="281"/>
        <item x="283"/>
        <item x="282"/>
        <item x="284"/>
        <item x="246"/>
        <item x="194"/>
        <item x="243"/>
        <item x="265"/>
        <item x="276"/>
        <item x="232"/>
        <item x="249"/>
        <item x="250"/>
        <item x="253"/>
        <item x="254"/>
        <item x="261"/>
        <item x="280"/>
        <item x="285"/>
        <item x="286"/>
        <item x="287"/>
        <item x="290"/>
        <item x="291"/>
        <item x="292"/>
        <item x="288"/>
        <item x="289"/>
        <item x="299"/>
        <item x="300"/>
        <item x="301"/>
        <item x="303"/>
        <item x="279"/>
        <item x="293"/>
        <item x="294"/>
        <item x="295"/>
        <item x="296"/>
        <item x="297"/>
        <item x="298"/>
        <item x="302"/>
        <item x="305"/>
        <item x="308"/>
        <item x="309"/>
        <item x="310"/>
        <item x="311"/>
        <item x="312"/>
        <item x="313"/>
        <item x="316"/>
        <item x="319"/>
        <item x="306"/>
        <item x="307"/>
        <item x="314"/>
        <item x="315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4"/>
        <item x="336"/>
        <item x="337"/>
        <item x="338"/>
        <item x="339"/>
        <item x="340"/>
        <item x="342"/>
        <item x="341"/>
        <item x="343"/>
        <item x="344"/>
        <item x="345"/>
        <item x="346"/>
        <item x="347"/>
        <item x="348"/>
        <item x="349"/>
        <item x="350"/>
        <item x="351"/>
        <item x="173"/>
        <item x="197"/>
        <item x="241"/>
        <item x="352"/>
        <item x="353"/>
        <item x="354"/>
        <item x="356"/>
        <item x="358"/>
        <item x="359"/>
        <item x="361"/>
        <item x="355"/>
        <item x="360"/>
        <item x="362"/>
        <item x="363"/>
        <item x="364"/>
        <item x="365"/>
        <item x="367"/>
        <item x="368"/>
        <item x="369"/>
        <item x="366"/>
        <item x="370"/>
        <item x="371"/>
        <item x="372"/>
        <item x="375"/>
        <item x="376"/>
        <item x="304"/>
        <item x="373"/>
        <item x="377"/>
        <item x="378"/>
        <item x="383"/>
        <item x="379"/>
        <item x="380"/>
        <item x="382"/>
        <item x="386"/>
        <item x="388"/>
        <item x="389"/>
        <item x="390"/>
        <item x="391"/>
        <item x="393"/>
        <item x="398"/>
        <item x="400"/>
        <item x="402"/>
        <item x="403"/>
        <item x="405"/>
        <item x="408"/>
        <item x="409"/>
        <item x="412"/>
        <item x="413"/>
        <item x="392"/>
        <item x="406"/>
        <item x="407"/>
        <item x="410"/>
        <item x="411"/>
        <item x="381"/>
        <item x="384"/>
        <item x="385"/>
        <item x="387"/>
        <item x="394"/>
        <item x="395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399"/>
        <item x="401"/>
        <item x="404"/>
        <item x="425"/>
        <item x="426"/>
        <item x="427"/>
        <item x="396"/>
        <item x="397"/>
        <item x="428"/>
        <item x="429"/>
        <item x="430"/>
        <item x="431"/>
        <item x="432"/>
        <item x="434"/>
        <item x="435"/>
        <item x="436"/>
        <item x="437"/>
        <item x="438"/>
        <item x="440"/>
        <item x="439"/>
        <item x="374"/>
        <item x="442"/>
        <item x="357"/>
        <item x="441"/>
        <item x="443"/>
        <item x="445"/>
        <item x="446"/>
        <item x="447"/>
        <item x="448"/>
        <item x="449"/>
        <item x="452"/>
        <item x="454"/>
        <item x="455"/>
        <item x="96"/>
        <item x="456"/>
        <item x="450"/>
        <item x="451"/>
        <item x="453"/>
        <item x="457"/>
        <item x="458"/>
        <item x="459"/>
        <item x="461"/>
        <item x="460"/>
        <item x="462"/>
        <item x="463"/>
        <item x="464"/>
        <item x="465"/>
        <item x="466"/>
        <item x="467"/>
        <item x="468"/>
        <item x="469"/>
        <item x="472"/>
        <item x="473"/>
        <item x="470"/>
        <item x="471"/>
        <item x="142"/>
        <item x="478"/>
        <item x="479"/>
        <item x="480"/>
        <item x="481"/>
        <item x="484"/>
        <item x="486"/>
        <item x="487"/>
        <item x="489"/>
        <item x="485"/>
        <item x="490"/>
        <item x="474"/>
        <item x="475"/>
        <item x="476"/>
        <item x="477"/>
        <item x="482"/>
        <item x="483"/>
        <item x="493"/>
        <item x="444"/>
        <item x="494"/>
        <item x="496"/>
        <item x="497"/>
        <item x="491"/>
        <item x="492"/>
        <item x="501"/>
        <item x="502"/>
        <item x="503"/>
        <item x="498"/>
        <item x="500"/>
        <item x="506"/>
        <item x="499"/>
        <item x="507"/>
        <item x="509"/>
        <item x="508"/>
        <item x="510"/>
        <item x="511"/>
        <item x="512"/>
        <item x="513"/>
        <item x="516"/>
        <item x="517"/>
        <item x="488"/>
        <item x="518"/>
        <item x="504"/>
        <item x="505"/>
        <item x="514"/>
        <item x="515"/>
        <item x="519"/>
        <item x="520"/>
        <item x="521"/>
        <item x="522"/>
        <item x="523"/>
        <item x="524"/>
        <item x="526"/>
        <item x="527"/>
        <item x="528"/>
        <item x="525"/>
        <item x="529"/>
        <item x="530"/>
        <item x="531"/>
        <item x="532"/>
        <item x="533"/>
        <item x="534"/>
        <item x="535"/>
        <item x="536"/>
        <item x="537"/>
        <item x="538"/>
        <item x="540"/>
        <item x="541"/>
        <item x="539"/>
        <item x="542"/>
        <item x="433"/>
        <item x="495"/>
        <item x="543"/>
        <item x="544"/>
        <item x="545"/>
        <item x="546"/>
        <item x="547"/>
        <item x="548"/>
        <item x="549"/>
        <item x="550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04">
        <item x="256"/>
        <item x="79"/>
        <item x="106"/>
        <item x="366"/>
        <item x="255"/>
        <item x="192"/>
        <item x="159"/>
        <item x="322"/>
        <item x="364"/>
        <item x="118"/>
        <item x="391"/>
        <item x="313"/>
        <item x="179"/>
        <item x="227"/>
        <item x="67"/>
        <item x="49"/>
        <item x="302"/>
        <item x="188"/>
        <item x="155"/>
        <item x="110"/>
        <item x="76"/>
        <item x="357"/>
        <item x="212"/>
        <item x="327"/>
        <item x="376"/>
        <item x="238"/>
        <item x="232"/>
        <item x="176"/>
        <item x="275"/>
        <item x="189"/>
        <item x="100"/>
        <item x="1"/>
        <item x="380"/>
        <item x="348"/>
        <item x="374"/>
        <item x="234"/>
        <item x="390"/>
        <item x="12"/>
        <item x="271"/>
        <item x="88"/>
        <item x="196"/>
        <item x="21"/>
        <item x="248"/>
        <item x="191"/>
        <item x="253"/>
        <item x="163"/>
        <item x="3"/>
        <item x="362"/>
        <item x="178"/>
        <item x="200"/>
        <item x="158"/>
        <item x="343"/>
        <item x="53"/>
        <item x="25"/>
        <item x="74"/>
        <item x="219"/>
        <item x="369"/>
        <item x="122"/>
        <item x="10"/>
        <item x="205"/>
        <item x="43"/>
        <item x="283"/>
        <item x="239"/>
        <item x="112"/>
        <item x="254"/>
        <item x="59"/>
        <item x="230"/>
        <item x="190"/>
        <item x="169"/>
        <item x="109"/>
        <item x="70"/>
        <item x="245"/>
        <item x="222"/>
        <item x="258"/>
        <item x="45"/>
        <item x="300"/>
        <item x="194"/>
        <item x="395"/>
        <item x="355"/>
        <item x="63"/>
        <item x="180"/>
        <item x="133"/>
        <item x="290"/>
        <item x="379"/>
        <item x="29"/>
        <item x="296"/>
        <item x="312"/>
        <item x="198"/>
        <item x="40"/>
        <item x="153"/>
        <item x="353"/>
        <item x="146"/>
        <item x="237"/>
        <item x="259"/>
        <item x="5"/>
        <item x="337"/>
        <item x="165"/>
        <item x="66"/>
        <item x="94"/>
        <item x="140"/>
        <item x="119"/>
        <item x="279"/>
        <item x="246"/>
        <item x="309"/>
        <item x="55"/>
        <item x="236"/>
        <item x="228"/>
        <item x="332"/>
        <item x="82"/>
        <item x="392"/>
        <item x="154"/>
        <item x="75"/>
        <item x="218"/>
        <item x="151"/>
        <item x="197"/>
        <item x="211"/>
        <item x="398"/>
        <item x="105"/>
        <item x="128"/>
        <item x="326"/>
        <item x="386"/>
        <item x="375"/>
        <item x="305"/>
        <item x="306"/>
        <item x="231"/>
        <item x="175"/>
        <item x="96"/>
        <item x="187"/>
        <item x="48"/>
        <item x="99"/>
        <item x="114"/>
        <item x="292"/>
        <item x="347"/>
        <item x="269"/>
        <item x="17"/>
        <item x="291"/>
        <item x="240"/>
        <item x="36"/>
        <item x="130"/>
        <item x="233"/>
        <item x="294"/>
        <item x="389"/>
        <item x="11"/>
        <item x="325"/>
        <item x="129"/>
        <item x="241"/>
        <item x="16"/>
        <item x="270"/>
        <item x="91"/>
        <item x="87"/>
        <item x="101"/>
        <item x="84"/>
        <item x="20"/>
        <item x="157"/>
        <item x="263"/>
        <item x="299"/>
        <item x="351"/>
        <item x="210"/>
        <item x="7"/>
        <item x="372"/>
        <item x="201"/>
        <item x="23"/>
        <item x="280"/>
        <item x="252"/>
        <item x="117"/>
        <item x="33"/>
        <item x="162"/>
        <item x="2"/>
        <item x="382"/>
        <item x="361"/>
        <item x="287"/>
        <item x="6"/>
        <item x="206"/>
        <item x="177"/>
        <item x="203"/>
        <item x="220"/>
        <item x="92"/>
        <item x="102"/>
        <item x="345"/>
        <item x="288"/>
        <item x="149"/>
        <item x="208"/>
        <item x="367"/>
        <item x="282"/>
        <item x="251"/>
        <item x="0"/>
        <item x="342"/>
        <item x="400"/>
        <item x="52"/>
        <item x="24"/>
        <item x="73"/>
        <item x="368"/>
        <item x="160"/>
        <item x="121"/>
        <item x="65"/>
        <item x="32"/>
        <item x="286"/>
        <item x="333"/>
        <item x="9"/>
        <item x="81"/>
        <item x="334"/>
        <item x="51"/>
        <item x="185"/>
        <item x="111"/>
        <item x="329"/>
        <item x="381"/>
        <item x="284"/>
        <item x="307"/>
        <item x="323"/>
        <item x="371"/>
        <item x="170"/>
        <item x="226"/>
        <item x="339"/>
        <item x="285"/>
        <item x="244"/>
        <item x="272"/>
        <item x="346"/>
        <item x="324"/>
        <item x="89"/>
        <item x="31"/>
        <item x="243"/>
        <item x="116"/>
        <item x="221"/>
        <item x="370"/>
        <item x="257"/>
        <item x="229"/>
        <item x="78"/>
        <item x="297"/>
        <item x="50"/>
        <item x="195"/>
        <item x="69"/>
        <item x="18"/>
        <item x="8"/>
        <item x="204"/>
        <item x="182"/>
        <item x="62"/>
        <item x="168"/>
        <item x="15"/>
        <item x="148"/>
        <item x="127"/>
        <item x="83"/>
        <item x="209"/>
        <item x="22"/>
        <item x="174"/>
        <item x="378"/>
        <item x="383"/>
        <item x="35"/>
        <item x="320"/>
        <item x="28"/>
        <item x="330"/>
        <item x="295"/>
        <item x="267"/>
        <item x="384"/>
        <item x="46"/>
        <item x="338"/>
        <item x="86"/>
        <item x="363"/>
        <item x="341"/>
        <item x="266"/>
        <item x="37"/>
        <item x="97"/>
        <item x="138"/>
        <item x="303"/>
        <item x="44"/>
        <item x="301"/>
        <item x="316"/>
        <item x="315"/>
        <item x="39"/>
        <item x="317"/>
        <item x="135"/>
        <item x="262"/>
        <item x="14"/>
        <item x="152"/>
        <item x="120"/>
        <item x="77"/>
        <item x="397"/>
        <item x="352"/>
        <item x="335"/>
        <item x="318"/>
        <item x="393"/>
        <item x="387"/>
        <item x="224"/>
        <item x="172"/>
        <item x="123"/>
        <item x="215"/>
        <item x="310"/>
        <item x="265"/>
        <item x="38"/>
        <item x="42"/>
        <item x="126"/>
        <item x="13"/>
        <item x="132"/>
        <item x="167"/>
        <item x="216"/>
        <item x="26"/>
        <item x="108"/>
        <item x="54"/>
        <item x="145"/>
        <item x="214"/>
        <item x="276"/>
        <item x="365"/>
        <item x="399"/>
        <item x="58"/>
        <item x="183"/>
        <item x="4"/>
        <item x="95"/>
        <item x="115"/>
        <item x="164"/>
        <item x="142"/>
        <item x="30"/>
        <item x="141"/>
        <item x="289"/>
        <item x="137"/>
        <item x="98"/>
        <item x="19"/>
        <item x="260"/>
        <item x="298"/>
        <item x="278"/>
        <item x="396"/>
        <item x="308"/>
        <item x="314"/>
        <item x="57"/>
        <item x="261"/>
        <item x="107"/>
        <item x="235"/>
        <item x="103"/>
        <item x="60"/>
        <item x="331"/>
        <item x="41"/>
        <item x="202"/>
        <item x="225"/>
        <item x="34"/>
        <item x="242"/>
        <item x="274"/>
        <item x="373"/>
        <item x="247"/>
        <item x="136"/>
        <item x="27"/>
        <item x="139"/>
        <item x="249"/>
        <item x="68"/>
        <item x="71"/>
        <item x="85"/>
        <item x="143"/>
        <item x="336"/>
        <item x="173"/>
        <item x="217"/>
        <item x="134"/>
        <item x="125"/>
        <item x="93"/>
        <item x="104"/>
        <item x="64"/>
        <item x="193"/>
        <item x="199"/>
        <item x="264"/>
        <item x="394"/>
        <item x="207"/>
        <item x="340"/>
        <item x="321"/>
        <item x="181"/>
        <item x="388"/>
        <item x="61"/>
        <item x="161"/>
        <item x="385"/>
        <item x="223"/>
        <item x="377"/>
        <item x="311"/>
        <item x="360"/>
        <item x="72"/>
        <item x="356"/>
        <item x="171"/>
        <item x="319"/>
        <item x="113"/>
        <item x="166"/>
        <item x="281"/>
        <item x="328"/>
        <item x="344"/>
        <item x="131"/>
        <item x="268"/>
        <item x="124"/>
        <item x="213"/>
        <item x="304"/>
        <item x="90"/>
        <item x="349"/>
        <item x="250"/>
        <item x="359"/>
        <item x="358"/>
        <item x="277"/>
        <item x="354"/>
        <item x="47"/>
        <item x="293"/>
        <item x="184"/>
        <item x="156"/>
        <item x="147"/>
        <item x="273"/>
        <item x="80"/>
        <item x="56"/>
        <item x="186"/>
        <item x="350"/>
        <item x="144"/>
        <item x="150"/>
        <item x="401"/>
        <item x="40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24">
        <item x="62"/>
        <item x="84"/>
        <item x="293"/>
        <item x="156"/>
        <item x="133"/>
        <item x="261"/>
        <item x="95"/>
        <item x="314"/>
        <item x="252"/>
        <item x="185"/>
        <item x="51"/>
        <item x="36"/>
        <item x="242"/>
        <item x="152"/>
        <item x="130"/>
        <item x="88"/>
        <item x="59"/>
        <item x="174"/>
        <item x="265"/>
        <item x="302"/>
        <item x="190"/>
        <item x="146"/>
        <item x="153"/>
        <item x="78"/>
        <item x="1"/>
        <item x="305"/>
        <item x="284"/>
        <item x="192"/>
        <item x="313"/>
        <item x="117"/>
        <item x="215"/>
        <item x="69"/>
        <item x="160"/>
        <item x="17"/>
        <item x="202"/>
        <item x="155"/>
        <item x="205"/>
        <item x="136"/>
        <item x="3"/>
        <item x="291"/>
        <item x="148"/>
        <item x="164"/>
        <item x="132"/>
        <item x="280"/>
        <item x="40"/>
        <item x="21"/>
        <item x="57"/>
        <item x="179"/>
        <item x="296"/>
        <item x="98"/>
        <item x="9"/>
        <item x="168"/>
        <item x="31"/>
        <item x="223"/>
        <item x="90"/>
        <item x="44"/>
        <item x="188"/>
        <item x="154"/>
        <item x="140"/>
        <item x="87"/>
        <item x="54"/>
        <item x="199"/>
        <item x="207"/>
        <item x="33"/>
        <item x="240"/>
        <item x="158"/>
        <item x="317"/>
        <item x="289"/>
        <item x="47"/>
        <item x="149"/>
        <item x="109"/>
        <item x="230"/>
        <item x="304"/>
        <item x="25"/>
        <item x="235"/>
        <item x="251"/>
        <item x="162"/>
        <item x="28"/>
        <item x="128"/>
        <item x="288"/>
        <item x="123"/>
        <item x="208"/>
        <item x="5"/>
        <item x="274"/>
        <item x="138"/>
        <item x="50"/>
        <item x="119"/>
        <item x="115"/>
        <item x="238"/>
        <item x="219"/>
        <item x="200"/>
        <item x="248"/>
        <item x="186"/>
        <item x="270"/>
        <item x="63"/>
        <item x="315"/>
        <item x="129"/>
        <item x="58"/>
        <item x="178"/>
        <item x="126"/>
        <item x="161"/>
        <item x="173"/>
        <item x="320"/>
        <item x="83"/>
        <item x="104"/>
        <item x="264"/>
        <item x="301"/>
        <item x="244"/>
        <item x="245"/>
        <item x="189"/>
        <item x="145"/>
        <item x="74"/>
        <item x="151"/>
        <item x="35"/>
        <item x="77"/>
        <item x="92"/>
        <item x="232"/>
        <item x="283"/>
        <item x="213"/>
        <item x="13"/>
        <item x="231"/>
        <item x="194"/>
        <item x="106"/>
        <item x="191"/>
        <item x="312"/>
        <item x="116"/>
        <item x="105"/>
        <item x="195"/>
        <item x="214"/>
        <item x="68"/>
        <item x="79"/>
        <item x="65"/>
        <item x="16"/>
        <item x="131"/>
        <item x="210"/>
        <item x="239"/>
        <item x="286"/>
        <item x="172"/>
        <item x="299"/>
        <item x="165"/>
        <item x="19"/>
        <item x="220"/>
        <item x="204"/>
        <item x="94"/>
        <item x="135"/>
        <item x="2"/>
        <item x="307"/>
        <item x="290"/>
        <item x="227"/>
        <item x="6"/>
        <item x="169"/>
        <item x="147"/>
        <item x="166"/>
        <item x="180"/>
        <item x="80"/>
        <item x="281"/>
        <item x="228"/>
        <item x="125"/>
        <item x="170"/>
        <item x="294"/>
        <item x="0"/>
        <item x="279"/>
        <item x="39"/>
        <item x="20"/>
        <item x="56"/>
        <item x="295"/>
        <item x="134"/>
        <item x="97"/>
        <item x="49"/>
        <item x="226"/>
        <item x="271"/>
        <item x="8"/>
        <item x="111"/>
        <item x="272"/>
        <item x="38"/>
        <item x="89"/>
        <item x="267"/>
        <item x="306"/>
        <item x="224"/>
        <item x="246"/>
        <item x="262"/>
        <item x="298"/>
        <item x="141"/>
        <item x="184"/>
        <item x="276"/>
        <item x="225"/>
        <item x="198"/>
        <item x="216"/>
        <item x="282"/>
        <item x="263"/>
        <item x="70"/>
        <item x="197"/>
        <item x="297"/>
        <item x="206"/>
        <item x="187"/>
        <item x="61"/>
        <item x="236"/>
        <item x="37"/>
        <item x="159"/>
        <item x="53"/>
        <item x="14"/>
        <item x="167"/>
        <item x="46"/>
        <item x="12"/>
        <item x="124"/>
        <item x="103"/>
        <item x="64"/>
        <item x="171"/>
        <item x="18"/>
        <item x="144"/>
        <item x="303"/>
        <item x="308"/>
        <item x="259"/>
        <item x="24"/>
        <item x="268"/>
        <item x="234"/>
        <item x="212"/>
        <item x="309"/>
        <item x="34"/>
        <item x="275"/>
        <item x="67"/>
        <item x="278"/>
        <item x="75"/>
        <item x="113"/>
        <item x="243"/>
        <item x="32"/>
        <item x="241"/>
        <item x="255"/>
        <item x="254"/>
        <item x="27"/>
        <item x="256"/>
        <item x="11"/>
        <item x="127"/>
        <item x="96"/>
        <item x="60"/>
        <item x="319"/>
        <item x="287"/>
        <item x="257"/>
        <item x="316"/>
        <item x="310"/>
        <item x="182"/>
        <item x="99"/>
        <item x="249"/>
        <item x="211"/>
        <item x="72"/>
        <item x="30"/>
        <item x="102"/>
        <item x="10"/>
        <item x="108"/>
        <item x="176"/>
        <item x="22"/>
        <item x="86"/>
        <item x="122"/>
        <item x="175"/>
        <item x="217"/>
        <item x="292"/>
        <item x="321"/>
        <item x="43"/>
        <item x="150"/>
        <item x="4"/>
        <item x="73"/>
        <item x="93"/>
        <item x="137"/>
        <item x="120"/>
        <item x="26"/>
        <item x="118"/>
        <item x="229"/>
        <item x="112"/>
        <item x="76"/>
        <item x="15"/>
        <item x="237"/>
        <item x="218"/>
        <item x="318"/>
        <item x="247"/>
        <item x="253"/>
        <item x="42"/>
        <item x="209"/>
        <item x="85"/>
        <item x="193"/>
        <item x="81"/>
        <item x="45"/>
        <item x="269"/>
        <item x="29"/>
        <item x="183"/>
        <item x="196"/>
        <item x="300"/>
        <item x="201"/>
        <item x="23"/>
        <item x="114"/>
        <item x="203"/>
        <item x="52"/>
        <item x="55"/>
        <item x="66"/>
        <item x="121"/>
        <item x="273"/>
        <item x="143"/>
        <item x="177"/>
        <item x="110"/>
        <item x="101"/>
        <item x="82"/>
        <item x="48"/>
        <item x="157"/>
        <item x="163"/>
        <item x="222"/>
        <item x="277"/>
        <item x="260"/>
        <item x="311"/>
        <item x="181"/>
        <item x="250"/>
        <item x="142"/>
        <item x="258"/>
        <item x="91"/>
        <item x="139"/>
        <item x="221"/>
        <item x="266"/>
        <item x="107"/>
        <item x="100"/>
        <item x="71"/>
        <item x="285"/>
        <item x="233"/>
        <item x="41"/>
        <item x="322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3">
        <item x="1"/>
        <item x="9"/>
        <item x="10"/>
        <item x="12"/>
        <item x="11"/>
        <item x="13"/>
        <item x="14"/>
        <item x="15"/>
        <item x="16"/>
        <item x="18"/>
        <item x="19"/>
        <item x="2"/>
        <item x="17"/>
        <item x="20"/>
        <item x="21"/>
        <item x="22"/>
        <item x="23"/>
        <item x="24"/>
        <item x="25"/>
        <item x="26"/>
        <item x="27"/>
        <item x="28"/>
        <item x="3"/>
        <item x="29"/>
        <item x="30"/>
        <item x="4"/>
        <item x="5"/>
        <item x="6"/>
        <item x="7"/>
        <item x="8"/>
        <item x="0"/>
        <item x="3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5">
        <item x="40"/>
        <item x="47"/>
        <item x="25"/>
        <item x="32"/>
        <item x="94"/>
        <item x="69"/>
        <item x="43"/>
        <item x="4"/>
        <item x="22"/>
        <item x="78"/>
        <item x="70"/>
        <item x="84"/>
        <item x="19"/>
        <item x="33"/>
        <item x="88"/>
        <item x="30"/>
        <item x="38"/>
        <item x="71"/>
        <item x="60"/>
        <item x="20"/>
        <item x="68"/>
        <item x="6"/>
        <item x="10"/>
        <item x="61"/>
        <item x="95"/>
        <item x="8"/>
        <item x="42"/>
        <item x="29"/>
        <item x="34"/>
        <item x="1"/>
        <item x="23"/>
        <item x="86"/>
        <item x="39"/>
        <item x="63"/>
        <item x="11"/>
        <item x="5"/>
        <item x="101"/>
        <item x="81"/>
        <item x="66"/>
        <item x="90"/>
        <item x="21"/>
        <item x="50"/>
        <item x="24"/>
        <item x="41"/>
        <item x="51"/>
        <item x="99"/>
        <item x="36"/>
        <item x="96"/>
        <item x="46"/>
        <item x="75"/>
        <item x="52"/>
        <item x="54"/>
        <item x="87"/>
        <item x="65"/>
        <item x="55"/>
        <item x="18"/>
        <item x="49"/>
        <item x="0"/>
        <item x="13"/>
        <item x="17"/>
        <item x="57"/>
        <item x="67"/>
        <item x="74"/>
        <item x="64"/>
        <item x="35"/>
        <item x="72"/>
        <item x="100"/>
        <item x="76"/>
        <item x="59"/>
        <item x="7"/>
        <item x="83"/>
        <item x="98"/>
        <item x="53"/>
        <item x="77"/>
        <item x="89"/>
        <item x="28"/>
        <item x="91"/>
        <item x="73"/>
        <item x="97"/>
        <item x="2"/>
        <item x="45"/>
        <item x="92"/>
        <item x="103"/>
        <item x="80"/>
        <item x="31"/>
        <item x="82"/>
        <item x="14"/>
        <item x="27"/>
        <item x="44"/>
        <item x="102"/>
        <item x="26"/>
        <item x="93"/>
        <item x="58"/>
        <item x="15"/>
        <item x="12"/>
        <item x="37"/>
        <item x="79"/>
        <item x="9"/>
        <item x="48"/>
        <item x="16"/>
        <item x="56"/>
        <item x="62"/>
        <item x="85"/>
        <item x="3"/>
        <item t="default"/>
      </items>
    </pivotField>
    <pivotField compact="0" showAll="0">
      <items count="105">
        <item x="6"/>
        <item x="62"/>
        <item x="31"/>
        <item x="10"/>
        <item x="93"/>
        <item x="81"/>
        <item x="9"/>
        <item x="51"/>
        <item x="24"/>
        <item x="99"/>
        <item x="41"/>
        <item x="8"/>
        <item x="86"/>
        <item x="69"/>
        <item x="68"/>
        <item x="5"/>
        <item x="11"/>
        <item x="29"/>
        <item x="39"/>
        <item x="23"/>
        <item x="1"/>
        <item x="43"/>
        <item x="34"/>
        <item x="70"/>
        <item x="101"/>
        <item x="63"/>
        <item x="42"/>
        <item x="61"/>
        <item x="95"/>
        <item x="71"/>
        <item x="30"/>
        <item x="60"/>
        <item x="38"/>
        <item x="20"/>
        <item x="75"/>
        <item x="16"/>
        <item x="56"/>
        <item x="85"/>
        <item x="27"/>
        <item x="14"/>
        <item x="37"/>
        <item x="44"/>
        <item x="50"/>
        <item x="103"/>
        <item x="66"/>
        <item x="90"/>
        <item x="88"/>
        <item x="32"/>
        <item x="94"/>
        <item x="65"/>
        <item x="84"/>
        <item x="33"/>
        <item x="25"/>
        <item x="78"/>
        <item x="4"/>
        <item x="19"/>
        <item x="22"/>
        <item x="87"/>
        <item x="48"/>
        <item x="92"/>
        <item x="76"/>
        <item x="59"/>
        <item x="73"/>
        <item x="67"/>
        <item x="91"/>
        <item x="83"/>
        <item x="0"/>
        <item x="13"/>
        <item x="35"/>
        <item x="47"/>
        <item x="98"/>
        <item x="18"/>
        <item x="49"/>
        <item x="72"/>
        <item x="57"/>
        <item x="17"/>
        <item x="100"/>
        <item x="28"/>
        <item x="74"/>
        <item x="64"/>
        <item x="7"/>
        <item x="80"/>
        <item x="53"/>
        <item x="89"/>
        <item x="77"/>
        <item x="52"/>
        <item x="54"/>
        <item x="40"/>
        <item x="55"/>
        <item x="21"/>
        <item x="36"/>
        <item x="58"/>
        <item x="26"/>
        <item x="12"/>
        <item x="79"/>
        <item x="15"/>
        <item x="82"/>
        <item x="102"/>
        <item x="46"/>
        <item x="96"/>
        <item x="45"/>
        <item x="97"/>
        <item x="2"/>
        <item x="3"/>
        <item t="default"/>
      </items>
    </pivotField>
    <pivotField compact="0" showAll="0">
      <items count="363">
        <item x="115"/>
        <item x="302"/>
        <item x="235"/>
        <item x="221"/>
        <item x="183"/>
        <item x="126"/>
        <item x="207"/>
        <item x="311"/>
        <item x="144"/>
        <item x="111"/>
        <item x="170"/>
        <item x="243"/>
        <item x="112"/>
        <item x="310"/>
        <item x="156"/>
        <item x="348"/>
        <item x="225"/>
        <item x="271"/>
        <item x="13"/>
        <item x="0"/>
        <item x="295"/>
        <item x="33"/>
        <item x="2"/>
        <item x="1"/>
        <item x="3"/>
        <item x="5"/>
        <item x="6"/>
        <item x="103"/>
        <item x="8"/>
        <item x="7"/>
        <item x="9"/>
        <item x="16"/>
        <item x="10"/>
        <item x="11"/>
        <item x="18"/>
        <item x="12"/>
        <item x="15"/>
        <item x="14"/>
        <item x="50"/>
        <item x="29"/>
        <item x="28"/>
        <item x="20"/>
        <item x="19"/>
        <item x="27"/>
        <item x="38"/>
        <item x="23"/>
        <item x="24"/>
        <item x="21"/>
        <item x="25"/>
        <item x="48"/>
        <item x="26"/>
        <item x="22"/>
        <item x="39"/>
        <item x="30"/>
        <item x="41"/>
        <item x="31"/>
        <item x="32"/>
        <item x="37"/>
        <item x="35"/>
        <item x="43"/>
        <item x="36"/>
        <item x="40"/>
        <item x="44"/>
        <item x="52"/>
        <item x="42"/>
        <item x="51"/>
        <item x="45"/>
        <item x="46"/>
        <item x="53"/>
        <item x="49"/>
        <item x="54"/>
        <item x="55"/>
        <item x="58"/>
        <item x="56"/>
        <item x="57"/>
        <item x="59"/>
        <item x="118"/>
        <item x="62"/>
        <item x="61"/>
        <item x="60"/>
        <item x="63"/>
        <item x="65"/>
        <item x="77"/>
        <item x="69"/>
        <item x="82"/>
        <item x="92"/>
        <item x="70"/>
        <item x="74"/>
        <item x="78"/>
        <item x="73"/>
        <item x="107"/>
        <item x="83"/>
        <item x="80"/>
        <item x="79"/>
        <item x="97"/>
        <item x="86"/>
        <item x="93"/>
        <item x="89"/>
        <item x="90"/>
        <item x="163"/>
        <item x="96"/>
        <item x="81"/>
        <item x="85"/>
        <item x="84"/>
        <item x="98"/>
        <item x="116"/>
        <item x="87"/>
        <item x="94"/>
        <item x="95"/>
        <item x="101"/>
        <item x="99"/>
        <item x="109"/>
        <item x="100"/>
        <item x="104"/>
        <item x="102"/>
        <item x="110"/>
        <item x="108"/>
        <item x="114"/>
        <item x="117"/>
        <item x="122"/>
        <item x="119"/>
        <item x="130"/>
        <item x="120"/>
        <item x="124"/>
        <item x="127"/>
        <item x="125"/>
        <item x="129"/>
        <item x="131"/>
        <item x="132"/>
        <item x="134"/>
        <item x="136"/>
        <item x="133"/>
        <item x="135"/>
        <item x="139"/>
        <item x="143"/>
        <item x="145"/>
        <item x="162"/>
        <item x="146"/>
        <item x="148"/>
        <item x="147"/>
        <item x="149"/>
        <item x="150"/>
        <item x="151"/>
        <item x="152"/>
        <item x="153"/>
        <item x="154"/>
        <item x="159"/>
        <item x="155"/>
        <item x="158"/>
        <item x="157"/>
        <item x="160"/>
        <item x="164"/>
        <item x="166"/>
        <item x="168"/>
        <item x="161"/>
        <item x="165"/>
        <item x="171"/>
        <item x="169"/>
        <item x="172"/>
        <item x="173"/>
        <item x="175"/>
        <item x="177"/>
        <item x="178"/>
        <item x="181"/>
        <item x="186"/>
        <item x="179"/>
        <item x="182"/>
        <item x="180"/>
        <item x="184"/>
        <item x="192"/>
        <item x="187"/>
        <item x="191"/>
        <item x="188"/>
        <item x="200"/>
        <item x="195"/>
        <item x="197"/>
        <item x="205"/>
        <item x="198"/>
        <item x="189"/>
        <item x="204"/>
        <item x="190"/>
        <item x="201"/>
        <item x="206"/>
        <item x="196"/>
        <item x="202"/>
        <item x="214"/>
        <item x="208"/>
        <item x="210"/>
        <item x="209"/>
        <item x="219"/>
        <item x="218"/>
        <item x="211"/>
        <item x="212"/>
        <item x="215"/>
        <item x="220"/>
        <item x="217"/>
        <item x="222"/>
        <item x="224"/>
        <item x="226"/>
        <item x="345"/>
        <item x="244"/>
        <item x="346"/>
        <item x="232"/>
        <item x="251"/>
        <item x="231"/>
        <item x="233"/>
        <item x="234"/>
        <item x="237"/>
        <item x="239"/>
        <item x="240"/>
        <item x="236"/>
        <item x="241"/>
        <item x="242"/>
        <item x="238"/>
        <item x="248"/>
        <item x="247"/>
        <item x="245"/>
        <item x="246"/>
        <item x="256"/>
        <item x="258"/>
        <item x="257"/>
        <item x="254"/>
        <item x="252"/>
        <item x="267"/>
        <item x="253"/>
        <item x="255"/>
        <item x="261"/>
        <item x="275"/>
        <item x="259"/>
        <item x="260"/>
        <item x="264"/>
        <item x="266"/>
        <item x="269"/>
        <item x="272"/>
        <item x="273"/>
        <item x="278"/>
        <item x="279"/>
        <item x="268"/>
        <item x="270"/>
        <item x="276"/>
        <item x="277"/>
        <item x="286"/>
        <item x="290"/>
        <item x="288"/>
        <item x="283"/>
        <item x="281"/>
        <item x="262"/>
        <item x="274"/>
        <item x="287"/>
        <item x="285"/>
        <item x="282"/>
        <item x="280"/>
        <item x="289"/>
        <item x="292"/>
        <item x="296"/>
        <item x="294"/>
        <item x="291"/>
        <item x="293"/>
        <item x="297"/>
        <item x="314"/>
        <item x="313"/>
        <item x="304"/>
        <item x="303"/>
        <item x="298"/>
        <item x="300"/>
        <item x="299"/>
        <item x="305"/>
        <item x="317"/>
        <item x="319"/>
        <item x="334"/>
        <item x="320"/>
        <item x="321"/>
        <item x="323"/>
        <item x="322"/>
        <item x="340"/>
        <item x="327"/>
        <item x="329"/>
        <item x="330"/>
        <item x="331"/>
        <item x="326"/>
        <item x="342"/>
        <item x="328"/>
        <item x="336"/>
        <item x="339"/>
        <item x="333"/>
        <item x="335"/>
        <item x="338"/>
        <item x="341"/>
        <item x="349"/>
        <item x="347"/>
        <item x="344"/>
        <item x="350"/>
        <item x="358"/>
        <item x="357"/>
        <item x="356"/>
        <item x="355"/>
        <item x="359"/>
        <item x="360"/>
        <item x="361"/>
        <item x="137"/>
        <item x="138"/>
        <item x="64"/>
        <item x="17"/>
        <item x="34"/>
        <item x="47"/>
        <item x="66"/>
        <item x="223"/>
        <item x="68"/>
        <item x="67"/>
        <item x="75"/>
        <item x="71"/>
        <item x="72"/>
        <item x="76"/>
        <item x="88"/>
        <item x="91"/>
        <item x="106"/>
        <item x="105"/>
        <item x="113"/>
        <item x="121"/>
        <item x="128"/>
        <item x="123"/>
        <item x="140"/>
        <item x="142"/>
        <item x="141"/>
        <item x="167"/>
        <item x="174"/>
        <item x="176"/>
        <item x="185"/>
        <item x="193"/>
        <item x="194"/>
        <item x="199"/>
        <item x="203"/>
        <item x="213"/>
        <item x="216"/>
        <item x="230"/>
        <item x="227"/>
        <item x="229"/>
        <item x="228"/>
        <item x="250"/>
        <item x="249"/>
        <item x="263"/>
        <item x="265"/>
        <item x="284"/>
        <item x="316"/>
        <item x="315"/>
        <item x="301"/>
        <item x="312"/>
        <item x="309"/>
        <item x="308"/>
        <item x="307"/>
        <item x="306"/>
        <item x="318"/>
        <item x="325"/>
        <item x="324"/>
        <item x="332"/>
        <item x="337"/>
        <item x="343"/>
        <item x="352"/>
        <item x="353"/>
        <item x="351"/>
        <item x="354"/>
        <item x="4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69">
        <item x="210"/>
        <item x="54"/>
        <item x="64"/>
        <item x="110"/>
        <item x="111"/>
        <item x="92"/>
        <item x="156"/>
        <item x="99"/>
        <item x="118"/>
        <item x="95"/>
        <item x="90"/>
        <item x="112"/>
        <item x="128"/>
        <item x="188"/>
        <item x="141"/>
        <item x="96"/>
        <item x="93"/>
        <item x="97"/>
        <item x="100"/>
        <item x="155"/>
        <item x="220"/>
        <item x="113"/>
        <item x="103"/>
        <item x="123"/>
        <item x="116"/>
        <item x="102"/>
        <item x="120"/>
        <item x="105"/>
        <item x="127"/>
        <item x="104"/>
        <item x="126"/>
        <item x="181"/>
        <item x="114"/>
        <item x="109"/>
        <item x="129"/>
        <item x="117"/>
        <item x="124"/>
        <item x="249"/>
        <item x="134"/>
        <item x="115"/>
        <item x="119"/>
        <item x="125"/>
        <item x="122"/>
        <item x="131"/>
        <item x="149"/>
        <item x="138"/>
        <item x="152"/>
        <item x="135"/>
        <item x="144"/>
        <item x="153"/>
        <item x="143"/>
        <item x="133"/>
        <item x="132"/>
        <item x="139"/>
        <item x="146"/>
        <item x="151"/>
        <item x="162"/>
        <item x="180"/>
        <item x="169"/>
        <item x="173"/>
        <item x="164"/>
        <item x="158"/>
        <item x="163"/>
        <item x="154"/>
        <item x="176"/>
        <item x="191"/>
        <item x="195"/>
        <item x="170"/>
        <item x="168"/>
        <item x="186"/>
        <item x="171"/>
        <item x="167"/>
        <item x="187"/>
        <item x="250"/>
        <item x="251"/>
        <item x="166"/>
        <item x="178"/>
        <item x="194"/>
        <item x="207"/>
        <item x="183"/>
        <item x="189"/>
        <item x="196"/>
        <item x="184"/>
        <item x="182"/>
        <item x="193"/>
        <item x="185"/>
        <item x="192"/>
        <item x="190"/>
        <item x="199"/>
        <item x="200"/>
        <item x="219"/>
        <item x="206"/>
        <item x="205"/>
        <item x="203"/>
        <item x="216"/>
        <item x="204"/>
        <item x="198"/>
        <item x="270"/>
        <item x="202"/>
        <item x="215"/>
        <item x="221"/>
        <item x="217"/>
        <item x="222"/>
        <item x="223"/>
        <item x="213"/>
        <item x="214"/>
        <item x="9"/>
        <item x="8"/>
        <item x="7"/>
        <item x="16"/>
        <item x="6"/>
        <item x="226"/>
        <item x="238"/>
        <item x="243"/>
        <item x="236"/>
        <item x="231"/>
        <item x="268"/>
        <item x="232"/>
        <item x="218"/>
        <item x="237"/>
        <item x="225"/>
        <item x="230"/>
        <item x="224"/>
        <item x="227"/>
        <item x="235"/>
        <item x="267"/>
        <item x="262"/>
        <item x="273"/>
        <item x="247"/>
        <item x="241"/>
        <item x="244"/>
        <item x="272"/>
        <item x="258"/>
        <item x="259"/>
        <item x="271"/>
        <item x="242"/>
        <item x="240"/>
        <item x="252"/>
        <item x="245"/>
        <item x="239"/>
        <item x="253"/>
        <item x="264"/>
        <item x="261"/>
        <item x="248"/>
        <item x="284"/>
        <item x="265"/>
        <item x="276"/>
        <item x="256"/>
        <item x="263"/>
        <item x="283"/>
        <item x="266"/>
        <item x="269"/>
        <item x="255"/>
        <item x="274"/>
        <item x="275"/>
        <item x="257"/>
        <item x="278"/>
        <item x="260"/>
        <item x="291"/>
        <item x="333"/>
        <item x="297"/>
        <item x="305"/>
        <item x="282"/>
        <item x="310"/>
        <item x="292"/>
        <item x="293"/>
        <item x="290"/>
        <item x="303"/>
        <item x="286"/>
        <item x="327"/>
        <item x="277"/>
        <item x="298"/>
        <item x="302"/>
        <item x="301"/>
        <item x="289"/>
        <item x="280"/>
        <item x="294"/>
        <item x="288"/>
        <item x="309"/>
        <item x="319"/>
        <item x="316"/>
        <item x="306"/>
        <item x="323"/>
        <item x="313"/>
        <item x="304"/>
        <item x="317"/>
        <item x="307"/>
        <item x="312"/>
        <item x="311"/>
        <item x="328"/>
        <item x="322"/>
        <item x="343"/>
        <item x="335"/>
        <item x="336"/>
        <item x="325"/>
        <item x="326"/>
        <item x="350"/>
        <item x="320"/>
        <item x="321"/>
        <item x="339"/>
        <item x="341"/>
        <item x="329"/>
        <item x="318"/>
        <item x="345"/>
        <item x="330"/>
        <item x="331"/>
        <item x="332"/>
        <item x="324"/>
        <item x="364"/>
        <item x="362"/>
        <item x="368"/>
        <item x="359"/>
        <item x="377"/>
        <item x="369"/>
        <item x="338"/>
        <item x="346"/>
        <item x="340"/>
        <item x="354"/>
        <item x="349"/>
        <item x="370"/>
        <item x="351"/>
        <item x="344"/>
        <item x="355"/>
        <item x="379"/>
        <item x="352"/>
        <item x="372"/>
        <item x="389"/>
        <item x="353"/>
        <item x="347"/>
        <item x="367"/>
        <item x="348"/>
        <item x="365"/>
        <item x="356"/>
        <item x="342"/>
        <item x="337"/>
        <item x="358"/>
        <item x="360"/>
        <item x="419"/>
        <item x="386"/>
        <item x="366"/>
        <item x="383"/>
        <item x="405"/>
        <item x="396"/>
        <item x="381"/>
        <item x="388"/>
        <item x="382"/>
        <item x="371"/>
        <item x="380"/>
        <item x="391"/>
        <item x="397"/>
        <item x="387"/>
        <item x="390"/>
        <item x="408"/>
        <item x="413"/>
        <item x="412"/>
        <item x="406"/>
        <item x="395"/>
        <item x="402"/>
        <item x="415"/>
        <item x="398"/>
        <item x="407"/>
        <item x="401"/>
        <item x="392"/>
        <item x="409"/>
        <item x="410"/>
        <item x="414"/>
        <item x="400"/>
        <item x="399"/>
        <item x="393"/>
        <item x="394"/>
        <item x="403"/>
        <item x="411"/>
        <item x="427"/>
        <item x="420"/>
        <item x="430"/>
        <item x="442"/>
        <item x="431"/>
        <item x="424"/>
        <item x="421"/>
        <item x="423"/>
        <item x="422"/>
        <item x="432"/>
        <item x="435"/>
        <item x="416"/>
        <item x="11"/>
        <item x="14"/>
        <item x="10"/>
        <item x="57"/>
        <item x="19"/>
        <item x="12"/>
        <item x="13"/>
        <item x="15"/>
        <item x="441"/>
        <item x="444"/>
        <item x="445"/>
        <item x="426"/>
        <item x="434"/>
        <item x="453"/>
        <item x="438"/>
        <item x="443"/>
        <item x="439"/>
        <item x="437"/>
        <item x="433"/>
        <item x="428"/>
        <item x="436"/>
        <item x="429"/>
        <item x="440"/>
        <item x="425"/>
        <item x="446"/>
        <item x="464"/>
        <item x="461"/>
        <item x="463"/>
        <item x="456"/>
        <item x="465"/>
        <item x="455"/>
        <item x="454"/>
        <item x="466"/>
        <item x="462"/>
        <item x="467"/>
        <item x="458"/>
        <item x="457"/>
        <item x="459"/>
        <item x="448"/>
        <item x="51"/>
        <item x="22"/>
        <item x="36"/>
        <item x="18"/>
        <item x="38"/>
        <item x="37"/>
        <item x="21"/>
        <item x="17"/>
        <item x="20"/>
        <item x="23"/>
        <item x="29"/>
        <item x="31"/>
        <item x="52"/>
        <item x="42"/>
        <item x="63"/>
        <item x="34"/>
        <item x="32"/>
        <item x="33"/>
        <item x="30"/>
        <item x="55"/>
        <item x="41"/>
        <item x="39"/>
        <item x="40"/>
        <item x="50"/>
        <item x="35"/>
        <item x="47"/>
        <item x="59"/>
        <item x="66"/>
        <item x="157"/>
        <item x="67"/>
        <item x="48"/>
        <item x="58"/>
        <item x="49"/>
        <item x="46"/>
        <item x="43"/>
        <item x="60"/>
        <item x="74"/>
        <item x="77"/>
        <item x="65"/>
        <item x="75"/>
        <item x="70"/>
        <item x="69"/>
        <item x="68"/>
        <item x="78"/>
        <item x="62"/>
        <item x="72"/>
        <item x="299"/>
        <item x="79"/>
        <item x="61"/>
        <item x="80"/>
        <item x="88"/>
        <item x="82"/>
        <item x="81"/>
        <item x="83"/>
        <item x="89"/>
        <item x="76"/>
        <item x="279"/>
        <item x="91"/>
        <item x="94"/>
        <item x="56"/>
        <item x="101"/>
        <item x="130"/>
        <item x="165"/>
        <item x="172"/>
        <item x="197"/>
        <item x="296"/>
        <item x="295"/>
        <item x="308"/>
        <item x="334"/>
        <item x="363"/>
        <item x="361"/>
        <item x="357"/>
        <item x="447"/>
        <item x="53"/>
        <item x="73"/>
        <item x="85"/>
        <item x="86"/>
        <item x="106"/>
        <item x="107"/>
        <item x="140"/>
        <item x="142"/>
        <item x="108"/>
        <item x="159"/>
        <item x="175"/>
        <item x="177"/>
        <item x="287"/>
        <item x="160"/>
        <item x="179"/>
        <item x="161"/>
        <item x="208"/>
        <item x="209"/>
        <item x="4"/>
        <item x="234"/>
        <item x="233"/>
        <item x="246"/>
        <item x="285"/>
        <item x="254"/>
        <item x="300"/>
        <item x="314"/>
        <item x="315"/>
        <item x="374"/>
        <item x="375"/>
        <item x="404"/>
        <item x="376"/>
        <item x="417"/>
        <item x="24"/>
        <item x="418"/>
        <item x="460"/>
        <item x="25"/>
        <item x="26"/>
        <item x="27"/>
        <item x="28"/>
        <item x="44"/>
        <item x="71"/>
        <item x="45"/>
        <item x="84"/>
        <item x="174"/>
        <item x="201"/>
        <item x="1"/>
        <item x="0"/>
        <item x="3"/>
        <item x="2"/>
        <item x="87"/>
        <item x="281"/>
        <item x="228"/>
        <item x="229"/>
        <item x="136"/>
        <item x="137"/>
        <item x="373"/>
        <item x="452"/>
        <item x="378"/>
        <item x="145"/>
        <item x="98"/>
        <item x="121"/>
        <item x="150"/>
        <item x="384"/>
        <item x="385"/>
        <item x="147"/>
        <item x="148"/>
        <item x="449"/>
        <item x="450"/>
        <item x="451"/>
        <item x="211"/>
        <item x="212"/>
        <item x="5"/>
        <item t="default"/>
      </items>
    </pivotField>
    <pivotField compact="0" showAll="0">
      <items count="323">
        <item x="62"/>
        <item x="84"/>
        <item x="293"/>
        <item x="156"/>
        <item x="133"/>
        <item x="261"/>
        <item x="95"/>
        <item x="314"/>
        <item x="252"/>
        <item x="185"/>
        <item x="51"/>
        <item x="36"/>
        <item x="242"/>
        <item x="152"/>
        <item x="130"/>
        <item x="88"/>
        <item x="59"/>
        <item x="174"/>
        <item x="265"/>
        <item x="302"/>
        <item x="190"/>
        <item x="146"/>
        <item x="153"/>
        <item x="78"/>
        <item x="1"/>
        <item x="305"/>
        <item x="284"/>
        <item x="192"/>
        <item x="313"/>
        <item x="117"/>
        <item x="215"/>
        <item x="69"/>
        <item x="160"/>
        <item x="17"/>
        <item x="202"/>
        <item x="155"/>
        <item x="205"/>
        <item x="136"/>
        <item x="3"/>
        <item x="291"/>
        <item x="148"/>
        <item x="164"/>
        <item x="132"/>
        <item x="280"/>
        <item x="40"/>
        <item x="21"/>
        <item x="57"/>
        <item x="179"/>
        <item x="296"/>
        <item x="98"/>
        <item x="9"/>
        <item x="168"/>
        <item x="31"/>
        <item x="223"/>
        <item x="90"/>
        <item x="44"/>
        <item x="188"/>
        <item x="154"/>
        <item x="140"/>
        <item x="87"/>
        <item x="54"/>
        <item x="199"/>
        <item x="207"/>
        <item x="33"/>
        <item x="240"/>
        <item x="158"/>
        <item x="317"/>
        <item x="289"/>
        <item x="47"/>
        <item x="149"/>
        <item x="109"/>
        <item x="230"/>
        <item x="304"/>
        <item x="25"/>
        <item x="235"/>
        <item x="251"/>
        <item x="162"/>
        <item x="28"/>
        <item x="128"/>
        <item x="288"/>
        <item x="123"/>
        <item x="208"/>
        <item x="5"/>
        <item x="274"/>
        <item x="138"/>
        <item x="50"/>
        <item x="119"/>
        <item x="115"/>
        <item x="238"/>
        <item x="219"/>
        <item x="200"/>
        <item x="248"/>
        <item x="186"/>
        <item x="270"/>
        <item x="63"/>
        <item x="315"/>
        <item x="129"/>
        <item x="58"/>
        <item x="178"/>
        <item x="126"/>
        <item x="161"/>
        <item x="173"/>
        <item x="320"/>
        <item x="83"/>
        <item x="104"/>
        <item x="264"/>
        <item x="301"/>
        <item x="244"/>
        <item x="245"/>
        <item x="189"/>
        <item x="145"/>
        <item x="74"/>
        <item x="151"/>
        <item x="35"/>
        <item x="77"/>
        <item x="92"/>
        <item x="232"/>
        <item x="283"/>
        <item x="213"/>
        <item x="13"/>
        <item x="231"/>
        <item x="194"/>
        <item x="106"/>
        <item x="191"/>
        <item x="312"/>
        <item x="116"/>
        <item x="105"/>
        <item x="195"/>
        <item x="214"/>
        <item x="68"/>
        <item x="79"/>
        <item x="65"/>
        <item x="16"/>
        <item x="131"/>
        <item x="210"/>
        <item x="239"/>
        <item x="286"/>
        <item x="172"/>
        <item x="299"/>
        <item x="165"/>
        <item x="19"/>
        <item x="220"/>
        <item x="204"/>
        <item x="94"/>
        <item x="135"/>
        <item x="2"/>
        <item x="307"/>
        <item x="290"/>
        <item x="227"/>
        <item x="6"/>
        <item x="169"/>
        <item x="147"/>
        <item x="166"/>
        <item x="180"/>
        <item x="80"/>
        <item x="281"/>
        <item x="228"/>
        <item x="125"/>
        <item x="170"/>
        <item x="294"/>
        <item x="0"/>
        <item x="279"/>
        <item x="39"/>
        <item x="20"/>
        <item x="56"/>
        <item x="295"/>
        <item x="134"/>
        <item x="97"/>
        <item x="49"/>
        <item x="226"/>
        <item x="271"/>
        <item x="8"/>
        <item x="111"/>
        <item x="272"/>
        <item x="38"/>
        <item x="89"/>
        <item x="267"/>
        <item x="306"/>
        <item x="224"/>
        <item x="246"/>
        <item x="262"/>
        <item x="298"/>
        <item x="141"/>
        <item x="184"/>
        <item x="276"/>
        <item x="225"/>
        <item x="198"/>
        <item x="216"/>
        <item x="282"/>
        <item x="263"/>
        <item x="70"/>
        <item x="197"/>
        <item x="297"/>
        <item x="206"/>
        <item x="187"/>
        <item x="61"/>
        <item x="236"/>
        <item x="37"/>
        <item x="159"/>
        <item x="53"/>
        <item x="14"/>
        <item x="167"/>
        <item x="46"/>
        <item x="12"/>
        <item x="124"/>
        <item x="103"/>
        <item x="64"/>
        <item x="171"/>
        <item x="18"/>
        <item x="144"/>
        <item x="303"/>
        <item x="308"/>
        <item x="259"/>
        <item x="24"/>
        <item x="268"/>
        <item x="234"/>
        <item x="212"/>
        <item x="309"/>
        <item x="34"/>
        <item x="275"/>
        <item x="67"/>
        <item x="278"/>
        <item x="75"/>
        <item x="113"/>
        <item x="243"/>
        <item x="32"/>
        <item x="241"/>
        <item x="255"/>
        <item x="254"/>
        <item x="27"/>
        <item x="256"/>
        <item x="11"/>
        <item x="127"/>
        <item x="96"/>
        <item x="60"/>
        <item x="319"/>
        <item x="287"/>
        <item x="257"/>
        <item x="316"/>
        <item x="310"/>
        <item x="182"/>
        <item x="99"/>
        <item x="249"/>
        <item x="211"/>
        <item x="72"/>
        <item x="30"/>
        <item x="102"/>
        <item x="10"/>
        <item x="108"/>
        <item x="176"/>
        <item x="22"/>
        <item x="86"/>
        <item x="122"/>
        <item x="175"/>
        <item x="217"/>
        <item x="292"/>
        <item x="321"/>
        <item x="43"/>
        <item x="150"/>
        <item x="4"/>
        <item x="73"/>
        <item x="93"/>
        <item x="137"/>
        <item x="120"/>
        <item x="26"/>
        <item x="118"/>
        <item x="229"/>
        <item x="112"/>
        <item x="76"/>
        <item x="15"/>
        <item x="237"/>
        <item x="218"/>
        <item x="318"/>
        <item x="247"/>
        <item x="253"/>
        <item x="42"/>
        <item x="209"/>
        <item x="85"/>
        <item x="193"/>
        <item x="81"/>
        <item x="45"/>
        <item x="269"/>
        <item x="29"/>
        <item x="183"/>
        <item x="196"/>
        <item x="300"/>
        <item x="201"/>
        <item x="23"/>
        <item x="114"/>
        <item x="203"/>
        <item x="52"/>
        <item x="55"/>
        <item x="66"/>
        <item x="121"/>
        <item x="273"/>
        <item x="143"/>
        <item x="177"/>
        <item x="110"/>
        <item x="101"/>
        <item x="82"/>
        <item x="48"/>
        <item x="157"/>
        <item x="163"/>
        <item x="222"/>
        <item x="277"/>
        <item x="260"/>
        <item x="311"/>
        <item x="181"/>
        <item x="250"/>
        <item x="142"/>
        <item x="258"/>
        <item x="91"/>
        <item x="139"/>
        <item x="221"/>
        <item x="266"/>
        <item x="107"/>
        <item x="100"/>
        <item x="71"/>
        <item x="285"/>
        <item x="233"/>
        <item x="41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9">
        <item x="15"/>
        <item x="13"/>
        <item x="0"/>
        <item x="10"/>
        <item x="14"/>
        <item x="8"/>
        <item x="3"/>
        <item x="7"/>
        <item x="1"/>
        <item x="6"/>
        <item x="11"/>
        <item x="9"/>
        <item x="17"/>
        <item x="4"/>
        <item x="12"/>
        <item x="5"/>
        <item x="16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29">
        <item x="259"/>
        <item x="163"/>
        <item x="181"/>
        <item x="23"/>
        <item x="180"/>
        <item x="191"/>
        <item x="194"/>
        <item x="228"/>
        <item x="4"/>
        <item x="229"/>
        <item x="269"/>
        <item x="271"/>
        <item x="295"/>
        <item x="296"/>
        <item x="24"/>
        <item x="321"/>
        <item x="25"/>
        <item x="26"/>
        <item x="39"/>
        <item x="40"/>
        <item x="73"/>
        <item x="74"/>
        <item x="22"/>
        <item x="75"/>
        <item x="91"/>
        <item x="92"/>
        <item x="128"/>
        <item x="130"/>
        <item x="162"/>
        <item x="270"/>
        <item x="129"/>
        <item x="274"/>
        <item x="142"/>
        <item x="131"/>
        <item x="34"/>
        <item x="282"/>
        <item x="103"/>
        <item x="65"/>
        <item x="157"/>
        <item x="158"/>
        <item x="209"/>
        <item x="251"/>
        <item x="97"/>
        <item x="19"/>
        <item x="45"/>
        <item x="277"/>
        <item x="244"/>
        <item x="233"/>
        <item x="238"/>
        <item x="159"/>
        <item x="83"/>
        <item x="88"/>
        <item x="223"/>
        <item x="28"/>
        <item x="313"/>
        <item x="173"/>
        <item x="235"/>
        <item x="287"/>
        <item x="306"/>
        <item x="231"/>
        <item x="292"/>
        <item x="78"/>
        <item x="179"/>
        <item x="96"/>
        <item x="252"/>
        <item x="59"/>
        <item x="230"/>
        <item x="236"/>
        <item x="86"/>
        <item x="27"/>
        <item x="276"/>
        <item x="317"/>
        <item x="30"/>
        <item x="300"/>
        <item x="151"/>
        <item x="111"/>
        <item x="308"/>
        <item x="227"/>
        <item x="216"/>
        <item x="205"/>
        <item x="201"/>
        <item x="280"/>
        <item x="324"/>
        <item x="310"/>
        <item x="55"/>
        <item x="79"/>
        <item x="98"/>
        <item x="72"/>
        <item x="68"/>
        <item x="327"/>
        <item x="123"/>
        <item x="114"/>
        <item x="140"/>
        <item x="109"/>
        <item x="290"/>
        <item x="57"/>
        <item x="314"/>
        <item x="35"/>
        <item x="7"/>
        <item x="60"/>
        <item x="203"/>
        <item x="106"/>
        <item x="113"/>
        <item x="18"/>
        <item x="199"/>
        <item x="192"/>
        <item x="320"/>
        <item x="211"/>
        <item x="161"/>
        <item x="104"/>
        <item x="312"/>
        <item x="264"/>
        <item x="33"/>
        <item x="260"/>
        <item x="67"/>
        <item x="185"/>
        <item x="323"/>
        <item x="177"/>
        <item x="297"/>
        <item x="126"/>
        <item x="318"/>
        <item x="17"/>
        <item x="172"/>
        <item x="107"/>
        <item x="301"/>
        <item x="15"/>
        <item x="305"/>
        <item x="94"/>
        <item x="268"/>
        <item x="261"/>
        <item x="145"/>
        <item x="234"/>
        <item x="29"/>
        <item x="217"/>
        <item x="95"/>
        <item x="121"/>
        <item x="182"/>
        <item x="309"/>
        <item x="0"/>
        <item x="10"/>
        <item x="155"/>
        <item x="117"/>
        <item x="293"/>
        <item x="135"/>
        <item x="20"/>
        <item x="281"/>
        <item x="208"/>
        <item x="120"/>
        <item x="188"/>
        <item x="143"/>
        <item x="307"/>
        <item x="294"/>
        <item x="105"/>
        <item x="101"/>
        <item x="49"/>
        <item x="278"/>
        <item x="214"/>
        <item x="37"/>
        <item x="165"/>
        <item x="303"/>
        <item x="47"/>
        <item x="257"/>
        <item x="169"/>
        <item x="241"/>
        <item x="273"/>
        <item x="154"/>
        <item x="174"/>
        <item x="175"/>
        <item x="132"/>
        <item x="56"/>
        <item x="302"/>
        <item x="152"/>
        <item x="6"/>
        <item x="195"/>
        <item x="247"/>
        <item x="58"/>
        <item x="291"/>
        <item x="249"/>
        <item x="196"/>
        <item x="263"/>
        <item x="84"/>
        <item x="90"/>
        <item x="325"/>
        <item x="221"/>
        <item x="166"/>
        <item x="160"/>
        <item x="136"/>
        <item x="176"/>
        <item x="99"/>
        <item x="134"/>
        <item x="85"/>
        <item x="81"/>
        <item x="255"/>
        <item x="2"/>
        <item x="102"/>
        <item x="80"/>
        <item x="220"/>
        <item x="186"/>
        <item x="207"/>
        <item x="183"/>
        <item x="239"/>
        <item x="3"/>
        <item x="243"/>
        <item x="64"/>
        <item x="100"/>
        <item x="279"/>
        <item x="8"/>
        <item x="16"/>
        <item x="31"/>
        <item x="189"/>
        <item x="197"/>
        <item x="38"/>
        <item x="156"/>
        <item x="1"/>
        <item x="13"/>
        <item x="115"/>
        <item x="124"/>
        <item x="147"/>
        <item x="44"/>
        <item x="285"/>
        <item x="206"/>
        <item x="93"/>
        <item x="168"/>
        <item x="275"/>
        <item x="146"/>
        <item x="311"/>
        <item x="246"/>
        <item x="21"/>
        <item x="171"/>
        <item x="286"/>
        <item x="164"/>
        <item x="184"/>
        <item x="63"/>
        <item x="215"/>
        <item x="202"/>
        <item x="87"/>
        <item x="258"/>
        <item x="212"/>
        <item x="266"/>
        <item x="137"/>
        <item x="213"/>
        <item x="119"/>
        <item x="50"/>
        <item x="77"/>
        <item x="54"/>
        <item x="253"/>
        <item x="178"/>
        <item x="204"/>
        <item x="36"/>
        <item x="138"/>
        <item x="254"/>
        <item x="224"/>
        <item x="48"/>
        <item x="222"/>
        <item x="219"/>
        <item x="322"/>
        <item x="304"/>
        <item x="53"/>
        <item x="198"/>
        <item x="298"/>
        <item x="288"/>
        <item x="118"/>
        <item x="299"/>
        <item x="267"/>
        <item x="116"/>
        <item x="108"/>
        <item x="242"/>
        <item x="200"/>
        <item x="262"/>
        <item x="89"/>
        <item x="284"/>
        <item x="71"/>
        <item x="316"/>
        <item x="250"/>
        <item x="82"/>
        <item x="237"/>
        <item x="225"/>
        <item x="289"/>
        <item x="210"/>
        <item x="167"/>
        <item x="125"/>
        <item x="133"/>
        <item x="110"/>
        <item x="69"/>
        <item x="150"/>
        <item x="248"/>
        <item x="144"/>
        <item x="326"/>
        <item x="232"/>
        <item x="12"/>
        <item x="52"/>
        <item x="61"/>
        <item x="193"/>
        <item x="51"/>
        <item x="218"/>
        <item x="245"/>
        <item x="127"/>
        <item x="42"/>
        <item x="62"/>
        <item x="315"/>
        <item x="226"/>
        <item x="76"/>
        <item x="272"/>
        <item x="14"/>
        <item x="11"/>
        <item x="148"/>
        <item x="240"/>
        <item x="265"/>
        <item x="112"/>
        <item x="32"/>
        <item x="46"/>
        <item x="43"/>
        <item x="141"/>
        <item x="283"/>
        <item x="256"/>
        <item x="149"/>
        <item x="187"/>
        <item x="66"/>
        <item x="319"/>
        <item x="170"/>
        <item x="70"/>
        <item x="153"/>
        <item x="139"/>
        <item x="122"/>
        <item x="9"/>
        <item x="41"/>
        <item x="190"/>
        <item x="5"/>
        <item t="default"/>
      </items>
    </pivotField>
    <pivotField compact="0" showAll="0">
      <items count="299">
        <item x="234"/>
        <item x="180"/>
        <item x="125"/>
        <item x="74"/>
        <item x="154"/>
        <item x="211"/>
        <item x="112"/>
        <item x="230"/>
        <item x="223"/>
        <item x="91"/>
        <item x="155"/>
        <item x="194"/>
        <item x="20"/>
        <item x="203"/>
        <item x="16"/>
        <item x="138"/>
        <item x="39"/>
        <item x="245"/>
        <item x="30"/>
        <item x="169"/>
        <item x="171"/>
        <item x="15"/>
        <item x="23"/>
        <item x="162"/>
        <item x="177"/>
        <item x="261"/>
        <item x="108"/>
        <item x="111"/>
        <item x="40"/>
        <item x="173"/>
        <item x="205"/>
        <item x="164"/>
        <item x="293"/>
        <item x="174"/>
        <item x="297"/>
        <item x="193"/>
        <item x="263"/>
        <item x="78"/>
        <item x="127"/>
        <item x="158"/>
        <item x="146"/>
        <item x="68"/>
        <item x="248"/>
        <item x="266"/>
        <item x="288"/>
        <item x="140"/>
        <item x="12"/>
        <item x="217"/>
        <item x="227"/>
        <item x="276"/>
        <item x="81"/>
        <item x="208"/>
        <item x="237"/>
        <item x="260"/>
        <item x="119"/>
        <item x="287"/>
        <item x="42"/>
        <item x="212"/>
        <item x="116"/>
        <item x="124"/>
        <item x="126"/>
        <item x="63"/>
        <item x="291"/>
        <item x="38"/>
        <item x="231"/>
        <item x="232"/>
        <item x="277"/>
        <item x="161"/>
        <item x="17"/>
        <item x="286"/>
        <item x="67"/>
        <item x="70"/>
        <item x="207"/>
        <item x="11"/>
        <item x="209"/>
        <item x="19"/>
        <item x="186"/>
        <item x="283"/>
        <item x="13"/>
        <item x="281"/>
        <item x="88"/>
        <item x="75"/>
        <item x="247"/>
        <item x="251"/>
        <item x="199"/>
        <item x="53"/>
        <item x="280"/>
        <item x="6"/>
        <item x="239"/>
        <item x="14"/>
        <item x="215"/>
        <item x="134"/>
        <item x="139"/>
        <item x="54"/>
        <item x="282"/>
        <item x="229"/>
        <item x="159"/>
        <item x="210"/>
        <item x="0"/>
        <item x="235"/>
        <item x="219"/>
        <item x="136"/>
        <item x="46"/>
        <item x="83"/>
        <item x="271"/>
        <item x="131"/>
        <item x="26"/>
        <item x="165"/>
        <item x="152"/>
        <item x="9"/>
        <item x="33"/>
        <item x="224"/>
        <item x="246"/>
        <item x="106"/>
        <item x="275"/>
        <item x="113"/>
        <item x="115"/>
        <item x="143"/>
        <item x="255"/>
        <item x="29"/>
        <item x="166"/>
        <item x="147"/>
        <item x="58"/>
        <item x="84"/>
        <item x="130"/>
        <item x="157"/>
        <item x="167"/>
        <item x="59"/>
        <item x="204"/>
        <item x="295"/>
        <item x="206"/>
        <item x="117"/>
        <item x="244"/>
        <item x="149"/>
        <item x="129"/>
        <item x="202"/>
        <item x="103"/>
        <item x="191"/>
        <item x="278"/>
        <item x="198"/>
        <item x="148"/>
        <item x="242"/>
        <item x="121"/>
        <item x="82"/>
        <item x="256"/>
        <item x="118"/>
        <item x="2"/>
        <item x="49"/>
        <item x="264"/>
        <item x="236"/>
        <item x="160"/>
        <item x="57"/>
        <item x="216"/>
        <item x="252"/>
        <item x="101"/>
        <item x="296"/>
        <item x="50"/>
        <item x="45"/>
        <item x="233"/>
        <item x="284"/>
        <item x="55"/>
        <item x="100"/>
        <item x="262"/>
        <item x="273"/>
        <item x="35"/>
        <item x="137"/>
        <item x="7"/>
        <item x="44"/>
        <item x="87"/>
        <item x="145"/>
        <item x="151"/>
        <item x="85"/>
        <item x="192"/>
        <item x="48"/>
        <item x="104"/>
        <item x="253"/>
        <item x="8"/>
        <item x="37"/>
        <item x="254"/>
        <item x="141"/>
        <item x="18"/>
        <item x="56"/>
        <item x="153"/>
        <item x="80"/>
        <item x="86"/>
        <item x="156"/>
        <item x="5"/>
        <item x="185"/>
        <item x="182"/>
        <item x="69"/>
        <item x="34"/>
        <item x="41"/>
        <item x="228"/>
        <item x="25"/>
        <item x="95"/>
        <item x="132"/>
        <item x="163"/>
        <item x="98"/>
        <item x="168"/>
        <item x="240"/>
        <item x="179"/>
        <item x="76"/>
        <item x="105"/>
        <item x="187"/>
        <item x="133"/>
        <item x="142"/>
        <item x="28"/>
        <item x="218"/>
        <item x="178"/>
        <item x="200"/>
        <item x="64"/>
        <item x="36"/>
        <item x="213"/>
        <item x="257"/>
        <item x="99"/>
        <item x="189"/>
        <item x="176"/>
        <item x="279"/>
        <item x="214"/>
        <item x="89"/>
        <item x="77"/>
        <item x="274"/>
        <item x="135"/>
        <item x="241"/>
        <item x="92"/>
        <item x="195"/>
        <item x="267"/>
        <item x="94"/>
        <item x="150"/>
        <item x="249"/>
        <item x="3"/>
        <item x="290"/>
        <item x="175"/>
        <item x="73"/>
        <item x="258"/>
        <item x="90"/>
        <item x="96"/>
        <item x="61"/>
        <item x="97"/>
        <item x="120"/>
        <item x="265"/>
        <item x="66"/>
        <item x="190"/>
        <item x="60"/>
        <item x="114"/>
        <item x="197"/>
        <item x="122"/>
        <item x="226"/>
        <item x="128"/>
        <item x="181"/>
        <item x="172"/>
        <item x="238"/>
        <item x="183"/>
        <item x="52"/>
        <item x="196"/>
        <item x="102"/>
        <item x="10"/>
        <item x="225"/>
        <item x="144"/>
        <item x="184"/>
        <item x="188"/>
        <item x="22"/>
        <item x="71"/>
        <item x="289"/>
        <item x="123"/>
        <item x="43"/>
        <item x="259"/>
        <item x="79"/>
        <item x="31"/>
        <item x="222"/>
        <item x="21"/>
        <item x="1"/>
        <item x="110"/>
        <item x="270"/>
        <item x="62"/>
        <item x="268"/>
        <item x="220"/>
        <item x="250"/>
        <item x="109"/>
        <item x="32"/>
        <item x="65"/>
        <item x="47"/>
        <item x="269"/>
        <item x="285"/>
        <item x="51"/>
        <item x="93"/>
        <item x="221"/>
        <item x="292"/>
        <item x="243"/>
        <item x="72"/>
        <item x="24"/>
        <item x="201"/>
        <item x="27"/>
        <item x="294"/>
        <item x="107"/>
        <item x="170"/>
        <item x="272"/>
        <item x="4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22">
        <item x="2"/>
        <item x="3"/>
        <item x="5"/>
        <item x="4"/>
        <item x="19"/>
        <item x="8"/>
        <item x="7"/>
        <item x="6"/>
        <item x="21"/>
        <item x="20"/>
        <item x="9"/>
        <item x="16"/>
        <item x="15"/>
        <item x="18"/>
        <item x="32"/>
        <item x="17"/>
        <item x="23"/>
        <item x="29"/>
        <item x="24"/>
        <item x="22"/>
        <item x="27"/>
        <item x="33"/>
        <item x="31"/>
        <item x="30"/>
        <item x="28"/>
        <item x="35"/>
        <item x="36"/>
        <item x="34"/>
        <item x="40"/>
        <item x="38"/>
        <item x="39"/>
        <item x="41"/>
        <item x="42"/>
        <item x="50"/>
        <item x="60"/>
        <item x="52"/>
        <item x="51"/>
        <item x="48"/>
        <item x="64"/>
        <item x="61"/>
        <item x="53"/>
        <item x="65"/>
        <item x="58"/>
        <item x="63"/>
        <item x="59"/>
        <item x="57"/>
        <item x="62"/>
        <item x="71"/>
        <item x="72"/>
        <item x="73"/>
        <item x="68"/>
        <item x="67"/>
        <item x="66"/>
        <item x="78"/>
        <item x="77"/>
        <item x="82"/>
        <item x="83"/>
        <item x="80"/>
        <item x="79"/>
        <item x="81"/>
        <item x="91"/>
        <item x="92"/>
        <item x="94"/>
        <item x="88"/>
        <item x="89"/>
        <item x="90"/>
        <item x="95"/>
        <item x="96"/>
        <item x="102"/>
        <item x="99"/>
        <item x="106"/>
        <item x="101"/>
        <item x="97"/>
        <item x="98"/>
        <item x="100"/>
        <item x="109"/>
        <item x="110"/>
        <item x="107"/>
        <item x="105"/>
        <item x="111"/>
        <item x="115"/>
        <item x="112"/>
        <item x="131"/>
        <item x="108"/>
        <item x="119"/>
        <item x="113"/>
        <item x="116"/>
        <item x="133"/>
        <item x="121"/>
        <item x="125"/>
        <item x="128"/>
        <item x="122"/>
        <item x="129"/>
        <item x="120"/>
        <item x="123"/>
        <item x="137"/>
        <item x="130"/>
        <item x="127"/>
        <item x="132"/>
        <item x="143"/>
        <item x="142"/>
        <item x="144"/>
        <item x="141"/>
        <item x="158"/>
        <item x="147"/>
        <item x="135"/>
        <item x="145"/>
        <item x="139"/>
        <item x="152"/>
        <item x="154"/>
        <item x="148"/>
        <item x="157"/>
        <item x="149"/>
        <item x="155"/>
        <item x="168"/>
        <item x="156"/>
        <item x="160"/>
        <item x="171"/>
        <item x="164"/>
        <item x="161"/>
        <item x="162"/>
        <item x="165"/>
        <item x="153"/>
        <item x="169"/>
        <item x="190"/>
        <item x="183"/>
        <item x="170"/>
        <item x="179"/>
        <item x="172"/>
        <item x="177"/>
        <item x="166"/>
        <item x="174"/>
        <item x="176"/>
        <item x="175"/>
        <item x="178"/>
        <item x="186"/>
        <item x="163"/>
        <item x="194"/>
        <item x="173"/>
        <item x="167"/>
        <item x="181"/>
        <item x="180"/>
        <item x="184"/>
        <item x="192"/>
        <item x="191"/>
        <item x="185"/>
        <item x="193"/>
        <item x="195"/>
        <item x="198"/>
        <item x="196"/>
        <item x="182"/>
        <item x="200"/>
        <item x="197"/>
        <item x="208"/>
        <item x="204"/>
        <item x="206"/>
        <item x="205"/>
        <item x="210"/>
        <item x="211"/>
        <item x="212"/>
        <item x="207"/>
        <item x="209"/>
        <item x="220"/>
        <item x="219"/>
        <item x="217"/>
        <item x="213"/>
        <item x="215"/>
        <item x="218"/>
        <item x="214"/>
        <item x="104"/>
        <item x="118"/>
        <item x="11"/>
        <item x="117"/>
        <item x="124"/>
        <item x="126"/>
        <item x="150"/>
        <item x="1"/>
        <item x="151"/>
        <item x="187"/>
        <item x="189"/>
        <item x="201"/>
        <item x="202"/>
        <item x="12"/>
        <item x="216"/>
        <item x="13"/>
        <item x="14"/>
        <item x="25"/>
        <item x="26"/>
        <item x="43"/>
        <item x="44"/>
        <item x="10"/>
        <item x="45"/>
        <item x="54"/>
        <item x="55"/>
        <item x="74"/>
        <item x="76"/>
        <item x="103"/>
        <item x="188"/>
        <item x="56"/>
        <item x="75"/>
        <item x="70"/>
        <item x="69"/>
        <item x="146"/>
        <item x="86"/>
        <item x="37"/>
        <item x="199"/>
        <item x="134"/>
        <item x="159"/>
        <item x="114"/>
        <item x="140"/>
        <item x="46"/>
        <item x="47"/>
        <item x="49"/>
        <item x="203"/>
        <item x="138"/>
        <item x="93"/>
        <item x="136"/>
        <item x="84"/>
        <item x="85"/>
        <item x="87"/>
        <item x="0"/>
        <item t="default"/>
      </items>
    </pivotField>
  </pivotFields>
  <rowFields count="1">
    <field x="1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求和项:收款金额" fld="15" baseField="0" baseItem="0"/>
  </dataFields>
  <formats count="14">
    <format dxfId="0">
      <pivotArea dataOnly="0" labelOnly="1" fieldPosition="0">
        <references count="1">
          <reference field="12" count="1">
            <x v="1"/>
          </reference>
        </references>
      </pivotArea>
    </format>
    <format dxfId="1">
      <pivotArea collapsedLevelsAreSubtotals="1" fieldPosition="0">
        <references count="1">
          <reference field="12" count="1" selected="0">
            <x v="1"/>
          </reference>
        </references>
      </pivotArea>
    </format>
    <format dxfId="2">
      <pivotArea dataOnly="0" labelOnly="1" fieldPosition="0">
        <references count="1">
          <reference field="12" count="1">
            <x v="5"/>
          </reference>
        </references>
      </pivotArea>
    </format>
    <format dxfId="3">
      <pivotArea collapsedLevelsAreSubtotals="1" fieldPosition="0">
        <references count="1">
          <reference field="12" count="1" selected="0">
            <x v="5"/>
          </reference>
        </references>
      </pivotArea>
    </format>
    <format dxfId="4">
      <pivotArea dataOnly="0" labelOnly="1" fieldPosition="0">
        <references count="1">
          <reference field="12" count="1">
            <x v="7"/>
          </reference>
        </references>
      </pivotArea>
    </format>
    <format dxfId="5">
      <pivotArea collapsedLevelsAreSubtotals="1" fieldPosition="0">
        <references count="1">
          <reference field="12" count="1" selected="0">
            <x v="7"/>
          </reference>
        </references>
      </pivotArea>
    </format>
    <format dxfId="6">
      <pivotArea dataOnly="0" labelOnly="1" fieldPosition="0">
        <references count="1">
          <reference field="12" count="1">
            <x v="12"/>
          </reference>
        </references>
      </pivotArea>
    </format>
    <format dxfId="7">
      <pivotArea collapsedLevelsAreSubtotals="1" fieldPosition="0">
        <references count="1">
          <reference field="12" count="1" selected="0">
            <x v="12"/>
          </reference>
        </references>
      </pivotArea>
    </format>
    <format dxfId="8">
      <pivotArea dataOnly="0" labelOnly="1" fieldPosition="0">
        <references count="1">
          <reference field="12" count="1">
            <x v="23"/>
          </reference>
        </references>
      </pivotArea>
    </format>
    <format dxfId="9">
      <pivotArea collapsedLevelsAreSubtotals="1" fieldPosition="0">
        <references count="1">
          <reference field="12" count="1" selected="0">
            <x v="23"/>
          </reference>
        </references>
      </pivotArea>
    </format>
    <format dxfId="10">
      <pivotArea dataOnly="0" labelOnly="1" fieldPosition="0">
        <references count="1">
          <reference field="12" count="1">
            <x v="34"/>
          </reference>
        </references>
      </pivotArea>
    </format>
    <format dxfId="11">
      <pivotArea collapsedLevelsAreSubtotals="1" fieldPosition="0">
        <references count="1">
          <reference field="12" count="1" selected="0">
            <x v="34"/>
          </reference>
        </references>
      </pivotArea>
    </format>
    <format dxfId="12">
      <pivotArea dataOnly="0" labelOnly="1" fieldPosition="0">
        <references count="1">
          <reference field="12" count="1">
            <x v="6"/>
          </reference>
        </references>
      </pivotArea>
    </format>
    <format dxfId="13">
      <pivotArea collapsedLevelsAreSubtotals="1" fieldPosition="0">
        <references count="1">
          <reference field="12" count="1" selected="0">
            <x v="6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66"/>
  <sheetViews>
    <sheetView topLeftCell="A121" workbookViewId="0">
      <selection activeCell="H9" sqref="H9"/>
    </sheetView>
  </sheetViews>
  <sheetFormatPr defaultColWidth="8.72727272727273" defaultRowHeight="14" outlineLevelCol="1"/>
  <cols>
    <col min="1" max="1" width="18.5454545454545"/>
    <col min="2" max="2" width="18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2950</v>
      </c>
    </row>
    <row r="5" spans="1:2">
      <c r="A5" t="s">
        <v>3</v>
      </c>
      <c r="B5">
        <v>8055</v>
      </c>
    </row>
    <row r="6" spans="1:2">
      <c r="A6" t="s">
        <v>4</v>
      </c>
      <c r="B6">
        <v>770</v>
      </c>
    </row>
    <row r="7" spans="1:2">
      <c r="A7" t="s">
        <v>5</v>
      </c>
      <c r="B7">
        <v>2951</v>
      </c>
    </row>
    <row r="8" spans="1:2">
      <c r="A8" t="s">
        <v>6</v>
      </c>
      <c r="B8">
        <v>2745</v>
      </c>
    </row>
    <row r="9" spans="1:2">
      <c r="A9" t="s">
        <v>7</v>
      </c>
      <c r="B9">
        <v>2450</v>
      </c>
    </row>
    <row r="10" spans="1:2">
      <c r="A10" t="s">
        <v>8</v>
      </c>
      <c r="B10">
        <v>3247</v>
      </c>
    </row>
    <row r="11" spans="1:2">
      <c r="A11" t="s">
        <v>9</v>
      </c>
      <c r="B11">
        <v>2542</v>
      </c>
    </row>
    <row r="12" spans="1:2">
      <c r="A12" t="s">
        <v>10</v>
      </c>
      <c r="B12">
        <v>2975</v>
      </c>
    </row>
    <row r="13" spans="1:2">
      <c r="A13" t="s">
        <v>11</v>
      </c>
      <c r="B13">
        <v>5098</v>
      </c>
    </row>
    <row r="14" spans="1:2">
      <c r="A14" t="s">
        <v>12</v>
      </c>
      <c r="B14">
        <v>4124</v>
      </c>
    </row>
    <row r="15" spans="1:2">
      <c r="A15" t="s">
        <v>13</v>
      </c>
      <c r="B15">
        <v>5988</v>
      </c>
    </row>
    <row r="16" spans="1:2">
      <c r="A16" t="s">
        <v>14</v>
      </c>
      <c r="B16">
        <v>1950</v>
      </c>
    </row>
    <row r="17" spans="1:2">
      <c r="A17" t="s">
        <v>15</v>
      </c>
      <c r="B17">
        <v>5988</v>
      </c>
    </row>
    <row r="18" spans="1:2">
      <c r="A18" t="s">
        <v>16</v>
      </c>
      <c r="B18">
        <v>3359</v>
      </c>
    </row>
    <row r="19" spans="1:2">
      <c r="A19" t="s">
        <v>17</v>
      </c>
      <c r="B19">
        <v>2789</v>
      </c>
    </row>
    <row r="20" spans="1:2">
      <c r="A20" t="s">
        <v>18</v>
      </c>
      <c r="B20">
        <v>3359</v>
      </c>
    </row>
    <row r="21" spans="1:2">
      <c r="A21" t="s">
        <v>19</v>
      </c>
      <c r="B21">
        <v>6966</v>
      </c>
    </row>
    <row r="22" spans="1:2">
      <c r="A22" t="s">
        <v>20</v>
      </c>
      <c r="B22">
        <v>3076</v>
      </c>
    </row>
    <row r="23" spans="1:2">
      <c r="A23" t="s">
        <v>21</v>
      </c>
      <c r="B23">
        <v>3359</v>
      </c>
    </row>
    <row r="24" spans="1:2">
      <c r="A24" t="s">
        <v>22</v>
      </c>
      <c r="B24">
        <v>7351</v>
      </c>
    </row>
    <row r="25" spans="1:2">
      <c r="A25" t="s">
        <v>23</v>
      </c>
      <c r="B25">
        <v>3579</v>
      </c>
    </row>
    <row r="26" spans="1:2">
      <c r="A26" t="s">
        <v>24</v>
      </c>
      <c r="B26">
        <v>5999</v>
      </c>
    </row>
    <row r="27" spans="1:2">
      <c r="A27" t="s">
        <v>25</v>
      </c>
      <c r="B27">
        <v>3279</v>
      </c>
    </row>
    <row r="28" spans="1:2">
      <c r="A28" t="s">
        <v>26</v>
      </c>
      <c r="B28">
        <v>3359</v>
      </c>
    </row>
    <row r="29" spans="1:2">
      <c r="A29" t="s">
        <v>27</v>
      </c>
      <c r="B29">
        <v>3739</v>
      </c>
    </row>
    <row r="30" spans="1:2">
      <c r="A30" t="s">
        <v>28</v>
      </c>
      <c r="B30">
        <v>2800</v>
      </c>
    </row>
    <row r="31" spans="1:2">
      <c r="A31" t="s">
        <v>29</v>
      </c>
      <c r="B31">
        <v>2800</v>
      </c>
    </row>
    <row r="32" spans="1:2">
      <c r="A32" t="s">
        <v>30</v>
      </c>
      <c r="B32">
        <v>4059</v>
      </c>
    </row>
    <row r="33" spans="1:2">
      <c r="A33" t="s">
        <v>31</v>
      </c>
      <c r="B33">
        <v>4399</v>
      </c>
    </row>
    <row r="34" spans="1:2">
      <c r="A34" t="s">
        <v>32</v>
      </c>
      <c r="B34">
        <v>3599</v>
      </c>
    </row>
    <row r="35" spans="1:2">
      <c r="A35" t="s">
        <v>33</v>
      </c>
      <c r="B35">
        <v>3636</v>
      </c>
    </row>
    <row r="36" spans="1:2">
      <c r="A36" t="s">
        <v>34</v>
      </c>
      <c r="B36">
        <v>2071</v>
      </c>
    </row>
    <row r="37" spans="1:2">
      <c r="A37" t="s">
        <v>35</v>
      </c>
      <c r="B37">
        <v>3439</v>
      </c>
    </row>
    <row r="38" spans="1:2">
      <c r="A38" t="s">
        <v>36</v>
      </c>
      <c r="B38">
        <v>6365</v>
      </c>
    </row>
    <row r="39" spans="1:2">
      <c r="A39" t="s">
        <v>37</v>
      </c>
      <c r="B39">
        <v>5220</v>
      </c>
    </row>
    <row r="40" spans="1:2">
      <c r="A40" t="s">
        <v>38</v>
      </c>
      <c r="B40">
        <v>2591</v>
      </c>
    </row>
    <row r="41" spans="1:2">
      <c r="A41" t="s">
        <v>39</v>
      </c>
      <c r="B41">
        <v>3639</v>
      </c>
    </row>
    <row r="42" spans="1:2">
      <c r="A42" t="s">
        <v>40</v>
      </c>
      <c r="B42">
        <v>3639</v>
      </c>
    </row>
    <row r="43" spans="1:2">
      <c r="A43" t="s">
        <v>41</v>
      </c>
      <c r="B43">
        <v>3395</v>
      </c>
    </row>
    <row r="44" spans="1:2">
      <c r="A44" t="s">
        <v>42</v>
      </c>
      <c r="B44">
        <v>350</v>
      </c>
    </row>
    <row r="45" spans="1:2">
      <c r="A45" t="s">
        <v>43</v>
      </c>
      <c r="B45">
        <v>5000</v>
      </c>
    </row>
    <row r="46" spans="1:2">
      <c r="A46" t="s">
        <v>44</v>
      </c>
      <c r="B46">
        <v>4647</v>
      </c>
    </row>
    <row r="47" spans="1:2">
      <c r="A47" t="s">
        <v>45</v>
      </c>
      <c r="B47">
        <v>1999</v>
      </c>
    </row>
    <row r="48" spans="1:2">
      <c r="A48" t="s">
        <v>46</v>
      </c>
      <c r="B48">
        <v>5872</v>
      </c>
    </row>
    <row r="49" spans="1:2">
      <c r="A49" t="s">
        <v>47</v>
      </c>
      <c r="B49">
        <v>5119</v>
      </c>
    </row>
    <row r="50" spans="1:2">
      <c r="A50" t="s">
        <v>48</v>
      </c>
      <c r="B50">
        <v>3998</v>
      </c>
    </row>
    <row r="51" spans="1:2">
      <c r="A51" t="s">
        <v>49</v>
      </c>
      <c r="B51">
        <v>5019</v>
      </c>
    </row>
    <row r="52" spans="1:2">
      <c r="A52" t="s">
        <v>50</v>
      </c>
      <c r="B52">
        <v>828</v>
      </c>
    </row>
    <row r="53" spans="1:2">
      <c r="A53" t="s">
        <v>51</v>
      </c>
      <c r="B53">
        <v>3439</v>
      </c>
    </row>
    <row r="54" spans="1:2">
      <c r="A54" t="s">
        <v>52</v>
      </c>
      <c r="B54">
        <v>3869</v>
      </c>
    </row>
    <row r="55" spans="1:2">
      <c r="A55" t="s">
        <v>53</v>
      </c>
      <c r="B55">
        <v>5988</v>
      </c>
    </row>
    <row r="56" spans="1:2">
      <c r="A56" t="s">
        <v>54</v>
      </c>
      <c r="B56">
        <v>5872</v>
      </c>
    </row>
    <row r="57" spans="1:2">
      <c r="A57" t="s">
        <v>55</v>
      </c>
      <c r="B57">
        <v>3395</v>
      </c>
    </row>
    <row r="58" spans="1:2">
      <c r="A58" t="s">
        <v>56</v>
      </c>
      <c r="B58">
        <v>7270</v>
      </c>
    </row>
    <row r="59" spans="1:2">
      <c r="A59" t="s">
        <v>57</v>
      </c>
      <c r="B59">
        <v>3998</v>
      </c>
    </row>
    <row r="60" spans="1:2">
      <c r="A60" t="s">
        <v>58</v>
      </c>
      <c r="B60">
        <v>3091</v>
      </c>
    </row>
    <row r="61" spans="1:2">
      <c r="A61" t="s">
        <v>59</v>
      </c>
      <c r="B61">
        <v>790</v>
      </c>
    </row>
    <row r="62" spans="1:2">
      <c r="A62" t="s">
        <v>60</v>
      </c>
      <c r="B62">
        <v>5667</v>
      </c>
    </row>
    <row r="63" spans="1:2">
      <c r="A63" t="s">
        <v>61</v>
      </c>
      <c r="B63">
        <v>1550</v>
      </c>
    </row>
    <row r="64" spans="1:2">
      <c r="A64" t="s">
        <v>62</v>
      </c>
      <c r="B64">
        <v>4791</v>
      </c>
    </row>
    <row r="65" spans="1:2">
      <c r="A65" t="s">
        <v>63</v>
      </c>
      <c r="B65">
        <v>4399</v>
      </c>
    </row>
    <row r="66" spans="1:2">
      <c r="A66" t="s">
        <v>64</v>
      </c>
      <c r="B66">
        <v>6502</v>
      </c>
    </row>
    <row r="67" spans="1:2">
      <c r="A67" t="s">
        <v>65</v>
      </c>
      <c r="B67">
        <v>4124</v>
      </c>
    </row>
    <row r="68" spans="1:2">
      <c r="A68" t="s">
        <v>66</v>
      </c>
      <c r="B68">
        <v>2975</v>
      </c>
    </row>
    <row r="69" spans="1:2">
      <c r="A69" t="s">
        <v>67</v>
      </c>
      <c r="B69">
        <v>2000</v>
      </c>
    </row>
    <row r="70" spans="1:2">
      <c r="A70" t="s">
        <v>68</v>
      </c>
      <c r="B70">
        <v>3414</v>
      </c>
    </row>
    <row r="71" spans="1:2">
      <c r="A71" t="s">
        <v>69</v>
      </c>
      <c r="B71">
        <v>808</v>
      </c>
    </row>
    <row r="72" spans="1:2">
      <c r="A72" t="s">
        <v>70</v>
      </c>
      <c r="B72">
        <v>3395</v>
      </c>
    </row>
    <row r="73" spans="1:2">
      <c r="A73" t="s">
        <v>71</v>
      </c>
      <c r="B73">
        <v>3739</v>
      </c>
    </row>
    <row r="74" spans="1:2">
      <c r="A74" t="s">
        <v>72</v>
      </c>
      <c r="B74">
        <v>3395</v>
      </c>
    </row>
    <row r="75" spans="1:2">
      <c r="A75" t="s">
        <v>73</v>
      </c>
      <c r="B75">
        <v>1488</v>
      </c>
    </row>
    <row r="76" spans="1:2">
      <c r="A76" t="s">
        <v>74</v>
      </c>
      <c r="B76">
        <v>5872</v>
      </c>
    </row>
    <row r="77" spans="1:2">
      <c r="A77" t="s">
        <v>75</v>
      </c>
      <c r="B77">
        <v>2445</v>
      </c>
    </row>
    <row r="78" spans="1:2">
      <c r="A78" t="s">
        <v>76</v>
      </c>
      <c r="B78">
        <v>6616</v>
      </c>
    </row>
    <row r="79" spans="1:2">
      <c r="A79" t="s">
        <v>77</v>
      </c>
      <c r="B79">
        <v>3900</v>
      </c>
    </row>
    <row r="80" spans="1:2">
      <c r="A80" t="s">
        <v>78</v>
      </c>
      <c r="B80">
        <v>6059</v>
      </c>
    </row>
    <row r="81" spans="1:2">
      <c r="A81" t="s">
        <v>79</v>
      </c>
      <c r="B81">
        <v>2591</v>
      </c>
    </row>
    <row r="82" spans="1:2">
      <c r="A82" t="s">
        <v>80</v>
      </c>
      <c r="B82">
        <v>3280</v>
      </c>
    </row>
    <row r="83" spans="1:2">
      <c r="A83" t="s">
        <v>81</v>
      </c>
      <c r="B83">
        <v>2975</v>
      </c>
    </row>
    <row r="84" spans="1:2">
      <c r="A84" t="s">
        <v>82</v>
      </c>
      <c r="B84">
        <v>22330</v>
      </c>
    </row>
    <row r="85" spans="1:2">
      <c r="A85" t="s">
        <v>83</v>
      </c>
      <c r="B85">
        <v>4399</v>
      </c>
    </row>
    <row r="86" spans="1:2">
      <c r="A86" t="s">
        <v>84</v>
      </c>
      <c r="B86">
        <v>5374</v>
      </c>
    </row>
    <row r="87" spans="1:2">
      <c r="A87" t="s">
        <v>85</v>
      </c>
      <c r="B87">
        <v>5124</v>
      </c>
    </row>
    <row r="88" spans="1:2">
      <c r="A88" t="s">
        <v>86</v>
      </c>
      <c r="B88">
        <v>2826</v>
      </c>
    </row>
    <row r="89" spans="1:2">
      <c r="A89" t="s">
        <v>87</v>
      </c>
      <c r="B89">
        <v>15392</v>
      </c>
    </row>
    <row r="90" spans="1:2">
      <c r="A90" t="s">
        <v>88</v>
      </c>
      <c r="B90">
        <v>2499</v>
      </c>
    </row>
    <row r="91" spans="1:2">
      <c r="A91" t="s">
        <v>89</v>
      </c>
      <c r="B91">
        <v>8919</v>
      </c>
    </row>
    <row r="92" spans="1:2">
      <c r="A92" t="s">
        <v>90</v>
      </c>
      <c r="B92">
        <v>398</v>
      </c>
    </row>
    <row r="93" spans="1:2">
      <c r="A93" t="s">
        <v>91</v>
      </c>
      <c r="B93">
        <v>5871</v>
      </c>
    </row>
    <row r="94" spans="1:2">
      <c r="A94" t="s">
        <v>92</v>
      </c>
      <c r="B94">
        <v>5766</v>
      </c>
    </row>
    <row r="95" spans="1:2">
      <c r="A95" t="s">
        <v>93</v>
      </c>
      <c r="B95">
        <v>6502</v>
      </c>
    </row>
    <row r="96" spans="1:2">
      <c r="A96" t="s">
        <v>94</v>
      </c>
      <c r="B96">
        <v>12579</v>
      </c>
    </row>
    <row r="97" spans="1:2">
      <c r="A97" t="s">
        <v>95</v>
      </c>
      <c r="B97">
        <v>3909</v>
      </c>
    </row>
    <row r="98" spans="1:2">
      <c r="A98" t="s">
        <v>96</v>
      </c>
      <c r="B98">
        <v>7000</v>
      </c>
    </row>
    <row r="99" spans="1:2">
      <c r="A99" t="s">
        <v>97</v>
      </c>
      <c r="B99">
        <v>3716</v>
      </c>
    </row>
    <row r="100" spans="1:2">
      <c r="A100" t="s">
        <v>98</v>
      </c>
      <c r="B100">
        <v>3279</v>
      </c>
    </row>
    <row r="101" spans="1:2">
      <c r="A101" t="s">
        <v>99</v>
      </c>
      <c r="B101">
        <v>4764</v>
      </c>
    </row>
    <row r="102" spans="1:2">
      <c r="A102" t="s">
        <v>100</v>
      </c>
    </row>
    <row r="103" spans="1:2">
      <c r="A103" t="s">
        <v>101</v>
      </c>
      <c r="B103">
        <v>4289</v>
      </c>
    </row>
    <row r="104" spans="1:2">
      <c r="A104" t="s">
        <v>102</v>
      </c>
      <c r="B104">
        <v>4481</v>
      </c>
    </row>
    <row r="105" spans="1:2">
      <c r="A105" t="s">
        <v>103</v>
      </c>
      <c r="B105">
        <v>2071</v>
      </c>
    </row>
    <row r="106" spans="1:2">
      <c r="A106" t="s">
        <v>104</v>
      </c>
      <c r="B106">
        <v>4086</v>
      </c>
    </row>
    <row r="107" spans="1:2">
      <c r="A107" t="s">
        <v>105</v>
      </c>
      <c r="B107">
        <v>1340</v>
      </c>
    </row>
    <row r="108" spans="1:2">
      <c r="A108" t="s">
        <v>106</v>
      </c>
      <c r="B108">
        <v>3395</v>
      </c>
    </row>
    <row r="109" spans="1:2">
      <c r="A109" t="s">
        <v>107</v>
      </c>
      <c r="B109">
        <v>5872</v>
      </c>
    </row>
    <row r="110" spans="1:2">
      <c r="A110" t="s">
        <v>108</v>
      </c>
      <c r="B110">
        <v>4279</v>
      </c>
    </row>
    <row r="111" spans="1:2">
      <c r="A111" t="s">
        <v>109</v>
      </c>
      <c r="B111">
        <v>4400</v>
      </c>
    </row>
    <row r="112" spans="1:2">
      <c r="A112" t="s">
        <v>110</v>
      </c>
      <c r="B112">
        <v>898</v>
      </c>
    </row>
    <row r="113" spans="1:2">
      <c r="A113" t="s">
        <v>111</v>
      </c>
      <c r="B113">
        <v>6440</v>
      </c>
    </row>
    <row r="114" spans="1:2">
      <c r="A114" t="s">
        <v>112</v>
      </c>
      <c r="B114">
        <v>5100</v>
      </c>
    </row>
    <row r="115" spans="1:2">
      <c r="A115" t="s">
        <v>113</v>
      </c>
      <c r="B115">
        <v>2789</v>
      </c>
    </row>
    <row r="116" spans="1:2">
      <c r="A116" t="s">
        <v>114</v>
      </c>
      <c r="B116">
        <v>3958</v>
      </c>
    </row>
    <row r="117" spans="1:2">
      <c r="A117" t="s">
        <v>115</v>
      </c>
      <c r="B117">
        <v>6291</v>
      </c>
    </row>
    <row r="118" spans="1:2">
      <c r="A118" t="s">
        <v>116</v>
      </c>
      <c r="B118">
        <v>1310</v>
      </c>
    </row>
    <row r="119" spans="1:2">
      <c r="A119" t="s">
        <v>117</v>
      </c>
      <c r="B119">
        <v>1621</v>
      </c>
    </row>
    <row r="120" spans="1:2">
      <c r="A120" t="s">
        <v>118</v>
      </c>
      <c r="B120">
        <v>3600</v>
      </c>
    </row>
    <row r="121" spans="1:2">
      <c r="A121" t="s">
        <v>119</v>
      </c>
      <c r="B121">
        <v>828</v>
      </c>
    </row>
    <row r="122" spans="1:2">
      <c r="A122" t="s">
        <v>120</v>
      </c>
      <c r="B122">
        <v>3275</v>
      </c>
    </row>
    <row r="123" spans="1:2">
      <c r="A123" t="s">
        <v>121</v>
      </c>
      <c r="B123">
        <v>10124</v>
      </c>
    </row>
    <row r="124" spans="1:2">
      <c r="A124" t="s">
        <v>122</v>
      </c>
      <c r="B124">
        <v>10972</v>
      </c>
    </row>
    <row r="125" spans="1:2">
      <c r="A125" t="s">
        <v>123</v>
      </c>
      <c r="B125">
        <v>890</v>
      </c>
    </row>
    <row r="126" spans="1:2">
      <c r="A126" t="s">
        <v>124</v>
      </c>
      <c r="B126">
        <v>800</v>
      </c>
    </row>
    <row r="127" spans="1:2">
      <c r="A127" t="s">
        <v>125</v>
      </c>
      <c r="B127">
        <v>3679</v>
      </c>
    </row>
    <row r="128" spans="1:2">
      <c r="A128" t="s">
        <v>126</v>
      </c>
      <c r="B128">
        <v>3394</v>
      </c>
    </row>
    <row r="129" spans="1:2">
      <c r="A129" t="s">
        <v>127</v>
      </c>
      <c r="B129">
        <v>3636</v>
      </c>
    </row>
    <row r="130" spans="1:2">
      <c r="A130" t="s">
        <v>128</v>
      </c>
      <c r="B130">
        <v>890</v>
      </c>
    </row>
    <row r="131" spans="1:2">
      <c r="A131" t="s">
        <v>129</v>
      </c>
      <c r="B131">
        <v>3439</v>
      </c>
    </row>
    <row r="132" spans="1:2">
      <c r="A132" t="s">
        <v>130</v>
      </c>
      <c r="B132">
        <v>4798</v>
      </c>
    </row>
    <row r="133" spans="1:2">
      <c r="A133" t="s">
        <v>131</v>
      </c>
      <c r="B133">
        <v>729</v>
      </c>
    </row>
    <row r="134" spans="1:2">
      <c r="A134" t="s">
        <v>132</v>
      </c>
      <c r="B134">
        <v>850</v>
      </c>
    </row>
    <row r="135" spans="1:2">
      <c r="A135" t="s">
        <v>133</v>
      </c>
      <c r="B135">
        <v>799</v>
      </c>
    </row>
    <row r="136" spans="1:2">
      <c r="A136" t="s">
        <v>134</v>
      </c>
      <c r="B136">
        <v>7351</v>
      </c>
    </row>
    <row r="137" spans="1:2">
      <c r="A137" t="s">
        <v>135</v>
      </c>
      <c r="B137">
        <v>1700</v>
      </c>
    </row>
    <row r="138" spans="1:2">
      <c r="A138" t="s">
        <v>136</v>
      </c>
      <c r="B138">
        <v>3000</v>
      </c>
    </row>
    <row r="139" spans="1:2">
      <c r="A139" t="s">
        <v>137</v>
      </c>
      <c r="B139">
        <v>2578</v>
      </c>
    </row>
    <row r="140" spans="1:2">
      <c r="A140" t="s">
        <v>138</v>
      </c>
      <c r="B140">
        <v>3636</v>
      </c>
    </row>
    <row r="141" spans="1:2">
      <c r="A141" t="s">
        <v>139</v>
      </c>
      <c r="B141">
        <v>2741</v>
      </c>
    </row>
    <row r="142" spans="1:2">
      <c r="A142" t="s">
        <v>140</v>
      </c>
      <c r="B142">
        <v>750</v>
      </c>
    </row>
    <row r="143" spans="1:2">
      <c r="A143" t="s">
        <v>141</v>
      </c>
      <c r="B143">
        <v>3500</v>
      </c>
    </row>
    <row r="144" spans="1:2">
      <c r="A144" t="s">
        <v>142</v>
      </c>
      <c r="B144">
        <v>2698</v>
      </c>
    </row>
    <row r="145" spans="1:2">
      <c r="A145" t="s">
        <v>143</v>
      </c>
      <c r="B145">
        <v>2800</v>
      </c>
    </row>
    <row r="146" spans="1:2">
      <c r="A146" t="s">
        <v>144</v>
      </c>
      <c r="B146">
        <v>3636</v>
      </c>
    </row>
    <row r="147" spans="1:2">
      <c r="A147" t="s">
        <v>145</v>
      </c>
      <c r="B147">
        <v>2558</v>
      </c>
    </row>
    <row r="148" spans="1:2">
      <c r="A148" t="s">
        <v>146</v>
      </c>
      <c r="B148">
        <v>4399</v>
      </c>
    </row>
    <row r="149" spans="1:2">
      <c r="A149" t="s">
        <v>147</v>
      </c>
      <c r="B149">
        <v>3636</v>
      </c>
    </row>
    <row r="150" spans="1:2">
      <c r="A150" t="s">
        <v>148</v>
      </c>
      <c r="B150">
        <v>3439</v>
      </c>
    </row>
    <row r="151" spans="1:2">
      <c r="A151" t="s">
        <v>149</v>
      </c>
      <c r="B151">
        <v>2200</v>
      </c>
    </row>
    <row r="152" spans="1:2">
      <c r="A152" t="s">
        <v>150</v>
      </c>
      <c r="B152">
        <v>4638</v>
      </c>
    </row>
    <row r="153" spans="1:2">
      <c r="A153" t="s">
        <v>151</v>
      </c>
      <c r="B153">
        <v>750</v>
      </c>
    </row>
    <row r="154" spans="1:2">
      <c r="A154" t="s">
        <v>152</v>
      </c>
      <c r="B154">
        <v>4399</v>
      </c>
    </row>
    <row r="155" spans="1:2">
      <c r="A155" t="s">
        <v>153</v>
      </c>
      <c r="B155">
        <v>2778</v>
      </c>
    </row>
    <row r="156" spans="1:2">
      <c r="A156" t="s">
        <v>154</v>
      </c>
      <c r="B156">
        <v>6981</v>
      </c>
    </row>
    <row r="157" spans="1:2">
      <c r="A157" t="s">
        <v>155</v>
      </c>
      <c r="B157">
        <v>730</v>
      </c>
    </row>
    <row r="158" spans="1:2">
      <c r="A158" t="s">
        <v>156</v>
      </c>
      <c r="B158">
        <v>5100</v>
      </c>
    </row>
    <row r="159" spans="1:2">
      <c r="A159" t="s">
        <v>157</v>
      </c>
      <c r="B159">
        <v>4458</v>
      </c>
    </row>
    <row r="160" spans="1:2">
      <c r="A160" t="s">
        <v>158</v>
      </c>
      <c r="B160">
        <v>9100</v>
      </c>
    </row>
    <row r="161" spans="1:2">
      <c r="A161" t="s">
        <v>159</v>
      </c>
      <c r="B161">
        <v>2745</v>
      </c>
    </row>
    <row r="162" spans="1:2">
      <c r="A162" t="s">
        <v>160</v>
      </c>
      <c r="B162">
        <v>4249</v>
      </c>
    </row>
    <row r="163" spans="1:2">
      <c r="A163" t="s">
        <v>161</v>
      </c>
      <c r="B163">
        <v>4400</v>
      </c>
    </row>
    <row r="164" spans="1:2">
      <c r="A164" t="s">
        <v>162</v>
      </c>
      <c r="B164">
        <v>4000</v>
      </c>
    </row>
    <row r="165" spans="1:2">
      <c r="A165" t="s">
        <v>163</v>
      </c>
      <c r="B165">
        <v>3060</v>
      </c>
    </row>
    <row r="166" spans="1:2">
      <c r="A166" t="s">
        <v>164</v>
      </c>
    </row>
    <row r="167" spans="1:2">
      <c r="A167" t="s">
        <v>165</v>
      </c>
      <c r="B167">
        <v>2379</v>
      </c>
    </row>
    <row r="168" spans="1:2">
      <c r="A168" t="s">
        <v>166</v>
      </c>
      <c r="B168">
        <v>4059</v>
      </c>
    </row>
    <row r="169" spans="1:2">
      <c r="A169" t="s">
        <v>167</v>
      </c>
      <c r="B169">
        <v>3360</v>
      </c>
    </row>
    <row r="170" spans="1:2">
      <c r="A170" t="s">
        <v>168</v>
      </c>
      <c r="B170">
        <v>790</v>
      </c>
    </row>
    <row r="171" spans="1:2">
      <c r="A171" t="s">
        <v>169</v>
      </c>
      <c r="B171">
        <v>791</v>
      </c>
    </row>
    <row r="172" spans="1:2">
      <c r="A172" t="s">
        <v>170</v>
      </c>
      <c r="B172">
        <v>4000</v>
      </c>
    </row>
    <row r="173" spans="1:2">
      <c r="A173" t="s">
        <v>171</v>
      </c>
      <c r="B173">
        <v>2300</v>
      </c>
    </row>
    <row r="174" spans="1:2">
      <c r="A174" t="s">
        <v>172</v>
      </c>
      <c r="B174">
        <v>5850</v>
      </c>
    </row>
    <row r="175" spans="1:2">
      <c r="A175" t="s">
        <v>173</v>
      </c>
      <c r="B175">
        <v>2100</v>
      </c>
    </row>
    <row r="176" spans="1:2">
      <c r="A176" t="s">
        <v>174</v>
      </c>
      <c r="B176">
        <v>898</v>
      </c>
    </row>
    <row r="177" spans="1:2">
      <c r="A177" t="s">
        <v>175</v>
      </c>
      <c r="B177">
        <v>6291</v>
      </c>
    </row>
    <row r="178" spans="1:2">
      <c r="A178" t="s">
        <v>176</v>
      </c>
      <c r="B178">
        <v>3636</v>
      </c>
    </row>
    <row r="179" spans="1:2">
      <c r="A179" t="s">
        <v>177</v>
      </c>
      <c r="B179">
        <v>1621</v>
      </c>
    </row>
    <row r="180" spans="1:2">
      <c r="A180" t="s">
        <v>178</v>
      </c>
      <c r="B180">
        <v>6291</v>
      </c>
    </row>
    <row r="181" spans="1:2">
      <c r="A181" t="s">
        <v>179</v>
      </c>
      <c r="B181">
        <v>2200</v>
      </c>
    </row>
    <row r="182" spans="1:2">
      <c r="A182" t="s">
        <v>180</v>
      </c>
      <c r="B182">
        <v>791</v>
      </c>
    </row>
    <row r="183" spans="1:2">
      <c r="A183" t="s">
        <v>181</v>
      </c>
      <c r="B183">
        <v>6291</v>
      </c>
    </row>
    <row r="184" spans="1:2">
      <c r="A184" t="s">
        <v>182</v>
      </c>
      <c r="B184">
        <v>3579</v>
      </c>
    </row>
    <row r="185" spans="1:2">
      <c r="A185" t="s">
        <v>183</v>
      </c>
      <c r="B185">
        <v>4399</v>
      </c>
    </row>
    <row r="186" spans="1:2">
      <c r="A186" t="s">
        <v>184</v>
      </c>
      <c r="B186">
        <v>6500</v>
      </c>
    </row>
    <row r="187" spans="1:2">
      <c r="A187" t="s">
        <v>185</v>
      </c>
      <c r="B187">
        <v>4055</v>
      </c>
    </row>
    <row r="188" spans="1:2">
      <c r="A188" t="s">
        <v>186</v>
      </c>
      <c r="B188">
        <v>398</v>
      </c>
    </row>
    <row r="189" spans="1:2">
      <c r="A189" t="s">
        <v>187</v>
      </c>
    </row>
    <row r="190" spans="1:2">
      <c r="A190" t="s">
        <v>188</v>
      </c>
      <c r="B190">
        <v>791</v>
      </c>
    </row>
    <row r="191" spans="1:2">
      <c r="A191" t="s">
        <v>189</v>
      </c>
    </row>
    <row r="192" spans="1:2">
      <c r="A192" t="s">
        <v>190</v>
      </c>
      <c r="B192">
        <v>5707</v>
      </c>
    </row>
    <row r="193" spans="1:2">
      <c r="A193" t="s">
        <v>191</v>
      </c>
      <c r="B193">
        <v>3838</v>
      </c>
    </row>
    <row r="194" spans="1:2">
      <c r="A194" t="s">
        <v>192</v>
      </c>
      <c r="B194">
        <v>2950</v>
      </c>
    </row>
    <row r="195" spans="1:2">
      <c r="A195" t="s">
        <v>193</v>
      </c>
      <c r="B195">
        <v>4139</v>
      </c>
    </row>
    <row r="196" spans="1:2">
      <c r="A196" t="s">
        <v>194</v>
      </c>
      <c r="B196">
        <v>1196</v>
      </c>
    </row>
    <row r="197" spans="1:2">
      <c r="A197" t="s">
        <v>195</v>
      </c>
      <c r="B197">
        <v>5800</v>
      </c>
    </row>
    <row r="198" spans="1:2">
      <c r="A198" t="s">
        <v>196</v>
      </c>
      <c r="B198">
        <v>2070</v>
      </c>
    </row>
    <row r="199" spans="1:2">
      <c r="A199" t="s">
        <v>197</v>
      </c>
      <c r="B199">
        <v>4299</v>
      </c>
    </row>
    <row r="200" spans="1:2">
      <c r="A200" t="s">
        <v>198</v>
      </c>
      <c r="B200">
        <v>890</v>
      </c>
    </row>
    <row r="201" spans="1:2">
      <c r="A201" t="s">
        <v>199</v>
      </c>
      <c r="B201">
        <v>800</v>
      </c>
    </row>
    <row r="202" spans="1:2">
      <c r="A202" t="s">
        <v>200</v>
      </c>
      <c r="B202">
        <v>6788</v>
      </c>
    </row>
    <row r="203" spans="1:2">
      <c r="A203" t="s">
        <v>201</v>
      </c>
      <c r="B203">
        <v>6788</v>
      </c>
    </row>
    <row r="204" spans="1:2">
      <c r="A204" t="s">
        <v>202</v>
      </c>
      <c r="B204">
        <v>700</v>
      </c>
    </row>
    <row r="205" spans="1:2">
      <c r="A205" t="s">
        <v>203</v>
      </c>
      <c r="B205">
        <v>700</v>
      </c>
    </row>
    <row r="206" spans="1:2">
      <c r="A206" t="s">
        <v>204</v>
      </c>
      <c r="B206">
        <v>2800</v>
      </c>
    </row>
    <row r="207" spans="1:2">
      <c r="A207" t="s">
        <v>205</v>
      </c>
      <c r="B207">
        <v>1600</v>
      </c>
    </row>
    <row r="208" spans="1:2">
      <c r="A208" t="s">
        <v>206</v>
      </c>
      <c r="B208">
        <v>898</v>
      </c>
    </row>
    <row r="209" spans="1:2">
      <c r="A209" t="s">
        <v>207</v>
      </c>
      <c r="B209">
        <v>850</v>
      </c>
    </row>
    <row r="210" spans="1:2">
      <c r="A210" t="s">
        <v>208</v>
      </c>
      <c r="B210">
        <v>8000</v>
      </c>
    </row>
    <row r="211" spans="1:2">
      <c r="A211" t="s">
        <v>209</v>
      </c>
      <c r="B211">
        <v>3230</v>
      </c>
    </row>
    <row r="212" spans="1:2">
      <c r="A212" t="s">
        <v>210</v>
      </c>
      <c r="B212">
        <v>2685.6</v>
      </c>
    </row>
    <row r="213" spans="1:2">
      <c r="A213" t="s">
        <v>211</v>
      </c>
      <c r="B213">
        <v>8364</v>
      </c>
    </row>
    <row r="214" spans="1:2">
      <c r="A214" t="s">
        <v>212</v>
      </c>
      <c r="B214">
        <v>3136</v>
      </c>
    </row>
    <row r="215" spans="1:2">
      <c r="A215" t="s">
        <v>213</v>
      </c>
    </row>
    <row r="216" spans="1:2">
      <c r="A216" t="s">
        <v>214</v>
      </c>
    </row>
    <row r="217" spans="1:2">
      <c r="A217" t="s">
        <v>215</v>
      </c>
      <c r="B217">
        <v>2984</v>
      </c>
    </row>
    <row r="218" spans="1:2">
      <c r="A218" t="s">
        <v>216</v>
      </c>
      <c r="B218">
        <v>3395</v>
      </c>
    </row>
    <row r="219" spans="1:2">
      <c r="A219" t="s">
        <v>217</v>
      </c>
      <c r="B219">
        <v>1196</v>
      </c>
    </row>
    <row r="220" spans="1:2">
      <c r="A220" t="s">
        <v>218</v>
      </c>
      <c r="B220">
        <v>2079</v>
      </c>
    </row>
    <row r="221" spans="1:2">
      <c r="A221" t="s">
        <v>219</v>
      </c>
      <c r="B221">
        <v>5988</v>
      </c>
    </row>
    <row r="222" spans="1:2">
      <c r="A222" t="s">
        <v>220</v>
      </c>
      <c r="B222">
        <v>3369</v>
      </c>
    </row>
    <row r="223" spans="1:2">
      <c r="A223" t="s">
        <v>221</v>
      </c>
      <c r="B223">
        <v>3395</v>
      </c>
    </row>
    <row r="224" spans="1:2">
      <c r="A224" t="s">
        <v>222</v>
      </c>
      <c r="B224">
        <v>6700</v>
      </c>
    </row>
    <row r="225" spans="1:2">
      <c r="A225" t="s">
        <v>223</v>
      </c>
      <c r="B225">
        <v>800</v>
      </c>
    </row>
    <row r="226" spans="1:2">
      <c r="A226" t="s">
        <v>224</v>
      </c>
      <c r="B226">
        <v>4791</v>
      </c>
    </row>
    <row r="227" spans="1:2">
      <c r="A227" t="s">
        <v>225</v>
      </c>
      <c r="B227">
        <v>1893</v>
      </c>
    </row>
    <row r="228" spans="1:2">
      <c r="A228" t="s">
        <v>226</v>
      </c>
      <c r="B228">
        <v>5119</v>
      </c>
    </row>
    <row r="229" spans="1:2">
      <c r="A229" t="s">
        <v>227</v>
      </c>
      <c r="B229">
        <v>3636</v>
      </c>
    </row>
    <row r="230" spans="1:2">
      <c r="A230" t="s">
        <v>228</v>
      </c>
      <c r="B230">
        <v>2800</v>
      </c>
    </row>
    <row r="231" spans="1:2">
      <c r="A231" t="s">
        <v>229</v>
      </c>
      <c r="B231">
        <v>5597</v>
      </c>
    </row>
    <row r="232" spans="1:2">
      <c r="A232" t="s">
        <v>230</v>
      </c>
      <c r="B232">
        <v>7200</v>
      </c>
    </row>
    <row r="233" spans="1:2">
      <c r="A233" t="s">
        <v>231</v>
      </c>
    </row>
    <row r="234" spans="1:2">
      <c r="A234" t="s">
        <v>232</v>
      </c>
      <c r="B234">
        <v>5000</v>
      </c>
    </row>
    <row r="235" spans="1:2">
      <c r="A235" t="s">
        <v>233</v>
      </c>
      <c r="B235">
        <v>3990</v>
      </c>
    </row>
    <row r="236" spans="1:2">
      <c r="A236" t="s">
        <v>234</v>
      </c>
      <c r="B236">
        <v>3138</v>
      </c>
    </row>
    <row r="237" spans="1:2">
      <c r="A237" t="s">
        <v>235</v>
      </c>
      <c r="B237">
        <v>2984</v>
      </c>
    </row>
    <row r="238" spans="1:2">
      <c r="A238" t="s">
        <v>236</v>
      </c>
      <c r="B238">
        <v>4295</v>
      </c>
    </row>
    <row r="239" spans="1:2">
      <c r="A239" t="s">
        <v>237</v>
      </c>
      <c r="B239">
        <v>4020</v>
      </c>
    </row>
    <row r="240" spans="1:2">
      <c r="A240" t="s">
        <v>238</v>
      </c>
      <c r="B240">
        <v>4180</v>
      </c>
    </row>
    <row r="241" spans="1:2">
      <c r="A241" t="s">
        <v>239</v>
      </c>
      <c r="B241">
        <v>1895</v>
      </c>
    </row>
    <row r="242" spans="1:2">
      <c r="A242" t="s">
        <v>240</v>
      </c>
      <c r="B242">
        <v>350</v>
      </c>
    </row>
    <row r="243" spans="1:2">
      <c r="A243" t="s">
        <v>241</v>
      </c>
      <c r="B243">
        <v>4003</v>
      </c>
    </row>
    <row r="244" spans="1:2">
      <c r="A244" t="s">
        <v>242</v>
      </c>
      <c r="B244">
        <v>4002</v>
      </c>
    </row>
    <row r="245" spans="1:2">
      <c r="A245" t="s">
        <v>243</v>
      </c>
      <c r="B245">
        <v>3395</v>
      </c>
    </row>
    <row r="246" spans="1:2">
      <c r="A246" t="s">
        <v>244</v>
      </c>
      <c r="B246">
        <v>3128</v>
      </c>
    </row>
    <row r="247" spans="1:2">
      <c r="A247" t="s">
        <v>245</v>
      </c>
      <c r="B247">
        <v>2250</v>
      </c>
    </row>
    <row r="248" spans="1:2">
      <c r="A248" t="s">
        <v>246</v>
      </c>
      <c r="B248">
        <v>3000</v>
      </c>
    </row>
    <row r="249" spans="1:2">
      <c r="A249" t="s">
        <v>247</v>
      </c>
      <c r="B249">
        <v>3708</v>
      </c>
    </row>
    <row r="250" spans="1:2">
      <c r="A250" t="s">
        <v>248</v>
      </c>
      <c r="B250">
        <v>2496</v>
      </c>
    </row>
    <row r="251" spans="1:2">
      <c r="A251" t="s">
        <v>249</v>
      </c>
      <c r="B251">
        <v>808</v>
      </c>
    </row>
    <row r="252" spans="1:2">
      <c r="A252" t="s">
        <v>250</v>
      </c>
      <c r="B252">
        <v>3270</v>
      </c>
    </row>
    <row r="253" spans="1:2">
      <c r="A253" t="s">
        <v>251</v>
      </c>
      <c r="B253">
        <v>3139</v>
      </c>
    </row>
    <row r="254" spans="1:2">
      <c r="A254" t="s">
        <v>252</v>
      </c>
      <c r="B254">
        <v>8145</v>
      </c>
    </row>
    <row r="255" spans="1:2">
      <c r="A255" t="s">
        <v>253</v>
      </c>
      <c r="B255">
        <v>10258</v>
      </c>
    </row>
    <row r="256" spans="1:2">
      <c r="A256" t="s">
        <v>254</v>
      </c>
      <c r="B256">
        <v>14000</v>
      </c>
    </row>
    <row r="257" spans="1:2">
      <c r="A257" t="s">
        <v>255</v>
      </c>
      <c r="B257">
        <v>7351</v>
      </c>
    </row>
    <row r="258" spans="1:2">
      <c r="A258" t="s">
        <v>256</v>
      </c>
      <c r="B258">
        <v>398</v>
      </c>
    </row>
    <row r="259" spans="1:2">
      <c r="A259" t="s">
        <v>257</v>
      </c>
      <c r="B259">
        <v>3070</v>
      </c>
    </row>
    <row r="260" spans="1:2">
      <c r="A260" t="s">
        <v>258</v>
      </c>
      <c r="B260">
        <v>3788</v>
      </c>
    </row>
    <row r="261" spans="1:2">
      <c r="A261" t="s">
        <v>259</v>
      </c>
      <c r="B261">
        <v>2986</v>
      </c>
    </row>
    <row r="262" spans="1:2">
      <c r="A262" t="s">
        <v>260</v>
      </c>
      <c r="B262">
        <v>8000</v>
      </c>
    </row>
    <row r="263" spans="1:2">
      <c r="A263" t="s">
        <v>261</v>
      </c>
    </row>
    <row r="264" spans="1:2">
      <c r="A264" t="s">
        <v>262</v>
      </c>
      <c r="B264">
        <v>8006</v>
      </c>
    </row>
    <row r="265" spans="1:2">
      <c r="A265" t="s">
        <v>263</v>
      </c>
      <c r="B265">
        <v>3908</v>
      </c>
    </row>
    <row r="266" spans="1:2">
      <c r="A266" t="s">
        <v>264</v>
      </c>
      <c r="B266">
        <v>3636</v>
      </c>
    </row>
    <row r="267" spans="1:2">
      <c r="A267" t="s">
        <v>265</v>
      </c>
      <c r="B267">
        <v>850</v>
      </c>
    </row>
    <row r="268" spans="1:2">
      <c r="A268" t="s">
        <v>266</v>
      </c>
      <c r="B268">
        <v>2594</v>
      </c>
    </row>
    <row r="269" spans="1:2">
      <c r="A269" t="s">
        <v>267</v>
      </c>
      <c r="B269">
        <v>3888</v>
      </c>
    </row>
    <row r="270" spans="1:2">
      <c r="A270" t="s">
        <v>268</v>
      </c>
      <c r="B270">
        <v>3571</v>
      </c>
    </row>
    <row r="271" spans="1:2">
      <c r="A271" t="s">
        <v>269</v>
      </c>
      <c r="B271">
        <v>5200</v>
      </c>
    </row>
    <row r="272" spans="1:2">
      <c r="A272" t="s">
        <v>270</v>
      </c>
      <c r="B272">
        <v>3350</v>
      </c>
    </row>
    <row r="273" spans="1:2">
      <c r="A273" t="s">
        <v>271</v>
      </c>
      <c r="B273">
        <v>2300</v>
      </c>
    </row>
    <row r="274" spans="1:2">
      <c r="A274" t="s">
        <v>272</v>
      </c>
      <c r="B274">
        <v>4699</v>
      </c>
    </row>
    <row r="275" spans="1:2">
      <c r="A275" t="s">
        <v>273</v>
      </c>
      <c r="B275">
        <v>2071</v>
      </c>
    </row>
    <row r="276" spans="1:2">
      <c r="A276" t="s">
        <v>274</v>
      </c>
      <c r="B276">
        <v>3636</v>
      </c>
    </row>
    <row r="277" spans="1:2">
      <c r="A277" t="s">
        <v>275</v>
      </c>
      <c r="B277">
        <v>4847</v>
      </c>
    </row>
    <row r="278" spans="1:2">
      <c r="A278" t="s">
        <v>276</v>
      </c>
      <c r="B278">
        <v>2654</v>
      </c>
    </row>
    <row r="279" spans="1:2">
      <c r="A279" t="s">
        <v>277</v>
      </c>
      <c r="B279">
        <v>3311</v>
      </c>
    </row>
    <row r="280" spans="1:2">
      <c r="A280" t="s">
        <v>278</v>
      </c>
      <c r="B280">
        <v>2576</v>
      </c>
    </row>
    <row r="281" spans="1:2">
      <c r="A281" t="s">
        <v>279</v>
      </c>
      <c r="B281">
        <v>6272</v>
      </c>
    </row>
    <row r="282" spans="1:2">
      <c r="A282" t="s">
        <v>280</v>
      </c>
      <c r="B282">
        <v>3000</v>
      </c>
    </row>
    <row r="283" spans="1:2">
      <c r="A283" t="s">
        <v>281</v>
      </c>
      <c r="B283">
        <v>3671</v>
      </c>
    </row>
    <row r="284" spans="1:2">
      <c r="A284" t="s">
        <v>282</v>
      </c>
      <c r="B284">
        <v>2300</v>
      </c>
    </row>
    <row r="285" spans="1:2">
      <c r="A285" t="s">
        <v>283</v>
      </c>
      <c r="B285">
        <v>3150</v>
      </c>
    </row>
    <row r="286" spans="1:2">
      <c r="A286" t="s">
        <v>284</v>
      </c>
      <c r="B286">
        <v>4600</v>
      </c>
    </row>
    <row r="287" spans="1:2">
      <c r="A287" t="s">
        <v>285</v>
      </c>
      <c r="B287">
        <v>3130</v>
      </c>
    </row>
    <row r="288" spans="1:2">
      <c r="A288" t="s">
        <v>286</v>
      </c>
      <c r="B288">
        <v>850</v>
      </c>
    </row>
    <row r="289" spans="1:2">
      <c r="A289" t="s">
        <v>287</v>
      </c>
      <c r="B289">
        <v>8145</v>
      </c>
    </row>
    <row r="290" spans="1:2">
      <c r="A290" t="s">
        <v>288</v>
      </c>
      <c r="B290">
        <v>3788</v>
      </c>
    </row>
    <row r="291" spans="1:2">
      <c r="A291" t="s">
        <v>289</v>
      </c>
      <c r="B291">
        <v>3688</v>
      </c>
    </row>
    <row r="292" spans="1:2">
      <c r="A292" t="s">
        <v>290</v>
      </c>
      <c r="B292">
        <v>3150</v>
      </c>
    </row>
    <row r="293" spans="1:2">
      <c r="A293" t="s">
        <v>291</v>
      </c>
      <c r="B293">
        <v>8229</v>
      </c>
    </row>
    <row r="294" spans="1:2">
      <c r="A294" t="s">
        <v>292</v>
      </c>
      <c r="B294">
        <v>4239</v>
      </c>
    </row>
    <row r="295" spans="1:2">
      <c r="A295" t="s">
        <v>293</v>
      </c>
      <c r="B295">
        <v>3360</v>
      </c>
    </row>
    <row r="296" spans="1:2">
      <c r="A296" t="s">
        <v>294</v>
      </c>
    </row>
    <row r="297" spans="1:2">
      <c r="A297" t="s">
        <v>295</v>
      </c>
    </row>
    <row r="298" spans="1:2">
      <c r="A298" t="s">
        <v>296</v>
      </c>
    </row>
    <row r="299" spans="1:2">
      <c r="A299" t="s">
        <v>297</v>
      </c>
      <c r="B299">
        <v>16098</v>
      </c>
    </row>
    <row r="300" spans="1:2">
      <c r="A300" t="s">
        <v>298</v>
      </c>
      <c r="B300">
        <v>2860</v>
      </c>
    </row>
    <row r="301" spans="1:2">
      <c r="A301" t="s">
        <v>299</v>
      </c>
      <c r="B301">
        <v>3788</v>
      </c>
    </row>
    <row r="302" spans="1:2">
      <c r="A302" t="s">
        <v>300</v>
      </c>
      <c r="B302">
        <v>1488</v>
      </c>
    </row>
    <row r="303" spans="1:2">
      <c r="A303" t="s">
        <v>301</v>
      </c>
      <c r="B303">
        <v>4000</v>
      </c>
    </row>
    <row r="304" spans="1:2">
      <c r="A304" t="s">
        <v>302</v>
      </c>
      <c r="B304">
        <v>400</v>
      </c>
    </row>
    <row r="305" spans="1:2">
      <c r="A305" t="s">
        <v>303</v>
      </c>
      <c r="B305">
        <v>8388</v>
      </c>
    </row>
    <row r="306" spans="1:2">
      <c r="A306" t="s">
        <v>304</v>
      </c>
      <c r="B306">
        <v>4481</v>
      </c>
    </row>
    <row r="307" spans="1:2">
      <c r="A307" t="s">
        <v>305</v>
      </c>
      <c r="B307">
        <v>79610</v>
      </c>
    </row>
    <row r="308" spans="1:2">
      <c r="A308" t="s">
        <v>306</v>
      </c>
      <c r="B308">
        <v>6599.28</v>
      </c>
    </row>
    <row r="309" spans="1:2">
      <c r="A309" t="s">
        <v>307</v>
      </c>
      <c r="B309">
        <v>4800</v>
      </c>
    </row>
    <row r="310" spans="1:2">
      <c r="A310" t="s">
        <v>308</v>
      </c>
      <c r="B310">
        <v>3245</v>
      </c>
    </row>
    <row r="311" spans="1:2">
      <c r="A311" t="s">
        <v>309</v>
      </c>
    </row>
    <row r="312" spans="1:2">
      <c r="A312" t="s">
        <v>310</v>
      </c>
      <c r="B312">
        <v>5904.6</v>
      </c>
    </row>
    <row r="313" spans="1:2">
      <c r="A313" t="s">
        <v>311</v>
      </c>
      <c r="B313">
        <v>32</v>
      </c>
    </row>
    <row r="314" spans="1:2">
      <c r="A314" t="s">
        <v>312</v>
      </c>
      <c r="B314">
        <v>2400</v>
      </c>
    </row>
    <row r="315" spans="1:2">
      <c r="A315" t="s">
        <v>313</v>
      </c>
      <c r="B315">
        <v>2778</v>
      </c>
    </row>
    <row r="316" spans="1:2">
      <c r="A316" t="s">
        <v>314</v>
      </c>
      <c r="B316">
        <v>5816</v>
      </c>
    </row>
    <row r="317" spans="1:2">
      <c r="A317" t="s">
        <v>315</v>
      </c>
      <c r="B317">
        <v>7020</v>
      </c>
    </row>
    <row r="318" spans="1:2">
      <c r="A318" t="s">
        <v>316</v>
      </c>
      <c r="B318">
        <v>9847.7</v>
      </c>
    </row>
    <row r="319" spans="1:2">
      <c r="A319" t="s">
        <v>317</v>
      </c>
    </row>
    <row r="320" spans="1:2">
      <c r="A320" t="s">
        <v>318</v>
      </c>
      <c r="B320">
        <v>11629.8</v>
      </c>
    </row>
    <row r="321" spans="1:2">
      <c r="A321" t="s">
        <v>319</v>
      </c>
      <c r="B321">
        <v>2462.2</v>
      </c>
    </row>
    <row r="322" spans="1:2">
      <c r="A322" t="s">
        <v>320</v>
      </c>
      <c r="B322">
        <v>3180</v>
      </c>
    </row>
    <row r="323" spans="1:2">
      <c r="A323" t="s">
        <v>321</v>
      </c>
      <c r="B323">
        <v>242</v>
      </c>
    </row>
    <row r="324" spans="1:2">
      <c r="A324" t="s">
        <v>322</v>
      </c>
      <c r="B324">
        <v>6917.96</v>
      </c>
    </row>
    <row r="325" spans="1:2">
      <c r="A325" t="s">
        <v>323</v>
      </c>
      <c r="B325">
        <v>1700</v>
      </c>
    </row>
    <row r="326" spans="1:2">
      <c r="A326" t="s">
        <v>324</v>
      </c>
      <c r="B326">
        <v>700</v>
      </c>
    </row>
    <row r="327" spans="1:2">
      <c r="A327" t="s">
        <v>325</v>
      </c>
      <c r="B327">
        <v>7438.76</v>
      </c>
    </row>
    <row r="328" spans="1:2">
      <c r="A328" t="s">
        <v>326</v>
      </c>
      <c r="B328">
        <v>1618</v>
      </c>
    </row>
    <row r="329" spans="1:2">
      <c r="A329" t="s">
        <v>327</v>
      </c>
      <c r="B329">
        <v>6000</v>
      </c>
    </row>
    <row r="330" spans="1:2">
      <c r="A330" t="s">
        <v>328</v>
      </c>
      <c r="B330">
        <v>295</v>
      </c>
    </row>
    <row r="331" spans="1:2">
      <c r="A331" t="s">
        <v>329</v>
      </c>
      <c r="B331">
        <v>295</v>
      </c>
    </row>
    <row r="332" spans="1:2">
      <c r="A332" t="s">
        <v>330</v>
      </c>
      <c r="B332">
        <v>6052.76</v>
      </c>
    </row>
    <row r="333" spans="1:2">
      <c r="A333" t="s">
        <v>331</v>
      </c>
      <c r="B333">
        <v>3291</v>
      </c>
    </row>
    <row r="334" spans="1:2">
      <c r="A334" t="s">
        <v>332</v>
      </c>
      <c r="B334">
        <v>1379</v>
      </c>
    </row>
    <row r="335" spans="1:2">
      <c r="A335" t="s">
        <v>333</v>
      </c>
      <c r="B335">
        <v>618</v>
      </c>
    </row>
    <row r="336" spans="1:2">
      <c r="A336" t="s">
        <v>334</v>
      </c>
      <c r="B336">
        <v>2850</v>
      </c>
    </row>
    <row r="337" spans="1:2">
      <c r="A337" t="s">
        <v>335</v>
      </c>
      <c r="B337">
        <v>2481.7</v>
      </c>
    </row>
    <row r="338" spans="1:2">
      <c r="A338" t="s">
        <v>336</v>
      </c>
      <c r="B338">
        <v>12768</v>
      </c>
    </row>
    <row r="339" spans="1:2">
      <c r="A339" t="s">
        <v>337</v>
      </c>
      <c r="B339">
        <v>5918</v>
      </c>
    </row>
    <row r="340" spans="1:2">
      <c r="A340" t="s">
        <v>338</v>
      </c>
    </row>
    <row r="341" spans="1:2">
      <c r="A341" t="s">
        <v>339</v>
      </c>
    </row>
    <row r="342" spans="1:2">
      <c r="A342" t="s">
        <v>340</v>
      </c>
    </row>
    <row r="343" spans="1:2">
      <c r="A343" t="s">
        <v>341</v>
      </c>
      <c r="B343">
        <v>37360.6</v>
      </c>
    </row>
    <row r="344" spans="1:2">
      <c r="A344" t="s">
        <v>342</v>
      </c>
      <c r="B344">
        <v>836</v>
      </c>
    </row>
    <row r="345" spans="1:2">
      <c r="A345" t="s">
        <v>343</v>
      </c>
      <c r="B345">
        <v>351</v>
      </c>
    </row>
    <row r="346" spans="1:2">
      <c r="A346" t="s">
        <v>344</v>
      </c>
      <c r="B346">
        <v>135</v>
      </c>
    </row>
    <row r="347" spans="1:2">
      <c r="A347" t="s">
        <v>345</v>
      </c>
    </row>
    <row r="348" spans="1:2">
      <c r="A348" t="s">
        <v>346</v>
      </c>
      <c r="B348">
        <v>6983</v>
      </c>
    </row>
    <row r="349" spans="1:2">
      <c r="A349" t="s">
        <v>347</v>
      </c>
      <c r="B349">
        <v>3209.2</v>
      </c>
    </row>
    <row r="350" spans="1:2">
      <c r="A350" t="s">
        <v>348</v>
      </c>
      <c r="B350">
        <v>23400</v>
      </c>
    </row>
    <row r="351" spans="1:2">
      <c r="A351" t="s">
        <v>349</v>
      </c>
    </row>
    <row r="352" spans="1:2">
      <c r="A352" t="s">
        <v>350</v>
      </c>
    </row>
    <row r="353" spans="1:2">
      <c r="A353" t="s">
        <v>351</v>
      </c>
    </row>
    <row r="354" spans="1:2">
      <c r="A354" t="s">
        <v>352</v>
      </c>
      <c r="B354">
        <v>11317.8</v>
      </c>
    </row>
    <row r="355" spans="1:2">
      <c r="A355" t="s">
        <v>353</v>
      </c>
      <c r="B355">
        <v>873</v>
      </c>
    </row>
    <row r="356" spans="1:2">
      <c r="A356" t="s">
        <v>354</v>
      </c>
    </row>
    <row r="357" spans="1:2">
      <c r="A357" t="s">
        <v>355</v>
      </c>
      <c r="B357">
        <v>4781.4</v>
      </c>
    </row>
    <row r="358" spans="1:2">
      <c r="A358" t="s">
        <v>356</v>
      </c>
      <c r="B358">
        <v>543</v>
      </c>
    </row>
    <row r="359" spans="1:2">
      <c r="A359" t="s">
        <v>357</v>
      </c>
      <c r="B359">
        <v>508</v>
      </c>
    </row>
    <row r="360" spans="1:2">
      <c r="A360" t="s">
        <v>358</v>
      </c>
      <c r="B360">
        <v>3848</v>
      </c>
    </row>
    <row r="361" spans="1:2">
      <c r="A361" t="s">
        <v>359</v>
      </c>
      <c r="B361">
        <v>1500</v>
      </c>
    </row>
    <row r="362" spans="1:2">
      <c r="A362" t="s">
        <v>360</v>
      </c>
      <c r="B362">
        <v>4238</v>
      </c>
    </row>
    <row r="363" spans="1:2">
      <c r="A363" t="s">
        <v>361</v>
      </c>
      <c r="B363">
        <v>1618</v>
      </c>
    </row>
    <row r="364" spans="1:2">
      <c r="A364" t="s">
        <v>362</v>
      </c>
      <c r="B364">
        <v>854</v>
      </c>
    </row>
    <row r="365" spans="1:2">
      <c r="A365" t="s">
        <v>363</v>
      </c>
      <c r="B365">
        <v>5919667.9</v>
      </c>
    </row>
    <row r="366" spans="1:2">
      <c r="A366" t="s">
        <v>364</v>
      </c>
      <c r="B366">
        <v>7375881.26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47"/>
  <sheetViews>
    <sheetView tabSelected="1" topLeftCell="A13" workbookViewId="0">
      <selection activeCell="J23" sqref="J23"/>
    </sheetView>
  </sheetViews>
  <sheetFormatPr defaultColWidth="8.72727272727273" defaultRowHeight="14" outlineLevelCol="6"/>
  <cols>
    <col min="1" max="1" width="45.5454545454545"/>
    <col min="2" max="2" width="18.1818181818182"/>
    <col min="3" max="3" width="11.7272727272727" style="6"/>
    <col min="4" max="4" width="10.5454545454545" style="6"/>
    <col min="5" max="5" width="11.7272727272727" style="6"/>
    <col min="6" max="6" width="10.5454545454545" style="6"/>
    <col min="7" max="7" width="8.72727272727273" style="6"/>
  </cols>
  <sheetData>
    <row r="3" spans="1:7">
      <c r="A3" t="s">
        <v>365</v>
      </c>
      <c r="B3" t="s">
        <v>1</v>
      </c>
      <c r="C3" s="6" t="s">
        <v>366</v>
      </c>
      <c r="D3" s="6" t="s">
        <v>367</v>
      </c>
      <c r="E3" s="6" t="s">
        <v>368</v>
      </c>
      <c r="F3" s="6" t="s">
        <v>369</v>
      </c>
    </row>
    <row r="4" spans="1:7">
      <c r="A4" t="s">
        <v>370</v>
      </c>
      <c r="B4">
        <v>3745</v>
      </c>
      <c r="C4" s="6">
        <v>3745</v>
      </c>
      <c r="D4" s="6">
        <f>VLOOKUP(A4,[1]Sheet2!$A:$B,2,0)</f>
        <v>1000</v>
      </c>
      <c r="E4" s="6">
        <f>C4-D4</f>
        <v>2745</v>
      </c>
      <c r="F4" s="6" t="e">
        <f>VLOOKUP(A4,[2]杭州!$C:$BJ,60,0)</f>
        <v>#N/A</v>
      </c>
    </row>
    <row r="5" s="5" customFormat="1" spans="1:7">
      <c r="A5" s="5" t="s">
        <v>371</v>
      </c>
      <c r="B5" s="5">
        <v>109222</v>
      </c>
      <c r="C5" s="7">
        <v>109222</v>
      </c>
      <c r="D5" s="7">
        <f>VLOOKUP(A5,[1]Sheet2!$A:$B,2,0)</f>
        <v>23893</v>
      </c>
      <c r="E5" s="7">
        <f t="shared" ref="E5:E45" si="0">C5-D5</f>
        <v>85329</v>
      </c>
      <c r="F5" s="6">
        <f>VLOOKUP(A5,[2]杭州!$C:$BJ,60,0)</f>
        <v>85329</v>
      </c>
      <c r="G5" s="7"/>
    </row>
    <row r="6" spans="1:7">
      <c r="A6" t="s">
        <v>372</v>
      </c>
      <c r="B6">
        <v>8388</v>
      </c>
      <c r="C6" s="6">
        <v>8388</v>
      </c>
      <c r="D6" s="6">
        <f>VLOOKUP(A6,[1]Sheet2!$A:$B,2,0)</f>
        <v>8388</v>
      </c>
      <c r="E6" s="6">
        <f t="shared" si="0"/>
        <v>0</v>
      </c>
      <c r="F6" s="6" t="e">
        <f>VLOOKUP(A6,[2]杭州!$C:$BJ,60,0)</f>
        <v>#N/A</v>
      </c>
    </row>
    <row r="7" spans="1:7">
      <c r="A7" t="s">
        <v>373</v>
      </c>
      <c r="B7">
        <v>15739.2</v>
      </c>
      <c r="C7" s="6">
        <v>15739.2</v>
      </c>
      <c r="E7" s="6">
        <f t="shared" si="0"/>
        <v>15739.2</v>
      </c>
      <c r="F7" s="6" t="e">
        <f>VLOOKUP(A7,[2]杭州!$C:$BJ,60,0)</f>
        <v>#N/A</v>
      </c>
    </row>
    <row r="8" spans="1:7">
      <c r="A8" t="s">
        <v>374</v>
      </c>
      <c r="B8">
        <v>36202</v>
      </c>
      <c r="C8" s="6">
        <v>36202</v>
      </c>
      <c r="E8" s="6">
        <f t="shared" si="0"/>
        <v>36202</v>
      </c>
      <c r="F8" s="6">
        <f>VLOOKUP(A8,[2]杭州!$C:$BJ,60,0)</f>
        <v>36202</v>
      </c>
    </row>
    <row r="9" s="5" customFormat="1" spans="1:7">
      <c r="A9" s="5" t="s">
        <v>375</v>
      </c>
      <c r="B9" s="5">
        <v>326584</v>
      </c>
      <c r="C9" s="7">
        <v>326584</v>
      </c>
      <c r="D9" s="7">
        <f>VLOOKUP(A9,[1]Sheet2!$A:$B,2,0)</f>
        <v>59722</v>
      </c>
      <c r="E9" s="7">
        <f t="shared" si="0"/>
        <v>266862</v>
      </c>
      <c r="F9" s="6">
        <f>VLOOKUP(A9,[2]杭州!$C:$BJ,60,0)</f>
        <v>266862</v>
      </c>
      <c r="G9" s="7"/>
    </row>
    <row r="10" s="5" customFormat="1" spans="1:7">
      <c r="A10" s="5" t="s">
        <v>376</v>
      </c>
      <c r="B10" s="5">
        <v>65384</v>
      </c>
      <c r="C10" s="7">
        <v>65384</v>
      </c>
      <c r="D10" s="7"/>
      <c r="E10" s="7">
        <f t="shared" si="0"/>
        <v>65384</v>
      </c>
      <c r="F10" s="6">
        <f>VLOOKUP(A10,[2]杭州!$C:$BJ,60,0)</f>
        <v>65384</v>
      </c>
      <c r="G10" s="7"/>
    </row>
    <row r="11" s="5" customFormat="1" spans="1:7">
      <c r="A11" s="5" t="s">
        <v>377</v>
      </c>
      <c r="B11" s="5">
        <v>358655.6</v>
      </c>
      <c r="C11" s="7">
        <v>358655.6</v>
      </c>
      <c r="D11" s="7">
        <f>VLOOKUP(A11,[1]Sheet2!$A:$B,2,0)</f>
        <v>58364.85</v>
      </c>
      <c r="E11" s="7">
        <f t="shared" si="0"/>
        <v>300290.75</v>
      </c>
      <c r="F11" s="6">
        <f>VLOOKUP(A11,[2]杭州!$C:$BJ,60,0)</f>
        <v>300290.75</v>
      </c>
      <c r="G11" s="7"/>
    </row>
    <row r="12" spans="1:7">
      <c r="A12" t="s">
        <v>378</v>
      </c>
      <c r="B12">
        <v>34000</v>
      </c>
      <c r="C12" s="6">
        <v>34000</v>
      </c>
      <c r="E12" s="6">
        <f t="shared" si="0"/>
        <v>34000</v>
      </c>
      <c r="F12" s="6">
        <f>VLOOKUP(A12,[2]杭州!$C:$BJ,60,0)</f>
        <v>34000</v>
      </c>
    </row>
    <row r="13" spans="1:7">
      <c r="A13" t="s">
        <v>379</v>
      </c>
      <c r="B13">
        <v>1397.6</v>
      </c>
      <c r="C13" s="6">
        <v>1397.6</v>
      </c>
      <c r="E13" s="6">
        <f t="shared" si="0"/>
        <v>1397.6</v>
      </c>
      <c r="F13" s="6">
        <f>VLOOKUP(A13,[2]杭州!$C:$BJ,60,0)</f>
        <v>1397.6</v>
      </c>
    </row>
    <row r="14" spans="1:7">
      <c r="A14" t="s">
        <v>380</v>
      </c>
      <c r="B14">
        <v>344535.76</v>
      </c>
      <c r="C14" s="6">
        <v>344535.76</v>
      </c>
      <c r="D14" s="6">
        <f>VLOOKUP(A14,[1]Sheet2!$A:$B,2,0)</f>
        <v>4400</v>
      </c>
      <c r="E14" s="6">
        <f t="shared" si="0"/>
        <v>340135.76</v>
      </c>
      <c r="F14" s="6">
        <f>VLOOKUP(A14,[2]杭州!$C:$BJ,60,0)</f>
        <v>330288.06</v>
      </c>
    </row>
    <row r="15" spans="1:7">
      <c r="A15" t="s">
        <v>381</v>
      </c>
      <c r="B15">
        <v>40000</v>
      </c>
      <c r="C15" s="6">
        <v>40000</v>
      </c>
      <c r="E15" s="6">
        <f t="shared" si="0"/>
        <v>40000</v>
      </c>
      <c r="F15" s="6">
        <f>VLOOKUP(A15,[2]杭州!$C:$BJ,60,0)</f>
        <v>40000</v>
      </c>
    </row>
    <row r="16" s="5" customFormat="1" spans="1:7">
      <c r="A16" s="5" t="s">
        <v>382</v>
      </c>
      <c r="B16" s="5">
        <v>55272</v>
      </c>
      <c r="C16" s="7">
        <v>55272</v>
      </c>
      <c r="D16" s="7">
        <f>VLOOKUP(A16,[1]Sheet2!$A:$B,2,0)</f>
        <v>5988</v>
      </c>
      <c r="E16" s="7">
        <f t="shared" si="0"/>
        <v>49284</v>
      </c>
      <c r="F16" s="6">
        <f>VLOOKUP(A16,[2]杭州!$C:$BJ,60,0)</f>
        <v>49284</v>
      </c>
      <c r="G16" s="7"/>
    </row>
    <row r="17" spans="1:7">
      <c r="A17" t="s">
        <v>383</v>
      </c>
      <c r="B17">
        <v>9108.1</v>
      </c>
      <c r="C17" s="6">
        <v>9108.1</v>
      </c>
      <c r="E17" s="6">
        <f t="shared" si="0"/>
        <v>9108.1</v>
      </c>
      <c r="F17" s="6" t="e">
        <f>VLOOKUP(A17,[2]杭州!$C:$BJ,60,0)</f>
        <v>#N/A</v>
      </c>
    </row>
    <row r="18" spans="1:7">
      <c r="A18" t="s">
        <v>384</v>
      </c>
      <c r="B18">
        <v>100000</v>
      </c>
      <c r="C18" s="6">
        <v>100000</v>
      </c>
      <c r="E18" s="6">
        <f t="shared" si="0"/>
        <v>100000</v>
      </c>
      <c r="F18" s="6">
        <f>VLOOKUP(A18,[2]杭州!$C:$BJ,60,0)</f>
        <v>100000</v>
      </c>
    </row>
    <row r="19" spans="1:7">
      <c r="A19" t="s">
        <v>385</v>
      </c>
      <c r="B19">
        <v>42126.63</v>
      </c>
      <c r="C19" s="6">
        <v>42126.63</v>
      </c>
      <c r="E19" s="6">
        <f t="shared" si="0"/>
        <v>42126.63</v>
      </c>
      <c r="F19" s="6">
        <f>VLOOKUP(A19,[2]杭州!$C:$BJ,60,0)</f>
        <v>17360</v>
      </c>
    </row>
    <row r="20" spans="1:7">
      <c r="A20" t="s">
        <v>386</v>
      </c>
      <c r="B20">
        <v>125003.28</v>
      </c>
      <c r="C20" s="6">
        <v>125003.28</v>
      </c>
      <c r="E20" s="6">
        <f t="shared" si="0"/>
        <v>125003.28</v>
      </c>
      <c r="F20" s="6">
        <f>VLOOKUP(A20,[2]杭州!$C:$BJ,60,0)</f>
        <v>113351.28</v>
      </c>
    </row>
    <row r="21" spans="1:7">
      <c r="A21" t="s">
        <v>387</v>
      </c>
      <c r="B21">
        <v>30887.28</v>
      </c>
      <c r="C21" s="6">
        <v>30887.28</v>
      </c>
      <c r="E21" s="6">
        <f t="shared" si="0"/>
        <v>30887.28</v>
      </c>
      <c r="F21" s="6">
        <f>VLOOKUP(A21,[2]杭州!$C:$BJ,60,0)</f>
        <v>0</v>
      </c>
    </row>
    <row r="22" spans="1:7">
      <c r="A22" t="s">
        <v>388</v>
      </c>
      <c r="B22">
        <v>4590</v>
      </c>
      <c r="C22" s="6">
        <v>4590</v>
      </c>
      <c r="E22" s="6">
        <f t="shared" si="0"/>
        <v>4590</v>
      </c>
      <c r="F22" s="6">
        <f>VLOOKUP(A22,[2]杭州!$C:$BJ,60,0)</f>
        <v>4590</v>
      </c>
    </row>
    <row r="23" spans="1:7">
      <c r="A23" t="s">
        <v>389</v>
      </c>
      <c r="B23">
        <v>21969</v>
      </c>
      <c r="C23" s="6">
        <v>21969</v>
      </c>
      <c r="E23" s="6">
        <f t="shared" si="0"/>
        <v>21969</v>
      </c>
      <c r="F23" s="6" t="e">
        <f>VLOOKUP(A23,[2]杭州!$C:$BJ,60,0)</f>
        <v>#N/A</v>
      </c>
    </row>
    <row r="24" spans="1:7">
      <c r="A24" t="s">
        <v>390</v>
      </c>
      <c r="B24">
        <v>150000</v>
      </c>
      <c r="C24" s="6">
        <v>150000</v>
      </c>
      <c r="E24" s="6">
        <f t="shared" si="0"/>
        <v>150000</v>
      </c>
      <c r="F24" s="6" t="e">
        <f>VLOOKUP(A24,[2]杭州!$C:$BJ,60,0)</f>
        <v>#N/A</v>
      </c>
    </row>
    <row r="25" spans="1:7">
      <c r="A25" t="s">
        <v>391</v>
      </c>
      <c r="B25">
        <v>24339</v>
      </c>
      <c r="C25" s="6">
        <v>24339</v>
      </c>
      <c r="E25" s="6">
        <f t="shared" si="0"/>
        <v>24339</v>
      </c>
      <c r="F25" s="6" t="e">
        <f>VLOOKUP(A25,[2]杭州!$C:$BJ,60,0)</f>
        <v>#N/A</v>
      </c>
    </row>
    <row r="26" spans="1:7">
      <c r="A26" t="s">
        <v>392</v>
      </c>
      <c r="B26">
        <v>36276.48</v>
      </c>
      <c r="C26" s="6">
        <v>36276.48</v>
      </c>
      <c r="E26" s="6">
        <f t="shared" si="0"/>
        <v>36276.48</v>
      </c>
      <c r="F26" s="6" t="e">
        <f>VLOOKUP(A26,[2]杭州!$C:$BJ,60,0)</f>
        <v>#N/A</v>
      </c>
    </row>
    <row r="27" s="5" customFormat="1" spans="1:7">
      <c r="A27" s="5" t="s">
        <v>393</v>
      </c>
      <c r="B27" s="5">
        <v>68993</v>
      </c>
      <c r="C27" s="7">
        <v>68993</v>
      </c>
      <c r="D27" s="7">
        <f>VLOOKUP(A27,[1]Sheet2!$A:$B,2,0)</f>
        <v>11868</v>
      </c>
      <c r="E27" s="7">
        <f t="shared" si="0"/>
        <v>57125</v>
      </c>
      <c r="F27" s="6" t="e">
        <f>VLOOKUP(A27,[2]杭州!$C:$BJ,60,0)</f>
        <v>#N/A</v>
      </c>
      <c r="G27" s="7"/>
    </row>
    <row r="28" spans="1:7">
      <c r="A28" t="s">
        <v>394</v>
      </c>
      <c r="B28">
        <v>136.9</v>
      </c>
      <c r="C28" s="6">
        <v>136.9</v>
      </c>
      <c r="E28" s="6">
        <f t="shared" si="0"/>
        <v>136.9</v>
      </c>
      <c r="F28" s="6" t="e">
        <f>VLOOKUP(A28,[2]杭州!$C:$BJ,60,0)</f>
        <v>#N/A</v>
      </c>
    </row>
    <row r="29" spans="1:7">
      <c r="A29" t="s">
        <v>395</v>
      </c>
      <c r="B29">
        <v>71511.68</v>
      </c>
      <c r="C29" s="6">
        <v>71511.68</v>
      </c>
      <c r="E29" s="6">
        <f t="shared" si="0"/>
        <v>71511.68</v>
      </c>
      <c r="F29" s="6" t="e">
        <f>VLOOKUP(A29,[2]杭州!$C:$BJ,60,0)</f>
        <v>#N/A</v>
      </c>
    </row>
    <row r="30" spans="1:7">
      <c r="A30" t="s">
        <v>396</v>
      </c>
      <c r="B30">
        <v>25150</v>
      </c>
      <c r="C30" s="6">
        <v>25150</v>
      </c>
      <c r="E30" s="6">
        <f t="shared" si="0"/>
        <v>25150</v>
      </c>
      <c r="F30" s="6" t="e">
        <f>VLOOKUP(A30,[2]杭州!$C:$BJ,60,0)</f>
        <v>#N/A</v>
      </c>
    </row>
    <row r="31" spans="1:7">
      <c r="A31" t="s">
        <v>397</v>
      </c>
      <c r="B31">
        <v>19913</v>
      </c>
      <c r="C31" s="6">
        <v>19913</v>
      </c>
      <c r="E31" s="6">
        <f t="shared" si="0"/>
        <v>19913</v>
      </c>
      <c r="F31" s="6" t="e">
        <f>VLOOKUP(A31,[2]杭州!$C:$BJ,60,0)</f>
        <v>#N/A</v>
      </c>
    </row>
    <row r="32" spans="1:7">
      <c r="A32" t="s">
        <v>398</v>
      </c>
      <c r="B32">
        <v>10970</v>
      </c>
      <c r="C32" s="6">
        <v>10970</v>
      </c>
      <c r="E32" s="6">
        <f t="shared" si="0"/>
        <v>10970</v>
      </c>
      <c r="F32" s="6" t="e">
        <f>VLOOKUP(A32,[2]杭州!$C:$BJ,60,0)</f>
        <v>#N/A</v>
      </c>
    </row>
    <row r="33" spans="1:7">
      <c r="A33" t="s">
        <v>399</v>
      </c>
      <c r="B33">
        <v>9287</v>
      </c>
      <c r="C33" s="6">
        <v>9287</v>
      </c>
      <c r="E33" s="6">
        <f t="shared" si="0"/>
        <v>9287</v>
      </c>
      <c r="F33" s="6" t="e">
        <f>VLOOKUP(A33,[2]杭州!$C:$BJ,60,0)</f>
        <v>#N/A</v>
      </c>
    </row>
    <row r="34" spans="1:7">
      <c r="A34" t="s">
        <v>400</v>
      </c>
      <c r="B34">
        <v>11543.15</v>
      </c>
      <c r="C34" s="6">
        <v>11543.15</v>
      </c>
      <c r="E34" s="6">
        <f t="shared" si="0"/>
        <v>11543.15</v>
      </c>
      <c r="F34" s="6" t="e">
        <f>VLOOKUP(A34,[2]杭州!$C:$BJ,60,0)</f>
        <v>#N/A</v>
      </c>
    </row>
    <row r="35" spans="1:7">
      <c r="A35" t="s">
        <v>401</v>
      </c>
      <c r="B35">
        <v>100000</v>
      </c>
      <c r="C35" s="6">
        <v>100000</v>
      </c>
      <c r="E35" s="6">
        <f t="shared" si="0"/>
        <v>100000</v>
      </c>
      <c r="F35" s="6">
        <f>VLOOKUP(A35,[2]杭州!$C:$BJ,60,0)</f>
        <v>100000</v>
      </c>
    </row>
    <row r="36" spans="1:7">
      <c r="A36" t="s">
        <v>402</v>
      </c>
      <c r="B36">
        <v>66047.06</v>
      </c>
      <c r="C36" s="6">
        <v>66047.06</v>
      </c>
      <c r="E36" s="6">
        <f t="shared" si="0"/>
        <v>66047.06</v>
      </c>
      <c r="F36" s="6" t="e">
        <f>VLOOKUP(A36,[2]杭州!$C:$BJ,60,0)</f>
        <v>#N/A</v>
      </c>
    </row>
    <row r="37" spans="1:7">
      <c r="A37" t="s">
        <v>403</v>
      </c>
      <c r="B37">
        <v>0.01</v>
      </c>
      <c r="C37" s="6">
        <v>0.01</v>
      </c>
      <c r="E37" s="6">
        <f t="shared" si="0"/>
        <v>0.01</v>
      </c>
      <c r="F37" s="6" t="e">
        <f>VLOOKUP(A37,[2]杭州!$C:$BJ,60,0)</f>
        <v>#N/A</v>
      </c>
    </row>
    <row r="38" s="5" customFormat="1" spans="1:7">
      <c r="A38" s="5" t="s">
        <v>404</v>
      </c>
      <c r="B38" s="5">
        <v>153067</v>
      </c>
      <c r="C38" s="7">
        <v>153067</v>
      </c>
      <c r="D38" s="7">
        <f>VLOOKUP(A38,[1]Sheet2!$A:$B,2,0)</f>
        <v>29639</v>
      </c>
      <c r="E38" s="7">
        <f t="shared" si="0"/>
        <v>123428</v>
      </c>
      <c r="F38" s="6">
        <f>VLOOKUP(A38,[2]杭州!$C:$BJ,60,0)</f>
        <v>126173</v>
      </c>
      <c r="G38" s="7"/>
    </row>
    <row r="39" spans="1:7">
      <c r="A39" t="s">
        <v>405</v>
      </c>
      <c r="B39">
        <v>300000</v>
      </c>
      <c r="C39" s="6">
        <v>300000</v>
      </c>
      <c r="E39" s="6">
        <f t="shared" si="0"/>
        <v>300000</v>
      </c>
      <c r="F39" s="6" t="e">
        <f>VLOOKUP(A39,[2]杭州!$C:$BJ,60,0)</f>
        <v>#N/A</v>
      </c>
    </row>
    <row r="40" spans="1:7">
      <c r="A40" t="s">
        <v>406</v>
      </c>
      <c r="B40">
        <v>224728.9</v>
      </c>
      <c r="C40" s="6">
        <v>224728.9</v>
      </c>
      <c r="E40" s="6">
        <f t="shared" si="0"/>
        <v>224728.9</v>
      </c>
      <c r="F40" s="6">
        <f>VLOOKUP(A40,[2]杭州!$C:$BJ,60,0)</f>
        <v>224728.9</v>
      </c>
    </row>
    <row r="41" spans="1:7">
      <c r="A41" t="s">
        <v>407</v>
      </c>
      <c r="B41">
        <v>8362</v>
      </c>
      <c r="C41" s="6">
        <v>8362</v>
      </c>
      <c r="E41" s="6">
        <f t="shared" si="0"/>
        <v>8362</v>
      </c>
      <c r="F41" s="6" t="e">
        <f>VLOOKUP(A41,[2]杭州!$C:$BJ,60,0)</f>
        <v>#N/A</v>
      </c>
    </row>
    <row r="42" spans="1:7">
      <c r="A42" t="s">
        <v>408</v>
      </c>
      <c r="B42">
        <v>7490</v>
      </c>
      <c r="C42" s="6">
        <v>7490</v>
      </c>
      <c r="E42" s="6">
        <f t="shared" si="0"/>
        <v>7490</v>
      </c>
      <c r="F42" s="6" t="e">
        <f>VLOOKUP(A42,[2]杭州!$C:$BJ,60,0)</f>
        <v>#N/A</v>
      </c>
    </row>
    <row r="43" spans="1:7">
      <c r="A43" t="s">
        <v>409</v>
      </c>
      <c r="B43">
        <v>46864</v>
      </c>
      <c r="C43" s="6">
        <v>46864</v>
      </c>
      <c r="E43" s="6">
        <f t="shared" si="0"/>
        <v>46864</v>
      </c>
      <c r="F43" s="6">
        <f>VLOOKUP(A43,[2]杭州!$C:$BJ,60,0)</f>
        <v>46864</v>
      </c>
    </row>
    <row r="44" spans="1:7">
      <c r="A44" t="s">
        <v>410</v>
      </c>
      <c r="B44">
        <v>73131</v>
      </c>
      <c r="C44" s="6">
        <v>73131</v>
      </c>
      <c r="E44" s="6">
        <f t="shared" si="0"/>
        <v>73131</v>
      </c>
      <c r="F44" s="6" t="e">
        <f>VLOOKUP(A44,[2]杭州!$C:$BJ,60,0)</f>
        <v>#N/A</v>
      </c>
    </row>
    <row r="45" spans="1:7">
      <c r="A45" t="s">
        <v>411</v>
      </c>
      <c r="B45">
        <v>547321</v>
      </c>
      <c r="C45" s="6">
        <v>547321</v>
      </c>
      <c r="D45" s="6">
        <f>VLOOKUP(A45,[1]Sheet2!$A:$B,2,0)</f>
        <v>14976</v>
      </c>
      <c r="E45" s="6">
        <f t="shared" si="0"/>
        <v>532345</v>
      </c>
      <c r="F45" s="6" t="e">
        <f>VLOOKUP(A45,[2]杭州!$C:$BJ,60,0)</f>
        <v>#N/A</v>
      </c>
    </row>
    <row r="46" spans="1:7">
      <c r="A46" t="s">
        <v>363</v>
      </c>
      <c r="B46">
        <v>3687940.63</v>
      </c>
    </row>
    <row r="47" spans="1:7">
      <c r="A47" t="s">
        <v>364</v>
      </c>
      <c r="B47">
        <v>7375881.26</v>
      </c>
      <c r="C47" s="6">
        <f>SUM(C4:C46)</f>
        <v>3687940.63</v>
      </c>
      <c r="D47" s="6">
        <f>SUM(D4:D46)</f>
        <v>218238.85</v>
      </c>
      <c r="E47" s="6">
        <f>SUM(E4:E46)</f>
        <v>3469701.78</v>
      </c>
    </row>
  </sheetData>
  <autoFilter xmlns:etc="http://www.wps.cn/officeDocument/2017/etCustomData" ref="C3:F45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730"/>
  <sheetViews>
    <sheetView workbookViewId="0">
      <selection activeCell="A1" sqref="$A1:$XFD1048576"/>
    </sheetView>
  </sheetViews>
  <sheetFormatPr defaultColWidth="9" defaultRowHeight="14"/>
  <cols>
    <col min="1" max="122" width="19.0636363636364" customWidth="1"/>
  </cols>
  <sheetData>
    <row r="1" ht="15" customHeight="1" spans="1:122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418</v>
      </c>
      <c r="H1" t="s">
        <v>419</v>
      </c>
      <c r="I1" t="s">
        <v>420</v>
      </c>
      <c r="J1" t="s">
        <v>421</v>
      </c>
      <c r="K1" t="s">
        <v>422</v>
      </c>
      <c r="L1" t="s">
        <v>423</v>
      </c>
      <c r="M1" t="s">
        <v>365</v>
      </c>
      <c r="N1" t="s">
        <v>424</v>
      </c>
      <c r="O1" t="s">
        <v>425</v>
      </c>
      <c r="P1" t="s">
        <v>426</v>
      </c>
      <c r="Q1" t="s">
        <v>427</v>
      </c>
      <c r="R1" t="s">
        <v>428</v>
      </c>
      <c r="S1" t="s">
        <v>429</v>
      </c>
      <c r="T1" t="s">
        <v>430</v>
      </c>
      <c r="U1" t="s">
        <v>431</v>
      </c>
      <c r="V1" t="s">
        <v>432</v>
      </c>
      <c r="W1" t="s">
        <v>433</v>
      </c>
      <c r="X1" t="s">
        <v>434</v>
      </c>
      <c r="Y1" t="s">
        <v>435</v>
      </c>
      <c r="Z1" t="s">
        <v>436</v>
      </c>
      <c r="AA1" t="s">
        <v>437</v>
      </c>
      <c r="AB1" t="s">
        <v>438</v>
      </c>
      <c r="AC1" t="s">
        <v>439</v>
      </c>
      <c r="AD1" t="s">
        <v>440</v>
      </c>
      <c r="AE1" t="s">
        <v>441</v>
      </c>
      <c r="AF1" t="s">
        <v>442</v>
      </c>
      <c r="AG1" t="s">
        <v>443</v>
      </c>
      <c r="AH1" t="s">
        <v>444</v>
      </c>
      <c r="AI1" t="s">
        <v>445</v>
      </c>
      <c r="AJ1" t="s">
        <v>446</v>
      </c>
      <c r="AK1" t="s">
        <v>447</v>
      </c>
      <c r="AL1" t="s">
        <v>448</v>
      </c>
      <c r="AM1" t="s">
        <v>449</v>
      </c>
      <c r="AN1" t="s">
        <v>450</v>
      </c>
      <c r="AO1" t="s">
        <v>451</v>
      </c>
      <c r="AP1" t="s">
        <v>452</v>
      </c>
      <c r="AQ1" t="s">
        <v>453</v>
      </c>
      <c r="AR1" t="s">
        <v>454</v>
      </c>
      <c r="AS1" t="s">
        <v>455</v>
      </c>
      <c r="AT1" t="s">
        <v>456</v>
      </c>
      <c r="AU1" t="s">
        <v>457</v>
      </c>
      <c r="AV1" t="s">
        <v>458</v>
      </c>
      <c r="AW1" t="s">
        <v>459</v>
      </c>
      <c r="AX1" t="s">
        <v>460</v>
      </c>
      <c r="AY1" t="s">
        <v>461</v>
      </c>
      <c r="AZ1" t="s">
        <v>462</v>
      </c>
      <c r="BA1" t="s">
        <v>463</v>
      </c>
      <c r="BB1" t="s">
        <v>464</v>
      </c>
      <c r="BC1" t="s">
        <v>465</v>
      </c>
      <c r="BD1" t="s">
        <v>466</v>
      </c>
      <c r="BE1" t="s">
        <v>467</v>
      </c>
      <c r="BF1" t="s">
        <v>468</v>
      </c>
      <c r="BG1" t="s">
        <v>469</v>
      </c>
      <c r="BH1" t="s">
        <v>470</v>
      </c>
      <c r="BI1" t="s">
        <v>471</v>
      </c>
      <c r="BJ1" t="s">
        <v>472</v>
      </c>
      <c r="BK1" t="s">
        <v>473</v>
      </c>
      <c r="BL1" t="s">
        <v>474</v>
      </c>
      <c r="BM1" t="s">
        <v>475</v>
      </c>
      <c r="BN1" t="s">
        <v>476</v>
      </c>
      <c r="BO1" t="s">
        <v>477</v>
      </c>
      <c r="BP1" t="s">
        <v>478</v>
      </c>
      <c r="BQ1" t="s">
        <v>479</v>
      </c>
      <c r="BR1" t="s">
        <v>480</v>
      </c>
      <c r="BS1" t="s">
        <v>426</v>
      </c>
      <c r="BT1" t="s">
        <v>481</v>
      </c>
      <c r="BU1" t="s">
        <v>482</v>
      </c>
      <c r="BV1" t="s">
        <v>483</v>
      </c>
      <c r="BW1" t="s">
        <v>484</v>
      </c>
      <c r="BX1" t="s">
        <v>485</v>
      </c>
      <c r="BY1" t="s">
        <v>486</v>
      </c>
      <c r="BZ1" t="s">
        <v>487</v>
      </c>
      <c r="CA1" t="s">
        <v>488</v>
      </c>
      <c r="CB1" t="s">
        <v>489</v>
      </c>
      <c r="CC1" t="s">
        <v>490</v>
      </c>
      <c r="CD1" t="s">
        <v>491</v>
      </c>
      <c r="CE1" t="s">
        <v>492</v>
      </c>
      <c r="CF1" t="s">
        <v>0</v>
      </c>
      <c r="CG1" t="s">
        <v>493</v>
      </c>
      <c r="CH1" t="s">
        <v>494</v>
      </c>
      <c r="CI1" t="s">
        <v>495</v>
      </c>
      <c r="CJ1" t="s">
        <v>496</v>
      </c>
      <c r="CK1" t="s">
        <v>464</v>
      </c>
      <c r="CL1" t="s">
        <v>497</v>
      </c>
      <c r="CM1" t="s">
        <v>498</v>
      </c>
      <c r="CN1" t="s">
        <v>499</v>
      </c>
      <c r="CO1" t="s">
        <v>500</v>
      </c>
      <c r="CP1" t="s">
        <v>501</v>
      </c>
      <c r="CQ1" t="s">
        <v>502</v>
      </c>
      <c r="CR1" t="s">
        <v>503</v>
      </c>
      <c r="CS1" t="s">
        <v>504</v>
      </c>
      <c r="CT1" t="s">
        <v>505</v>
      </c>
      <c r="CU1" t="s">
        <v>506</v>
      </c>
      <c r="CV1" t="s">
        <v>507</v>
      </c>
      <c r="CW1" t="s">
        <v>508</v>
      </c>
      <c r="CX1" t="s">
        <v>509</v>
      </c>
      <c r="CY1" t="s">
        <v>510</v>
      </c>
      <c r="CZ1" t="s">
        <v>511</v>
      </c>
      <c r="DA1" t="s">
        <v>512</v>
      </c>
      <c r="DB1" t="s">
        <v>513</v>
      </c>
      <c r="DC1" t="s">
        <v>514</v>
      </c>
      <c r="DD1" t="s">
        <v>515</v>
      </c>
      <c r="DE1" t="s">
        <v>516</v>
      </c>
      <c r="DF1" t="s">
        <v>517</v>
      </c>
      <c r="DG1" t="s">
        <v>518</v>
      </c>
      <c r="DH1" t="s">
        <v>519</v>
      </c>
      <c r="DI1" t="s">
        <v>520</v>
      </c>
      <c r="DJ1" t="s">
        <v>521</v>
      </c>
      <c r="DK1" t="s">
        <v>522</v>
      </c>
      <c r="DL1" t="s">
        <v>523</v>
      </c>
      <c r="DM1" t="s">
        <v>524</v>
      </c>
      <c r="DN1" t="s">
        <v>525</v>
      </c>
      <c r="DO1" t="s">
        <v>526</v>
      </c>
      <c r="DP1" t="s">
        <v>527</v>
      </c>
      <c r="DQ1" t="s">
        <v>528</v>
      </c>
      <c r="DR1" t="s">
        <v>529</v>
      </c>
    </row>
    <row r="2" ht="15" customHeight="1" spans="1:122">
      <c r="A2" t="s">
        <v>530</v>
      </c>
      <c r="B2" t="s">
        <v>531</v>
      </c>
      <c r="C2" t="s">
        <v>532</v>
      </c>
      <c r="D2" t="s">
        <v>533</v>
      </c>
      <c r="E2" t="s">
        <v>534</v>
      </c>
      <c r="F2" t="s">
        <v>534</v>
      </c>
      <c r="G2" t="s">
        <v>535</v>
      </c>
      <c r="H2" s="1">
        <v>2855.15</v>
      </c>
      <c r="I2" s="1">
        <v>2838.02</v>
      </c>
      <c r="J2" t="s">
        <v>536</v>
      </c>
      <c r="L2" t="s">
        <v>536</v>
      </c>
      <c r="M2" t="s">
        <v>377</v>
      </c>
      <c r="N2" t="s">
        <v>537</v>
      </c>
      <c r="P2" s="1">
        <v>2855.15</v>
      </c>
      <c r="Q2" t="s">
        <v>538</v>
      </c>
      <c r="R2" t="s">
        <v>535</v>
      </c>
      <c r="S2" t="s">
        <v>539</v>
      </c>
      <c r="T2" s="2">
        <v>1</v>
      </c>
      <c r="U2" s="1">
        <v>2855.15</v>
      </c>
      <c r="V2" s="1">
        <v>2838.02</v>
      </c>
      <c r="X2" t="s">
        <v>540</v>
      </c>
      <c r="Z2" t="s">
        <v>541</v>
      </c>
      <c r="AA2" t="s">
        <v>542</v>
      </c>
      <c r="AB2" t="s">
        <v>543</v>
      </c>
      <c r="AC2" t="s">
        <v>544</v>
      </c>
      <c r="AD2" t="s">
        <v>545</v>
      </c>
      <c r="AE2" s="3">
        <v>1</v>
      </c>
      <c r="AF2" t="s">
        <v>21</v>
      </c>
      <c r="AG2" s="1">
        <v>2855.15</v>
      </c>
      <c r="AI2" s="1">
        <v>2855.15</v>
      </c>
      <c r="AJ2" s="1">
        <v>2855.15</v>
      </c>
      <c r="AK2" s="1">
        <v>17.13</v>
      </c>
      <c r="AM2" s="1">
        <v>2838.02</v>
      </c>
      <c r="AN2" t="s">
        <v>536</v>
      </c>
      <c r="AO2" t="s">
        <v>546</v>
      </c>
      <c r="AP2" t="s">
        <v>547</v>
      </c>
      <c r="AQ2" t="s">
        <v>548</v>
      </c>
      <c r="AS2" t="s">
        <v>377</v>
      </c>
      <c r="AX2" s="1">
        <v>2855.15</v>
      </c>
      <c r="AY2" t="s">
        <v>546</v>
      </c>
      <c r="AZ2" t="s">
        <v>549</v>
      </c>
      <c r="BA2" s="1">
        <v>2855.15</v>
      </c>
      <c r="BC2" t="s">
        <v>546</v>
      </c>
      <c r="BD2" s="1">
        <v>2855.15</v>
      </c>
      <c r="BE2" t="s">
        <v>540</v>
      </c>
      <c r="BF2" s="1">
        <v>2855.15</v>
      </c>
      <c r="BG2" s="1">
        <v>17.13</v>
      </c>
      <c r="BH2" s="1">
        <v>2838.02</v>
      </c>
      <c r="BI2" t="s">
        <v>550</v>
      </c>
      <c r="BJ2" t="s">
        <v>551</v>
      </c>
      <c r="BK2" t="s">
        <v>552</v>
      </c>
      <c r="BL2" t="s">
        <v>552</v>
      </c>
      <c r="BM2" t="s">
        <v>553</v>
      </c>
      <c r="BN2" t="s">
        <v>554</v>
      </c>
      <c r="BO2" t="s">
        <v>555</v>
      </c>
      <c r="BR2" t="s">
        <v>546</v>
      </c>
      <c r="BS2" s="1">
        <v>2855.15</v>
      </c>
      <c r="BW2" t="s">
        <v>536</v>
      </c>
      <c r="BX2" s="1">
        <v>2855.15</v>
      </c>
      <c r="BZ2" t="s">
        <v>535</v>
      </c>
      <c r="CA2" t="s">
        <v>546</v>
      </c>
      <c r="CB2" t="s">
        <v>533</v>
      </c>
      <c r="CC2" t="s">
        <v>556</v>
      </c>
      <c r="CD2" t="s">
        <v>557</v>
      </c>
      <c r="CE2" t="s">
        <v>558</v>
      </c>
      <c r="CF2" t="s">
        <v>21</v>
      </c>
      <c r="CG2" s="4">
        <v>1</v>
      </c>
      <c r="CH2" t="s">
        <v>546</v>
      </c>
      <c r="CK2" t="s">
        <v>559</v>
      </c>
      <c r="CL2" s="1">
        <v>2855.15</v>
      </c>
      <c r="CN2" t="s">
        <v>535</v>
      </c>
      <c r="CO2" t="s">
        <v>539</v>
      </c>
      <c r="CT2" t="s">
        <v>560</v>
      </c>
      <c r="CW2" t="s">
        <v>546</v>
      </c>
      <c r="DD2" t="s">
        <v>561</v>
      </c>
      <c r="DK2" t="s">
        <v>562</v>
      </c>
      <c r="DL2" t="s">
        <v>563</v>
      </c>
    </row>
    <row r="3" ht="15" customHeight="1" spans="1:122">
      <c r="A3" t="s">
        <v>530</v>
      </c>
      <c r="B3" t="s">
        <v>564</v>
      </c>
      <c r="C3" t="s">
        <v>532</v>
      </c>
      <c r="D3" t="s">
        <v>533</v>
      </c>
      <c r="E3" t="s">
        <v>534</v>
      </c>
      <c r="F3" t="s">
        <v>534</v>
      </c>
      <c r="G3" t="s">
        <v>535</v>
      </c>
      <c r="H3" s="1">
        <v>503.85</v>
      </c>
      <c r="I3" s="1">
        <v>503.85</v>
      </c>
      <c r="J3" t="s">
        <v>536</v>
      </c>
      <c r="L3" t="s">
        <v>536</v>
      </c>
      <c r="M3" t="s">
        <v>377</v>
      </c>
      <c r="N3" t="s">
        <v>537</v>
      </c>
      <c r="P3" s="1">
        <v>503.85</v>
      </c>
      <c r="Q3" t="s">
        <v>538</v>
      </c>
      <c r="R3" t="s">
        <v>535</v>
      </c>
      <c r="S3" t="s">
        <v>539</v>
      </c>
      <c r="T3" s="2">
        <v>1</v>
      </c>
      <c r="U3" s="1">
        <v>503.85</v>
      </c>
      <c r="V3" s="1">
        <v>503.85</v>
      </c>
      <c r="X3" t="s">
        <v>540</v>
      </c>
      <c r="Z3" t="s">
        <v>541</v>
      </c>
      <c r="AA3" t="s">
        <v>542</v>
      </c>
      <c r="AB3" t="s">
        <v>543</v>
      </c>
      <c r="AC3" t="s">
        <v>544</v>
      </c>
      <c r="AD3" t="s">
        <v>545</v>
      </c>
      <c r="AE3" s="3">
        <v>1</v>
      </c>
      <c r="AF3" t="s">
        <v>21</v>
      </c>
      <c r="AG3" s="1">
        <v>503.85</v>
      </c>
      <c r="AI3" s="1">
        <v>503.85</v>
      </c>
      <c r="AJ3" s="1">
        <v>503.85</v>
      </c>
      <c r="AM3" s="1">
        <v>503.85</v>
      </c>
      <c r="AN3" t="s">
        <v>565</v>
      </c>
      <c r="AO3" t="s">
        <v>546</v>
      </c>
      <c r="AP3" t="s">
        <v>565</v>
      </c>
      <c r="AQ3" t="s">
        <v>548</v>
      </c>
      <c r="AS3" t="s">
        <v>377</v>
      </c>
      <c r="AX3" s="1">
        <v>503.85</v>
      </c>
      <c r="AY3" t="s">
        <v>546</v>
      </c>
      <c r="AZ3" t="s">
        <v>566</v>
      </c>
      <c r="BA3" s="1">
        <v>503.85</v>
      </c>
      <c r="BC3" t="s">
        <v>546</v>
      </c>
      <c r="BD3" s="1">
        <v>503.85</v>
      </c>
      <c r="BE3" t="s">
        <v>540</v>
      </c>
      <c r="BF3" s="1">
        <v>503.85</v>
      </c>
      <c r="BH3" s="1">
        <v>503.85</v>
      </c>
      <c r="BI3" t="s">
        <v>550</v>
      </c>
      <c r="BJ3" t="s">
        <v>551</v>
      </c>
      <c r="BK3" t="s">
        <v>551</v>
      </c>
      <c r="BL3" t="s">
        <v>552</v>
      </c>
      <c r="BM3" t="s">
        <v>553</v>
      </c>
      <c r="BN3" t="s">
        <v>567</v>
      </c>
      <c r="BO3" t="s">
        <v>568</v>
      </c>
      <c r="BR3" t="s">
        <v>546</v>
      </c>
      <c r="BS3" s="1">
        <v>503.85</v>
      </c>
      <c r="BW3" t="s">
        <v>536</v>
      </c>
      <c r="BX3" s="1">
        <v>503.85</v>
      </c>
      <c r="BZ3" t="s">
        <v>535</v>
      </c>
      <c r="CA3" t="s">
        <v>546</v>
      </c>
      <c r="CB3" t="s">
        <v>533</v>
      </c>
      <c r="CC3" t="s">
        <v>556</v>
      </c>
      <c r="CD3" t="s">
        <v>557</v>
      </c>
      <c r="CE3" t="s">
        <v>558</v>
      </c>
      <c r="CF3" t="s">
        <v>21</v>
      </c>
      <c r="CG3" s="4">
        <v>1</v>
      </c>
      <c r="CH3" t="s">
        <v>546</v>
      </c>
      <c r="CK3" t="s">
        <v>559</v>
      </c>
      <c r="CL3" s="1">
        <v>503.85</v>
      </c>
      <c r="CN3" t="s">
        <v>535</v>
      </c>
      <c r="CO3" t="s">
        <v>539</v>
      </c>
      <c r="CT3" t="s">
        <v>560</v>
      </c>
      <c r="CW3" t="s">
        <v>546</v>
      </c>
      <c r="DD3" t="s">
        <v>561</v>
      </c>
      <c r="DK3" t="s">
        <v>562</v>
      </c>
      <c r="DL3" t="s">
        <v>563</v>
      </c>
    </row>
    <row r="4" ht="15" customHeight="1" spans="1:122">
      <c r="A4" t="s">
        <v>530</v>
      </c>
      <c r="B4" t="s">
        <v>569</v>
      </c>
      <c r="C4" t="s">
        <v>532</v>
      </c>
      <c r="D4" t="s">
        <v>533</v>
      </c>
      <c r="E4" t="s">
        <v>534</v>
      </c>
      <c r="F4" t="s">
        <v>534</v>
      </c>
      <c r="G4" t="s">
        <v>535</v>
      </c>
      <c r="H4" s="1">
        <v>2623.2</v>
      </c>
      <c r="I4" s="1">
        <v>2607.46</v>
      </c>
      <c r="J4" t="s">
        <v>536</v>
      </c>
      <c r="L4" t="s">
        <v>536</v>
      </c>
      <c r="M4" t="s">
        <v>375</v>
      </c>
      <c r="N4" t="s">
        <v>537</v>
      </c>
      <c r="P4" s="1">
        <v>2623.2</v>
      </c>
      <c r="R4" t="s">
        <v>535</v>
      </c>
      <c r="S4" t="s">
        <v>539</v>
      </c>
      <c r="T4" s="2">
        <v>1</v>
      </c>
      <c r="U4" s="1">
        <v>2623.2</v>
      </c>
      <c r="V4" s="1">
        <v>2607.46</v>
      </c>
      <c r="X4" t="s">
        <v>540</v>
      </c>
      <c r="Z4" t="s">
        <v>541</v>
      </c>
      <c r="AA4" t="s">
        <v>542</v>
      </c>
      <c r="AB4" t="s">
        <v>543</v>
      </c>
      <c r="AC4" t="s">
        <v>544</v>
      </c>
      <c r="AD4" t="s">
        <v>545</v>
      </c>
      <c r="AE4" s="3">
        <v>1</v>
      </c>
      <c r="AF4" t="s">
        <v>25</v>
      </c>
      <c r="AG4" s="1">
        <v>2623.2</v>
      </c>
      <c r="AI4" s="1">
        <v>2623.2</v>
      </c>
      <c r="AJ4" s="1">
        <v>2623.2</v>
      </c>
      <c r="AK4" s="1">
        <v>15.74</v>
      </c>
      <c r="AM4" s="1">
        <v>2607.46</v>
      </c>
      <c r="AN4" t="s">
        <v>536</v>
      </c>
      <c r="AO4" t="s">
        <v>546</v>
      </c>
      <c r="AP4" t="s">
        <v>547</v>
      </c>
      <c r="AQ4" t="s">
        <v>548</v>
      </c>
      <c r="AS4" t="s">
        <v>375</v>
      </c>
      <c r="AX4" s="1">
        <v>2623.2</v>
      </c>
      <c r="AY4" t="s">
        <v>546</v>
      </c>
      <c r="AZ4" t="s">
        <v>549</v>
      </c>
      <c r="BA4" s="1">
        <v>2623.2</v>
      </c>
      <c r="BC4" t="s">
        <v>546</v>
      </c>
      <c r="BD4" s="1">
        <v>2623.2</v>
      </c>
      <c r="BE4" t="s">
        <v>540</v>
      </c>
      <c r="BF4" s="1">
        <v>2623.2</v>
      </c>
      <c r="BG4" s="1">
        <v>15.74</v>
      </c>
      <c r="BH4" s="1">
        <v>2607.46</v>
      </c>
      <c r="BI4" t="s">
        <v>550</v>
      </c>
      <c r="BJ4" t="s">
        <v>570</v>
      </c>
      <c r="BK4" t="s">
        <v>552</v>
      </c>
      <c r="BL4" t="s">
        <v>552</v>
      </c>
      <c r="BM4" t="s">
        <v>553</v>
      </c>
      <c r="BN4" t="s">
        <v>571</v>
      </c>
      <c r="BO4" t="s">
        <v>572</v>
      </c>
      <c r="BR4" t="s">
        <v>546</v>
      </c>
      <c r="BS4" s="1">
        <v>2623.2</v>
      </c>
      <c r="BW4" t="s">
        <v>536</v>
      </c>
      <c r="BX4" s="1">
        <v>2623.2</v>
      </c>
      <c r="BZ4" t="s">
        <v>535</v>
      </c>
      <c r="CA4" t="s">
        <v>546</v>
      </c>
      <c r="CB4" t="s">
        <v>533</v>
      </c>
      <c r="CC4" t="s">
        <v>556</v>
      </c>
      <c r="CD4" t="s">
        <v>573</v>
      </c>
      <c r="CE4" t="s">
        <v>574</v>
      </c>
      <c r="CF4" t="s">
        <v>25</v>
      </c>
      <c r="CG4" s="4">
        <v>1</v>
      </c>
      <c r="CH4" t="s">
        <v>546</v>
      </c>
      <c r="CK4" t="s">
        <v>575</v>
      </c>
      <c r="CL4" s="1">
        <v>2623.2</v>
      </c>
      <c r="CN4" t="s">
        <v>535</v>
      </c>
      <c r="CO4" t="s">
        <v>539</v>
      </c>
      <c r="CT4" t="s">
        <v>576</v>
      </c>
      <c r="CW4" t="s">
        <v>546</v>
      </c>
      <c r="DD4" t="s">
        <v>561</v>
      </c>
      <c r="DK4" t="s">
        <v>577</v>
      </c>
      <c r="DL4" t="s">
        <v>578</v>
      </c>
    </row>
    <row r="5" ht="15" customHeight="1" spans="1:122">
      <c r="A5" t="s">
        <v>530</v>
      </c>
      <c r="B5" t="s">
        <v>579</v>
      </c>
      <c r="C5" t="s">
        <v>532</v>
      </c>
      <c r="D5" t="s">
        <v>533</v>
      </c>
      <c r="E5" t="s">
        <v>534</v>
      </c>
      <c r="F5" t="s">
        <v>534</v>
      </c>
      <c r="G5" t="s">
        <v>535</v>
      </c>
      <c r="H5" s="1">
        <v>655.8</v>
      </c>
      <c r="I5" s="1">
        <v>655.8</v>
      </c>
      <c r="J5" t="s">
        <v>536</v>
      </c>
      <c r="L5" t="s">
        <v>536</v>
      </c>
      <c r="M5" t="s">
        <v>375</v>
      </c>
      <c r="N5" t="s">
        <v>537</v>
      </c>
      <c r="P5" s="1">
        <v>655.8</v>
      </c>
      <c r="Q5" t="s">
        <v>580</v>
      </c>
      <c r="R5" t="s">
        <v>535</v>
      </c>
      <c r="S5" t="s">
        <v>539</v>
      </c>
      <c r="T5" s="2">
        <v>1</v>
      </c>
      <c r="U5" s="1">
        <v>655.8</v>
      </c>
      <c r="V5" s="1">
        <v>655.8</v>
      </c>
      <c r="X5" t="s">
        <v>540</v>
      </c>
      <c r="Z5" t="s">
        <v>541</v>
      </c>
      <c r="AA5" t="s">
        <v>542</v>
      </c>
      <c r="AB5" t="s">
        <v>543</v>
      </c>
      <c r="AC5" t="s">
        <v>544</v>
      </c>
      <c r="AD5" t="s">
        <v>545</v>
      </c>
      <c r="AE5" s="3">
        <v>1</v>
      </c>
      <c r="AF5" t="s">
        <v>25</v>
      </c>
      <c r="AG5" s="1">
        <v>655.8</v>
      </c>
      <c r="AI5" s="1">
        <v>655.8</v>
      </c>
      <c r="AJ5" s="1">
        <v>655.8</v>
      </c>
      <c r="AM5" s="1">
        <v>655.8</v>
      </c>
      <c r="AN5" t="s">
        <v>565</v>
      </c>
      <c r="AO5" t="s">
        <v>546</v>
      </c>
      <c r="AP5" t="s">
        <v>565</v>
      </c>
      <c r="AQ5" t="s">
        <v>548</v>
      </c>
      <c r="AS5" t="s">
        <v>375</v>
      </c>
      <c r="AX5" s="1">
        <v>655.8</v>
      </c>
      <c r="AY5" t="s">
        <v>546</v>
      </c>
      <c r="AZ5" t="s">
        <v>566</v>
      </c>
      <c r="BA5" s="1">
        <v>655.8</v>
      </c>
      <c r="BC5" t="s">
        <v>546</v>
      </c>
      <c r="BD5" s="1">
        <v>655.8</v>
      </c>
      <c r="BE5" t="s">
        <v>540</v>
      </c>
      <c r="BF5" s="1">
        <v>655.8</v>
      </c>
      <c r="BH5" s="1">
        <v>655.8</v>
      </c>
      <c r="BI5" t="s">
        <v>550</v>
      </c>
      <c r="BJ5" t="s">
        <v>570</v>
      </c>
      <c r="BK5" t="s">
        <v>570</v>
      </c>
      <c r="BL5" t="s">
        <v>552</v>
      </c>
      <c r="BM5" t="s">
        <v>553</v>
      </c>
      <c r="BN5" t="s">
        <v>581</v>
      </c>
      <c r="BO5" t="s">
        <v>582</v>
      </c>
      <c r="BR5" t="s">
        <v>546</v>
      </c>
      <c r="BS5" s="1">
        <v>655.8</v>
      </c>
      <c r="BW5" t="s">
        <v>536</v>
      </c>
      <c r="BX5" s="1">
        <v>655.8</v>
      </c>
      <c r="BZ5" t="s">
        <v>535</v>
      </c>
      <c r="CA5" t="s">
        <v>546</v>
      </c>
      <c r="CB5" t="s">
        <v>533</v>
      </c>
      <c r="CC5" t="s">
        <v>556</v>
      </c>
      <c r="CD5" t="s">
        <v>573</v>
      </c>
      <c r="CE5" t="s">
        <v>574</v>
      </c>
      <c r="CF5" t="s">
        <v>25</v>
      </c>
      <c r="CG5" s="4">
        <v>1</v>
      </c>
      <c r="CH5" t="s">
        <v>546</v>
      </c>
      <c r="CK5" t="s">
        <v>575</v>
      </c>
      <c r="CL5" s="1">
        <v>655.8</v>
      </c>
      <c r="CN5" t="s">
        <v>535</v>
      </c>
      <c r="CO5" t="s">
        <v>539</v>
      </c>
      <c r="CT5" t="s">
        <v>576</v>
      </c>
      <c r="CW5" t="s">
        <v>546</v>
      </c>
      <c r="DD5" t="s">
        <v>561</v>
      </c>
      <c r="DK5" t="s">
        <v>577</v>
      </c>
      <c r="DL5" t="s">
        <v>578</v>
      </c>
    </row>
    <row r="6" ht="15" customHeight="1" spans="1:122">
      <c r="A6" t="s">
        <v>530</v>
      </c>
      <c r="B6" t="s">
        <v>583</v>
      </c>
      <c r="C6" t="s">
        <v>532</v>
      </c>
      <c r="D6" t="s">
        <v>533</v>
      </c>
      <c r="E6" t="s">
        <v>534</v>
      </c>
      <c r="F6" t="s">
        <v>534</v>
      </c>
      <c r="G6" t="s">
        <v>535</v>
      </c>
      <c r="H6" s="1">
        <v>4799.2</v>
      </c>
      <c r="I6" s="1">
        <v>4770.4</v>
      </c>
      <c r="J6" t="s">
        <v>536</v>
      </c>
      <c r="L6" t="s">
        <v>536</v>
      </c>
      <c r="M6" t="s">
        <v>375</v>
      </c>
      <c r="N6" t="s">
        <v>537</v>
      </c>
      <c r="P6" s="1">
        <v>4799.2</v>
      </c>
      <c r="Q6" t="s">
        <v>580</v>
      </c>
      <c r="R6" t="s">
        <v>535</v>
      </c>
      <c r="S6" t="s">
        <v>539</v>
      </c>
      <c r="T6" s="2">
        <v>1</v>
      </c>
      <c r="U6" s="1">
        <v>4799.2</v>
      </c>
      <c r="V6" s="1">
        <v>4770.4</v>
      </c>
      <c r="X6" t="s">
        <v>540</v>
      </c>
      <c r="Z6" t="s">
        <v>541</v>
      </c>
      <c r="AA6" t="s">
        <v>542</v>
      </c>
      <c r="AB6" t="s">
        <v>543</v>
      </c>
      <c r="AC6" t="s">
        <v>544</v>
      </c>
      <c r="AD6" t="s">
        <v>545</v>
      </c>
      <c r="AE6" s="3">
        <v>1</v>
      </c>
      <c r="AF6" t="s">
        <v>24</v>
      </c>
      <c r="AG6" s="1">
        <v>4799.2</v>
      </c>
      <c r="AI6" s="1">
        <v>4799.2</v>
      </c>
      <c r="AJ6" s="1">
        <v>4799.2</v>
      </c>
      <c r="AK6" s="1">
        <v>28.8</v>
      </c>
      <c r="AM6" s="1">
        <v>4770.4</v>
      </c>
      <c r="AN6" t="s">
        <v>536</v>
      </c>
      <c r="AO6" t="s">
        <v>546</v>
      </c>
      <c r="AP6" t="s">
        <v>547</v>
      </c>
      <c r="AQ6" t="s">
        <v>548</v>
      </c>
      <c r="AS6" t="s">
        <v>375</v>
      </c>
      <c r="AX6" s="1">
        <v>4799.2</v>
      </c>
      <c r="AY6" t="s">
        <v>546</v>
      </c>
      <c r="AZ6" t="s">
        <v>549</v>
      </c>
      <c r="BA6" s="1">
        <v>4799.2</v>
      </c>
      <c r="BC6" t="s">
        <v>546</v>
      </c>
      <c r="BD6" s="1">
        <v>4799.2</v>
      </c>
      <c r="BE6" t="s">
        <v>540</v>
      </c>
      <c r="BF6" s="1">
        <v>4799.2</v>
      </c>
      <c r="BG6" s="1">
        <v>28.8</v>
      </c>
      <c r="BH6" s="1">
        <v>4770.4</v>
      </c>
      <c r="BI6" t="s">
        <v>550</v>
      </c>
      <c r="BJ6" t="s">
        <v>570</v>
      </c>
      <c r="BK6" t="s">
        <v>552</v>
      </c>
      <c r="BL6" t="s">
        <v>552</v>
      </c>
      <c r="BM6" t="s">
        <v>553</v>
      </c>
      <c r="BN6" t="s">
        <v>584</v>
      </c>
      <c r="BO6" t="s">
        <v>585</v>
      </c>
      <c r="BR6" t="s">
        <v>546</v>
      </c>
      <c r="BS6" s="1">
        <v>4799.2</v>
      </c>
      <c r="BW6" t="s">
        <v>536</v>
      </c>
      <c r="BX6" s="1">
        <v>4799.2</v>
      </c>
      <c r="BZ6" t="s">
        <v>535</v>
      </c>
      <c r="CA6" t="s">
        <v>546</v>
      </c>
      <c r="CB6" t="s">
        <v>533</v>
      </c>
      <c r="CC6" t="s">
        <v>556</v>
      </c>
      <c r="CD6" t="s">
        <v>586</v>
      </c>
      <c r="CE6" t="s">
        <v>587</v>
      </c>
      <c r="CF6" t="s">
        <v>24</v>
      </c>
      <c r="CG6" s="4">
        <v>1</v>
      </c>
      <c r="CH6" t="s">
        <v>546</v>
      </c>
      <c r="CK6" t="s">
        <v>588</v>
      </c>
      <c r="CL6" s="1">
        <v>4799.2</v>
      </c>
      <c r="CN6" t="s">
        <v>535</v>
      </c>
      <c r="CO6" t="s">
        <v>539</v>
      </c>
      <c r="CT6" t="s">
        <v>576</v>
      </c>
      <c r="CW6" t="s">
        <v>546</v>
      </c>
      <c r="DD6" t="s">
        <v>561</v>
      </c>
      <c r="DK6" t="s">
        <v>589</v>
      </c>
      <c r="DL6" t="s">
        <v>590</v>
      </c>
    </row>
    <row r="7" ht="15" customHeight="1" spans="1:122">
      <c r="A7" t="s">
        <v>530</v>
      </c>
      <c r="B7" t="s">
        <v>591</v>
      </c>
      <c r="C7" t="s">
        <v>532</v>
      </c>
      <c r="D7" t="s">
        <v>533</v>
      </c>
      <c r="E7" t="s">
        <v>534</v>
      </c>
      <c r="F7" t="s">
        <v>534</v>
      </c>
      <c r="G7" t="s">
        <v>535</v>
      </c>
      <c r="H7" s="1">
        <v>1199.8</v>
      </c>
      <c r="I7" s="1">
        <v>1199.8</v>
      </c>
      <c r="J7" t="s">
        <v>536</v>
      </c>
      <c r="L7" t="s">
        <v>536</v>
      </c>
      <c r="M7" t="s">
        <v>375</v>
      </c>
      <c r="N7" t="s">
        <v>537</v>
      </c>
      <c r="P7" s="1">
        <v>1199.8</v>
      </c>
      <c r="Q7" t="s">
        <v>580</v>
      </c>
      <c r="R7" t="s">
        <v>535</v>
      </c>
      <c r="S7" t="s">
        <v>539</v>
      </c>
      <c r="T7" s="2">
        <v>1</v>
      </c>
      <c r="U7" s="1">
        <v>1199.8</v>
      </c>
      <c r="V7" s="1">
        <v>1199.8</v>
      </c>
      <c r="X7" t="s">
        <v>540</v>
      </c>
      <c r="Z7" t="s">
        <v>541</v>
      </c>
      <c r="AA7" t="s">
        <v>542</v>
      </c>
      <c r="AB7" t="s">
        <v>543</v>
      </c>
      <c r="AC7" t="s">
        <v>544</v>
      </c>
      <c r="AD7" t="s">
        <v>545</v>
      </c>
      <c r="AE7" s="3">
        <v>1</v>
      </c>
      <c r="AF7" t="s">
        <v>24</v>
      </c>
      <c r="AG7" s="1">
        <v>1199.8</v>
      </c>
      <c r="AI7" s="1">
        <v>1199.8</v>
      </c>
      <c r="AJ7" s="1">
        <v>1199.8</v>
      </c>
      <c r="AM7" s="1">
        <v>1199.8</v>
      </c>
      <c r="AN7" t="s">
        <v>565</v>
      </c>
      <c r="AO7" t="s">
        <v>546</v>
      </c>
      <c r="AP7" t="s">
        <v>565</v>
      </c>
      <c r="AQ7" t="s">
        <v>548</v>
      </c>
      <c r="AS7" t="s">
        <v>375</v>
      </c>
      <c r="AX7" s="1">
        <v>1199.8</v>
      </c>
      <c r="AY7" t="s">
        <v>546</v>
      </c>
      <c r="AZ7" t="s">
        <v>566</v>
      </c>
      <c r="BA7" s="1">
        <v>1199.8</v>
      </c>
      <c r="BC7" t="s">
        <v>546</v>
      </c>
      <c r="BD7" s="1">
        <v>1199.8</v>
      </c>
      <c r="BE7" t="s">
        <v>540</v>
      </c>
      <c r="BF7" s="1">
        <v>1199.8</v>
      </c>
      <c r="BH7" s="1">
        <v>1199.8</v>
      </c>
      <c r="BI7" t="s">
        <v>550</v>
      </c>
      <c r="BJ7" t="s">
        <v>570</v>
      </c>
      <c r="BK7" t="s">
        <v>570</v>
      </c>
      <c r="BL7" t="s">
        <v>552</v>
      </c>
      <c r="BM7" t="s">
        <v>553</v>
      </c>
      <c r="BN7" t="s">
        <v>592</v>
      </c>
      <c r="BO7" t="s">
        <v>593</v>
      </c>
      <c r="BR7" t="s">
        <v>546</v>
      </c>
      <c r="BS7" s="1">
        <v>1199.8</v>
      </c>
      <c r="BW7" t="s">
        <v>536</v>
      </c>
      <c r="BX7" s="1">
        <v>1199.8</v>
      </c>
      <c r="BZ7" t="s">
        <v>535</v>
      </c>
      <c r="CA7" t="s">
        <v>546</v>
      </c>
      <c r="CB7" t="s">
        <v>533</v>
      </c>
      <c r="CC7" t="s">
        <v>556</v>
      </c>
      <c r="CD7" t="s">
        <v>586</v>
      </c>
      <c r="CE7" t="s">
        <v>587</v>
      </c>
      <c r="CF7" t="s">
        <v>24</v>
      </c>
      <c r="CG7" s="4">
        <v>1</v>
      </c>
      <c r="CH7" t="s">
        <v>546</v>
      </c>
      <c r="CK7" t="s">
        <v>588</v>
      </c>
      <c r="CL7" s="1">
        <v>1199.8</v>
      </c>
      <c r="CN7" t="s">
        <v>535</v>
      </c>
      <c r="CO7" t="s">
        <v>539</v>
      </c>
      <c r="CT7" t="s">
        <v>576</v>
      </c>
      <c r="CW7" t="s">
        <v>546</v>
      </c>
      <c r="DD7" t="s">
        <v>561</v>
      </c>
      <c r="DK7" t="s">
        <v>589</v>
      </c>
      <c r="DL7" t="s">
        <v>590</v>
      </c>
    </row>
    <row r="8" ht="15" customHeight="1" spans="1:122">
      <c r="A8" t="s">
        <v>530</v>
      </c>
      <c r="B8" t="s">
        <v>594</v>
      </c>
      <c r="C8" t="s">
        <v>532</v>
      </c>
      <c r="D8" t="s">
        <v>533</v>
      </c>
      <c r="E8" t="s">
        <v>534</v>
      </c>
      <c r="F8" t="s">
        <v>534</v>
      </c>
      <c r="G8" t="s">
        <v>535</v>
      </c>
      <c r="H8" s="1">
        <v>2855.15</v>
      </c>
      <c r="I8" s="1">
        <v>2838.02</v>
      </c>
      <c r="J8" t="s">
        <v>536</v>
      </c>
      <c r="L8" t="s">
        <v>536</v>
      </c>
      <c r="M8" t="s">
        <v>377</v>
      </c>
      <c r="N8" t="s">
        <v>537</v>
      </c>
      <c r="P8" s="1">
        <v>2855.15</v>
      </c>
      <c r="Q8" t="s">
        <v>538</v>
      </c>
      <c r="R8" t="s">
        <v>535</v>
      </c>
      <c r="S8" t="s">
        <v>539</v>
      </c>
      <c r="T8" s="2">
        <v>1</v>
      </c>
      <c r="U8" s="1">
        <v>2855.15</v>
      </c>
      <c r="V8" s="1">
        <v>2838.02</v>
      </c>
      <c r="X8" t="s">
        <v>540</v>
      </c>
      <c r="Z8" t="s">
        <v>541</v>
      </c>
      <c r="AA8" t="s">
        <v>542</v>
      </c>
      <c r="AB8" t="s">
        <v>543</v>
      </c>
      <c r="AC8" t="s">
        <v>544</v>
      </c>
      <c r="AD8" t="s">
        <v>545</v>
      </c>
      <c r="AE8" s="3">
        <v>1</v>
      </c>
      <c r="AF8" t="s">
        <v>26</v>
      </c>
      <c r="AG8" s="1">
        <v>2855.15</v>
      </c>
      <c r="AI8" s="1">
        <v>2855.15</v>
      </c>
      <c r="AJ8" s="1">
        <v>2855.15</v>
      </c>
      <c r="AK8" s="1">
        <v>17.13</v>
      </c>
      <c r="AM8" s="1">
        <v>2838.02</v>
      </c>
      <c r="AN8" t="s">
        <v>536</v>
      </c>
      <c r="AO8" t="s">
        <v>546</v>
      </c>
      <c r="AP8" t="s">
        <v>547</v>
      </c>
      <c r="AQ8" t="s">
        <v>548</v>
      </c>
      <c r="AS8" t="s">
        <v>377</v>
      </c>
      <c r="AX8" s="1">
        <v>2855.15</v>
      </c>
      <c r="AY8" t="s">
        <v>546</v>
      </c>
      <c r="AZ8" t="s">
        <v>549</v>
      </c>
      <c r="BA8" s="1">
        <v>2855.15</v>
      </c>
      <c r="BC8" t="s">
        <v>546</v>
      </c>
      <c r="BD8" s="1">
        <v>2855.15</v>
      </c>
      <c r="BE8" t="s">
        <v>540</v>
      </c>
      <c r="BF8" s="1">
        <v>2855.15</v>
      </c>
      <c r="BG8" s="1">
        <v>17.13</v>
      </c>
      <c r="BH8" s="1">
        <v>2838.02</v>
      </c>
      <c r="BI8" t="s">
        <v>550</v>
      </c>
      <c r="BJ8" t="s">
        <v>551</v>
      </c>
      <c r="BK8" t="s">
        <v>552</v>
      </c>
      <c r="BL8" t="s">
        <v>552</v>
      </c>
      <c r="BM8" t="s">
        <v>553</v>
      </c>
      <c r="BN8" t="s">
        <v>595</v>
      </c>
      <c r="BO8" t="s">
        <v>596</v>
      </c>
      <c r="BR8" t="s">
        <v>546</v>
      </c>
      <c r="BS8" s="1">
        <v>2855.15</v>
      </c>
      <c r="BW8" t="s">
        <v>536</v>
      </c>
      <c r="BX8" s="1">
        <v>2855.15</v>
      </c>
      <c r="BZ8" t="s">
        <v>535</v>
      </c>
      <c r="CA8" t="s">
        <v>546</v>
      </c>
      <c r="CB8" t="s">
        <v>533</v>
      </c>
      <c r="CC8" t="s">
        <v>556</v>
      </c>
      <c r="CD8" t="s">
        <v>557</v>
      </c>
      <c r="CE8" t="s">
        <v>558</v>
      </c>
      <c r="CF8" t="s">
        <v>26</v>
      </c>
      <c r="CG8" s="4">
        <v>1</v>
      </c>
      <c r="CH8" t="s">
        <v>546</v>
      </c>
      <c r="CK8" t="s">
        <v>597</v>
      </c>
      <c r="CL8" s="1">
        <v>2855.15</v>
      </c>
      <c r="CN8" t="s">
        <v>535</v>
      </c>
      <c r="CO8" t="s">
        <v>539</v>
      </c>
      <c r="CT8" t="s">
        <v>560</v>
      </c>
      <c r="CW8" t="s">
        <v>546</v>
      </c>
      <c r="DD8" t="s">
        <v>561</v>
      </c>
      <c r="DK8" t="s">
        <v>598</v>
      </c>
      <c r="DL8" t="s">
        <v>599</v>
      </c>
    </row>
    <row r="9" ht="15" customHeight="1" spans="1:122">
      <c r="A9" t="s">
        <v>530</v>
      </c>
      <c r="B9" t="s">
        <v>600</v>
      </c>
      <c r="C9" t="s">
        <v>532</v>
      </c>
      <c r="D9" t="s">
        <v>533</v>
      </c>
      <c r="E9" t="s">
        <v>534</v>
      </c>
      <c r="F9" t="s">
        <v>534</v>
      </c>
      <c r="G9" t="s">
        <v>535</v>
      </c>
      <c r="H9" s="1">
        <v>503.85</v>
      </c>
      <c r="I9" s="1">
        <v>503.85</v>
      </c>
      <c r="J9" t="s">
        <v>536</v>
      </c>
      <c r="L9" t="s">
        <v>536</v>
      </c>
      <c r="M9" t="s">
        <v>377</v>
      </c>
      <c r="N9" t="s">
        <v>537</v>
      </c>
      <c r="P9" s="1">
        <v>503.85</v>
      </c>
      <c r="Q9" t="s">
        <v>538</v>
      </c>
      <c r="R9" t="s">
        <v>535</v>
      </c>
      <c r="S9" t="s">
        <v>539</v>
      </c>
      <c r="T9" s="2">
        <v>1</v>
      </c>
      <c r="U9" s="1">
        <v>503.85</v>
      </c>
      <c r="V9" s="1">
        <v>503.85</v>
      </c>
      <c r="X9" t="s">
        <v>540</v>
      </c>
      <c r="Z9" t="s">
        <v>541</v>
      </c>
      <c r="AA9" t="s">
        <v>542</v>
      </c>
      <c r="AB9" t="s">
        <v>543</v>
      </c>
      <c r="AC9" t="s">
        <v>544</v>
      </c>
      <c r="AD9" t="s">
        <v>545</v>
      </c>
      <c r="AE9" s="3">
        <v>1</v>
      </c>
      <c r="AF9" t="s">
        <v>26</v>
      </c>
      <c r="AG9" s="1">
        <v>503.85</v>
      </c>
      <c r="AI9" s="1">
        <v>503.85</v>
      </c>
      <c r="AJ9" s="1">
        <v>503.85</v>
      </c>
      <c r="AM9" s="1">
        <v>503.85</v>
      </c>
      <c r="AN9" t="s">
        <v>565</v>
      </c>
      <c r="AO9" t="s">
        <v>546</v>
      </c>
      <c r="AP9" t="s">
        <v>565</v>
      </c>
      <c r="AQ9" t="s">
        <v>548</v>
      </c>
      <c r="AS9" t="s">
        <v>377</v>
      </c>
      <c r="AX9" s="1">
        <v>503.85</v>
      </c>
      <c r="AY9" t="s">
        <v>546</v>
      </c>
      <c r="AZ9" t="s">
        <v>566</v>
      </c>
      <c r="BA9" s="1">
        <v>503.85</v>
      </c>
      <c r="BC9" t="s">
        <v>546</v>
      </c>
      <c r="BD9" s="1">
        <v>503.85</v>
      </c>
      <c r="BE9" t="s">
        <v>540</v>
      </c>
      <c r="BF9" s="1">
        <v>503.85</v>
      </c>
      <c r="BH9" s="1">
        <v>503.85</v>
      </c>
      <c r="BI9" t="s">
        <v>550</v>
      </c>
      <c r="BJ9" t="s">
        <v>551</v>
      </c>
      <c r="BK9" t="s">
        <v>551</v>
      </c>
      <c r="BL9" t="s">
        <v>552</v>
      </c>
      <c r="BM9" t="s">
        <v>553</v>
      </c>
      <c r="BN9" t="s">
        <v>601</v>
      </c>
      <c r="BO9" t="s">
        <v>602</v>
      </c>
      <c r="BR9" t="s">
        <v>546</v>
      </c>
      <c r="BS9" s="1">
        <v>503.85</v>
      </c>
      <c r="BW9" t="s">
        <v>536</v>
      </c>
      <c r="BX9" s="1">
        <v>503.85</v>
      </c>
      <c r="BZ9" t="s">
        <v>535</v>
      </c>
      <c r="CA9" t="s">
        <v>546</v>
      </c>
      <c r="CB9" t="s">
        <v>533</v>
      </c>
      <c r="CC9" t="s">
        <v>556</v>
      </c>
      <c r="CD9" t="s">
        <v>557</v>
      </c>
      <c r="CE9" t="s">
        <v>558</v>
      </c>
      <c r="CF9" t="s">
        <v>26</v>
      </c>
      <c r="CG9" s="4">
        <v>1</v>
      </c>
      <c r="CH9" t="s">
        <v>546</v>
      </c>
      <c r="CK9" t="s">
        <v>597</v>
      </c>
      <c r="CL9" s="1">
        <v>503.85</v>
      </c>
      <c r="CN9" t="s">
        <v>535</v>
      </c>
      <c r="CO9" t="s">
        <v>539</v>
      </c>
      <c r="CT9" t="s">
        <v>560</v>
      </c>
      <c r="CW9" t="s">
        <v>546</v>
      </c>
      <c r="DD9" t="s">
        <v>561</v>
      </c>
      <c r="DK9" t="s">
        <v>598</v>
      </c>
      <c r="DL9" t="s">
        <v>599</v>
      </c>
    </row>
    <row r="10" ht="15" customHeight="1" spans="1:122">
      <c r="A10" t="s">
        <v>603</v>
      </c>
      <c r="B10" t="s">
        <v>604</v>
      </c>
      <c r="C10" t="s">
        <v>532</v>
      </c>
      <c r="D10" t="s">
        <v>605</v>
      </c>
      <c r="E10" t="s">
        <v>534</v>
      </c>
      <c r="F10" t="s">
        <v>534</v>
      </c>
      <c r="G10" t="s">
        <v>535</v>
      </c>
      <c r="H10" s="1">
        <v>11406</v>
      </c>
      <c r="I10" s="1">
        <v>11331.86</v>
      </c>
      <c r="J10" t="s">
        <v>536</v>
      </c>
      <c r="L10" t="s">
        <v>536</v>
      </c>
      <c r="M10" t="s">
        <v>411</v>
      </c>
      <c r="N10" t="s">
        <v>369</v>
      </c>
      <c r="P10" s="1">
        <v>11406</v>
      </c>
      <c r="Q10" t="s">
        <v>606</v>
      </c>
      <c r="R10" t="s">
        <v>535</v>
      </c>
      <c r="S10" t="s">
        <v>539</v>
      </c>
      <c r="T10" s="2">
        <v>1</v>
      </c>
      <c r="U10" s="1">
        <v>11406</v>
      </c>
      <c r="V10" s="1">
        <v>11331.86</v>
      </c>
      <c r="X10" t="s">
        <v>607</v>
      </c>
      <c r="Z10" t="s">
        <v>541</v>
      </c>
      <c r="AA10" t="s">
        <v>542</v>
      </c>
      <c r="AB10" t="s">
        <v>543</v>
      </c>
      <c r="AC10" t="s">
        <v>608</v>
      </c>
      <c r="AE10" s="3">
        <v>1</v>
      </c>
      <c r="AG10" s="1">
        <v>2686</v>
      </c>
      <c r="AI10" s="1">
        <v>11406</v>
      </c>
      <c r="AJ10" s="1">
        <v>2686</v>
      </c>
      <c r="AK10" s="1">
        <v>17.46</v>
      </c>
      <c r="AM10" s="1">
        <v>2668.54</v>
      </c>
      <c r="AN10" t="s">
        <v>536</v>
      </c>
      <c r="AO10" t="s">
        <v>546</v>
      </c>
      <c r="AP10" t="s">
        <v>547</v>
      </c>
      <c r="AQ10" t="s">
        <v>548</v>
      </c>
      <c r="AS10" t="s">
        <v>411</v>
      </c>
      <c r="AX10" s="1">
        <v>2686</v>
      </c>
      <c r="AY10" t="s">
        <v>546</v>
      </c>
      <c r="AZ10" t="s">
        <v>549</v>
      </c>
      <c r="BA10" s="1">
        <v>2686</v>
      </c>
      <c r="BB10" t="s">
        <v>609</v>
      </c>
      <c r="BC10" t="s">
        <v>546</v>
      </c>
      <c r="BE10" t="s">
        <v>540</v>
      </c>
      <c r="BF10" s="1">
        <v>2686</v>
      </c>
      <c r="BG10" s="1">
        <v>17.46</v>
      </c>
      <c r="BH10" s="1">
        <v>2668.54</v>
      </c>
      <c r="BI10" t="s">
        <v>550</v>
      </c>
      <c r="BJ10" t="s">
        <v>610</v>
      </c>
      <c r="BK10" t="s">
        <v>552</v>
      </c>
      <c r="BL10" t="s">
        <v>552</v>
      </c>
      <c r="BM10" t="s">
        <v>553</v>
      </c>
      <c r="BN10" t="s">
        <v>611</v>
      </c>
      <c r="BO10" t="s">
        <v>612</v>
      </c>
      <c r="BR10" t="s">
        <v>546</v>
      </c>
      <c r="BS10" s="1">
        <v>2686</v>
      </c>
      <c r="BW10" t="s">
        <v>536</v>
      </c>
      <c r="BX10" s="1">
        <v>2686</v>
      </c>
      <c r="BZ10" t="s">
        <v>535</v>
      </c>
      <c r="CA10" t="s">
        <v>546</v>
      </c>
      <c r="CB10" t="s">
        <v>605</v>
      </c>
      <c r="CC10" t="s">
        <v>556</v>
      </c>
      <c r="CH10" t="s">
        <v>546</v>
      </c>
      <c r="CK10" t="s">
        <v>613</v>
      </c>
      <c r="CL10" s="1">
        <v>2686</v>
      </c>
      <c r="CN10" t="s">
        <v>535</v>
      </c>
      <c r="CO10" t="s">
        <v>539</v>
      </c>
      <c r="CT10" t="s">
        <v>576</v>
      </c>
      <c r="CW10" t="s">
        <v>546</v>
      </c>
      <c r="DD10" t="s">
        <v>561</v>
      </c>
      <c r="DK10" t="s">
        <v>614</v>
      </c>
      <c r="DR10" t="s">
        <v>614</v>
      </c>
    </row>
    <row r="11" ht="15" customHeight="1" spans="1:122">
      <c r="AB11" t="s">
        <v>543</v>
      </c>
      <c r="AC11" t="s">
        <v>608</v>
      </c>
      <c r="AG11" s="1">
        <v>2574</v>
      </c>
      <c r="AJ11" s="1">
        <v>2574</v>
      </c>
      <c r="AK11" s="1">
        <v>16.73</v>
      </c>
      <c r="AM11" s="1">
        <v>2557.27</v>
      </c>
      <c r="AN11" t="s">
        <v>536</v>
      </c>
      <c r="AP11" t="s">
        <v>547</v>
      </c>
      <c r="AX11" s="1">
        <v>2574</v>
      </c>
      <c r="AZ11" t="s">
        <v>549</v>
      </c>
      <c r="BA11" s="1">
        <v>2574</v>
      </c>
      <c r="BB11" t="s">
        <v>615</v>
      </c>
      <c r="BC11" t="s">
        <v>546</v>
      </c>
      <c r="BE11" t="s">
        <v>616</v>
      </c>
      <c r="BG11" s="1">
        <v>16.73</v>
      </c>
      <c r="BH11" s="1">
        <v>2557.27</v>
      </c>
      <c r="BS11" s="1">
        <v>2574</v>
      </c>
      <c r="CB11" t="s">
        <v>605</v>
      </c>
      <c r="CC11" t="s">
        <v>556</v>
      </c>
      <c r="DD11" t="s">
        <v>561</v>
      </c>
    </row>
    <row r="12" ht="15" customHeight="1" spans="1:122">
      <c r="AB12" t="s">
        <v>543</v>
      </c>
      <c r="AC12" t="s">
        <v>608</v>
      </c>
      <c r="AG12" s="1">
        <v>3460</v>
      </c>
      <c r="AJ12" s="1">
        <v>3460</v>
      </c>
      <c r="AK12" s="1">
        <v>22.49</v>
      </c>
      <c r="AM12" s="1">
        <v>3437.51</v>
      </c>
      <c r="AN12" t="s">
        <v>536</v>
      </c>
      <c r="AP12" t="s">
        <v>547</v>
      </c>
      <c r="AX12" s="1">
        <v>3460</v>
      </c>
      <c r="AZ12" t="s">
        <v>549</v>
      </c>
      <c r="BA12" s="1">
        <v>3460</v>
      </c>
      <c r="BB12" t="s">
        <v>617</v>
      </c>
      <c r="BC12" t="s">
        <v>546</v>
      </c>
      <c r="BE12" t="s">
        <v>616</v>
      </c>
      <c r="BG12" s="1">
        <v>22.49</v>
      </c>
      <c r="BH12" s="1">
        <v>3437.51</v>
      </c>
      <c r="BS12" s="1">
        <v>3460</v>
      </c>
      <c r="CB12" t="s">
        <v>605</v>
      </c>
      <c r="CC12" t="s">
        <v>556</v>
      </c>
      <c r="DD12" t="s">
        <v>561</v>
      </c>
    </row>
    <row r="13" ht="15" customHeight="1" spans="1:122">
      <c r="AB13" t="s">
        <v>543</v>
      </c>
      <c r="AC13" t="s">
        <v>608</v>
      </c>
      <c r="AG13" s="1">
        <v>2686</v>
      </c>
      <c r="AJ13" s="1">
        <v>2686</v>
      </c>
      <c r="AK13" s="1">
        <v>17.46</v>
      </c>
      <c r="AM13" s="1">
        <v>2668.54</v>
      </c>
      <c r="AN13" t="s">
        <v>536</v>
      </c>
      <c r="AP13" t="s">
        <v>547</v>
      </c>
      <c r="AX13" s="1">
        <v>2686</v>
      </c>
      <c r="AZ13" t="s">
        <v>549</v>
      </c>
      <c r="BA13" s="1">
        <v>2686</v>
      </c>
      <c r="BB13" t="s">
        <v>618</v>
      </c>
      <c r="BC13" t="s">
        <v>546</v>
      </c>
      <c r="BE13" t="s">
        <v>616</v>
      </c>
      <c r="BG13" s="1">
        <v>17.46</v>
      </c>
      <c r="BH13" s="1">
        <v>2668.54</v>
      </c>
      <c r="BS13" s="1">
        <v>2686</v>
      </c>
      <c r="CB13" t="s">
        <v>605</v>
      </c>
      <c r="CC13" t="s">
        <v>556</v>
      </c>
      <c r="DD13" t="s">
        <v>561</v>
      </c>
    </row>
    <row r="14" ht="15" customHeight="1" spans="1:122">
      <c r="A14" t="s">
        <v>530</v>
      </c>
      <c r="B14" t="s">
        <v>619</v>
      </c>
      <c r="C14" t="s">
        <v>532</v>
      </c>
      <c r="D14" t="s">
        <v>533</v>
      </c>
      <c r="E14" t="s">
        <v>534</v>
      </c>
      <c r="F14" t="s">
        <v>534</v>
      </c>
      <c r="G14" t="s">
        <v>535</v>
      </c>
      <c r="H14" s="1">
        <v>2991.2</v>
      </c>
      <c r="I14" s="1">
        <v>2973.25</v>
      </c>
      <c r="J14" t="s">
        <v>536</v>
      </c>
      <c r="L14" t="s">
        <v>536</v>
      </c>
      <c r="M14" t="s">
        <v>375</v>
      </c>
      <c r="N14" t="s">
        <v>537</v>
      </c>
      <c r="P14" s="1">
        <v>2991.2</v>
      </c>
      <c r="Q14" t="s">
        <v>580</v>
      </c>
      <c r="R14" t="s">
        <v>535</v>
      </c>
      <c r="S14" t="s">
        <v>539</v>
      </c>
      <c r="T14" s="2">
        <v>1</v>
      </c>
      <c r="U14" s="1">
        <v>2991.2</v>
      </c>
      <c r="V14" s="1">
        <v>2973.25</v>
      </c>
      <c r="X14" t="s">
        <v>540</v>
      </c>
      <c r="Z14" t="s">
        <v>541</v>
      </c>
      <c r="AA14" t="s">
        <v>542</v>
      </c>
      <c r="AB14" t="s">
        <v>543</v>
      </c>
      <c r="AC14" t="s">
        <v>544</v>
      </c>
      <c r="AD14" t="s">
        <v>545</v>
      </c>
      <c r="AE14" s="3">
        <v>1</v>
      </c>
      <c r="AF14" t="s">
        <v>27</v>
      </c>
      <c r="AG14" s="1">
        <v>2991.2</v>
      </c>
      <c r="AI14" s="1">
        <v>2991.2</v>
      </c>
      <c r="AJ14" s="1">
        <v>2991.2</v>
      </c>
      <c r="AK14" s="1">
        <v>17.95</v>
      </c>
      <c r="AM14" s="1">
        <v>2973.25</v>
      </c>
      <c r="AN14" t="s">
        <v>536</v>
      </c>
      <c r="AO14" t="s">
        <v>546</v>
      </c>
      <c r="AP14" t="s">
        <v>547</v>
      </c>
      <c r="AQ14" t="s">
        <v>548</v>
      </c>
      <c r="AS14" t="s">
        <v>375</v>
      </c>
      <c r="AX14" s="1">
        <v>2991.2</v>
      </c>
      <c r="AY14" t="s">
        <v>546</v>
      </c>
      <c r="AZ14" t="s">
        <v>549</v>
      </c>
      <c r="BA14" s="1">
        <v>2991.2</v>
      </c>
      <c r="BC14" t="s">
        <v>546</v>
      </c>
      <c r="BD14" s="1">
        <v>2991.2</v>
      </c>
      <c r="BE14" t="s">
        <v>540</v>
      </c>
      <c r="BF14" s="1">
        <v>2991.2</v>
      </c>
      <c r="BG14" s="1">
        <v>17.95</v>
      </c>
      <c r="BH14" s="1">
        <v>2973.25</v>
      </c>
      <c r="BI14" t="s">
        <v>550</v>
      </c>
      <c r="BJ14" t="s">
        <v>570</v>
      </c>
      <c r="BK14" t="s">
        <v>552</v>
      </c>
      <c r="BL14" t="s">
        <v>552</v>
      </c>
      <c r="BM14" t="s">
        <v>605</v>
      </c>
      <c r="BN14" t="s">
        <v>620</v>
      </c>
      <c r="BO14" t="s">
        <v>621</v>
      </c>
      <c r="BR14" t="s">
        <v>546</v>
      </c>
      <c r="BS14" s="1">
        <v>2991.2</v>
      </c>
      <c r="BW14" t="s">
        <v>536</v>
      </c>
      <c r="BX14" s="1">
        <v>2991.2</v>
      </c>
      <c r="BZ14" t="s">
        <v>535</v>
      </c>
      <c r="CA14" t="s">
        <v>546</v>
      </c>
      <c r="CB14" t="s">
        <v>533</v>
      </c>
      <c r="CC14" t="s">
        <v>556</v>
      </c>
      <c r="CD14" t="s">
        <v>622</v>
      </c>
      <c r="CE14" t="s">
        <v>623</v>
      </c>
      <c r="CF14" t="s">
        <v>27</v>
      </c>
      <c r="CG14" s="4">
        <v>1</v>
      </c>
      <c r="CH14" t="s">
        <v>546</v>
      </c>
      <c r="CK14" t="s">
        <v>624</v>
      </c>
      <c r="CL14" s="1">
        <v>2991.2</v>
      </c>
      <c r="CN14" t="s">
        <v>535</v>
      </c>
      <c r="CO14" t="s">
        <v>539</v>
      </c>
      <c r="CT14" t="s">
        <v>576</v>
      </c>
      <c r="CW14" t="s">
        <v>546</v>
      </c>
      <c r="DD14" t="s">
        <v>561</v>
      </c>
      <c r="DK14" t="s">
        <v>625</v>
      </c>
      <c r="DL14" t="s">
        <v>626</v>
      </c>
    </row>
    <row r="15" ht="15" customHeight="1" spans="1:122">
      <c r="A15" t="s">
        <v>530</v>
      </c>
      <c r="B15" t="s">
        <v>627</v>
      </c>
      <c r="C15" t="s">
        <v>532</v>
      </c>
      <c r="D15" t="s">
        <v>533</v>
      </c>
      <c r="E15" t="s">
        <v>534</v>
      </c>
      <c r="F15" t="s">
        <v>534</v>
      </c>
      <c r="G15" t="s">
        <v>535</v>
      </c>
      <c r="H15" s="1">
        <v>747.8</v>
      </c>
      <c r="I15" s="1">
        <v>747.8</v>
      </c>
      <c r="J15" t="s">
        <v>536</v>
      </c>
      <c r="L15" t="s">
        <v>536</v>
      </c>
      <c r="M15" t="s">
        <v>375</v>
      </c>
      <c r="N15" t="s">
        <v>537</v>
      </c>
      <c r="P15" s="1">
        <v>747.8</v>
      </c>
      <c r="Q15" t="s">
        <v>580</v>
      </c>
      <c r="R15" t="s">
        <v>535</v>
      </c>
      <c r="S15" t="s">
        <v>539</v>
      </c>
      <c r="T15" s="2">
        <v>1</v>
      </c>
      <c r="U15" s="1">
        <v>747.8</v>
      </c>
      <c r="V15" s="1">
        <v>747.8</v>
      </c>
      <c r="X15" t="s">
        <v>540</v>
      </c>
      <c r="Z15" t="s">
        <v>541</v>
      </c>
      <c r="AA15" t="s">
        <v>542</v>
      </c>
      <c r="AB15" t="s">
        <v>543</v>
      </c>
      <c r="AC15" t="s">
        <v>544</v>
      </c>
      <c r="AD15" t="s">
        <v>545</v>
      </c>
      <c r="AE15" s="3">
        <v>1</v>
      </c>
      <c r="AF15" t="s">
        <v>27</v>
      </c>
      <c r="AG15" s="1">
        <v>747.8</v>
      </c>
      <c r="AI15" s="1">
        <v>747.8</v>
      </c>
      <c r="AJ15" s="1">
        <v>747.8</v>
      </c>
      <c r="AM15" s="1">
        <v>747.8</v>
      </c>
      <c r="AN15" t="s">
        <v>565</v>
      </c>
      <c r="AO15" t="s">
        <v>546</v>
      </c>
      <c r="AP15" t="s">
        <v>565</v>
      </c>
      <c r="AQ15" t="s">
        <v>548</v>
      </c>
      <c r="AS15" t="s">
        <v>375</v>
      </c>
      <c r="AX15" s="1">
        <v>747.8</v>
      </c>
      <c r="AY15" t="s">
        <v>546</v>
      </c>
      <c r="AZ15" t="s">
        <v>566</v>
      </c>
      <c r="BA15" s="1">
        <v>747.8</v>
      </c>
      <c r="BC15" t="s">
        <v>546</v>
      </c>
      <c r="BD15" s="1">
        <v>747.8</v>
      </c>
      <c r="BE15" t="s">
        <v>540</v>
      </c>
      <c r="BF15" s="1">
        <v>747.8</v>
      </c>
      <c r="BH15" s="1">
        <v>747.8</v>
      </c>
      <c r="BI15" t="s">
        <v>550</v>
      </c>
      <c r="BJ15" t="s">
        <v>570</v>
      </c>
      <c r="BK15" t="s">
        <v>570</v>
      </c>
      <c r="BL15" t="s">
        <v>552</v>
      </c>
      <c r="BM15" t="s">
        <v>605</v>
      </c>
      <c r="BN15" t="s">
        <v>628</v>
      </c>
      <c r="BO15" t="s">
        <v>629</v>
      </c>
      <c r="BR15" t="s">
        <v>546</v>
      </c>
      <c r="BS15" s="1">
        <v>747.8</v>
      </c>
      <c r="BW15" t="s">
        <v>536</v>
      </c>
      <c r="BX15" s="1">
        <v>747.8</v>
      </c>
      <c r="BZ15" t="s">
        <v>535</v>
      </c>
      <c r="CA15" t="s">
        <v>546</v>
      </c>
      <c r="CB15" t="s">
        <v>533</v>
      </c>
      <c r="CC15" t="s">
        <v>556</v>
      </c>
      <c r="CD15" t="s">
        <v>622</v>
      </c>
      <c r="CE15" t="s">
        <v>623</v>
      </c>
      <c r="CF15" t="s">
        <v>27</v>
      </c>
      <c r="CG15" s="4">
        <v>1</v>
      </c>
      <c r="CH15" t="s">
        <v>546</v>
      </c>
      <c r="CK15" t="s">
        <v>624</v>
      </c>
      <c r="CL15" s="1">
        <v>747.8</v>
      </c>
      <c r="CN15" t="s">
        <v>535</v>
      </c>
      <c r="CO15" t="s">
        <v>539</v>
      </c>
      <c r="CT15" t="s">
        <v>576</v>
      </c>
      <c r="CW15" t="s">
        <v>546</v>
      </c>
      <c r="DD15" t="s">
        <v>561</v>
      </c>
      <c r="DK15" t="s">
        <v>625</v>
      </c>
      <c r="DL15" t="s">
        <v>626</v>
      </c>
    </row>
    <row r="16" ht="15" customHeight="1" spans="1:122">
      <c r="A16" t="s">
        <v>530</v>
      </c>
      <c r="B16" t="s">
        <v>630</v>
      </c>
      <c r="C16" t="s">
        <v>532</v>
      </c>
      <c r="D16" t="s">
        <v>533</v>
      </c>
      <c r="E16" t="s">
        <v>534</v>
      </c>
      <c r="F16" t="s">
        <v>534</v>
      </c>
      <c r="G16" t="s">
        <v>535</v>
      </c>
      <c r="H16" s="1">
        <v>2240</v>
      </c>
      <c r="I16" s="1">
        <v>2226.56</v>
      </c>
      <c r="J16" t="s">
        <v>536</v>
      </c>
      <c r="L16" t="s">
        <v>536</v>
      </c>
      <c r="M16" t="s">
        <v>375</v>
      </c>
      <c r="N16" t="s">
        <v>537</v>
      </c>
      <c r="P16" s="1">
        <v>2240</v>
      </c>
      <c r="Q16" t="s">
        <v>580</v>
      </c>
      <c r="R16" t="s">
        <v>535</v>
      </c>
      <c r="S16" t="s">
        <v>539</v>
      </c>
      <c r="T16" s="2">
        <v>1</v>
      </c>
      <c r="U16" s="1">
        <v>2240</v>
      </c>
      <c r="V16" s="1">
        <v>2226.56</v>
      </c>
      <c r="X16" t="s">
        <v>616</v>
      </c>
      <c r="Z16" t="s">
        <v>541</v>
      </c>
      <c r="AA16" t="s">
        <v>542</v>
      </c>
      <c r="AB16" t="s">
        <v>543</v>
      </c>
      <c r="AC16" t="s">
        <v>544</v>
      </c>
      <c r="AD16" t="s">
        <v>545</v>
      </c>
      <c r="AE16" s="3">
        <v>1</v>
      </c>
      <c r="AF16" t="s">
        <v>28</v>
      </c>
      <c r="AG16" s="1">
        <v>2240</v>
      </c>
      <c r="AI16" s="1">
        <v>2240</v>
      </c>
      <c r="AJ16" s="1">
        <v>2240</v>
      </c>
      <c r="AK16" s="1">
        <v>13.44</v>
      </c>
      <c r="AM16" s="1">
        <v>2226.56</v>
      </c>
      <c r="AN16" t="s">
        <v>536</v>
      </c>
      <c r="AO16" t="s">
        <v>546</v>
      </c>
      <c r="AP16" t="s">
        <v>547</v>
      </c>
      <c r="AQ16" t="s">
        <v>548</v>
      </c>
      <c r="AS16" t="s">
        <v>375</v>
      </c>
      <c r="AX16" s="1">
        <v>2240</v>
      </c>
      <c r="AY16" t="s">
        <v>546</v>
      </c>
      <c r="AZ16" t="s">
        <v>549</v>
      </c>
      <c r="BA16" s="1">
        <v>2240</v>
      </c>
      <c r="BC16" t="s">
        <v>546</v>
      </c>
      <c r="BD16" s="1">
        <v>2240</v>
      </c>
      <c r="BE16" t="s">
        <v>616</v>
      </c>
      <c r="BG16" s="1">
        <v>13.44</v>
      </c>
      <c r="BH16" s="1">
        <v>2226.56</v>
      </c>
      <c r="BI16" t="s">
        <v>550</v>
      </c>
      <c r="BJ16" t="s">
        <v>570</v>
      </c>
      <c r="BK16" t="s">
        <v>552</v>
      </c>
      <c r="BL16" t="s">
        <v>552</v>
      </c>
      <c r="BM16" t="s">
        <v>605</v>
      </c>
      <c r="BN16" t="s">
        <v>631</v>
      </c>
      <c r="BO16" t="s">
        <v>632</v>
      </c>
      <c r="BR16" t="s">
        <v>546</v>
      </c>
      <c r="BS16" s="1">
        <v>2240</v>
      </c>
      <c r="BW16" t="s">
        <v>536</v>
      </c>
      <c r="BZ16" t="s">
        <v>535</v>
      </c>
      <c r="CA16" t="s">
        <v>546</v>
      </c>
      <c r="CB16" t="s">
        <v>533</v>
      </c>
      <c r="CC16" t="s">
        <v>556</v>
      </c>
      <c r="CD16" t="s">
        <v>633</v>
      </c>
      <c r="CE16" t="s">
        <v>634</v>
      </c>
      <c r="CF16" t="s">
        <v>28</v>
      </c>
      <c r="CG16" s="4">
        <v>1</v>
      </c>
      <c r="CH16" t="s">
        <v>546</v>
      </c>
      <c r="CK16" t="s">
        <v>635</v>
      </c>
      <c r="CN16" t="s">
        <v>535</v>
      </c>
      <c r="CO16" t="s">
        <v>539</v>
      </c>
      <c r="CT16" t="s">
        <v>576</v>
      </c>
      <c r="CW16" t="s">
        <v>546</v>
      </c>
      <c r="DD16" t="s">
        <v>561</v>
      </c>
      <c r="DK16" t="s">
        <v>636</v>
      </c>
      <c r="DL16" t="s">
        <v>637</v>
      </c>
    </row>
    <row r="17" ht="15" customHeight="1" spans="1:122">
      <c r="A17" t="s">
        <v>530</v>
      </c>
      <c r="B17" t="s">
        <v>638</v>
      </c>
      <c r="C17" t="s">
        <v>532</v>
      </c>
      <c r="D17" t="s">
        <v>533</v>
      </c>
      <c r="E17" t="s">
        <v>534</v>
      </c>
      <c r="F17" t="s">
        <v>534</v>
      </c>
      <c r="G17" t="s">
        <v>535</v>
      </c>
      <c r="H17" s="1">
        <v>560</v>
      </c>
      <c r="I17" s="1">
        <v>560</v>
      </c>
      <c r="J17" t="s">
        <v>536</v>
      </c>
      <c r="L17" t="s">
        <v>536</v>
      </c>
      <c r="M17" t="s">
        <v>375</v>
      </c>
      <c r="N17" t="s">
        <v>537</v>
      </c>
      <c r="P17" s="1">
        <v>560</v>
      </c>
      <c r="Q17" t="s">
        <v>580</v>
      </c>
      <c r="R17" t="s">
        <v>535</v>
      </c>
      <c r="S17" t="s">
        <v>539</v>
      </c>
      <c r="T17" s="2">
        <v>1</v>
      </c>
      <c r="U17" s="1">
        <v>560</v>
      </c>
      <c r="V17" s="1">
        <v>560</v>
      </c>
      <c r="X17" t="s">
        <v>616</v>
      </c>
      <c r="Z17" t="s">
        <v>541</v>
      </c>
      <c r="AA17" t="s">
        <v>542</v>
      </c>
      <c r="AB17" t="s">
        <v>543</v>
      </c>
      <c r="AC17" t="s">
        <v>544</v>
      </c>
      <c r="AD17" t="s">
        <v>545</v>
      </c>
      <c r="AE17" s="3">
        <v>1</v>
      </c>
      <c r="AF17" t="s">
        <v>28</v>
      </c>
      <c r="AG17" s="1">
        <v>560</v>
      </c>
      <c r="AI17" s="1">
        <v>560</v>
      </c>
      <c r="AJ17" s="1">
        <v>560</v>
      </c>
      <c r="AM17" s="1">
        <v>560</v>
      </c>
      <c r="AN17" t="s">
        <v>565</v>
      </c>
      <c r="AO17" t="s">
        <v>546</v>
      </c>
      <c r="AP17" t="s">
        <v>565</v>
      </c>
      <c r="AQ17" t="s">
        <v>548</v>
      </c>
      <c r="AS17" t="s">
        <v>375</v>
      </c>
      <c r="AX17" s="1">
        <v>560</v>
      </c>
      <c r="AY17" t="s">
        <v>546</v>
      </c>
      <c r="AZ17" t="s">
        <v>566</v>
      </c>
      <c r="BA17" s="1">
        <v>560</v>
      </c>
      <c r="BC17" t="s">
        <v>546</v>
      </c>
      <c r="BD17" s="1">
        <v>560</v>
      </c>
      <c r="BE17" t="s">
        <v>616</v>
      </c>
      <c r="BH17" s="1">
        <v>560</v>
      </c>
      <c r="BI17" t="s">
        <v>550</v>
      </c>
      <c r="BJ17" t="s">
        <v>570</v>
      </c>
      <c r="BK17" t="s">
        <v>570</v>
      </c>
      <c r="BL17" t="s">
        <v>552</v>
      </c>
      <c r="BM17" t="s">
        <v>605</v>
      </c>
      <c r="BN17" t="s">
        <v>639</v>
      </c>
      <c r="BO17" t="s">
        <v>640</v>
      </c>
      <c r="BR17" t="s">
        <v>546</v>
      </c>
      <c r="BS17" s="1">
        <v>560</v>
      </c>
      <c r="BW17" t="s">
        <v>536</v>
      </c>
      <c r="BZ17" t="s">
        <v>535</v>
      </c>
      <c r="CA17" t="s">
        <v>546</v>
      </c>
      <c r="CB17" t="s">
        <v>533</v>
      </c>
      <c r="CC17" t="s">
        <v>556</v>
      </c>
      <c r="CD17" t="s">
        <v>633</v>
      </c>
      <c r="CE17" t="s">
        <v>634</v>
      </c>
      <c r="CF17" t="s">
        <v>28</v>
      </c>
      <c r="CG17" s="4">
        <v>1</v>
      </c>
      <c r="CH17" t="s">
        <v>546</v>
      </c>
      <c r="CK17" t="s">
        <v>635</v>
      </c>
      <c r="CN17" t="s">
        <v>535</v>
      </c>
      <c r="CO17" t="s">
        <v>539</v>
      </c>
      <c r="CT17" t="s">
        <v>576</v>
      </c>
      <c r="CW17" t="s">
        <v>546</v>
      </c>
      <c r="DD17" t="s">
        <v>561</v>
      </c>
      <c r="DK17" t="s">
        <v>636</v>
      </c>
      <c r="DL17" t="s">
        <v>637</v>
      </c>
    </row>
    <row r="18" ht="15" customHeight="1" spans="1:122">
      <c r="A18" t="s">
        <v>530</v>
      </c>
      <c r="B18" t="s">
        <v>641</v>
      </c>
      <c r="C18" t="s">
        <v>532</v>
      </c>
      <c r="D18" t="s">
        <v>605</v>
      </c>
      <c r="E18" t="s">
        <v>534</v>
      </c>
      <c r="F18" t="s">
        <v>534</v>
      </c>
      <c r="G18" t="s">
        <v>535</v>
      </c>
      <c r="H18" s="1">
        <v>4399</v>
      </c>
      <c r="I18" s="1">
        <v>4399</v>
      </c>
      <c r="J18" t="s">
        <v>536</v>
      </c>
      <c r="L18" t="s">
        <v>536</v>
      </c>
      <c r="M18" t="s">
        <v>404</v>
      </c>
      <c r="N18" t="s">
        <v>537</v>
      </c>
      <c r="P18" s="1">
        <v>4399</v>
      </c>
      <c r="Q18" t="s">
        <v>642</v>
      </c>
      <c r="R18" t="s">
        <v>535</v>
      </c>
      <c r="S18" t="s">
        <v>539</v>
      </c>
      <c r="T18" s="2">
        <v>1</v>
      </c>
      <c r="U18" s="1">
        <v>4399</v>
      </c>
      <c r="V18" s="1">
        <v>4399</v>
      </c>
      <c r="X18" t="s">
        <v>540</v>
      </c>
      <c r="Z18" t="s">
        <v>541</v>
      </c>
      <c r="AA18" t="s">
        <v>542</v>
      </c>
      <c r="AB18" t="s">
        <v>543</v>
      </c>
      <c r="AC18" t="s">
        <v>544</v>
      </c>
      <c r="AD18" t="s">
        <v>545</v>
      </c>
      <c r="AE18" s="3">
        <v>1</v>
      </c>
      <c r="AF18" t="s">
        <v>31</v>
      </c>
      <c r="AG18" s="1">
        <v>4399</v>
      </c>
      <c r="AI18" s="1">
        <v>4399</v>
      </c>
      <c r="AJ18" s="1">
        <v>4399</v>
      </c>
      <c r="AM18" s="1">
        <v>4399</v>
      </c>
      <c r="AN18" t="s">
        <v>643</v>
      </c>
      <c r="AO18" t="s">
        <v>546</v>
      </c>
      <c r="AP18" t="s">
        <v>643</v>
      </c>
      <c r="AQ18" t="s">
        <v>548</v>
      </c>
      <c r="AS18" t="s">
        <v>404</v>
      </c>
      <c r="AX18" s="1">
        <v>4399</v>
      </c>
      <c r="AY18" t="s">
        <v>546</v>
      </c>
      <c r="AZ18" t="s">
        <v>644</v>
      </c>
      <c r="BA18" s="1">
        <v>4399</v>
      </c>
      <c r="BC18" t="s">
        <v>546</v>
      </c>
      <c r="BD18" s="1">
        <v>4399</v>
      </c>
      <c r="BE18" t="s">
        <v>540</v>
      </c>
      <c r="BF18" s="1">
        <v>4399</v>
      </c>
      <c r="BH18" s="1">
        <v>4399</v>
      </c>
      <c r="BI18" t="s">
        <v>550</v>
      </c>
      <c r="BJ18" t="s">
        <v>642</v>
      </c>
      <c r="BK18" t="s">
        <v>552</v>
      </c>
      <c r="BL18" t="s">
        <v>552</v>
      </c>
      <c r="BM18" t="s">
        <v>645</v>
      </c>
      <c r="BN18" t="s">
        <v>646</v>
      </c>
      <c r="BO18" t="s">
        <v>647</v>
      </c>
      <c r="BR18" t="s">
        <v>546</v>
      </c>
      <c r="BS18" s="1">
        <v>4399</v>
      </c>
      <c r="BW18" t="s">
        <v>536</v>
      </c>
      <c r="BX18" s="1">
        <v>4399</v>
      </c>
      <c r="BZ18" t="s">
        <v>535</v>
      </c>
      <c r="CA18" t="s">
        <v>546</v>
      </c>
      <c r="CB18" t="s">
        <v>605</v>
      </c>
      <c r="CC18" t="s">
        <v>556</v>
      </c>
      <c r="CD18" t="s">
        <v>648</v>
      </c>
      <c r="CE18" t="s">
        <v>649</v>
      </c>
      <c r="CF18" t="s">
        <v>31</v>
      </c>
      <c r="CG18" s="4">
        <v>1</v>
      </c>
      <c r="CH18" t="s">
        <v>546</v>
      </c>
      <c r="CK18" t="s">
        <v>650</v>
      </c>
      <c r="CL18" s="1">
        <v>4399</v>
      </c>
      <c r="CN18" t="s">
        <v>535</v>
      </c>
      <c r="CO18" t="s">
        <v>539</v>
      </c>
      <c r="CT18" t="s">
        <v>651</v>
      </c>
      <c r="CW18" t="s">
        <v>546</v>
      </c>
      <c r="DD18" t="s">
        <v>561</v>
      </c>
      <c r="DK18" t="s">
        <v>652</v>
      </c>
      <c r="DL18" t="s">
        <v>653</v>
      </c>
      <c r="DR18" t="s">
        <v>654</v>
      </c>
    </row>
    <row r="19" ht="15" customHeight="1" spans="1:122">
      <c r="A19" t="s">
        <v>530</v>
      </c>
      <c r="B19" t="s">
        <v>655</v>
      </c>
      <c r="C19" t="s">
        <v>656</v>
      </c>
      <c r="D19" t="s">
        <v>645</v>
      </c>
      <c r="E19" t="s">
        <v>534</v>
      </c>
      <c r="F19" t="s">
        <v>534</v>
      </c>
      <c r="G19" t="s">
        <v>535</v>
      </c>
      <c r="H19" s="1">
        <v>4059</v>
      </c>
      <c r="I19" s="1">
        <v>4050.27</v>
      </c>
      <c r="J19" t="s">
        <v>536</v>
      </c>
      <c r="L19" t="s">
        <v>536</v>
      </c>
      <c r="M19" t="s">
        <v>393</v>
      </c>
      <c r="N19" t="s">
        <v>657</v>
      </c>
      <c r="P19" s="1">
        <v>4059</v>
      </c>
      <c r="Q19" t="s">
        <v>658</v>
      </c>
      <c r="R19" t="s">
        <v>535</v>
      </c>
      <c r="S19" t="s">
        <v>539</v>
      </c>
      <c r="T19" s="2">
        <v>1</v>
      </c>
      <c r="U19" s="1">
        <v>4059</v>
      </c>
      <c r="V19" s="1">
        <v>4050.27</v>
      </c>
      <c r="X19" t="s">
        <v>540</v>
      </c>
      <c r="Z19" t="s">
        <v>541</v>
      </c>
      <c r="AA19" t="s">
        <v>542</v>
      </c>
      <c r="AB19" t="s">
        <v>659</v>
      </c>
      <c r="AC19" t="s">
        <v>544</v>
      </c>
      <c r="AD19" t="s">
        <v>545</v>
      </c>
      <c r="AE19" s="3">
        <v>1</v>
      </c>
      <c r="AF19" t="s">
        <v>30</v>
      </c>
      <c r="AG19" s="1">
        <v>4059</v>
      </c>
      <c r="AI19" s="1">
        <v>4059</v>
      </c>
      <c r="AJ19" s="1">
        <v>4059</v>
      </c>
      <c r="AK19" s="1">
        <v>8.73</v>
      </c>
      <c r="AM19" s="1">
        <v>4050.27</v>
      </c>
      <c r="AN19" t="s">
        <v>536</v>
      </c>
      <c r="AO19" t="s">
        <v>546</v>
      </c>
      <c r="AP19" t="s">
        <v>547</v>
      </c>
      <c r="AQ19" t="s">
        <v>548</v>
      </c>
      <c r="AS19" t="s">
        <v>393</v>
      </c>
      <c r="AX19" s="1">
        <v>4059</v>
      </c>
      <c r="AY19" t="s">
        <v>546</v>
      </c>
      <c r="AZ19" t="s">
        <v>549</v>
      </c>
      <c r="BA19" s="1">
        <v>4059</v>
      </c>
      <c r="BC19" t="s">
        <v>546</v>
      </c>
      <c r="BD19" s="1">
        <v>4059</v>
      </c>
      <c r="BE19" t="s">
        <v>540</v>
      </c>
      <c r="BF19" s="1">
        <v>4059</v>
      </c>
      <c r="BG19" s="1">
        <v>8.73</v>
      </c>
      <c r="BH19" s="1">
        <v>4050.27</v>
      </c>
      <c r="BI19" t="s">
        <v>550</v>
      </c>
      <c r="BJ19" t="s">
        <v>660</v>
      </c>
      <c r="BK19" t="s">
        <v>552</v>
      </c>
      <c r="BL19" t="s">
        <v>552</v>
      </c>
      <c r="BM19" t="s">
        <v>645</v>
      </c>
      <c r="BN19" t="s">
        <v>661</v>
      </c>
      <c r="BO19" t="s">
        <v>662</v>
      </c>
      <c r="BR19" t="s">
        <v>546</v>
      </c>
      <c r="BS19" s="1">
        <v>4059</v>
      </c>
      <c r="BW19" t="s">
        <v>536</v>
      </c>
      <c r="BX19" s="1">
        <v>4059</v>
      </c>
      <c r="BZ19" t="s">
        <v>535</v>
      </c>
      <c r="CA19" t="s">
        <v>546</v>
      </c>
      <c r="CB19" t="s">
        <v>645</v>
      </c>
      <c r="CC19" t="s">
        <v>556</v>
      </c>
      <c r="CD19" t="s">
        <v>663</v>
      </c>
      <c r="CE19" t="s">
        <v>664</v>
      </c>
      <c r="CF19" t="s">
        <v>30</v>
      </c>
      <c r="CG19" s="4">
        <v>1</v>
      </c>
      <c r="CH19" t="s">
        <v>546</v>
      </c>
      <c r="CK19" t="s">
        <v>665</v>
      </c>
      <c r="CL19" s="1">
        <v>4059</v>
      </c>
      <c r="CN19" t="s">
        <v>535</v>
      </c>
      <c r="CO19" t="s">
        <v>539</v>
      </c>
      <c r="CT19" t="s">
        <v>666</v>
      </c>
      <c r="CW19" t="s">
        <v>546</v>
      </c>
      <c r="DD19" t="s">
        <v>561</v>
      </c>
      <c r="DK19" t="s">
        <v>667</v>
      </c>
      <c r="DL19" t="s">
        <v>668</v>
      </c>
    </row>
    <row r="20" ht="15" customHeight="1" spans="1:122">
      <c r="A20" t="s">
        <v>530</v>
      </c>
      <c r="B20" t="s">
        <v>669</v>
      </c>
      <c r="C20" t="s">
        <v>656</v>
      </c>
      <c r="D20" t="s">
        <v>670</v>
      </c>
      <c r="E20" t="s">
        <v>534</v>
      </c>
      <c r="F20" t="s">
        <v>534</v>
      </c>
      <c r="G20" t="s">
        <v>535</v>
      </c>
      <c r="H20" s="1">
        <v>3599</v>
      </c>
      <c r="I20" s="1">
        <v>3591.26</v>
      </c>
      <c r="J20" t="s">
        <v>536</v>
      </c>
      <c r="L20" t="s">
        <v>536</v>
      </c>
      <c r="M20" t="s">
        <v>393</v>
      </c>
      <c r="N20" t="s">
        <v>657</v>
      </c>
      <c r="P20" s="1">
        <v>3599</v>
      </c>
      <c r="Q20" t="s">
        <v>658</v>
      </c>
      <c r="R20" t="s">
        <v>535</v>
      </c>
      <c r="S20" t="s">
        <v>539</v>
      </c>
      <c r="T20" s="2">
        <v>1</v>
      </c>
      <c r="U20" s="1">
        <v>3599</v>
      </c>
      <c r="V20" s="1">
        <v>3591.26</v>
      </c>
      <c r="X20" t="s">
        <v>540</v>
      </c>
      <c r="Z20" t="s">
        <v>541</v>
      </c>
      <c r="AA20" t="s">
        <v>542</v>
      </c>
      <c r="AB20" t="s">
        <v>659</v>
      </c>
      <c r="AC20" t="s">
        <v>544</v>
      </c>
      <c r="AD20" t="s">
        <v>545</v>
      </c>
      <c r="AE20" s="3">
        <v>1</v>
      </c>
      <c r="AF20" t="s">
        <v>32</v>
      </c>
      <c r="AG20" s="1">
        <v>3599</v>
      </c>
      <c r="AI20" s="1">
        <v>3599</v>
      </c>
      <c r="AJ20" s="1">
        <v>3599</v>
      </c>
      <c r="AK20" s="1">
        <v>7.74</v>
      </c>
      <c r="AM20" s="1">
        <v>3591.26</v>
      </c>
      <c r="AN20" t="s">
        <v>536</v>
      </c>
      <c r="AO20" t="s">
        <v>546</v>
      </c>
      <c r="AP20" t="s">
        <v>547</v>
      </c>
      <c r="AQ20" t="s">
        <v>548</v>
      </c>
      <c r="AS20" t="s">
        <v>393</v>
      </c>
      <c r="AX20" s="1">
        <v>3599</v>
      </c>
      <c r="AY20" t="s">
        <v>546</v>
      </c>
      <c r="AZ20" t="s">
        <v>549</v>
      </c>
      <c r="BA20" s="1">
        <v>3599</v>
      </c>
      <c r="BC20" t="s">
        <v>546</v>
      </c>
      <c r="BD20" s="1">
        <v>3599</v>
      </c>
      <c r="BE20" t="s">
        <v>540</v>
      </c>
      <c r="BF20" s="1">
        <v>3599</v>
      </c>
      <c r="BG20" s="1">
        <v>7.74</v>
      </c>
      <c r="BH20" s="1">
        <v>3591.26</v>
      </c>
      <c r="BI20" t="s">
        <v>550</v>
      </c>
      <c r="BJ20" t="s">
        <v>660</v>
      </c>
      <c r="BK20" t="s">
        <v>552</v>
      </c>
      <c r="BL20" t="s">
        <v>552</v>
      </c>
      <c r="BM20" t="s">
        <v>645</v>
      </c>
      <c r="BN20" t="s">
        <v>671</v>
      </c>
      <c r="BO20" t="s">
        <v>672</v>
      </c>
      <c r="BR20" t="s">
        <v>546</v>
      </c>
      <c r="BS20" s="1">
        <v>3599</v>
      </c>
      <c r="BW20" t="s">
        <v>536</v>
      </c>
      <c r="BX20" s="1">
        <v>3599</v>
      </c>
      <c r="BZ20" t="s">
        <v>535</v>
      </c>
      <c r="CA20" t="s">
        <v>546</v>
      </c>
      <c r="CB20" t="s">
        <v>670</v>
      </c>
      <c r="CC20" t="s">
        <v>556</v>
      </c>
      <c r="CD20" t="s">
        <v>673</v>
      </c>
      <c r="CE20" t="s">
        <v>674</v>
      </c>
      <c r="CF20" t="s">
        <v>32</v>
      </c>
      <c r="CG20" s="4">
        <v>1</v>
      </c>
      <c r="CH20" t="s">
        <v>546</v>
      </c>
      <c r="CK20" t="s">
        <v>675</v>
      </c>
      <c r="CL20" s="1">
        <v>3599</v>
      </c>
      <c r="CN20" t="s">
        <v>535</v>
      </c>
      <c r="CO20" t="s">
        <v>539</v>
      </c>
      <c r="CT20" t="s">
        <v>666</v>
      </c>
      <c r="CW20" t="s">
        <v>546</v>
      </c>
      <c r="DD20" t="s">
        <v>561</v>
      </c>
      <c r="DK20" t="s">
        <v>676</v>
      </c>
      <c r="DL20" t="s">
        <v>677</v>
      </c>
    </row>
    <row r="21" ht="15" customHeight="1" spans="1:122">
      <c r="A21" t="s">
        <v>603</v>
      </c>
      <c r="B21" t="s">
        <v>678</v>
      </c>
      <c r="C21" t="s">
        <v>656</v>
      </c>
      <c r="D21" t="s">
        <v>645</v>
      </c>
      <c r="E21" t="s">
        <v>534</v>
      </c>
      <c r="F21" t="s">
        <v>534</v>
      </c>
      <c r="G21" t="s">
        <v>535</v>
      </c>
      <c r="H21" s="1">
        <v>2360</v>
      </c>
      <c r="I21" s="1">
        <v>2360</v>
      </c>
      <c r="J21" t="s">
        <v>536</v>
      </c>
      <c r="L21" t="s">
        <v>536</v>
      </c>
      <c r="M21" t="s">
        <v>397</v>
      </c>
      <c r="N21" t="s">
        <v>657</v>
      </c>
      <c r="P21" s="1">
        <v>2360</v>
      </c>
      <c r="Q21" t="s">
        <v>679</v>
      </c>
      <c r="R21" t="s">
        <v>535</v>
      </c>
      <c r="S21" t="s">
        <v>539</v>
      </c>
      <c r="T21" s="2">
        <v>1</v>
      </c>
      <c r="U21" s="1">
        <v>2360</v>
      </c>
      <c r="V21" s="1">
        <v>2360</v>
      </c>
      <c r="X21" t="s">
        <v>616</v>
      </c>
      <c r="Z21" t="s">
        <v>541</v>
      </c>
      <c r="AA21" t="s">
        <v>542</v>
      </c>
      <c r="AB21" t="s">
        <v>543</v>
      </c>
      <c r="AC21" t="s">
        <v>608</v>
      </c>
      <c r="AE21" s="3">
        <v>1</v>
      </c>
      <c r="AG21" s="1">
        <v>2360</v>
      </c>
      <c r="AI21" s="1">
        <v>2360</v>
      </c>
      <c r="AJ21" s="1">
        <v>2360</v>
      </c>
      <c r="AM21" s="1">
        <v>2360</v>
      </c>
      <c r="AN21" t="s">
        <v>680</v>
      </c>
      <c r="AO21" t="s">
        <v>546</v>
      </c>
      <c r="AP21" t="s">
        <v>681</v>
      </c>
      <c r="AQ21" t="s">
        <v>548</v>
      </c>
      <c r="AS21" t="s">
        <v>397</v>
      </c>
      <c r="AX21" s="1">
        <v>2360</v>
      </c>
      <c r="AY21" t="s">
        <v>546</v>
      </c>
      <c r="AZ21" t="s">
        <v>682</v>
      </c>
      <c r="BA21" s="1">
        <v>2360</v>
      </c>
      <c r="BC21" t="s">
        <v>546</v>
      </c>
      <c r="BE21" t="s">
        <v>616</v>
      </c>
      <c r="BH21" s="1">
        <v>2360</v>
      </c>
      <c r="BI21" t="s">
        <v>550</v>
      </c>
      <c r="BJ21" t="s">
        <v>683</v>
      </c>
      <c r="BK21" t="s">
        <v>683</v>
      </c>
      <c r="BL21" t="s">
        <v>552</v>
      </c>
      <c r="BM21" t="s">
        <v>645</v>
      </c>
      <c r="BN21" t="s">
        <v>684</v>
      </c>
      <c r="BO21" t="s">
        <v>685</v>
      </c>
      <c r="BR21" t="s">
        <v>546</v>
      </c>
      <c r="BS21" s="1">
        <v>2360</v>
      </c>
      <c r="BW21" t="s">
        <v>536</v>
      </c>
      <c r="BZ21" t="s">
        <v>535</v>
      </c>
      <c r="CA21" t="s">
        <v>546</v>
      </c>
      <c r="CB21" t="s">
        <v>645</v>
      </c>
      <c r="CC21" t="s">
        <v>556</v>
      </c>
      <c r="CH21" t="s">
        <v>546</v>
      </c>
      <c r="CK21" t="s">
        <v>686</v>
      </c>
      <c r="CN21" t="s">
        <v>535</v>
      </c>
      <c r="CO21" t="s">
        <v>539</v>
      </c>
      <c r="CT21" t="s">
        <v>687</v>
      </c>
      <c r="CW21" t="s">
        <v>546</v>
      </c>
      <c r="DD21" t="s">
        <v>561</v>
      </c>
      <c r="DK21" t="s">
        <v>688</v>
      </c>
    </row>
    <row r="22" ht="15" customHeight="1" spans="1:122">
      <c r="A22" t="s">
        <v>530</v>
      </c>
      <c r="B22" t="s">
        <v>689</v>
      </c>
      <c r="C22" t="s">
        <v>532</v>
      </c>
      <c r="D22" t="s">
        <v>645</v>
      </c>
      <c r="E22" t="s">
        <v>534</v>
      </c>
      <c r="F22" t="s">
        <v>534</v>
      </c>
      <c r="G22" t="s">
        <v>535</v>
      </c>
      <c r="H22" s="1">
        <v>2071</v>
      </c>
      <c r="I22" s="1">
        <v>2071</v>
      </c>
      <c r="J22" t="s">
        <v>536</v>
      </c>
      <c r="L22" t="s">
        <v>536</v>
      </c>
      <c r="M22" t="s">
        <v>377</v>
      </c>
      <c r="N22" t="s">
        <v>537</v>
      </c>
      <c r="P22" s="1">
        <v>2071</v>
      </c>
      <c r="Q22" t="s">
        <v>538</v>
      </c>
      <c r="R22" t="s">
        <v>535</v>
      </c>
      <c r="S22" t="s">
        <v>539</v>
      </c>
      <c r="T22" s="2">
        <v>1</v>
      </c>
      <c r="U22" s="1">
        <v>2071</v>
      </c>
      <c r="V22" s="1">
        <v>2071</v>
      </c>
      <c r="X22" t="s">
        <v>540</v>
      </c>
      <c r="Z22" t="s">
        <v>541</v>
      </c>
      <c r="AA22" t="s">
        <v>542</v>
      </c>
      <c r="AB22" t="s">
        <v>543</v>
      </c>
      <c r="AC22" t="s">
        <v>544</v>
      </c>
      <c r="AD22" t="s">
        <v>545</v>
      </c>
      <c r="AE22" s="3">
        <v>1</v>
      </c>
      <c r="AF22" t="s">
        <v>34</v>
      </c>
      <c r="AG22" s="1">
        <v>2071</v>
      </c>
      <c r="AI22" s="1">
        <v>2071</v>
      </c>
      <c r="AJ22" s="1">
        <v>2071</v>
      </c>
      <c r="AM22" s="1">
        <v>2071</v>
      </c>
      <c r="AN22" t="s">
        <v>643</v>
      </c>
      <c r="AO22" t="s">
        <v>546</v>
      </c>
      <c r="AP22" t="s">
        <v>643</v>
      </c>
      <c r="AQ22" t="s">
        <v>548</v>
      </c>
      <c r="AS22" t="s">
        <v>377</v>
      </c>
      <c r="AX22" s="1">
        <v>2071</v>
      </c>
      <c r="AY22" t="s">
        <v>546</v>
      </c>
      <c r="AZ22" t="s">
        <v>644</v>
      </c>
      <c r="BA22" s="1">
        <v>2071</v>
      </c>
      <c r="BC22" t="s">
        <v>546</v>
      </c>
      <c r="BD22" s="1">
        <v>2071</v>
      </c>
      <c r="BE22" t="s">
        <v>540</v>
      </c>
      <c r="BF22" s="1">
        <v>2071</v>
      </c>
      <c r="BH22" s="1">
        <v>2071</v>
      </c>
      <c r="BI22" t="s">
        <v>550</v>
      </c>
      <c r="BJ22" t="s">
        <v>551</v>
      </c>
      <c r="BK22" t="s">
        <v>551</v>
      </c>
      <c r="BL22" t="s">
        <v>552</v>
      </c>
      <c r="BM22" t="s">
        <v>645</v>
      </c>
      <c r="BN22" t="s">
        <v>690</v>
      </c>
      <c r="BO22" t="s">
        <v>691</v>
      </c>
      <c r="BR22" t="s">
        <v>546</v>
      </c>
      <c r="BS22" s="1">
        <v>2071</v>
      </c>
      <c r="BW22" t="s">
        <v>536</v>
      </c>
      <c r="BX22" s="1">
        <v>2071</v>
      </c>
      <c r="BZ22" t="s">
        <v>535</v>
      </c>
      <c r="CA22" t="s">
        <v>546</v>
      </c>
      <c r="CB22" t="s">
        <v>645</v>
      </c>
      <c r="CC22" t="s">
        <v>556</v>
      </c>
      <c r="CD22" t="s">
        <v>692</v>
      </c>
      <c r="CE22" t="s">
        <v>693</v>
      </c>
      <c r="CF22" t="s">
        <v>34</v>
      </c>
      <c r="CG22" s="4">
        <v>1</v>
      </c>
      <c r="CH22" t="s">
        <v>546</v>
      </c>
      <c r="CK22" t="s">
        <v>694</v>
      </c>
      <c r="CL22" s="1">
        <v>2071</v>
      </c>
      <c r="CN22" t="s">
        <v>535</v>
      </c>
      <c r="CO22" t="s">
        <v>539</v>
      </c>
      <c r="CT22" t="s">
        <v>560</v>
      </c>
      <c r="CW22" t="s">
        <v>546</v>
      </c>
      <c r="DD22" t="s">
        <v>561</v>
      </c>
      <c r="DK22" t="s">
        <v>695</v>
      </c>
      <c r="DL22" t="s">
        <v>696</v>
      </c>
      <c r="DR22" t="s">
        <v>697</v>
      </c>
    </row>
    <row r="23" ht="15" customHeight="1" spans="1:122">
      <c r="A23" t="s">
        <v>530</v>
      </c>
      <c r="B23" t="s">
        <v>698</v>
      </c>
      <c r="C23" t="s">
        <v>532</v>
      </c>
      <c r="D23" t="s">
        <v>645</v>
      </c>
      <c r="E23" t="s">
        <v>534</v>
      </c>
      <c r="F23" t="s">
        <v>534</v>
      </c>
      <c r="G23" t="s">
        <v>535</v>
      </c>
      <c r="H23" s="1">
        <v>3439</v>
      </c>
      <c r="I23" s="1">
        <v>3439</v>
      </c>
      <c r="J23" t="s">
        <v>536</v>
      </c>
      <c r="L23" t="s">
        <v>536</v>
      </c>
      <c r="M23" t="s">
        <v>377</v>
      </c>
      <c r="N23" t="s">
        <v>537</v>
      </c>
      <c r="P23" s="1">
        <v>3439</v>
      </c>
      <c r="Q23" t="s">
        <v>538</v>
      </c>
      <c r="R23" t="s">
        <v>535</v>
      </c>
      <c r="S23" t="s">
        <v>539</v>
      </c>
      <c r="T23" s="2">
        <v>1</v>
      </c>
      <c r="U23" s="1">
        <v>3439</v>
      </c>
      <c r="V23" s="1">
        <v>3439</v>
      </c>
      <c r="X23" t="s">
        <v>540</v>
      </c>
      <c r="Z23" t="s">
        <v>541</v>
      </c>
      <c r="AA23" t="s">
        <v>542</v>
      </c>
      <c r="AB23" t="s">
        <v>543</v>
      </c>
      <c r="AC23" t="s">
        <v>544</v>
      </c>
      <c r="AD23" t="s">
        <v>545</v>
      </c>
      <c r="AE23" s="3">
        <v>1</v>
      </c>
      <c r="AF23" t="s">
        <v>35</v>
      </c>
      <c r="AG23" s="1">
        <v>3439</v>
      </c>
      <c r="AI23" s="1">
        <v>3439</v>
      </c>
      <c r="AJ23" s="1">
        <v>3439</v>
      </c>
      <c r="AM23" s="1">
        <v>3439</v>
      </c>
      <c r="AN23" t="s">
        <v>643</v>
      </c>
      <c r="AO23" t="s">
        <v>546</v>
      </c>
      <c r="AP23" t="s">
        <v>643</v>
      </c>
      <c r="AQ23" t="s">
        <v>548</v>
      </c>
      <c r="AS23" t="s">
        <v>377</v>
      </c>
      <c r="AX23" s="1">
        <v>3439</v>
      </c>
      <c r="AY23" t="s">
        <v>546</v>
      </c>
      <c r="AZ23" t="s">
        <v>644</v>
      </c>
      <c r="BA23" s="1">
        <v>3439</v>
      </c>
      <c r="BC23" t="s">
        <v>546</v>
      </c>
      <c r="BD23" s="1">
        <v>3439</v>
      </c>
      <c r="BE23" t="s">
        <v>540</v>
      </c>
      <c r="BF23" s="1">
        <v>3439</v>
      </c>
      <c r="BH23" s="1">
        <v>3439</v>
      </c>
      <c r="BI23" t="s">
        <v>550</v>
      </c>
      <c r="BJ23" t="s">
        <v>551</v>
      </c>
      <c r="BK23" t="s">
        <v>551</v>
      </c>
      <c r="BL23" t="s">
        <v>552</v>
      </c>
      <c r="BM23" t="s">
        <v>645</v>
      </c>
      <c r="BN23" t="s">
        <v>699</v>
      </c>
      <c r="BO23" t="s">
        <v>700</v>
      </c>
      <c r="BR23" t="s">
        <v>546</v>
      </c>
      <c r="BS23" s="1">
        <v>3439</v>
      </c>
      <c r="BW23" t="s">
        <v>536</v>
      </c>
      <c r="BX23" s="1">
        <v>3439</v>
      </c>
      <c r="BZ23" t="s">
        <v>535</v>
      </c>
      <c r="CA23" t="s">
        <v>546</v>
      </c>
      <c r="CB23" t="s">
        <v>645</v>
      </c>
      <c r="CC23" t="s">
        <v>556</v>
      </c>
      <c r="CD23" t="s">
        <v>622</v>
      </c>
      <c r="CE23" t="s">
        <v>623</v>
      </c>
      <c r="CF23" t="s">
        <v>35</v>
      </c>
      <c r="CG23" s="4">
        <v>1</v>
      </c>
      <c r="CH23" t="s">
        <v>546</v>
      </c>
      <c r="CK23" t="s">
        <v>701</v>
      </c>
      <c r="CL23" s="1">
        <v>3439</v>
      </c>
      <c r="CN23" t="s">
        <v>535</v>
      </c>
      <c r="CO23" t="s">
        <v>539</v>
      </c>
      <c r="CT23" t="s">
        <v>560</v>
      </c>
      <c r="CW23" t="s">
        <v>546</v>
      </c>
      <c r="DD23" t="s">
        <v>561</v>
      </c>
      <c r="DK23" t="s">
        <v>702</v>
      </c>
      <c r="DL23" t="s">
        <v>703</v>
      </c>
      <c r="DR23" t="s">
        <v>704</v>
      </c>
    </row>
    <row r="24" ht="15" customHeight="1" spans="1:122">
      <c r="A24" t="s">
        <v>603</v>
      </c>
      <c r="B24" t="s">
        <v>705</v>
      </c>
      <c r="C24" t="s">
        <v>532</v>
      </c>
      <c r="D24" t="s">
        <v>670</v>
      </c>
      <c r="E24" t="s">
        <v>534</v>
      </c>
      <c r="F24" t="s">
        <v>534</v>
      </c>
      <c r="G24" t="s">
        <v>535</v>
      </c>
      <c r="H24" s="1">
        <v>3439</v>
      </c>
      <c r="I24" s="1">
        <v>3431.61</v>
      </c>
      <c r="J24" t="s">
        <v>536</v>
      </c>
      <c r="L24" t="s">
        <v>536</v>
      </c>
      <c r="M24" t="s">
        <v>377</v>
      </c>
      <c r="N24" t="s">
        <v>537</v>
      </c>
      <c r="P24" s="1">
        <v>3439</v>
      </c>
      <c r="Q24" t="s">
        <v>538</v>
      </c>
      <c r="R24" t="s">
        <v>535</v>
      </c>
      <c r="S24" t="s">
        <v>539</v>
      </c>
      <c r="T24" s="2">
        <v>1</v>
      </c>
      <c r="U24" s="1">
        <v>3439</v>
      </c>
      <c r="V24" s="1">
        <v>3431.61</v>
      </c>
      <c r="X24" t="s">
        <v>540</v>
      </c>
      <c r="Z24" t="s">
        <v>541</v>
      </c>
      <c r="AA24" t="s">
        <v>542</v>
      </c>
      <c r="AB24" t="s">
        <v>659</v>
      </c>
      <c r="AC24" t="s">
        <v>608</v>
      </c>
      <c r="AE24" s="3">
        <v>1</v>
      </c>
      <c r="AG24" s="1">
        <v>3439</v>
      </c>
      <c r="AI24" s="1">
        <v>3439</v>
      </c>
      <c r="AJ24" s="1">
        <v>3439</v>
      </c>
      <c r="AK24" s="1">
        <v>7.39</v>
      </c>
      <c r="AM24" s="1">
        <v>3431.61</v>
      </c>
      <c r="AN24" t="s">
        <v>536</v>
      </c>
      <c r="AO24" t="s">
        <v>546</v>
      </c>
      <c r="AP24" t="s">
        <v>547</v>
      </c>
      <c r="AQ24" t="s">
        <v>548</v>
      </c>
      <c r="AS24" t="s">
        <v>377</v>
      </c>
      <c r="AX24" s="1">
        <v>3439</v>
      </c>
      <c r="AY24" t="s">
        <v>546</v>
      </c>
      <c r="AZ24" t="s">
        <v>549</v>
      </c>
      <c r="BA24" s="1">
        <v>3439</v>
      </c>
      <c r="BC24" t="s">
        <v>546</v>
      </c>
      <c r="BE24" t="s">
        <v>540</v>
      </c>
      <c r="BF24" s="1">
        <v>3439</v>
      </c>
      <c r="BG24" s="1">
        <v>7.39</v>
      </c>
      <c r="BH24" s="1">
        <v>3431.61</v>
      </c>
      <c r="BI24" t="s">
        <v>550</v>
      </c>
      <c r="BJ24" t="s">
        <v>551</v>
      </c>
      <c r="BK24" t="s">
        <v>552</v>
      </c>
      <c r="BL24" t="s">
        <v>552</v>
      </c>
      <c r="BM24" t="s">
        <v>670</v>
      </c>
      <c r="BN24" t="s">
        <v>706</v>
      </c>
      <c r="BO24" t="s">
        <v>706</v>
      </c>
      <c r="BR24" t="s">
        <v>546</v>
      </c>
      <c r="BS24" s="1">
        <v>3439</v>
      </c>
      <c r="BW24" t="s">
        <v>536</v>
      </c>
      <c r="BX24" s="1">
        <v>3439</v>
      </c>
      <c r="BZ24" t="s">
        <v>535</v>
      </c>
      <c r="CA24" t="s">
        <v>546</v>
      </c>
      <c r="CB24" t="s">
        <v>670</v>
      </c>
      <c r="CC24" t="s">
        <v>556</v>
      </c>
      <c r="CH24" t="s">
        <v>546</v>
      </c>
      <c r="CK24" t="s">
        <v>707</v>
      </c>
      <c r="CL24" s="1">
        <v>3439</v>
      </c>
      <c r="CN24" t="s">
        <v>535</v>
      </c>
      <c r="CO24" t="s">
        <v>539</v>
      </c>
      <c r="CT24" t="s">
        <v>560</v>
      </c>
      <c r="CW24" t="s">
        <v>546</v>
      </c>
      <c r="DD24" t="s">
        <v>561</v>
      </c>
      <c r="DK24" t="s">
        <v>702</v>
      </c>
      <c r="DL24" t="s">
        <v>703</v>
      </c>
    </row>
    <row r="25" ht="15" customHeight="1" spans="1:122">
      <c r="A25" t="s">
        <v>530</v>
      </c>
      <c r="B25" t="s">
        <v>708</v>
      </c>
      <c r="C25" t="s">
        <v>532</v>
      </c>
      <c r="D25" t="s">
        <v>645</v>
      </c>
      <c r="E25" t="s">
        <v>534</v>
      </c>
      <c r="F25" t="s">
        <v>534</v>
      </c>
      <c r="G25" t="s">
        <v>535</v>
      </c>
      <c r="H25" s="1">
        <v>5220</v>
      </c>
      <c r="I25" s="1">
        <v>5220</v>
      </c>
      <c r="J25" t="s">
        <v>536</v>
      </c>
      <c r="L25" t="s">
        <v>536</v>
      </c>
      <c r="M25" t="s">
        <v>377</v>
      </c>
      <c r="N25" t="s">
        <v>537</v>
      </c>
      <c r="P25" s="1">
        <v>5220</v>
      </c>
      <c r="Q25" t="s">
        <v>538</v>
      </c>
      <c r="R25" t="s">
        <v>535</v>
      </c>
      <c r="S25" t="s">
        <v>539</v>
      </c>
      <c r="T25" s="2">
        <v>1</v>
      </c>
      <c r="U25" s="1">
        <v>5220</v>
      </c>
      <c r="V25" s="1">
        <v>5220</v>
      </c>
      <c r="X25" t="s">
        <v>540</v>
      </c>
      <c r="Z25" t="s">
        <v>541</v>
      </c>
      <c r="AA25" t="s">
        <v>542</v>
      </c>
      <c r="AB25" t="s">
        <v>543</v>
      </c>
      <c r="AC25" t="s">
        <v>544</v>
      </c>
      <c r="AD25" t="s">
        <v>545</v>
      </c>
      <c r="AE25" s="3">
        <v>1</v>
      </c>
      <c r="AF25" t="s">
        <v>37</v>
      </c>
      <c r="AG25" s="1">
        <v>5220</v>
      </c>
      <c r="AI25" s="1">
        <v>5220</v>
      </c>
      <c r="AJ25" s="1">
        <v>5220</v>
      </c>
      <c r="AM25" s="1">
        <v>5220</v>
      </c>
      <c r="AN25" t="s">
        <v>643</v>
      </c>
      <c r="AO25" t="s">
        <v>546</v>
      </c>
      <c r="AP25" t="s">
        <v>643</v>
      </c>
      <c r="AQ25" t="s">
        <v>548</v>
      </c>
      <c r="AS25" t="s">
        <v>377</v>
      </c>
      <c r="AX25" s="1">
        <v>5220</v>
      </c>
      <c r="AY25" t="s">
        <v>546</v>
      </c>
      <c r="AZ25" t="s">
        <v>644</v>
      </c>
      <c r="BA25" s="1">
        <v>5220</v>
      </c>
      <c r="BC25" t="s">
        <v>546</v>
      </c>
      <c r="BD25" s="1">
        <v>5220</v>
      </c>
      <c r="BE25" t="s">
        <v>540</v>
      </c>
      <c r="BF25" s="1">
        <v>5220</v>
      </c>
      <c r="BH25" s="1">
        <v>5220</v>
      </c>
      <c r="BI25" t="s">
        <v>550</v>
      </c>
      <c r="BJ25" t="s">
        <v>551</v>
      </c>
      <c r="BK25" t="s">
        <v>551</v>
      </c>
      <c r="BL25" t="s">
        <v>552</v>
      </c>
      <c r="BM25" t="s">
        <v>670</v>
      </c>
      <c r="BN25" t="s">
        <v>709</v>
      </c>
      <c r="BO25" t="s">
        <v>710</v>
      </c>
      <c r="BR25" t="s">
        <v>546</v>
      </c>
      <c r="BS25" s="1">
        <v>5220</v>
      </c>
      <c r="BW25" t="s">
        <v>536</v>
      </c>
      <c r="BX25" s="1">
        <v>5220</v>
      </c>
      <c r="BZ25" t="s">
        <v>535</v>
      </c>
      <c r="CA25" t="s">
        <v>546</v>
      </c>
      <c r="CB25" t="s">
        <v>645</v>
      </c>
      <c r="CC25" t="s">
        <v>556</v>
      </c>
      <c r="CD25" t="s">
        <v>711</v>
      </c>
      <c r="CE25" t="s">
        <v>712</v>
      </c>
      <c r="CF25" t="s">
        <v>37</v>
      </c>
      <c r="CG25" s="4">
        <v>1</v>
      </c>
      <c r="CH25" t="s">
        <v>546</v>
      </c>
      <c r="CK25" t="s">
        <v>713</v>
      </c>
      <c r="CL25" s="1">
        <v>5220</v>
      </c>
      <c r="CN25" t="s">
        <v>535</v>
      </c>
      <c r="CO25" t="s">
        <v>539</v>
      </c>
      <c r="CT25" t="s">
        <v>560</v>
      </c>
      <c r="CW25" t="s">
        <v>546</v>
      </c>
      <c r="DD25" t="s">
        <v>561</v>
      </c>
      <c r="DK25" t="s">
        <v>714</v>
      </c>
      <c r="DL25" t="s">
        <v>715</v>
      </c>
      <c r="DR25" t="s">
        <v>716</v>
      </c>
    </row>
    <row r="26" ht="15" customHeight="1" spans="1:122">
      <c r="A26" t="s">
        <v>530</v>
      </c>
      <c r="B26" t="s">
        <v>717</v>
      </c>
      <c r="C26" t="s">
        <v>532</v>
      </c>
      <c r="D26" t="s">
        <v>533</v>
      </c>
      <c r="E26" t="s">
        <v>534</v>
      </c>
      <c r="F26" t="s">
        <v>534</v>
      </c>
      <c r="G26" t="s">
        <v>535</v>
      </c>
      <c r="H26" s="1">
        <v>2460.8</v>
      </c>
      <c r="I26" s="1">
        <v>2446.04</v>
      </c>
      <c r="J26" t="s">
        <v>536</v>
      </c>
      <c r="L26" t="s">
        <v>536</v>
      </c>
      <c r="M26" t="s">
        <v>377</v>
      </c>
      <c r="N26" t="s">
        <v>537</v>
      </c>
      <c r="P26" s="1">
        <v>2460.8</v>
      </c>
      <c r="Q26" t="s">
        <v>538</v>
      </c>
      <c r="R26" t="s">
        <v>535</v>
      </c>
      <c r="S26" t="s">
        <v>539</v>
      </c>
      <c r="T26" s="2">
        <v>1</v>
      </c>
      <c r="U26" s="1">
        <v>2460.8</v>
      </c>
      <c r="V26" s="1">
        <v>2446.04</v>
      </c>
      <c r="X26" t="s">
        <v>540</v>
      </c>
      <c r="Z26" t="s">
        <v>541</v>
      </c>
      <c r="AA26" t="s">
        <v>542</v>
      </c>
      <c r="AB26" t="s">
        <v>543</v>
      </c>
      <c r="AC26" t="s">
        <v>544</v>
      </c>
      <c r="AD26" t="s">
        <v>545</v>
      </c>
      <c r="AE26" s="3">
        <v>1</v>
      </c>
      <c r="AF26" t="s">
        <v>20</v>
      </c>
      <c r="AG26" s="1">
        <v>2460.8</v>
      </c>
      <c r="AI26" s="1">
        <v>2460.8</v>
      </c>
      <c r="AJ26" s="1">
        <v>2460.8</v>
      </c>
      <c r="AK26" s="1">
        <v>14.76</v>
      </c>
      <c r="AM26" s="1">
        <v>2446.04</v>
      </c>
      <c r="AN26" t="s">
        <v>536</v>
      </c>
      <c r="AO26" t="s">
        <v>546</v>
      </c>
      <c r="AP26" t="s">
        <v>547</v>
      </c>
      <c r="AQ26" t="s">
        <v>548</v>
      </c>
      <c r="AS26" t="s">
        <v>377</v>
      </c>
      <c r="AX26" s="1">
        <v>2460.8</v>
      </c>
      <c r="AY26" t="s">
        <v>546</v>
      </c>
      <c r="AZ26" t="s">
        <v>549</v>
      </c>
      <c r="BA26" s="1">
        <v>2460.8</v>
      </c>
      <c r="BC26" t="s">
        <v>546</v>
      </c>
      <c r="BD26" s="1">
        <v>2460.8</v>
      </c>
      <c r="BE26" t="s">
        <v>540</v>
      </c>
      <c r="BF26" s="1">
        <v>2460.8</v>
      </c>
      <c r="BG26" s="1">
        <v>14.76</v>
      </c>
      <c r="BH26" s="1">
        <v>2446.04</v>
      </c>
      <c r="BI26" t="s">
        <v>550</v>
      </c>
      <c r="BJ26" t="s">
        <v>551</v>
      </c>
      <c r="BK26" t="s">
        <v>552</v>
      </c>
      <c r="BL26" t="s">
        <v>552</v>
      </c>
      <c r="BM26" t="s">
        <v>670</v>
      </c>
      <c r="BN26" t="s">
        <v>718</v>
      </c>
      <c r="BO26" t="s">
        <v>719</v>
      </c>
      <c r="BR26" t="s">
        <v>546</v>
      </c>
      <c r="BS26" s="1">
        <v>2460.8</v>
      </c>
      <c r="BW26" t="s">
        <v>536</v>
      </c>
      <c r="BX26" s="1">
        <v>2460.8</v>
      </c>
      <c r="BZ26" t="s">
        <v>535</v>
      </c>
      <c r="CA26" t="s">
        <v>546</v>
      </c>
      <c r="CB26" t="s">
        <v>533</v>
      </c>
      <c r="CC26" t="s">
        <v>556</v>
      </c>
      <c r="CD26" t="s">
        <v>720</v>
      </c>
      <c r="CE26" t="s">
        <v>721</v>
      </c>
      <c r="CF26" t="s">
        <v>20</v>
      </c>
      <c r="CG26" s="4">
        <v>1</v>
      </c>
      <c r="CH26" t="s">
        <v>546</v>
      </c>
      <c r="CK26" t="s">
        <v>722</v>
      </c>
      <c r="CL26" s="1">
        <v>2460.8</v>
      </c>
      <c r="CN26" t="s">
        <v>535</v>
      </c>
      <c r="CO26" t="s">
        <v>539</v>
      </c>
      <c r="CT26" t="s">
        <v>560</v>
      </c>
      <c r="CW26" t="s">
        <v>546</v>
      </c>
      <c r="DD26" t="s">
        <v>561</v>
      </c>
      <c r="DK26" t="s">
        <v>723</v>
      </c>
      <c r="DL26" t="s">
        <v>724</v>
      </c>
    </row>
    <row r="27" ht="15" customHeight="1" spans="1:122">
      <c r="A27" t="s">
        <v>530</v>
      </c>
      <c r="B27" t="s">
        <v>725</v>
      </c>
      <c r="C27" t="s">
        <v>532</v>
      </c>
      <c r="D27" t="s">
        <v>533</v>
      </c>
      <c r="E27" t="s">
        <v>534</v>
      </c>
      <c r="F27" t="s">
        <v>534</v>
      </c>
      <c r="G27" t="s">
        <v>535</v>
      </c>
      <c r="H27" s="1">
        <v>615.2</v>
      </c>
      <c r="I27" s="1">
        <v>615.2</v>
      </c>
      <c r="J27" t="s">
        <v>536</v>
      </c>
      <c r="L27" t="s">
        <v>536</v>
      </c>
      <c r="M27" t="s">
        <v>377</v>
      </c>
      <c r="N27" t="s">
        <v>537</v>
      </c>
      <c r="P27" s="1">
        <v>615.2</v>
      </c>
      <c r="Q27" t="s">
        <v>538</v>
      </c>
      <c r="R27" t="s">
        <v>535</v>
      </c>
      <c r="S27" t="s">
        <v>539</v>
      </c>
      <c r="T27" s="2">
        <v>1</v>
      </c>
      <c r="U27" s="1">
        <v>615.2</v>
      </c>
      <c r="V27" s="1">
        <v>615.2</v>
      </c>
      <c r="X27" t="s">
        <v>540</v>
      </c>
      <c r="Z27" t="s">
        <v>541</v>
      </c>
      <c r="AA27" t="s">
        <v>542</v>
      </c>
      <c r="AB27" t="s">
        <v>543</v>
      </c>
      <c r="AC27" t="s">
        <v>544</v>
      </c>
      <c r="AD27" t="s">
        <v>545</v>
      </c>
      <c r="AE27" s="3">
        <v>1</v>
      </c>
      <c r="AF27" t="s">
        <v>20</v>
      </c>
      <c r="AG27" s="1">
        <v>615.2</v>
      </c>
      <c r="AI27" s="1">
        <v>615.2</v>
      </c>
      <c r="AJ27" s="1">
        <v>615.2</v>
      </c>
      <c r="AM27" s="1">
        <v>615.2</v>
      </c>
      <c r="AN27" t="s">
        <v>565</v>
      </c>
      <c r="AO27" t="s">
        <v>546</v>
      </c>
      <c r="AP27" t="s">
        <v>565</v>
      </c>
      <c r="AQ27" t="s">
        <v>548</v>
      </c>
      <c r="AS27" t="s">
        <v>377</v>
      </c>
      <c r="AX27" s="1">
        <v>615.2</v>
      </c>
      <c r="AY27" t="s">
        <v>546</v>
      </c>
      <c r="AZ27" t="s">
        <v>566</v>
      </c>
      <c r="BA27" s="1">
        <v>615.2</v>
      </c>
      <c r="BC27" t="s">
        <v>546</v>
      </c>
      <c r="BD27" s="1">
        <v>615.2</v>
      </c>
      <c r="BE27" t="s">
        <v>540</v>
      </c>
      <c r="BF27" s="1">
        <v>615.2</v>
      </c>
      <c r="BH27" s="1">
        <v>615.2</v>
      </c>
      <c r="BI27" t="s">
        <v>550</v>
      </c>
      <c r="BJ27" t="s">
        <v>551</v>
      </c>
      <c r="BK27" t="s">
        <v>551</v>
      </c>
      <c r="BL27" t="s">
        <v>552</v>
      </c>
      <c r="BM27" t="s">
        <v>670</v>
      </c>
      <c r="BN27" t="s">
        <v>726</v>
      </c>
      <c r="BO27" t="s">
        <v>727</v>
      </c>
      <c r="BR27" t="s">
        <v>546</v>
      </c>
      <c r="BS27" s="1">
        <v>615.2</v>
      </c>
      <c r="BW27" t="s">
        <v>536</v>
      </c>
      <c r="BX27" s="1">
        <v>615.2</v>
      </c>
      <c r="BZ27" t="s">
        <v>535</v>
      </c>
      <c r="CA27" t="s">
        <v>546</v>
      </c>
      <c r="CB27" t="s">
        <v>533</v>
      </c>
      <c r="CC27" t="s">
        <v>556</v>
      </c>
      <c r="CD27" t="s">
        <v>720</v>
      </c>
      <c r="CE27" t="s">
        <v>721</v>
      </c>
      <c r="CF27" t="s">
        <v>20</v>
      </c>
      <c r="CG27" s="4">
        <v>1</v>
      </c>
      <c r="CH27" t="s">
        <v>546</v>
      </c>
      <c r="CK27" t="s">
        <v>722</v>
      </c>
      <c r="CL27" s="1">
        <v>615.2</v>
      </c>
      <c r="CN27" t="s">
        <v>535</v>
      </c>
      <c r="CO27" t="s">
        <v>539</v>
      </c>
      <c r="CT27" t="s">
        <v>560</v>
      </c>
      <c r="CW27" t="s">
        <v>546</v>
      </c>
      <c r="DD27" t="s">
        <v>561</v>
      </c>
      <c r="DK27" t="s">
        <v>723</v>
      </c>
      <c r="DL27" t="s">
        <v>724</v>
      </c>
    </row>
    <row r="28" ht="15" customHeight="1" spans="1:122">
      <c r="A28" t="s">
        <v>530</v>
      </c>
      <c r="B28" t="s">
        <v>728</v>
      </c>
      <c r="C28" t="s">
        <v>532</v>
      </c>
      <c r="D28" t="s">
        <v>670</v>
      </c>
      <c r="E28" t="s">
        <v>534</v>
      </c>
      <c r="F28" t="s">
        <v>534</v>
      </c>
      <c r="G28" t="s">
        <v>535</v>
      </c>
      <c r="H28" s="1">
        <v>3639</v>
      </c>
      <c r="I28" s="1">
        <v>3639</v>
      </c>
      <c r="J28" t="s">
        <v>536</v>
      </c>
      <c r="L28" t="s">
        <v>536</v>
      </c>
      <c r="M28" t="s">
        <v>375</v>
      </c>
      <c r="N28" t="s">
        <v>537</v>
      </c>
      <c r="P28" s="1">
        <v>3639</v>
      </c>
      <c r="Q28" t="s">
        <v>580</v>
      </c>
      <c r="R28" t="s">
        <v>535</v>
      </c>
      <c r="S28" t="s">
        <v>539</v>
      </c>
      <c r="T28" s="2">
        <v>1</v>
      </c>
      <c r="U28" s="1">
        <v>3639</v>
      </c>
      <c r="V28" s="1">
        <v>3639</v>
      </c>
      <c r="X28" t="s">
        <v>540</v>
      </c>
      <c r="Z28" t="s">
        <v>541</v>
      </c>
      <c r="AA28" t="s">
        <v>542</v>
      </c>
      <c r="AB28" t="s">
        <v>543</v>
      </c>
      <c r="AC28" t="s">
        <v>544</v>
      </c>
      <c r="AD28" t="s">
        <v>545</v>
      </c>
      <c r="AE28" s="3">
        <v>1</v>
      </c>
      <c r="AF28" t="s">
        <v>39</v>
      </c>
      <c r="AG28" s="1">
        <v>3639</v>
      </c>
      <c r="AI28" s="1">
        <v>3639</v>
      </c>
      <c r="AJ28" s="1">
        <v>3639</v>
      </c>
      <c r="AM28" s="1">
        <v>3639</v>
      </c>
      <c r="AN28" t="s">
        <v>643</v>
      </c>
      <c r="AO28" t="s">
        <v>546</v>
      </c>
      <c r="AP28" t="s">
        <v>643</v>
      </c>
      <c r="AQ28" t="s">
        <v>548</v>
      </c>
      <c r="AS28" t="s">
        <v>375</v>
      </c>
      <c r="AX28" s="1">
        <v>3639</v>
      </c>
      <c r="AY28" t="s">
        <v>546</v>
      </c>
      <c r="AZ28" t="s">
        <v>644</v>
      </c>
      <c r="BA28" s="1">
        <v>3639</v>
      </c>
      <c r="BC28" t="s">
        <v>546</v>
      </c>
      <c r="BD28" s="1">
        <v>3639</v>
      </c>
      <c r="BE28" t="s">
        <v>540</v>
      </c>
      <c r="BF28" s="1">
        <v>3639</v>
      </c>
      <c r="BH28" s="1">
        <v>3639</v>
      </c>
      <c r="BI28" t="s">
        <v>550</v>
      </c>
      <c r="BJ28" t="s">
        <v>570</v>
      </c>
      <c r="BK28" t="s">
        <v>552</v>
      </c>
      <c r="BL28" t="s">
        <v>552</v>
      </c>
      <c r="BM28" t="s">
        <v>670</v>
      </c>
      <c r="BN28" t="s">
        <v>729</v>
      </c>
      <c r="BO28" t="s">
        <v>730</v>
      </c>
      <c r="BR28" t="s">
        <v>546</v>
      </c>
      <c r="BS28" s="1">
        <v>3639</v>
      </c>
      <c r="BW28" t="s">
        <v>536</v>
      </c>
      <c r="BX28" s="1">
        <v>3639</v>
      </c>
      <c r="BZ28" t="s">
        <v>535</v>
      </c>
      <c r="CA28" t="s">
        <v>546</v>
      </c>
      <c r="CB28" t="s">
        <v>670</v>
      </c>
      <c r="CC28" t="s">
        <v>556</v>
      </c>
      <c r="CD28" t="s">
        <v>622</v>
      </c>
      <c r="CE28" t="s">
        <v>623</v>
      </c>
      <c r="CF28" t="s">
        <v>39</v>
      </c>
      <c r="CG28" s="4">
        <v>1</v>
      </c>
      <c r="CH28" t="s">
        <v>546</v>
      </c>
      <c r="CK28" t="s">
        <v>731</v>
      </c>
      <c r="CL28" s="1">
        <v>3639</v>
      </c>
      <c r="CN28" t="s">
        <v>535</v>
      </c>
      <c r="CO28" t="s">
        <v>539</v>
      </c>
      <c r="CT28" t="s">
        <v>576</v>
      </c>
      <c r="CW28" t="s">
        <v>546</v>
      </c>
      <c r="DD28" t="s">
        <v>561</v>
      </c>
      <c r="DK28" t="s">
        <v>732</v>
      </c>
      <c r="DL28" t="s">
        <v>733</v>
      </c>
      <c r="DR28" t="s">
        <v>734</v>
      </c>
    </row>
    <row r="29" ht="15" customHeight="1" spans="1:122">
      <c r="A29" t="s">
        <v>530</v>
      </c>
      <c r="B29" t="s">
        <v>735</v>
      </c>
      <c r="C29" t="s">
        <v>532</v>
      </c>
      <c r="D29" t="s">
        <v>670</v>
      </c>
      <c r="E29" t="s">
        <v>534</v>
      </c>
      <c r="F29" t="s">
        <v>534</v>
      </c>
      <c r="G29" t="s">
        <v>535</v>
      </c>
      <c r="H29" s="1">
        <v>2591</v>
      </c>
      <c r="I29" s="1">
        <v>2591</v>
      </c>
      <c r="J29" t="s">
        <v>536</v>
      </c>
      <c r="L29" t="s">
        <v>536</v>
      </c>
      <c r="M29" t="s">
        <v>377</v>
      </c>
      <c r="N29" t="s">
        <v>537</v>
      </c>
      <c r="P29" s="1">
        <v>2591</v>
      </c>
      <c r="Q29" t="s">
        <v>538</v>
      </c>
      <c r="R29" t="s">
        <v>535</v>
      </c>
      <c r="S29" t="s">
        <v>539</v>
      </c>
      <c r="T29" s="2">
        <v>1</v>
      </c>
      <c r="U29" s="1">
        <v>2591</v>
      </c>
      <c r="V29" s="1">
        <v>2591</v>
      </c>
      <c r="X29" t="s">
        <v>540</v>
      </c>
      <c r="Z29" t="s">
        <v>541</v>
      </c>
      <c r="AA29" t="s">
        <v>542</v>
      </c>
      <c r="AB29" t="s">
        <v>543</v>
      </c>
      <c r="AC29" t="s">
        <v>544</v>
      </c>
      <c r="AD29" t="s">
        <v>545</v>
      </c>
      <c r="AE29" s="3">
        <v>1</v>
      </c>
      <c r="AF29" t="s">
        <v>38</v>
      </c>
      <c r="AG29" s="1">
        <v>2591</v>
      </c>
      <c r="AI29" s="1">
        <v>2591</v>
      </c>
      <c r="AJ29" s="1">
        <v>2591</v>
      </c>
      <c r="AM29" s="1">
        <v>2591</v>
      </c>
      <c r="AN29" t="s">
        <v>643</v>
      </c>
      <c r="AO29" t="s">
        <v>546</v>
      </c>
      <c r="AP29" t="s">
        <v>643</v>
      </c>
      <c r="AQ29" t="s">
        <v>548</v>
      </c>
      <c r="AS29" t="s">
        <v>377</v>
      </c>
      <c r="AX29" s="1">
        <v>2591</v>
      </c>
      <c r="AY29" t="s">
        <v>546</v>
      </c>
      <c r="AZ29" t="s">
        <v>644</v>
      </c>
      <c r="BA29" s="1">
        <v>2591</v>
      </c>
      <c r="BC29" t="s">
        <v>546</v>
      </c>
      <c r="BD29" s="1">
        <v>2591</v>
      </c>
      <c r="BE29" t="s">
        <v>540</v>
      </c>
      <c r="BF29" s="1">
        <v>2591</v>
      </c>
      <c r="BH29" s="1">
        <v>2591</v>
      </c>
      <c r="BI29" t="s">
        <v>550</v>
      </c>
      <c r="BJ29" t="s">
        <v>551</v>
      </c>
      <c r="BK29" t="s">
        <v>551</v>
      </c>
      <c r="BL29" t="s">
        <v>552</v>
      </c>
      <c r="BM29" t="s">
        <v>670</v>
      </c>
      <c r="BN29" t="s">
        <v>736</v>
      </c>
      <c r="BO29" t="s">
        <v>737</v>
      </c>
      <c r="BR29" t="s">
        <v>546</v>
      </c>
      <c r="BS29" s="1">
        <v>2591</v>
      </c>
      <c r="BW29" t="s">
        <v>536</v>
      </c>
      <c r="BX29" s="1">
        <v>2591</v>
      </c>
      <c r="BZ29" t="s">
        <v>535</v>
      </c>
      <c r="CA29" t="s">
        <v>546</v>
      </c>
      <c r="CB29" t="s">
        <v>670</v>
      </c>
      <c r="CC29" t="s">
        <v>556</v>
      </c>
      <c r="CD29" t="s">
        <v>633</v>
      </c>
      <c r="CE29" t="s">
        <v>634</v>
      </c>
      <c r="CF29" t="s">
        <v>38</v>
      </c>
      <c r="CG29" s="4">
        <v>1</v>
      </c>
      <c r="CH29" t="s">
        <v>546</v>
      </c>
      <c r="CK29" t="s">
        <v>738</v>
      </c>
      <c r="CL29" s="1">
        <v>2591</v>
      </c>
      <c r="CN29" t="s">
        <v>535</v>
      </c>
      <c r="CO29" t="s">
        <v>539</v>
      </c>
      <c r="CT29" t="s">
        <v>560</v>
      </c>
      <c r="CW29" t="s">
        <v>546</v>
      </c>
      <c r="DD29" t="s">
        <v>561</v>
      </c>
      <c r="DK29" t="s">
        <v>739</v>
      </c>
      <c r="DL29" t="s">
        <v>740</v>
      </c>
      <c r="DR29" t="s">
        <v>741</v>
      </c>
    </row>
    <row r="30" ht="15" customHeight="1" spans="1:122">
      <c r="A30" t="s">
        <v>530</v>
      </c>
      <c r="B30" t="s">
        <v>742</v>
      </c>
      <c r="C30" t="s">
        <v>532</v>
      </c>
      <c r="D30" t="s">
        <v>533</v>
      </c>
      <c r="E30" t="s">
        <v>534</v>
      </c>
      <c r="F30" t="s">
        <v>534</v>
      </c>
      <c r="G30" t="s">
        <v>535</v>
      </c>
      <c r="H30" s="1">
        <v>2908.8</v>
      </c>
      <c r="I30" s="1">
        <v>2891.35</v>
      </c>
      <c r="J30" t="s">
        <v>536</v>
      </c>
      <c r="L30" t="s">
        <v>536</v>
      </c>
      <c r="M30" t="s">
        <v>377</v>
      </c>
      <c r="N30" t="s">
        <v>537</v>
      </c>
      <c r="P30" s="1">
        <v>2908.8</v>
      </c>
      <c r="Q30" t="s">
        <v>538</v>
      </c>
      <c r="R30" t="s">
        <v>535</v>
      </c>
      <c r="S30" t="s">
        <v>539</v>
      </c>
      <c r="T30" s="2">
        <v>1</v>
      </c>
      <c r="U30" s="1">
        <v>2908.8</v>
      </c>
      <c r="V30" s="1">
        <v>2891.35</v>
      </c>
      <c r="X30" t="s">
        <v>540</v>
      </c>
      <c r="Z30" t="s">
        <v>541</v>
      </c>
      <c r="AA30" t="s">
        <v>542</v>
      </c>
      <c r="AB30" t="s">
        <v>543</v>
      </c>
      <c r="AC30" t="s">
        <v>544</v>
      </c>
      <c r="AD30" t="s">
        <v>545</v>
      </c>
      <c r="AE30" s="3">
        <v>1</v>
      </c>
      <c r="AF30" t="s">
        <v>33</v>
      </c>
      <c r="AG30" s="1">
        <v>2908.8</v>
      </c>
      <c r="AI30" s="1">
        <v>2908.8</v>
      </c>
      <c r="AJ30" s="1">
        <v>2908.8</v>
      </c>
      <c r="AK30" s="1">
        <v>17.45</v>
      </c>
      <c r="AM30" s="1">
        <v>2891.35</v>
      </c>
      <c r="AN30" t="s">
        <v>536</v>
      </c>
      <c r="AO30" t="s">
        <v>546</v>
      </c>
      <c r="AP30" t="s">
        <v>547</v>
      </c>
      <c r="AQ30" t="s">
        <v>548</v>
      </c>
      <c r="AS30" t="s">
        <v>377</v>
      </c>
      <c r="AX30" s="1">
        <v>2908.8</v>
      </c>
      <c r="AY30" t="s">
        <v>546</v>
      </c>
      <c r="AZ30" t="s">
        <v>549</v>
      </c>
      <c r="BA30" s="1">
        <v>2908.8</v>
      </c>
      <c r="BC30" t="s">
        <v>546</v>
      </c>
      <c r="BD30" s="1">
        <v>2908.8</v>
      </c>
      <c r="BE30" t="s">
        <v>540</v>
      </c>
      <c r="BF30" s="1">
        <v>2908.8</v>
      </c>
      <c r="BG30" s="1">
        <v>17.45</v>
      </c>
      <c r="BH30" s="1">
        <v>2891.35</v>
      </c>
      <c r="BI30" t="s">
        <v>550</v>
      </c>
      <c r="BJ30" t="s">
        <v>551</v>
      </c>
      <c r="BK30" t="s">
        <v>552</v>
      </c>
      <c r="BL30" t="s">
        <v>552</v>
      </c>
      <c r="BM30" t="s">
        <v>670</v>
      </c>
      <c r="BN30" t="s">
        <v>743</v>
      </c>
      <c r="BO30" t="s">
        <v>744</v>
      </c>
      <c r="BR30" t="s">
        <v>546</v>
      </c>
      <c r="BS30" s="1">
        <v>2908.8</v>
      </c>
      <c r="BW30" t="s">
        <v>536</v>
      </c>
      <c r="BX30" s="1">
        <v>2908.8</v>
      </c>
      <c r="BZ30" t="s">
        <v>535</v>
      </c>
      <c r="CA30" t="s">
        <v>546</v>
      </c>
      <c r="CB30" t="s">
        <v>533</v>
      </c>
      <c r="CC30" t="s">
        <v>556</v>
      </c>
      <c r="CD30" t="s">
        <v>745</v>
      </c>
      <c r="CE30" t="s">
        <v>746</v>
      </c>
      <c r="CF30" t="s">
        <v>33</v>
      </c>
      <c r="CG30" s="4">
        <v>1</v>
      </c>
      <c r="CH30" t="s">
        <v>546</v>
      </c>
      <c r="CK30" t="s">
        <v>747</v>
      </c>
      <c r="CL30" s="1">
        <v>2908.8</v>
      </c>
      <c r="CN30" t="s">
        <v>535</v>
      </c>
      <c r="CO30" t="s">
        <v>539</v>
      </c>
      <c r="CT30" t="s">
        <v>560</v>
      </c>
      <c r="CW30" t="s">
        <v>546</v>
      </c>
      <c r="DD30" t="s">
        <v>561</v>
      </c>
      <c r="DK30" t="s">
        <v>695</v>
      </c>
      <c r="DL30" t="s">
        <v>696</v>
      </c>
    </row>
    <row r="31" ht="15" customHeight="1" spans="1:122">
      <c r="A31" t="s">
        <v>530</v>
      </c>
      <c r="B31" t="s">
        <v>748</v>
      </c>
      <c r="C31" t="s">
        <v>532</v>
      </c>
      <c r="D31" t="s">
        <v>533</v>
      </c>
      <c r="E31" t="s">
        <v>534</v>
      </c>
      <c r="F31" t="s">
        <v>534</v>
      </c>
      <c r="G31" t="s">
        <v>535</v>
      </c>
      <c r="H31" s="1">
        <v>727.2</v>
      </c>
      <c r="I31" s="1">
        <v>727.2</v>
      </c>
      <c r="J31" t="s">
        <v>536</v>
      </c>
      <c r="L31" t="s">
        <v>536</v>
      </c>
      <c r="M31" t="s">
        <v>377</v>
      </c>
      <c r="N31" t="s">
        <v>537</v>
      </c>
      <c r="P31" s="1">
        <v>727.2</v>
      </c>
      <c r="Q31" t="s">
        <v>538</v>
      </c>
      <c r="R31" t="s">
        <v>535</v>
      </c>
      <c r="S31" t="s">
        <v>539</v>
      </c>
      <c r="T31" s="2">
        <v>1</v>
      </c>
      <c r="U31" s="1">
        <v>727.2</v>
      </c>
      <c r="V31" s="1">
        <v>727.2</v>
      </c>
      <c r="X31" t="s">
        <v>540</v>
      </c>
      <c r="Z31" t="s">
        <v>541</v>
      </c>
      <c r="AA31" t="s">
        <v>542</v>
      </c>
      <c r="AB31" t="s">
        <v>543</v>
      </c>
      <c r="AC31" t="s">
        <v>544</v>
      </c>
      <c r="AD31" t="s">
        <v>545</v>
      </c>
      <c r="AE31" s="3">
        <v>1</v>
      </c>
      <c r="AF31" t="s">
        <v>33</v>
      </c>
      <c r="AG31" s="1">
        <v>727.2</v>
      </c>
      <c r="AI31" s="1">
        <v>727.2</v>
      </c>
      <c r="AJ31" s="1">
        <v>727.2</v>
      </c>
      <c r="AM31" s="1">
        <v>727.2</v>
      </c>
      <c r="AN31" t="s">
        <v>565</v>
      </c>
      <c r="AO31" t="s">
        <v>546</v>
      </c>
      <c r="AP31" t="s">
        <v>565</v>
      </c>
      <c r="AQ31" t="s">
        <v>548</v>
      </c>
      <c r="AS31" t="s">
        <v>377</v>
      </c>
      <c r="AX31" s="1">
        <v>727.2</v>
      </c>
      <c r="AY31" t="s">
        <v>546</v>
      </c>
      <c r="AZ31" t="s">
        <v>566</v>
      </c>
      <c r="BA31" s="1">
        <v>727.2</v>
      </c>
      <c r="BC31" t="s">
        <v>546</v>
      </c>
      <c r="BD31" s="1">
        <v>727.2</v>
      </c>
      <c r="BE31" t="s">
        <v>540</v>
      </c>
      <c r="BF31" s="1">
        <v>727.2</v>
      </c>
      <c r="BH31" s="1">
        <v>727.2</v>
      </c>
      <c r="BI31" t="s">
        <v>550</v>
      </c>
      <c r="BJ31" t="s">
        <v>551</v>
      </c>
      <c r="BK31" t="s">
        <v>551</v>
      </c>
      <c r="BL31" t="s">
        <v>552</v>
      </c>
      <c r="BM31" t="s">
        <v>670</v>
      </c>
      <c r="BN31" t="s">
        <v>749</v>
      </c>
      <c r="BO31" t="s">
        <v>750</v>
      </c>
      <c r="BR31" t="s">
        <v>546</v>
      </c>
      <c r="BS31" s="1">
        <v>727.2</v>
      </c>
      <c r="BW31" t="s">
        <v>536</v>
      </c>
      <c r="BX31" s="1">
        <v>727.2</v>
      </c>
      <c r="BZ31" t="s">
        <v>535</v>
      </c>
      <c r="CA31" t="s">
        <v>546</v>
      </c>
      <c r="CB31" t="s">
        <v>533</v>
      </c>
      <c r="CC31" t="s">
        <v>556</v>
      </c>
      <c r="CD31" t="s">
        <v>745</v>
      </c>
      <c r="CE31" t="s">
        <v>746</v>
      </c>
      <c r="CF31" t="s">
        <v>33</v>
      </c>
      <c r="CG31" s="4">
        <v>1</v>
      </c>
      <c r="CH31" t="s">
        <v>546</v>
      </c>
      <c r="CK31" t="s">
        <v>747</v>
      </c>
      <c r="CL31" s="1">
        <v>727.2</v>
      </c>
      <c r="CN31" t="s">
        <v>535</v>
      </c>
      <c r="CO31" t="s">
        <v>539</v>
      </c>
      <c r="CT31" t="s">
        <v>560</v>
      </c>
      <c r="CW31" t="s">
        <v>546</v>
      </c>
      <c r="DD31" t="s">
        <v>561</v>
      </c>
      <c r="DK31" t="s">
        <v>695</v>
      </c>
      <c r="DL31" t="s">
        <v>696</v>
      </c>
    </row>
    <row r="32" ht="15" customHeight="1" spans="1:122">
      <c r="A32" t="s">
        <v>530</v>
      </c>
      <c r="B32" t="s">
        <v>751</v>
      </c>
      <c r="C32" t="s">
        <v>752</v>
      </c>
      <c r="D32" t="s">
        <v>670</v>
      </c>
      <c r="E32" t="s">
        <v>534</v>
      </c>
      <c r="F32" t="s">
        <v>534</v>
      </c>
      <c r="G32" t="s">
        <v>535</v>
      </c>
      <c r="H32" s="1">
        <v>4481</v>
      </c>
      <c r="I32" s="1">
        <v>4481</v>
      </c>
      <c r="J32" t="s">
        <v>536</v>
      </c>
      <c r="L32" t="s">
        <v>536</v>
      </c>
      <c r="M32" t="s">
        <v>389</v>
      </c>
      <c r="N32" t="s">
        <v>753</v>
      </c>
      <c r="P32" s="1">
        <v>4481</v>
      </c>
      <c r="Q32" t="s">
        <v>754</v>
      </c>
      <c r="R32" t="s">
        <v>535</v>
      </c>
      <c r="S32" t="s">
        <v>539</v>
      </c>
      <c r="T32" s="2">
        <v>1</v>
      </c>
      <c r="U32" s="1">
        <v>4481</v>
      </c>
      <c r="V32" s="1">
        <v>4481</v>
      </c>
      <c r="X32" t="s">
        <v>540</v>
      </c>
      <c r="Z32" t="s">
        <v>541</v>
      </c>
      <c r="AA32" t="s">
        <v>542</v>
      </c>
      <c r="AB32" t="s">
        <v>543</v>
      </c>
      <c r="AC32" t="s">
        <v>544</v>
      </c>
      <c r="AD32" t="s">
        <v>545</v>
      </c>
      <c r="AE32" s="3">
        <v>1</v>
      </c>
      <c r="AF32" t="s">
        <v>304</v>
      </c>
      <c r="AG32" s="1">
        <v>4481</v>
      </c>
      <c r="AI32" s="1">
        <v>4481</v>
      </c>
      <c r="AJ32" s="1">
        <v>4481</v>
      </c>
      <c r="AM32" s="1">
        <v>4481</v>
      </c>
      <c r="AN32" t="s">
        <v>536</v>
      </c>
      <c r="AO32" t="s">
        <v>546</v>
      </c>
      <c r="AP32" t="s">
        <v>547</v>
      </c>
      <c r="AQ32" t="s">
        <v>548</v>
      </c>
      <c r="AS32" t="s">
        <v>389</v>
      </c>
      <c r="AX32" s="1">
        <v>4481</v>
      </c>
      <c r="AY32" t="s">
        <v>546</v>
      </c>
      <c r="AZ32" t="s">
        <v>549</v>
      </c>
      <c r="BA32" s="1">
        <v>4481</v>
      </c>
      <c r="BC32" t="s">
        <v>546</v>
      </c>
      <c r="BD32" s="1">
        <v>4481</v>
      </c>
      <c r="BE32" t="s">
        <v>540</v>
      </c>
      <c r="BF32" s="1">
        <v>4481</v>
      </c>
      <c r="BH32" s="1">
        <v>4481</v>
      </c>
      <c r="BI32" t="s">
        <v>550</v>
      </c>
      <c r="BJ32" t="s">
        <v>551</v>
      </c>
      <c r="BK32" t="s">
        <v>551</v>
      </c>
      <c r="BL32" t="s">
        <v>552</v>
      </c>
      <c r="BM32" t="s">
        <v>670</v>
      </c>
      <c r="BN32" t="s">
        <v>755</v>
      </c>
      <c r="BO32" t="s">
        <v>756</v>
      </c>
      <c r="BR32" t="s">
        <v>546</v>
      </c>
      <c r="BS32" s="1">
        <v>4481</v>
      </c>
      <c r="BW32" t="s">
        <v>536</v>
      </c>
      <c r="BX32" s="1">
        <v>4481</v>
      </c>
      <c r="BZ32" t="s">
        <v>535</v>
      </c>
      <c r="CA32" t="s">
        <v>546</v>
      </c>
      <c r="CB32" t="s">
        <v>670</v>
      </c>
      <c r="CC32" t="s">
        <v>556</v>
      </c>
      <c r="CD32" t="s">
        <v>757</v>
      </c>
      <c r="CE32" t="s">
        <v>758</v>
      </c>
      <c r="CF32" t="s">
        <v>304</v>
      </c>
      <c r="CG32" s="4">
        <v>1</v>
      </c>
      <c r="CH32" t="s">
        <v>546</v>
      </c>
      <c r="CK32" t="s">
        <v>759</v>
      </c>
      <c r="CL32" s="1">
        <v>4481</v>
      </c>
      <c r="CN32" t="s">
        <v>535</v>
      </c>
      <c r="CO32" t="s">
        <v>539</v>
      </c>
      <c r="CT32" t="s">
        <v>760</v>
      </c>
      <c r="CW32" t="s">
        <v>546</v>
      </c>
      <c r="DD32" t="s">
        <v>561</v>
      </c>
      <c r="DK32" t="s">
        <v>761</v>
      </c>
      <c r="DL32" t="s">
        <v>762</v>
      </c>
    </row>
    <row r="33" ht="15" customHeight="1" spans="1:122">
      <c r="A33" t="s">
        <v>530</v>
      </c>
      <c r="B33" t="s">
        <v>763</v>
      </c>
      <c r="C33" t="s">
        <v>532</v>
      </c>
      <c r="D33" t="s">
        <v>670</v>
      </c>
      <c r="E33" t="s">
        <v>534</v>
      </c>
      <c r="F33" t="s">
        <v>534</v>
      </c>
      <c r="G33" t="s">
        <v>535</v>
      </c>
      <c r="H33" s="1">
        <v>6365</v>
      </c>
      <c r="I33" s="1">
        <v>6365</v>
      </c>
      <c r="J33" t="s">
        <v>536</v>
      </c>
      <c r="L33" t="s">
        <v>536</v>
      </c>
      <c r="M33" t="s">
        <v>404</v>
      </c>
      <c r="N33" t="s">
        <v>537</v>
      </c>
      <c r="P33" s="1">
        <v>6365</v>
      </c>
      <c r="Q33" t="s">
        <v>642</v>
      </c>
      <c r="R33" t="s">
        <v>535</v>
      </c>
      <c r="S33" t="s">
        <v>539</v>
      </c>
      <c r="T33" s="2">
        <v>1</v>
      </c>
      <c r="U33" s="1">
        <v>6365</v>
      </c>
      <c r="V33" s="1">
        <v>6365</v>
      </c>
      <c r="X33" t="s">
        <v>540</v>
      </c>
      <c r="Z33" t="s">
        <v>541</v>
      </c>
      <c r="AA33" t="s">
        <v>542</v>
      </c>
      <c r="AB33" t="s">
        <v>543</v>
      </c>
      <c r="AC33" t="s">
        <v>544</v>
      </c>
      <c r="AD33" t="s">
        <v>545</v>
      </c>
      <c r="AE33" s="3">
        <v>1</v>
      </c>
      <c r="AF33" t="s">
        <v>36</v>
      </c>
      <c r="AG33" s="1">
        <v>6365</v>
      </c>
      <c r="AI33" s="1">
        <v>6365</v>
      </c>
      <c r="AJ33" s="1">
        <v>6365</v>
      </c>
      <c r="AM33" s="1">
        <v>6365</v>
      </c>
      <c r="AN33" t="s">
        <v>643</v>
      </c>
      <c r="AO33" t="s">
        <v>546</v>
      </c>
      <c r="AP33" t="s">
        <v>643</v>
      </c>
      <c r="AQ33" t="s">
        <v>548</v>
      </c>
      <c r="AS33" t="s">
        <v>404</v>
      </c>
      <c r="AX33" s="1">
        <v>6365</v>
      </c>
      <c r="AY33" t="s">
        <v>546</v>
      </c>
      <c r="AZ33" t="s">
        <v>644</v>
      </c>
      <c r="BA33" s="1">
        <v>6365</v>
      </c>
      <c r="BC33" t="s">
        <v>546</v>
      </c>
      <c r="BD33" s="1">
        <v>6365</v>
      </c>
      <c r="BE33" t="s">
        <v>540</v>
      </c>
      <c r="BF33" s="1">
        <v>6365</v>
      </c>
      <c r="BH33" s="1">
        <v>6365</v>
      </c>
      <c r="BI33" t="s">
        <v>550</v>
      </c>
      <c r="BJ33" t="s">
        <v>551</v>
      </c>
      <c r="BK33" t="s">
        <v>551</v>
      </c>
      <c r="BL33" t="s">
        <v>552</v>
      </c>
      <c r="BM33" t="s">
        <v>670</v>
      </c>
      <c r="BN33" t="s">
        <v>764</v>
      </c>
      <c r="BO33" t="s">
        <v>765</v>
      </c>
      <c r="BR33" t="s">
        <v>546</v>
      </c>
      <c r="BS33" s="1">
        <v>6365</v>
      </c>
      <c r="BW33" t="s">
        <v>536</v>
      </c>
      <c r="BX33" s="1">
        <v>6365</v>
      </c>
      <c r="BZ33" t="s">
        <v>535</v>
      </c>
      <c r="CA33" t="s">
        <v>546</v>
      </c>
      <c r="CB33" t="s">
        <v>670</v>
      </c>
      <c r="CC33" t="s">
        <v>556</v>
      </c>
      <c r="CD33" t="s">
        <v>766</v>
      </c>
      <c r="CE33" t="s">
        <v>767</v>
      </c>
      <c r="CF33" t="s">
        <v>36</v>
      </c>
      <c r="CG33" s="4">
        <v>1</v>
      </c>
      <c r="CH33" t="s">
        <v>546</v>
      </c>
      <c r="CK33" t="s">
        <v>768</v>
      </c>
      <c r="CL33" s="1">
        <v>6365</v>
      </c>
      <c r="CN33" t="s">
        <v>535</v>
      </c>
      <c r="CO33" t="s">
        <v>539</v>
      </c>
      <c r="CT33" t="s">
        <v>651</v>
      </c>
      <c r="CW33" t="s">
        <v>546</v>
      </c>
      <c r="DD33" t="s">
        <v>561</v>
      </c>
      <c r="DK33" t="s">
        <v>769</v>
      </c>
      <c r="DL33" t="s">
        <v>770</v>
      </c>
      <c r="DR33" t="s">
        <v>771</v>
      </c>
    </row>
    <row r="34" ht="15" customHeight="1" spans="1:122">
      <c r="A34" t="s">
        <v>530</v>
      </c>
      <c r="B34" t="s">
        <v>772</v>
      </c>
      <c r="C34" t="s">
        <v>532</v>
      </c>
      <c r="D34" t="s">
        <v>533</v>
      </c>
      <c r="E34" t="s">
        <v>534</v>
      </c>
      <c r="F34" t="s">
        <v>534</v>
      </c>
      <c r="G34" t="s">
        <v>535</v>
      </c>
      <c r="H34" s="1">
        <v>3717.6</v>
      </c>
      <c r="I34" s="1">
        <v>3695.29</v>
      </c>
      <c r="J34" t="s">
        <v>536</v>
      </c>
      <c r="L34" t="s">
        <v>536</v>
      </c>
      <c r="M34" t="s">
        <v>375</v>
      </c>
      <c r="N34" t="s">
        <v>537</v>
      </c>
      <c r="P34" s="1">
        <v>3717.6</v>
      </c>
      <c r="Q34" t="s">
        <v>580</v>
      </c>
      <c r="R34" t="s">
        <v>535</v>
      </c>
      <c r="S34" t="s">
        <v>539</v>
      </c>
      <c r="T34" s="2">
        <v>1</v>
      </c>
      <c r="U34" s="1">
        <v>3717.6</v>
      </c>
      <c r="V34" s="1">
        <v>3695.29</v>
      </c>
      <c r="X34" t="s">
        <v>540</v>
      </c>
      <c r="Z34" t="s">
        <v>541</v>
      </c>
      <c r="AA34" t="s">
        <v>542</v>
      </c>
      <c r="AB34" t="s">
        <v>543</v>
      </c>
      <c r="AC34" t="s">
        <v>544</v>
      </c>
      <c r="AD34" t="s">
        <v>545</v>
      </c>
      <c r="AE34" s="3">
        <v>1</v>
      </c>
      <c r="AF34" t="s">
        <v>44</v>
      </c>
      <c r="AG34" s="1">
        <v>3717.6</v>
      </c>
      <c r="AI34" s="1">
        <v>3717.6</v>
      </c>
      <c r="AJ34" s="1">
        <v>3717.6</v>
      </c>
      <c r="AK34" s="1">
        <v>22.31</v>
      </c>
      <c r="AM34" s="1">
        <v>3695.29</v>
      </c>
      <c r="AN34" t="s">
        <v>536</v>
      </c>
      <c r="AO34" t="s">
        <v>546</v>
      </c>
      <c r="AP34" t="s">
        <v>547</v>
      </c>
      <c r="AQ34" t="s">
        <v>548</v>
      </c>
      <c r="AS34" t="s">
        <v>375</v>
      </c>
      <c r="AX34" s="1">
        <v>3717.6</v>
      </c>
      <c r="AY34" t="s">
        <v>546</v>
      </c>
      <c r="AZ34" t="s">
        <v>549</v>
      </c>
      <c r="BA34" s="1">
        <v>3717.6</v>
      </c>
      <c r="BC34" t="s">
        <v>546</v>
      </c>
      <c r="BD34" s="1">
        <v>3717.6</v>
      </c>
      <c r="BE34" t="s">
        <v>540</v>
      </c>
      <c r="BF34" s="1">
        <v>3717.6</v>
      </c>
      <c r="BG34" s="1">
        <v>22.31</v>
      </c>
      <c r="BH34" s="1">
        <v>3695.29</v>
      </c>
      <c r="BI34" t="s">
        <v>550</v>
      </c>
      <c r="BJ34" t="s">
        <v>570</v>
      </c>
      <c r="BK34" t="s">
        <v>552</v>
      </c>
      <c r="BL34" t="s">
        <v>552</v>
      </c>
      <c r="BM34" t="s">
        <v>773</v>
      </c>
      <c r="BN34" t="s">
        <v>774</v>
      </c>
      <c r="BO34" t="s">
        <v>775</v>
      </c>
      <c r="BR34" t="s">
        <v>546</v>
      </c>
      <c r="BS34" s="1">
        <v>3717.6</v>
      </c>
      <c r="BW34" t="s">
        <v>536</v>
      </c>
      <c r="BX34" s="1">
        <v>3717.6</v>
      </c>
      <c r="BZ34" t="s">
        <v>535</v>
      </c>
      <c r="CA34" t="s">
        <v>546</v>
      </c>
      <c r="CB34" t="s">
        <v>533</v>
      </c>
      <c r="CC34" t="s">
        <v>556</v>
      </c>
      <c r="CD34" t="s">
        <v>776</v>
      </c>
      <c r="CE34" t="s">
        <v>777</v>
      </c>
      <c r="CF34" t="s">
        <v>44</v>
      </c>
      <c r="CG34" s="4">
        <v>1</v>
      </c>
      <c r="CH34" t="s">
        <v>546</v>
      </c>
      <c r="CK34" t="s">
        <v>778</v>
      </c>
      <c r="CL34" s="1">
        <v>3717.6</v>
      </c>
      <c r="CN34" t="s">
        <v>535</v>
      </c>
      <c r="CO34" t="s">
        <v>539</v>
      </c>
      <c r="CT34" t="s">
        <v>576</v>
      </c>
      <c r="CW34" t="s">
        <v>546</v>
      </c>
      <c r="DD34" t="s">
        <v>561</v>
      </c>
      <c r="DK34" t="s">
        <v>779</v>
      </c>
      <c r="DL34" t="s">
        <v>780</v>
      </c>
    </row>
    <row r="35" ht="15" customHeight="1" spans="1:122">
      <c r="A35" t="s">
        <v>530</v>
      </c>
      <c r="B35" t="s">
        <v>781</v>
      </c>
      <c r="C35" t="s">
        <v>532</v>
      </c>
      <c r="D35" t="s">
        <v>533</v>
      </c>
      <c r="E35" t="s">
        <v>534</v>
      </c>
      <c r="F35" t="s">
        <v>534</v>
      </c>
      <c r="G35" t="s">
        <v>535</v>
      </c>
      <c r="H35" s="1">
        <v>929.4</v>
      </c>
      <c r="I35" s="1">
        <v>929.4</v>
      </c>
      <c r="J35" t="s">
        <v>536</v>
      </c>
      <c r="L35" t="s">
        <v>536</v>
      </c>
      <c r="M35" t="s">
        <v>375</v>
      </c>
      <c r="N35" t="s">
        <v>537</v>
      </c>
      <c r="P35" s="1">
        <v>929.4</v>
      </c>
      <c r="Q35" t="s">
        <v>580</v>
      </c>
      <c r="R35" t="s">
        <v>535</v>
      </c>
      <c r="S35" t="s">
        <v>539</v>
      </c>
      <c r="T35" s="2">
        <v>1</v>
      </c>
      <c r="U35" s="1">
        <v>929.4</v>
      </c>
      <c r="V35" s="1">
        <v>929.4</v>
      </c>
      <c r="X35" t="s">
        <v>540</v>
      </c>
      <c r="Z35" t="s">
        <v>541</v>
      </c>
      <c r="AA35" t="s">
        <v>542</v>
      </c>
      <c r="AB35" t="s">
        <v>543</v>
      </c>
      <c r="AC35" t="s">
        <v>544</v>
      </c>
      <c r="AD35" t="s">
        <v>545</v>
      </c>
      <c r="AE35" s="3">
        <v>1</v>
      </c>
      <c r="AF35" t="s">
        <v>44</v>
      </c>
      <c r="AG35" s="1">
        <v>929.4</v>
      </c>
      <c r="AI35" s="1">
        <v>929.4</v>
      </c>
      <c r="AJ35" s="1">
        <v>929.4</v>
      </c>
      <c r="AM35" s="1">
        <v>929.4</v>
      </c>
      <c r="AN35" t="s">
        <v>565</v>
      </c>
      <c r="AO35" t="s">
        <v>546</v>
      </c>
      <c r="AP35" t="s">
        <v>565</v>
      </c>
      <c r="AQ35" t="s">
        <v>548</v>
      </c>
      <c r="AS35" t="s">
        <v>375</v>
      </c>
      <c r="AX35" s="1">
        <v>929.4</v>
      </c>
      <c r="AY35" t="s">
        <v>546</v>
      </c>
      <c r="AZ35" t="s">
        <v>566</v>
      </c>
      <c r="BA35" s="1">
        <v>929.4</v>
      </c>
      <c r="BC35" t="s">
        <v>546</v>
      </c>
      <c r="BD35" s="1">
        <v>929.4</v>
      </c>
      <c r="BE35" t="s">
        <v>540</v>
      </c>
      <c r="BF35" s="1">
        <v>929.4</v>
      </c>
      <c r="BH35" s="1">
        <v>929.4</v>
      </c>
      <c r="BI35" t="s">
        <v>550</v>
      </c>
      <c r="BJ35" t="s">
        <v>570</v>
      </c>
      <c r="BK35" t="s">
        <v>570</v>
      </c>
      <c r="BL35" t="s">
        <v>552</v>
      </c>
      <c r="BM35" t="s">
        <v>773</v>
      </c>
      <c r="BN35" t="s">
        <v>782</v>
      </c>
      <c r="BO35" t="s">
        <v>783</v>
      </c>
      <c r="BR35" t="s">
        <v>546</v>
      </c>
      <c r="BS35" s="1">
        <v>929.4</v>
      </c>
      <c r="BW35" t="s">
        <v>536</v>
      </c>
      <c r="BX35" s="1">
        <v>929.4</v>
      </c>
      <c r="BZ35" t="s">
        <v>535</v>
      </c>
      <c r="CA35" t="s">
        <v>546</v>
      </c>
      <c r="CB35" t="s">
        <v>533</v>
      </c>
      <c r="CC35" t="s">
        <v>556</v>
      </c>
      <c r="CD35" t="s">
        <v>776</v>
      </c>
      <c r="CE35" t="s">
        <v>777</v>
      </c>
      <c r="CF35" t="s">
        <v>44</v>
      </c>
      <c r="CG35" s="4">
        <v>1</v>
      </c>
      <c r="CH35" t="s">
        <v>546</v>
      </c>
      <c r="CK35" t="s">
        <v>778</v>
      </c>
      <c r="CL35" s="1">
        <v>929.4</v>
      </c>
      <c r="CN35" t="s">
        <v>535</v>
      </c>
      <c r="CO35" t="s">
        <v>539</v>
      </c>
      <c r="CT35" t="s">
        <v>576</v>
      </c>
      <c r="CW35" t="s">
        <v>546</v>
      </c>
      <c r="DD35" t="s">
        <v>561</v>
      </c>
      <c r="DK35" t="s">
        <v>779</v>
      </c>
      <c r="DL35" t="s">
        <v>780</v>
      </c>
    </row>
    <row r="36" ht="15" customHeight="1" spans="1:122">
      <c r="A36" t="s">
        <v>530</v>
      </c>
      <c r="B36" t="s">
        <v>784</v>
      </c>
      <c r="C36" t="s">
        <v>532</v>
      </c>
      <c r="D36" t="s">
        <v>773</v>
      </c>
      <c r="E36" t="s">
        <v>534</v>
      </c>
      <c r="F36" t="s">
        <v>534</v>
      </c>
      <c r="G36" t="s">
        <v>535</v>
      </c>
      <c r="H36" s="1">
        <v>5000</v>
      </c>
      <c r="I36" s="1">
        <v>5000</v>
      </c>
      <c r="J36" t="s">
        <v>536</v>
      </c>
      <c r="L36" t="s">
        <v>536</v>
      </c>
      <c r="M36" t="s">
        <v>382</v>
      </c>
      <c r="N36" t="s">
        <v>537</v>
      </c>
      <c r="P36" s="1">
        <v>5000</v>
      </c>
      <c r="Q36" t="s">
        <v>785</v>
      </c>
      <c r="R36" t="s">
        <v>535</v>
      </c>
      <c r="S36" t="s">
        <v>539</v>
      </c>
      <c r="T36" s="2">
        <v>1</v>
      </c>
      <c r="U36" s="1">
        <v>5000</v>
      </c>
      <c r="V36" s="1">
        <v>5000</v>
      </c>
      <c r="X36" t="s">
        <v>540</v>
      </c>
      <c r="Z36" t="s">
        <v>541</v>
      </c>
      <c r="AA36" t="s">
        <v>542</v>
      </c>
      <c r="AB36" t="s">
        <v>543</v>
      </c>
      <c r="AC36" t="s">
        <v>544</v>
      </c>
      <c r="AD36" t="s">
        <v>545</v>
      </c>
      <c r="AE36" s="3">
        <v>1</v>
      </c>
      <c r="AF36" t="s">
        <v>43</v>
      </c>
      <c r="AG36" s="1">
        <v>5000</v>
      </c>
      <c r="AI36" s="1">
        <v>5000</v>
      </c>
      <c r="AJ36" s="1">
        <v>5000</v>
      </c>
      <c r="AM36" s="1">
        <v>5000</v>
      </c>
      <c r="AN36" t="s">
        <v>643</v>
      </c>
      <c r="AO36" t="s">
        <v>546</v>
      </c>
      <c r="AP36" t="s">
        <v>643</v>
      </c>
      <c r="AQ36" t="s">
        <v>548</v>
      </c>
      <c r="AS36" t="s">
        <v>382</v>
      </c>
      <c r="AX36" s="1">
        <v>5000</v>
      </c>
      <c r="AY36" t="s">
        <v>546</v>
      </c>
      <c r="AZ36" t="s">
        <v>644</v>
      </c>
      <c r="BA36" s="1">
        <v>5000</v>
      </c>
      <c r="BC36" t="s">
        <v>546</v>
      </c>
      <c r="BD36" s="1">
        <v>5000</v>
      </c>
      <c r="BE36" t="s">
        <v>540</v>
      </c>
      <c r="BF36" s="1">
        <v>5000</v>
      </c>
      <c r="BH36" s="1">
        <v>5000</v>
      </c>
      <c r="BI36" t="s">
        <v>550</v>
      </c>
      <c r="BJ36" t="s">
        <v>785</v>
      </c>
      <c r="BK36" t="s">
        <v>785</v>
      </c>
      <c r="BL36" t="s">
        <v>552</v>
      </c>
      <c r="BM36" t="s">
        <v>773</v>
      </c>
      <c r="BN36" t="s">
        <v>786</v>
      </c>
      <c r="BO36" t="s">
        <v>787</v>
      </c>
      <c r="BR36" t="s">
        <v>546</v>
      </c>
      <c r="BS36" s="1">
        <v>5000</v>
      </c>
      <c r="BW36" t="s">
        <v>536</v>
      </c>
      <c r="BX36" s="1">
        <v>5000</v>
      </c>
      <c r="BZ36" t="s">
        <v>535</v>
      </c>
      <c r="CA36" t="s">
        <v>546</v>
      </c>
      <c r="CB36" t="s">
        <v>773</v>
      </c>
      <c r="CC36" t="s">
        <v>556</v>
      </c>
      <c r="CD36" t="s">
        <v>788</v>
      </c>
      <c r="CE36" t="s">
        <v>789</v>
      </c>
      <c r="CF36" t="s">
        <v>43</v>
      </c>
      <c r="CG36" s="4">
        <v>1</v>
      </c>
      <c r="CH36" t="s">
        <v>546</v>
      </c>
      <c r="CK36" t="s">
        <v>790</v>
      </c>
      <c r="CL36" s="1">
        <v>5000</v>
      </c>
      <c r="CN36" t="s">
        <v>535</v>
      </c>
      <c r="CO36" t="s">
        <v>539</v>
      </c>
      <c r="CT36" t="s">
        <v>791</v>
      </c>
      <c r="CW36" t="s">
        <v>546</v>
      </c>
      <c r="DD36" t="s">
        <v>561</v>
      </c>
      <c r="DK36" t="s">
        <v>792</v>
      </c>
      <c r="DL36" t="s">
        <v>793</v>
      </c>
      <c r="DR36" t="s">
        <v>794</v>
      </c>
    </row>
    <row r="37" ht="15" customHeight="1" spans="1:122">
      <c r="A37" t="s">
        <v>603</v>
      </c>
      <c r="B37" t="s">
        <v>795</v>
      </c>
      <c r="C37" t="s">
        <v>532</v>
      </c>
      <c r="D37" t="s">
        <v>645</v>
      </c>
      <c r="E37" t="s">
        <v>534</v>
      </c>
      <c r="F37" t="s">
        <v>534</v>
      </c>
      <c r="G37" t="s">
        <v>535</v>
      </c>
      <c r="H37" s="1">
        <v>17300</v>
      </c>
      <c r="I37" s="1">
        <v>17187.53</v>
      </c>
      <c r="J37" t="s">
        <v>536</v>
      </c>
      <c r="L37" t="s">
        <v>536</v>
      </c>
      <c r="M37" t="s">
        <v>411</v>
      </c>
      <c r="N37" t="s">
        <v>369</v>
      </c>
      <c r="P37" s="1">
        <v>17300</v>
      </c>
      <c r="Q37" t="s">
        <v>606</v>
      </c>
      <c r="R37" t="s">
        <v>535</v>
      </c>
      <c r="S37" t="s">
        <v>539</v>
      </c>
      <c r="T37" s="2">
        <v>1</v>
      </c>
      <c r="U37" s="1">
        <v>17300</v>
      </c>
      <c r="V37" s="1">
        <v>17187.53</v>
      </c>
      <c r="X37" t="s">
        <v>616</v>
      </c>
      <c r="Z37" t="s">
        <v>541</v>
      </c>
      <c r="AA37" t="s">
        <v>542</v>
      </c>
      <c r="AB37" t="s">
        <v>543</v>
      </c>
      <c r="AC37" t="s">
        <v>608</v>
      </c>
      <c r="AE37" s="3">
        <v>1</v>
      </c>
      <c r="AG37" s="1">
        <v>3290</v>
      </c>
      <c r="AI37" s="1">
        <v>17300</v>
      </c>
      <c r="AJ37" s="1">
        <v>3290</v>
      </c>
      <c r="AK37" s="1">
        <v>21.39</v>
      </c>
      <c r="AM37" s="1">
        <v>3268.61</v>
      </c>
      <c r="AN37" t="s">
        <v>536</v>
      </c>
      <c r="AO37" t="s">
        <v>546</v>
      </c>
      <c r="AP37" t="s">
        <v>547</v>
      </c>
      <c r="AQ37" t="s">
        <v>548</v>
      </c>
      <c r="AS37" t="s">
        <v>411</v>
      </c>
      <c r="AX37" s="1">
        <v>3290</v>
      </c>
      <c r="AY37" t="s">
        <v>546</v>
      </c>
      <c r="AZ37" t="s">
        <v>549</v>
      </c>
      <c r="BA37" s="1">
        <v>3290</v>
      </c>
      <c r="BB37" t="s">
        <v>796</v>
      </c>
      <c r="BC37" t="s">
        <v>546</v>
      </c>
      <c r="BE37" t="s">
        <v>616</v>
      </c>
      <c r="BG37" s="1">
        <v>21.39</v>
      </c>
      <c r="BH37" s="1">
        <v>3268.61</v>
      </c>
      <c r="BI37" t="s">
        <v>550</v>
      </c>
      <c r="BJ37" t="s">
        <v>610</v>
      </c>
      <c r="BK37" t="s">
        <v>552</v>
      </c>
      <c r="BL37" t="s">
        <v>552</v>
      </c>
      <c r="BM37" t="s">
        <v>773</v>
      </c>
      <c r="BN37" t="s">
        <v>797</v>
      </c>
      <c r="BO37" t="s">
        <v>798</v>
      </c>
      <c r="BR37" t="s">
        <v>546</v>
      </c>
      <c r="BS37" s="1">
        <v>3290</v>
      </c>
      <c r="BW37" t="s">
        <v>536</v>
      </c>
      <c r="BZ37" t="s">
        <v>535</v>
      </c>
      <c r="CA37" t="s">
        <v>546</v>
      </c>
      <c r="CB37" t="s">
        <v>645</v>
      </c>
      <c r="CC37" t="s">
        <v>556</v>
      </c>
      <c r="CH37" t="s">
        <v>546</v>
      </c>
      <c r="CK37" t="s">
        <v>799</v>
      </c>
      <c r="CN37" t="s">
        <v>535</v>
      </c>
      <c r="CO37" t="s">
        <v>539</v>
      </c>
      <c r="CT37" t="s">
        <v>576</v>
      </c>
      <c r="CW37" t="s">
        <v>546</v>
      </c>
      <c r="DD37" t="s">
        <v>561</v>
      </c>
      <c r="DK37" t="s">
        <v>800</v>
      </c>
      <c r="DR37" t="s">
        <v>800</v>
      </c>
    </row>
    <row r="38" ht="15" customHeight="1" spans="1:122">
      <c r="AB38" t="s">
        <v>543</v>
      </c>
      <c r="AC38" t="s">
        <v>608</v>
      </c>
      <c r="AG38" s="1">
        <v>2976</v>
      </c>
      <c r="AJ38" s="1">
        <v>2976</v>
      </c>
      <c r="AK38" s="1">
        <v>19.35</v>
      </c>
      <c r="AM38" s="1">
        <v>2956.65</v>
      </c>
      <c r="AN38" t="s">
        <v>536</v>
      </c>
      <c r="AP38" t="s">
        <v>547</v>
      </c>
      <c r="AX38" s="1">
        <v>2976</v>
      </c>
      <c r="AZ38" t="s">
        <v>549</v>
      </c>
      <c r="BA38" s="1">
        <v>2976</v>
      </c>
      <c r="BB38" t="s">
        <v>801</v>
      </c>
      <c r="BC38" t="s">
        <v>546</v>
      </c>
      <c r="BE38" t="s">
        <v>616</v>
      </c>
      <c r="BG38" s="1">
        <v>19.35</v>
      </c>
      <c r="BH38" s="1">
        <v>2956.65</v>
      </c>
      <c r="BS38" s="1">
        <v>2976</v>
      </c>
      <c r="CB38" t="s">
        <v>645</v>
      </c>
      <c r="CC38" t="s">
        <v>556</v>
      </c>
      <c r="DD38" t="s">
        <v>561</v>
      </c>
    </row>
    <row r="39" ht="15" customHeight="1" spans="1:122">
      <c r="AB39" t="s">
        <v>543</v>
      </c>
      <c r="AC39" t="s">
        <v>608</v>
      </c>
      <c r="AG39" s="1">
        <v>2976</v>
      </c>
      <c r="AJ39" s="1">
        <v>2976</v>
      </c>
      <c r="AK39" s="1">
        <v>19.35</v>
      </c>
      <c r="AM39" s="1">
        <v>2956.65</v>
      </c>
      <c r="AN39" t="s">
        <v>536</v>
      </c>
      <c r="AP39" t="s">
        <v>547</v>
      </c>
      <c r="AX39" s="1">
        <v>2976</v>
      </c>
      <c r="AZ39" t="s">
        <v>549</v>
      </c>
      <c r="BA39" s="1">
        <v>2976</v>
      </c>
      <c r="BB39" t="s">
        <v>802</v>
      </c>
      <c r="BC39" t="s">
        <v>546</v>
      </c>
      <c r="BE39" t="s">
        <v>616</v>
      </c>
      <c r="BG39" s="1">
        <v>19.35</v>
      </c>
      <c r="BH39" s="1">
        <v>2956.65</v>
      </c>
      <c r="BS39" s="1">
        <v>2976</v>
      </c>
      <c r="CB39" t="s">
        <v>645</v>
      </c>
      <c r="CC39" t="s">
        <v>556</v>
      </c>
      <c r="DD39" t="s">
        <v>561</v>
      </c>
    </row>
    <row r="40" ht="15" customHeight="1" spans="1:122">
      <c r="AB40" t="s">
        <v>543</v>
      </c>
      <c r="AC40" t="s">
        <v>608</v>
      </c>
      <c r="AG40" s="1">
        <v>2686</v>
      </c>
      <c r="AJ40" s="1">
        <v>2686</v>
      </c>
      <c r="AK40" s="1">
        <v>17.46</v>
      </c>
      <c r="AM40" s="1">
        <v>2668.54</v>
      </c>
      <c r="AN40" t="s">
        <v>536</v>
      </c>
      <c r="AP40" t="s">
        <v>547</v>
      </c>
      <c r="AX40" s="1">
        <v>2686</v>
      </c>
      <c r="AZ40" t="s">
        <v>549</v>
      </c>
      <c r="BA40" s="1">
        <v>2686</v>
      </c>
      <c r="BB40" t="s">
        <v>803</v>
      </c>
      <c r="BC40" t="s">
        <v>546</v>
      </c>
      <c r="BE40" t="s">
        <v>616</v>
      </c>
      <c r="BG40" s="1">
        <v>17.46</v>
      </c>
      <c r="BH40" s="1">
        <v>2668.54</v>
      </c>
      <c r="BS40" s="1">
        <v>2686</v>
      </c>
      <c r="CB40" t="s">
        <v>645</v>
      </c>
      <c r="CC40" t="s">
        <v>556</v>
      </c>
      <c r="DD40" t="s">
        <v>561</v>
      </c>
    </row>
    <row r="41" ht="15" customHeight="1" spans="1:122">
      <c r="AB41" t="s">
        <v>543</v>
      </c>
      <c r="AC41" t="s">
        <v>608</v>
      </c>
      <c r="AG41" s="1">
        <v>2686</v>
      </c>
      <c r="AJ41" s="1">
        <v>2686</v>
      </c>
      <c r="AK41" s="1">
        <v>17.46</v>
      </c>
      <c r="AM41" s="1">
        <v>2668.54</v>
      </c>
      <c r="AN41" t="s">
        <v>536</v>
      </c>
      <c r="AP41" t="s">
        <v>547</v>
      </c>
      <c r="AX41" s="1">
        <v>2686</v>
      </c>
      <c r="AZ41" t="s">
        <v>549</v>
      </c>
      <c r="BA41" s="1">
        <v>2686</v>
      </c>
      <c r="BB41" t="s">
        <v>804</v>
      </c>
      <c r="BC41" t="s">
        <v>546</v>
      </c>
      <c r="BE41" t="s">
        <v>616</v>
      </c>
      <c r="BG41" s="1">
        <v>17.46</v>
      </c>
      <c r="BH41" s="1">
        <v>2668.54</v>
      </c>
      <c r="BS41" s="1">
        <v>2686</v>
      </c>
      <c r="CB41" t="s">
        <v>645</v>
      </c>
      <c r="CC41" t="s">
        <v>556</v>
      </c>
      <c r="DD41" t="s">
        <v>561</v>
      </c>
    </row>
    <row r="42" ht="15" customHeight="1" spans="1:122">
      <c r="AB42" t="s">
        <v>543</v>
      </c>
      <c r="AC42" t="s">
        <v>608</v>
      </c>
      <c r="AG42" s="1">
        <v>2686</v>
      </c>
      <c r="AJ42" s="1">
        <v>2686</v>
      </c>
      <c r="AK42" s="1">
        <v>17.46</v>
      </c>
      <c r="AM42" s="1">
        <v>2668.54</v>
      </c>
      <c r="AN42" t="s">
        <v>536</v>
      </c>
      <c r="AP42" t="s">
        <v>547</v>
      </c>
      <c r="AX42" s="1">
        <v>2686</v>
      </c>
      <c r="AZ42" t="s">
        <v>549</v>
      </c>
      <c r="BA42" s="1">
        <v>2686</v>
      </c>
      <c r="BB42" t="s">
        <v>805</v>
      </c>
      <c r="BC42" t="s">
        <v>546</v>
      </c>
      <c r="BE42" t="s">
        <v>616</v>
      </c>
      <c r="BG42" s="1">
        <v>17.46</v>
      </c>
      <c r="BH42" s="1">
        <v>2668.54</v>
      </c>
      <c r="BS42" s="1">
        <v>2686</v>
      </c>
      <c r="CB42" t="s">
        <v>645</v>
      </c>
      <c r="CC42" t="s">
        <v>556</v>
      </c>
      <c r="DD42" t="s">
        <v>561</v>
      </c>
    </row>
    <row r="43" ht="15" customHeight="1" spans="1:122">
      <c r="A43" t="s">
        <v>603</v>
      </c>
      <c r="B43" t="s">
        <v>806</v>
      </c>
      <c r="C43" t="s">
        <v>532</v>
      </c>
      <c r="D43" t="s">
        <v>670</v>
      </c>
      <c r="E43" t="s">
        <v>534</v>
      </c>
      <c r="F43" t="s">
        <v>534</v>
      </c>
      <c r="G43" t="s">
        <v>535</v>
      </c>
      <c r="H43" s="1">
        <v>17592</v>
      </c>
      <c r="I43" s="1">
        <v>17477.65</v>
      </c>
      <c r="J43" t="s">
        <v>536</v>
      </c>
      <c r="L43" t="s">
        <v>536</v>
      </c>
      <c r="M43" t="s">
        <v>411</v>
      </c>
      <c r="N43" t="s">
        <v>369</v>
      </c>
      <c r="P43" s="1">
        <v>17592</v>
      </c>
      <c r="Q43" t="s">
        <v>606</v>
      </c>
      <c r="R43" t="s">
        <v>535</v>
      </c>
      <c r="S43" t="s">
        <v>539</v>
      </c>
      <c r="T43" s="2">
        <v>1</v>
      </c>
      <c r="U43" s="1">
        <v>17592</v>
      </c>
      <c r="V43" s="1">
        <v>17477.65</v>
      </c>
      <c r="X43" t="s">
        <v>616</v>
      </c>
      <c r="Z43" t="s">
        <v>541</v>
      </c>
      <c r="AA43" t="s">
        <v>542</v>
      </c>
      <c r="AB43" t="s">
        <v>543</v>
      </c>
      <c r="AC43" t="s">
        <v>608</v>
      </c>
      <c r="AE43" s="3">
        <v>1</v>
      </c>
      <c r="AG43" s="1">
        <v>3460</v>
      </c>
      <c r="AI43" s="1">
        <v>17592</v>
      </c>
      <c r="AJ43" s="1">
        <v>3460</v>
      </c>
      <c r="AK43" s="1">
        <v>22.49</v>
      </c>
      <c r="AM43" s="1">
        <v>3437.51</v>
      </c>
      <c r="AN43" t="s">
        <v>536</v>
      </c>
      <c r="AO43" t="s">
        <v>546</v>
      </c>
      <c r="AP43" t="s">
        <v>547</v>
      </c>
      <c r="AQ43" t="s">
        <v>548</v>
      </c>
      <c r="AS43" t="s">
        <v>411</v>
      </c>
      <c r="AX43" s="1">
        <v>3460</v>
      </c>
      <c r="AY43" t="s">
        <v>546</v>
      </c>
      <c r="AZ43" t="s">
        <v>549</v>
      </c>
      <c r="BA43" s="1">
        <v>3460</v>
      </c>
      <c r="BB43" t="s">
        <v>807</v>
      </c>
      <c r="BC43" t="s">
        <v>546</v>
      </c>
      <c r="BE43" t="s">
        <v>616</v>
      </c>
      <c r="BG43" s="1">
        <v>22.49</v>
      </c>
      <c r="BH43" s="1">
        <v>3437.51</v>
      </c>
      <c r="BI43" t="s">
        <v>550</v>
      </c>
      <c r="BJ43" t="s">
        <v>610</v>
      </c>
      <c r="BK43" t="s">
        <v>552</v>
      </c>
      <c r="BL43" t="s">
        <v>552</v>
      </c>
      <c r="BM43" t="s">
        <v>773</v>
      </c>
      <c r="BN43" t="s">
        <v>808</v>
      </c>
      <c r="BO43" t="s">
        <v>809</v>
      </c>
      <c r="BR43" t="s">
        <v>546</v>
      </c>
      <c r="BS43" s="1">
        <v>3460</v>
      </c>
      <c r="BW43" t="s">
        <v>536</v>
      </c>
      <c r="BZ43" t="s">
        <v>535</v>
      </c>
      <c r="CA43" t="s">
        <v>546</v>
      </c>
      <c r="CB43" t="s">
        <v>670</v>
      </c>
      <c r="CC43" t="s">
        <v>556</v>
      </c>
      <c r="CH43" t="s">
        <v>546</v>
      </c>
      <c r="CK43" t="s">
        <v>810</v>
      </c>
      <c r="CN43" t="s">
        <v>535</v>
      </c>
      <c r="CO43" t="s">
        <v>539</v>
      </c>
      <c r="CT43" t="s">
        <v>576</v>
      </c>
      <c r="CW43" t="s">
        <v>546</v>
      </c>
      <c r="DD43" t="s">
        <v>561</v>
      </c>
      <c r="DK43" t="s">
        <v>811</v>
      </c>
      <c r="DR43" t="s">
        <v>811</v>
      </c>
    </row>
    <row r="44" ht="15" customHeight="1" spans="1:122">
      <c r="AB44" t="s">
        <v>543</v>
      </c>
      <c r="AC44" t="s">
        <v>608</v>
      </c>
      <c r="AG44" s="1">
        <v>2686</v>
      </c>
      <c r="AJ44" s="1">
        <v>2686</v>
      </c>
      <c r="AK44" s="1">
        <v>17.46</v>
      </c>
      <c r="AM44" s="1">
        <v>2668.54</v>
      </c>
      <c r="AN44" t="s">
        <v>536</v>
      </c>
      <c r="AP44" t="s">
        <v>547</v>
      </c>
      <c r="AX44" s="1">
        <v>2686</v>
      </c>
      <c r="AZ44" t="s">
        <v>549</v>
      </c>
      <c r="BA44" s="1">
        <v>2686</v>
      </c>
      <c r="BB44" t="s">
        <v>812</v>
      </c>
      <c r="BC44" t="s">
        <v>546</v>
      </c>
      <c r="BE44" t="s">
        <v>616</v>
      </c>
      <c r="BG44" s="1">
        <v>17.46</v>
      </c>
      <c r="BH44" s="1">
        <v>2668.54</v>
      </c>
      <c r="BS44" s="1">
        <v>2686</v>
      </c>
      <c r="CB44" t="s">
        <v>670</v>
      </c>
      <c r="CC44" t="s">
        <v>556</v>
      </c>
      <c r="DD44" t="s">
        <v>561</v>
      </c>
    </row>
    <row r="45" ht="15" customHeight="1" spans="1:122">
      <c r="AB45" t="s">
        <v>543</v>
      </c>
      <c r="AC45" t="s">
        <v>608</v>
      </c>
      <c r="AG45" s="1">
        <v>2686</v>
      </c>
      <c r="AJ45" s="1">
        <v>2686</v>
      </c>
      <c r="AK45" s="1">
        <v>17.46</v>
      </c>
      <c r="AM45" s="1">
        <v>2668.54</v>
      </c>
      <c r="AN45" t="s">
        <v>536</v>
      </c>
      <c r="AP45" t="s">
        <v>547</v>
      </c>
      <c r="AX45" s="1">
        <v>2686</v>
      </c>
      <c r="AZ45" t="s">
        <v>549</v>
      </c>
      <c r="BA45" s="1">
        <v>2686</v>
      </c>
      <c r="BB45" t="s">
        <v>813</v>
      </c>
      <c r="BC45" t="s">
        <v>546</v>
      </c>
      <c r="BE45" t="s">
        <v>616</v>
      </c>
      <c r="BG45" s="1">
        <v>17.46</v>
      </c>
      <c r="BH45" s="1">
        <v>2668.54</v>
      </c>
      <c r="BS45" s="1">
        <v>2686</v>
      </c>
      <c r="CB45" t="s">
        <v>670</v>
      </c>
      <c r="CC45" t="s">
        <v>556</v>
      </c>
      <c r="DD45" t="s">
        <v>561</v>
      </c>
    </row>
    <row r="46" ht="15" customHeight="1" spans="1:122">
      <c r="AB46" t="s">
        <v>543</v>
      </c>
      <c r="AC46" t="s">
        <v>608</v>
      </c>
      <c r="AG46" s="1">
        <v>2686</v>
      </c>
      <c r="AJ46" s="1">
        <v>2686</v>
      </c>
      <c r="AK46" s="1">
        <v>17.46</v>
      </c>
      <c r="AM46" s="1">
        <v>2668.54</v>
      </c>
      <c r="AN46" t="s">
        <v>536</v>
      </c>
      <c r="AP46" t="s">
        <v>547</v>
      </c>
      <c r="AX46" s="1">
        <v>2686</v>
      </c>
      <c r="AZ46" t="s">
        <v>549</v>
      </c>
      <c r="BA46" s="1">
        <v>2686</v>
      </c>
      <c r="BB46" t="s">
        <v>814</v>
      </c>
      <c r="BC46" t="s">
        <v>546</v>
      </c>
      <c r="BE46" t="s">
        <v>616</v>
      </c>
      <c r="BG46" s="1">
        <v>17.46</v>
      </c>
      <c r="BH46" s="1">
        <v>2668.54</v>
      </c>
      <c r="BS46" s="1">
        <v>2686</v>
      </c>
      <c r="CB46" t="s">
        <v>670</v>
      </c>
      <c r="CC46" t="s">
        <v>556</v>
      </c>
      <c r="DD46" t="s">
        <v>561</v>
      </c>
    </row>
    <row r="47" ht="15" customHeight="1" spans="1:122">
      <c r="AB47" t="s">
        <v>543</v>
      </c>
      <c r="AC47" t="s">
        <v>608</v>
      </c>
      <c r="AG47" s="1">
        <v>3460</v>
      </c>
      <c r="AJ47" s="1">
        <v>3460</v>
      </c>
      <c r="AK47" s="1">
        <v>22.49</v>
      </c>
      <c r="AM47" s="1">
        <v>3437.51</v>
      </c>
      <c r="AN47" t="s">
        <v>536</v>
      </c>
      <c r="AP47" t="s">
        <v>547</v>
      </c>
      <c r="AX47" s="1">
        <v>3460</v>
      </c>
      <c r="AZ47" t="s">
        <v>549</v>
      </c>
      <c r="BA47" s="1">
        <v>3460</v>
      </c>
      <c r="BB47" t="s">
        <v>815</v>
      </c>
      <c r="BC47" t="s">
        <v>546</v>
      </c>
      <c r="BE47" t="s">
        <v>616</v>
      </c>
      <c r="BG47" s="1">
        <v>22.49</v>
      </c>
      <c r="BH47" s="1">
        <v>3437.51</v>
      </c>
      <c r="BS47" s="1">
        <v>3460</v>
      </c>
      <c r="CB47" t="s">
        <v>670</v>
      </c>
      <c r="CC47" t="s">
        <v>556</v>
      </c>
      <c r="DD47" t="s">
        <v>561</v>
      </c>
    </row>
    <row r="48" ht="15" customHeight="1" spans="1:122">
      <c r="AB48" t="s">
        <v>543</v>
      </c>
      <c r="AC48" t="s">
        <v>608</v>
      </c>
      <c r="AG48" s="1">
        <v>2614</v>
      </c>
      <c r="AJ48" s="1">
        <v>2614</v>
      </c>
      <c r="AK48" s="1">
        <v>16.99</v>
      </c>
      <c r="AM48" s="1">
        <v>2597.01</v>
      </c>
      <c r="AN48" t="s">
        <v>536</v>
      </c>
      <c r="AP48" t="s">
        <v>547</v>
      </c>
      <c r="AX48" s="1">
        <v>2614</v>
      </c>
      <c r="AZ48" t="s">
        <v>549</v>
      </c>
      <c r="BA48" s="1">
        <v>2614</v>
      </c>
      <c r="BB48" t="s">
        <v>816</v>
      </c>
      <c r="BC48" t="s">
        <v>546</v>
      </c>
      <c r="BE48" t="s">
        <v>616</v>
      </c>
      <c r="BG48" s="1">
        <v>16.99</v>
      </c>
      <c r="BH48" s="1">
        <v>2597.01</v>
      </c>
      <c r="BS48" s="1">
        <v>2614</v>
      </c>
      <c r="CB48" t="s">
        <v>670</v>
      </c>
      <c r="CC48" t="s">
        <v>556</v>
      </c>
      <c r="DD48" t="s">
        <v>561</v>
      </c>
    </row>
    <row r="49" ht="15" customHeight="1" spans="1:122">
      <c r="A49" t="s">
        <v>603</v>
      </c>
      <c r="B49" t="s">
        <v>817</v>
      </c>
      <c r="C49" t="s">
        <v>532</v>
      </c>
      <c r="D49" t="s">
        <v>773</v>
      </c>
      <c r="E49" t="s">
        <v>534</v>
      </c>
      <c r="F49" t="s">
        <v>534</v>
      </c>
      <c r="G49" t="s">
        <v>535</v>
      </c>
      <c r="H49" s="1">
        <v>25305</v>
      </c>
      <c r="I49" s="1">
        <v>25140.51</v>
      </c>
      <c r="J49" t="s">
        <v>536</v>
      </c>
      <c r="L49" t="s">
        <v>536</v>
      </c>
      <c r="M49" t="s">
        <v>411</v>
      </c>
      <c r="N49" t="s">
        <v>369</v>
      </c>
      <c r="P49" s="1">
        <v>25305</v>
      </c>
      <c r="Q49" t="s">
        <v>606</v>
      </c>
      <c r="R49" t="s">
        <v>535</v>
      </c>
      <c r="S49" t="s">
        <v>539</v>
      </c>
      <c r="T49" s="2">
        <v>1</v>
      </c>
      <c r="U49" s="1">
        <v>25305</v>
      </c>
      <c r="V49" s="1">
        <v>25140.51</v>
      </c>
      <c r="X49" t="s">
        <v>616</v>
      </c>
      <c r="Z49" t="s">
        <v>541</v>
      </c>
      <c r="AA49" t="s">
        <v>542</v>
      </c>
      <c r="AB49" t="s">
        <v>543</v>
      </c>
      <c r="AC49" t="s">
        <v>608</v>
      </c>
      <c r="AE49" s="3">
        <v>1</v>
      </c>
      <c r="AG49" s="1">
        <v>2686</v>
      </c>
      <c r="AI49" s="1">
        <v>25305</v>
      </c>
      <c r="AJ49" s="1">
        <v>2686</v>
      </c>
      <c r="AK49" s="1">
        <v>17.46</v>
      </c>
      <c r="AM49" s="1">
        <v>2668.54</v>
      </c>
      <c r="AN49" t="s">
        <v>536</v>
      </c>
      <c r="AO49" t="s">
        <v>546</v>
      </c>
      <c r="AP49" t="s">
        <v>547</v>
      </c>
      <c r="AQ49" t="s">
        <v>548</v>
      </c>
      <c r="AS49" t="s">
        <v>411</v>
      </c>
      <c r="AX49" s="1">
        <v>2686</v>
      </c>
      <c r="AY49" t="s">
        <v>546</v>
      </c>
      <c r="AZ49" t="s">
        <v>549</v>
      </c>
      <c r="BA49" s="1">
        <v>2686</v>
      </c>
      <c r="BB49" t="s">
        <v>818</v>
      </c>
      <c r="BC49" t="s">
        <v>546</v>
      </c>
      <c r="BE49" t="s">
        <v>616</v>
      </c>
      <c r="BG49" s="1">
        <v>17.46</v>
      </c>
      <c r="BH49" s="1">
        <v>2668.54</v>
      </c>
      <c r="BI49" t="s">
        <v>550</v>
      </c>
      <c r="BJ49" t="s">
        <v>610</v>
      </c>
      <c r="BK49" t="s">
        <v>552</v>
      </c>
      <c r="BL49" t="s">
        <v>552</v>
      </c>
      <c r="BM49" t="s">
        <v>773</v>
      </c>
      <c r="BN49" t="s">
        <v>819</v>
      </c>
      <c r="BO49" t="s">
        <v>820</v>
      </c>
      <c r="BR49" t="s">
        <v>546</v>
      </c>
      <c r="BS49" s="1">
        <v>2686</v>
      </c>
      <c r="BW49" t="s">
        <v>536</v>
      </c>
      <c r="BZ49" t="s">
        <v>535</v>
      </c>
      <c r="CA49" t="s">
        <v>546</v>
      </c>
      <c r="CB49" t="s">
        <v>773</v>
      </c>
      <c r="CC49" t="s">
        <v>556</v>
      </c>
      <c r="CH49" t="s">
        <v>546</v>
      </c>
      <c r="CK49" t="s">
        <v>821</v>
      </c>
      <c r="CN49" t="s">
        <v>535</v>
      </c>
      <c r="CO49" t="s">
        <v>539</v>
      </c>
      <c r="CT49" t="s">
        <v>576</v>
      </c>
      <c r="CW49" t="s">
        <v>546</v>
      </c>
      <c r="DD49" t="s">
        <v>561</v>
      </c>
      <c r="DK49" t="s">
        <v>822</v>
      </c>
      <c r="DR49" t="s">
        <v>822</v>
      </c>
    </row>
    <row r="50" ht="15" customHeight="1" spans="1:122">
      <c r="AB50" t="s">
        <v>543</v>
      </c>
      <c r="AC50" t="s">
        <v>608</v>
      </c>
      <c r="AG50" s="1">
        <v>2686</v>
      </c>
      <c r="AJ50" s="1">
        <v>2686</v>
      </c>
      <c r="AK50" s="1">
        <v>17.46</v>
      </c>
      <c r="AM50" s="1">
        <v>2668.54</v>
      </c>
      <c r="AN50" t="s">
        <v>536</v>
      </c>
      <c r="AP50" t="s">
        <v>547</v>
      </c>
      <c r="AX50" s="1">
        <v>2686</v>
      </c>
      <c r="AZ50" t="s">
        <v>549</v>
      </c>
      <c r="BA50" s="1">
        <v>2686</v>
      </c>
      <c r="BB50" t="s">
        <v>823</v>
      </c>
      <c r="BC50" t="s">
        <v>546</v>
      </c>
      <c r="BE50" t="s">
        <v>616</v>
      </c>
      <c r="BG50" s="1">
        <v>17.46</v>
      </c>
      <c r="BH50" s="1">
        <v>2668.54</v>
      </c>
      <c r="BS50" s="1">
        <v>2686</v>
      </c>
      <c r="CB50" t="s">
        <v>773</v>
      </c>
      <c r="CC50" t="s">
        <v>556</v>
      </c>
      <c r="DD50" t="s">
        <v>561</v>
      </c>
    </row>
    <row r="51" ht="15" customHeight="1" spans="1:122">
      <c r="AB51" t="s">
        <v>543</v>
      </c>
      <c r="AC51" t="s">
        <v>608</v>
      </c>
      <c r="AG51" s="1">
        <v>6002</v>
      </c>
      <c r="AJ51" s="1">
        <v>6002</v>
      </c>
      <c r="AK51" s="1">
        <v>39.01</v>
      </c>
      <c r="AM51" s="1">
        <v>5962.99</v>
      </c>
      <c r="AN51" t="s">
        <v>536</v>
      </c>
      <c r="AP51" t="s">
        <v>547</v>
      </c>
      <c r="AX51" s="1">
        <v>6002</v>
      </c>
      <c r="AZ51" t="s">
        <v>549</v>
      </c>
      <c r="BA51" s="1">
        <v>6002</v>
      </c>
      <c r="BB51" t="s">
        <v>824</v>
      </c>
      <c r="BC51" t="s">
        <v>546</v>
      </c>
      <c r="BE51" t="s">
        <v>616</v>
      </c>
      <c r="BG51" s="1">
        <v>39.01</v>
      </c>
      <c r="BH51" s="1">
        <v>5962.99</v>
      </c>
      <c r="BS51" s="1">
        <v>6002</v>
      </c>
      <c r="CB51" t="s">
        <v>773</v>
      </c>
      <c r="CC51" t="s">
        <v>556</v>
      </c>
      <c r="DD51" t="s">
        <v>561</v>
      </c>
    </row>
    <row r="52" ht="15" customHeight="1" spans="1:122">
      <c r="AB52" t="s">
        <v>543</v>
      </c>
      <c r="AC52" t="s">
        <v>608</v>
      </c>
      <c r="AG52" s="1">
        <v>2686</v>
      </c>
      <c r="AJ52" s="1">
        <v>2686</v>
      </c>
      <c r="AK52" s="1">
        <v>17.46</v>
      </c>
      <c r="AM52" s="1">
        <v>2668.54</v>
      </c>
      <c r="AN52" t="s">
        <v>536</v>
      </c>
      <c r="AP52" t="s">
        <v>547</v>
      </c>
      <c r="AX52" s="1">
        <v>2686</v>
      </c>
      <c r="AZ52" t="s">
        <v>549</v>
      </c>
      <c r="BA52" s="1">
        <v>2686</v>
      </c>
      <c r="BB52" t="s">
        <v>825</v>
      </c>
      <c r="BC52" t="s">
        <v>546</v>
      </c>
      <c r="BE52" t="s">
        <v>616</v>
      </c>
      <c r="BG52" s="1">
        <v>17.46</v>
      </c>
      <c r="BH52" s="1">
        <v>2668.54</v>
      </c>
      <c r="BS52" s="1">
        <v>2686</v>
      </c>
      <c r="CB52" t="s">
        <v>773</v>
      </c>
      <c r="CC52" t="s">
        <v>556</v>
      </c>
      <c r="DD52" t="s">
        <v>561</v>
      </c>
    </row>
    <row r="53" ht="15" customHeight="1" spans="1:122">
      <c r="AB53" t="s">
        <v>543</v>
      </c>
      <c r="AC53" t="s">
        <v>608</v>
      </c>
      <c r="AG53" s="1">
        <v>2686</v>
      </c>
      <c r="AJ53" s="1">
        <v>2686</v>
      </c>
      <c r="AK53" s="1">
        <v>17.46</v>
      </c>
      <c r="AM53" s="1">
        <v>2668.54</v>
      </c>
      <c r="AN53" t="s">
        <v>536</v>
      </c>
      <c r="AP53" t="s">
        <v>547</v>
      </c>
      <c r="AX53" s="1">
        <v>2686</v>
      </c>
      <c r="AZ53" t="s">
        <v>549</v>
      </c>
      <c r="BA53" s="1">
        <v>2686</v>
      </c>
      <c r="BB53" t="s">
        <v>826</v>
      </c>
      <c r="BC53" t="s">
        <v>546</v>
      </c>
      <c r="BE53" t="s">
        <v>616</v>
      </c>
      <c r="BG53" s="1">
        <v>17.46</v>
      </c>
      <c r="BH53" s="1">
        <v>2668.54</v>
      </c>
      <c r="BS53" s="1">
        <v>2686</v>
      </c>
      <c r="CB53" t="s">
        <v>773</v>
      </c>
      <c r="CC53" t="s">
        <v>556</v>
      </c>
      <c r="DD53" t="s">
        <v>561</v>
      </c>
    </row>
    <row r="54" ht="15" customHeight="1" spans="1:122">
      <c r="AB54" t="s">
        <v>543</v>
      </c>
      <c r="AC54" t="s">
        <v>608</v>
      </c>
      <c r="AG54" s="1">
        <v>2686</v>
      </c>
      <c r="AJ54" s="1">
        <v>2686</v>
      </c>
      <c r="AK54" s="1">
        <v>17.46</v>
      </c>
      <c r="AM54" s="1">
        <v>2668.54</v>
      </c>
      <c r="AN54" t="s">
        <v>536</v>
      </c>
      <c r="AP54" t="s">
        <v>547</v>
      </c>
      <c r="AX54" s="1">
        <v>2686</v>
      </c>
      <c r="AZ54" t="s">
        <v>549</v>
      </c>
      <c r="BA54" s="1">
        <v>2686</v>
      </c>
      <c r="BB54" t="s">
        <v>827</v>
      </c>
      <c r="BC54" t="s">
        <v>546</v>
      </c>
      <c r="BE54" t="s">
        <v>616</v>
      </c>
      <c r="BG54" s="1">
        <v>17.46</v>
      </c>
      <c r="BH54" s="1">
        <v>2668.54</v>
      </c>
      <c r="BS54" s="1">
        <v>2686</v>
      </c>
      <c r="CB54" t="s">
        <v>773</v>
      </c>
      <c r="CC54" t="s">
        <v>556</v>
      </c>
      <c r="DD54" t="s">
        <v>561</v>
      </c>
    </row>
    <row r="55" ht="15" customHeight="1" spans="1:122">
      <c r="AB55" t="s">
        <v>543</v>
      </c>
      <c r="AC55" t="s">
        <v>608</v>
      </c>
      <c r="AG55" s="1">
        <v>3701</v>
      </c>
      <c r="AJ55" s="1">
        <v>3701</v>
      </c>
      <c r="AK55" s="1">
        <v>24.06</v>
      </c>
      <c r="AM55" s="1">
        <v>3676.94</v>
      </c>
      <c r="AN55" t="s">
        <v>536</v>
      </c>
      <c r="AP55" t="s">
        <v>547</v>
      </c>
      <c r="AX55" s="1">
        <v>3701</v>
      </c>
      <c r="AZ55" t="s">
        <v>549</v>
      </c>
      <c r="BA55" s="1">
        <v>3701</v>
      </c>
      <c r="BB55" t="s">
        <v>828</v>
      </c>
      <c r="BC55" t="s">
        <v>546</v>
      </c>
      <c r="BE55" t="s">
        <v>616</v>
      </c>
      <c r="BG55" s="1">
        <v>24.06</v>
      </c>
      <c r="BH55" s="1">
        <v>3676.94</v>
      </c>
      <c r="BS55" s="1">
        <v>3701</v>
      </c>
      <c r="CB55" t="s">
        <v>773</v>
      </c>
      <c r="CC55" t="s">
        <v>556</v>
      </c>
      <c r="DD55" t="s">
        <v>561</v>
      </c>
    </row>
    <row r="56" ht="15" customHeight="1" spans="1:122">
      <c r="AB56" t="s">
        <v>543</v>
      </c>
      <c r="AC56" t="s">
        <v>608</v>
      </c>
      <c r="AG56" s="1">
        <v>2172</v>
      </c>
      <c r="AJ56" s="1">
        <v>2172</v>
      </c>
      <c r="AK56" s="1">
        <v>14.12</v>
      </c>
      <c r="AM56" s="1">
        <v>2157.88</v>
      </c>
      <c r="AN56" t="s">
        <v>536</v>
      </c>
      <c r="AP56" t="s">
        <v>547</v>
      </c>
      <c r="AX56" s="1">
        <v>2172</v>
      </c>
      <c r="AZ56" t="s">
        <v>549</v>
      </c>
      <c r="BA56" s="1">
        <v>2172</v>
      </c>
      <c r="BB56" t="s">
        <v>829</v>
      </c>
      <c r="BC56" t="s">
        <v>546</v>
      </c>
      <c r="BE56" t="s">
        <v>616</v>
      </c>
      <c r="BG56" s="1">
        <v>14.12</v>
      </c>
      <c r="BH56" s="1">
        <v>2157.88</v>
      </c>
      <c r="BS56" s="1">
        <v>2172</v>
      </c>
      <c r="CB56" t="s">
        <v>773</v>
      </c>
      <c r="CC56" t="s">
        <v>556</v>
      </c>
      <c r="DD56" t="s">
        <v>561</v>
      </c>
    </row>
    <row r="57" ht="15" customHeight="1" spans="1:122">
      <c r="A57" t="s">
        <v>603</v>
      </c>
      <c r="B57" t="s">
        <v>830</v>
      </c>
      <c r="C57" t="s">
        <v>532</v>
      </c>
      <c r="D57" t="s">
        <v>831</v>
      </c>
      <c r="E57" t="s">
        <v>534</v>
      </c>
      <c r="F57" t="s">
        <v>534</v>
      </c>
      <c r="G57" t="s">
        <v>535</v>
      </c>
      <c r="H57" s="1">
        <v>22658</v>
      </c>
      <c r="I57" s="1">
        <v>22510.72</v>
      </c>
      <c r="J57" t="s">
        <v>536</v>
      </c>
      <c r="L57" t="s">
        <v>536</v>
      </c>
      <c r="M57" t="s">
        <v>411</v>
      </c>
      <c r="N57" t="s">
        <v>369</v>
      </c>
      <c r="P57" s="1">
        <v>22658</v>
      </c>
      <c r="Q57" t="s">
        <v>606</v>
      </c>
      <c r="R57" t="s">
        <v>535</v>
      </c>
      <c r="S57" t="s">
        <v>539</v>
      </c>
      <c r="T57" s="2">
        <v>1</v>
      </c>
      <c r="U57" s="1">
        <v>22658</v>
      </c>
      <c r="V57" s="1">
        <v>22510.72</v>
      </c>
      <c r="X57" t="s">
        <v>616</v>
      </c>
      <c r="Z57" t="s">
        <v>541</v>
      </c>
      <c r="AA57" t="s">
        <v>542</v>
      </c>
      <c r="AB57" t="s">
        <v>543</v>
      </c>
      <c r="AC57" t="s">
        <v>608</v>
      </c>
      <c r="AE57" s="3">
        <v>1</v>
      </c>
      <c r="AG57" s="1">
        <v>2686</v>
      </c>
      <c r="AI57" s="1">
        <v>22658</v>
      </c>
      <c r="AJ57" s="1">
        <v>2686</v>
      </c>
      <c r="AK57" s="1">
        <v>17.46</v>
      </c>
      <c r="AM57" s="1">
        <v>2668.54</v>
      </c>
      <c r="AN57" t="s">
        <v>536</v>
      </c>
      <c r="AO57" t="s">
        <v>546</v>
      </c>
      <c r="AP57" t="s">
        <v>547</v>
      </c>
      <c r="AQ57" t="s">
        <v>548</v>
      </c>
      <c r="AS57" t="s">
        <v>411</v>
      </c>
      <c r="AX57" s="1">
        <v>2686</v>
      </c>
      <c r="AY57" t="s">
        <v>546</v>
      </c>
      <c r="AZ57" t="s">
        <v>549</v>
      </c>
      <c r="BA57" s="1">
        <v>2686</v>
      </c>
      <c r="BB57" t="s">
        <v>832</v>
      </c>
      <c r="BC57" t="s">
        <v>546</v>
      </c>
      <c r="BE57" t="s">
        <v>616</v>
      </c>
      <c r="BG57" s="1">
        <v>17.46</v>
      </c>
      <c r="BH57" s="1">
        <v>2668.54</v>
      </c>
      <c r="BI57" t="s">
        <v>550</v>
      </c>
      <c r="BJ57" t="s">
        <v>610</v>
      </c>
      <c r="BK57" t="s">
        <v>552</v>
      </c>
      <c r="BL57" t="s">
        <v>552</v>
      </c>
      <c r="BM57" t="s">
        <v>773</v>
      </c>
      <c r="BN57" t="s">
        <v>833</v>
      </c>
      <c r="BO57" t="s">
        <v>834</v>
      </c>
      <c r="BR57" t="s">
        <v>546</v>
      </c>
      <c r="BS57" s="1">
        <v>2686</v>
      </c>
      <c r="BW57" t="s">
        <v>536</v>
      </c>
      <c r="BZ57" t="s">
        <v>535</v>
      </c>
      <c r="CA57" t="s">
        <v>546</v>
      </c>
      <c r="CB57" t="s">
        <v>831</v>
      </c>
      <c r="CC57" t="s">
        <v>556</v>
      </c>
      <c r="CH57" t="s">
        <v>546</v>
      </c>
      <c r="CK57" t="s">
        <v>835</v>
      </c>
      <c r="CN57" t="s">
        <v>535</v>
      </c>
      <c r="CO57" t="s">
        <v>539</v>
      </c>
      <c r="CT57" t="s">
        <v>576</v>
      </c>
      <c r="CW57" t="s">
        <v>546</v>
      </c>
      <c r="DD57" t="s">
        <v>561</v>
      </c>
      <c r="DK57" t="s">
        <v>836</v>
      </c>
      <c r="DR57" t="s">
        <v>836</v>
      </c>
    </row>
    <row r="58" ht="15" customHeight="1" spans="1:122">
      <c r="AB58" t="s">
        <v>543</v>
      </c>
      <c r="AC58" t="s">
        <v>608</v>
      </c>
      <c r="AG58" s="1">
        <v>2686</v>
      </c>
      <c r="AJ58" s="1">
        <v>2686</v>
      </c>
      <c r="AK58" s="1">
        <v>17.46</v>
      </c>
      <c r="AM58" s="1">
        <v>2668.54</v>
      </c>
      <c r="AN58" t="s">
        <v>536</v>
      </c>
      <c r="AP58" t="s">
        <v>547</v>
      </c>
      <c r="AX58" s="1">
        <v>2686</v>
      </c>
      <c r="AZ58" t="s">
        <v>549</v>
      </c>
      <c r="BA58" s="1">
        <v>2686</v>
      </c>
      <c r="BB58" t="s">
        <v>837</v>
      </c>
      <c r="BC58" t="s">
        <v>546</v>
      </c>
      <c r="BE58" t="s">
        <v>616</v>
      </c>
      <c r="BG58" s="1">
        <v>17.46</v>
      </c>
      <c r="BH58" s="1">
        <v>2668.54</v>
      </c>
      <c r="BS58" s="1">
        <v>2686</v>
      </c>
      <c r="CB58" t="s">
        <v>831</v>
      </c>
      <c r="CC58" t="s">
        <v>556</v>
      </c>
      <c r="DD58" t="s">
        <v>561</v>
      </c>
    </row>
    <row r="59" ht="15" customHeight="1" spans="1:122">
      <c r="AB59" t="s">
        <v>543</v>
      </c>
      <c r="AC59" t="s">
        <v>608</v>
      </c>
      <c r="AG59" s="1">
        <v>3932</v>
      </c>
      <c r="AJ59" s="1">
        <v>3932</v>
      </c>
      <c r="AK59" s="1">
        <v>25.56</v>
      </c>
      <c r="AM59" s="1">
        <v>3906.44</v>
      </c>
      <c r="AN59" t="s">
        <v>536</v>
      </c>
      <c r="AP59" t="s">
        <v>547</v>
      </c>
      <c r="AX59" s="1">
        <v>3932</v>
      </c>
      <c r="AZ59" t="s">
        <v>549</v>
      </c>
      <c r="BA59" s="1">
        <v>3932</v>
      </c>
      <c r="BB59" t="s">
        <v>838</v>
      </c>
      <c r="BC59" t="s">
        <v>546</v>
      </c>
      <c r="BE59" t="s">
        <v>616</v>
      </c>
      <c r="BG59" s="1">
        <v>25.56</v>
      </c>
      <c r="BH59" s="1">
        <v>3906.44</v>
      </c>
      <c r="BS59" s="1">
        <v>3932</v>
      </c>
      <c r="CB59" t="s">
        <v>831</v>
      </c>
      <c r="CC59" t="s">
        <v>556</v>
      </c>
      <c r="DD59" t="s">
        <v>561</v>
      </c>
    </row>
    <row r="60" ht="15" customHeight="1" spans="1:122">
      <c r="AB60" t="s">
        <v>543</v>
      </c>
      <c r="AC60" t="s">
        <v>608</v>
      </c>
      <c r="AG60" s="1">
        <v>4344</v>
      </c>
      <c r="AJ60" s="1">
        <v>4344</v>
      </c>
      <c r="AK60" s="1">
        <v>28.23</v>
      </c>
      <c r="AM60" s="1">
        <v>4315.77</v>
      </c>
      <c r="AN60" t="s">
        <v>536</v>
      </c>
      <c r="AP60" t="s">
        <v>547</v>
      </c>
      <c r="AX60" s="1">
        <v>4344</v>
      </c>
      <c r="AZ60" t="s">
        <v>549</v>
      </c>
      <c r="BA60" s="1">
        <v>4344</v>
      </c>
      <c r="BB60" t="s">
        <v>839</v>
      </c>
      <c r="BC60" t="s">
        <v>546</v>
      </c>
      <c r="BE60" t="s">
        <v>616</v>
      </c>
      <c r="BG60" s="1">
        <v>28.23</v>
      </c>
      <c r="BH60" s="1">
        <v>4315.77</v>
      </c>
      <c r="BS60" s="1">
        <v>4344</v>
      </c>
      <c r="CB60" t="s">
        <v>831</v>
      </c>
      <c r="CC60" t="s">
        <v>556</v>
      </c>
      <c r="DD60" t="s">
        <v>561</v>
      </c>
    </row>
    <row r="61" ht="15" customHeight="1" spans="1:122">
      <c r="AB61" t="s">
        <v>543</v>
      </c>
      <c r="AC61" t="s">
        <v>608</v>
      </c>
      <c r="AG61" s="1">
        <v>3460</v>
      </c>
      <c r="AJ61" s="1">
        <v>3460</v>
      </c>
      <c r="AK61" s="1">
        <v>22.49</v>
      </c>
      <c r="AM61" s="1">
        <v>3437.51</v>
      </c>
      <c r="AN61" t="s">
        <v>536</v>
      </c>
      <c r="AP61" t="s">
        <v>547</v>
      </c>
      <c r="AX61" s="1">
        <v>3460</v>
      </c>
      <c r="AZ61" t="s">
        <v>549</v>
      </c>
      <c r="BA61" s="1">
        <v>3460</v>
      </c>
      <c r="BB61" t="s">
        <v>840</v>
      </c>
      <c r="BC61" t="s">
        <v>546</v>
      </c>
      <c r="BE61" t="s">
        <v>616</v>
      </c>
      <c r="BG61" s="1">
        <v>22.49</v>
      </c>
      <c r="BH61" s="1">
        <v>3437.51</v>
      </c>
      <c r="BS61" s="1">
        <v>3460</v>
      </c>
      <c r="CB61" t="s">
        <v>831</v>
      </c>
      <c r="CC61" t="s">
        <v>556</v>
      </c>
      <c r="DD61" t="s">
        <v>561</v>
      </c>
    </row>
    <row r="62" ht="15" customHeight="1" spans="1:122">
      <c r="AB62" t="s">
        <v>543</v>
      </c>
      <c r="AC62" t="s">
        <v>608</v>
      </c>
      <c r="AG62" s="1">
        <v>2574</v>
      </c>
      <c r="AJ62" s="1">
        <v>2574</v>
      </c>
      <c r="AK62" s="1">
        <v>16.73</v>
      </c>
      <c r="AM62" s="1">
        <v>2557.27</v>
      </c>
      <c r="AN62" t="s">
        <v>536</v>
      </c>
      <c r="AP62" t="s">
        <v>547</v>
      </c>
      <c r="AX62" s="1">
        <v>2574</v>
      </c>
      <c r="AZ62" t="s">
        <v>549</v>
      </c>
      <c r="BA62" s="1">
        <v>2574</v>
      </c>
      <c r="BB62" t="s">
        <v>841</v>
      </c>
      <c r="BC62" t="s">
        <v>546</v>
      </c>
      <c r="BE62" t="s">
        <v>616</v>
      </c>
      <c r="BG62" s="1">
        <v>16.73</v>
      </c>
      <c r="BH62" s="1">
        <v>2557.27</v>
      </c>
      <c r="BS62" s="1">
        <v>2574</v>
      </c>
      <c r="CB62" t="s">
        <v>831</v>
      </c>
      <c r="CC62" t="s">
        <v>556</v>
      </c>
      <c r="DD62" t="s">
        <v>561</v>
      </c>
    </row>
    <row r="63" ht="15" customHeight="1" spans="1:122">
      <c r="AB63" t="s">
        <v>543</v>
      </c>
      <c r="AC63" t="s">
        <v>608</v>
      </c>
      <c r="AG63" s="1">
        <v>2976</v>
      </c>
      <c r="AJ63" s="1">
        <v>2976</v>
      </c>
      <c r="AK63" s="1">
        <v>19.35</v>
      </c>
      <c r="AM63" s="1">
        <v>2956.65</v>
      </c>
      <c r="AN63" t="s">
        <v>536</v>
      </c>
      <c r="AP63" t="s">
        <v>547</v>
      </c>
      <c r="AX63" s="1">
        <v>2976</v>
      </c>
      <c r="AZ63" t="s">
        <v>549</v>
      </c>
      <c r="BA63" s="1">
        <v>2976</v>
      </c>
      <c r="BB63" t="s">
        <v>842</v>
      </c>
      <c r="BC63" t="s">
        <v>546</v>
      </c>
      <c r="BE63" t="s">
        <v>616</v>
      </c>
      <c r="BG63" s="1">
        <v>19.35</v>
      </c>
      <c r="BH63" s="1">
        <v>2956.65</v>
      </c>
      <c r="BS63" s="1">
        <v>2976</v>
      </c>
      <c r="CB63" t="s">
        <v>831</v>
      </c>
      <c r="CC63" t="s">
        <v>556</v>
      </c>
      <c r="DD63" t="s">
        <v>561</v>
      </c>
    </row>
    <row r="64" ht="15" customHeight="1" spans="1:122">
      <c r="A64" t="s">
        <v>603</v>
      </c>
      <c r="B64" t="s">
        <v>843</v>
      </c>
      <c r="C64" t="s">
        <v>532</v>
      </c>
      <c r="D64" t="s">
        <v>844</v>
      </c>
      <c r="E64" t="s">
        <v>534</v>
      </c>
      <c r="F64" t="s">
        <v>534</v>
      </c>
      <c r="G64" t="s">
        <v>535</v>
      </c>
      <c r="H64" s="1">
        <v>10731</v>
      </c>
      <c r="I64" s="1">
        <v>10661.25</v>
      </c>
      <c r="J64" t="s">
        <v>536</v>
      </c>
      <c r="L64" t="s">
        <v>536</v>
      </c>
      <c r="M64" t="s">
        <v>411</v>
      </c>
      <c r="N64" t="s">
        <v>369</v>
      </c>
      <c r="P64" s="1">
        <v>10731</v>
      </c>
      <c r="Q64" t="s">
        <v>606</v>
      </c>
      <c r="R64" t="s">
        <v>535</v>
      </c>
      <c r="S64" t="s">
        <v>539</v>
      </c>
      <c r="T64" s="2">
        <v>1</v>
      </c>
      <c r="U64" s="1">
        <v>10731</v>
      </c>
      <c r="V64" s="1">
        <v>10661.25</v>
      </c>
      <c r="X64" t="s">
        <v>616</v>
      </c>
      <c r="Z64" t="s">
        <v>541</v>
      </c>
      <c r="AA64" t="s">
        <v>542</v>
      </c>
      <c r="AB64" t="s">
        <v>543</v>
      </c>
      <c r="AC64" t="s">
        <v>608</v>
      </c>
      <c r="AE64" s="3">
        <v>1</v>
      </c>
      <c r="AG64" s="1">
        <v>4344</v>
      </c>
      <c r="AI64" s="1">
        <v>10731</v>
      </c>
      <c r="AJ64" s="1">
        <v>4344</v>
      </c>
      <c r="AK64" s="1">
        <v>28.23</v>
      </c>
      <c r="AM64" s="1">
        <v>4315.77</v>
      </c>
      <c r="AN64" t="s">
        <v>536</v>
      </c>
      <c r="AO64" t="s">
        <v>546</v>
      </c>
      <c r="AP64" t="s">
        <v>547</v>
      </c>
      <c r="AQ64" t="s">
        <v>548</v>
      </c>
      <c r="AS64" t="s">
        <v>411</v>
      </c>
      <c r="AX64" s="1">
        <v>4344</v>
      </c>
      <c r="AY64" t="s">
        <v>546</v>
      </c>
      <c r="AZ64" t="s">
        <v>549</v>
      </c>
      <c r="BA64" s="1">
        <v>4344</v>
      </c>
      <c r="BB64" t="s">
        <v>845</v>
      </c>
      <c r="BC64" t="s">
        <v>546</v>
      </c>
      <c r="BE64" t="s">
        <v>616</v>
      </c>
      <c r="BG64" s="1">
        <v>28.23</v>
      </c>
      <c r="BH64" s="1">
        <v>4315.77</v>
      </c>
      <c r="BI64" t="s">
        <v>550</v>
      </c>
      <c r="BJ64" t="s">
        <v>610</v>
      </c>
      <c r="BK64" t="s">
        <v>552</v>
      </c>
      <c r="BL64" t="s">
        <v>552</v>
      </c>
      <c r="BM64" t="s">
        <v>773</v>
      </c>
      <c r="BN64" t="s">
        <v>846</v>
      </c>
      <c r="BO64" t="s">
        <v>847</v>
      </c>
      <c r="BR64" t="s">
        <v>546</v>
      </c>
      <c r="BS64" s="1">
        <v>4344</v>
      </c>
      <c r="BW64" t="s">
        <v>536</v>
      </c>
      <c r="BZ64" t="s">
        <v>535</v>
      </c>
      <c r="CA64" t="s">
        <v>546</v>
      </c>
      <c r="CB64" t="s">
        <v>844</v>
      </c>
      <c r="CC64" t="s">
        <v>556</v>
      </c>
      <c r="CH64" t="s">
        <v>546</v>
      </c>
      <c r="CK64" t="s">
        <v>848</v>
      </c>
      <c r="CN64" t="s">
        <v>535</v>
      </c>
      <c r="CO64" t="s">
        <v>539</v>
      </c>
      <c r="CT64" t="s">
        <v>576</v>
      </c>
      <c r="CW64" t="s">
        <v>546</v>
      </c>
      <c r="DD64" t="s">
        <v>561</v>
      </c>
      <c r="DK64" t="s">
        <v>849</v>
      </c>
      <c r="DR64" t="s">
        <v>849</v>
      </c>
    </row>
    <row r="65" ht="15" customHeight="1" spans="1:122">
      <c r="AB65" t="s">
        <v>543</v>
      </c>
      <c r="AC65" t="s">
        <v>608</v>
      </c>
      <c r="AG65" s="1">
        <v>2686</v>
      </c>
      <c r="AJ65" s="1">
        <v>2686</v>
      </c>
      <c r="AK65" s="1">
        <v>17.46</v>
      </c>
      <c r="AM65" s="1">
        <v>2668.54</v>
      </c>
      <c r="AN65" t="s">
        <v>536</v>
      </c>
      <c r="AP65" t="s">
        <v>547</v>
      </c>
      <c r="AX65" s="1">
        <v>2686</v>
      </c>
      <c r="AZ65" t="s">
        <v>549</v>
      </c>
      <c r="BA65" s="1">
        <v>2686</v>
      </c>
      <c r="BB65" t="s">
        <v>850</v>
      </c>
      <c r="BC65" t="s">
        <v>546</v>
      </c>
      <c r="BE65" t="s">
        <v>616</v>
      </c>
      <c r="BG65" s="1">
        <v>17.46</v>
      </c>
      <c r="BH65" s="1">
        <v>2668.54</v>
      </c>
      <c r="BS65" s="1">
        <v>2686</v>
      </c>
      <c r="CB65" t="s">
        <v>844</v>
      </c>
      <c r="CC65" t="s">
        <v>556</v>
      </c>
      <c r="DD65" t="s">
        <v>561</v>
      </c>
    </row>
    <row r="66" ht="15" customHeight="1" spans="1:122">
      <c r="AB66" t="s">
        <v>543</v>
      </c>
      <c r="AC66" t="s">
        <v>608</v>
      </c>
      <c r="AG66" s="1">
        <v>3701</v>
      </c>
      <c r="AJ66" s="1">
        <v>3701</v>
      </c>
      <c r="AK66" s="1">
        <v>24.06</v>
      </c>
      <c r="AM66" s="1">
        <v>3676.94</v>
      </c>
      <c r="AN66" t="s">
        <v>536</v>
      </c>
      <c r="AP66" t="s">
        <v>547</v>
      </c>
      <c r="AX66" s="1">
        <v>3701</v>
      </c>
      <c r="AZ66" t="s">
        <v>549</v>
      </c>
      <c r="BA66" s="1">
        <v>3701</v>
      </c>
      <c r="BB66" t="s">
        <v>851</v>
      </c>
      <c r="BC66" t="s">
        <v>546</v>
      </c>
      <c r="BE66" t="s">
        <v>616</v>
      </c>
      <c r="BG66" s="1">
        <v>24.06</v>
      </c>
      <c r="BH66" s="1">
        <v>3676.94</v>
      </c>
      <c r="BS66" s="1">
        <v>3701</v>
      </c>
      <c r="CB66" t="s">
        <v>844</v>
      </c>
      <c r="CC66" t="s">
        <v>556</v>
      </c>
      <c r="DD66" t="s">
        <v>561</v>
      </c>
    </row>
    <row r="67" ht="15" customHeight="1" spans="1:122">
      <c r="A67" t="s">
        <v>530</v>
      </c>
      <c r="B67" t="s">
        <v>852</v>
      </c>
      <c r="C67" t="s">
        <v>532</v>
      </c>
      <c r="D67" t="s">
        <v>533</v>
      </c>
      <c r="E67" t="s">
        <v>534</v>
      </c>
      <c r="F67" t="s">
        <v>534</v>
      </c>
      <c r="G67" t="s">
        <v>535</v>
      </c>
      <c r="H67" s="1">
        <v>4015.2</v>
      </c>
      <c r="I67" s="1">
        <v>3991.11</v>
      </c>
      <c r="J67" t="s">
        <v>536</v>
      </c>
      <c r="L67" t="s">
        <v>536</v>
      </c>
      <c r="M67" t="s">
        <v>375</v>
      </c>
      <c r="N67" t="s">
        <v>537</v>
      </c>
      <c r="P67" s="1">
        <v>4015.2</v>
      </c>
      <c r="Q67" t="s">
        <v>580</v>
      </c>
      <c r="R67" t="s">
        <v>535</v>
      </c>
      <c r="S67" t="s">
        <v>539</v>
      </c>
      <c r="T67" s="2">
        <v>1</v>
      </c>
      <c r="U67" s="1">
        <v>4015.2</v>
      </c>
      <c r="V67" s="1">
        <v>3991.11</v>
      </c>
      <c r="X67" t="s">
        <v>540</v>
      </c>
      <c r="Z67" t="s">
        <v>541</v>
      </c>
      <c r="AA67" t="s">
        <v>542</v>
      </c>
      <c r="AB67" t="s">
        <v>543</v>
      </c>
      <c r="AC67" t="s">
        <v>544</v>
      </c>
      <c r="AD67" t="s">
        <v>545</v>
      </c>
      <c r="AE67" s="3">
        <v>1</v>
      </c>
      <c r="AF67" t="s">
        <v>49</v>
      </c>
      <c r="AG67" s="1">
        <v>4015.2</v>
      </c>
      <c r="AI67" s="1">
        <v>4015.2</v>
      </c>
      <c r="AJ67" s="1">
        <v>4015.2</v>
      </c>
      <c r="AK67" s="1">
        <v>24.09</v>
      </c>
      <c r="AM67" s="1">
        <v>3991.11</v>
      </c>
      <c r="AN67" t="s">
        <v>536</v>
      </c>
      <c r="AO67" t="s">
        <v>546</v>
      </c>
      <c r="AP67" t="s">
        <v>547</v>
      </c>
      <c r="AQ67" t="s">
        <v>548</v>
      </c>
      <c r="AS67" t="s">
        <v>375</v>
      </c>
      <c r="AX67" s="1">
        <v>4015.2</v>
      </c>
      <c r="AY67" t="s">
        <v>546</v>
      </c>
      <c r="AZ67" t="s">
        <v>549</v>
      </c>
      <c r="BA67" s="1">
        <v>4015.2</v>
      </c>
      <c r="BC67" t="s">
        <v>546</v>
      </c>
      <c r="BD67" s="1">
        <v>4015.2</v>
      </c>
      <c r="BE67" t="s">
        <v>540</v>
      </c>
      <c r="BF67" s="1">
        <v>4015.2</v>
      </c>
      <c r="BG67" s="1">
        <v>24.09</v>
      </c>
      <c r="BH67" s="1">
        <v>3991.11</v>
      </c>
      <c r="BI67" t="s">
        <v>550</v>
      </c>
      <c r="BJ67" t="s">
        <v>570</v>
      </c>
      <c r="BK67" t="s">
        <v>552</v>
      </c>
      <c r="BL67" t="s">
        <v>552</v>
      </c>
      <c r="BM67" t="s">
        <v>831</v>
      </c>
      <c r="BN67" t="s">
        <v>853</v>
      </c>
      <c r="BO67" t="s">
        <v>854</v>
      </c>
      <c r="BR67" t="s">
        <v>546</v>
      </c>
      <c r="BS67" s="1">
        <v>4015.2</v>
      </c>
      <c r="BW67" t="s">
        <v>536</v>
      </c>
      <c r="BX67" s="1">
        <v>4015.2</v>
      </c>
      <c r="BZ67" t="s">
        <v>535</v>
      </c>
      <c r="CA67" t="s">
        <v>546</v>
      </c>
      <c r="CB67" t="s">
        <v>533</v>
      </c>
      <c r="CC67" t="s">
        <v>556</v>
      </c>
      <c r="CD67" t="s">
        <v>711</v>
      </c>
      <c r="CE67" t="s">
        <v>712</v>
      </c>
      <c r="CF67" t="s">
        <v>49</v>
      </c>
      <c r="CG67" s="4">
        <v>1</v>
      </c>
      <c r="CH67" t="s">
        <v>546</v>
      </c>
      <c r="CK67" t="s">
        <v>855</v>
      </c>
      <c r="CL67" s="1">
        <v>4015.2</v>
      </c>
      <c r="CN67" t="s">
        <v>535</v>
      </c>
      <c r="CO67" t="s">
        <v>539</v>
      </c>
      <c r="CT67" t="s">
        <v>576</v>
      </c>
      <c r="CW67" t="s">
        <v>546</v>
      </c>
      <c r="DD67" t="s">
        <v>561</v>
      </c>
      <c r="DK67" t="s">
        <v>856</v>
      </c>
      <c r="DL67" t="s">
        <v>857</v>
      </c>
    </row>
    <row r="68" ht="15" customHeight="1" spans="1:122">
      <c r="A68" t="s">
        <v>530</v>
      </c>
      <c r="B68" t="s">
        <v>858</v>
      </c>
      <c r="C68" t="s">
        <v>532</v>
      </c>
      <c r="D68" t="s">
        <v>533</v>
      </c>
      <c r="E68" t="s">
        <v>534</v>
      </c>
      <c r="F68" t="s">
        <v>534</v>
      </c>
      <c r="G68" t="s">
        <v>535</v>
      </c>
      <c r="H68" s="1">
        <v>1003.8</v>
      </c>
      <c r="I68" s="1">
        <v>1003.8</v>
      </c>
      <c r="J68" t="s">
        <v>536</v>
      </c>
      <c r="L68" t="s">
        <v>536</v>
      </c>
      <c r="M68" t="s">
        <v>375</v>
      </c>
      <c r="N68" t="s">
        <v>537</v>
      </c>
      <c r="P68" s="1">
        <v>1003.8</v>
      </c>
      <c r="Q68" t="s">
        <v>580</v>
      </c>
      <c r="R68" t="s">
        <v>535</v>
      </c>
      <c r="S68" t="s">
        <v>539</v>
      </c>
      <c r="T68" s="2">
        <v>1</v>
      </c>
      <c r="U68" s="1">
        <v>1003.8</v>
      </c>
      <c r="V68" s="1">
        <v>1003.8</v>
      </c>
      <c r="X68" t="s">
        <v>540</v>
      </c>
      <c r="Z68" t="s">
        <v>541</v>
      </c>
      <c r="AA68" t="s">
        <v>542</v>
      </c>
      <c r="AB68" t="s">
        <v>543</v>
      </c>
      <c r="AC68" t="s">
        <v>544</v>
      </c>
      <c r="AD68" t="s">
        <v>545</v>
      </c>
      <c r="AE68" s="3">
        <v>1</v>
      </c>
      <c r="AF68" t="s">
        <v>49</v>
      </c>
      <c r="AG68" s="1">
        <v>1003.8</v>
      </c>
      <c r="AI68" s="1">
        <v>1003.8</v>
      </c>
      <c r="AJ68" s="1">
        <v>1003.8</v>
      </c>
      <c r="AM68" s="1">
        <v>1003.8</v>
      </c>
      <c r="AN68" t="s">
        <v>565</v>
      </c>
      <c r="AO68" t="s">
        <v>546</v>
      </c>
      <c r="AP68" t="s">
        <v>565</v>
      </c>
      <c r="AQ68" t="s">
        <v>548</v>
      </c>
      <c r="AS68" t="s">
        <v>375</v>
      </c>
      <c r="AX68" s="1">
        <v>1003.8</v>
      </c>
      <c r="AY68" t="s">
        <v>546</v>
      </c>
      <c r="AZ68" t="s">
        <v>566</v>
      </c>
      <c r="BA68" s="1">
        <v>1003.8</v>
      </c>
      <c r="BC68" t="s">
        <v>546</v>
      </c>
      <c r="BD68" s="1">
        <v>1003.8</v>
      </c>
      <c r="BE68" t="s">
        <v>540</v>
      </c>
      <c r="BF68" s="1">
        <v>1003.8</v>
      </c>
      <c r="BH68" s="1">
        <v>1003.8</v>
      </c>
      <c r="BI68" t="s">
        <v>550</v>
      </c>
      <c r="BJ68" t="s">
        <v>570</v>
      </c>
      <c r="BK68" t="s">
        <v>570</v>
      </c>
      <c r="BL68" t="s">
        <v>552</v>
      </c>
      <c r="BM68" t="s">
        <v>831</v>
      </c>
      <c r="BN68" t="s">
        <v>859</v>
      </c>
      <c r="BO68" t="s">
        <v>860</v>
      </c>
      <c r="BR68" t="s">
        <v>546</v>
      </c>
      <c r="BS68" s="1">
        <v>1003.8</v>
      </c>
      <c r="BW68" t="s">
        <v>536</v>
      </c>
      <c r="BX68" s="1">
        <v>1003.8</v>
      </c>
      <c r="BZ68" t="s">
        <v>535</v>
      </c>
      <c r="CA68" t="s">
        <v>546</v>
      </c>
      <c r="CB68" t="s">
        <v>533</v>
      </c>
      <c r="CC68" t="s">
        <v>556</v>
      </c>
      <c r="CD68" t="s">
        <v>711</v>
      </c>
      <c r="CE68" t="s">
        <v>712</v>
      </c>
      <c r="CF68" t="s">
        <v>49</v>
      </c>
      <c r="CG68" s="4">
        <v>1</v>
      </c>
      <c r="CH68" t="s">
        <v>546</v>
      </c>
      <c r="CK68" t="s">
        <v>855</v>
      </c>
      <c r="CL68" s="1">
        <v>1003.8</v>
      </c>
      <c r="CN68" t="s">
        <v>535</v>
      </c>
      <c r="CO68" t="s">
        <v>539</v>
      </c>
      <c r="CT68" t="s">
        <v>576</v>
      </c>
      <c r="CW68" t="s">
        <v>546</v>
      </c>
      <c r="DD68" t="s">
        <v>561</v>
      </c>
      <c r="DK68" t="s">
        <v>856</v>
      </c>
      <c r="DL68" t="s">
        <v>857</v>
      </c>
    </row>
    <row r="69" ht="15" customHeight="1" spans="1:122">
      <c r="A69" t="s">
        <v>530</v>
      </c>
      <c r="B69" t="s">
        <v>861</v>
      </c>
      <c r="C69" t="s">
        <v>532</v>
      </c>
      <c r="D69" t="s">
        <v>831</v>
      </c>
      <c r="E69" t="s">
        <v>534</v>
      </c>
      <c r="F69" t="s">
        <v>534</v>
      </c>
      <c r="G69" t="s">
        <v>535</v>
      </c>
      <c r="H69" s="1">
        <v>5988</v>
      </c>
      <c r="I69" s="1">
        <v>5988</v>
      </c>
      <c r="J69" t="s">
        <v>536</v>
      </c>
      <c r="L69" t="s">
        <v>536</v>
      </c>
      <c r="M69" t="s">
        <v>382</v>
      </c>
      <c r="N69" t="s">
        <v>537</v>
      </c>
      <c r="P69" s="1">
        <v>5988</v>
      </c>
      <c r="Q69" t="s">
        <v>785</v>
      </c>
      <c r="R69" t="s">
        <v>535</v>
      </c>
      <c r="S69" t="s">
        <v>539</v>
      </c>
      <c r="T69" s="2">
        <v>1</v>
      </c>
      <c r="U69" s="1">
        <v>5988</v>
      </c>
      <c r="V69" s="1">
        <v>5988</v>
      </c>
      <c r="X69" t="s">
        <v>540</v>
      </c>
      <c r="Z69" t="s">
        <v>541</v>
      </c>
      <c r="AA69" t="s">
        <v>542</v>
      </c>
      <c r="AB69" t="s">
        <v>543</v>
      </c>
      <c r="AC69" t="s">
        <v>544</v>
      </c>
      <c r="AD69" t="s">
        <v>545</v>
      </c>
      <c r="AE69" s="3">
        <v>1</v>
      </c>
      <c r="AF69" t="s">
        <v>53</v>
      </c>
      <c r="AG69" s="1">
        <v>5988</v>
      </c>
      <c r="AI69" s="1">
        <v>5988</v>
      </c>
      <c r="AJ69" s="1">
        <v>5988</v>
      </c>
      <c r="AM69" s="1">
        <v>5988</v>
      </c>
      <c r="AN69" t="s">
        <v>643</v>
      </c>
      <c r="AO69" t="s">
        <v>546</v>
      </c>
      <c r="AP69" t="s">
        <v>643</v>
      </c>
      <c r="AQ69" t="s">
        <v>548</v>
      </c>
      <c r="AS69" t="s">
        <v>382</v>
      </c>
      <c r="AX69" s="1">
        <v>5988</v>
      </c>
      <c r="AY69" t="s">
        <v>546</v>
      </c>
      <c r="AZ69" t="s">
        <v>644</v>
      </c>
      <c r="BA69" s="1">
        <v>5988</v>
      </c>
      <c r="BC69" t="s">
        <v>546</v>
      </c>
      <c r="BD69" s="1">
        <v>5988</v>
      </c>
      <c r="BE69" t="s">
        <v>540</v>
      </c>
      <c r="BF69" s="1">
        <v>5988</v>
      </c>
      <c r="BH69" s="1">
        <v>5988</v>
      </c>
      <c r="BI69" t="s">
        <v>550</v>
      </c>
      <c r="BJ69" t="s">
        <v>785</v>
      </c>
      <c r="BK69" t="s">
        <v>785</v>
      </c>
      <c r="BL69" t="s">
        <v>552</v>
      </c>
      <c r="BM69" t="s">
        <v>844</v>
      </c>
      <c r="BN69" t="s">
        <v>862</v>
      </c>
      <c r="BO69" t="s">
        <v>863</v>
      </c>
      <c r="BR69" t="s">
        <v>546</v>
      </c>
      <c r="BS69" s="1">
        <v>5988</v>
      </c>
      <c r="BW69" t="s">
        <v>536</v>
      </c>
      <c r="BX69" s="1">
        <v>5988</v>
      </c>
      <c r="BZ69" t="s">
        <v>535</v>
      </c>
      <c r="CA69" t="s">
        <v>546</v>
      </c>
      <c r="CB69" t="s">
        <v>831</v>
      </c>
      <c r="CC69" t="s">
        <v>556</v>
      </c>
      <c r="CD69" t="s">
        <v>864</v>
      </c>
      <c r="CE69" t="s">
        <v>865</v>
      </c>
      <c r="CF69" t="s">
        <v>53</v>
      </c>
      <c r="CG69" s="4">
        <v>1</v>
      </c>
      <c r="CH69" t="s">
        <v>546</v>
      </c>
      <c r="CK69" t="s">
        <v>866</v>
      </c>
      <c r="CL69" s="1">
        <v>5988</v>
      </c>
      <c r="CN69" t="s">
        <v>535</v>
      </c>
      <c r="CO69" t="s">
        <v>539</v>
      </c>
      <c r="CT69" t="s">
        <v>791</v>
      </c>
      <c r="CW69" t="s">
        <v>546</v>
      </c>
      <c r="DD69" t="s">
        <v>561</v>
      </c>
      <c r="DK69" t="s">
        <v>867</v>
      </c>
      <c r="DL69" t="s">
        <v>868</v>
      </c>
      <c r="DR69" t="s">
        <v>869</v>
      </c>
    </row>
    <row r="70" ht="15" customHeight="1" spans="1:122">
      <c r="A70" t="s">
        <v>530</v>
      </c>
      <c r="B70" t="s">
        <v>870</v>
      </c>
      <c r="C70" t="s">
        <v>532</v>
      </c>
      <c r="D70" t="s">
        <v>533</v>
      </c>
      <c r="E70" t="s">
        <v>534</v>
      </c>
      <c r="F70" t="s">
        <v>534</v>
      </c>
      <c r="G70" t="s">
        <v>535</v>
      </c>
      <c r="H70" s="1">
        <v>4351.15</v>
      </c>
      <c r="I70" s="1">
        <v>4325.04</v>
      </c>
      <c r="J70" t="s">
        <v>536</v>
      </c>
      <c r="L70" t="s">
        <v>536</v>
      </c>
      <c r="M70" t="s">
        <v>377</v>
      </c>
      <c r="N70" t="s">
        <v>537</v>
      </c>
      <c r="P70" s="1">
        <v>4351.15</v>
      </c>
      <c r="Q70" t="s">
        <v>538</v>
      </c>
      <c r="R70" t="s">
        <v>535</v>
      </c>
      <c r="S70" t="s">
        <v>539</v>
      </c>
      <c r="T70" s="2">
        <v>1</v>
      </c>
      <c r="U70" s="1">
        <v>4351.15</v>
      </c>
      <c r="V70" s="1">
        <v>4325.04</v>
      </c>
      <c r="X70" t="s">
        <v>540</v>
      </c>
      <c r="Z70" t="s">
        <v>541</v>
      </c>
      <c r="AA70" t="s">
        <v>542</v>
      </c>
      <c r="AB70" t="s">
        <v>543</v>
      </c>
      <c r="AC70" t="s">
        <v>544</v>
      </c>
      <c r="AD70" t="s">
        <v>545</v>
      </c>
      <c r="AE70" s="3">
        <v>1</v>
      </c>
      <c r="AF70" t="s">
        <v>47</v>
      </c>
      <c r="AG70" s="1">
        <v>4351.15</v>
      </c>
      <c r="AI70" s="1">
        <v>4351.15</v>
      </c>
      <c r="AJ70" s="1">
        <v>4351.15</v>
      </c>
      <c r="AK70" s="1">
        <v>26.11</v>
      </c>
      <c r="AM70" s="1">
        <v>4325.04</v>
      </c>
      <c r="AN70" t="s">
        <v>536</v>
      </c>
      <c r="AO70" t="s">
        <v>546</v>
      </c>
      <c r="AP70" t="s">
        <v>547</v>
      </c>
      <c r="AQ70" t="s">
        <v>548</v>
      </c>
      <c r="AS70" t="s">
        <v>377</v>
      </c>
      <c r="AX70" s="1">
        <v>4351.15</v>
      </c>
      <c r="AY70" t="s">
        <v>546</v>
      </c>
      <c r="AZ70" t="s">
        <v>549</v>
      </c>
      <c r="BA70" s="1">
        <v>4351.15</v>
      </c>
      <c r="BC70" t="s">
        <v>546</v>
      </c>
      <c r="BD70" s="1">
        <v>4351.15</v>
      </c>
      <c r="BE70" t="s">
        <v>540</v>
      </c>
      <c r="BF70" s="1">
        <v>4351.15</v>
      </c>
      <c r="BG70" s="1">
        <v>26.11</v>
      </c>
      <c r="BH70" s="1">
        <v>4325.04</v>
      </c>
      <c r="BI70" t="s">
        <v>550</v>
      </c>
      <c r="BJ70" t="s">
        <v>551</v>
      </c>
      <c r="BK70" t="s">
        <v>552</v>
      </c>
      <c r="BL70" t="s">
        <v>552</v>
      </c>
      <c r="BM70" t="s">
        <v>844</v>
      </c>
      <c r="BN70" t="s">
        <v>871</v>
      </c>
      <c r="BO70" t="s">
        <v>872</v>
      </c>
      <c r="BR70" t="s">
        <v>546</v>
      </c>
      <c r="BS70" s="1">
        <v>4351.15</v>
      </c>
      <c r="BW70" t="s">
        <v>536</v>
      </c>
      <c r="BX70" s="1">
        <v>4351.15</v>
      </c>
      <c r="BZ70" t="s">
        <v>535</v>
      </c>
      <c r="CA70" t="s">
        <v>546</v>
      </c>
      <c r="CB70" t="s">
        <v>533</v>
      </c>
      <c r="CC70" t="s">
        <v>556</v>
      </c>
      <c r="CD70" t="s">
        <v>873</v>
      </c>
      <c r="CE70" t="s">
        <v>874</v>
      </c>
      <c r="CF70" t="s">
        <v>47</v>
      </c>
      <c r="CG70" s="4">
        <v>1</v>
      </c>
      <c r="CH70" t="s">
        <v>546</v>
      </c>
      <c r="CK70" t="s">
        <v>875</v>
      </c>
      <c r="CL70" s="1">
        <v>4351.15</v>
      </c>
      <c r="CN70" t="s">
        <v>535</v>
      </c>
      <c r="CO70" t="s">
        <v>539</v>
      </c>
      <c r="CT70" t="s">
        <v>560</v>
      </c>
      <c r="CW70" t="s">
        <v>546</v>
      </c>
      <c r="DD70" t="s">
        <v>561</v>
      </c>
      <c r="DK70" t="s">
        <v>876</v>
      </c>
      <c r="DL70" t="s">
        <v>877</v>
      </c>
    </row>
    <row r="71" ht="15" customHeight="1" spans="1:122">
      <c r="A71" t="s">
        <v>530</v>
      </c>
      <c r="B71" t="s">
        <v>878</v>
      </c>
      <c r="C71" t="s">
        <v>532</v>
      </c>
      <c r="D71" t="s">
        <v>533</v>
      </c>
      <c r="E71" t="s">
        <v>534</v>
      </c>
      <c r="F71" t="s">
        <v>534</v>
      </c>
      <c r="G71" t="s">
        <v>535</v>
      </c>
      <c r="H71" s="1">
        <v>767.85</v>
      </c>
      <c r="I71" s="1">
        <v>767.85</v>
      </c>
      <c r="J71" t="s">
        <v>536</v>
      </c>
      <c r="L71" t="s">
        <v>536</v>
      </c>
      <c r="M71" t="s">
        <v>377</v>
      </c>
      <c r="N71" t="s">
        <v>537</v>
      </c>
      <c r="P71" s="1">
        <v>767.85</v>
      </c>
      <c r="Q71" t="s">
        <v>538</v>
      </c>
      <c r="R71" t="s">
        <v>535</v>
      </c>
      <c r="S71" t="s">
        <v>539</v>
      </c>
      <c r="T71" s="2">
        <v>1</v>
      </c>
      <c r="U71" s="1">
        <v>767.85</v>
      </c>
      <c r="V71" s="1">
        <v>767.85</v>
      </c>
      <c r="X71" t="s">
        <v>540</v>
      </c>
      <c r="Z71" t="s">
        <v>541</v>
      </c>
      <c r="AA71" t="s">
        <v>542</v>
      </c>
      <c r="AB71" t="s">
        <v>543</v>
      </c>
      <c r="AC71" t="s">
        <v>544</v>
      </c>
      <c r="AD71" t="s">
        <v>545</v>
      </c>
      <c r="AE71" s="3">
        <v>1</v>
      </c>
      <c r="AF71" t="s">
        <v>47</v>
      </c>
      <c r="AG71" s="1">
        <v>767.85</v>
      </c>
      <c r="AI71" s="1">
        <v>767.85</v>
      </c>
      <c r="AJ71" s="1">
        <v>767.85</v>
      </c>
      <c r="AM71" s="1">
        <v>767.85</v>
      </c>
      <c r="AN71" t="s">
        <v>565</v>
      </c>
      <c r="AO71" t="s">
        <v>546</v>
      </c>
      <c r="AP71" t="s">
        <v>565</v>
      </c>
      <c r="AQ71" t="s">
        <v>548</v>
      </c>
      <c r="AS71" t="s">
        <v>377</v>
      </c>
      <c r="AX71" s="1">
        <v>767.85</v>
      </c>
      <c r="AY71" t="s">
        <v>546</v>
      </c>
      <c r="AZ71" t="s">
        <v>566</v>
      </c>
      <c r="BA71" s="1">
        <v>767.85</v>
      </c>
      <c r="BC71" t="s">
        <v>546</v>
      </c>
      <c r="BD71" s="1">
        <v>767.85</v>
      </c>
      <c r="BE71" t="s">
        <v>540</v>
      </c>
      <c r="BF71" s="1">
        <v>767.85</v>
      </c>
      <c r="BH71" s="1">
        <v>767.85</v>
      </c>
      <c r="BI71" t="s">
        <v>550</v>
      </c>
      <c r="BJ71" t="s">
        <v>551</v>
      </c>
      <c r="BK71" t="s">
        <v>551</v>
      </c>
      <c r="BL71" t="s">
        <v>552</v>
      </c>
      <c r="BM71" t="s">
        <v>844</v>
      </c>
      <c r="BN71" t="s">
        <v>879</v>
      </c>
      <c r="BO71" t="s">
        <v>880</v>
      </c>
      <c r="BR71" t="s">
        <v>546</v>
      </c>
      <c r="BS71" s="1">
        <v>767.85</v>
      </c>
      <c r="BW71" t="s">
        <v>536</v>
      </c>
      <c r="BX71" s="1">
        <v>767.85</v>
      </c>
      <c r="BZ71" t="s">
        <v>535</v>
      </c>
      <c r="CA71" t="s">
        <v>546</v>
      </c>
      <c r="CB71" t="s">
        <v>533</v>
      </c>
      <c r="CC71" t="s">
        <v>556</v>
      </c>
      <c r="CD71" t="s">
        <v>873</v>
      </c>
      <c r="CE71" t="s">
        <v>874</v>
      </c>
      <c r="CF71" t="s">
        <v>47</v>
      </c>
      <c r="CG71" s="4">
        <v>1</v>
      </c>
      <c r="CH71" t="s">
        <v>546</v>
      </c>
      <c r="CK71" t="s">
        <v>875</v>
      </c>
      <c r="CL71" s="1">
        <v>767.85</v>
      </c>
      <c r="CN71" t="s">
        <v>535</v>
      </c>
      <c r="CO71" t="s">
        <v>539</v>
      </c>
      <c r="CT71" t="s">
        <v>560</v>
      </c>
      <c r="CW71" t="s">
        <v>546</v>
      </c>
      <c r="DD71" t="s">
        <v>561</v>
      </c>
      <c r="DK71" t="s">
        <v>876</v>
      </c>
      <c r="DL71" t="s">
        <v>877</v>
      </c>
    </row>
    <row r="72" ht="15" customHeight="1" spans="1:122">
      <c r="A72" t="s">
        <v>530</v>
      </c>
      <c r="B72" t="s">
        <v>881</v>
      </c>
      <c r="C72" t="s">
        <v>532</v>
      </c>
      <c r="D72" t="s">
        <v>831</v>
      </c>
      <c r="E72" t="s">
        <v>534</v>
      </c>
      <c r="F72" t="s">
        <v>534</v>
      </c>
      <c r="G72" t="s">
        <v>535</v>
      </c>
      <c r="H72" s="1">
        <v>3998</v>
      </c>
      <c r="I72" s="1">
        <v>3998</v>
      </c>
      <c r="J72" t="s">
        <v>536</v>
      </c>
      <c r="L72" t="s">
        <v>536</v>
      </c>
      <c r="M72" t="s">
        <v>377</v>
      </c>
      <c r="N72" t="s">
        <v>537</v>
      </c>
      <c r="P72" s="1">
        <v>3998</v>
      </c>
      <c r="Q72" t="s">
        <v>538</v>
      </c>
      <c r="R72" t="s">
        <v>535</v>
      </c>
      <c r="S72" t="s">
        <v>539</v>
      </c>
      <c r="T72" s="2">
        <v>1</v>
      </c>
      <c r="U72" s="1">
        <v>3998</v>
      </c>
      <c r="V72" s="1">
        <v>3998</v>
      </c>
      <c r="X72" t="s">
        <v>540</v>
      </c>
      <c r="Z72" t="s">
        <v>541</v>
      </c>
      <c r="AA72" t="s">
        <v>542</v>
      </c>
      <c r="AB72" t="s">
        <v>543</v>
      </c>
      <c r="AC72" t="s">
        <v>544</v>
      </c>
      <c r="AD72" t="s">
        <v>545</v>
      </c>
      <c r="AE72" s="3">
        <v>1</v>
      </c>
      <c r="AF72" t="s">
        <v>48</v>
      </c>
      <c r="AG72" s="1">
        <v>3998</v>
      </c>
      <c r="AI72" s="1">
        <v>3998</v>
      </c>
      <c r="AJ72" s="1">
        <v>3998</v>
      </c>
      <c r="AM72" s="1">
        <v>3998</v>
      </c>
      <c r="AN72" t="s">
        <v>643</v>
      </c>
      <c r="AO72" t="s">
        <v>546</v>
      </c>
      <c r="AP72" t="s">
        <v>643</v>
      </c>
      <c r="AQ72" t="s">
        <v>548</v>
      </c>
      <c r="AS72" t="s">
        <v>377</v>
      </c>
      <c r="AX72" s="1">
        <v>3998</v>
      </c>
      <c r="AY72" t="s">
        <v>546</v>
      </c>
      <c r="AZ72" t="s">
        <v>644</v>
      </c>
      <c r="BA72" s="1">
        <v>3998</v>
      </c>
      <c r="BC72" t="s">
        <v>546</v>
      </c>
      <c r="BD72" s="1">
        <v>3998</v>
      </c>
      <c r="BE72" t="s">
        <v>540</v>
      </c>
      <c r="BF72" s="1">
        <v>3998</v>
      </c>
      <c r="BH72" s="1">
        <v>3998</v>
      </c>
      <c r="BI72" t="s">
        <v>550</v>
      </c>
      <c r="BJ72" t="s">
        <v>551</v>
      </c>
      <c r="BK72" t="s">
        <v>551</v>
      </c>
      <c r="BL72" t="s">
        <v>552</v>
      </c>
      <c r="BM72" t="s">
        <v>844</v>
      </c>
      <c r="BN72" t="s">
        <v>882</v>
      </c>
      <c r="BO72" t="s">
        <v>883</v>
      </c>
      <c r="BR72" t="s">
        <v>546</v>
      </c>
      <c r="BS72" s="1">
        <v>3998</v>
      </c>
      <c r="BW72" t="s">
        <v>536</v>
      </c>
      <c r="BX72" s="1">
        <v>3998</v>
      </c>
      <c r="BZ72" t="s">
        <v>535</v>
      </c>
      <c r="CA72" t="s">
        <v>546</v>
      </c>
      <c r="CB72" t="s">
        <v>831</v>
      </c>
      <c r="CC72" t="s">
        <v>556</v>
      </c>
      <c r="CD72" t="s">
        <v>622</v>
      </c>
      <c r="CE72" t="s">
        <v>623</v>
      </c>
      <c r="CF72" t="s">
        <v>48</v>
      </c>
      <c r="CG72" s="4">
        <v>1</v>
      </c>
      <c r="CH72" t="s">
        <v>546</v>
      </c>
      <c r="CK72" t="s">
        <v>884</v>
      </c>
      <c r="CL72" s="1">
        <v>3998</v>
      </c>
      <c r="CN72" t="s">
        <v>535</v>
      </c>
      <c r="CO72" t="s">
        <v>539</v>
      </c>
      <c r="CT72" t="s">
        <v>560</v>
      </c>
      <c r="CW72" t="s">
        <v>546</v>
      </c>
      <c r="DD72" t="s">
        <v>561</v>
      </c>
      <c r="DK72" t="s">
        <v>885</v>
      </c>
      <c r="DL72" t="s">
        <v>886</v>
      </c>
      <c r="DR72" t="s">
        <v>887</v>
      </c>
    </row>
    <row r="73" ht="15" customHeight="1" spans="1:122">
      <c r="A73" t="s">
        <v>530</v>
      </c>
      <c r="B73" t="s">
        <v>888</v>
      </c>
      <c r="C73" t="s">
        <v>532</v>
      </c>
      <c r="D73" t="s">
        <v>831</v>
      </c>
      <c r="E73" t="s">
        <v>534</v>
      </c>
      <c r="F73" t="s">
        <v>534</v>
      </c>
      <c r="G73" t="s">
        <v>535</v>
      </c>
      <c r="H73" s="1">
        <v>828</v>
      </c>
      <c r="I73" s="1">
        <v>828</v>
      </c>
      <c r="J73" t="s">
        <v>536</v>
      </c>
      <c r="L73" t="s">
        <v>536</v>
      </c>
      <c r="M73" t="s">
        <v>377</v>
      </c>
      <c r="N73" t="s">
        <v>537</v>
      </c>
      <c r="P73" s="1">
        <v>828</v>
      </c>
      <c r="Q73" t="s">
        <v>538</v>
      </c>
      <c r="R73" t="s">
        <v>535</v>
      </c>
      <c r="S73" t="s">
        <v>539</v>
      </c>
      <c r="T73" s="2">
        <v>1</v>
      </c>
      <c r="U73" s="1">
        <v>828</v>
      </c>
      <c r="V73" s="1">
        <v>828</v>
      </c>
      <c r="X73" t="s">
        <v>540</v>
      </c>
      <c r="Z73" t="s">
        <v>541</v>
      </c>
      <c r="AA73" t="s">
        <v>542</v>
      </c>
      <c r="AB73" t="s">
        <v>543</v>
      </c>
      <c r="AC73" t="s">
        <v>544</v>
      </c>
      <c r="AD73" t="s">
        <v>545</v>
      </c>
      <c r="AE73" s="3">
        <v>1</v>
      </c>
      <c r="AF73" t="s">
        <v>50</v>
      </c>
      <c r="AG73" s="1">
        <v>828</v>
      </c>
      <c r="AI73" s="1">
        <v>828</v>
      </c>
      <c r="AJ73" s="1">
        <v>828</v>
      </c>
      <c r="AM73" s="1">
        <v>828</v>
      </c>
      <c r="AN73" t="s">
        <v>643</v>
      </c>
      <c r="AO73" t="s">
        <v>546</v>
      </c>
      <c r="AP73" t="s">
        <v>643</v>
      </c>
      <c r="AQ73" t="s">
        <v>548</v>
      </c>
      <c r="AS73" t="s">
        <v>377</v>
      </c>
      <c r="AX73" s="1">
        <v>828</v>
      </c>
      <c r="AY73" t="s">
        <v>546</v>
      </c>
      <c r="AZ73" t="s">
        <v>644</v>
      </c>
      <c r="BA73" s="1">
        <v>828</v>
      </c>
      <c r="BC73" t="s">
        <v>546</v>
      </c>
      <c r="BD73" s="1">
        <v>828</v>
      </c>
      <c r="BE73" t="s">
        <v>540</v>
      </c>
      <c r="BF73" s="1">
        <v>828</v>
      </c>
      <c r="BH73" s="1">
        <v>828</v>
      </c>
      <c r="BI73" t="s">
        <v>550</v>
      </c>
      <c r="BJ73" t="s">
        <v>551</v>
      </c>
      <c r="BK73" t="s">
        <v>551</v>
      </c>
      <c r="BL73" t="s">
        <v>552</v>
      </c>
      <c r="BM73" t="s">
        <v>844</v>
      </c>
      <c r="BN73" t="s">
        <v>889</v>
      </c>
      <c r="BO73" t="s">
        <v>890</v>
      </c>
      <c r="BR73" t="s">
        <v>546</v>
      </c>
      <c r="BS73" s="1">
        <v>828</v>
      </c>
      <c r="BW73" t="s">
        <v>536</v>
      </c>
      <c r="BX73" s="1">
        <v>828</v>
      </c>
      <c r="BZ73" t="s">
        <v>535</v>
      </c>
      <c r="CA73" t="s">
        <v>546</v>
      </c>
      <c r="CB73" t="s">
        <v>831</v>
      </c>
      <c r="CC73" t="s">
        <v>556</v>
      </c>
      <c r="CD73" t="s">
        <v>891</v>
      </c>
      <c r="CE73" t="s">
        <v>892</v>
      </c>
      <c r="CF73" t="s">
        <v>50</v>
      </c>
      <c r="CG73" s="4">
        <v>1</v>
      </c>
      <c r="CH73" t="s">
        <v>546</v>
      </c>
      <c r="CK73" t="s">
        <v>893</v>
      </c>
      <c r="CL73" s="1">
        <v>828</v>
      </c>
      <c r="CN73" t="s">
        <v>535</v>
      </c>
      <c r="CO73" t="s">
        <v>539</v>
      </c>
      <c r="CT73" t="s">
        <v>560</v>
      </c>
      <c r="CW73" t="s">
        <v>546</v>
      </c>
      <c r="DD73" t="s">
        <v>561</v>
      </c>
      <c r="DK73" t="s">
        <v>894</v>
      </c>
      <c r="DL73" t="s">
        <v>895</v>
      </c>
      <c r="DR73" t="s">
        <v>896</v>
      </c>
    </row>
    <row r="74" ht="15" customHeight="1" spans="1:122">
      <c r="A74" t="s">
        <v>530</v>
      </c>
      <c r="B74" t="s">
        <v>897</v>
      </c>
      <c r="C74" t="s">
        <v>532</v>
      </c>
      <c r="D74" t="s">
        <v>831</v>
      </c>
      <c r="E74" t="s">
        <v>534</v>
      </c>
      <c r="F74" t="s">
        <v>534</v>
      </c>
      <c r="G74" t="s">
        <v>535</v>
      </c>
      <c r="H74" s="1">
        <v>3869</v>
      </c>
      <c r="I74" s="1">
        <v>3869</v>
      </c>
      <c r="J74" t="s">
        <v>536</v>
      </c>
      <c r="L74" t="s">
        <v>536</v>
      </c>
      <c r="M74" t="s">
        <v>377</v>
      </c>
      <c r="N74" t="s">
        <v>537</v>
      </c>
      <c r="P74" s="1">
        <v>3869</v>
      </c>
      <c r="Q74" t="s">
        <v>538</v>
      </c>
      <c r="R74" t="s">
        <v>535</v>
      </c>
      <c r="S74" t="s">
        <v>539</v>
      </c>
      <c r="T74" s="2">
        <v>1</v>
      </c>
      <c r="U74" s="1">
        <v>3869</v>
      </c>
      <c r="V74" s="1">
        <v>3869</v>
      </c>
      <c r="X74" t="s">
        <v>540</v>
      </c>
      <c r="Z74" t="s">
        <v>541</v>
      </c>
      <c r="AA74" t="s">
        <v>542</v>
      </c>
      <c r="AB74" t="s">
        <v>543</v>
      </c>
      <c r="AC74" t="s">
        <v>544</v>
      </c>
      <c r="AD74" t="s">
        <v>545</v>
      </c>
      <c r="AE74" s="3">
        <v>1</v>
      </c>
      <c r="AF74" t="s">
        <v>52</v>
      </c>
      <c r="AG74" s="1">
        <v>3869</v>
      </c>
      <c r="AI74" s="1">
        <v>3869</v>
      </c>
      <c r="AJ74" s="1">
        <v>3869</v>
      </c>
      <c r="AM74" s="1">
        <v>3869</v>
      </c>
      <c r="AN74" t="s">
        <v>643</v>
      </c>
      <c r="AO74" t="s">
        <v>546</v>
      </c>
      <c r="AP74" t="s">
        <v>643</v>
      </c>
      <c r="AQ74" t="s">
        <v>548</v>
      </c>
      <c r="AS74" t="s">
        <v>377</v>
      </c>
      <c r="AX74" s="1">
        <v>3869</v>
      </c>
      <c r="AY74" t="s">
        <v>546</v>
      </c>
      <c r="AZ74" t="s">
        <v>644</v>
      </c>
      <c r="BA74" s="1">
        <v>3869</v>
      </c>
      <c r="BC74" t="s">
        <v>546</v>
      </c>
      <c r="BD74" s="1">
        <v>3869</v>
      </c>
      <c r="BE74" t="s">
        <v>540</v>
      </c>
      <c r="BF74" s="1">
        <v>3869</v>
      </c>
      <c r="BH74" s="1">
        <v>3869</v>
      </c>
      <c r="BI74" t="s">
        <v>550</v>
      </c>
      <c r="BJ74" t="s">
        <v>551</v>
      </c>
      <c r="BK74" t="s">
        <v>551</v>
      </c>
      <c r="BL74" t="s">
        <v>552</v>
      </c>
      <c r="BM74" t="s">
        <v>844</v>
      </c>
      <c r="BN74" t="s">
        <v>898</v>
      </c>
      <c r="BO74" t="s">
        <v>899</v>
      </c>
      <c r="BR74" t="s">
        <v>546</v>
      </c>
      <c r="BS74" s="1">
        <v>3869</v>
      </c>
      <c r="BW74" t="s">
        <v>536</v>
      </c>
      <c r="BX74" s="1">
        <v>3869</v>
      </c>
      <c r="BZ74" t="s">
        <v>535</v>
      </c>
      <c r="CA74" t="s">
        <v>546</v>
      </c>
      <c r="CB74" t="s">
        <v>831</v>
      </c>
      <c r="CC74" t="s">
        <v>556</v>
      </c>
      <c r="CD74" t="s">
        <v>622</v>
      </c>
      <c r="CE74" t="s">
        <v>623</v>
      </c>
      <c r="CF74" t="s">
        <v>52</v>
      </c>
      <c r="CG74" s="4">
        <v>1</v>
      </c>
      <c r="CH74" t="s">
        <v>546</v>
      </c>
      <c r="CK74" t="s">
        <v>900</v>
      </c>
      <c r="CL74" s="1">
        <v>3869</v>
      </c>
      <c r="CN74" t="s">
        <v>535</v>
      </c>
      <c r="CO74" t="s">
        <v>539</v>
      </c>
      <c r="CT74" t="s">
        <v>560</v>
      </c>
      <c r="CW74" t="s">
        <v>546</v>
      </c>
      <c r="DD74" t="s">
        <v>561</v>
      </c>
      <c r="DK74" t="s">
        <v>901</v>
      </c>
      <c r="DL74" t="s">
        <v>902</v>
      </c>
      <c r="DR74" t="s">
        <v>903</v>
      </c>
    </row>
    <row r="75" ht="15" customHeight="1" spans="1:122">
      <c r="A75" t="s">
        <v>603</v>
      </c>
      <c r="B75" t="s">
        <v>904</v>
      </c>
      <c r="C75" t="s">
        <v>532</v>
      </c>
      <c r="D75" t="s">
        <v>844</v>
      </c>
      <c r="E75" t="s">
        <v>534</v>
      </c>
      <c r="F75" t="s">
        <v>534</v>
      </c>
      <c r="G75" t="s">
        <v>535</v>
      </c>
      <c r="H75" s="1">
        <v>35000</v>
      </c>
      <c r="I75" s="1">
        <v>35000</v>
      </c>
      <c r="J75" t="s">
        <v>536</v>
      </c>
      <c r="L75" t="s">
        <v>536</v>
      </c>
      <c r="M75" t="s">
        <v>401</v>
      </c>
      <c r="N75" t="s">
        <v>537</v>
      </c>
      <c r="P75" s="1">
        <v>35000</v>
      </c>
      <c r="Q75" t="s">
        <v>905</v>
      </c>
      <c r="R75" t="s">
        <v>535</v>
      </c>
      <c r="S75" t="s">
        <v>539</v>
      </c>
      <c r="T75" s="2">
        <v>1</v>
      </c>
      <c r="U75" s="1">
        <v>35000</v>
      </c>
      <c r="V75" s="1">
        <v>35000</v>
      </c>
      <c r="X75" t="s">
        <v>616</v>
      </c>
      <c r="Z75" t="s">
        <v>541</v>
      </c>
      <c r="AA75" t="s">
        <v>542</v>
      </c>
      <c r="AB75" t="s">
        <v>543</v>
      </c>
      <c r="AC75" t="s">
        <v>608</v>
      </c>
      <c r="AE75" s="3">
        <v>1</v>
      </c>
      <c r="AG75" s="1">
        <v>35000</v>
      </c>
      <c r="AI75" s="1">
        <v>35000</v>
      </c>
      <c r="AJ75" s="1">
        <v>35000</v>
      </c>
      <c r="AM75" s="1">
        <v>35000</v>
      </c>
      <c r="AN75" t="s">
        <v>536</v>
      </c>
      <c r="AO75" t="s">
        <v>546</v>
      </c>
      <c r="AP75" t="s">
        <v>547</v>
      </c>
      <c r="AQ75" t="s">
        <v>548</v>
      </c>
      <c r="AS75" t="s">
        <v>401</v>
      </c>
      <c r="AX75" s="1">
        <v>35000</v>
      </c>
      <c r="AY75" t="s">
        <v>546</v>
      </c>
      <c r="AZ75" t="s">
        <v>549</v>
      </c>
      <c r="BA75" s="1">
        <v>35000</v>
      </c>
      <c r="BC75" t="s">
        <v>546</v>
      </c>
      <c r="BE75" t="s">
        <v>616</v>
      </c>
      <c r="BH75" s="1">
        <v>35000</v>
      </c>
      <c r="BI75" t="s">
        <v>550</v>
      </c>
      <c r="BJ75" t="s">
        <v>551</v>
      </c>
      <c r="BK75" t="s">
        <v>551</v>
      </c>
      <c r="BL75" t="s">
        <v>552</v>
      </c>
      <c r="BM75" t="s">
        <v>844</v>
      </c>
      <c r="BN75" t="s">
        <v>906</v>
      </c>
      <c r="BO75" t="s">
        <v>907</v>
      </c>
      <c r="BR75" t="s">
        <v>546</v>
      </c>
      <c r="BS75" s="1">
        <v>35000</v>
      </c>
      <c r="BW75" t="s">
        <v>536</v>
      </c>
      <c r="BZ75" t="s">
        <v>535</v>
      </c>
      <c r="CA75" t="s">
        <v>546</v>
      </c>
      <c r="CB75" t="s">
        <v>844</v>
      </c>
      <c r="CC75" t="s">
        <v>556</v>
      </c>
      <c r="CH75" t="s">
        <v>546</v>
      </c>
      <c r="CK75" t="s">
        <v>908</v>
      </c>
      <c r="CN75" t="s">
        <v>535</v>
      </c>
      <c r="CO75" t="s">
        <v>539</v>
      </c>
      <c r="CT75" t="s">
        <v>909</v>
      </c>
      <c r="CW75" t="s">
        <v>546</v>
      </c>
      <c r="DD75" t="s">
        <v>561</v>
      </c>
    </row>
    <row r="76" ht="15" customHeight="1" spans="1:122">
      <c r="A76" t="s">
        <v>530</v>
      </c>
      <c r="B76" t="s">
        <v>910</v>
      </c>
      <c r="C76" t="s">
        <v>532</v>
      </c>
      <c r="D76" t="s">
        <v>670</v>
      </c>
      <c r="E76" t="s">
        <v>534</v>
      </c>
      <c r="F76" t="s">
        <v>534</v>
      </c>
      <c r="G76" t="s">
        <v>535</v>
      </c>
      <c r="H76" s="1">
        <v>1999</v>
      </c>
      <c r="I76" s="1">
        <v>1999</v>
      </c>
      <c r="J76" t="s">
        <v>536</v>
      </c>
      <c r="L76" t="s">
        <v>536</v>
      </c>
      <c r="M76" t="s">
        <v>377</v>
      </c>
      <c r="N76" t="s">
        <v>537</v>
      </c>
      <c r="P76" s="1">
        <v>1999</v>
      </c>
      <c r="Q76" t="s">
        <v>538</v>
      </c>
      <c r="R76" t="s">
        <v>535</v>
      </c>
      <c r="S76" t="s">
        <v>539</v>
      </c>
      <c r="T76" s="2">
        <v>1</v>
      </c>
      <c r="U76" s="1">
        <v>1999</v>
      </c>
      <c r="V76" s="1">
        <v>1999</v>
      </c>
      <c r="X76" t="s">
        <v>540</v>
      </c>
      <c r="Z76" t="s">
        <v>541</v>
      </c>
      <c r="AA76" t="s">
        <v>542</v>
      </c>
      <c r="AB76" t="s">
        <v>543</v>
      </c>
      <c r="AC76" t="s">
        <v>544</v>
      </c>
      <c r="AD76" t="s">
        <v>545</v>
      </c>
      <c r="AE76" s="3">
        <v>1</v>
      </c>
      <c r="AF76" t="s">
        <v>45</v>
      </c>
      <c r="AG76" s="1">
        <v>1999</v>
      </c>
      <c r="AI76" s="1">
        <v>1999</v>
      </c>
      <c r="AJ76" s="1">
        <v>1999</v>
      </c>
      <c r="AM76" s="1">
        <v>1999</v>
      </c>
      <c r="AN76" t="s">
        <v>643</v>
      </c>
      <c r="AO76" t="s">
        <v>546</v>
      </c>
      <c r="AP76" t="s">
        <v>643</v>
      </c>
      <c r="AQ76" t="s">
        <v>548</v>
      </c>
      <c r="AS76" t="s">
        <v>377</v>
      </c>
      <c r="AX76" s="1">
        <v>1999</v>
      </c>
      <c r="AY76" t="s">
        <v>546</v>
      </c>
      <c r="AZ76" t="s">
        <v>644</v>
      </c>
      <c r="BA76" s="1">
        <v>1999</v>
      </c>
      <c r="BC76" t="s">
        <v>546</v>
      </c>
      <c r="BD76" s="1">
        <v>1999</v>
      </c>
      <c r="BE76" t="s">
        <v>540</v>
      </c>
      <c r="BF76" s="1">
        <v>1999</v>
      </c>
      <c r="BH76" s="1">
        <v>1999</v>
      </c>
      <c r="BI76" t="s">
        <v>550</v>
      </c>
      <c r="BJ76" t="s">
        <v>551</v>
      </c>
      <c r="BK76" t="s">
        <v>551</v>
      </c>
      <c r="BL76" t="s">
        <v>552</v>
      </c>
      <c r="BM76" t="s">
        <v>844</v>
      </c>
      <c r="BN76" t="s">
        <v>911</v>
      </c>
      <c r="BO76" t="s">
        <v>912</v>
      </c>
      <c r="BR76" t="s">
        <v>546</v>
      </c>
      <c r="BS76" s="1">
        <v>1999</v>
      </c>
      <c r="BW76" t="s">
        <v>536</v>
      </c>
      <c r="BX76" s="1">
        <v>1999</v>
      </c>
      <c r="BZ76" t="s">
        <v>535</v>
      </c>
      <c r="CA76" t="s">
        <v>546</v>
      </c>
      <c r="CB76" t="s">
        <v>670</v>
      </c>
      <c r="CC76" t="s">
        <v>556</v>
      </c>
      <c r="CD76" t="s">
        <v>913</v>
      </c>
      <c r="CE76" t="s">
        <v>914</v>
      </c>
      <c r="CF76" t="s">
        <v>45</v>
      </c>
      <c r="CG76" s="4">
        <v>1</v>
      </c>
      <c r="CH76" t="s">
        <v>546</v>
      </c>
      <c r="CK76" t="s">
        <v>915</v>
      </c>
      <c r="CL76" s="1">
        <v>1999</v>
      </c>
      <c r="CN76" t="s">
        <v>535</v>
      </c>
      <c r="CO76" t="s">
        <v>539</v>
      </c>
      <c r="CT76" t="s">
        <v>560</v>
      </c>
      <c r="CW76" t="s">
        <v>546</v>
      </c>
      <c r="DD76" t="s">
        <v>561</v>
      </c>
      <c r="DK76" t="s">
        <v>916</v>
      </c>
      <c r="DL76" t="s">
        <v>917</v>
      </c>
      <c r="DR76" t="s">
        <v>918</v>
      </c>
    </row>
    <row r="77" ht="15" customHeight="1" spans="1:122">
      <c r="A77" t="s">
        <v>530</v>
      </c>
      <c r="B77" t="s">
        <v>919</v>
      </c>
      <c r="C77" t="s">
        <v>532</v>
      </c>
      <c r="D77" t="s">
        <v>670</v>
      </c>
      <c r="E77" t="s">
        <v>534</v>
      </c>
      <c r="F77" t="s">
        <v>534</v>
      </c>
      <c r="G77" t="s">
        <v>535</v>
      </c>
      <c r="H77" s="1">
        <v>350</v>
      </c>
      <c r="I77" s="1">
        <v>350</v>
      </c>
      <c r="J77" t="s">
        <v>536</v>
      </c>
      <c r="L77" t="s">
        <v>536</v>
      </c>
      <c r="M77" t="s">
        <v>404</v>
      </c>
      <c r="N77" t="s">
        <v>537</v>
      </c>
      <c r="P77" s="1">
        <v>350</v>
      </c>
      <c r="Q77" t="s">
        <v>642</v>
      </c>
      <c r="R77" t="s">
        <v>535</v>
      </c>
      <c r="S77" t="s">
        <v>539</v>
      </c>
      <c r="T77" s="2">
        <v>1</v>
      </c>
      <c r="U77" s="1">
        <v>350</v>
      </c>
      <c r="V77" s="1">
        <v>350</v>
      </c>
      <c r="X77" t="s">
        <v>540</v>
      </c>
      <c r="Z77" t="s">
        <v>541</v>
      </c>
      <c r="AA77" t="s">
        <v>542</v>
      </c>
      <c r="AB77" t="s">
        <v>543</v>
      </c>
      <c r="AC77" t="s">
        <v>544</v>
      </c>
      <c r="AD77" t="s">
        <v>545</v>
      </c>
      <c r="AE77" s="3">
        <v>1</v>
      </c>
      <c r="AF77" t="s">
        <v>42</v>
      </c>
      <c r="AG77" s="1">
        <v>350</v>
      </c>
      <c r="AI77" s="1">
        <v>350</v>
      </c>
      <c r="AJ77" s="1">
        <v>350</v>
      </c>
      <c r="AM77" s="1">
        <v>350</v>
      </c>
      <c r="AN77" t="s">
        <v>643</v>
      </c>
      <c r="AO77" t="s">
        <v>546</v>
      </c>
      <c r="AP77" t="s">
        <v>643</v>
      </c>
      <c r="AQ77" t="s">
        <v>548</v>
      </c>
      <c r="AS77" t="s">
        <v>404</v>
      </c>
      <c r="AX77" s="1">
        <v>350</v>
      </c>
      <c r="AY77" t="s">
        <v>546</v>
      </c>
      <c r="AZ77" t="s">
        <v>644</v>
      </c>
      <c r="BA77" s="1">
        <v>350</v>
      </c>
      <c r="BC77" t="s">
        <v>546</v>
      </c>
      <c r="BD77" s="1">
        <v>350</v>
      </c>
      <c r="BE77" t="s">
        <v>540</v>
      </c>
      <c r="BF77" s="1">
        <v>350</v>
      </c>
      <c r="BH77" s="1">
        <v>350</v>
      </c>
      <c r="BI77" t="s">
        <v>550</v>
      </c>
      <c r="BJ77" t="s">
        <v>551</v>
      </c>
      <c r="BK77" t="s">
        <v>551</v>
      </c>
      <c r="BL77" t="s">
        <v>552</v>
      </c>
      <c r="BM77" t="s">
        <v>844</v>
      </c>
      <c r="BN77" t="s">
        <v>920</v>
      </c>
      <c r="BO77" t="s">
        <v>921</v>
      </c>
      <c r="BR77" t="s">
        <v>546</v>
      </c>
      <c r="BS77" s="1">
        <v>350</v>
      </c>
      <c r="BW77" t="s">
        <v>536</v>
      </c>
      <c r="BX77" s="1">
        <v>350</v>
      </c>
      <c r="BZ77" t="s">
        <v>535</v>
      </c>
      <c r="CA77" t="s">
        <v>546</v>
      </c>
      <c r="CB77" t="s">
        <v>670</v>
      </c>
      <c r="CC77" t="s">
        <v>556</v>
      </c>
      <c r="CD77" t="s">
        <v>922</v>
      </c>
      <c r="CE77" t="s">
        <v>923</v>
      </c>
      <c r="CF77" t="s">
        <v>42</v>
      </c>
      <c r="CG77" s="4">
        <v>1</v>
      </c>
      <c r="CH77" t="s">
        <v>546</v>
      </c>
      <c r="CK77" t="s">
        <v>924</v>
      </c>
      <c r="CL77" s="1">
        <v>350</v>
      </c>
      <c r="CN77" t="s">
        <v>535</v>
      </c>
      <c r="CO77" t="s">
        <v>539</v>
      </c>
      <c r="CT77" t="s">
        <v>651</v>
      </c>
      <c r="CW77" t="s">
        <v>546</v>
      </c>
      <c r="DD77" t="s">
        <v>561</v>
      </c>
      <c r="DK77" t="s">
        <v>925</v>
      </c>
      <c r="DL77" t="s">
        <v>926</v>
      </c>
      <c r="DR77" t="s">
        <v>927</v>
      </c>
    </row>
    <row r="78" ht="15" customHeight="1" spans="1:122">
      <c r="A78" t="s">
        <v>530</v>
      </c>
      <c r="B78" t="s">
        <v>928</v>
      </c>
      <c r="C78" t="s">
        <v>532</v>
      </c>
      <c r="D78" t="s">
        <v>670</v>
      </c>
      <c r="E78" t="s">
        <v>534</v>
      </c>
      <c r="F78" t="s">
        <v>534</v>
      </c>
      <c r="G78" t="s">
        <v>535</v>
      </c>
      <c r="H78" s="1">
        <v>3395</v>
      </c>
      <c r="I78" s="1">
        <v>3395</v>
      </c>
      <c r="J78" t="s">
        <v>536</v>
      </c>
      <c r="L78" t="s">
        <v>536</v>
      </c>
      <c r="M78" t="s">
        <v>404</v>
      </c>
      <c r="N78" t="s">
        <v>537</v>
      </c>
      <c r="P78" s="1">
        <v>3395</v>
      </c>
      <c r="Q78" t="s">
        <v>642</v>
      </c>
      <c r="R78" t="s">
        <v>535</v>
      </c>
      <c r="S78" t="s">
        <v>539</v>
      </c>
      <c r="T78" s="2">
        <v>1</v>
      </c>
      <c r="U78" s="1">
        <v>3395</v>
      </c>
      <c r="V78" s="1">
        <v>3395</v>
      </c>
      <c r="X78" t="s">
        <v>540</v>
      </c>
      <c r="Z78" t="s">
        <v>541</v>
      </c>
      <c r="AA78" t="s">
        <v>542</v>
      </c>
      <c r="AB78" t="s">
        <v>543</v>
      </c>
      <c r="AC78" t="s">
        <v>544</v>
      </c>
      <c r="AD78" t="s">
        <v>545</v>
      </c>
      <c r="AE78" s="3">
        <v>1</v>
      </c>
      <c r="AF78" t="s">
        <v>41</v>
      </c>
      <c r="AG78" s="1">
        <v>3395</v>
      </c>
      <c r="AI78" s="1">
        <v>3395</v>
      </c>
      <c r="AJ78" s="1">
        <v>3395</v>
      </c>
      <c r="AM78" s="1">
        <v>3395</v>
      </c>
      <c r="AN78" t="s">
        <v>643</v>
      </c>
      <c r="AO78" t="s">
        <v>546</v>
      </c>
      <c r="AP78" t="s">
        <v>643</v>
      </c>
      <c r="AQ78" t="s">
        <v>548</v>
      </c>
      <c r="AS78" t="s">
        <v>404</v>
      </c>
      <c r="AX78" s="1">
        <v>3395</v>
      </c>
      <c r="AY78" t="s">
        <v>546</v>
      </c>
      <c r="AZ78" t="s">
        <v>644</v>
      </c>
      <c r="BA78" s="1">
        <v>3395</v>
      </c>
      <c r="BC78" t="s">
        <v>546</v>
      </c>
      <c r="BD78" s="1">
        <v>3395</v>
      </c>
      <c r="BE78" t="s">
        <v>540</v>
      </c>
      <c r="BF78" s="1">
        <v>3395</v>
      </c>
      <c r="BH78" s="1">
        <v>3395</v>
      </c>
      <c r="BI78" t="s">
        <v>550</v>
      </c>
      <c r="BJ78" t="s">
        <v>551</v>
      </c>
      <c r="BK78" t="s">
        <v>551</v>
      </c>
      <c r="BL78" t="s">
        <v>552</v>
      </c>
      <c r="BM78" t="s">
        <v>844</v>
      </c>
      <c r="BN78" t="s">
        <v>929</v>
      </c>
      <c r="BO78" t="s">
        <v>930</v>
      </c>
      <c r="BR78" t="s">
        <v>546</v>
      </c>
      <c r="BS78" s="1">
        <v>3395</v>
      </c>
      <c r="BW78" t="s">
        <v>536</v>
      </c>
      <c r="BX78" s="1">
        <v>3395</v>
      </c>
      <c r="BZ78" t="s">
        <v>535</v>
      </c>
      <c r="CA78" t="s">
        <v>546</v>
      </c>
      <c r="CB78" t="s">
        <v>670</v>
      </c>
      <c r="CC78" t="s">
        <v>556</v>
      </c>
      <c r="CD78" t="s">
        <v>745</v>
      </c>
      <c r="CE78" t="s">
        <v>746</v>
      </c>
      <c r="CF78" t="s">
        <v>41</v>
      </c>
      <c r="CG78" s="4">
        <v>1</v>
      </c>
      <c r="CH78" t="s">
        <v>546</v>
      </c>
      <c r="CK78" t="s">
        <v>931</v>
      </c>
      <c r="CL78" s="1">
        <v>3395</v>
      </c>
      <c r="CN78" t="s">
        <v>535</v>
      </c>
      <c r="CO78" t="s">
        <v>539</v>
      </c>
      <c r="CT78" t="s">
        <v>651</v>
      </c>
      <c r="CW78" t="s">
        <v>546</v>
      </c>
      <c r="DD78" t="s">
        <v>561</v>
      </c>
      <c r="DK78" t="s">
        <v>925</v>
      </c>
      <c r="DL78" t="s">
        <v>926</v>
      </c>
      <c r="DR78" t="s">
        <v>932</v>
      </c>
    </row>
    <row r="79" ht="15" customHeight="1" spans="1:122">
      <c r="A79" t="s">
        <v>530</v>
      </c>
      <c r="B79" t="s">
        <v>933</v>
      </c>
      <c r="C79" t="s">
        <v>532</v>
      </c>
      <c r="D79" t="s">
        <v>844</v>
      </c>
      <c r="E79" t="s">
        <v>534</v>
      </c>
      <c r="F79" t="s">
        <v>534</v>
      </c>
      <c r="G79" t="s">
        <v>535</v>
      </c>
      <c r="H79" s="1">
        <v>3395</v>
      </c>
      <c r="I79" s="1">
        <v>3395</v>
      </c>
      <c r="J79" t="s">
        <v>536</v>
      </c>
      <c r="L79" t="s">
        <v>536</v>
      </c>
      <c r="M79" t="s">
        <v>377</v>
      </c>
      <c r="N79" t="s">
        <v>537</v>
      </c>
      <c r="P79" s="1">
        <v>3395</v>
      </c>
      <c r="Q79" t="s">
        <v>538</v>
      </c>
      <c r="R79" t="s">
        <v>535</v>
      </c>
      <c r="S79" t="s">
        <v>539</v>
      </c>
      <c r="T79" s="2">
        <v>1</v>
      </c>
      <c r="U79" s="1">
        <v>3395</v>
      </c>
      <c r="V79" s="1">
        <v>3395</v>
      </c>
      <c r="X79" t="s">
        <v>540</v>
      </c>
      <c r="Z79" t="s">
        <v>541</v>
      </c>
      <c r="AA79" t="s">
        <v>542</v>
      </c>
      <c r="AB79" t="s">
        <v>934</v>
      </c>
      <c r="AC79" t="s">
        <v>544</v>
      </c>
      <c r="AD79" t="s">
        <v>545</v>
      </c>
      <c r="AE79" s="3">
        <v>1</v>
      </c>
      <c r="AF79" t="s">
        <v>55</v>
      </c>
      <c r="AG79" s="1">
        <v>3395</v>
      </c>
      <c r="AI79" s="1">
        <v>3395</v>
      </c>
      <c r="AJ79" s="1">
        <v>3395</v>
      </c>
      <c r="AM79" s="1">
        <v>3395</v>
      </c>
      <c r="AN79" t="s">
        <v>643</v>
      </c>
      <c r="AO79" t="s">
        <v>546</v>
      </c>
      <c r="AP79" t="s">
        <v>643</v>
      </c>
      <c r="AQ79" t="s">
        <v>548</v>
      </c>
      <c r="AS79" t="s">
        <v>377</v>
      </c>
      <c r="AX79" s="1">
        <v>3395</v>
      </c>
      <c r="AY79" t="s">
        <v>546</v>
      </c>
      <c r="AZ79" t="s">
        <v>644</v>
      </c>
      <c r="BA79" s="1">
        <v>3395</v>
      </c>
      <c r="BC79" t="s">
        <v>546</v>
      </c>
      <c r="BD79" s="1">
        <v>3395</v>
      </c>
      <c r="BE79" t="s">
        <v>540</v>
      </c>
      <c r="BF79" s="1">
        <v>3395</v>
      </c>
      <c r="BH79" s="1">
        <v>3395</v>
      </c>
      <c r="BI79" t="s">
        <v>550</v>
      </c>
      <c r="BJ79" t="s">
        <v>551</v>
      </c>
      <c r="BK79" t="s">
        <v>551</v>
      </c>
      <c r="BL79" t="s">
        <v>552</v>
      </c>
      <c r="BM79" t="s">
        <v>844</v>
      </c>
      <c r="BN79" t="s">
        <v>935</v>
      </c>
      <c r="BO79" t="s">
        <v>936</v>
      </c>
      <c r="BR79" t="s">
        <v>546</v>
      </c>
      <c r="BS79" s="1">
        <v>3395</v>
      </c>
      <c r="BW79" t="s">
        <v>536</v>
      </c>
      <c r="BX79" s="1">
        <v>3395</v>
      </c>
      <c r="BZ79" t="s">
        <v>535</v>
      </c>
      <c r="CA79" t="s">
        <v>546</v>
      </c>
      <c r="CB79" t="s">
        <v>844</v>
      </c>
      <c r="CC79" t="s">
        <v>556</v>
      </c>
      <c r="CD79" t="s">
        <v>745</v>
      </c>
      <c r="CE79" t="s">
        <v>746</v>
      </c>
      <c r="CF79" t="s">
        <v>55</v>
      </c>
      <c r="CG79" s="4">
        <v>1</v>
      </c>
      <c r="CH79" t="s">
        <v>546</v>
      </c>
      <c r="CK79" t="s">
        <v>937</v>
      </c>
      <c r="CL79" s="1">
        <v>3395</v>
      </c>
      <c r="CN79" t="s">
        <v>535</v>
      </c>
      <c r="CO79" t="s">
        <v>539</v>
      </c>
      <c r="CT79" t="s">
        <v>560</v>
      </c>
      <c r="CW79" t="s">
        <v>546</v>
      </c>
      <c r="DD79" t="s">
        <v>561</v>
      </c>
      <c r="DK79" t="s">
        <v>938</v>
      </c>
      <c r="DL79" t="s">
        <v>939</v>
      </c>
      <c r="DR79" t="s">
        <v>940</v>
      </c>
    </row>
    <row r="80" ht="15" customHeight="1" spans="1:122">
      <c r="A80" t="s">
        <v>530</v>
      </c>
      <c r="B80" t="s">
        <v>941</v>
      </c>
      <c r="C80" t="s">
        <v>532</v>
      </c>
      <c r="D80" t="s">
        <v>844</v>
      </c>
      <c r="E80" t="s">
        <v>534</v>
      </c>
      <c r="F80" t="s">
        <v>534</v>
      </c>
      <c r="G80" t="s">
        <v>535</v>
      </c>
      <c r="H80" s="1">
        <v>3998</v>
      </c>
      <c r="I80" s="1">
        <v>3998</v>
      </c>
      <c r="J80" t="s">
        <v>536</v>
      </c>
      <c r="L80" t="s">
        <v>536</v>
      </c>
      <c r="M80" t="s">
        <v>377</v>
      </c>
      <c r="N80" t="s">
        <v>537</v>
      </c>
      <c r="P80" s="1">
        <v>3998</v>
      </c>
      <c r="Q80" t="s">
        <v>538</v>
      </c>
      <c r="R80" t="s">
        <v>535</v>
      </c>
      <c r="S80" t="s">
        <v>539</v>
      </c>
      <c r="T80" s="2">
        <v>1</v>
      </c>
      <c r="U80" s="1">
        <v>3998</v>
      </c>
      <c r="V80" s="1">
        <v>3998</v>
      </c>
      <c r="X80" t="s">
        <v>540</v>
      </c>
      <c r="Z80" t="s">
        <v>541</v>
      </c>
      <c r="AA80" t="s">
        <v>542</v>
      </c>
      <c r="AB80" t="s">
        <v>543</v>
      </c>
      <c r="AC80" t="s">
        <v>544</v>
      </c>
      <c r="AD80" t="s">
        <v>545</v>
      </c>
      <c r="AE80" s="3">
        <v>1</v>
      </c>
      <c r="AF80" t="s">
        <v>57</v>
      </c>
      <c r="AG80" s="1">
        <v>3998</v>
      </c>
      <c r="AI80" s="1">
        <v>3998</v>
      </c>
      <c r="AJ80" s="1">
        <v>3998</v>
      </c>
      <c r="AM80" s="1">
        <v>3998</v>
      </c>
      <c r="AN80" t="s">
        <v>643</v>
      </c>
      <c r="AO80" t="s">
        <v>546</v>
      </c>
      <c r="AP80" t="s">
        <v>643</v>
      </c>
      <c r="AQ80" t="s">
        <v>548</v>
      </c>
      <c r="AS80" t="s">
        <v>377</v>
      </c>
      <c r="AX80" s="1">
        <v>3998</v>
      </c>
      <c r="AY80" t="s">
        <v>546</v>
      </c>
      <c r="AZ80" t="s">
        <v>644</v>
      </c>
      <c r="BA80" s="1">
        <v>3998</v>
      </c>
      <c r="BC80" t="s">
        <v>546</v>
      </c>
      <c r="BD80" s="1">
        <v>3998</v>
      </c>
      <c r="BE80" t="s">
        <v>540</v>
      </c>
      <c r="BF80" s="1">
        <v>3998</v>
      </c>
      <c r="BH80" s="1">
        <v>3998</v>
      </c>
      <c r="BI80" t="s">
        <v>550</v>
      </c>
      <c r="BJ80" t="s">
        <v>551</v>
      </c>
      <c r="BK80" t="s">
        <v>551</v>
      </c>
      <c r="BL80" t="s">
        <v>552</v>
      </c>
      <c r="BM80" t="s">
        <v>844</v>
      </c>
      <c r="BN80" t="s">
        <v>942</v>
      </c>
      <c r="BO80" t="s">
        <v>943</v>
      </c>
      <c r="BR80" t="s">
        <v>546</v>
      </c>
      <c r="BS80" s="1">
        <v>3998</v>
      </c>
      <c r="BW80" t="s">
        <v>536</v>
      </c>
      <c r="BX80" s="1">
        <v>3998</v>
      </c>
      <c r="BZ80" t="s">
        <v>535</v>
      </c>
      <c r="CA80" t="s">
        <v>546</v>
      </c>
      <c r="CB80" t="s">
        <v>844</v>
      </c>
      <c r="CC80" t="s">
        <v>556</v>
      </c>
      <c r="CD80" t="s">
        <v>944</v>
      </c>
      <c r="CE80" t="s">
        <v>945</v>
      </c>
      <c r="CF80" t="s">
        <v>57</v>
      </c>
      <c r="CG80" s="4">
        <v>1</v>
      </c>
      <c r="CH80" t="s">
        <v>546</v>
      </c>
      <c r="CK80" t="s">
        <v>946</v>
      </c>
      <c r="CL80" s="1">
        <v>3998</v>
      </c>
      <c r="CN80" t="s">
        <v>535</v>
      </c>
      <c r="CO80" t="s">
        <v>539</v>
      </c>
      <c r="CT80" t="s">
        <v>560</v>
      </c>
      <c r="CW80" t="s">
        <v>546</v>
      </c>
      <c r="DD80" t="s">
        <v>561</v>
      </c>
      <c r="DK80" t="s">
        <v>947</v>
      </c>
      <c r="DL80" t="s">
        <v>948</v>
      </c>
      <c r="DR80" t="s">
        <v>949</v>
      </c>
    </row>
    <row r="81" ht="15" customHeight="1" spans="1:122">
      <c r="A81" t="s">
        <v>530</v>
      </c>
      <c r="B81" t="s">
        <v>950</v>
      </c>
      <c r="C81" t="s">
        <v>532</v>
      </c>
      <c r="D81" t="s">
        <v>844</v>
      </c>
      <c r="E81" t="s">
        <v>534</v>
      </c>
      <c r="F81" t="s">
        <v>534</v>
      </c>
      <c r="G81" t="s">
        <v>535</v>
      </c>
      <c r="H81" s="1">
        <v>3091</v>
      </c>
      <c r="I81" s="1">
        <v>3091</v>
      </c>
      <c r="J81" t="s">
        <v>536</v>
      </c>
      <c r="L81" t="s">
        <v>536</v>
      </c>
      <c r="M81" t="s">
        <v>377</v>
      </c>
      <c r="N81" t="s">
        <v>537</v>
      </c>
      <c r="P81" s="1">
        <v>3091</v>
      </c>
      <c r="Q81" t="s">
        <v>538</v>
      </c>
      <c r="R81" t="s">
        <v>535</v>
      </c>
      <c r="S81" t="s">
        <v>539</v>
      </c>
      <c r="T81" s="2">
        <v>1</v>
      </c>
      <c r="U81" s="1">
        <v>3091</v>
      </c>
      <c r="V81" s="1">
        <v>3091</v>
      </c>
      <c r="X81" t="s">
        <v>540</v>
      </c>
      <c r="Z81" t="s">
        <v>541</v>
      </c>
      <c r="AA81" t="s">
        <v>542</v>
      </c>
      <c r="AB81" t="s">
        <v>543</v>
      </c>
      <c r="AC81" t="s">
        <v>544</v>
      </c>
      <c r="AD81" t="s">
        <v>545</v>
      </c>
      <c r="AE81" s="3">
        <v>1</v>
      </c>
      <c r="AF81" t="s">
        <v>58</v>
      </c>
      <c r="AG81" s="1">
        <v>3091</v>
      </c>
      <c r="AI81" s="1">
        <v>3091</v>
      </c>
      <c r="AJ81" s="1">
        <v>3091</v>
      </c>
      <c r="AM81" s="1">
        <v>3091</v>
      </c>
      <c r="AN81" t="s">
        <v>643</v>
      </c>
      <c r="AO81" t="s">
        <v>546</v>
      </c>
      <c r="AP81" t="s">
        <v>643</v>
      </c>
      <c r="AQ81" t="s">
        <v>548</v>
      </c>
      <c r="AS81" t="s">
        <v>377</v>
      </c>
      <c r="AX81" s="1">
        <v>3091</v>
      </c>
      <c r="AY81" t="s">
        <v>546</v>
      </c>
      <c r="AZ81" t="s">
        <v>644</v>
      </c>
      <c r="BA81" s="1">
        <v>3091</v>
      </c>
      <c r="BC81" t="s">
        <v>546</v>
      </c>
      <c r="BD81" s="1">
        <v>3091</v>
      </c>
      <c r="BE81" t="s">
        <v>540</v>
      </c>
      <c r="BF81" s="1">
        <v>3091</v>
      </c>
      <c r="BH81" s="1">
        <v>3091</v>
      </c>
      <c r="BI81" t="s">
        <v>550</v>
      </c>
      <c r="BJ81" t="s">
        <v>551</v>
      </c>
      <c r="BK81" t="s">
        <v>551</v>
      </c>
      <c r="BL81" t="s">
        <v>552</v>
      </c>
      <c r="BM81" t="s">
        <v>951</v>
      </c>
      <c r="BN81" t="s">
        <v>952</v>
      </c>
      <c r="BO81" t="s">
        <v>953</v>
      </c>
      <c r="BR81" t="s">
        <v>546</v>
      </c>
      <c r="BS81" s="1">
        <v>3091</v>
      </c>
      <c r="BW81" t="s">
        <v>536</v>
      </c>
      <c r="BX81" s="1">
        <v>3091</v>
      </c>
      <c r="BZ81" t="s">
        <v>535</v>
      </c>
      <c r="CA81" t="s">
        <v>546</v>
      </c>
      <c r="CB81" t="s">
        <v>844</v>
      </c>
      <c r="CC81" t="s">
        <v>556</v>
      </c>
      <c r="CD81" t="s">
        <v>720</v>
      </c>
      <c r="CE81" t="s">
        <v>721</v>
      </c>
      <c r="CF81" t="s">
        <v>58</v>
      </c>
      <c r="CG81" s="4">
        <v>1</v>
      </c>
      <c r="CH81" t="s">
        <v>546</v>
      </c>
      <c r="CK81" t="s">
        <v>954</v>
      </c>
      <c r="CL81" s="1">
        <v>3091</v>
      </c>
      <c r="CN81" t="s">
        <v>535</v>
      </c>
      <c r="CO81" t="s">
        <v>539</v>
      </c>
      <c r="CT81" t="s">
        <v>560</v>
      </c>
      <c r="CW81" t="s">
        <v>546</v>
      </c>
      <c r="DD81" t="s">
        <v>561</v>
      </c>
      <c r="DK81" t="s">
        <v>955</v>
      </c>
      <c r="DL81" t="s">
        <v>956</v>
      </c>
      <c r="DR81" t="s">
        <v>957</v>
      </c>
    </row>
    <row r="82" ht="15" customHeight="1" spans="1:122">
      <c r="A82" t="s">
        <v>530</v>
      </c>
      <c r="B82" t="s">
        <v>958</v>
      </c>
      <c r="C82" t="s">
        <v>532</v>
      </c>
      <c r="D82" t="s">
        <v>533</v>
      </c>
      <c r="E82" t="s">
        <v>534</v>
      </c>
      <c r="F82" t="s">
        <v>534</v>
      </c>
      <c r="G82" t="s">
        <v>535</v>
      </c>
      <c r="H82" s="1">
        <v>2863.2</v>
      </c>
      <c r="I82" s="1">
        <v>2846.02</v>
      </c>
      <c r="J82" t="s">
        <v>536</v>
      </c>
      <c r="L82" t="s">
        <v>536</v>
      </c>
      <c r="M82" t="s">
        <v>375</v>
      </c>
      <c r="N82" t="s">
        <v>537</v>
      </c>
      <c r="P82" s="1">
        <v>2863.2</v>
      </c>
      <c r="Q82" t="s">
        <v>580</v>
      </c>
      <c r="R82" t="s">
        <v>535</v>
      </c>
      <c r="S82" t="s">
        <v>539</v>
      </c>
      <c r="T82" s="2">
        <v>1</v>
      </c>
      <c r="U82" s="1">
        <v>2863.2</v>
      </c>
      <c r="V82" s="1">
        <v>2846.02</v>
      </c>
      <c r="X82" t="s">
        <v>540</v>
      </c>
      <c r="Z82" t="s">
        <v>541</v>
      </c>
      <c r="AA82" t="s">
        <v>542</v>
      </c>
      <c r="AB82" t="s">
        <v>543</v>
      </c>
      <c r="AC82" t="s">
        <v>544</v>
      </c>
      <c r="AD82" t="s">
        <v>545</v>
      </c>
      <c r="AE82" s="3">
        <v>1</v>
      </c>
      <c r="AF82" t="s">
        <v>23</v>
      </c>
      <c r="AG82" s="1">
        <v>2863.2</v>
      </c>
      <c r="AI82" s="1">
        <v>2863.2</v>
      </c>
      <c r="AJ82" s="1">
        <v>2863.2</v>
      </c>
      <c r="AK82" s="1">
        <v>17.18</v>
      </c>
      <c r="AM82" s="1">
        <v>2846.02</v>
      </c>
      <c r="AN82" t="s">
        <v>536</v>
      </c>
      <c r="AO82" t="s">
        <v>546</v>
      </c>
      <c r="AP82" t="s">
        <v>547</v>
      </c>
      <c r="AQ82" t="s">
        <v>548</v>
      </c>
      <c r="AS82" t="s">
        <v>375</v>
      </c>
      <c r="AX82" s="1">
        <v>2863.2</v>
      </c>
      <c r="AY82" t="s">
        <v>546</v>
      </c>
      <c r="AZ82" t="s">
        <v>549</v>
      </c>
      <c r="BA82" s="1">
        <v>2863.2</v>
      </c>
      <c r="BC82" t="s">
        <v>546</v>
      </c>
      <c r="BD82" s="1">
        <v>2863.2</v>
      </c>
      <c r="BE82" t="s">
        <v>540</v>
      </c>
      <c r="BF82" s="1">
        <v>2863.2</v>
      </c>
      <c r="BG82" s="1">
        <v>17.18</v>
      </c>
      <c r="BH82" s="1">
        <v>2846.02</v>
      </c>
      <c r="BI82" t="s">
        <v>550</v>
      </c>
      <c r="BJ82" t="s">
        <v>551</v>
      </c>
      <c r="BK82" t="s">
        <v>552</v>
      </c>
      <c r="BL82" t="s">
        <v>552</v>
      </c>
      <c r="BM82" t="s">
        <v>951</v>
      </c>
      <c r="BN82" t="s">
        <v>959</v>
      </c>
      <c r="BO82" t="s">
        <v>960</v>
      </c>
      <c r="BR82" t="s">
        <v>546</v>
      </c>
      <c r="BS82" s="1">
        <v>2863.2</v>
      </c>
      <c r="BW82" t="s">
        <v>536</v>
      </c>
      <c r="BX82" s="1">
        <v>2863.2</v>
      </c>
      <c r="BZ82" t="s">
        <v>535</v>
      </c>
      <c r="CA82" t="s">
        <v>546</v>
      </c>
      <c r="CB82" t="s">
        <v>533</v>
      </c>
      <c r="CC82" t="s">
        <v>556</v>
      </c>
      <c r="CD82" t="s">
        <v>961</v>
      </c>
      <c r="CE82" t="s">
        <v>962</v>
      </c>
      <c r="CF82" t="s">
        <v>23</v>
      </c>
      <c r="CG82" s="4">
        <v>1</v>
      </c>
      <c r="CH82" t="s">
        <v>546</v>
      </c>
      <c r="CK82" t="s">
        <v>963</v>
      </c>
      <c r="CL82" s="1">
        <v>2863.2</v>
      </c>
      <c r="CN82" t="s">
        <v>535</v>
      </c>
      <c r="CO82" t="s">
        <v>539</v>
      </c>
      <c r="CT82" t="s">
        <v>576</v>
      </c>
      <c r="CW82" t="s">
        <v>546</v>
      </c>
      <c r="DD82" t="s">
        <v>561</v>
      </c>
      <c r="DK82" t="s">
        <v>964</v>
      </c>
      <c r="DL82" t="s">
        <v>965</v>
      </c>
    </row>
    <row r="83" ht="15" customHeight="1" spans="1:122">
      <c r="A83" t="s">
        <v>530</v>
      </c>
      <c r="B83" t="s">
        <v>966</v>
      </c>
      <c r="C83" t="s">
        <v>532</v>
      </c>
      <c r="D83" t="s">
        <v>533</v>
      </c>
      <c r="E83" t="s">
        <v>534</v>
      </c>
      <c r="F83" t="s">
        <v>534</v>
      </c>
      <c r="G83" t="s">
        <v>535</v>
      </c>
      <c r="H83" s="1">
        <v>715.8</v>
      </c>
      <c r="I83" s="1">
        <v>715.8</v>
      </c>
      <c r="J83" t="s">
        <v>536</v>
      </c>
      <c r="L83" t="s">
        <v>536</v>
      </c>
      <c r="M83" t="s">
        <v>375</v>
      </c>
      <c r="N83" t="s">
        <v>537</v>
      </c>
      <c r="P83" s="1">
        <v>715.8</v>
      </c>
      <c r="Q83" t="s">
        <v>580</v>
      </c>
      <c r="R83" t="s">
        <v>535</v>
      </c>
      <c r="S83" t="s">
        <v>539</v>
      </c>
      <c r="T83" s="2">
        <v>1</v>
      </c>
      <c r="U83" s="1">
        <v>715.8</v>
      </c>
      <c r="V83" s="1">
        <v>715.8</v>
      </c>
      <c r="X83" t="s">
        <v>540</v>
      </c>
      <c r="Z83" t="s">
        <v>541</v>
      </c>
      <c r="AA83" t="s">
        <v>542</v>
      </c>
      <c r="AB83" t="s">
        <v>543</v>
      </c>
      <c r="AC83" t="s">
        <v>544</v>
      </c>
      <c r="AD83" t="s">
        <v>545</v>
      </c>
      <c r="AE83" s="3">
        <v>1</v>
      </c>
      <c r="AF83" t="s">
        <v>23</v>
      </c>
      <c r="AG83" s="1">
        <v>715.8</v>
      </c>
      <c r="AI83" s="1">
        <v>715.8</v>
      </c>
      <c r="AJ83" s="1">
        <v>715.8</v>
      </c>
      <c r="AM83" s="1">
        <v>715.8</v>
      </c>
      <c r="AN83" t="s">
        <v>565</v>
      </c>
      <c r="AO83" t="s">
        <v>546</v>
      </c>
      <c r="AP83" t="s">
        <v>565</v>
      </c>
      <c r="AQ83" t="s">
        <v>548</v>
      </c>
      <c r="AS83" t="s">
        <v>375</v>
      </c>
      <c r="AX83" s="1">
        <v>715.8</v>
      </c>
      <c r="AY83" t="s">
        <v>546</v>
      </c>
      <c r="AZ83" t="s">
        <v>566</v>
      </c>
      <c r="BA83" s="1">
        <v>715.8</v>
      </c>
      <c r="BC83" t="s">
        <v>546</v>
      </c>
      <c r="BD83" s="1">
        <v>715.8</v>
      </c>
      <c r="BE83" t="s">
        <v>540</v>
      </c>
      <c r="BF83" s="1">
        <v>715.8</v>
      </c>
      <c r="BH83" s="1">
        <v>715.8</v>
      </c>
      <c r="BI83" t="s">
        <v>550</v>
      </c>
      <c r="BJ83" t="s">
        <v>551</v>
      </c>
      <c r="BK83" t="s">
        <v>551</v>
      </c>
      <c r="BL83" t="s">
        <v>552</v>
      </c>
      <c r="BM83" t="s">
        <v>951</v>
      </c>
      <c r="BN83" t="s">
        <v>967</v>
      </c>
      <c r="BO83" t="s">
        <v>968</v>
      </c>
      <c r="BR83" t="s">
        <v>546</v>
      </c>
      <c r="BS83" s="1">
        <v>715.8</v>
      </c>
      <c r="BW83" t="s">
        <v>536</v>
      </c>
      <c r="BX83" s="1">
        <v>715.8</v>
      </c>
      <c r="BZ83" t="s">
        <v>535</v>
      </c>
      <c r="CA83" t="s">
        <v>546</v>
      </c>
      <c r="CB83" t="s">
        <v>533</v>
      </c>
      <c r="CC83" t="s">
        <v>556</v>
      </c>
      <c r="CD83" t="s">
        <v>961</v>
      </c>
      <c r="CE83" t="s">
        <v>962</v>
      </c>
      <c r="CF83" t="s">
        <v>23</v>
      </c>
      <c r="CG83" s="4">
        <v>1</v>
      </c>
      <c r="CH83" t="s">
        <v>546</v>
      </c>
      <c r="CK83" t="s">
        <v>963</v>
      </c>
      <c r="CL83" s="1">
        <v>715.8</v>
      </c>
      <c r="CN83" t="s">
        <v>535</v>
      </c>
      <c r="CO83" t="s">
        <v>539</v>
      </c>
      <c r="CT83" t="s">
        <v>576</v>
      </c>
      <c r="CW83" t="s">
        <v>546</v>
      </c>
      <c r="DD83" t="s">
        <v>561</v>
      </c>
      <c r="DK83" t="s">
        <v>964</v>
      </c>
      <c r="DL83" t="s">
        <v>965</v>
      </c>
    </row>
    <row r="84" ht="15" customHeight="1" spans="1:122">
      <c r="A84" t="s">
        <v>603</v>
      </c>
      <c r="B84" t="s">
        <v>969</v>
      </c>
      <c r="C84" t="s">
        <v>532</v>
      </c>
      <c r="D84" t="s">
        <v>951</v>
      </c>
      <c r="E84" t="s">
        <v>534</v>
      </c>
      <c r="F84" t="s">
        <v>534</v>
      </c>
      <c r="G84" t="s">
        <v>535</v>
      </c>
      <c r="H84" s="1">
        <v>4590</v>
      </c>
      <c r="I84" s="1">
        <v>4590</v>
      </c>
      <c r="J84" t="s">
        <v>536</v>
      </c>
      <c r="L84" t="s">
        <v>536</v>
      </c>
      <c r="M84" t="s">
        <v>388</v>
      </c>
      <c r="N84" t="s">
        <v>537</v>
      </c>
      <c r="P84" s="1">
        <v>4590</v>
      </c>
      <c r="Q84" t="s">
        <v>970</v>
      </c>
      <c r="R84" t="s">
        <v>535</v>
      </c>
      <c r="S84" t="s">
        <v>539</v>
      </c>
      <c r="T84" s="2">
        <v>1</v>
      </c>
      <c r="U84" s="1">
        <v>4590</v>
      </c>
      <c r="V84" s="1">
        <v>4590</v>
      </c>
      <c r="X84" t="s">
        <v>616</v>
      </c>
      <c r="Z84" t="s">
        <v>541</v>
      </c>
      <c r="AA84" t="s">
        <v>542</v>
      </c>
      <c r="AB84" t="s">
        <v>543</v>
      </c>
      <c r="AC84" t="s">
        <v>608</v>
      </c>
      <c r="AE84" s="3">
        <v>1</v>
      </c>
      <c r="AG84" s="1">
        <v>4590</v>
      </c>
      <c r="AI84" s="1">
        <v>4590</v>
      </c>
      <c r="AJ84" s="1">
        <v>4590</v>
      </c>
      <c r="AM84" s="1">
        <v>4590</v>
      </c>
      <c r="AN84" t="s">
        <v>536</v>
      </c>
      <c r="AO84" t="s">
        <v>546</v>
      </c>
      <c r="AP84" t="s">
        <v>547</v>
      </c>
      <c r="AQ84" t="s">
        <v>548</v>
      </c>
      <c r="AS84" t="s">
        <v>388</v>
      </c>
      <c r="AX84" s="1">
        <v>4590</v>
      </c>
      <c r="AY84" t="s">
        <v>546</v>
      </c>
      <c r="AZ84" t="s">
        <v>549</v>
      </c>
      <c r="BA84" s="1">
        <v>4590</v>
      </c>
      <c r="BC84" t="s">
        <v>546</v>
      </c>
      <c r="BE84" t="s">
        <v>616</v>
      </c>
      <c r="BH84" s="1">
        <v>4590</v>
      </c>
      <c r="BI84" t="s">
        <v>550</v>
      </c>
      <c r="BJ84" t="s">
        <v>551</v>
      </c>
      <c r="BK84" t="s">
        <v>551</v>
      </c>
      <c r="BL84" t="s">
        <v>552</v>
      </c>
      <c r="BM84" t="s">
        <v>951</v>
      </c>
      <c r="BN84" t="s">
        <v>971</v>
      </c>
      <c r="BO84" t="s">
        <v>972</v>
      </c>
      <c r="BR84" t="s">
        <v>546</v>
      </c>
      <c r="BS84" s="1">
        <v>4590</v>
      </c>
      <c r="BW84" t="s">
        <v>536</v>
      </c>
      <c r="BZ84" t="s">
        <v>535</v>
      </c>
      <c r="CA84" t="s">
        <v>546</v>
      </c>
      <c r="CB84" t="s">
        <v>951</v>
      </c>
      <c r="CC84" t="s">
        <v>556</v>
      </c>
      <c r="CH84" t="s">
        <v>546</v>
      </c>
      <c r="CK84" t="s">
        <v>973</v>
      </c>
      <c r="CN84" t="s">
        <v>535</v>
      </c>
      <c r="CO84" t="s">
        <v>539</v>
      </c>
      <c r="CT84" t="s">
        <v>576</v>
      </c>
      <c r="CW84" t="s">
        <v>546</v>
      </c>
      <c r="DD84" t="s">
        <v>561</v>
      </c>
    </row>
    <row r="85" ht="15" customHeight="1" spans="1:122">
      <c r="A85" t="s">
        <v>603</v>
      </c>
      <c r="B85" t="s">
        <v>974</v>
      </c>
      <c r="C85" t="s">
        <v>532</v>
      </c>
      <c r="D85" t="s">
        <v>951</v>
      </c>
      <c r="E85" t="s">
        <v>534</v>
      </c>
      <c r="F85" t="s">
        <v>534</v>
      </c>
      <c r="G85" t="s">
        <v>535</v>
      </c>
      <c r="H85" s="1">
        <v>11696</v>
      </c>
      <c r="I85" s="1">
        <v>11619.97</v>
      </c>
      <c r="J85" t="s">
        <v>536</v>
      </c>
      <c r="L85" t="s">
        <v>536</v>
      </c>
      <c r="M85" t="s">
        <v>411</v>
      </c>
      <c r="N85" t="s">
        <v>369</v>
      </c>
      <c r="P85" s="1">
        <v>11696</v>
      </c>
      <c r="Q85" t="s">
        <v>606</v>
      </c>
      <c r="R85" t="s">
        <v>535</v>
      </c>
      <c r="S85" t="s">
        <v>539</v>
      </c>
      <c r="T85" s="2">
        <v>1</v>
      </c>
      <c r="U85" s="1">
        <v>11696</v>
      </c>
      <c r="V85" s="1">
        <v>11619.97</v>
      </c>
      <c r="X85" t="s">
        <v>616</v>
      </c>
      <c r="Z85" t="s">
        <v>541</v>
      </c>
      <c r="AA85" t="s">
        <v>542</v>
      </c>
      <c r="AB85" t="s">
        <v>543</v>
      </c>
      <c r="AC85" t="s">
        <v>608</v>
      </c>
      <c r="AE85" s="3">
        <v>1</v>
      </c>
      <c r="AG85" s="1">
        <v>2574</v>
      </c>
      <c r="AI85" s="1">
        <v>11696</v>
      </c>
      <c r="AJ85" s="1">
        <v>2574</v>
      </c>
      <c r="AK85" s="1">
        <v>16.73</v>
      </c>
      <c r="AM85" s="1">
        <v>2557.27</v>
      </c>
      <c r="AN85" t="s">
        <v>536</v>
      </c>
      <c r="AO85" t="s">
        <v>546</v>
      </c>
      <c r="AP85" t="s">
        <v>547</v>
      </c>
      <c r="AQ85" t="s">
        <v>548</v>
      </c>
      <c r="AS85" t="s">
        <v>411</v>
      </c>
      <c r="AX85" s="1">
        <v>2574</v>
      </c>
      <c r="AY85" t="s">
        <v>546</v>
      </c>
      <c r="AZ85" t="s">
        <v>549</v>
      </c>
      <c r="BA85" s="1">
        <v>2574</v>
      </c>
      <c r="BB85" t="s">
        <v>975</v>
      </c>
      <c r="BC85" t="s">
        <v>546</v>
      </c>
      <c r="BE85" t="s">
        <v>616</v>
      </c>
      <c r="BG85" s="1">
        <v>16.73</v>
      </c>
      <c r="BH85" s="1">
        <v>2557.27</v>
      </c>
      <c r="BI85" t="s">
        <v>550</v>
      </c>
      <c r="BJ85" t="s">
        <v>610</v>
      </c>
      <c r="BK85" t="s">
        <v>552</v>
      </c>
      <c r="BL85" t="s">
        <v>552</v>
      </c>
      <c r="BM85" t="s">
        <v>951</v>
      </c>
      <c r="BN85" t="s">
        <v>976</v>
      </c>
      <c r="BO85" t="s">
        <v>977</v>
      </c>
      <c r="BR85" t="s">
        <v>546</v>
      </c>
      <c r="BS85" s="1">
        <v>2574</v>
      </c>
      <c r="BW85" t="s">
        <v>536</v>
      </c>
      <c r="BZ85" t="s">
        <v>535</v>
      </c>
      <c r="CA85" t="s">
        <v>546</v>
      </c>
      <c r="CB85" t="s">
        <v>951</v>
      </c>
      <c r="CC85" t="s">
        <v>556</v>
      </c>
      <c r="CH85" t="s">
        <v>546</v>
      </c>
      <c r="CK85" t="s">
        <v>978</v>
      </c>
      <c r="CN85" t="s">
        <v>535</v>
      </c>
      <c r="CO85" t="s">
        <v>539</v>
      </c>
      <c r="CT85" t="s">
        <v>576</v>
      </c>
      <c r="CW85" t="s">
        <v>546</v>
      </c>
      <c r="DD85" t="s">
        <v>561</v>
      </c>
      <c r="DK85" t="s">
        <v>979</v>
      </c>
      <c r="DR85" t="s">
        <v>979</v>
      </c>
    </row>
    <row r="86" ht="15" customHeight="1" spans="1:122">
      <c r="AB86" t="s">
        <v>543</v>
      </c>
      <c r="AC86" t="s">
        <v>608</v>
      </c>
      <c r="AG86" s="1">
        <v>3460</v>
      </c>
      <c r="AJ86" s="1">
        <v>3460</v>
      </c>
      <c r="AK86" s="1">
        <v>22.49</v>
      </c>
      <c r="AM86" s="1">
        <v>3437.51</v>
      </c>
      <c r="AN86" t="s">
        <v>536</v>
      </c>
      <c r="AP86" t="s">
        <v>547</v>
      </c>
      <c r="AX86" s="1">
        <v>3460</v>
      </c>
      <c r="AZ86" t="s">
        <v>549</v>
      </c>
      <c r="BA86" s="1">
        <v>3460</v>
      </c>
      <c r="BB86" t="s">
        <v>980</v>
      </c>
      <c r="BC86" t="s">
        <v>546</v>
      </c>
      <c r="BE86" t="s">
        <v>616</v>
      </c>
      <c r="BG86" s="1">
        <v>22.49</v>
      </c>
      <c r="BH86" s="1">
        <v>3437.51</v>
      </c>
      <c r="BS86" s="1">
        <v>3460</v>
      </c>
      <c r="CB86" t="s">
        <v>951</v>
      </c>
      <c r="CC86" t="s">
        <v>556</v>
      </c>
      <c r="DD86" t="s">
        <v>561</v>
      </c>
    </row>
    <row r="87" ht="15" customHeight="1" spans="1:122">
      <c r="AB87" t="s">
        <v>543</v>
      </c>
      <c r="AC87" t="s">
        <v>608</v>
      </c>
      <c r="AG87" s="1">
        <v>2686</v>
      </c>
      <c r="AJ87" s="1">
        <v>2686</v>
      </c>
      <c r="AK87" s="1">
        <v>17.46</v>
      </c>
      <c r="AM87" s="1">
        <v>2668.54</v>
      </c>
      <c r="AN87" t="s">
        <v>536</v>
      </c>
      <c r="AP87" t="s">
        <v>547</v>
      </c>
      <c r="AX87" s="1">
        <v>2686</v>
      </c>
      <c r="AZ87" t="s">
        <v>549</v>
      </c>
      <c r="BA87" s="1">
        <v>2686</v>
      </c>
      <c r="BB87" t="s">
        <v>981</v>
      </c>
      <c r="BC87" t="s">
        <v>546</v>
      </c>
      <c r="BE87" t="s">
        <v>616</v>
      </c>
      <c r="BG87" s="1">
        <v>17.46</v>
      </c>
      <c r="BH87" s="1">
        <v>2668.54</v>
      </c>
      <c r="BS87" s="1">
        <v>2686</v>
      </c>
      <c r="CB87" t="s">
        <v>951</v>
      </c>
      <c r="CC87" t="s">
        <v>556</v>
      </c>
      <c r="DD87" t="s">
        <v>561</v>
      </c>
    </row>
    <row r="88" ht="15" customHeight="1" spans="1:122">
      <c r="AB88" t="s">
        <v>543</v>
      </c>
      <c r="AC88" t="s">
        <v>608</v>
      </c>
      <c r="AG88" s="1">
        <v>2976</v>
      </c>
      <c r="AJ88" s="1">
        <v>2976</v>
      </c>
      <c r="AK88" s="1">
        <v>19.35</v>
      </c>
      <c r="AM88" s="1">
        <v>2956.65</v>
      </c>
      <c r="AN88" t="s">
        <v>536</v>
      </c>
      <c r="AP88" t="s">
        <v>547</v>
      </c>
      <c r="AX88" s="1">
        <v>2976</v>
      </c>
      <c r="AZ88" t="s">
        <v>549</v>
      </c>
      <c r="BA88" s="1">
        <v>2976</v>
      </c>
      <c r="BB88" t="s">
        <v>982</v>
      </c>
      <c r="BC88" t="s">
        <v>546</v>
      </c>
      <c r="BE88" t="s">
        <v>616</v>
      </c>
      <c r="BG88" s="1">
        <v>19.35</v>
      </c>
      <c r="BH88" s="1">
        <v>2956.65</v>
      </c>
      <c r="BS88" s="1">
        <v>2976</v>
      </c>
      <c r="CB88" t="s">
        <v>951</v>
      </c>
      <c r="CC88" t="s">
        <v>556</v>
      </c>
      <c r="DD88" t="s">
        <v>561</v>
      </c>
    </row>
    <row r="89" ht="15" customHeight="1" spans="1:122">
      <c r="A89" t="s">
        <v>603</v>
      </c>
      <c r="B89" t="s">
        <v>983</v>
      </c>
      <c r="C89" t="s">
        <v>532</v>
      </c>
      <c r="D89" t="s">
        <v>984</v>
      </c>
      <c r="E89" t="s">
        <v>534</v>
      </c>
      <c r="F89" t="s">
        <v>534</v>
      </c>
      <c r="G89" t="s">
        <v>535</v>
      </c>
      <c r="H89" s="1">
        <v>2172</v>
      </c>
      <c r="I89" s="1">
        <v>2157.88</v>
      </c>
      <c r="J89" t="s">
        <v>536</v>
      </c>
      <c r="L89" t="s">
        <v>536</v>
      </c>
      <c r="M89" t="s">
        <v>411</v>
      </c>
      <c r="N89" t="s">
        <v>369</v>
      </c>
      <c r="P89" s="1">
        <v>2172</v>
      </c>
      <c r="Q89" t="s">
        <v>606</v>
      </c>
      <c r="R89" t="s">
        <v>535</v>
      </c>
      <c r="S89" t="s">
        <v>539</v>
      </c>
      <c r="T89" s="2">
        <v>1</v>
      </c>
      <c r="U89" s="1">
        <v>2172</v>
      </c>
      <c r="V89" s="1">
        <v>2157.88</v>
      </c>
      <c r="X89" t="s">
        <v>616</v>
      </c>
      <c r="Z89" t="s">
        <v>541</v>
      </c>
      <c r="AA89" t="s">
        <v>542</v>
      </c>
      <c r="AB89" t="s">
        <v>543</v>
      </c>
      <c r="AC89" t="s">
        <v>608</v>
      </c>
      <c r="AE89" s="3">
        <v>1</v>
      </c>
      <c r="AG89" s="1">
        <v>2172</v>
      </c>
      <c r="AI89" s="1">
        <v>2172</v>
      </c>
      <c r="AJ89" s="1">
        <v>2172</v>
      </c>
      <c r="AK89" s="1">
        <v>14.12</v>
      </c>
      <c r="AM89" s="1">
        <v>2157.88</v>
      </c>
      <c r="AN89" t="s">
        <v>536</v>
      </c>
      <c r="AO89" t="s">
        <v>546</v>
      </c>
      <c r="AP89" t="s">
        <v>547</v>
      </c>
      <c r="AQ89" t="s">
        <v>548</v>
      </c>
      <c r="AS89" t="s">
        <v>411</v>
      </c>
      <c r="AX89" s="1">
        <v>2172</v>
      </c>
      <c r="AY89" t="s">
        <v>546</v>
      </c>
      <c r="AZ89" t="s">
        <v>549</v>
      </c>
      <c r="BA89" s="1">
        <v>2172</v>
      </c>
      <c r="BB89" t="s">
        <v>985</v>
      </c>
      <c r="BC89" t="s">
        <v>546</v>
      </c>
      <c r="BE89" t="s">
        <v>616</v>
      </c>
      <c r="BG89" s="1">
        <v>14.12</v>
      </c>
      <c r="BH89" s="1">
        <v>2157.88</v>
      </c>
      <c r="BI89" t="s">
        <v>550</v>
      </c>
      <c r="BJ89" t="s">
        <v>610</v>
      </c>
      <c r="BK89" t="s">
        <v>552</v>
      </c>
      <c r="BL89" t="s">
        <v>552</v>
      </c>
      <c r="BM89" t="s">
        <v>951</v>
      </c>
      <c r="BN89" t="s">
        <v>986</v>
      </c>
      <c r="BO89" t="s">
        <v>987</v>
      </c>
      <c r="BR89" t="s">
        <v>546</v>
      </c>
      <c r="BS89" s="1">
        <v>2172</v>
      </c>
      <c r="BW89" t="s">
        <v>536</v>
      </c>
      <c r="BZ89" t="s">
        <v>535</v>
      </c>
      <c r="CA89" t="s">
        <v>546</v>
      </c>
      <c r="CB89" t="s">
        <v>984</v>
      </c>
      <c r="CC89" t="s">
        <v>556</v>
      </c>
      <c r="CH89" t="s">
        <v>546</v>
      </c>
      <c r="CK89" t="s">
        <v>988</v>
      </c>
      <c r="CN89" t="s">
        <v>535</v>
      </c>
      <c r="CO89" t="s">
        <v>539</v>
      </c>
      <c r="CT89" t="s">
        <v>576</v>
      </c>
      <c r="CW89" t="s">
        <v>546</v>
      </c>
      <c r="DD89" t="s">
        <v>561</v>
      </c>
      <c r="DK89" t="s">
        <v>989</v>
      </c>
      <c r="DR89" t="s">
        <v>989</v>
      </c>
    </row>
    <row r="90" ht="15" customHeight="1" spans="1:122">
      <c r="A90" t="s">
        <v>603</v>
      </c>
      <c r="B90" t="s">
        <v>990</v>
      </c>
      <c r="C90" t="s">
        <v>532</v>
      </c>
      <c r="D90" t="s">
        <v>951</v>
      </c>
      <c r="E90" t="s">
        <v>534</v>
      </c>
      <c r="F90" t="s">
        <v>534</v>
      </c>
      <c r="G90" t="s">
        <v>535</v>
      </c>
      <c r="H90" s="1">
        <v>1397.6</v>
      </c>
      <c r="I90" s="1">
        <v>1397.6</v>
      </c>
      <c r="J90" t="s">
        <v>536</v>
      </c>
      <c r="L90" t="s">
        <v>536</v>
      </c>
      <c r="M90" t="s">
        <v>379</v>
      </c>
      <c r="N90" t="s">
        <v>537</v>
      </c>
      <c r="P90" s="1">
        <v>1397.6</v>
      </c>
      <c r="Q90" t="s">
        <v>970</v>
      </c>
      <c r="R90" t="s">
        <v>535</v>
      </c>
      <c r="S90" t="s">
        <v>539</v>
      </c>
      <c r="T90" s="2">
        <v>1</v>
      </c>
      <c r="U90" s="1">
        <v>1397.6</v>
      </c>
      <c r="V90" s="1">
        <v>1397.6</v>
      </c>
      <c r="X90" t="s">
        <v>616</v>
      </c>
      <c r="Z90" t="s">
        <v>541</v>
      </c>
      <c r="AA90" t="s">
        <v>542</v>
      </c>
      <c r="AB90" t="s">
        <v>543</v>
      </c>
      <c r="AC90" t="s">
        <v>608</v>
      </c>
      <c r="AE90" s="3">
        <v>1</v>
      </c>
      <c r="AG90" s="1">
        <v>1397.6</v>
      </c>
      <c r="AI90" s="1">
        <v>1397.6</v>
      </c>
      <c r="AJ90" s="1">
        <v>1397.6</v>
      </c>
      <c r="AM90" s="1">
        <v>1397.6</v>
      </c>
      <c r="AN90" t="s">
        <v>536</v>
      </c>
      <c r="AO90" t="s">
        <v>546</v>
      </c>
      <c r="AP90" t="s">
        <v>547</v>
      </c>
      <c r="AQ90" t="s">
        <v>548</v>
      </c>
      <c r="AS90" t="s">
        <v>379</v>
      </c>
      <c r="AX90" s="1">
        <v>1397.6</v>
      </c>
      <c r="AY90" t="s">
        <v>546</v>
      </c>
      <c r="AZ90" t="s">
        <v>549</v>
      </c>
      <c r="BA90" s="1">
        <v>1397.6</v>
      </c>
      <c r="BC90" t="s">
        <v>546</v>
      </c>
      <c r="BE90" t="s">
        <v>616</v>
      </c>
      <c r="BH90" s="1">
        <v>1397.6</v>
      </c>
      <c r="BI90" t="s">
        <v>550</v>
      </c>
      <c r="BJ90" t="s">
        <v>551</v>
      </c>
      <c r="BK90" t="s">
        <v>551</v>
      </c>
      <c r="BL90" t="s">
        <v>552</v>
      </c>
      <c r="BM90" t="s">
        <v>951</v>
      </c>
      <c r="BN90" t="s">
        <v>991</v>
      </c>
      <c r="BO90" t="s">
        <v>992</v>
      </c>
      <c r="BR90" t="s">
        <v>546</v>
      </c>
      <c r="BS90" s="1">
        <v>1397.6</v>
      </c>
      <c r="BW90" t="s">
        <v>536</v>
      </c>
      <c r="BZ90" t="s">
        <v>535</v>
      </c>
      <c r="CA90" t="s">
        <v>546</v>
      </c>
      <c r="CB90" t="s">
        <v>951</v>
      </c>
      <c r="CC90" t="s">
        <v>556</v>
      </c>
      <c r="CH90" t="s">
        <v>546</v>
      </c>
      <c r="CK90" t="s">
        <v>993</v>
      </c>
      <c r="CN90" t="s">
        <v>535</v>
      </c>
      <c r="CO90" t="s">
        <v>539</v>
      </c>
      <c r="CT90" t="s">
        <v>576</v>
      </c>
      <c r="CW90" t="s">
        <v>546</v>
      </c>
      <c r="DD90" t="s">
        <v>561</v>
      </c>
      <c r="DK90" t="s">
        <v>994</v>
      </c>
    </row>
    <row r="91" ht="15" customHeight="1" spans="1:122">
      <c r="A91" t="s">
        <v>530</v>
      </c>
      <c r="B91" t="s">
        <v>995</v>
      </c>
      <c r="C91" t="s">
        <v>532</v>
      </c>
      <c r="D91" t="s">
        <v>844</v>
      </c>
      <c r="E91" t="s">
        <v>534</v>
      </c>
      <c r="F91" t="s">
        <v>534</v>
      </c>
      <c r="G91" t="s">
        <v>535</v>
      </c>
      <c r="H91" s="1">
        <v>79610</v>
      </c>
      <c r="I91" s="1">
        <v>79610</v>
      </c>
      <c r="J91" t="s">
        <v>536</v>
      </c>
      <c r="L91" t="s">
        <v>536</v>
      </c>
      <c r="M91" t="s">
        <v>380</v>
      </c>
      <c r="N91" t="s">
        <v>369</v>
      </c>
      <c r="P91" s="1">
        <v>79610</v>
      </c>
      <c r="Q91" t="s">
        <v>996</v>
      </c>
      <c r="R91" t="s">
        <v>535</v>
      </c>
      <c r="S91" t="s">
        <v>539</v>
      </c>
      <c r="T91" s="2">
        <v>1</v>
      </c>
      <c r="U91" s="1">
        <v>79610</v>
      </c>
      <c r="V91" s="1">
        <v>79610</v>
      </c>
      <c r="X91" t="s">
        <v>540</v>
      </c>
      <c r="Z91" t="s">
        <v>541</v>
      </c>
      <c r="AA91" t="s">
        <v>542</v>
      </c>
      <c r="AB91" t="s">
        <v>543</v>
      </c>
      <c r="AC91" t="s">
        <v>544</v>
      </c>
      <c r="AD91" t="s">
        <v>545</v>
      </c>
      <c r="AE91" s="3">
        <v>1</v>
      </c>
      <c r="AF91" t="s">
        <v>305</v>
      </c>
      <c r="AG91" s="1">
        <v>79610</v>
      </c>
      <c r="AI91" s="1">
        <v>79610</v>
      </c>
      <c r="AJ91" s="1">
        <v>79610</v>
      </c>
      <c r="AM91" s="1">
        <v>79610</v>
      </c>
      <c r="AN91" t="s">
        <v>536</v>
      </c>
      <c r="AO91" t="s">
        <v>546</v>
      </c>
      <c r="AP91" t="s">
        <v>547</v>
      </c>
      <c r="AQ91" t="s">
        <v>548</v>
      </c>
      <c r="AS91" t="s">
        <v>380</v>
      </c>
      <c r="AX91" s="1">
        <v>79610</v>
      </c>
      <c r="AY91" t="s">
        <v>546</v>
      </c>
      <c r="AZ91" t="s">
        <v>549</v>
      </c>
      <c r="BA91" s="1">
        <v>79610</v>
      </c>
      <c r="BC91" t="s">
        <v>546</v>
      </c>
      <c r="BD91" s="1">
        <v>79610</v>
      </c>
      <c r="BE91" t="s">
        <v>540</v>
      </c>
      <c r="BF91" s="1">
        <v>79610</v>
      </c>
      <c r="BH91" s="1">
        <v>79610</v>
      </c>
      <c r="BI91" t="s">
        <v>550</v>
      </c>
      <c r="BJ91" t="s">
        <v>551</v>
      </c>
      <c r="BK91" t="s">
        <v>551</v>
      </c>
      <c r="BL91" t="s">
        <v>552</v>
      </c>
      <c r="BM91" t="s">
        <v>951</v>
      </c>
      <c r="BN91" t="s">
        <v>997</v>
      </c>
      <c r="BO91" t="s">
        <v>998</v>
      </c>
      <c r="BR91" t="s">
        <v>546</v>
      </c>
      <c r="BS91" s="1">
        <v>79610</v>
      </c>
      <c r="BW91" t="s">
        <v>536</v>
      </c>
      <c r="BX91" s="1">
        <v>79610</v>
      </c>
      <c r="BZ91" t="s">
        <v>535</v>
      </c>
      <c r="CA91" t="s">
        <v>546</v>
      </c>
      <c r="CB91" t="s">
        <v>844</v>
      </c>
      <c r="CC91" t="s">
        <v>556</v>
      </c>
      <c r="CD91" t="s">
        <v>999</v>
      </c>
      <c r="CE91" t="s">
        <v>1000</v>
      </c>
      <c r="CF91" t="s">
        <v>305</v>
      </c>
      <c r="CG91" s="4">
        <v>1</v>
      </c>
      <c r="CH91" t="s">
        <v>546</v>
      </c>
      <c r="CK91" t="s">
        <v>1001</v>
      </c>
      <c r="CL91" s="1">
        <v>79610</v>
      </c>
      <c r="CN91" t="s">
        <v>535</v>
      </c>
      <c r="CO91" t="s">
        <v>539</v>
      </c>
      <c r="CT91" t="s">
        <v>576</v>
      </c>
      <c r="CW91" t="s">
        <v>546</v>
      </c>
      <c r="DD91" t="s">
        <v>561</v>
      </c>
      <c r="DK91" t="s">
        <v>1002</v>
      </c>
      <c r="DL91" t="s">
        <v>1003</v>
      </c>
    </row>
    <row r="92" ht="15" customHeight="1" spans="1:122">
      <c r="A92" t="s">
        <v>530</v>
      </c>
      <c r="B92" t="s">
        <v>1004</v>
      </c>
      <c r="C92" t="s">
        <v>532</v>
      </c>
      <c r="D92" t="s">
        <v>951</v>
      </c>
      <c r="E92" t="s">
        <v>534</v>
      </c>
      <c r="F92" t="s">
        <v>534</v>
      </c>
      <c r="G92" t="s">
        <v>535</v>
      </c>
      <c r="H92" s="1">
        <v>5667</v>
      </c>
      <c r="I92" s="1">
        <v>5667</v>
      </c>
      <c r="J92" t="s">
        <v>536</v>
      </c>
      <c r="L92" t="s">
        <v>536</v>
      </c>
      <c r="M92" t="s">
        <v>377</v>
      </c>
      <c r="N92" t="s">
        <v>537</v>
      </c>
      <c r="P92" s="1">
        <v>5667</v>
      </c>
      <c r="Q92" t="s">
        <v>538</v>
      </c>
      <c r="R92" t="s">
        <v>535</v>
      </c>
      <c r="S92" t="s">
        <v>539</v>
      </c>
      <c r="T92" s="2">
        <v>1</v>
      </c>
      <c r="U92" s="1">
        <v>5667</v>
      </c>
      <c r="V92" s="1">
        <v>5667</v>
      </c>
      <c r="X92" t="s">
        <v>540</v>
      </c>
      <c r="Z92" t="s">
        <v>541</v>
      </c>
      <c r="AA92" t="s">
        <v>542</v>
      </c>
      <c r="AB92" t="s">
        <v>543</v>
      </c>
      <c r="AC92" t="s">
        <v>544</v>
      </c>
      <c r="AD92" t="s">
        <v>545</v>
      </c>
      <c r="AE92" s="3">
        <v>1</v>
      </c>
      <c r="AF92" t="s">
        <v>60</v>
      </c>
      <c r="AG92" s="1">
        <v>5667</v>
      </c>
      <c r="AI92" s="1">
        <v>5667</v>
      </c>
      <c r="AJ92" s="1">
        <v>5667</v>
      </c>
      <c r="AM92" s="1">
        <v>5667</v>
      </c>
      <c r="AN92" t="s">
        <v>643</v>
      </c>
      <c r="AO92" t="s">
        <v>546</v>
      </c>
      <c r="AP92" t="s">
        <v>643</v>
      </c>
      <c r="AQ92" t="s">
        <v>548</v>
      </c>
      <c r="AS92" t="s">
        <v>377</v>
      </c>
      <c r="AX92" s="1">
        <v>5667</v>
      </c>
      <c r="AY92" t="s">
        <v>546</v>
      </c>
      <c r="AZ92" t="s">
        <v>644</v>
      </c>
      <c r="BA92" s="1">
        <v>5667</v>
      </c>
      <c r="BC92" t="s">
        <v>546</v>
      </c>
      <c r="BD92" s="1">
        <v>5667</v>
      </c>
      <c r="BE92" t="s">
        <v>540</v>
      </c>
      <c r="BF92" s="1">
        <v>5667</v>
      </c>
      <c r="BH92" s="1">
        <v>5667</v>
      </c>
      <c r="BI92" t="s">
        <v>550</v>
      </c>
      <c r="BJ92" t="s">
        <v>551</v>
      </c>
      <c r="BK92" t="s">
        <v>551</v>
      </c>
      <c r="BL92" t="s">
        <v>552</v>
      </c>
      <c r="BM92" t="s">
        <v>951</v>
      </c>
      <c r="BN92" t="s">
        <v>1005</v>
      </c>
      <c r="BO92" t="s">
        <v>1006</v>
      </c>
      <c r="BR92" t="s">
        <v>546</v>
      </c>
      <c r="BS92" s="1">
        <v>5667</v>
      </c>
      <c r="BW92" t="s">
        <v>536</v>
      </c>
      <c r="BX92" s="1">
        <v>5667</v>
      </c>
      <c r="BZ92" t="s">
        <v>535</v>
      </c>
      <c r="CA92" t="s">
        <v>546</v>
      </c>
      <c r="CB92" t="s">
        <v>951</v>
      </c>
      <c r="CC92" t="s">
        <v>556</v>
      </c>
      <c r="CD92" t="s">
        <v>1007</v>
      </c>
      <c r="CE92" t="s">
        <v>1008</v>
      </c>
      <c r="CF92" t="s">
        <v>60</v>
      </c>
      <c r="CG92" s="4">
        <v>1</v>
      </c>
      <c r="CH92" t="s">
        <v>546</v>
      </c>
      <c r="CK92" t="s">
        <v>1009</v>
      </c>
      <c r="CL92" s="1">
        <v>5667</v>
      </c>
      <c r="CN92" t="s">
        <v>535</v>
      </c>
      <c r="CO92" t="s">
        <v>539</v>
      </c>
      <c r="CT92" t="s">
        <v>560</v>
      </c>
      <c r="CW92" t="s">
        <v>546</v>
      </c>
      <c r="DD92" t="s">
        <v>561</v>
      </c>
      <c r="DK92" t="s">
        <v>1010</v>
      </c>
      <c r="DL92" t="s">
        <v>1011</v>
      </c>
      <c r="DR92" t="s">
        <v>1012</v>
      </c>
    </row>
    <row r="93" ht="15" customHeight="1" spans="1:122">
      <c r="A93" t="s">
        <v>530</v>
      </c>
      <c r="B93" t="s">
        <v>1013</v>
      </c>
      <c r="C93" t="s">
        <v>532</v>
      </c>
      <c r="D93" t="s">
        <v>951</v>
      </c>
      <c r="E93" t="s">
        <v>534</v>
      </c>
      <c r="F93" t="s">
        <v>534</v>
      </c>
      <c r="G93" t="s">
        <v>535</v>
      </c>
      <c r="H93" s="1">
        <v>4791</v>
      </c>
      <c r="I93" s="1">
        <v>4791</v>
      </c>
      <c r="J93" t="s">
        <v>536</v>
      </c>
      <c r="L93" t="s">
        <v>536</v>
      </c>
      <c r="M93" t="s">
        <v>404</v>
      </c>
      <c r="N93" t="s">
        <v>537</v>
      </c>
      <c r="P93" s="1">
        <v>4791</v>
      </c>
      <c r="Q93" t="s">
        <v>642</v>
      </c>
      <c r="R93" t="s">
        <v>535</v>
      </c>
      <c r="S93" t="s">
        <v>539</v>
      </c>
      <c r="T93" s="2">
        <v>1</v>
      </c>
      <c r="U93" s="1">
        <v>4791</v>
      </c>
      <c r="V93" s="1">
        <v>4791</v>
      </c>
      <c r="X93" t="s">
        <v>540</v>
      </c>
      <c r="Z93" t="s">
        <v>541</v>
      </c>
      <c r="AA93" t="s">
        <v>542</v>
      </c>
      <c r="AB93" t="s">
        <v>543</v>
      </c>
      <c r="AC93" t="s">
        <v>544</v>
      </c>
      <c r="AD93" t="s">
        <v>545</v>
      </c>
      <c r="AE93" s="3">
        <v>1</v>
      </c>
      <c r="AF93" t="s">
        <v>62</v>
      </c>
      <c r="AG93" s="1">
        <v>4791</v>
      </c>
      <c r="AI93" s="1">
        <v>4791</v>
      </c>
      <c r="AJ93" s="1">
        <v>4791</v>
      </c>
      <c r="AM93" s="1">
        <v>4791</v>
      </c>
      <c r="AN93" t="s">
        <v>643</v>
      </c>
      <c r="AO93" t="s">
        <v>546</v>
      </c>
      <c r="AP93" t="s">
        <v>643</v>
      </c>
      <c r="AQ93" t="s">
        <v>548</v>
      </c>
      <c r="AS93" t="s">
        <v>404</v>
      </c>
      <c r="AX93" s="1">
        <v>4791</v>
      </c>
      <c r="AY93" t="s">
        <v>546</v>
      </c>
      <c r="AZ93" t="s">
        <v>644</v>
      </c>
      <c r="BA93" s="1">
        <v>4791</v>
      </c>
      <c r="BC93" t="s">
        <v>546</v>
      </c>
      <c r="BD93" s="1">
        <v>4791</v>
      </c>
      <c r="BE93" t="s">
        <v>540</v>
      </c>
      <c r="BF93" s="1">
        <v>4791</v>
      </c>
      <c r="BH93" s="1">
        <v>4791</v>
      </c>
      <c r="BI93" t="s">
        <v>550</v>
      </c>
      <c r="BJ93" t="s">
        <v>642</v>
      </c>
      <c r="BK93" t="s">
        <v>551</v>
      </c>
      <c r="BL93" t="s">
        <v>552</v>
      </c>
      <c r="BM93" t="s">
        <v>951</v>
      </c>
      <c r="BN93" t="s">
        <v>1014</v>
      </c>
      <c r="BO93" t="s">
        <v>1015</v>
      </c>
      <c r="BR93" t="s">
        <v>546</v>
      </c>
      <c r="BS93" s="1">
        <v>4791</v>
      </c>
      <c r="BW93" t="s">
        <v>536</v>
      </c>
      <c r="BX93" s="1">
        <v>4791</v>
      </c>
      <c r="BZ93" t="s">
        <v>535</v>
      </c>
      <c r="CA93" t="s">
        <v>546</v>
      </c>
      <c r="CB93" t="s">
        <v>951</v>
      </c>
      <c r="CC93" t="s">
        <v>556</v>
      </c>
      <c r="CD93" t="s">
        <v>1016</v>
      </c>
      <c r="CE93" t="s">
        <v>1017</v>
      </c>
      <c r="CF93" t="s">
        <v>62</v>
      </c>
      <c r="CG93" s="4">
        <v>1</v>
      </c>
      <c r="CH93" t="s">
        <v>546</v>
      </c>
      <c r="CK93" t="s">
        <v>1018</v>
      </c>
      <c r="CL93" s="1">
        <v>4791</v>
      </c>
      <c r="CN93" t="s">
        <v>535</v>
      </c>
      <c r="CO93" t="s">
        <v>539</v>
      </c>
      <c r="CT93" t="s">
        <v>651</v>
      </c>
      <c r="CW93" t="s">
        <v>546</v>
      </c>
      <c r="DD93" t="s">
        <v>561</v>
      </c>
      <c r="DK93" t="s">
        <v>1019</v>
      </c>
      <c r="DL93" t="s">
        <v>1020</v>
      </c>
      <c r="DR93" t="s">
        <v>1021</v>
      </c>
    </row>
    <row r="94" ht="15" customHeight="1" spans="1:122">
      <c r="A94" t="s">
        <v>530</v>
      </c>
      <c r="B94" t="s">
        <v>1022</v>
      </c>
      <c r="C94" t="s">
        <v>532</v>
      </c>
      <c r="D94" t="s">
        <v>844</v>
      </c>
      <c r="E94" t="s">
        <v>534</v>
      </c>
      <c r="F94" t="s">
        <v>534</v>
      </c>
      <c r="G94" t="s">
        <v>535</v>
      </c>
      <c r="H94" s="1">
        <v>790</v>
      </c>
      <c r="I94" s="1">
        <v>790</v>
      </c>
      <c r="J94" t="s">
        <v>536</v>
      </c>
      <c r="L94" t="s">
        <v>536</v>
      </c>
      <c r="M94" t="s">
        <v>375</v>
      </c>
      <c r="N94" t="s">
        <v>537</v>
      </c>
      <c r="P94" s="1">
        <v>790</v>
      </c>
      <c r="Q94" t="s">
        <v>580</v>
      </c>
      <c r="R94" t="s">
        <v>535</v>
      </c>
      <c r="S94" t="s">
        <v>539</v>
      </c>
      <c r="T94" s="2">
        <v>1</v>
      </c>
      <c r="U94" s="1">
        <v>790</v>
      </c>
      <c r="V94" s="1">
        <v>790</v>
      </c>
      <c r="X94" t="s">
        <v>540</v>
      </c>
      <c r="Z94" t="s">
        <v>541</v>
      </c>
      <c r="AA94" t="s">
        <v>542</v>
      </c>
      <c r="AB94" t="s">
        <v>543</v>
      </c>
      <c r="AC94" t="s">
        <v>544</v>
      </c>
      <c r="AD94" t="s">
        <v>545</v>
      </c>
      <c r="AE94" s="3">
        <v>1</v>
      </c>
      <c r="AF94" t="s">
        <v>59</v>
      </c>
      <c r="AG94" s="1">
        <v>790</v>
      </c>
      <c r="AI94" s="1">
        <v>790</v>
      </c>
      <c r="AJ94" s="1">
        <v>790</v>
      </c>
      <c r="AM94" s="1">
        <v>790</v>
      </c>
      <c r="AN94" t="s">
        <v>643</v>
      </c>
      <c r="AO94" t="s">
        <v>546</v>
      </c>
      <c r="AP94" t="s">
        <v>643</v>
      </c>
      <c r="AQ94" t="s">
        <v>548</v>
      </c>
      <c r="AS94" t="s">
        <v>375</v>
      </c>
      <c r="AX94" s="1">
        <v>790</v>
      </c>
      <c r="AY94" t="s">
        <v>546</v>
      </c>
      <c r="AZ94" t="s">
        <v>644</v>
      </c>
      <c r="BA94" s="1">
        <v>790</v>
      </c>
      <c r="BC94" t="s">
        <v>546</v>
      </c>
      <c r="BD94" s="1">
        <v>790</v>
      </c>
      <c r="BE94" t="s">
        <v>540</v>
      </c>
      <c r="BF94" s="1">
        <v>790</v>
      </c>
      <c r="BH94" s="1">
        <v>790</v>
      </c>
      <c r="BI94" t="s">
        <v>550</v>
      </c>
      <c r="BJ94" t="s">
        <v>570</v>
      </c>
      <c r="BK94" t="s">
        <v>570</v>
      </c>
      <c r="BL94" t="s">
        <v>552</v>
      </c>
      <c r="BM94" t="s">
        <v>951</v>
      </c>
      <c r="BN94" t="s">
        <v>1023</v>
      </c>
      <c r="BO94" t="s">
        <v>1024</v>
      </c>
      <c r="BR94" t="s">
        <v>546</v>
      </c>
      <c r="BS94" s="1">
        <v>790</v>
      </c>
      <c r="BW94" t="s">
        <v>536</v>
      </c>
      <c r="BX94" s="1">
        <v>790</v>
      </c>
      <c r="BZ94" t="s">
        <v>535</v>
      </c>
      <c r="CA94" t="s">
        <v>546</v>
      </c>
      <c r="CB94" t="s">
        <v>844</v>
      </c>
      <c r="CC94" t="s">
        <v>556</v>
      </c>
      <c r="CD94" t="s">
        <v>891</v>
      </c>
      <c r="CE94" t="s">
        <v>892</v>
      </c>
      <c r="CF94" t="s">
        <v>59</v>
      </c>
      <c r="CG94" s="4">
        <v>1</v>
      </c>
      <c r="CH94" t="s">
        <v>546</v>
      </c>
      <c r="CK94" t="s">
        <v>1025</v>
      </c>
      <c r="CL94" s="1">
        <v>790</v>
      </c>
      <c r="CN94" t="s">
        <v>535</v>
      </c>
      <c r="CO94" t="s">
        <v>539</v>
      </c>
      <c r="CT94" t="s">
        <v>576</v>
      </c>
      <c r="CW94" t="s">
        <v>546</v>
      </c>
      <c r="DD94" t="s">
        <v>561</v>
      </c>
      <c r="DK94" t="s">
        <v>1026</v>
      </c>
      <c r="DL94" t="s">
        <v>1027</v>
      </c>
      <c r="DR94" t="s">
        <v>1028</v>
      </c>
    </row>
    <row r="95" ht="15" customHeight="1" spans="1:122">
      <c r="A95" t="s">
        <v>530</v>
      </c>
      <c r="B95" t="s">
        <v>1029</v>
      </c>
      <c r="C95" t="s">
        <v>532</v>
      </c>
      <c r="D95" t="s">
        <v>773</v>
      </c>
      <c r="E95" t="s">
        <v>534</v>
      </c>
      <c r="F95" t="s">
        <v>534</v>
      </c>
      <c r="G95" t="s">
        <v>535</v>
      </c>
      <c r="H95" s="1">
        <v>5872</v>
      </c>
      <c r="I95" s="1">
        <v>5859.38</v>
      </c>
      <c r="J95" t="s">
        <v>536</v>
      </c>
      <c r="L95" t="s">
        <v>536</v>
      </c>
      <c r="M95" t="s">
        <v>377</v>
      </c>
      <c r="N95" t="s">
        <v>537</v>
      </c>
      <c r="P95" s="1">
        <v>5872</v>
      </c>
      <c r="Q95" t="s">
        <v>538</v>
      </c>
      <c r="R95" t="s">
        <v>535</v>
      </c>
      <c r="S95" t="s">
        <v>539</v>
      </c>
      <c r="T95" s="2">
        <v>1</v>
      </c>
      <c r="U95" s="1">
        <v>5872</v>
      </c>
      <c r="V95" s="1">
        <v>5859.38</v>
      </c>
      <c r="X95" t="s">
        <v>540</v>
      </c>
      <c r="Z95" t="s">
        <v>541</v>
      </c>
      <c r="AA95" t="s">
        <v>542</v>
      </c>
      <c r="AB95" t="s">
        <v>659</v>
      </c>
      <c r="AC95" t="s">
        <v>544</v>
      </c>
      <c r="AD95" t="s">
        <v>545</v>
      </c>
      <c r="AE95" s="3">
        <v>1</v>
      </c>
      <c r="AF95" t="s">
        <v>46</v>
      </c>
      <c r="AG95" s="1">
        <v>5872</v>
      </c>
      <c r="AI95" s="1">
        <v>5872</v>
      </c>
      <c r="AJ95" s="1">
        <v>5872</v>
      </c>
      <c r="AK95" s="1">
        <v>12.62</v>
      </c>
      <c r="AM95" s="1">
        <v>5859.38</v>
      </c>
      <c r="AN95" t="s">
        <v>536</v>
      </c>
      <c r="AO95" t="s">
        <v>546</v>
      </c>
      <c r="AP95" t="s">
        <v>547</v>
      </c>
      <c r="AQ95" t="s">
        <v>548</v>
      </c>
      <c r="AS95" t="s">
        <v>377</v>
      </c>
      <c r="AX95" s="1">
        <v>5872</v>
      </c>
      <c r="AY95" t="s">
        <v>546</v>
      </c>
      <c r="AZ95" t="s">
        <v>549</v>
      </c>
      <c r="BA95" s="1">
        <v>5872</v>
      </c>
      <c r="BC95" t="s">
        <v>546</v>
      </c>
      <c r="BD95" s="1">
        <v>5872</v>
      </c>
      <c r="BE95" t="s">
        <v>540</v>
      </c>
      <c r="BF95" s="1">
        <v>5872</v>
      </c>
      <c r="BG95" s="1">
        <v>12.62</v>
      </c>
      <c r="BH95" s="1">
        <v>5859.38</v>
      </c>
      <c r="BI95" t="s">
        <v>550</v>
      </c>
      <c r="BJ95" t="s">
        <v>551</v>
      </c>
      <c r="BK95" t="s">
        <v>552</v>
      </c>
      <c r="BL95" t="s">
        <v>552</v>
      </c>
      <c r="BM95" t="s">
        <v>951</v>
      </c>
      <c r="BN95" t="s">
        <v>1030</v>
      </c>
      <c r="BO95" t="s">
        <v>1031</v>
      </c>
      <c r="BR95" t="s">
        <v>546</v>
      </c>
      <c r="BS95" s="1">
        <v>5872</v>
      </c>
      <c r="BW95" t="s">
        <v>536</v>
      </c>
      <c r="BX95" s="1">
        <v>5872</v>
      </c>
      <c r="BZ95" t="s">
        <v>535</v>
      </c>
      <c r="CA95" t="s">
        <v>546</v>
      </c>
      <c r="CB95" t="s">
        <v>773</v>
      </c>
      <c r="CC95" t="s">
        <v>556</v>
      </c>
      <c r="CD95" t="s">
        <v>1032</v>
      </c>
      <c r="CE95" t="s">
        <v>1033</v>
      </c>
      <c r="CF95" t="s">
        <v>46</v>
      </c>
      <c r="CG95" s="4">
        <v>1</v>
      </c>
      <c r="CH95" t="s">
        <v>546</v>
      </c>
      <c r="CK95" t="s">
        <v>1034</v>
      </c>
      <c r="CL95" s="1">
        <v>5872</v>
      </c>
      <c r="CN95" t="s">
        <v>535</v>
      </c>
      <c r="CO95" t="s">
        <v>539</v>
      </c>
      <c r="CT95" t="s">
        <v>560</v>
      </c>
      <c r="CW95" t="s">
        <v>546</v>
      </c>
      <c r="DD95" t="s">
        <v>561</v>
      </c>
      <c r="DK95" t="s">
        <v>1035</v>
      </c>
      <c r="DL95" t="s">
        <v>1036</v>
      </c>
    </row>
    <row r="96" ht="15" customHeight="1" spans="1:122">
      <c r="A96" t="s">
        <v>530</v>
      </c>
      <c r="B96" t="s">
        <v>1037</v>
      </c>
      <c r="C96" t="s">
        <v>532</v>
      </c>
      <c r="D96" t="s">
        <v>844</v>
      </c>
      <c r="E96" t="s">
        <v>534</v>
      </c>
      <c r="F96" t="s">
        <v>534</v>
      </c>
      <c r="G96" t="s">
        <v>535</v>
      </c>
      <c r="H96" s="1">
        <v>5872</v>
      </c>
      <c r="I96" s="1">
        <v>5859.38</v>
      </c>
      <c r="J96" t="s">
        <v>536</v>
      </c>
      <c r="L96" t="s">
        <v>536</v>
      </c>
      <c r="M96" t="s">
        <v>375</v>
      </c>
      <c r="N96" t="s">
        <v>537</v>
      </c>
      <c r="P96" s="1">
        <v>5872</v>
      </c>
      <c r="Q96" t="s">
        <v>580</v>
      </c>
      <c r="R96" t="s">
        <v>535</v>
      </c>
      <c r="S96" t="s">
        <v>539</v>
      </c>
      <c r="T96" s="2">
        <v>1</v>
      </c>
      <c r="U96" s="1">
        <v>5872</v>
      </c>
      <c r="V96" s="1">
        <v>5859.38</v>
      </c>
      <c r="X96" t="s">
        <v>540</v>
      </c>
      <c r="Z96" t="s">
        <v>541</v>
      </c>
      <c r="AA96" t="s">
        <v>542</v>
      </c>
      <c r="AB96" t="s">
        <v>659</v>
      </c>
      <c r="AC96" t="s">
        <v>544</v>
      </c>
      <c r="AD96" t="s">
        <v>545</v>
      </c>
      <c r="AE96" s="3">
        <v>1</v>
      </c>
      <c r="AF96" t="s">
        <v>54</v>
      </c>
      <c r="AG96" s="1">
        <v>5872</v>
      </c>
      <c r="AI96" s="1">
        <v>5872</v>
      </c>
      <c r="AJ96" s="1">
        <v>5872</v>
      </c>
      <c r="AK96" s="1">
        <v>12.62</v>
      </c>
      <c r="AM96" s="1">
        <v>5859.38</v>
      </c>
      <c r="AN96" t="s">
        <v>536</v>
      </c>
      <c r="AO96" t="s">
        <v>546</v>
      </c>
      <c r="AP96" t="s">
        <v>547</v>
      </c>
      <c r="AQ96" t="s">
        <v>548</v>
      </c>
      <c r="AS96" t="s">
        <v>375</v>
      </c>
      <c r="AX96" s="1">
        <v>5872</v>
      </c>
      <c r="AY96" t="s">
        <v>546</v>
      </c>
      <c r="AZ96" t="s">
        <v>549</v>
      </c>
      <c r="BA96" s="1">
        <v>5872</v>
      </c>
      <c r="BC96" t="s">
        <v>546</v>
      </c>
      <c r="BD96" s="1">
        <v>5872</v>
      </c>
      <c r="BE96" t="s">
        <v>540</v>
      </c>
      <c r="BF96" s="1">
        <v>5872</v>
      </c>
      <c r="BG96" s="1">
        <v>12.62</v>
      </c>
      <c r="BH96" s="1">
        <v>5859.38</v>
      </c>
      <c r="BI96" t="s">
        <v>550</v>
      </c>
      <c r="BJ96" t="s">
        <v>551</v>
      </c>
      <c r="BK96" t="s">
        <v>552</v>
      </c>
      <c r="BL96" t="s">
        <v>552</v>
      </c>
      <c r="BM96" t="s">
        <v>951</v>
      </c>
      <c r="BN96" t="s">
        <v>1038</v>
      </c>
      <c r="BO96" t="s">
        <v>1039</v>
      </c>
      <c r="BR96" t="s">
        <v>546</v>
      </c>
      <c r="BS96" s="1">
        <v>5872</v>
      </c>
      <c r="BW96" t="s">
        <v>536</v>
      </c>
      <c r="BX96" s="1">
        <v>5872</v>
      </c>
      <c r="BZ96" t="s">
        <v>535</v>
      </c>
      <c r="CA96" t="s">
        <v>546</v>
      </c>
      <c r="CB96" t="s">
        <v>844</v>
      </c>
      <c r="CC96" t="s">
        <v>556</v>
      </c>
      <c r="CD96" t="s">
        <v>1032</v>
      </c>
      <c r="CE96" t="s">
        <v>1033</v>
      </c>
      <c r="CF96" t="s">
        <v>54</v>
      </c>
      <c r="CG96" s="4">
        <v>1</v>
      </c>
      <c r="CH96" t="s">
        <v>546</v>
      </c>
      <c r="CK96" t="s">
        <v>1040</v>
      </c>
      <c r="CL96" s="1">
        <v>5872</v>
      </c>
      <c r="CN96" t="s">
        <v>535</v>
      </c>
      <c r="CO96" t="s">
        <v>539</v>
      </c>
      <c r="CT96" t="s">
        <v>576</v>
      </c>
      <c r="CW96" t="s">
        <v>546</v>
      </c>
      <c r="DD96" t="s">
        <v>561</v>
      </c>
      <c r="DK96" t="s">
        <v>1041</v>
      </c>
      <c r="DL96" t="s">
        <v>1042</v>
      </c>
    </row>
    <row r="97" ht="15" customHeight="1" spans="1:122">
      <c r="A97" t="s">
        <v>603</v>
      </c>
      <c r="B97" t="s">
        <v>1043</v>
      </c>
      <c r="C97" t="s">
        <v>656</v>
      </c>
      <c r="D97" t="s">
        <v>951</v>
      </c>
      <c r="E97" t="s">
        <v>534</v>
      </c>
      <c r="F97" t="s">
        <v>534</v>
      </c>
      <c r="G97" t="s">
        <v>535</v>
      </c>
      <c r="H97" s="1">
        <v>8362</v>
      </c>
      <c r="I97" s="1">
        <v>8362</v>
      </c>
      <c r="J97" t="s">
        <v>536</v>
      </c>
      <c r="L97" t="s">
        <v>536</v>
      </c>
      <c r="M97" t="s">
        <v>407</v>
      </c>
      <c r="N97" t="s">
        <v>657</v>
      </c>
      <c r="P97" s="1">
        <v>8362</v>
      </c>
      <c r="Q97" t="s">
        <v>1044</v>
      </c>
      <c r="R97" t="s">
        <v>535</v>
      </c>
      <c r="S97" t="s">
        <v>539</v>
      </c>
      <c r="T97" s="2">
        <v>1</v>
      </c>
      <c r="U97" s="1">
        <v>8362</v>
      </c>
      <c r="V97" s="1">
        <v>8362</v>
      </c>
      <c r="X97" t="s">
        <v>616</v>
      </c>
      <c r="Z97" t="s">
        <v>541</v>
      </c>
      <c r="AA97" t="s">
        <v>542</v>
      </c>
      <c r="AB97" t="s">
        <v>543</v>
      </c>
      <c r="AC97" t="s">
        <v>608</v>
      </c>
      <c r="AE97" s="3">
        <v>1</v>
      </c>
      <c r="AG97" s="1">
        <v>8362</v>
      </c>
      <c r="AI97" s="1">
        <v>8362</v>
      </c>
      <c r="AJ97" s="1">
        <v>8362</v>
      </c>
      <c r="AM97" s="1">
        <v>8362</v>
      </c>
      <c r="AN97" t="s">
        <v>536</v>
      </c>
      <c r="AO97" t="s">
        <v>546</v>
      </c>
      <c r="AP97" t="s">
        <v>547</v>
      </c>
      <c r="AQ97" t="s">
        <v>548</v>
      </c>
      <c r="AS97" t="s">
        <v>407</v>
      </c>
      <c r="AX97" s="1">
        <v>8362</v>
      </c>
      <c r="AY97" t="s">
        <v>546</v>
      </c>
      <c r="AZ97" t="s">
        <v>549</v>
      </c>
      <c r="BA97" s="1">
        <v>8362</v>
      </c>
      <c r="BC97" t="s">
        <v>546</v>
      </c>
      <c r="BE97" t="s">
        <v>616</v>
      </c>
      <c r="BH97" s="1">
        <v>8362</v>
      </c>
      <c r="BI97" t="s">
        <v>550</v>
      </c>
      <c r="BJ97" t="s">
        <v>683</v>
      </c>
      <c r="BK97" t="s">
        <v>683</v>
      </c>
      <c r="BL97" t="s">
        <v>552</v>
      </c>
      <c r="BM97" t="s">
        <v>951</v>
      </c>
      <c r="BN97" t="s">
        <v>1045</v>
      </c>
      <c r="BO97" t="s">
        <v>1046</v>
      </c>
      <c r="BR97" t="s">
        <v>546</v>
      </c>
      <c r="BS97" s="1">
        <v>8362</v>
      </c>
      <c r="BW97" t="s">
        <v>536</v>
      </c>
      <c r="BZ97" t="s">
        <v>535</v>
      </c>
      <c r="CA97" t="s">
        <v>546</v>
      </c>
      <c r="CB97" t="s">
        <v>951</v>
      </c>
      <c r="CC97" t="s">
        <v>556</v>
      </c>
      <c r="CH97" t="s">
        <v>546</v>
      </c>
      <c r="CK97" t="s">
        <v>1047</v>
      </c>
      <c r="CN97" t="s">
        <v>535</v>
      </c>
      <c r="CO97" t="s">
        <v>539</v>
      </c>
      <c r="CT97" t="s">
        <v>1048</v>
      </c>
      <c r="CW97" t="s">
        <v>546</v>
      </c>
      <c r="DD97" t="s">
        <v>561</v>
      </c>
      <c r="DK97" t="s">
        <v>407</v>
      </c>
    </row>
    <row r="98" ht="15" customHeight="1" spans="1:122">
      <c r="A98" t="s">
        <v>530</v>
      </c>
      <c r="B98" t="s">
        <v>1049</v>
      </c>
      <c r="C98" t="s">
        <v>532</v>
      </c>
      <c r="D98" t="s">
        <v>533</v>
      </c>
      <c r="E98" t="s">
        <v>534</v>
      </c>
      <c r="F98" t="s">
        <v>534</v>
      </c>
      <c r="G98" t="s">
        <v>535</v>
      </c>
      <c r="H98" s="1">
        <v>3519.2</v>
      </c>
      <c r="I98" s="1">
        <v>3498.08</v>
      </c>
      <c r="J98" t="s">
        <v>536</v>
      </c>
      <c r="L98" t="s">
        <v>536</v>
      </c>
      <c r="M98" t="s">
        <v>375</v>
      </c>
      <c r="N98" t="s">
        <v>537</v>
      </c>
      <c r="P98" s="1">
        <v>3519.2</v>
      </c>
      <c r="Q98" t="s">
        <v>580</v>
      </c>
      <c r="R98" t="s">
        <v>535</v>
      </c>
      <c r="S98" t="s">
        <v>539</v>
      </c>
      <c r="T98" s="2">
        <v>1</v>
      </c>
      <c r="U98" s="1">
        <v>3519.2</v>
      </c>
      <c r="V98" s="1">
        <v>3498.08</v>
      </c>
      <c r="X98" t="s">
        <v>540</v>
      </c>
      <c r="Z98" t="s">
        <v>541</v>
      </c>
      <c r="AA98" t="s">
        <v>542</v>
      </c>
      <c r="AB98" t="s">
        <v>1050</v>
      </c>
      <c r="AC98" t="s">
        <v>544</v>
      </c>
      <c r="AD98" t="s">
        <v>545</v>
      </c>
      <c r="AE98" s="3">
        <v>1</v>
      </c>
      <c r="AF98" t="s">
        <v>63</v>
      </c>
      <c r="AG98" s="1">
        <v>3519.2</v>
      </c>
      <c r="AI98" s="1">
        <v>3519.2</v>
      </c>
      <c r="AJ98" s="1">
        <v>3519.2</v>
      </c>
      <c r="AK98" s="1">
        <v>21.12</v>
      </c>
      <c r="AM98" s="1">
        <v>3498.08</v>
      </c>
      <c r="AN98" t="s">
        <v>536</v>
      </c>
      <c r="AO98" t="s">
        <v>546</v>
      </c>
      <c r="AP98" t="s">
        <v>547</v>
      </c>
      <c r="AQ98" t="s">
        <v>548</v>
      </c>
      <c r="AS98" t="s">
        <v>375</v>
      </c>
      <c r="AX98" s="1">
        <v>3519.2</v>
      </c>
      <c r="AY98" t="s">
        <v>546</v>
      </c>
      <c r="AZ98" t="s">
        <v>549</v>
      </c>
      <c r="BA98" s="1">
        <v>3519.2</v>
      </c>
      <c r="BC98" t="s">
        <v>546</v>
      </c>
      <c r="BD98" s="1">
        <v>3519.2</v>
      </c>
      <c r="BE98" t="s">
        <v>540</v>
      </c>
      <c r="BF98" s="1">
        <v>3519.2</v>
      </c>
      <c r="BG98" s="1">
        <v>21.12</v>
      </c>
      <c r="BH98" s="1">
        <v>3498.08</v>
      </c>
      <c r="BI98" t="s">
        <v>550</v>
      </c>
      <c r="BJ98" t="s">
        <v>570</v>
      </c>
      <c r="BK98" t="s">
        <v>552</v>
      </c>
      <c r="BL98" t="s">
        <v>552</v>
      </c>
      <c r="BM98" t="s">
        <v>951</v>
      </c>
      <c r="BN98" t="s">
        <v>1051</v>
      </c>
      <c r="BO98" t="s">
        <v>1052</v>
      </c>
      <c r="BR98" t="s">
        <v>546</v>
      </c>
      <c r="BS98" s="1">
        <v>3519.2</v>
      </c>
      <c r="BW98" t="s">
        <v>536</v>
      </c>
      <c r="BX98" s="1">
        <v>3519.2</v>
      </c>
      <c r="BZ98" t="s">
        <v>535</v>
      </c>
      <c r="CA98" t="s">
        <v>546</v>
      </c>
      <c r="CB98" t="s">
        <v>533</v>
      </c>
      <c r="CC98" t="s">
        <v>556</v>
      </c>
      <c r="CD98" t="s">
        <v>648</v>
      </c>
      <c r="CE98" t="s">
        <v>649</v>
      </c>
      <c r="CF98" t="s">
        <v>63</v>
      </c>
      <c r="CG98" s="4">
        <v>1</v>
      </c>
      <c r="CH98" t="s">
        <v>546</v>
      </c>
      <c r="CK98" t="s">
        <v>1053</v>
      </c>
      <c r="CL98" s="1">
        <v>3519.2</v>
      </c>
      <c r="CN98" t="s">
        <v>535</v>
      </c>
      <c r="CO98" t="s">
        <v>539</v>
      </c>
      <c r="CT98" t="s">
        <v>576</v>
      </c>
      <c r="CW98" t="s">
        <v>546</v>
      </c>
      <c r="DD98" t="s">
        <v>561</v>
      </c>
      <c r="DK98" t="s">
        <v>1054</v>
      </c>
      <c r="DL98" t="s">
        <v>1055</v>
      </c>
    </row>
    <row r="99" ht="15" customHeight="1" spans="1:122">
      <c r="A99" t="s">
        <v>530</v>
      </c>
      <c r="B99" t="s">
        <v>1056</v>
      </c>
      <c r="C99" t="s">
        <v>532</v>
      </c>
      <c r="D99" t="s">
        <v>533</v>
      </c>
      <c r="E99" t="s">
        <v>534</v>
      </c>
      <c r="F99" t="s">
        <v>534</v>
      </c>
      <c r="G99" t="s">
        <v>535</v>
      </c>
      <c r="H99" s="1">
        <v>879.8</v>
      </c>
      <c r="I99" s="1">
        <v>879.8</v>
      </c>
      <c r="J99" t="s">
        <v>536</v>
      </c>
      <c r="L99" t="s">
        <v>536</v>
      </c>
      <c r="M99" t="s">
        <v>375</v>
      </c>
      <c r="N99" t="s">
        <v>537</v>
      </c>
      <c r="P99" s="1">
        <v>879.8</v>
      </c>
      <c r="Q99" t="s">
        <v>580</v>
      </c>
      <c r="R99" t="s">
        <v>535</v>
      </c>
      <c r="S99" t="s">
        <v>539</v>
      </c>
      <c r="T99" s="2">
        <v>1</v>
      </c>
      <c r="U99" s="1">
        <v>879.8</v>
      </c>
      <c r="V99" s="1">
        <v>879.8</v>
      </c>
      <c r="X99" t="s">
        <v>540</v>
      </c>
      <c r="Z99" t="s">
        <v>541</v>
      </c>
      <c r="AA99" t="s">
        <v>542</v>
      </c>
      <c r="AB99" t="s">
        <v>1050</v>
      </c>
      <c r="AC99" t="s">
        <v>544</v>
      </c>
      <c r="AD99" t="s">
        <v>545</v>
      </c>
      <c r="AE99" s="3">
        <v>1</v>
      </c>
      <c r="AF99" t="s">
        <v>63</v>
      </c>
      <c r="AG99" s="1">
        <v>879.8</v>
      </c>
      <c r="AI99" s="1">
        <v>879.8</v>
      </c>
      <c r="AJ99" s="1">
        <v>879.8</v>
      </c>
      <c r="AM99" s="1">
        <v>879.8</v>
      </c>
      <c r="AN99" t="s">
        <v>565</v>
      </c>
      <c r="AO99" t="s">
        <v>546</v>
      </c>
      <c r="AP99" t="s">
        <v>565</v>
      </c>
      <c r="AQ99" t="s">
        <v>548</v>
      </c>
      <c r="AS99" t="s">
        <v>375</v>
      </c>
      <c r="AX99" s="1">
        <v>879.8</v>
      </c>
      <c r="AY99" t="s">
        <v>546</v>
      </c>
      <c r="AZ99" t="s">
        <v>566</v>
      </c>
      <c r="BA99" s="1">
        <v>879.8</v>
      </c>
      <c r="BC99" t="s">
        <v>546</v>
      </c>
      <c r="BD99" s="1">
        <v>879.8</v>
      </c>
      <c r="BE99" t="s">
        <v>540</v>
      </c>
      <c r="BF99" s="1">
        <v>879.8</v>
      </c>
      <c r="BH99" s="1">
        <v>879.8</v>
      </c>
      <c r="BI99" t="s">
        <v>550</v>
      </c>
      <c r="BJ99" t="s">
        <v>570</v>
      </c>
      <c r="BK99" t="s">
        <v>570</v>
      </c>
      <c r="BL99" t="s">
        <v>552</v>
      </c>
      <c r="BM99" t="s">
        <v>951</v>
      </c>
      <c r="BN99" t="s">
        <v>1057</v>
      </c>
      <c r="BO99" t="s">
        <v>1058</v>
      </c>
      <c r="BR99" t="s">
        <v>546</v>
      </c>
      <c r="BS99" s="1">
        <v>879.8</v>
      </c>
      <c r="BW99" t="s">
        <v>536</v>
      </c>
      <c r="BX99" s="1">
        <v>879.8</v>
      </c>
      <c r="BZ99" t="s">
        <v>535</v>
      </c>
      <c r="CA99" t="s">
        <v>546</v>
      </c>
      <c r="CB99" t="s">
        <v>533</v>
      </c>
      <c r="CC99" t="s">
        <v>556</v>
      </c>
      <c r="CD99" t="s">
        <v>648</v>
      </c>
      <c r="CE99" t="s">
        <v>649</v>
      </c>
      <c r="CF99" t="s">
        <v>63</v>
      </c>
      <c r="CG99" s="4">
        <v>1</v>
      </c>
      <c r="CH99" t="s">
        <v>546</v>
      </c>
      <c r="CK99" t="s">
        <v>1053</v>
      </c>
      <c r="CL99" s="1">
        <v>879.8</v>
      </c>
      <c r="CN99" t="s">
        <v>535</v>
      </c>
      <c r="CO99" t="s">
        <v>539</v>
      </c>
      <c r="CT99" t="s">
        <v>576</v>
      </c>
      <c r="CW99" t="s">
        <v>546</v>
      </c>
      <c r="DD99" t="s">
        <v>561</v>
      </c>
      <c r="DK99" t="s">
        <v>1054</v>
      </c>
      <c r="DL99" t="s">
        <v>1055</v>
      </c>
    </row>
    <row r="100" ht="15" customHeight="1" spans="1:122">
      <c r="A100" t="s">
        <v>530</v>
      </c>
      <c r="B100" t="s">
        <v>1059</v>
      </c>
      <c r="C100" t="s">
        <v>532</v>
      </c>
      <c r="D100" t="s">
        <v>951</v>
      </c>
      <c r="E100" t="s">
        <v>534</v>
      </c>
      <c r="F100" t="s">
        <v>534</v>
      </c>
      <c r="G100" t="s">
        <v>535</v>
      </c>
      <c r="H100" s="1">
        <v>7270</v>
      </c>
      <c r="I100" s="1">
        <v>7254.37</v>
      </c>
      <c r="J100" t="s">
        <v>536</v>
      </c>
      <c r="L100" t="s">
        <v>536</v>
      </c>
      <c r="M100" t="s">
        <v>371</v>
      </c>
      <c r="N100" t="s">
        <v>537</v>
      </c>
      <c r="P100" s="1">
        <v>7270</v>
      </c>
      <c r="Q100" t="s">
        <v>1060</v>
      </c>
      <c r="R100" t="s">
        <v>535</v>
      </c>
      <c r="S100" t="s">
        <v>539</v>
      </c>
      <c r="T100" s="2">
        <v>1</v>
      </c>
      <c r="U100" s="1">
        <v>7270</v>
      </c>
      <c r="V100" s="1">
        <v>7254.37</v>
      </c>
      <c r="X100" t="s">
        <v>540</v>
      </c>
      <c r="Z100" t="s">
        <v>541</v>
      </c>
      <c r="AA100" t="s">
        <v>542</v>
      </c>
      <c r="AB100" t="s">
        <v>543</v>
      </c>
      <c r="AC100" t="s">
        <v>544</v>
      </c>
      <c r="AD100" t="s">
        <v>545</v>
      </c>
      <c r="AE100" s="3">
        <v>1</v>
      </c>
      <c r="AF100" t="s">
        <v>56</v>
      </c>
      <c r="AG100" s="1">
        <v>7270</v>
      </c>
      <c r="AI100" s="1">
        <v>7270</v>
      </c>
      <c r="AJ100" s="1">
        <v>7270</v>
      </c>
      <c r="AK100" s="1">
        <v>15.63</v>
      </c>
      <c r="AM100" s="1">
        <v>7254.37</v>
      </c>
      <c r="AN100" t="s">
        <v>536</v>
      </c>
      <c r="AO100" t="s">
        <v>546</v>
      </c>
      <c r="AP100" t="s">
        <v>547</v>
      </c>
      <c r="AQ100" t="s">
        <v>548</v>
      </c>
      <c r="AS100" t="s">
        <v>371</v>
      </c>
      <c r="AX100" s="1">
        <v>7270</v>
      </c>
      <c r="AY100" t="s">
        <v>546</v>
      </c>
      <c r="AZ100" t="s">
        <v>549</v>
      </c>
      <c r="BA100" s="1">
        <v>7270</v>
      </c>
      <c r="BC100" t="s">
        <v>546</v>
      </c>
      <c r="BD100" s="1">
        <v>7270</v>
      </c>
      <c r="BE100" t="s">
        <v>540</v>
      </c>
      <c r="BF100" s="1">
        <v>7270</v>
      </c>
      <c r="BG100" s="1">
        <v>15.63</v>
      </c>
      <c r="BH100" s="1">
        <v>7254.37</v>
      </c>
      <c r="BI100" t="s">
        <v>550</v>
      </c>
      <c r="BJ100" t="s">
        <v>1060</v>
      </c>
      <c r="BK100" t="s">
        <v>552</v>
      </c>
      <c r="BL100" t="s">
        <v>552</v>
      </c>
      <c r="BM100" t="s">
        <v>984</v>
      </c>
      <c r="BN100" t="s">
        <v>1061</v>
      </c>
      <c r="BO100" t="s">
        <v>1062</v>
      </c>
      <c r="BR100" t="s">
        <v>546</v>
      </c>
      <c r="BS100" s="1">
        <v>7270</v>
      </c>
      <c r="BW100" t="s">
        <v>536</v>
      </c>
      <c r="BX100" s="1">
        <v>7270</v>
      </c>
      <c r="BZ100" t="s">
        <v>535</v>
      </c>
      <c r="CA100" t="s">
        <v>546</v>
      </c>
      <c r="CB100" t="s">
        <v>951</v>
      </c>
      <c r="CC100" t="s">
        <v>556</v>
      </c>
      <c r="CD100" t="s">
        <v>1063</v>
      </c>
      <c r="CE100" t="s">
        <v>1064</v>
      </c>
      <c r="CF100" t="s">
        <v>56</v>
      </c>
      <c r="CG100" s="4">
        <v>1</v>
      </c>
      <c r="CH100" t="s">
        <v>546</v>
      </c>
      <c r="CK100" t="s">
        <v>1065</v>
      </c>
      <c r="CL100" s="1">
        <v>7270</v>
      </c>
      <c r="CN100" t="s">
        <v>535</v>
      </c>
      <c r="CO100" t="s">
        <v>539</v>
      </c>
      <c r="CT100" t="s">
        <v>576</v>
      </c>
      <c r="CW100" t="s">
        <v>546</v>
      </c>
      <c r="DD100" t="s">
        <v>561</v>
      </c>
      <c r="DK100" t="s">
        <v>1066</v>
      </c>
      <c r="DL100" t="s">
        <v>1067</v>
      </c>
    </row>
    <row r="101" ht="15" customHeight="1" spans="1:122">
      <c r="A101" t="s">
        <v>530</v>
      </c>
      <c r="B101" t="s">
        <v>1068</v>
      </c>
      <c r="C101" t="s">
        <v>532</v>
      </c>
      <c r="D101" t="s">
        <v>951</v>
      </c>
      <c r="E101" t="s">
        <v>534</v>
      </c>
      <c r="F101" t="s">
        <v>534</v>
      </c>
      <c r="G101" t="s">
        <v>535</v>
      </c>
      <c r="H101" s="1">
        <v>2975</v>
      </c>
      <c r="I101" s="1">
        <v>2975</v>
      </c>
      <c r="J101" t="s">
        <v>536</v>
      </c>
      <c r="L101" t="s">
        <v>536</v>
      </c>
      <c r="M101" t="s">
        <v>371</v>
      </c>
      <c r="N101" t="s">
        <v>537</v>
      </c>
      <c r="P101" s="1">
        <v>2975</v>
      </c>
      <c r="Q101" t="s">
        <v>1060</v>
      </c>
      <c r="R101" t="s">
        <v>535</v>
      </c>
      <c r="S101" t="s">
        <v>539</v>
      </c>
      <c r="T101" s="2">
        <v>1</v>
      </c>
      <c r="U101" s="1">
        <v>2975</v>
      </c>
      <c r="V101" s="1">
        <v>2975</v>
      </c>
      <c r="X101" t="s">
        <v>540</v>
      </c>
      <c r="Z101" t="s">
        <v>541</v>
      </c>
      <c r="AA101" t="s">
        <v>542</v>
      </c>
      <c r="AB101" t="s">
        <v>543</v>
      </c>
      <c r="AC101" t="s">
        <v>544</v>
      </c>
      <c r="AD101" t="s">
        <v>545</v>
      </c>
      <c r="AE101" s="3">
        <v>1</v>
      </c>
      <c r="AF101" t="s">
        <v>66</v>
      </c>
      <c r="AG101" s="1">
        <v>2975</v>
      </c>
      <c r="AI101" s="1">
        <v>2975</v>
      </c>
      <c r="AJ101" s="1">
        <v>2975</v>
      </c>
      <c r="AM101" s="1">
        <v>2975</v>
      </c>
      <c r="AN101" t="s">
        <v>643</v>
      </c>
      <c r="AO101" t="s">
        <v>546</v>
      </c>
      <c r="AP101" t="s">
        <v>643</v>
      </c>
      <c r="AQ101" t="s">
        <v>548</v>
      </c>
      <c r="AS101" t="s">
        <v>371</v>
      </c>
      <c r="AX101" s="1">
        <v>2975</v>
      </c>
      <c r="AY101" t="s">
        <v>546</v>
      </c>
      <c r="AZ101" t="s">
        <v>644</v>
      </c>
      <c r="BA101" s="1">
        <v>2975</v>
      </c>
      <c r="BC101" t="s">
        <v>546</v>
      </c>
      <c r="BD101" s="1">
        <v>2975</v>
      </c>
      <c r="BE101" t="s">
        <v>540</v>
      </c>
      <c r="BF101" s="1">
        <v>2975</v>
      </c>
      <c r="BH101" s="1">
        <v>2975</v>
      </c>
      <c r="BI101" t="s">
        <v>550</v>
      </c>
      <c r="BJ101" t="s">
        <v>1060</v>
      </c>
      <c r="BK101" t="s">
        <v>1060</v>
      </c>
      <c r="BL101" t="s">
        <v>552</v>
      </c>
      <c r="BM101" t="s">
        <v>984</v>
      </c>
      <c r="BN101" t="s">
        <v>1069</v>
      </c>
      <c r="BO101" t="s">
        <v>1070</v>
      </c>
      <c r="BR101" t="s">
        <v>546</v>
      </c>
      <c r="BS101" s="1">
        <v>2975</v>
      </c>
      <c r="BW101" t="s">
        <v>536</v>
      </c>
      <c r="BX101" s="1">
        <v>2975</v>
      </c>
      <c r="BZ101" t="s">
        <v>535</v>
      </c>
      <c r="CA101" t="s">
        <v>546</v>
      </c>
      <c r="CB101" t="s">
        <v>951</v>
      </c>
      <c r="CC101" t="s">
        <v>556</v>
      </c>
      <c r="CD101" t="s">
        <v>1071</v>
      </c>
      <c r="CE101" t="s">
        <v>1072</v>
      </c>
      <c r="CF101" t="s">
        <v>66</v>
      </c>
      <c r="CG101" s="4">
        <v>1</v>
      </c>
      <c r="CH101" t="s">
        <v>546</v>
      </c>
      <c r="CK101" t="s">
        <v>1073</v>
      </c>
      <c r="CL101" s="1">
        <v>2975</v>
      </c>
      <c r="CN101" t="s">
        <v>535</v>
      </c>
      <c r="CO101" t="s">
        <v>539</v>
      </c>
      <c r="CT101" t="s">
        <v>576</v>
      </c>
      <c r="CW101" t="s">
        <v>546</v>
      </c>
      <c r="DD101" t="s">
        <v>561</v>
      </c>
      <c r="DK101" t="s">
        <v>1074</v>
      </c>
      <c r="DL101" t="s">
        <v>1075</v>
      </c>
      <c r="DR101" t="s">
        <v>1076</v>
      </c>
    </row>
    <row r="102" ht="15" customHeight="1" spans="1:122">
      <c r="A102" t="s">
        <v>530</v>
      </c>
      <c r="B102" t="s">
        <v>1077</v>
      </c>
      <c r="C102" t="s">
        <v>532</v>
      </c>
      <c r="D102" t="s">
        <v>533</v>
      </c>
      <c r="E102" t="s">
        <v>534</v>
      </c>
      <c r="F102" t="s">
        <v>534</v>
      </c>
      <c r="G102" t="s">
        <v>535</v>
      </c>
      <c r="H102" s="1">
        <v>1240</v>
      </c>
      <c r="I102" s="1">
        <v>1232.56</v>
      </c>
      <c r="J102" t="s">
        <v>536</v>
      </c>
      <c r="L102" t="s">
        <v>536</v>
      </c>
      <c r="M102" t="s">
        <v>375</v>
      </c>
      <c r="N102" t="s">
        <v>537</v>
      </c>
      <c r="P102" s="1">
        <v>1240</v>
      </c>
      <c r="Q102" t="s">
        <v>580</v>
      </c>
      <c r="R102" t="s">
        <v>535</v>
      </c>
      <c r="S102" t="s">
        <v>539</v>
      </c>
      <c r="T102" s="2">
        <v>1</v>
      </c>
      <c r="U102" s="1">
        <v>1240</v>
      </c>
      <c r="V102" s="1">
        <v>1232.56</v>
      </c>
      <c r="X102" t="s">
        <v>540</v>
      </c>
      <c r="Z102" t="s">
        <v>541</v>
      </c>
      <c r="AA102" t="s">
        <v>542</v>
      </c>
      <c r="AB102" t="s">
        <v>543</v>
      </c>
      <c r="AC102" t="s">
        <v>544</v>
      </c>
      <c r="AD102" t="s">
        <v>545</v>
      </c>
      <c r="AE102" s="3">
        <v>1</v>
      </c>
      <c r="AF102" t="s">
        <v>61</v>
      </c>
      <c r="AG102" s="1">
        <v>1240</v>
      </c>
      <c r="AI102" s="1">
        <v>1240</v>
      </c>
      <c r="AJ102" s="1">
        <v>1240</v>
      </c>
      <c r="AK102" s="1">
        <v>7.44</v>
      </c>
      <c r="AM102" s="1">
        <v>1232.56</v>
      </c>
      <c r="AN102" t="s">
        <v>536</v>
      </c>
      <c r="AO102" t="s">
        <v>546</v>
      </c>
      <c r="AP102" t="s">
        <v>547</v>
      </c>
      <c r="AQ102" t="s">
        <v>548</v>
      </c>
      <c r="AS102" t="s">
        <v>375</v>
      </c>
      <c r="AX102" s="1">
        <v>1240</v>
      </c>
      <c r="AY102" t="s">
        <v>546</v>
      </c>
      <c r="AZ102" t="s">
        <v>549</v>
      </c>
      <c r="BA102" s="1">
        <v>1240</v>
      </c>
      <c r="BC102" t="s">
        <v>546</v>
      </c>
      <c r="BD102" s="1">
        <v>1240</v>
      </c>
      <c r="BE102" t="s">
        <v>540</v>
      </c>
      <c r="BF102" s="1">
        <v>1240</v>
      </c>
      <c r="BG102" s="1">
        <v>7.44</v>
      </c>
      <c r="BH102" s="1">
        <v>1232.56</v>
      </c>
      <c r="BI102" t="s">
        <v>550</v>
      </c>
      <c r="BJ102" t="s">
        <v>551</v>
      </c>
      <c r="BK102" t="s">
        <v>552</v>
      </c>
      <c r="BL102" t="s">
        <v>552</v>
      </c>
      <c r="BM102" t="s">
        <v>984</v>
      </c>
      <c r="BN102" t="s">
        <v>1078</v>
      </c>
      <c r="BO102" t="s">
        <v>1078</v>
      </c>
      <c r="BR102" t="s">
        <v>546</v>
      </c>
      <c r="BS102" s="1">
        <v>1240</v>
      </c>
      <c r="BW102" t="s">
        <v>536</v>
      </c>
      <c r="BX102" s="1">
        <v>1240</v>
      </c>
      <c r="BZ102" t="s">
        <v>535</v>
      </c>
      <c r="CA102" t="s">
        <v>546</v>
      </c>
      <c r="CB102" t="s">
        <v>533</v>
      </c>
      <c r="CC102" t="s">
        <v>556</v>
      </c>
      <c r="CD102" t="s">
        <v>1079</v>
      </c>
      <c r="CE102" t="s">
        <v>1080</v>
      </c>
      <c r="CF102" t="s">
        <v>61</v>
      </c>
      <c r="CG102" s="4">
        <v>1</v>
      </c>
      <c r="CH102" t="s">
        <v>546</v>
      </c>
      <c r="CK102" t="s">
        <v>1081</v>
      </c>
      <c r="CL102" s="1">
        <v>1240</v>
      </c>
      <c r="CN102" t="s">
        <v>535</v>
      </c>
      <c r="CO102" t="s">
        <v>539</v>
      </c>
      <c r="CT102" t="s">
        <v>576</v>
      </c>
      <c r="CW102" t="s">
        <v>546</v>
      </c>
      <c r="DD102" t="s">
        <v>561</v>
      </c>
      <c r="DK102" t="s">
        <v>1082</v>
      </c>
      <c r="DL102" t="s">
        <v>1083</v>
      </c>
    </row>
    <row r="103" ht="15" customHeight="1" spans="1:122">
      <c r="A103" t="s">
        <v>530</v>
      </c>
      <c r="B103" t="s">
        <v>1084</v>
      </c>
      <c r="C103" t="s">
        <v>532</v>
      </c>
      <c r="D103" t="s">
        <v>533</v>
      </c>
      <c r="E103" t="s">
        <v>534</v>
      </c>
      <c r="F103" t="s">
        <v>534</v>
      </c>
      <c r="G103" t="s">
        <v>535</v>
      </c>
      <c r="H103" s="1">
        <v>310</v>
      </c>
      <c r="I103" s="1">
        <v>310</v>
      </c>
      <c r="J103" t="s">
        <v>536</v>
      </c>
      <c r="L103" t="s">
        <v>536</v>
      </c>
      <c r="M103" t="s">
        <v>375</v>
      </c>
      <c r="N103" t="s">
        <v>537</v>
      </c>
      <c r="P103" s="1">
        <v>310</v>
      </c>
      <c r="Q103" t="s">
        <v>580</v>
      </c>
      <c r="R103" t="s">
        <v>535</v>
      </c>
      <c r="S103" t="s">
        <v>539</v>
      </c>
      <c r="T103" s="2">
        <v>1</v>
      </c>
      <c r="U103" s="1">
        <v>310</v>
      </c>
      <c r="V103" s="1">
        <v>310</v>
      </c>
      <c r="X103" t="s">
        <v>540</v>
      </c>
      <c r="Z103" t="s">
        <v>541</v>
      </c>
      <c r="AA103" t="s">
        <v>542</v>
      </c>
      <c r="AB103" t="s">
        <v>543</v>
      </c>
      <c r="AC103" t="s">
        <v>544</v>
      </c>
      <c r="AD103" t="s">
        <v>545</v>
      </c>
      <c r="AE103" s="3">
        <v>1</v>
      </c>
      <c r="AF103" t="s">
        <v>61</v>
      </c>
      <c r="AG103" s="1">
        <v>310</v>
      </c>
      <c r="AI103" s="1">
        <v>310</v>
      </c>
      <c r="AJ103" s="1">
        <v>310</v>
      </c>
      <c r="AM103" s="1">
        <v>310</v>
      </c>
      <c r="AN103" t="s">
        <v>565</v>
      </c>
      <c r="AO103" t="s">
        <v>546</v>
      </c>
      <c r="AP103" t="s">
        <v>565</v>
      </c>
      <c r="AQ103" t="s">
        <v>548</v>
      </c>
      <c r="AS103" t="s">
        <v>375</v>
      </c>
      <c r="AX103" s="1">
        <v>310</v>
      </c>
      <c r="AY103" t="s">
        <v>546</v>
      </c>
      <c r="AZ103" t="s">
        <v>566</v>
      </c>
      <c r="BA103" s="1">
        <v>310</v>
      </c>
      <c r="BC103" t="s">
        <v>546</v>
      </c>
      <c r="BD103" s="1">
        <v>310</v>
      </c>
      <c r="BE103" t="s">
        <v>540</v>
      </c>
      <c r="BF103" s="1">
        <v>310</v>
      </c>
      <c r="BH103" s="1">
        <v>310</v>
      </c>
      <c r="BI103" t="s">
        <v>550</v>
      </c>
      <c r="BJ103" t="s">
        <v>551</v>
      </c>
      <c r="BK103" t="s">
        <v>551</v>
      </c>
      <c r="BL103" t="s">
        <v>552</v>
      </c>
      <c r="BM103" t="s">
        <v>984</v>
      </c>
      <c r="BN103" t="s">
        <v>1085</v>
      </c>
      <c r="BO103" t="s">
        <v>1086</v>
      </c>
      <c r="BR103" t="s">
        <v>546</v>
      </c>
      <c r="BS103" s="1">
        <v>310</v>
      </c>
      <c r="BW103" t="s">
        <v>536</v>
      </c>
      <c r="BX103" s="1">
        <v>310</v>
      </c>
      <c r="BZ103" t="s">
        <v>535</v>
      </c>
      <c r="CA103" t="s">
        <v>546</v>
      </c>
      <c r="CB103" t="s">
        <v>533</v>
      </c>
      <c r="CC103" t="s">
        <v>556</v>
      </c>
      <c r="CD103" t="s">
        <v>1079</v>
      </c>
      <c r="CE103" t="s">
        <v>1080</v>
      </c>
      <c r="CF103" t="s">
        <v>61</v>
      </c>
      <c r="CG103" s="4">
        <v>1</v>
      </c>
      <c r="CH103" t="s">
        <v>546</v>
      </c>
      <c r="CK103" t="s">
        <v>1081</v>
      </c>
      <c r="CL103" s="1">
        <v>310</v>
      </c>
      <c r="CN103" t="s">
        <v>535</v>
      </c>
      <c r="CO103" t="s">
        <v>539</v>
      </c>
      <c r="CT103" t="s">
        <v>576</v>
      </c>
      <c r="CW103" t="s">
        <v>546</v>
      </c>
      <c r="DD103" t="s">
        <v>561</v>
      </c>
      <c r="DK103" t="s">
        <v>1082</v>
      </c>
      <c r="DL103" t="s">
        <v>1083</v>
      </c>
    </row>
    <row r="104" ht="15" customHeight="1" spans="1:122">
      <c r="A104" t="s">
        <v>530</v>
      </c>
      <c r="B104" t="s">
        <v>1087</v>
      </c>
      <c r="C104" t="s">
        <v>532</v>
      </c>
      <c r="D104" t="s">
        <v>951</v>
      </c>
      <c r="E104" t="s">
        <v>534</v>
      </c>
      <c r="F104" t="s">
        <v>534</v>
      </c>
      <c r="G104" t="s">
        <v>535</v>
      </c>
      <c r="H104" s="1">
        <v>6502</v>
      </c>
      <c r="I104" s="1">
        <v>6502</v>
      </c>
      <c r="J104" t="s">
        <v>536</v>
      </c>
      <c r="L104" t="s">
        <v>536</v>
      </c>
      <c r="M104" t="s">
        <v>375</v>
      </c>
      <c r="N104" t="s">
        <v>537</v>
      </c>
      <c r="P104" s="1">
        <v>6502</v>
      </c>
      <c r="Q104" t="s">
        <v>580</v>
      </c>
      <c r="R104" t="s">
        <v>535</v>
      </c>
      <c r="S104" t="s">
        <v>539</v>
      </c>
      <c r="T104" s="2">
        <v>1</v>
      </c>
      <c r="U104" s="1">
        <v>6502</v>
      </c>
      <c r="V104" s="1">
        <v>6502</v>
      </c>
      <c r="X104" t="s">
        <v>540</v>
      </c>
      <c r="Z104" t="s">
        <v>541</v>
      </c>
      <c r="AA104" t="s">
        <v>542</v>
      </c>
      <c r="AB104" t="s">
        <v>543</v>
      </c>
      <c r="AC104" t="s">
        <v>544</v>
      </c>
      <c r="AD104" t="s">
        <v>545</v>
      </c>
      <c r="AE104" s="3">
        <v>1</v>
      </c>
      <c r="AF104" t="s">
        <v>64</v>
      </c>
      <c r="AG104" s="1">
        <v>6502</v>
      </c>
      <c r="AI104" s="1">
        <v>6502</v>
      </c>
      <c r="AJ104" s="1">
        <v>6502</v>
      </c>
      <c r="AM104" s="1">
        <v>6502</v>
      </c>
      <c r="AN104" t="s">
        <v>643</v>
      </c>
      <c r="AO104" t="s">
        <v>546</v>
      </c>
      <c r="AP104" t="s">
        <v>643</v>
      </c>
      <c r="AQ104" t="s">
        <v>548</v>
      </c>
      <c r="AS104" t="s">
        <v>375</v>
      </c>
      <c r="AX104" s="1">
        <v>6502</v>
      </c>
      <c r="AY104" t="s">
        <v>546</v>
      </c>
      <c r="AZ104" t="s">
        <v>644</v>
      </c>
      <c r="BA104" s="1">
        <v>6502</v>
      </c>
      <c r="BC104" t="s">
        <v>546</v>
      </c>
      <c r="BD104" s="1">
        <v>6502</v>
      </c>
      <c r="BE104" t="s">
        <v>540</v>
      </c>
      <c r="BF104" s="1">
        <v>6502</v>
      </c>
      <c r="BH104" s="1">
        <v>6502</v>
      </c>
      <c r="BI104" t="s">
        <v>550</v>
      </c>
      <c r="BJ104" t="s">
        <v>551</v>
      </c>
      <c r="BK104" t="s">
        <v>552</v>
      </c>
      <c r="BL104" t="s">
        <v>552</v>
      </c>
      <c r="BM104" t="s">
        <v>984</v>
      </c>
      <c r="BN104" t="s">
        <v>1088</v>
      </c>
      <c r="BO104" t="s">
        <v>1089</v>
      </c>
      <c r="BR104" t="s">
        <v>546</v>
      </c>
      <c r="BS104" s="1">
        <v>6502</v>
      </c>
      <c r="BW104" t="s">
        <v>536</v>
      </c>
      <c r="BX104" s="1">
        <v>6502</v>
      </c>
      <c r="BZ104" t="s">
        <v>535</v>
      </c>
      <c r="CA104" t="s">
        <v>546</v>
      </c>
      <c r="CB104" t="s">
        <v>951</v>
      </c>
      <c r="CC104" t="s">
        <v>556</v>
      </c>
      <c r="CD104" t="s">
        <v>1090</v>
      </c>
      <c r="CE104" t="s">
        <v>1091</v>
      </c>
      <c r="CF104" t="s">
        <v>64</v>
      </c>
      <c r="CG104" s="4">
        <v>1</v>
      </c>
      <c r="CH104" t="s">
        <v>546</v>
      </c>
      <c r="CK104" t="s">
        <v>1092</v>
      </c>
      <c r="CL104" s="1">
        <v>6502</v>
      </c>
      <c r="CN104" t="s">
        <v>535</v>
      </c>
      <c r="CO104" t="s">
        <v>539</v>
      </c>
      <c r="CT104" t="s">
        <v>576</v>
      </c>
      <c r="CW104" t="s">
        <v>546</v>
      </c>
      <c r="DD104" t="s">
        <v>561</v>
      </c>
      <c r="DK104" t="s">
        <v>1093</v>
      </c>
      <c r="DL104" t="s">
        <v>1094</v>
      </c>
      <c r="DR104" t="s">
        <v>1095</v>
      </c>
    </row>
    <row r="105" ht="15" customHeight="1" spans="1:122">
      <c r="A105" t="s">
        <v>530</v>
      </c>
      <c r="B105" t="s">
        <v>1096</v>
      </c>
      <c r="C105" t="s">
        <v>532</v>
      </c>
      <c r="D105" t="s">
        <v>984</v>
      </c>
      <c r="E105" t="s">
        <v>534</v>
      </c>
      <c r="F105" t="s">
        <v>534</v>
      </c>
      <c r="G105" t="s">
        <v>535</v>
      </c>
      <c r="H105" s="1">
        <v>3414</v>
      </c>
      <c r="I105" s="1">
        <v>3406.66</v>
      </c>
      <c r="J105" t="s">
        <v>536</v>
      </c>
      <c r="L105" t="s">
        <v>536</v>
      </c>
      <c r="M105" t="s">
        <v>371</v>
      </c>
      <c r="N105" t="s">
        <v>537</v>
      </c>
      <c r="P105" s="1">
        <v>3414</v>
      </c>
      <c r="Q105" t="s">
        <v>1060</v>
      </c>
      <c r="R105" t="s">
        <v>535</v>
      </c>
      <c r="S105" t="s">
        <v>539</v>
      </c>
      <c r="T105" s="2">
        <v>1</v>
      </c>
      <c r="U105" s="1">
        <v>3414</v>
      </c>
      <c r="V105" s="1">
        <v>3406.66</v>
      </c>
      <c r="X105" t="s">
        <v>540</v>
      </c>
      <c r="Z105" t="s">
        <v>541</v>
      </c>
      <c r="AA105" t="s">
        <v>542</v>
      </c>
      <c r="AB105" t="s">
        <v>543</v>
      </c>
      <c r="AC105" t="s">
        <v>544</v>
      </c>
      <c r="AD105" t="s">
        <v>545</v>
      </c>
      <c r="AE105" s="3">
        <v>1</v>
      </c>
      <c r="AF105" t="s">
        <v>68</v>
      </c>
      <c r="AG105" s="1">
        <v>3414</v>
      </c>
      <c r="AI105" s="1">
        <v>3414</v>
      </c>
      <c r="AJ105" s="1">
        <v>3414</v>
      </c>
      <c r="AK105" s="1">
        <v>7.34</v>
      </c>
      <c r="AM105" s="1">
        <v>3406.66</v>
      </c>
      <c r="AN105" t="s">
        <v>536</v>
      </c>
      <c r="AO105" t="s">
        <v>546</v>
      </c>
      <c r="AP105" t="s">
        <v>547</v>
      </c>
      <c r="AQ105" t="s">
        <v>548</v>
      </c>
      <c r="AS105" t="s">
        <v>371</v>
      </c>
      <c r="AX105" s="1">
        <v>3414</v>
      </c>
      <c r="AY105" t="s">
        <v>546</v>
      </c>
      <c r="AZ105" t="s">
        <v>549</v>
      </c>
      <c r="BA105" s="1">
        <v>3414</v>
      </c>
      <c r="BC105" t="s">
        <v>546</v>
      </c>
      <c r="BD105" s="1">
        <v>3414</v>
      </c>
      <c r="BE105" t="s">
        <v>540</v>
      </c>
      <c r="BF105" s="1">
        <v>3414</v>
      </c>
      <c r="BG105" s="1">
        <v>7.34</v>
      </c>
      <c r="BH105" s="1">
        <v>3406.66</v>
      </c>
      <c r="BI105" t="s">
        <v>550</v>
      </c>
      <c r="BJ105" t="s">
        <v>551</v>
      </c>
      <c r="BK105" t="s">
        <v>552</v>
      </c>
      <c r="BL105" t="s">
        <v>552</v>
      </c>
      <c r="BM105" t="s">
        <v>984</v>
      </c>
      <c r="BN105" t="s">
        <v>1097</v>
      </c>
      <c r="BO105" t="s">
        <v>1098</v>
      </c>
      <c r="BR105" t="s">
        <v>546</v>
      </c>
      <c r="BS105" s="1">
        <v>3414</v>
      </c>
      <c r="BW105" t="s">
        <v>536</v>
      </c>
      <c r="BX105" s="1">
        <v>3414</v>
      </c>
      <c r="BZ105" t="s">
        <v>535</v>
      </c>
      <c r="CA105" t="s">
        <v>546</v>
      </c>
      <c r="CB105" t="s">
        <v>984</v>
      </c>
      <c r="CC105" t="s">
        <v>556</v>
      </c>
      <c r="CD105" t="s">
        <v>1099</v>
      </c>
      <c r="CE105" t="s">
        <v>1100</v>
      </c>
      <c r="CF105" t="s">
        <v>68</v>
      </c>
      <c r="CG105" s="4">
        <v>1</v>
      </c>
      <c r="CH105" t="s">
        <v>546</v>
      </c>
      <c r="CK105" t="s">
        <v>1101</v>
      </c>
      <c r="CL105" s="1">
        <v>3414</v>
      </c>
      <c r="CN105" t="s">
        <v>535</v>
      </c>
      <c r="CO105" t="s">
        <v>539</v>
      </c>
      <c r="CT105" t="s">
        <v>576</v>
      </c>
      <c r="CW105" t="s">
        <v>546</v>
      </c>
      <c r="DD105" t="s">
        <v>561</v>
      </c>
      <c r="DK105" t="s">
        <v>1102</v>
      </c>
      <c r="DL105" t="s">
        <v>1103</v>
      </c>
    </row>
    <row r="106" ht="15" customHeight="1" spans="1:122">
      <c r="A106" t="s">
        <v>530</v>
      </c>
      <c r="B106" t="s">
        <v>1104</v>
      </c>
      <c r="C106" t="s">
        <v>532</v>
      </c>
      <c r="D106" t="s">
        <v>951</v>
      </c>
      <c r="E106" t="s">
        <v>534</v>
      </c>
      <c r="F106" t="s">
        <v>534</v>
      </c>
      <c r="G106" t="s">
        <v>535</v>
      </c>
      <c r="H106" s="1">
        <v>808</v>
      </c>
      <c r="I106" s="1">
        <v>808</v>
      </c>
      <c r="J106" t="s">
        <v>536</v>
      </c>
      <c r="L106" t="s">
        <v>536</v>
      </c>
      <c r="M106" t="s">
        <v>376</v>
      </c>
      <c r="N106" t="s">
        <v>537</v>
      </c>
      <c r="P106" s="1">
        <v>808</v>
      </c>
      <c r="Q106" t="s">
        <v>1105</v>
      </c>
      <c r="R106" t="s">
        <v>535</v>
      </c>
      <c r="S106" t="s">
        <v>539</v>
      </c>
      <c r="T106" s="2">
        <v>1</v>
      </c>
      <c r="U106" s="1">
        <v>808</v>
      </c>
      <c r="V106" s="1">
        <v>808</v>
      </c>
      <c r="X106" t="s">
        <v>540</v>
      </c>
      <c r="Z106" t="s">
        <v>541</v>
      </c>
      <c r="AA106" t="s">
        <v>542</v>
      </c>
      <c r="AB106" t="s">
        <v>543</v>
      </c>
      <c r="AC106" t="s">
        <v>544</v>
      </c>
      <c r="AD106" t="s">
        <v>545</v>
      </c>
      <c r="AE106" s="3">
        <v>1</v>
      </c>
      <c r="AF106" t="s">
        <v>69</v>
      </c>
      <c r="AG106" s="1">
        <v>808</v>
      </c>
      <c r="AI106" s="1">
        <v>808</v>
      </c>
      <c r="AJ106" s="1">
        <v>808</v>
      </c>
      <c r="AM106" s="1">
        <v>808</v>
      </c>
      <c r="AN106" t="s">
        <v>536</v>
      </c>
      <c r="AO106" t="s">
        <v>546</v>
      </c>
      <c r="AP106" t="s">
        <v>547</v>
      </c>
      <c r="AQ106" t="s">
        <v>548</v>
      </c>
      <c r="AS106" t="s">
        <v>376</v>
      </c>
      <c r="AX106" s="1">
        <v>808</v>
      </c>
      <c r="AY106" t="s">
        <v>546</v>
      </c>
      <c r="AZ106" t="s">
        <v>549</v>
      </c>
      <c r="BA106" s="1">
        <v>808</v>
      </c>
      <c r="BC106" t="s">
        <v>546</v>
      </c>
      <c r="BD106" s="1">
        <v>808</v>
      </c>
      <c r="BE106" t="s">
        <v>540</v>
      </c>
      <c r="BF106" s="1">
        <v>808</v>
      </c>
      <c r="BH106" s="1">
        <v>808</v>
      </c>
      <c r="BI106" t="s">
        <v>550</v>
      </c>
      <c r="BJ106" t="s">
        <v>551</v>
      </c>
      <c r="BK106" t="s">
        <v>551</v>
      </c>
      <c r="BL106" t="s">
        <v>552</v>
      </c>
      <c r="BM106" t="s">
        <v>984</v>
      </c>
      <c r="BN106" t="s">
        <v>1106</v>
      </c>
      <c r="BO106" t="s">
        <v>1107</v>
      </c>
      <c r="BR106" t="s">
        <v>546</v>
      </c>
      <c r="BS106" s="1">
        <v>808</v>
      </c>
      <c r="BW106" t="s">
        <v>536</v>
      </c>
      <c r="BX106" s="1">
        <v>808</v>
      </c>
      <c r="BZ106" t="s">
        <v>535</v>
      </c>
      <c r="CA106" t="s">
        <v>546</v>
      </c>
      <c r="CB106" t="s">
        <v>951</v>
      </c>
      <c r="CC106" t="s">
        <v>556</v>
      </c>
      <c r="CD106" t="s">
        <v>1108</v>
      </c>
      <c r="CE106" t="s">
        <v>1109</v>
      </c>
      <c r="CF106" t="s">
        <v>69</v>
      </c>
      <c r="CG106" s="4">
        <v>1</v>
      </c>
      <c r="CH106" t="s">
        <v>546</v>
      </c>
      <c r="CK106" t="s">
        <v>1110</v>
      </c>
      <c r="CL106" s="1">
        <v>808</v>
      </c>
      <c r="CN106" t="s">
        <v>535</v>
      </c>
      <c r="CO106" t="s">
        <v>539</v>
      </c>
      <c r="CT106" t="s">
        <v>576</v>
      </c>
      <c r="CW106" t="s">
        <v>546</v>
      </c>
      <c r="DD106" t="s">
        <v>561</v>
      </c>
      <c r="DK106" t="s">
        <v>1111</v>
      </c>
      <c r="DL106" t="s">
        <v>1112</v>
      </c>
    </row>
    <row r="107" ht="15" customHeight="1" spans="1:122">
      <c r="A107" t="s">
        <v>530</v>
      </c>
      <c r="B107" t="s">
        <v>1113</v>
      </c>
      <c r="C107" t="s">
        <v>532</v>
      </c>
      <c r="D107" t="s">
        <v>984</v>
      </c>
      <c r="E107" t="s">
        <v>534</v>
      </c>
      <c r="F107" t="s">
        <v>534</v>
      </c>
      <c r="G107" t="s">
        <v>535</v>
      </c>
      <c r="H107" s="1">
        <v>6599.28</v>
      </c>
      <c r="I107" s="1">
        <v>6599.28</v>
      </c>
      <c r="J107" t="s">
        <v>536</v>
      </c>
      <c r="L107" t="s">
        <v>536</v>
      </c>
      <c r="M107" t="s">
        <v>380</v>
      </c>
      <c r="N107" t="s">
        <v>369</v>
      </c>
      <c r="P107" s="1">
        <v>6599.28</v>
      </c>
      <c r="Q107" t="s">
        <v>996</v>
      </c>
      <c r="R107" t="s">
        <v>535</v>
      </c>
      <c r="S107" t="s">
        <v>539</v>
      </c>
      <c r="T107" s="2">
        <v>1</v>
      </c>
      <c r="U107" s="1">
        <v>6599.28</v>
      </c>
      <c r="V107" s="1">
        <v>6599.28</v>
      </c>
      <c r="X107" t="s">
        <v>540</v>
      </c>
      <c r="Z107" t="s">
        <v>541</v>
      </c>
      <c r="AA107" t="s">
        <v>542</v>
      </c>
      <c r="AB107" t="s">
        <v>543</v>
      </c>
      <c r="AC107" t="s">
        <v>544</v>
      </c>
      <c r="AD107" t="s">
        <v>545</v>
      </c>
      <c r="AE107" s="3">
        <v>1</v>
      </c>
      <c r="AF107" t="s">
        <v>306</v>
      </c>
      <c r="AG107" s="1">
        <v>6599.28</v>
      </c>
      <c r="AI107" s="1">
        <v>6599.28</v>
      </c>
      <c r="AJ107" s="1">
        <v>6599.28</v>
      </c>
      <c r="AM107" s="1">
        <v>6599.28</v>
      </c>
      <c r="AN107" t="s">
        <v>536</v>
      </c>
      <c r="AO107" t="s">
        <v>546</v>
      </c>
      <c r="AP107" t="s">
        <v>547</v>
      </c>
      <c r="AQ107" t="s">
        <v>548</v>
      </c>
      <c r="AS107" t="s">
        <v>380</v>
      </c>
      <c r="AX107" s="1">
        <v>6599.28</v>
      </c>
      <c r="AY107" t="s">
        <v>546</v>
      </c>
      <c r="AZ107" t="s">
        <v>549</v>
      </c>
      <c r="BA107" s="1">
        <v>6599.28</v>
      </c>
      <c r="BC107" t="s">
        <v>546</v>
      </c>
      <c r="BD107" s="1">
        <v>6599.28</v>
      </c>
      <c r="BE107" t="s">
        <v>540</v>
      </c>
      <c r="BF107" s="1">
        <v>6599.28</v>
      </c>
      <c r="BH107" s="1">
        <v>6599.28</v>
      </c>
      <c r="BI107" t="s">
        <v>550</v>
      </c>
      <c r="BJ107" t="s">
        <v>551</v>
      </c>
      <c r="BK107" t="s">
        <v>551</v>
      </c>
      <c r="BL107" t="s">
        <v>552</v>
      </c>
      <c r="BM107" t="s">
        <v>984</v>
      </c>
      <c r="BN107" t="s">
        <v>1114</v>
      </c>
      <c r="BO107" t="s">
        <v>1115</v>
      </c>
      <c r="BR107" t="s">
        <v>546</v>
      </c>
      <c r="BS107" s="1">
        <v>6599.28</v>
      </c>
      <c r="BW107" t="s">
        <v>536</v>
      </c>
      <c r="BX107" s="1">
        <v>6599.28</v>
      </c>
      <c r="BZ107" t="s">
        <v>535</v>
      </c>
      <c r="CA107" t="s">
        <v>546</v>
      </c>
      <c r="CB107" t="s">
        <v>984</v>
      </c>
      <c r="CC107" t="s">
        <v>556</v>
      </c>
      <c r="CD107" t="s">
        <v>1116</v>
      </c>
      <c r="CE107" t="s">
        <v>1117</v>
      </c>
      <c r="CF107" t="s">
        <v>306</v>
      </c>
      <c r="CG107" s="4">
        <v>1</v>
      </c>
      <c r="CH107" t="s">
        <v>546</v>
      </c>
      <c r="CK107" t="s">
        <v>1118</v>
      </c>
      <c r="CL107" s="1">
        <v>6599.28</v>
      </c>
      <c r="CN107" t="s">
        <v>535</v>
      </c>
      <c r="CO107" t="s">
        <v>539</v>
      </c>
      <c r="CT107" t="s">
        <v>576</v>
      </c>
      <c r="CW107" t="s">
        <v>546</v>
      </c>
      <c r="DD107" t="s">
        <v>561</v>
      </c>
      <c r="DK107" t="s">
        <v>1119</v>
      </c>
      <c r="DL107" t="s">
        <v>1120</v>
      </c>
    </row>
    <row r="108" ht="15" customHeight="1" spans="1:122">
      <c r="A108" t="s">
        <v>603</v>
      </c>
      <c r="B108" t="s">
        <v>1121</v>
      </c>
      <c r="C108" t="s">
        <v>532</v>
      </c>
      <c r="D108" t="s">
        <v>984</v>
      </c>
      <c r="E108" t="s">
        <v>534</v>
      </c>
      <c r="F108" t="s">
        <v>534</v>
      </c>
      <c r="G108" t="s">
        <v>535</v>
      </c>
      <c r="H108" s="1">
        <v>10000</v>
      </c>
      <c r="I108" s="1">
        <v>10000</v>
      </c>
      <c r="J108" t="s">
        <v>536</v>
      </c>
      <c r="L108" t="s">
        <v>536</v>
      </c>
      <c r="M108" t="s">
        <v>378</v>
      </c>
      <c r="N108" t="s">
        <v>537</v>
      </c>
      <c r="P108" s="1">
        <v>10000</v>
      </c>
      <c r="Q108" t="s">
        <v>905</v>
      </c>
      <c r="R108" t="s">
        <v>535</v>
      </c>
      <c r="S108" t="s">
        <v>539</v>
      </c>
      <c r="T108" s="2">
        <v>1</v>
      </c>
      <c r="U108" s="1">
        <v>10000</v>
      </c>
      <c r="V108" s="1">
        <v>10000</v>
      </c>
      <c r="X108" t="s">
        <v>616</v>
      </c>
      <c r="Z108" t="s">
        <v>541</v>
      </c>
      <c r="AA108" t="s">
        <v>542</v>
      </c>
      <c r="AB108" t="s">
        <v>543</v>
      </c>
      <c r="AC108" t="s">
        <v>608</v>
      </c>
      <c r="AE108" s="3">
        <v>1</v>
      </c>
      <c r="AG108" s="1">
        <v>10000</v>
      </c>
      <c r="AI108" s="1">
        <v>10000</v>
      </c>
      <c r="AJ108" s="1">
        <v>10000</v>
      </c>
      <c r="AM108" s="1">
        <v>10000</v>
      </c>
      <c r="AN108" t="s">
        <v>536</v>
      </c>
      <c r="AO108" t="s">
        <v>546</v>
      </c>
      <c r="AP108" t="s">
        <v>547</v>
      </c>
      <c r="AQ108" t="s">
        <v>548</v>
      </c>
      <c r="AS108" t="s">
        <v>378</v>
      </c>
      <c r="AX108" s="1">
        <v>10000</v>
      </c>
      <c r="AY108" t="s">
        <v>546</v>
      </c>
      <c r="AZ108" t="s">
        <v>549</v>
      </c>
      <c r="BA108" s="1">
        <v>10000</v>
      </c>
      <c r="BC108" t="s">
        <v>546</v>
      </c>
      <c r="BE108" t="s">
        <v>616</v>
      </c>
      <c r="BH108" s="1">
        <v>10000</v>
      </c>
      <c r="BI108" t="s">
        <v>550</v>
      </c>
      <c r="BJ108" t="s">
        <v>551</v>
      </c>
      <c r="BK108" t="s">
        <v>552</v>
      </c>
      <c r="BL108" t="s">
        <v>552</v>
      </c>
      <c r="BM108" t="s">
        <v>984</v>
      </c>
      <c r="BN108" t="s">
        <v>1122</v>
      </c>
      <c r="BO108" t="s">
        <v>1123</v>
      </c>
      <c r="BR108" t="s">
        <v>546</v>
      </c>
      <c r="BS108" s="1">
        <v>10000</v>
      </c>
      <c r="BW108" t="s">
        <v>536</v>
      </c>
      <c r="BZ108" t="s">
        <v>535</v>
      </c>
      <c r="CA108" t="s">
        <v>546</v>
      </c>
      <c r="CB108" t="s">
        <v>984</v>
      </c>
      <c r="CC108" t="s">
        <v>556</v>
      </c>
      <c r="CH108" t="s">
        <v>546</v>
      </c>
      <c r="CK108" t="s">
        <v>1124</v>
      </c>
      <c r="CN108" t="s">
        <v>535</v>
      </c>
      <c r="CO108" t="s">
        <v>539</v>
      </c>
      <c r="CT108" t="s">
        <v>1125</v>
      </c>
      <c r="CW108" t="s">
        <v>546</v>
      </c>
      <c r="DD108" t="s">
        <v>561</v>
      </c>
    </row>
    <row r="109" ht="15" customHeight="1" spans="1:122">
      <c r="A109" t="s">
        <v>530</v>
      </c>
      <c r="B109" t="s">
        <v>1126</v>
      </c>
      <c r="C109" t="s">
        <v>532</v>
      </c>
      <c r="D109" t="s">
        <v>831</v>
      </c>
      <c r="E109" t="s">
        <v>534</v>
      </c>
      <c r="F109" t="s">
        <v>534</v>
      </c>
      <c r="G109" t="s">
        <v>535</v>
      </c>
      <c r="H109" s="1">
        <v>3439</v>
      </c>
      <c r="I109" s="1">
        <v>3439</v>
      </c>
      <c r="J109" t="s">
        <v>536</v>
      </c>
      <c r="L109" t="s">
        <v>536</v>
      </c>
      <c r="M109" t="s">
        <v>380</v>
      </c>
      <c r="N109" t="s">
        <v>537</v>
      </c>
      <c r="P109" s="1">
        <v>3439</v>
      </c>
      <c r="Q109" t="s">
        <v>970</v>
      </c>
      <c r="R109" t="s">
        <v>535</v>
      </c>
      <c r="S109" t="s">
        <v>539</v>
      </c>
      <c r="T109" s="2">
        <v>1</v>
      </c>
      <c r="U109" s="1">
        <v>3439</v>
      </c>
      <c r="V109" s="1">
        <v>3439</v>
      </c>
      <c r="X109" t="s">
        <v>540</v>
      </c>
      <c r="Z109" t="s">
        <v>541</v>
      </c>
      <c r="AA109" t="s">
        <v>542</v>
      </c>
      <c r="AB109" t="s">
        <v>543</v>
      </c>
      <c r="AC109" t="s">
        <v>544</v>
      </c>
      <c r="AD109" t="s">
        <v>545</v>
      </c>
      <c r="AE109" s="3">
        <v>1</v>
      </c>
      <c r="AF109" t="s">
        <v>51</v>
      </c>
      <c r="AG109" s="1">
        <v>3439</v>
      </c>
      <c r="AI109" s="1">
        <v>3439</v>
      </c>
      <c r="AJ109" s="1">
        <v>3439</v>
      </c>
      <c r="AM109" s="1">
        <v>3439</v>
      </c>
      <c r="AN109" t="s">
        <v>643</v>
      </c>
      <c r="AO109" t="s">
        <v>546</v>
      </c>
      <c r="AP109" t="s">
        <v>643</v>
      </c>
      <c r="AQ109" t="s">
        <v>548</v>
      </c>
      <c r="AS109" t="s">
        <v>380</v>
      </c>
      <c r="AX109" s="1">
        <v>3439</v>
      </c>
      <c r="AY109" t="s">
        <v>546</v>
      </c>
      <c r="AZ109" t="s">
        <v>644</v>
      </c>
      <c r="BA109" s="1">
        <v>3439</v>
      </c>
      <c r="BC109" t="s">
        <v>546</v>
      </c>
      <c r="BD109" s="1">
        <v>3439</v>
      </c>
      <c r="BE109" t="s">
        <v>540</v>
      </c>
      <c r="BF109" s="1">
        <v>3439</v>
      </c>
      <c r="BH109" s="1">
        <v>3439</v>
      </c>
      <c r="BI109" t="s">
        <v>550</v>
      </c>
      <c r="BJ109" t="s">
        <v>551</v>
      </c>
      <c r="BK109" t="s">
        <v>552</v>
      </c>
      <c r="BL109" t="s">
        <v>552</v>
      </c>
      <c r="BM109" t="s">
        <v>984</v>
      </c>
      <c r="BN109" t="s">
        <v>1127</v>
      </c>
      <c r="BO109" t="s">
        <v>1128</v>
      </c>
      <c r="BR109" t="s">
        <v>546</v>
      </c>
      <c r="BS109" s="1">
        <v>3439</v>
      </c>
      <c r="BW109" t="s">
        <v>536</v>
      </c>
      <c r="BX109" s="1">
        <v>3439</v>
      </c>
      <c r="BZ109" t="s">
        <v>535</v>
      </c>
      <c r="CA109" t="s">
        <v>546</v>
      </c>
      <c r="CB109" t="s">
        <v>831</v>
      </c>
      <c r="CC109" t="s">
        <v>556</v>
      </c>
      <c r="CD109" t="s">
        <v>622</v>
      </c>
      <c r="CE109" t="s">
        <v>623</v>
      </c>
      <c r="CF109" t="s">
        <v>51</v>
      </c>
      <c r="CG109" s="4">
        <v>1</v>
      </c>
      <c r="CH109" t="s">
        <v>546</v>
      </c>
      <c r="CK109" t="s">
        <v>1129</v>
      </c>
      <c r="CL109" s="1">
        <v>3439</v>
      </c>
      <c r="CN109" t="s">
        <v>535</v>
      </c>
      <c r="CO109" t="s">
        <v>539</v>
      </c>
      <c r="CT109" t="s">
        <v>576</v>
      </c>
      <c r="CW109" t="s">
        <v>546</v>
      </c>
      <c r="DD109" t="s">
        <v>561</v>
      </c>
      <c r="DK109" t="s">
        <v>1130</v>
      </c>
      <c r="DL109" t="s">
        <v>1131</v>
      </c>
      <c r="DR109" t="s">
        <v>1132</v>
      </c>
    </row>
    <row r="110" ht="15" customHeight="1" spans="1:122">
      <c r="A110" t="s">
        <v>530</v>
      </c>
      <c r="B110" t="s">
        <v>1133</v>
      </c>
      <c r="C110" t="s">
        <v>532</v>
      </c>
      <c r="D110" t="s">
        <v>533</v>
      </c>
      <c r="E110" t="s">
        <v>534</v>
      </c>
      <c r="F110" t="s">
        <v>534</v>
      </c>
      <c r="G110" t="s">
        <v>535</v>
      </c>
      <c r="H110" s="1">
        <v>2991.2</v>
      </c>
      <c r="I110" s="1">
        <v>2973.25</v>
      </c>
      <c r="J110" t="s">
        <v>536</v>
      </c>
      <c r="L110" t="s">
        <v>536</v>
      </c>
      <c r="M110" t="s">
        <v>375</v>
      </c>
      <c r="N110" t="s">
        <v>537</v>
      </c>
      <c r="P110" s="1">
        <v>2991.2</v>
      </c>
      <c r="Q110" t="s">
        <v>580</v>
      </c>
      <c r="R110" t="s">
        <v>535</v>
      </c>
      <c r="S110" t="s">
        <v>539</v>
      </c>
      <c r="T110" s="2">
        <v>1</v>
      </c>
      <c r="U110" s="1">
        <v>2991.2</v>
      </c>
      <c r="V110" s="1">
        <v>2973.25</v>
      </c>
      <c r="X110" t="s">
        <v>540</v>
      </c>
      <c r="Z110" t="s">
        <v>541</v>
      </c>
      <c r="AA110" t="s">
        <v>542</v>
      </c>
      <c r="AB110" t="s">
        <v>543</v>
      </c>
      <c r="AC110" t="s">
        <v>544</v>
      </c>
      <c r="AD110" t="s">
        <v>545</v>
      </c>
      <c r="AE110" s="3">
        <v>1</v>
      </c>
      <c r="AF110" t="s">
        <v>71</v>
      </c>
      <c r="AG110" s="1">
        <v>2991.2</v>
      </c>
      <c r="AI110" s="1">
        <v>2991.2</v>
      </c>
      <c r="AJ110" s="1">
        <v>2991.2</v>
      </c>
      <c r="AK110" s="1">
        <v>17.95</v>
      </c>
      <c r="AM110" s="1">
        <v>2973.25</v>
      </c>
      <c r="AN110" t="s">
        <v>536</v>
      </c>
      <c r="AO110" t="s">
        <v>546</v>
      </c>
      <c r="AP110" t="s">
        <v>547</v>
      </c>
      <c r="AQ110" t="s">
        <v>548</v>
      </c>
      <c r="AS110" t="s">
        <v>375</v>
      </c>
      <c r="AX110" s="1">
        <v>2991.2</v>
      </c>
      <c r="AY110" t="s">
        <v>546</v>
      </c>
      <c r="AZ110" t="s">
        <v>549</v>
      </c>
      <c r="BA110" s="1">
        <v>2991.2</v>
      </c>
      <c r="BC110" t="s">
        <v>546</v>
      </c>
      <c r="BD110" s="1">
        <v>2991.2</v>
      </c>
      <c r="BE110" t="s">
        <v>540</v>
      </c>
      <c r="BF110" s="1">
        <v>2991.2</v>
      </c>
      <c r="BG110" s="1">
        <v>17.95</v>
      </c>
      <c r="BH110" s="1">
        <v>2973.25</v>
      </c>
      <c r="BI110" t="s">
        <v>550</v>
      </c>
      <c r="BJ110" t="s">
        <v>570</v>
      </c>
      <c r="BK110" t="s">
        <v>552</v>
      </c>
      <c r="BL110" t="s">
        <v>552</v>
      </c>
      <c r="BM110" t="s">
        <v>984</v>
      </c>
      <c r="BN110" t="s">
        <v>1134</v>
      </c>
      <c r="BO110" t="s">
        <v>1135</v>
      </c>
      <c r="BR110" t="s">
        <v>546</v>
      </c>
      <c r="BS110" s="1">
        <v>2991.2</v>
      </c>
      <c r="BW110" t="s">
        <v>536</v>
      </c>
      <c r="BX110" s="1">
        <v>2991.2</v>
      </c>
      <c r="BZ110" t="s">
        <v>535</v>
      </c>
      <c r="CA110" t="s">
        <v>546</v>
      </c>
      <c r="CB110" t="s">
        <v>533</v>
      </c>
      <c r="CC110" t="s">
        <v>556</v>
      </c>
      <c r="CD110" t="s">
        <v>622</v>
      </c>
      <c r="CE110" t="s">
        <v>623</v>
      </c>
      <c r="CF110" t="s">
        <v>71</v>
      </c>
      <c r="CG110" s="4">
        <v>1</v>
      </c>
      <c r="CH110" t="s">
        <v>546</v>
      </c>
      <c r="CK110" t="s">
        <v>1136</v>
      </c>
      <c r="CL110" s="1">
        <v>2991.2</v>
      </c>
      <c r="CN110" t="s">
        <v>535</v>
      </c>
      <c r="CO110" t="s">
        <v>539</v>
      </c>
      <c r="CT110" t="s">
        <v>576</v>
      </c>
      <c r="CW110" t="s">
        <v>546</v>
      </c>
      <c r="DD110" t="s">
        <v>561</v>
      </c>
      <c r="DK110" t="s">
        <v>1137</v>
      </c>
      <c r="DL110" t="s">
        <v>1138</v>
      </c>
    </row>
    <row r="111" ht="15" customHeight="1" spans="1:122">
      <c r="A111" t="s">
        <v>530</v>
      </c>
      <c r="B111" t="s">
        <v>1139</v>
      </c>
      <c r="C111" t="s">
        <v>532</v>
      </c>
      <c r="D111" t="s">
        <v>533</v>
      </c>
      <c r="E111" t="s">
        <v>534</v>
      </c>
      <c r="F111" t="s">
        <v>534</v>
      </c>
      <c r="G111" t="s">
        <v>535</v>
      </c>
      <c r="H111" s="1">
        <v>2911.2</v>
      </c>
      <c r="I111" s="1">
        <v>2893.73</v>
      </c>
      <c r="J111" t="s">
        <v>536</v>
      </c>
      <c r="L111" t="s">
        <v>536</v>
      </c>
      <c r="M111" t="s">
        <v>375</v>
      </c>
      <c r="N111" t="s">
        <v>537</v>
      </c>
      <c r="P111" s="1">
        <v>2911.2</v>
      </c>
      <c r="Q111" t="s">
        <v>580</v>
      </c>
      <c r="R111" t="s">
        <v>535</v>
      </c>
      <c r="S111" t="s">
        <v>539</v>
      </c>
      <c r="T111" s="2">
        <v>1</v>
      </c>
      <c r="U111" s="1">
        <v>2911.2</v>
      </c>
      <c r="V111" s="1">
        <v>2893.73</v>
      </c>
      <c r="X111" t="s">
        <v>540</v>
      </c>
      <c r="Z111" t="s">
        <v>541</v>
      </c>
      <c r="AA111" t="s">
        <v>542</v>
      </c>
      <c r="AB111" t="s">
        <v>543</v>
      </c>
      <c r="AC111" t="s">
        <v>544</v>
      </c>
      <c r="AD111" t="s">
        <v>545</v>
      </c>
      <c r="AE111" s="3">
        <v>1</v>
      </c>
      <c r="AF111" t="s">
        <v>40</v>
      </c>
      <c r="AG111" s="1">
        <v>2911.2</v>
      </c>
      <c r="AI111" s="1">
        <v>2911.2</v>
      </c>
      <c r="AJ111" s="1">
        <v>2911.2</v>
      </c>
      <c r="AK111" s="1">
        <v>17.47</v>
      </c>
      <c r="AM111" s="1">
        <v>2893.73</v>
      </c>
      <c r="AN111" t="s">
        <v>536</v>
      </c>
      <c r="AO111" t="s">
        <v>546</v>
      </c>
      <c r="AP111" t="s">
        <v>547</v>
      </c>
      <c r="AQ111" t="s">
        <v>548</v>
      </c>
      <c r="AS111" t="s">
        <v>375</v>
      </c>
      <c r="AX111" s="1">
        <v>2911.2</v>
      </c>
      <c r="AY111" t="s">
        <v>546</v>
      </c>
      <c r="AZ111" t="s">
        <v>549</v>
      </c>
      <c r="BA111" s="1">
        <v>2911.2</v>
      </c>
      <c r="BC111" t="s">
        <v>546</v>
      </c>
      <c r="BD111" s="1">
        <v>2911.2</v>
      </c>
      <c r="BE111" t="s">
        <v>540</v>
      </c>
      <c r="BF111" s="1">
        <v>2911.2</v>
      </c>
      <c r="BG111" s="1">
        <v>17.47</v>
      </c>
      <c r="BH111" s="1">
        <v>2893.73</v>
      </c>
      <c r="BI111" t="s">
        <v>550</v>
      </c>
      <c r="BJ111" t="s">
        <v>551</v>
      </c>
      <c r="BK111" t="s">
        <v>552</v>
      </c>
      <c r="BL111" t="s">
        <v>552</v>
      </c>
      <c r="BM111" t="s">
        <v>984</v>
      </c>
      <c r="BN111" t="s">
        <v>1140</v>
      </c>
      <c r="BO111" t="s">
        <v>1141</v>
      </c>
      <c r="BR111" t="s">
        <v>546</v>
      </c>
      <c r="BS111" s="1">
        <v>2911.2</v>
      </c>
      <c r="BW111" t="s">
        <v>536</v>
      </c>
      <c r="BX111" s="1">
        <v>2911.2</v>
      </c>
      <c r="BZ111" t="s">
        <v>535</v>
      </c>
      <c r="CA111" t="s">
        <v>546</v>
      </c>
      <c r="CB111" t="s">
        <v>533</v>
      </c>
      <c r="CC111" t="s">
        <v>556</v>
      </c>
      <c r="CD111" t="s">
        <v>622</v>
      </c>
      <c r="CE111" t="s">
        <v>623</v>
      </c>
      <c r="CF111" t="s">
        <v>40</v>
      </c>
      <c r="CG111" s="4">
        <v>1</v>
      </c>
      <c r="CH111" t="s">
        <v>546</v>
      </c>
      <c r="CK111" t="s">
        <v>1142</v>
      </c>
      <c r="CL111" s="1">
        <v>2911.2</v>
      </c>
      <c r="CN111" t="s">
        <v>535</v>
      </c>
      <c r="CO111" t="s">
        <v>539</v>
      </c>
      <c r="CT111" t="s">
        <v>576</v>
      </c>
      <c r="CW111" t="s">
        <v>546</v>
      </c>
      <c r="DD111" t="s">
        <v>561</v>
      </c>
      <c r="DK111" t="s">
        <v>732</v>
      </c>
      <c r="DL111" t="s">
        <v>733</v>
      </c>
    </row>
    <row r="112" ht="15" customHeight="1" spans="1:122">
      <c r="A112" t="s">
        <v>530</v>
      </c>
      <c r="B112" t="s">
        <v>1143</v>
      </c>
      <c r="C112" t="s">
        <v>532</v>
      </c>
      <c r="D112" t="s">
        <v>533</v>
      </c>
      <c r="E112" t="s">
        <v>534</v>
      </c>
      <c r="F112" t="s">
        <v>534</v>
      </c>
      <c r="G112" t="s">
        <v>535</v>
      </c>
      <c r="H112" s="1">
        <v>727.8</v>
      </c>
      <c r="I112" s="1">
        <v>727.8</v>
      </c>
      <c r="J112" t="s">
        <v>536</v>
      </c>
      <c r="L112" t="s">
        <v>536</v>
      </c>
      <c r="M112" t="s">
        <v>375</v>
      </c>
      <c r="N112" t="s">
        <v>537</v>
      </c>
      <c r="P112" s="1">
        <v>727.8</v>
      </c>
      <c r="Q112" t="s">
        <v>580</v>
      </c>
      <c r="R112" t="s">
        <v>535</v>
      </c>
      <c r="S112" t="s">
        <v>539</v>
      </c>
      <c r="T112" s="2">
        <v>1</v>
      </c>
      <c r="U112" s="1">
        <v>727.8</v>
      </c>
      <c r="V112" s="1">
        <v>727.8</v>
      </c>
      <c r="X112" t="s">
        <v>540</v>
      </c>
      <c r="Z112" t="s">
        <v>541</v>
      </c>
      <c r="AA112" t="s">
        <v>542</v>
      </c>
      <c r="AB112" t="s">
        <v>543</v>
      </c>
      <c r="AC112" t="s">
        <v>544</v>
      </c>
      <c r="AD112" t="s">
        <v>545</v>
      </c>
      <c r="AE112" s="3">
        <v>1</v>
      </c>
      <c r="AF112" t="s">
        <v>40</v>
      </c>
      <c r="AG112" s="1">
        <v>727.8</v>
      </c>
      <c r="AI112" s="1">
        <v>727.8</v>
      </c>
      <c r="AJ112" s="1">
        <v>727.8</v>
      </c>
      <c r="AM112" s="1">
        <v>727.8</v>
      </c>
      <c r="AN112" t="s">
        <v>565</v>
      </c>
      <c r="AO112" t="s">
        <v>546</v>
      </c>
      <c r="AP112" t="s">
        <v>565</v>
      </c>
      <c r="AQ112" t="s">
        <v>548</v>
      </c>
      <c r="AS112" t="s">
        <v>375</v>
      </c>
      <c r="AX112" s="1">
        <v>727.8</v>
      </c>
      <c r="AY112" t="s">
        <v>546</v>
      </c>
      <c r="AZ112" t="s">
        <v>566</v>
      </c>
      <c r="BA112" s="1">
        <v>727.8</v>
      </c>
      <c r="BC112" t="s">
        <v>546</v>
      </c>
      <c r="BD112" s="1">
        <v>727.8</v>
      </c>
      <c r="BE112" t="s">
        <v>540</v>
      </c>
      <c r="BF112" s="1">
        <v>727.8</v>
      </c>
      <c r="BH112" s="1">
        <v>727.8</v>
      </c>
      <c r="BI112" t="s">
        <v>550</v>
      </c>
      <c r="BJ112" t="s">
        <v>551</v>
      </c>
      <c r="BK112" t="s">
        <v>551</v>
      </c>
      <c r="BL112" t="s">
        <v>552</v>
      </c>
      <c r="BM112" t="s">
        <v>984</v>
      </c>
      <c r="BN112" t="s">
        <v>1144</v>
      </c>
      <c r="BO112" t="s">
        <v>1145</v>
      </c>
      <c r="BR112" t="s">
        <v>546</v>
      </c>
      <c r="BS112" s="1">
        <v>727.8</v>
      </c>
      <c r="BW112" t="s">
        <v>536</v>
      </c>
      <c r="BX112" s="1">
        <v>727.8</v>
      </c>
      <c r="BZ112" t="s">
        <v>535</v>
      </c>
      <c r="CA112" t="s">
        <v>546</v>
      </c>
      <c r="CB112" t="s">
        <v>533</v>
      </c>
      <c r="CC112" t="s">
        <v>556</v>
      </c>
      <c r="CD112" t="s">
        <v>622</v>
      </c>
      <c r="CE112" t="s">
        <v>623</v>
      </c>
      <c r="CF112" t="s">
        <v>40</v>
      </c>
      <c r="CG112" s="4">
        <v>1</v>
      </c>
      <c r="CH112" t="s">
        <v>546</v>
      </c>
      <c r="CK112" t="s">
        <v>1142</v>
      </c>
      <c r="CL112" s="1">
        <v>727.8</v>
      </c>
      <c r="CN112" t="s">
        <v>535</v>
      </c>
      <c r="CO112" t="s">
        <v>539</v>
      </c>
      <c r="CT112" t="s">
        <v>576</v>
      </c>
      <c r="CW112" t="s">
        <v>546</v>
      </c>
      <c r="DD112" t="s">
        <v>561</v>
      </c>
      <c r="DK112" t="s">
        <v>732</v>
      </c>
      <c r="DL112" t="s">
        <v>733</v>
      </c>
    </row>
    <row r="113" ht="15" customHeight="1" spans="1:122">
      <c r="A113" t="s">
        <v>530</v>
      </c>
      <c r="B113" t="s">
        <v>1146</v>
      </c>
      <c r="C113" t="s">
        <v>532</v>
      </c>
      <c r="D113" t="s">
        <v>533</v>
      </c>
      <c r="E113" t="s">
        <v>534</v>
      </c>
      <c r="F113" t="s">
        <v>534</v>
      </c>
      <c r="G113" t="s">
        <v>535</v>
      </c>
      <c r="H113" s="1">
        <v>747.8</v>
      </c>
      <c r="I113" s="1">
        <v>747.8</v>
      </c>
      <c r="J113" t="s">
        <v>536</v>
      </c>
      <c r="L113" t="s">
        <v>536</v>
      </c>
      <c r="M113" t="s">
        <v>375</v>
      </c>
      <c r="N113" t="s">
        <v>537</v>
      </c>
      <c r="P113" s="1">
        <v>747.8</v>
      </c>
      <c r="Q113" t="s">
        <v>580</v>
      </c>
      <c r="R113" t="s">
        <v>535</v>
      </c>
      <c r="S113" t="s">
        <v>539</v>
      </c>
      <c r="T113" s="2">
        <v>1</v>
      </c>
      <c r="U113" s="1">
        <v>747.8</v>
      </c>
      <c r="V113" s="1">
        <v>747.8</v>
      </c>
      <c r="X113" t="s">
        <v>540</v>
      </c>
      <c r="Z113" t="s">
        <v>541</v>
      </c>
      <c r="AA113" t="s">
        <v>542</v>
      </c>
      <c r="AB113" t="s">
        <v>543</v>
      </c>
      <c r="AC113" t="s">
        <v>544</v>
      </c>
      <c r="AD113" t="s">
        <v>545</v>
      </c>
      <c r="AE113" s="3">
        <v>1</v>
      </c>
      <c r="AF113" t="s">
        <v>71</v>
      </c>
      <c r="AG113" s="1">
        <v>747.8</v>
      </c>
      <c r="AI113" s="1">
        <v>747.8</v>
      </c>
      <c r="AJ113" s="1">
        <v>747.8</v>
      </c>
      <c r="AM113" s="1">
        <v>747.8</v>
      </c>
      <c r="AN113" t="s">
        <v>565</v>
      </c>
      <c r="AO113" t="s">
        <v>546</v>
      </c>
      <c r="AP113" t="s">
        <v>565</v>
      </c>
      <c r="AQ113" t="s">
        <v>548</v>
      </c>
      <c r="AS113" t="s">
        <v>375</v>
      </c>
      <c r="AX113" s="1">
        <v>747.8</v>
      </c>
      <c r="AY113" t="s">
        <v>546</v>
      </c>
      <c r="AZ113" t="s">
        <v>566</v>
      </c>
      <c r="BA113" s="1">
        <v>747.8</v>
      </c>
      <c r="BC113" t="s">
        <v>546</v>
      </c>
      <c r="BD113" s="1">
        <v>747.8</v>
      </c>
      <c r="BE113" t="s">
        <v>540</v>
      </c>
      <c r="BF113" s="1">
        <v>747.8</v>
      </c>
      <c r="BH113" s="1">
        <v>747.8</v>
      </c>
      <c r="BI113" t="s">
        <v>550</v>
      </c>
      <c r="BJ113" t="s">
        <v>570</v>
      </c>
      <c r="BK113" t="s">
        <v>570</v>
      </c>
      <c r="BL113" t="s">
        <v>552</v>
      </c>
      <c r="BM113" t="s">
        <v>984</v>
      </c>
      <c r="BN113" t="s">
        <v>1147</v>
      </c>
      <c r="BO113" t="s">
        <v>1148</v>
      </c>
      <c r="BR113" t="s">
        <v>546</v>
      </c>
      <c r="BS113" s="1">
        <v>747.8</v>
      </c>
      <c r="BW113" t="s">
        <v>536</v>
      </c>
      <c r="BX113" s="1">
        <v>747.8</v>
      </c>
      <c r="BZ113" t="s">
        <v>535</v>
      </c>
      <c r="CA113" t="s">
        <v>546</v>
      </c>
      <c r="CB113" t="s">
        <v>533</v>
      </c>
      <c r="CC113" t="s">
        <v>556</v>
      </c>
      <c r="CD113" t="s">
        <v>622</v>
      </c>
      <c r="CE113" t="s">
        <v>623</v>
      </c>
      <c r="CF113" t="s">
        <v>71</v>
      </c>
      <c r="CG113" s="4">
        <v>1</v>
      </c>
      <c r="CH113" t="s">
        <v>546</v>
      </c>
      <c r="CK113" t="s">
        <v>1136</v>
      </c>
      <c r="CL113" s="1">
        <v>747.8</v>
      </c>
      <c r="CN113" t="s">
        <v>535</v>
      </c>
      <c r="CO113" t="s">
        <v>539</v>
      </c>
      <c r="CT113" t="s">
        <v>576</v>
      </c>
      <c r="CW113" t="s">
        <v>546</v>
      </c>
      <c r="DD113" t="s">
        <v>561</v>
      </c>
      <c r="DK113" t="s">
        <v>1137</v>
      </c>
      <c r="DL113" t="s">
        <v>1138</v>
      </c>
    </row>
    <row r="114" ht="15" customHeight="1" spans="1:122">
      <c r="A114" t="s">
        <v>530</v>
      </c>
      <c r="B114" t="s">
        <v>1149</v>
      </c>
      <c r="C114" t="s">
        <v>532</v>
      </c>
      <c r="D114" t="s">
        <v>533</v>
      </c>
      <c r="E114" t="s">
        <v>534</v>
      </c>
      <c r="F114" t="s">
        <v>534</v>
      </c>
      <c r="G114" t="s">
        <v>535</v>
      </c>
      <c r="H114" s="1">
        <v>1600</v>
      </c>
      <c r="I114" s="1">
        <v>1590.4</v>
      </c>
      <c r="J114" t="s">
        <v>536</v>
      </c>
      <c r="L114" t="s">
        <v>536</v>
      </c>
      <c r="M114" t="s">
        <v>375</v>
      </c>
      <c r="N114" t="s">
        <v>537</v>
      </c>
      <c r="P114" s="1">
        <v>1600</v>
      </c>
      <c r="Q114" t="s">
        <v>580</v>
      </c>
      <c r="R114" t="s">
        <v>535</v>
      </c>
      <c r="S114" t="s">
        <v>539</v>
      </c>
      <c r="T114" s="2">
        <v>1</v>
      </c>
      <c r="U114" s="1">
        <v>1600</v>
      </c>
      <c r="V114" s="1">
        <v>1590.4</v>
      </c>
      <c r="X114" t="s">
        <v>540</v>
      </c>
      <c r="Z114" t="s">
        <v>541</v>
      </c>
      <c r="AA114" t="s">
        <v>542</v>
      </c>
      <c r="AB114" t="s">
        <v>543</v>
      </c>
      <c r="AC114" t="s">
        <v>544</v>
      </c>
      <c r="AD114" t="s">
        <v>545</v>
      </c>
      <c r="AE114" s="3">
        <v>1</v>
      </c>
      <c r="AF114" t="s">
        <v>67</v>
      </c>
      <c r="AG114" s="1">
        <v>1600</v>
      </c>
      <c r="AI114" s="1">
        <v>1600</v>
      </c>
      <c r="AJ114" s="1">
        <v>1600</v>
      </c>
      <c r="AK114" s="1">
        <v>9.6</v>
      </c>
      <c r="AM114" s="1">
        <v>1590.4</v>
      </c>
      <c r="AN114" t="s">
        <v>536</v>
      </c>
      <c r="AO114" t="s">
        <v>546</v>
      </c>
      <c r="AP114" t="s">
        <v>547</v>
      </c>
      <c r="AQ114" t="s">
        <v>548</v>
      </c>
      <c r="AS114" t="s">
        <v>375</v>
      </c>
      <c r="AX114" s="1">
        <v>1600</v>
      </c>
      <c r="AY114" t="s">
        <v>546</v>
      </c>
      <c r="AZ114" t="s">
        <v>549</v>
      </c>
      <c r="BA114" s="1">
        <v>1600</v>
      </c>
      <c r="BC114" t="s">
        <v>546</v>
      </c>
      <c r="BD114" s="1">
        <v>1600</v>
      </c>
      <c r="BE114" t="s">
        <v>540</v>
      </c>
      <c r="BF114" s="1">
        <v>1600</v>
      </c>
      <c r="BG114" s="1">
        <v>9.6</v>
      </c>
      <c r="BH114" s="1">
        <v>1590.4</v>
      </c>
      <c r="BI114" t="s">
        <v>550</v>
      </c>
      <c r="BJ114" t="s">
        <v>570</v>
      </c>
      <c r="BK114" t="s">
        <v>552</v>
      </c>
      <c r="BL114" t="s">
        <v>552</v>
      </c>
      <c r="BM114" t="s">
        <v>984</v>
      </c>
      <c r="BN114" t="s">
        <v>1150</v>
      </c>
      <c r="BO114" t="s">
        <v>1151</v>
      </c>
      <c r="BR114" t="s">
        <v>546</v>
      </c>
      <c r="BS114" s="1">
        <v>1600</v>
      </c>
      <c r="BW114" t="s">
        <v>536</v>
      </c>
      <c r="BX114" s="1">
        <v>1600</v>
      </c>
      <c r="BZ114" t="s">
        <v>535</v>
      </c>
      <c r="CA114" t="s">
        <v>546</v>
      </c>
      <c r="CB114" t="s">
        <v>533</v>
      </c>
      <c r="CC114" t="s">
        <v>556</v>
      </c>
      <c r="CD114" t="s">
        <v>1079</v>
      </c>
      <c r="CE114" t="s">
        <v>1080</v>
      </c>
      <c r="CF114" t="s">
        <v>67</v>
      </c>
      <c r="CG114" s="4">
        <v>1</v>
      </c>
      <c r="CH114" t="s">
        <v>546</v>
      </c>
      <c r="CK114" t="s">
        <v>1152</v>
      </c>
      <c r="CL114" s="1">
        <v>1600</v>
      </c>
      <c r="CN114" t="s">
        <v>535</v>
      </c>
      <c r="CO114" t="s">
        <v>539</v>
      </c>
      <c r="CT114" t="s">
        <v>576</v>
      </c>
      <c r="CW114" t="s">
        <v>546</v>
      </c>
      <c r="DD114" t="s">
        <v>561</v>
      </c>
      <c r="DK114" t="s">
        <v>1153</v>
      </c>
      <c r="DL114" t="s">
        <v>1154</v>
      </c>
    </row>
    <row r="115" ht="15" customHeight="1" spans="1:122">
      <c r="A115" t="s">
        <v>530</v>
      </c>
      <c r="B115" t="s">
        <v>1155</v>
      </c>
      <c r="C115" t="s">
        <v>532</v>
      </c>
      <c r="D115" t="s">
        <v>533</v>
      </c>
      <c r="E115" t="s">
        <v>534</v>
      </c>
      <c r="F115" t="s">
        <v>534</v>
      </c>
      <c r="G115" t="s">
        <v>535</v>
      </c>
      <c r="H115" s="1">
        <v>400</v>
      </c>
      <c r="I115" s="1">
        <v>400</v>
      </c>
      <c r="J115" t="s">
        <v>536</v>
      </c>
      <c r="L115" t="s">
        <v>536</v>
      </c>
      <c r="M115" t="s">
        <v>375</v>
      </c>
      <c r="N115" t="s">
        <v>537</v>
      </c>
      <c r="P115" s="1">
        <v>400</v>
      </c>
      <c r="Q115" t="s">
        <v>580</v>
      </c>
      <c r="R115" t="s">
        <v>535</v>
      </c>
      <c r="S115" t="s">
        <v>539</v>
      </c>
      <c r="T115" s="2">
        <v>1</v>
      </c>
      <c r="U115" s="1">
        <v>400</v>
      </c>
      <c r="V115" s="1">
        <v>400</v>
      </c>
      <c r="X115" t="s">
        <v>540</v>
      </c>
      <c r="Z115" t="s">
        <v>541</v>
      </c>
      <c r="AA115" t="s">
        <v>542</v>
      </c>
      <c r="AB115" t="s">
        <v>543</v>
      </c>
      <c r="AC115" t="s">
        <v>544</v>
      </c>
      <c r="AD115" t="s">
        <v>545</v>
      </c>
      <c r="AE115" s="3">
        <v>1</v>
      </c>
      <c r="AF115" t="s">
        <v>67</v>
      </c>
      <c r="AG115" s="1">
        <v>400</v>
      </c>
      <c r="AI115" s="1">
        <v>400</v>
      </c>
      <c r="AJ115" s="1">
        <v>400</v>
      </c>
      <c r="AM115" s="1">
        <v>400</v>
      </c>
      <c r="AN115" t="s">
        <v>565</v>
      </c>
      <c r="AO115" t="s">
        <v>546</v>
      </c>
      <c r="AP115" t="s">
        <v>565</v>
      </c>
      <c r="AQ115" t="s">
        <v>548</v>
      </c>
      <c r="AS115" t="s">
        <v>375</v>
      </c>
      <c r="AX115" s="1">
        <v>400</v>
      </c>
      <c r="AY115" t="s">
        <v>546</v>
      </c>
      <c r="AZ115" t="s">
        <v>566</v>
      </c>
      <c r="BA115" s="1">
        <v>400</v>
      </c>
      <c r="BC115" t="s">
        <v>546</v>
      </c>
      <c r="BD115" s="1">
        <v>400</v>
      </c>
      <c r="BE115" t="s">
        <v>540</v>
      </c>
      <c r="BF115" s="1">
        <v>400</v>
      </c>
      <c r="BH115" s="1">
        <v>400</v>
      </c>
      <c r="BI115" t="s">
        <v>550</v>
      </c>
      <c r="BJ115" t="s">
        <v>570</v>
      </c>
      <c r="BK115" t="s">
        <v>552</v>
      </c>
      <c r="BL115" t="s">
        <v>552</v>
      </c>
      <c r="BM115" t="s">
        <v>984</v>
      </c>
      <c r="BN115" t="s">
        <v>1156</v>
      </c>
      <c r="BO115" t="s">
        <v>1157</v>
      </c>
      <c r="BR115" t="s">
        <v>546</v>
      </c>
      <c r="BS115" s="1">
        <v>400</v>
      </c>
      <c r="BW115" t="s">
        <v>536</v>
      </c>
      <c r="BX115" s="1">
        <v>400</v>
      </c>
      <c r="BZ115" t="s">
        <v>535</v>
      </c>
      <c r="CA115" t="s">
        <v>546</v>
      </c>
      <c r="CB115" t="s">
        <v>533</v>
      </c>
      <c r="CC115" t="s">
        <v>556</v>
      </c>
      <c r="CD115" t="s">
        <v>1079</v>
      </c>
      <c r="CE115" t="s">
        <v>1080</v>
      </c>
      <c r="CF115" t="s">
        <v>67</v>
      </c>
      <c r="CG115" s="4">
        <v>1</v>
      </c>
      <c r="CH115" t="s">
        <v>546</v>
      </c>
      <c r="CK115" t="s">
        <v>1152</v>
      </c>
      <c r="CL115" s="1">
        <v>400</v>
      </c>
      <c r="CN115" t="s">
        <v>535</v>
      </c>
      <c r="CO115" t="s">
        <v>539</v>
      </c>
      <c r="CT115" t="s">
        <v>576</v>
      </c>
      <c r="CW115" t="s">
        <v>546</v>
      </c>
      <c r="DD115" t="s">
        <v>561</v>
      </c>
      <c r="DK115" t="s">
        <v>1153</v>
      </c>
      <c r="DL115" t="s">
        <v>1154</v>
      </c>
    </row>
    <row r="116" ht="15" customHeight="1" spans="1:122">
      <c r="A116" t="s">
        <v>530</v>
      </c>
      <c r="B116" t="s">
        <v>1158</v>
      </c>
      <c r="C116" t="s">
        <v>532</v>
      </c>
      <c r="D116" t="s">
        <v>951</v>
      </c>
      <c r="E116" t="s">
        <v>534</v>
      </c>
      <c r="F116" t="s">
        <v>534</v>
      </c>
      <c r="G116" t="s">
        <v>535</v>
      </c>
      <c r="H116" s="1">
        <v>4124</v>
      </c>
      <c r="I116" s="1">
        <v>4124</v>
      </c>
      <c r="J116" t="s">
        <v>536</v>
      </c>
      <c r="L116" t="s">
        <v>536</v>
      </c>
      <c r="M116" t="s">
        <v>375</v>
      </c>
      <c r="N116" t="s">
        <v>537</v>
      </c>
      <c r="P116" s="1">
        <v>4124</v>
      </c>
      <c r="Q116" t="s">
        <v>580</v>
      </c>
      <c r="R116" t="s">
        <v>535</v>
      </c>
      <c r="S116" t="s">
        <v>539</v>
      </c>
      <c r="T116" s="2">
        <v>1</v>
      </c>
      <c r="U116" s="1">
        <v>4124</v>
      </c>
      <c r="V116" s="1">
        <v>4124</v>
      </c>
      <c r="X116" t="s">
        <v>540</v>
      </c>
      <c r="Z116" t="s">
        <v>541</v>
      </c>
      <c r="AA116" t="s">
        <v>542</v>
      </c>
      <c r="AB116" t="s">
        <v>934</v>
      </c>
      <c r="AC116" t="s">
        <v>544</v>
      </c>
      <c r="AD116" t="s">
        <v>545</v>
      </c>
      <c r="AE116" s="3">
        <v>1</v>
      </c>
      <c r="AF116" t="s">
        <v>65</v>
      </c>
      <c r="AG116" s="1">
        <v>4124</v>
      </c>
      <c r="AI116" s="1">
        <v>4124</v>
      </c>
      <c r="AJ116" s="1">
        <v>4124</v>
      </c>
      <c r="AM116" s="1">
        <v>4124</v>
      </c>
      <c r="AN116" t="s">
        <v>643</v>
      </c>
      <c r="AO116" t="s">
        <v>546</v>
      </c>
      <c r="AP116" t="s">
        <v>643</v>
      </c>
      <c r="AQ116" t="s">
        <v>548</v>
      </c>
      <c r="AS116" t="s">
        <v>375</v>
      </c>
      <c r="AX116" s="1">
        <v>4124</v>
      </c>
      <c r="AY116" t="s">
        <v>546</v>
      </c>
      <c r="AZ116" t="s">
        <v>644</v>
      </c>
      <c r="BA116" s="1">
        <v>4124</v>
      </c>
      <c r="BC116" t="s">
        <v>546</v>
      </c>
      <c r="BD116" s="1">
        <v>4124</v>
      </c>
      <c r="BE116" t="s">
        <v>540</v>
      </c>
      <c r="BF116" s="1">
        <v>4124</v>
      </c>
      <c r="BH116" s="1">
        <v>4124</v>
      </c>
      <c r="BI116" t="s">
        <v>550</v>
      </c>
      <c r="BJ116" t="s">
        <v>551</v>
      </c>
      <c r="BK116" t="s">
        <v>552</v>
      </c>
      <c r="BL116" t="s">
        <v>552</v>
      </c>
      <c r="BM116" t="s">
        <v>984</v>
      </c>
      <c r="BN116" t="s">
        <v>1159</v>
      </c>
      <c r="BO116" t="s">
        <v>1160</v>
      </c>
      <c r="BR116" t="s">
        <v>546</v>
      </c>
      <c r="BS116" s="1">
        <v>4124</v>
      </c>
      <c r="BW116" t="s">
        <v>536</v>
      </c>
      <c r="BX116" s="1">
        <v>4124</v>
      </c>
      <c r="BZ116" t="s">
        <v>535</v>
      </c>
      <c r="CA116" t="s">
        <v>546</v>
      </c>
      <c r="CB116" t="s">
        <v>951</v>
      </c>
      <c r="CC116" t="s">
        <v>556</v>
      </c>
      <c r="CD116" t="s">
        <v>1161</v>
      </c>
      <c r="CE116" t="s">
        <v>1162</v>
      </c>
      <c r="CF116" t="s">
        <v>65</v>
      </c>
      <c r="CG116" s="4">
        <v>1</v>
      </c>
      <c r="CH116" t="s">
        <v>546</v>
      </c>
      <c r="CK116" t="s">
        <v>1163</v>
      </c>
      <c r="CL116" s="1">
        <v>4124</v>
      </c>
      <c r="CN116" t="s">
        <v>535</v>
      </c>
      <c r="CO116" t="s">
        <v>539</v>
      </c>
      <c r="CT116" t="s">
        <v>576</v>
      </c>
      <c r="CW116" t="s">
        <v>546</v>
      </c>
      <c r="DD116" t="s">
        <v>561</v>
      </c>
      <c r="DK116" t="s">
        <v>1093</v>
      </c>
      <c r="DL116" t="s">
        <v>1094</v>
      </c>
      <c r="DR116" t="s">
        <v>1164</v>
      </c>
    </row>
    <row r="117" ht="15" customHeight="1" spans="1:122">
      <c r="A117" t="s">
        <v>530</v>
      </c>
      <c r="B117" t="s">
        <v>1165</v>
      </c>
      <c r="C117" t="s">
        <v>532</v>
      </c>
      <c r="D117" t="s">
        <v>984</v>
      </c>
      <c r="E117" t="s">
        <v>534</v>
      </c>
      <c r="F117" t="s">
        <v>534</v>
      </c>
      <c r="G117" t="s">
        <v>535</v>
      </c>
      <c r="H117" s="1">
        <v>3395</v>
      </c>
      <c r="I117" s="1">
        <v>3395</v>
      </c>
      <c r="J117" t="s">
        <v>536</v>
      </c>
      <c r="L117" t="s">
        <v>536</v>
      </c>
      <c r="M117" t="s">
        <v>376</v>
      </c>
      <c r="N117" t="s">
        <v>537</v>
      </c>
      <c r="P117" s="1">
        <v>3395</v>
      </c>
      <c r="Q117" t="s">
        <v>1105</v>
      </c>
      <c r="R117" t="s">
        <v>535</v>
      </c>
      <c r="S117" t="s">
        <v>539</v>
      </c>
      <c r="T117" s="2">
        <v>1</v>
      </c>
      <c r="U117" s="1">
        <v>3395</v>
      </c>
      <c r="V117" s="1">
        <v>3395</v>
      </c>
      <c r="X117" t="s">
        <v>540</v>
      </c>
      <c r="Z117" t="s">
        <v>541</v>
      </c>
      <c r="AA117" t="s">
        <v>542</v>
      </c>
      <c r="AB117" t="s">
        <v>543</v>
      </c>
      <c r="AC117" t="s">
        <v>544</v>
      </c>
      <c r="AD117" t="s">
        <v>545</v>
      </c>
      <c r="AE117" s="3">
        <v>1</v>
      </c>
      <c r="AF117" t="s">
        <v>70</v>
      </c>
      <c r="AG117" s="1">
        <v>3395</v>
      </c>
      <c r="AI117" s="1">
        <v>3395</v>
      </c>
      <c r="AJ117" s="1">
        <v>3395</v>
      </c>
      <c r="AM117" s="1">
        <v>3395</v>
      </c>
      <c r="AN117" t="s">
        <v>643</v>
      </c>
      <c r="AO117" t="s">
        <v>546</v>
      </c>
      <c r="AP117" t="s">
        <v>643</v>
      </c>
      <c r="AQ117" t="s">
        <v>548</v>
      </c>
      <c r="AS117" t="s">
        <v>376</v>
      </c>
      <c r="AX117" s="1">
        <v>3395</v>
      </c>
      <c r="AY117" t="s">
        <v>546</v>
      </c>
      <c r="AZ117" t="s">
        <v>644</v>
      </c>
      <c r="BA117" s="1">
        <v>3395</v>
      </c>
      <c r="BC117" t="s">
        <v>546</v>
      </c>
      <c r="BD117" s="1">
        <v>3395</v>
      </c>
      <c r="BE117" t="s">
        <v>540</v>
      </c>
      <c r="BF117" s="1">
        <v>3395</v>
      </c>
      <c r="BH117" s="1">
        <v>3395</v>
      </c>
      <c r="BI117" t="s">
        <v>550</v>
      </c>
      <c r="BJ117" t="s">
        <v>551</v>
      </c>
      <c r="BK117" t="s">
        <v>552</v>
      </c>
      <c r="BL117" t="s">
        <v>552</v>
      </c>
      <c r="BM117" t="s">
        <v>984</v>
      </c>
      <c r="BN117" t="s">
        <v>1166</v>
      </c>
      <c r="BO117" t="s">
        <v>1167</v>
      </c>
      <c r="BR117" t="s">
        <v>546</v>
      </c>
      <c r="BS117" s="1">
        <v>3395</v>
      </c>
      <c r="BW117" t="s">
        <v>536</v>
      </c>
      <c r="BX117" s="1">
        <v>3395</v>
      </c>
      <c r="BZ117" t="s">
        <v>535</v>
      </c>
      <c r="CA117" t="s">
        <v>546</v>
      </c>
      <c r="CB117" t="s">
        <v>984</v>
      </c>
      <c r="CC117" t="s">
        <v>556</v>
      </c>
      <c r="CD117" t="s">
        <v>745</v>
      </c>
      <c r="CE117" t="s">
        <v>746</v>
      </c>
      <c r="CF117" t="s">
        <v>70</v>
      </c>
      <c r="CG117" s="4">
        <v>1</v>
      </c>
      <c r="CH117" t="s">
        <v>546</v>
      </c>
      <c r="CK117" t="s">
        <v>1168</v>
      </c>
      <c r="CL117" s="1">
        <v>3395</v>
      </c>
      <c r="CN117" t="s">
        <v>535</v>
      </c>
      <c r="CO117" t="s">
        <v>539</v>
      </c>
      <c r="CT117" t="s">
        <v>576</v>
      </c>
      <c r="CW117" t="s">
        <v>546</v>
      </c>
      <c r="DD117" t="s">
        <v>561</v>
      </c>
      <c r="DK117" t="s">
        <v>1169</v>
      </c>
      <c r="DL117" t="s">
        <v>1170</v>
      </c>
      <c r="DR117" t="s">
        <v>1171</v>
      </c>
    </row>
    <row r="118" ht="15" customHeight="1" spans="1:122">
      <c r="A118" t="s">
        <v>530</v>
      </c>
      <c r="B118" t="s">
        <v>1172</v>
      </c>
      <c r="C118" t="s">
        <v>532</v>
      </c>
      <c r="D118" t="s">
        <v>984</v>
      </c>
      <c r="E118" t="s">
        <v>534</v>
      </c>
      <c r="F118" t="s">
        <v>534</v>
      </c>
      <c r="G118" t="s">
        <v>535</v>
      </c>
      <c r="H118" s="1">
        <v>3365</v>
      </c>
      <c r="I118" s="1">
        <v>3365</v>
      </c>
      <c r="J118" t="s">
        <v>536</v>
      </c>
      <c r="L118" t="s">
        <v>536</v>
      </c>
      <c r="M118" t="s">
        <v>382</v>
      </c>
      <c r="N118" t="s">
        <v>537</v>
      </c>
      <c r="P118" s="1">
        <v>3365</v>
      </c>
      <c r="Q118" t="s">
        <v>785</v>
      </c>
      <c r="R118" t="s">
        <v>535</v>
      </c>
      <c r="S118" t="s">
        <v>539</v>
      </c>
      <c r="T118" s="2">
        <v>1</v>
      </c>
      <c r="U118" s="1">
        <v>3365</v>
      </c>
      <c r="V118" s="1">
        <v>3365</v>
      </c>
      <c r="X118" t="s">
        <v>540</v>
      </c>
      <c r="Z118" t="s">
        <v>541</v>
      </c>
      <c r="AA118" t="s">
        <v>542</v>
      </c>
      <c r="AB118" t="s">
        <v>543</v>
      </c>
      <c r="AC118" t="s">
        <v>544</v>
      </c>
      <c r="AD118" t="s">
        <v>545</v>
      </c>
      <c r="AE118" s="3">
        <v>1</v>
      </c>
      <c r="AF118" t="s">
        <v>72</v>
      </c>
      <c r="AG118" s="1">
        <v>3365</v>
      </c>
      <c r="AI118" s="1">
        <v>3365</v>
      </c>
      <c r="AJ118" s="1">
        <v>3365</v>
      </c>
      <c r="AM118" s="1">
        <v>3365</v>
      </c>
      <c r="AN118" t="s">
        <v>643</v>
      </c>
      <c r="AO118" t="s">
        <v>546</v>
      </c>
      <c r="AP118" t="s">
        <v>643</v>
      </c>
      <c r="AQ118" t="s">
        <v>548</v>
      </c>
      <c r="AS118" t="s">
        <v>382</v>
      </c>
      <c r="AX118" s="1">
        <v>3365</v>
      </c>
      <c r="AY118" t="s">
        <v>546</v>
      </c>
      <c r="AZ118" t="s">
        <v>644</v>
      </c>
      <c r="BA118" s="1">
        <v>3365</v>
      </c>
      <c r="BC118" t="s">
        <v>546</v>
      </c>
      <c r="BD118" s="1">
        <v>3365</v>
      </c>
      <c r="BE118" t="s">
        <v>540</v>
      </c>
      <c r="BF118" s="1">
        <v>3365</v>
      </c>
      <c r="BH118" s="1">
        <v>3365</v>
      </c>
      <c r="BI118" t="s">
        <v>550</v>
      </c>
      <c r="BJ118" t="s">
        <v>785</v>
      </c>
      <c r="BK118" t="s">
        <v>551</v>
      </c>
      <c r="BL118" t="s">
        <v>552</v>
      </c>
      <c r="BM118" t="s">
        <v>984</v>
      </c>
      <c r="BN118" t="s">
        <v>1173</v>
      </c>
      <c r="BO118" t="s">
        <v>1174</v>
      </c>
      <c r="BR118" t="s">
        <v>546</v>
      </c>
      <c r="BS118" s="1">
        <v>3365</v>
      </c>
      <c r="BW118" t="s">
        <v>536</v>
      </c>
      <c r="BX118" s="1">
        <v>3365</v>
      </c>
      <c r="BZ118" t="s">
        <v>535</v>
      </c>
      <c r="CA118" t="s">
        <v>546</v>
      </c>
      <c r="CB118" t="s">
        <v>984</v>
      </c>
      <c r="CC118" t="s">
        <v>556</v>
      </c>
      <c r="CD118" t="s">
        <v>745</v>
      </c>
      <c r="CE118" t="s">
        <v>746</v>
      </c>
      <c r="CF118" t="s">
        <v>72</v>
      </c>
      <c r="CG118" s="4">
        <v>1</v>
      </c>
      <c r="CH118" t="s">
        <v>546</v>
      </c>
      <c r="CK118" t="s">
        <v>1175</v>
      </c>
      <c r="CL118" s="1">
        <v>3365</v>
      </c>
      <c r="CN118" t="s">
        <v>535</v>
      </c>
      <c r="CO118" t="s">
        <v>539</v>
      </c>
      <c r="CT118" t="s">
        <v>791</v>
      </c>
      <c r="CW118" t="s">
        <v>546</v>
      </c>
      <c r="DD118" t="s">
        <v>561</v>
      </c>
      <c r="DK118" t="s">
        <v>1176</v>
      </c>
      <c r="DL118" t="s">
        <v>1177</v>
      </c>
      <c r="DR118" t="s">
        <v>1178</v>
      </c>
    </row>
    <row r="119" ht="15" customHeight="1" spans="1:122">
      <c r="A119" t="s">
        <v>530</v>
      </c>
      <c r="B119" t="s">
        <v>1179</v>
      </c>
      <c r="C119" t="s">
        <v>532</v>
      </c>
      <c r="D119" t="s">
        <v>984</v>
      </c>
      <c r="E119" t="s">
        <v>534</v>
      </c>
      <c r="F119" t="s">
        <v>534</v>
      </c>
      <c r="G119" t="s">
        <v>535</v>
      </c>
      <c r="H119" s="1">
        <v>30</v>
      </c>
      <c r="I119" s="1">
        <v>30</v>
      </c>
      <c r="J119" t="s">
        <v>536</v>
      </c>
      <c r="L119" t="s">
        <v>536</v>
      </c>
      <c r="M119" t="s">
        <v>382</v>
      </c>
      <c r="N119" t="s">
        <v>537</v>
      </c>
      <c r="P119" s="1">
        <v>30</v>
      </c>
      <c r="Q119" t="s">
        <v>785</v>
      </c>
      <c r="R119" t="s">
        <v>535</v>
      </c>
      <c r="S119" t="s">
        <v>539</v>
      </c>
      <c r="T119" s="2">
        <v>1</v>
      </c>
      <c r="U119" s="1">
        <v>30</v>
      </c>
      <c r="V119" s="1">
        <v>30</v>
      </c>
      <c r="X119" t="s">
        <v>540</v>
      </c>
      <c r="Z119" t="s">
        <v>541</v>
      </c>
      <c r="AA119" t="s">
        <v>542</v>
      </c>
      <c r="AB119" t="s">
        <v>543</v>
      </c>
      <c r="AC119" t="s">
        <v>544</v>
      </c>
      <c r="AD119" t="s">
        <v>545</v>
      </c>
      <c r="AE119" s="3">
        <v>1</v>
      </c>
      <c r="AF119" t="s">
        <v>72</v>
      </c>
      <c r="AG119" s="1">
        <v>30</v>
      </c>
      <c r="AI119" s="1">
        <v>30</v>
      </c>
      <c r="AJ119" s="1">
        <v>30</v>
      </c>
      <c r="AM119" s="1">
        <v>30</v>
      </c>
      <c r="AN119" t="s">
        <v>643</v>
      </c>
      <c r="AO119" t="s">
        <v>546</v>
      </c>
      <c r="AP119" t="s">
        <v>643</v>
      </c>
      <c r="AQ119" t="s">
        <v>548</v>
      </c>
      <c r="AS119" t="s">
        <v>382</v>
      </c>
      <c r="AX119" s="1">
        <v>30</v>
      </c>
      <c r="AY119" t="s">
        <v>546</v>
      </c>
      <c r="AZ119" t="s">
        <v>644</v>
      </c>
      <c r="BA119" s="1">
        <v>30</v>
      </c>
      <c r="BC119" t="s">
        <v>546</v>
      </c>
      <c r="BD119" s="1">
        <v>30</v>
      </c>
      <c r="BE119" t="s">
        <v>540</v>
      </c>
      <c r="BF119" s="1">
        <v>30</v>
      </c>
      <c r="BH119" s="1">
        <v>30</v>
      </c>
      <c r="BI119" t="s">
        <v>550</v>
      </c>
      <c r="BJ119" t="s">
        <v>551</v>
      </c>
      <c r="BK119" t="s">
        <v>551</v>
      </c>
      <c r="BL119" t="s">
        <v>552</v>
      </c>
      <c r="BM119" t="s">
        <v>984</v>
      </c>
      <c r="BN119" t="s">
        <v>1180</v>
      </c>
      <c r="BO119" t="s">
        <v>1181</v>
      </c>
      <c r="BR119" t="s">
        <v>546</v>
      </c>
      <c r="BS119" s="1">
        <v>30</v>
      </c>
      <c r="BW119" t="s">
        <v>536</v>
      </c>
      <c r="BX119" s="1">
        <v>30</v>
      </c>
      <c r="BZ119" t="s">
        <v>535</v>
      </c>
      <c r="CA119" t="s">
        <v>546</v>
      </c>
      <c r="CB119" t="s">
        <v>984</v>
      </c>
      <c r="CC119" t="s">
        <v>556</v>
      </c>
      <c r="CD119" t="s">
        <v>745</v>
      </c>
      <c r="CE119" t="s">
        <v>746</v>
      </c>
      <c r="CF119" t="s">
        <v>72</v>
      </c>
      <c r="CG119" s="4">
        <v>1</v>
      </c>
      <c r="CH119" t="s">
        <v>546</v>
      </c>
      <c r="CK119" t="s">
        <v>1182</v>
      </c>
      <c r="CL119" s="1">
        <v>30</v>
      </c>
      <c r="CN119" t="s">
        <v>535</v>
      </c>
      <c r="CO119" t="s">
        <v>539</v>
      </c>
      <c r="CT119" t="s">
        <v>791</v>
      </c>
      <c r="CW119" t="s">
        <v>546</v>
      </c>
      <c r="DD119" t="s">
        <v>561</v>
      </c>
      <c r="DK119" t="s">
        <v>1176</v>
      </c>
      <c r="DL119" t="s">
        <v>1177</v>
      </c>
      <c r="DR119" t="s">
        <v>1183</v>
      </c>
    </row>
    <row r="120" ht="15" customHeight="1" spans="1:122">
      <c r="A120" t="s">
        <v>603</v>
      </c>
      <c r="B120" t="s">
        <v>1184</v>
      </c>
      <c r="C120" t="s">
        <v>656</v>
      </c>
      <c r="D120" t="s">
        <v>984</v>
      </c>
      <c r="E120" t="s">
        <v>534</v>
      </c>
      <c r="F120" t="s">
        <v>534</v>
      </c>
      <c r="G120" t="s">
        <v>535</v>
      </c>
      <c r="H120" s="1">
        <v>73131</v>
      </c>
      <c r="I120" s="1">
        <v>73131</v>
      </c>
      <c r="J120" t="s">
        <v>536</v>
      </c>
      <c r="L120" t="s">
        <v>536</v>
      </c>
      <c r="M120" t="s">
        <v>410</v>
      </c>
      <c r="N120" t="s">
        <v>657</v>
      </c>
      <c r="P120" s="1">
        <v>73131</v>
      </c>
      <c r="Q120" t="s">
        <v>679</v>
      </c>
      <c r="R120" t="s">
        <v>535</v>
      </c>
      <c r="S120" t="s">
        <v>539</v>
      </c>
      <c r="T120" s="2">
        <v>1</v>
      </c>
      <c r="U120" s="1">
        <v>73131</v>
      </c>
      <c r="V120" s="1">
        <v>73131</v>
      </c>
      <c r="X120" t="s">
        <v>616</v>
      </c>
      <c r="Z120" t="s">
        <v>541</v>
      </c>
      <c r="AA120" t="s">
        <v>542</v>
      </c>
      <c r="AB120" t="s">
        <v>543</v>
      </c>
      <c r="AC120" t="s">
        <v>608</v>
      </c>
      <c r="AE120" s="3">
        <v>1</v>
      </c>
      <c r="AG120" s="1">
        <v>73131</v>
      </c>
      <c r="AI120" s="1">
        <v>73131</v>
      </c>
      <c r="AJ120" s="1">
        <v>73131</v>
      </c>
      <c r="AM120" s="1">
        <v>73131</v>
      </c>
      <c r="AN120" t="s">
        <v>536</v>
      </c>
      <c r="AO120" t="s">
        <v>546</v>
      </c>
      <c r="AP120" t="s">
        <v>547</v>
      </c>
      <c r="AQ120" t="s">
        <v>548</v>
      </c>
      <c r="AS120" t="s">
        <v>410</v>
      </c>
      <c r="AX120" s="1">
        <v>73131</v>
      </c>
      <c r="AY120" t="s">
        <v>546</v>
      </c>
      <c r="AZ120" t="s">
        <v>549</v>
      </c>
      <c r="BA120" s="1">
        <v>73131</v>
      </c>
      <c r="BB120" t="s">
        <v>1185</v>
      </c>
      <c r="BC120" t="s">
        <v>546</v>
      </c>
      <c r="BE120" t="s">
        <v>616</v>
      </c>
      <c r="BH120" s="1">
        <v>73131</v>
      </c>
      <c r="BI120" t="s">
        <v>550</v>
      </c>
      <c r="BJ120" t="s">
        <v>683</v>
      </c>
      <c r="BK120" t="s">
        <v>610</v>
      </c>
      <c r="BL120" t="s">
        <v>552</v>
      </c>
      <c r="BM120" t="s">
        <v>984</v>
      </c>
      <c r="BN120" t="s">
        <v>1186</v>
      </c>
      <c r="BO120" t="s">
        <v>1187</v>
      </c>
      <c r="BR120" t="s">
        <v>546</v>
      </c>
      <c r="BS120" s="1">
        <v>73131</v>
      </c>
      <c r="BW120" t="s">
        <v>536</v>
      </c>
      <c r="BZ120" t="s">
        <v>535</v>
      </c>
      <c r="CA120" t="s">
        <v>546</v>
      </c>
      <c r="CB120" t="s">
        <v>984</v>
      </c>
      <c r="CC120" t="s">
        <v>556</v>
      </c>
      <c r="CH120" t="s">
        <v>546</v>
      </c>
      <c r="CK120" t="s">
        <v>1188</v>
      </c>
      <c r="CN120" t="s">
        <v>535</v>
      </c>
      <c r="CO120" t="s">
        <v>539</v>
      </c>
      <c r="CT120" t="s">
        <v>687</v>
      </c>
      <c r="CW120" t="s">
        <v>546</v>
      </c>
      <c r="DD120" t="s">
        <v>561</v>
      </c>
      <c r="DK120" t="s">
        <v>410</v>
      </c>
      <c r="DR120" t="s">
        <v>1189</v>
      </c>
    </row>
    <row r="121" ht="15" customHeight="1" spans="1:122">
      <c r="A121" t="s">
        <v>603</v>
      </c>
      <c r="B121" t="s">
        <v>1190</v>
      </c>
      <c r="C121" t="s">
        <v>532</v>
      </c>
      <c r="D121" t="s">
        <v>984</v>
      </c>
      <c r="E121" t="s">
        <v>534</v>
      </c>
      <c r="F121" t="s">
        <v>534</v>
      </c>
      <c r="G121" t="s">
        <v>535</v>
      </c>
      <c r="H121" s="1">
        <v>3000</v>
      </c>
      <c r="I121" s="1">
        <v>3000</v>
      </c>
      <c r="J121" t="s">
        <v>536</v>
      </c>
      <c r="L121" t="s">
        <v>536</v>
      </c>
      <c r="M121" t="s">
        <v>378</v>
      </c>
      <c r="N121" t="s">
        <v>537</v>
      </c>
      <c r="P121" s="1">
        <v>3000</v>
      </c>
      <c r="Q121" t="s">
        <v>905</v>
      </c>
      <c r="R121" t="s">
        <v>535</v>
      </c>
      <c r="S121" t="s">
        <v>539</v>
      </c>
      <c r="T121" s="2">
        <v>1</v>
      </c>
      <c r="U121" s="1">
        <v>3000</v>
      </c>
      <c r="V121" s="1">
        <v>3000</v>
      </c>
      <c r="X121" t="s">
        <v>616</v>
      </c>
      <c r="Z121" t="s">
        <v>541</v>
      </c>
      <c r="AA121" t="s">
        <v>542</v>
      </c>
      <c r="AB121" t="s">
        <v>543</v>
      </c>
      <c r="AC121" t="s">
        <v>608</v>
      </c>
      <c r="AE121" s="3">
        <v>1</v>
      </c>
      <c r="AG121" s="1">
        <v>3000</v>
      </c>
      <c r="AI121" s="1">
        <v>3000</v>
      </c>
      <c r="AJ121" s="1">
        <v>3000</v>
      </c>
      <c r="AM121" s="1">
        <v>3000</v>
      </c>
      <c r="AN121" t="s">
        <v>536</v>
      </c>
      <c r="AO121" t="s">
        <v>546</v>
      </c>
      <c r="AP121" t="s">
        <v>547</v>
      </c>
      <c r="AQ121" t="s">
        <v>548</v>
      </c>
      <c r="AS121" t="s">
        <v>378</v>
      </c>
      <c r="AX121" s="1">
        <v>3000</v>
      </c>
      <c r="AY121" t="s">
        <v>546</v>
      </c>
      <c r="AZ121" t="s">
        <v>549</v>
      </c>
      <c r="BA121" s="1">
        <v>3000</v>
      </c>
      <c r="BC121" t="s">
        <v>546</v>
      </c>
      <c r="BE121" t="s">
        <v>616</v>
      </c>
      <c r="BH121" s="1">
        <v>3000</v>
      </c>
      <c r="BI121" t="s">
        <v>550</v>
      </c>
      <c r="BJ121" t="s">
        <v>551</v>
      </c>
      <c r="BK121" t="s">
        <v>551</v>
      </c>
      <c r="BL121" t="s">
        <v>552</v>
      </c>
      <c r="BM121" t="s">
        <v>984</v>
      </c>
      <c r="BN121" t="s">
        <v>1191</v>
      </c>
      <c r="BO121" t="s">
        <v>1192</v>
      </c>
      <c r="BR121" t="s">
        <v>546</v>
      </c>
      <c r="BS121" s="1">
        <v>3000</v>
      </c>
      <c r="BW121" t="s">
        <v>536</v>
      </c>
      <c r="BZ121" t="s">
        <v>535</v>
      </c>
      <c r="CA121" t="s">
        <v>546</v>
      </c>
      <c r="CB121" t="s">
        <v>984</v>
      </c>
      <c r="CC121" t="s">
        <v>556</v>
      </c>
      <c r="CH121" t="s">
        <v>546</v>
      </c>
      <c r="CK121" t="s">
        <v>1193</v>
      </c>
      <c r="CN121" t="s">
        <v>535</v>
      </c>
      <c r="CO121" t="s">
        <v>539</v>
      </c>
      <c r="CT121" t="s">
        <v>1125</v>
      </c>
      <c r="CW121" t="s">
        <v>546</v>
      </c>
      <c r="DD121" t="s">
        <v>561</v>
      </c>
    </row>
    <row r="122" ht="15" customHeight="1" spans="1:122">
      <c r="A122" t="s">
        <v>530</v>
      </c>
      <c r="B122" t="s">
        <v>1194</v>
      </c>
      <c r="C122" t="s">
        <v>532</v>
      </c>
      <c r="D122" t="s">
        <v>984</v>
      </c>
      <c r="E122" t="s">
        <v>534</v>
      </c>
      <c r="F122" t="s">
        <v>534</v>
      </c>
      <c r="G122" t="s">
        <v>535</v>
      </c>
      <c r="H122" s="1">
        <v>1488</v>
      </c>
      <c r="I122" s="1">
        <v>1488</v>
      </c>
      <c r="J122" t="s">
        <v>536</v>
      </c>
      <c r="L122" t="s">
        <v>536</v>
      </c>
      <c r="M122" t="s">
        <v>371</v>
      </c>
      <c r="N122" t="s">
        <v>537</v>
      </c>
      <c r="P122" s="1">
        <v>1488</v>
      </c>
      <c r="Q122" t="s">
        <v>1060</v>
      </c>
      <c r="R122" t="s">
        <v>535</v>
      </c>
      <c r="S122" t="s">
        <v>539</v>
      </c>
      <c r="T122" s="2">
        <v>1</v>
      </c>
      <c r="U122" s="1">
        <v>1488</v>
      </c>
      <c r="V122" s="1">
        <v>1488</v>
      </c>
      <c r="X122" t="s">
        <v>540</v>
      </c>
      <c r="Z122" t="s">
        <v>541</v>
      </c>
      <c r="AA122" t="s">
        <v>542</v>
      </c>
      <c r="AB122" t="s">
        <v>543</v>
      </c>
      <c r="AC122" t="s">
        <v>544</v>
      </c>
      <c r="AD122" t="s">
        <v>545</v>
      </c>
      <c r="AE122" s="3">
        <v>1</v>
      </c>
      <c r="AF122" t="s">
        <v>73</v>
      </c>
      <c r="AG122" s="1">
        <v>1488</v>
      </c>
      <c r="AI122" s="1">
        <v>1488</v>
      </c>
      <c r="AJ122" s="1">
        <v>1488</v>
      </c>
      <c r="AM122" s="1">
        <v>1488</v>
      </c>
      <c r="AN122" t="s">
        <v>643</v>
      </c>
      <c r="AO122" t="s">
        <v>546</v>
      </c>
      <c r="AP122" t="s">
        <v>643</v>
      </c>
      <c r="AQ122" t="s">
        <v>548</v>
      </c>
      <c r="AS122" t="s">
        <v>371</v>
      </c>
      <c r="AX122" s="1">
        <v>1488</v>
      </c>
      <c r="AY122" t="s">
        <v>546</v>
      </c>
      <c r="AZ122" t="s">
        <v>644</v>
      </c>
      <c r="BA122" s="1">
        <v>1488</v>
      </c>
      <c r="BC122" t="s">
        <v>546</v>
      </c>
      <c r="BD122" s="1">
        <v>1488</v>
      </c>
      <c r="BE122" t="s">
        <v>540</v>
      </c>
      <c r="BF122" s="1">
        <v>1488</v>
      </c>
      <c r="BH122" s="1">
        <v>1488</v>
      </c>
      <c r="BI122" t="s">
        <v>550</v>
      </c>
      <c r="BJ122" t="s">
        <v>1060</v>
      </c>
      <c r="BK122" t="s">
        <v>1060</v>
      </c>
      <c r="BL122" t="s">
        <v>552</v>
      </c>
      <c r="BM122" t="s">
        <v>984</v>
      </c>
      <c r="BN122" t="s">
        <v>1195</v>
      </c>
      <c r="BO122" t="s">
        <v>1196</v>
      </c>
      <c r="BR122" t="s">
        <v>546</v>
      </c>
      <c r="BS122" s="1">
        <v>1488</v>
      </c>
      <c r="BW122" t="s">
        <v>536</v>
      </c>
      <c r="BX122" s="1">
        <v>1488</v>
      </c>
      <c r="BZ122" t="s">
        <v>535</v>
      </c>
      <c r="CA122" t="s">
        <v>546</v>
      </c>
      <c r="CB122" t="s">
        <v>984</v>
      </c>
      <c r="CC122" t="s">
        <v>556</v>
      </c>
      <c r="CD122" t="s">
        <v>1197</v>
      </c>
      <c r="CE122" t="s">
        <v>1198</v>
      </c>
      <c r="CF122" t="s">
        <v>73</v>
      </c>
      <c r="CG122" s="4">
        <v>1</v>
      </c>
      <c r="CH122" t="s">
        <v>546</v>
      </c>
      <c r="CK122" t="s">
        <v>1199</v>
      </c>
      <c r="CL122" s="1">
        <v>1488</v>
      </c>
      <c r="CN122" t="s">
        <v>535</v>
      </c>
      <c r="CO122" t="s">
        <v>539</v>
      </c>
      <c r="CT122" t="s">
        <v>576</v>
      </c>
      <c r="CW122" t="s">
        <v>546</v>
      </c>
      <c r="DD122" t="s">
        <v>561</v>
      </c>
      <c r="DK122" t="s">
        <v>1200</v>
      </c>
      <c r="DL122" t="s">
        <v>1201</v>
      </c>
      <c r="DR122" t="s">
        <v>1202</v>
      </c>
    </row>
    <row r="123" ht="15" customHeight="1" spans="1:122">
      <c r="A123" t="s">
        <v>530</v>
      </c>
      <c r="B123" t="s">
        <v>1203</v>
      </c>
      <c r="C123" t="s">
        <v>656</v>
      </c>
      <c r="D123" t="s">
        <v>533</v>
      </c>
      <c r="E123" t="s">
        <v>534</v>
      </c>
      <c r="F123" t="s">
        <v>534</v>
      </c>
      <c r="G123" t="s">
        <v>535</v>
      </c>
      <c r="H123" s="1">
        <v>3620</v>
      </c>
      <c r="I123" s="1">
        <v>3612.22</v>
      </c>
      <c r="J123" t="s">
        <v>536</v>
      </c>
      <c r="L123" t="s">
        <v>536</v>
      </c>
      <c r="M123" t="s">
        <v>393</v>
      </c>
      <c r="N123" t="s">
        <v>657</v>
      </c>
      <c r="P123" s="1">
        <v>3620</v>
      </c>
      <c r="Q123" t="s">
        <v>658</v>
      </c>
      <c r="R123" t="s">
        <v>535</v>
      </c>
      <c r="S123" t="s">
        <v>539</v>
      </c>
      <c r="T123" s="2">
        <v>1</v>
      </c>
      <c r="U123" s="1">
        <v>3620</v>
      </c>
      <c r="V123" s="1">
        <v>3612.22</v>
      </c>
      <c r="X123" t="s">
        <v>540</v>
      </c>
      <c r="Z123" t="s">
        <v>541</v>
      </c>
      <c r="AA123" t="s">
        <v>542</v>
      </c>
      <c r="AB123" t="s">
        <v>659</v>
      </c>
      <c r="AC123" t="s">
        <v>608</v>
      </c>
      <c r="AE123" s="3">
        <v>1</v>
      </c>
      <c r="AG123" s="1">
        <v>3620</v>
      </c>
      <c r="AI123" s="1">
        <v>3620</v>
      </c>
      <c r="AJ123" s="1">
        <v>3620</v>
      </c>
      <c r="AK123" s="1">
        <v>7.78</v>
      </c>
      <c r="AM123" s="1">
        <v>3612.22</v>
      </c>
      <c r="AN123" t="s">
        <v>536</v>
      </c>
      <c r="AO123" t="s">
        <v>546</v>
      </c>
      <c r="AP123" t="s">
        <v>547</v>
      </c>
      <c r="AQ123" t="s">
        <v>548</v>
      </c>
      <c r="AS123" t="s">
        <v>393</v>
      </c>
      <c r="AX123" s="1">
        <v>3620</v>
      </c>
      <c r="AY123" t="s">
        <v>546</v>
      </c>
      <c r="AZ123" t="s">
        <v>549</v>
      </c>
      <c r="BA123" s="1">
        <v>3620</v>
      </c>
      <c r="BC123" t="s">
        <v>546</v>
      </c>
      <c r="BE123" t="s">
        <v>540</v>
      </c>
      <c r="BF123" s="1">
        <v>3620</v>
      </c>
      <c r="BG123" s="1">
        <v>7.78</v>
      </c>
      <c r="BH123" s="1">
        <v>3612.22</v>
      </c>
      <c r="BI123" t="s">
        <v>550</v>
      </c>
      <c r="BJ123" t="s">
        <v>660</v>
      </c>
      <c r="BK123" t="s">
        <v>552</v>
      </c>
      <c r="BL123" t="s">
        <v>552</v>
      </c>
      <c r="BM123" t="s">
        <v>533</v>
      </c>
      <c r="BN123" t="s">
        <v>1204</v>
      </c>
      <c r="BO123" t="s">
        <v>1205</v>
      </c>
      <c r="BR123" t="s">
        <v>546</v>
      </c>
      <c r="BS123" s="1">
        <v>3620</v>
      </c>
      <c r="BW123" t="s">
        <v>536</v>
      </c>
      <c r="BX123" s="1">
        <v>3620</v>
      </c>
      <c r="BZ123" t="s">
        <v>535</v>
      </c>
      <c r="CA123" t="s">
        <v>546</v>
      </c>
      <c r="CB123" t="s">
        <v>533</v>
      </c>
      <c r="CC123" t="s">
        <v>556</v>
      </c>
      <c r="CH123" t="s">
        <v>546</v>
      </c>
      <c r="CK123" t="s">
        <v>1206</v>
      </c>
      <c r="CL123" s="1">
        <v>3620</v>
      </c>
      <c r="CN123" t="s">
        <v>535</v>
      </c>
      <c r="CO123" t="s">
        <v>539</v>
      </c>
      <c r="CT123" t="s">
        <v>666</v>
      </c>
      <c r="CW123" t="s">
        <v>546</v>
      </c>
      <c r="DD123" t="s">
        <v>561</v>
      </c>
      <c r="DK123" t="s">
        <v>1207</v>
      </c>
      <c r="DL123" t="s">
        <v>1208</v>
      </c>
    </row>
    <row r="124" ht="15" customHeight="1" spans="1:122">
      <c r="A124" t="s">
        <v>530</v>
      </c>
      <c r="B124" t="s">
        <v>1209</v>
      </c>
      <c r="C124" t="s">
        <v>532</v>
      </c>
      <c r="D124" t="s">
        <v>984</v>
      </c>
      <c r="E124" t="s">
        <v>534</v>
      </c>
      <c r="F124" t="s">
        <v>534</v>
      </c>
      <c r="G124" t="s">
        <v>535</v>
      </c>
      <c r="H124" s="1">
        <v>2445</v>
      </c>
      <c r="I124" s="1">
        <v>2445</v>
      </c>
      <c r="J124" t="s">
        <v>536</v>
      </c>
      <c r="L124" t="s">
        <v>536</v>
      </c>
      <c r="M124" t="s">
        <v>376</v>
      </c>
      <c r="N124" t="s">
        <v>537</v>
      </c>
      <c r="P124" s="1">
        <v>2445</v>
      </c>
      <c r="Q124" t="s">
        <v>1105</v>
      </c>
      <c r="R124" t="s">
        <v>535</v>
      </c>
      <c r="S124" t="s">
        <v>539</v>
      </c>
      <c r="T124" s="2">
        <v>1</v>
      </c>
      <c r="U124" s="1">
        <v>2445</v>
      </c>
      <c r="V124" s="1">
        <v>2445</v>
      </c>
      <c r="X124" t="s">
        <v>540</v>
      </c>
      <c r="Z124" t="s">
        <v>541</v>
      </c>
      <c r="AA124" t="s">
        <v>542</v>
      </c>
      <c r="AB124" t="s">
        <v>543</v>
      </c>
      <c r="AC124" t="s">
        <v>544</v>
      </c>
      <c r="AD124" t="s">
        <v>545</v>
      </c>
      <c r="AE124" s="3">
        <v>1</v>
      </c>
      <c r="AF124" t="s">
        <v>75</v>
      </c>
      <c r="AG124" s="1">
        <v>2445</v>
      </c>
      <c r="AI124" s="1">
        <v>2445</v>
      </c>
      <c r="AJ124" s="1">
        <v>2445</v>
      </c>
      <c r="AM124" s="1">
        <v>2445</v>
      </c>
      <c r="AN124" t="s">
        <v>643</v>
      </c>
      <c r="AO124" t="s">
        <v>546</v>
      </c>
      <c r="AP124" t="s">
        <v>643</v>
      </c>
      <c r="AQ124" t="s">
        <v>548</v>
      </c>
      <c r="AS124" t="s">
        <v>376</v>
      </c>
      <c r="AX124" s="1">
        <v>2445</v>
      </c>
      <c r="AY124" t="s">
        <v>546</v>
      </c>
      <c r="AZ124" t="s">
        <v>644</v>
      </c>
      <c r="BA124" s="1">
        <v>2445</v>
      </c>
      <c r="BC124" t="s">
        <v>546</v>
      </c>
      <c r="BD124" s="1">
        <v>2445</v>
      </c>
      <c r="BE124" t="s">
        <v>540</v>
      </c>
      <c r="BF124" s="1">
        <v>2445</v>
      </c>
      <c r="BH124" s="1">
        <v>2445</v>
      </c>
      <c r="BI124" t="s">
        <v>550</v>
      </c>
      <c r="BJ124" t="s">
        <v>551</v>
      </c>
      <c r="BK124" t="s">
        <v>551</v>
      </c>
      <c r="BL124" t="s">
        <v>552</v>
      </c>
      <c r="BM124" t="s">
        <v>533</v>
      </c>
      <c r="BN124" t="s">
        <v>1210</v>
      </c>
      <c r="BO124" t="s">
        <v>1211</v>
      </c>
      <c r="BR124" t="s">
        <v>546</v>
      </c>
      <c r="BS124" s="1">
        <v>2445</v>
      </c>
      <c r="BW124" t="s">
        <v>536</v>
      </c>
      <c r="BX124" s="1">
        <v>2445</v>
      </c>
      <c r="BZ124" t="s">
        <v>535</v>
      </c>
      <c r="CA124" t="s">
        <v>546</v>
      </c>
      <c r="CB124" t="s">
        <v>984</v>
      </c>
      <c r="CC124" t="s">
        <v>556</v>
      </c>
      <c r="CD124" t="s">
        <v>633</v>
      </c>
      <c r="CE124" t="s">
        <v>634</v>
      </c>
      <c r="CF124" t="s">
        <v>75</v>
      </c>
      <c r="CG124" s="4">
        <v>1</v>
      </c>
      <c r="CH124" t="s">
        <v>546</v>
      </c>
      <c r="CK124" t="s">
        <v>1212</v>
      </c>
      <c r="CL124" s="1">
        <v>2445</v>
      </c>
      <c r="CN124" t="s">
        <v>535</v>
      </c>
      <c r="CO124" t="s">
        <v>539</v>
      </c>
      <c r="CT124" t="s">
        <v>576</v>
      </c>
      <c r="CW124" t="s">
        <v>546</v>
      </c>
      <c r="DD124" t="s">
        <v>561</v>
      </c>
      <c r="DK124" t="s">
        <v>1213</v>
      </c>
      <c r="DL124" t="s">
        <v>1214</v>
      </c>
      <c r="DR124" t="s">
        <v>1215</v>
      </c>
    </row>
    <row r="125" ht="15" customHeight="1" spans="1:122">
      <c r="A125" t="s">
        <v>603</v>
      </c>
      <c r="B125" t="s">
        <v>1216</v>
      </c>
      <c r="C125" t="s">
        <v>532</v>
      </c>
      <c r="D125" t="s">
        <v>533</v>
      </c>
      <c r="E125" t="s">
        <v>534</v>
      </c>
      <c r="F125" t="s">
        <v>534</v>
      </c>
      <c r="G125" t="s">
        <v>535</v>
      </c>
      <c r="H125" s="1">
        <v>5000</v>
      </c>
      <c r="I125" s="1">
        <v>5000</v>
      </c>
      <c r="J125" t="s">
        <v>536</v>
      </c>
      <c r="L125" t="s">
        <v>536</v>
      </c>
      <c r="M125" t="s">
        <v>378</v>
      </c>
      <c r="N125" t="s">
        <v>537</v>
      </c>
      <c r="P125" s="1">
        <v>5000</v>
      </c>
      <c r="Q125" t="s">
        <v>905</v>
      </c>
      <c r="R125" t="s">
        <v>535</v>
      </c>
      <c r="S125" t="s">
        <v>539</v>
      </c>
      <c r="T125" s="2">
        <v>1</v>
      </c>
      <c r="U125" s="1">
        <v>5000</v>
      </c>
      <c r="V125" s="1">
        <v>5000</v>
      </c>
      <c r="X125" t="s">
        <v>616</v>
      </c>
      <c r="Z125" t="s">
        <v>541</v>
      </c>
      <c r="AA125" t="s">
        <v>542</v>
      </c>
      <c r="AB125" t="s">
        <v>543</v>
      </c>
      <c r="AC125" t="s">
        <v>608</v>
      </c>
      <c r="AE125" s="3">
        <v>1</v>
      </c>
      <c r="AG125" s="1">
        <v>5000</v>
      </c>
      <c r="AI125" s="1">
        <v>5000</v>
      </c>
      <c r="AJ125" s="1">
        <v>5000</v>
      </c>
      <c r="AM125" s="1">
        <v>5000</v>
      </c>
      <c r="AN125" t="s">
        <v>536</v>
      </c>
      <c r="AO125" t="s">
        <v>546</v>
      </c>
      <c r="AP125" t="s">
        <v>547</v>
      </c>
      <c r="AQ125" t="s">
        <v>548</v>
      </c>
      <c r="AS125" t="s">
        <v>378</v>
      </c>
      <c r="AX125" s="1">
        <v>5000</v>
      </c>
      <c r="AY125" t="s">
        <v>546</v>
      </c>
      <c r="AZ125" t="s">
        <v>549</v>
      </c>
      <c r="BA125" s="1">
        <v>5000</v>
      </c>
      <c r="BC125" t="s">
        <v>546</v>
      </c>
      <c r="BE125" t="s">
        <v>616</v>
      </c>
      <c r="BH125" s="1">
        <v>5000</v>
      </c>
      <c r="BI125" t="s">
        <v>550</v>
      </c>
      <c r="BJ125" t="s">
        <v>551</v>
      </c>
      <c r="BK125" t="s">
        <v>551</v>
      </c>
      <c r="BL125" t="s">
        <v>552</v>
      </c>
      <c r="BM125" t="s">
        <v>533</v>
      </c>
      <c r="BN125" t="s">
        <v>1217</v>
      </c>
      <c r="BO125" t="s">
        <v>1218</v>
      </c>
      <c r="BR125" t="s">
        <v>546</v>
      </c>
      <c r="BS125" s="1">
        <v>5000</v>
      </c>
      <c r="BW125" t="s">
        <v>536</v>
      </c>
      <c r="BZ125" t="s">
        <v>535</v>
      </c>
      <c r="CA125" t="s">
        <v>546</v>
      </c>
      <c r="CB125" t="s">
        <v>533</v>
      </c>
      <c r="CC125" t="s">
        <v>556</v>
      </c>
      <c r="CH125" t="s">
        <v>546</v>
      </c>
      <c r="CK125" t="s">
        <v>1219</v>
      </c>
      <c r="CN125" t="s">
        <v>535</v>
      </c>
      <c r="CO125" t="s">
        <v>539</v>
      </c>
      <c r="CT125" t="s">
        <v>1125</v>
      </c>
      <c r="CW125" t="s">
        <v>546</v>
      </c>
      <c r="DD125" t="s">
        <v>561</v>
      </c>
    </row>
    <row r="126" ht="15" customHeight="1" spans="1:122">
      <c r="A126" t="s">
        <v>530</v>
      </c>
      <c r="B126" t="s">
        <v>1220</v>
      </c>
      <c r="C126" t="s">
        <v>656</v>
      </c>
      <c r="D126" t="s">
        <v>533</v>
      </c>
      <c r="E126" t="s">
        <v>534</v>
      </c>
      <c r="F126" t="s">
        <v>534</v>
      </c>
      <c r="G126" t="s">
        <v>535</v>
      </c>
      <c r="H126" s="1">
        <v>6616</v>
      </c>
      <c r="I126" s="1">
        <v>6601.78</v>
      </c>
      <c r="J126" t="s">
        <v>536</v>
      </c>
      <c r="L126" t="s">
        <v>536</v>
      </c>
      <c r="M126" t="s">
        <v>393</v>
      </c>
      <c r="N126" t="s">
        <v>657</v>
      </c>
      <c r="P126" s="1">
        <v>6616</v>
      </c>
      <c r="Q126" t="s">
        <v>658</v>
      </c>
      <c r="R126" t="s">
        <v>535</v>
      </c>
      <c r="S126" t="s">
        <v>539</v>
      </c>
      <c r="T126" s="2">
        <v>1</v>
      </c>
      <c r="U126" s="1">
        <v>6616</v>
      </c>
      <c r="V126" s="1">
        <v>6601.78</v>
      </c>
      <c r="X126" t="s">
        <v>540</v>
      </c>
      <c r="Z126" t="s">
        <v>541</v>
      </c>
      <c r="AA126" t="s">
        <v>542</v>
      </c>
      <c r="AB126" t="s">
        <v>659</v>
      </c>
      <c r="AC126" t="s">
        <v>544</v>
      </c>
      <c r="AD126" t="s">
        <v>545</v>
      </c>
      <c r="AE126" s="3">
        <v>1</v>
      </c>
      <c r="AF126" t="s">
        <v>76</v>
      </c>
      <c r="AG126" s="1">
        <v>6616</v>
      </c>
      <c r="AI126" s="1">
        <v>6616</v>
      </c>
      <c r="AJ126" s="1">
        <v>6616</v>
      </c>
      <c r="AK126" s="1">
        <v>14.22</v>
      </c>
      <c r="AM126" s="1">
        <v>6601.78</v>
      </c>
      <c r="AN126" t="s">
        <v>536</v>
      </c>
      <c r="AO126" t="s">
        <v>546</v>
      </c>
      <c r="AP126" t="s">
        <v>547</v>
      </c>
      <c r="AQ126" t="s">
        <v>548</v>
      </c>
      <c r="AS126" t="s">
        <v>393</v>
      </c>
      <c r="AX126" s="1">
        <v>6616</v>
      </c>
      <c r="AY126" t="s">
        <v>546</v>
      </c>
      <c r="AZ126" t="s">
        <v>549</v>
      </c>
      <c r="BA126" s="1">
        <v>6616</v>
      </c>
      <c r="BC126" t="s">
        <v>546</v>
      </c>
      <c r="BD126" s="1">
        <v>6616</v>
      </c>
      <c r="BE126" t="s">
        <v>540</v>
      </c>
      <c r="BF126" s="1">
        <v>6616</v>
      </c>
      <c r="BG126" s="1">
        <v>14.22</v>
      </c>
      <c r="BH126" s="1">
        <v>6601.78</v>
      </c>
      <c r="BI126" t="s">
        <v>550</v>
      </c>
      <c r="BJ126" t="s">
        <v>660</v>
      </c>
      <c r="BK126" t="s">
        <v>552</v>
      </c>
      <c r="BL126" t="s">
        <v>552</v>
      </c>
      <c r="BM126" t="s">
        <v>533</v>
      </c>
      <c r="BN126" t="s">
        <v>1221</v>
      </c>
      <c r="BO126" t="s">
        <v>1222</v>
      </c>
      <c r="BR126" t="s">
        <v>546</v>
      </c>
      <c r="BS126" s="1">
        <v>6616</v>
      </c>
      <c r="BW126" t="s">
        <v>536</v>
      </c>
      <c r="BX126" s="1">
        <v>6616</v>
      </c>
      <c r="BZ126" t="s">
        <v>535</v>
      </c>
      <c r="CA126" t="s">
        <v>546</v>
      </c>
      <c r="CB126" t="s">
        <v>533</v>
      </c>
      <c r="CC126" t="s">
        <v>556</v>
      </c>
      <c r="CD126" t="s">
        <v>1223</v>
      </c>
      <c r="CE126" t="s">
        <v>1224</v>
      </c>
      <c r="CF126" t="s">
        <v>76</v>
      </c>
      <c r="CG126" s="4">
        <v>1</v>
      </c>
      <c r="CH126" t="s">
        <v>546</v>
      </c>
      <c r="CK126" t="s">
        <v>1225</v>
      </c>
      <c r="CL126" s="1">
        <v>6616</v>
      </c>
      <c r="CN126" t="s">
        <v>535</v>
      </c>
      <c r="CO126" t="s">
        <v>539</v>
      </c>
      <c r="CT126" t="s">
        <v>666</v>
      </c>
      <c r="CW126" t="s">
        <v>546</v>
      </c>
      <c r="DD126" t="s">
        <v>561</v>
      </c>
      <c r="DK126" t="s">
        <v>1226</v>
      </c>
      <c r="DL126" t="s">
        <v>1227</v>
      </c>
    </row>
    <row r="127" ht="15" customHeight="1" spans="1:122">
      <c r="A127" t="s">
        <v>530</v>
      </c>
      <c r="B127" t="s">
        <v>1228</v>
      </c>
      <c r="C127" t="s">
        <v>532</v>
      </c>
      <c r="D127" t="s">
        <v>984</v>
      </c>
      <c r="E127" t="s">
        <v>534</v>
      </c>
      <c r="F127" t="s">
        <v>534</v>
      </c>
      <c r="G127" t="s">
        <v>535</v>
      </c>
      <c r="H127" s="1">
        <v>5872</v>
      </c>
      <c r="I127" s="1">
        <v>5872</v>
      </c>
      <c r="J127" t="s">
        <v>536</v>
      </c>
      <c r="L127" t="s">
        <v>536</v>
      </c>
      <c r="M127" t="s">
        <v>377</v>
      </c>
      <c r="N127" t="s">
        <v>537</v>
      </c>
      <c r="P127" s="1">
        <v>5872</v>
      </c>
      <c r="Q127" t="s">
        <v>538</v>
      </c>
      <c r="R127" t="s">
        <v>535</v>
      </c>
      <c r="S127" t="s">
        <v>539</v>
      </c>
      <c r="T127" s="2">
        <v>1</v>
      </c>
      <c r="U127" s="1">
        <v>5872</v>
      </c>
      <c r="V127" s="1">
        <v>5872</v>
      </c>
      <c r="X127" t="s">
        <v>540</v>
      </c>
      <c r="Z127" t="s">
        <v>541</v>
      </c>
      <c r="AA127" t="s">
        <v>542</v>
      </c>
      <c r="AB127" t="s">
        <v>543</v>
      </c>
      <c r="AC127" t="s">
        <v>544</v>
      </c>
      <c r="AD127" t="s">
        <v>545</v>
      </c>
      <c r="AE127" s="3">
        <v>1</v>
      </c>
      <c r="AF127" t="s">
        <v>74</v>
      </c>
      <c r="AG127" s="1">
        <v>5872</v>
      </c>
      <c r="AI127" s="1">
        <v>5872</v>
      </c>
      <c r="AJ127" s="1">
        <v>5872</v>
      </c>
      <c r="AM127" s="1">
        <v>5872</v>
      </c>
      <c r="AN127" t="s">
        <v>643</v>
      </c>
      <c r="AO127" t="s">
        <v>546</v>
      </c>
      <c r="AP127" t="s">
        <v>643</v>
      </c>
      <c r="AQ127" t="s">
        <v>548</v>
      </c>
      <c r="AS127" t="s">
        <v>377</v>
      </c>
      <c r="AX127" s="1">
        <v>5872</v>
      </c>
      <c r="AY127" t="s">
        <v>546</v>
      </c>
      <c r="AZ127" t="s">
        <v>644</v>
      </c>
      <c r="BA127" s="1">
        <v>5872</v>
      </c>
      <c r="BC127" t="s">
        <v>546</v>
      </c>
      <c r="BD127" s="1">
        <v>5872</v>
      </c>
      <c r="BE127" t="s">
        <v>540</v>
      </c>
      <c r="BF127" s="1">
        <v>5872</v>
      </c>
      <c r="BH127" s="1">
        <v>5872</v>
      </c>
      <c r="BI127" t="s">
        <v>550</v>
      </c>
      <c r="BJ127" t="s">
        <v>551</v>
      </c>
      <c r="BK127" t="s">
        <v>551</v>
      </c>
      <c r="BL127" t="s">
        <v>552</v>
      </c>
      <c r="BM127" t="s">
        <v>533</v>
      </c>
      <c r="BN127" t="s">
        <v>1229</v>
      </c>
      <c r="BO127" t="s">
        <v>1230</v>
      </c>
      <c r="BR127" t="s">
        <v>546</v>
      </c>
      <c r="BS127" s="1">
        <v>5872</v>
      </c>
      <c r="BW127" t="s">
        <v>536</v>
      </c>
      <c r="BX127" s="1">
        <v>5872</v>
      </c>
      <c r="BZ127" t="s">
        <v>535</v>
      </c>
      <c r="CA127" t="s">
        <v>546</v>
      </c>
      <c r="CB127" t="s">
        <v>984</v>
      </c>
      <c r="CC127" t="s">
        <v>556</v>
      </c>
      <c r="CD127" t="s">
        <v>1032</v>
      </c>
      <c r="CE127" t="s">
        <v>1033</v>
      </c>
      <c r="CF127" t="s">
        <v>74</v>
      </c>
      <c r="CG127" s="4">
        <v>1</v>
      </c>
      <c r="CH127" t="s">
        <v>546</v>
      </c>
      <c r="CK127" t="s">
        <v>1231</v>
      </c>
      <c r="CL127" s="1">
        <v>5872</v>
      </c>
      <c r="CN127" t="s">
        <v>535</v>
      </c>
      <c r="CO127" t="s">
        <v>539</v>
      </c>
      <c r="CT127" t="s">
        <v>560</v>
      </c>
      <c r="CW127" t="s">
        <v>546</v>
      </c>
      <c r="DD127" t="s">
        <v>561</v>
      </c>
      <c r="DK127" t="s">
        <v>1232</v>
      </c>
      <c r="DL127" t="s">
        <v>1233</v>
      </c>
      <c r="DR127" t="s">
        <v>1234</v>
      </c>
    </row>
    <row r="128" ht="15" customHeight="1" spans="1:122">
      <c r="A128" t="s">
        <v>530</v>
      </c>
      <c r="B128" t="s">
        <v>1235</v>
      </c>
      <c r="C128" t="s">
        <v>532</v>
      </c>
      <c r="D128" t="s">
        <v>984</v>
      </c>
      <c r="E128" t="s">
        <v>534</v>
      </c>
      <c r="F128" t="s">
        <v>534</v>
      </c>
      <c r="G128" t="s">
        <v>535</v>
      </c>
      <c r="H128" s="1">
        <v>3900</v>
      </c>
      <c r="I128" s="1">
        <v>3900</v>
      </c>
      <c r="J128" t="s">
        <v>536</v>
      </c>
      <c r="L128" t="s">
        <v>536</v>
      </c>
      <c r="M128" t="s">
        <v>375</v>
      </c>
      <c r="N128" t="s">
        <v>537</v>
      </c>
      <c r="P128" s="1">
        <v>3900</v>
      </c>
      <c r="Q128" t="s">
        <v>580</v>
      </c>
      <c r="R128" t="s">
        <v>535</v>
      </c>
      <c r="S128" t="s">
        <v>539</v>
      </c>
      <c r="T128" s="2">
        <v>1</v>
      </c>
      <c r="U128" s="1">
        <v>3900</v>
      </c>
      <c r="V128" s="1">
        <v>3900</v>
      </c>
      <c r="X128" t="s">
        <v>540</v>
      </c>
      <c r="Z128" t="s">
        <v>541</v>
      </c>
      <c r="AA128" t="s">
        <v>542</v>
      </c>
      <c r="AB128" t="s">
        <v>543</v>
      </c>
      <c r="AC128" t="s">
        <v>544</v>
      </c>
      <c r="AD128" t="s">
        <v>545</v>
      </c>
      <c r="AE128" s="3">
        <v>1</v>
      </c>
      <c r="AF128" t="s">
        <v>77</v>
      </c>
      <c r="AG128" s="1">
        <v>3900</v>
      </c>
      <c r="AI128" s="1">
        <v>3900</v>
      </c>
      <c r="AJ128" s="1">
        <v>3900</v>
      </c>
      <c r="AM128" s="1">
        <v>3900</v>
      </c>
      <c r="AN128" t="s">
        <v>536</v>
      </c>
      <c r="AO128" t="s">
        <v>546</v>
      </c>
      <c r="AP128" t="s">
        <v>547</v>
      </c>
      <c r="AQ128" t="s">
        <v>548</v>
      </c>
      <c r="AS128" t="s">
        <v>375</v>
      </c>
      <c r="AX128" s="1">
        <v>3900</v>
      </c>
      <c r="AY128" t="s">
        <v>546</v>
      </c>
      <c r="AZ128" t="s">
        <v>549</v>
      </c>
      <c r="BA128" s="1">
        <v>3900</v>
      </c>
      <c r="BC128" t="s">
        <v>546</v>
      </c>
      <c r="BD128" s="1">
        <v>3900</v>
      </c>
      <c r="BE128" t="s">
        <v>540</v>
      </c>
      <c r="BF128" s="1">
        <v>3900</v>
      </c>
      <c r="BH128" s="1">
        <v>3900</v>
      </c>
      <c r="BI128" t="s">
        <v>550</v>
      </c>
      <c r="BJ128" t="s">
        <v>570</v>
      </c>
      <c r="BK128" t="s">
        <v>552</v>
      </c>
      <c r="BL128" t="s">
        <v>552</v>
      </c>
      <c r="BM128" t="s">
        <v>533</v>
      </c>
      <c r="BN128" t="s">
        <v>1236</v>
      </c>
      <c r="BO128" t="s">
        <v>1237</v>
      </c>
      <c r="BR128" t="s">
        <v>546</v>
      </c>
      <c r="BS128" s="1">
        <v>3900</v>
      </c>
      <c r="BW128" t="s">
        <v>536</v>
      </c>
      <c r="BX128" s="1">
        <v>3900</v>
      </c>
      <c r="BZ128" t="s">
        <v>535</v>
      </c>
      <c r="CA128" t="s">
        <v>546</v>
      </c>
      <c r="CB128" t="s">
        <v>984</v>
      </c>
      <c r="CC128" t="s">
        <v>556</v>
      </c>
      <c r="CD128" t="s">
        <v>1238</v>
      </c>
      <c r="CE128" t="s">
        <v>1239</v>
      </c>
      <c r="CF128" t="s">
        <v>77</v>
      </c>
      <c r="CG128" s="4">
        <v>1</v>
      </c>
      <c r="CH128" t="s">
        <v>546</v>
      </c>
      <c r="CK128" t="s">
        <v>1240</v>
      </c>
      <c r="CL128" s="1">
        <v>3900</v>
      </c>
      <c r="CN128" t="s">
        <v>535</v>
      </c>
      <c r="CO128" t="s">
        <v>539</v>
      </c>
      <c r="CT128" t="s">
        <v>576</v>
      </c>
      <c r="CW128" t="s">
        <v>546</v>
      </c>
      <c r="DD128" t="s">
        <v>561</v>
      </c>
      <c r="DK128" t="s">
        <v>1241</v>
      </c>
      <c r="DL128" t="s">
        <v>1242</v>
      </c>
    </row>
    <row r="129" ht="15" customHeight="1" spans="1:122">
      <c r="A129" t="s">
        <v>530</v>
      </c>
      <c r="B129" t="s">
        <v>1243</v>
      </c>
      <c r="C129" t="s">
        <v>532</v>
      </c>
      <c r="D129" t="s">
        <v>1244</v>
      </c>
      <c r="E129" t="s">
        <v>534</v>
      </c>
      <c r="F129" t="s">
        <v>534</v>
      </c>
      <c r="G129" t="s">
        <v>535</v>
      </c>
      <c r="H129" s="1">
        <v>2380</v>
      </c>
      <c r="I129" s="1">
        <v>2365.72</v>
      </c>
      <c r="J129" t="s">
        <v>536</v>
      </c>
      <c r="L129" t="s">
        <v>536</v>
      </c>
      <c r="M129" t="s">
        <v>375</v>
      </c>
      <c r="N129" t="s">
        <v>537</v>
      </c>
      <c r="P129" s="1">
        <v>2380</v>
      </c>
      <c r="Q129" t="s">
        <v>580</v>
      </c>
      <c r="R129" t="s">
        <v>535</v>
      </c>
      <c r="S129" t="s">
        <v>539</v>
      </c>
      <c r="T129" s="2">
        <v>1</v>
      </c>
      <c r="U129" s="1">
        <v>2380</v>
      </c>
      <c r="V129" s="1">
        <v>2365.72</v>
      </c>
      <c r="X129" t="s">
        <v>540</v>
      </c>
      <c r="Z129" t="s">
        <v>541</v>
      </c>
      <c r="AA129" t="s">
        <v>542</v>
      </c>
      <c r="AB129" t="s">
        <v>543</v>
      </c>
      <c r="AC129" t="s">
        <v>544</v>
      </c>
      <c r="AD129" t="s">
        <v>545</v>
      </c>
      <c r="AE129" s="3">
        <v>1</v>
      </c>
      <c r="AF129" t="s">
        <v>81</v>
      </c>
      <c r="AG129" s="1">
        <v>2380</v>
      </c>
      <c r="AI129" s="1">
        <v>2380</v>
      </c>
      <c r="AJ129" s="1">
        <v>2380</v>
      </c>
      <c r="AK129" s="1">
        <v>14.28</v>
      </c>
      <c r="AM129" s="1">
        <v>2365.72</v>
      </c>
      <c r="AN129" t="s">
        <v>536</v>
      </c>
      <c r="AO129" t="s">
        <v>546</v>
      </c>
      <c r="AP129" t="s">
        <v>547</v>
      </c>
      <c r="AQ129" t="s">
        <v>548</v>
      </c>
      <c r="AS129" t="s">
        <v>375</v>
      </c>
      <c r="AX129" s="1">
        <v>2380</v>
      </c>
      <c r="AY129" t="s">
        <v>546</v>
      </c>
      <c r="AZ129" t="s">
        <v>549</v>
      </c>
      <c r="BA129" s="1">
        <v>2380</v>
      </c>
      <c r="BC129" t="s">
        <v>546</v>
      </c>
      <c r="BD129" s="1">
        <v>2380</v>
      </c>
      <c r="BE129" t="s">
        <v>540</v>
      </c>
      <c r="BF129" s="1">
        <v>2380</v>
      </c>
      <c r="BG129" s="1">
        <v>14.28</v>
      </c>
      <c r="BH129" s="1">
        <v>2365.72</v>
      </c>
      <c r="BI129" t="s">
        <v>550</v>
      </c>
      <c r="BJ129" t="s">
        <v>551</v>
      </c>
      <c r="BK129" t="s">
        <v>552</v>
      </c>
      <c r="BL129" t="s">
        <v>552</v>
      </c>
      <c r="BM129" t="s">
        <v>533</v>
      </c>
      <c r="BN129" t="s">
        <v>1245</v>
      </c>
      <c r="BO129" t="s">
        <v>1246</v>
      </c>
      <c r="BR129" t="s">
        <v>546</v>
      </c>
      <c r="BS129" s="1">
        <v>2380</v>
      </c>
      <c r="BW129" t="s">
        <v>536</v>
      </c>
      <c r="BX129" s="1">
        <v>2380</v>
      </c>
      <c r="BZ129" t="s">
        <v>535</v>
      </c>
      <c r="CA129" t="s">
        <v>546</v>
      </c>
      <c r="CB129" t="s">
        <v>1244</v>
      </c>
      <c r="CC129" t="s">
        <v>556</v>
      </c>
      <c r="CD129" t="s">
        <v>1247</v>
      </c>
      <c r="CE129" t="s">
        <v>1248</v>
      </c>
      <c r="CF129" t="s">
        <v>81</v>
      </c>
      <c r="CG129" s="4">
        <v>1</v>
      </c>
      <c r="CH129" t="s">
        <v>546</v>
      </c>
      <c r="CK129" t="s">
        <v>1249</v>
      </c>
      <c r="CL129" s="1">
        <v>2380</v>
      </c>
      <c r="CN129" t="s">
        <v>535</v>
      </c>
      <c r="CO129" t="s">
        <v>539</v>
      </c>
      <c r="CT129" t="s">
        <v>576</v>
      </c>
      <c r="CW129" t="s">
        <v>546</v>
      </c>
      <c r="DD129" t="s">
        <v>561</v>
      </c>
      <c r="DK129" t="s">
        <v>1250</v>
      </c>
      <c r="DL129" t="s">
        <v>1251</v>
      </c>
    </row>
    <row r="130" ht="15" customHeight="1" spans="1:122">
      <c r="A130" t="s">
        <v>530</v>
      </c>
      <c r="B130" t="s">
        <v>1252</v>
      </c>
      <c r="C130" t="s">
        <v>532</v>
      </c>
      <c r="D130" t="s">
        <v>1244</v>
      </c>
      <c r="E130" t="s">
        <v>534</v>
      </c>
      <c r="F130" t="s">
        <v>534</v>
      </c>
      <c r="G130" t="s">
        <v>535</v>
      </c>
      <c r="H130" s="1">
        <v>595</v>
      </c>
      <c r="I130" s="1">
        <v>595</v>
      </c>
      <c r="J130" t="s">
        <v>536</v>
      </c>
      <c r="L130" t="s">
        <v>536</v>
      </c>
      <c r="M130" t="s">
        <v>375</v>
      </c>
      <c r="N130" t="s">
        <v>537</v>
      </c>
      <c r="P130" s="1">
        <v>595</v>
      </c>
      <c r="Q130" t="s">
        <v>580</v>
      </c>
      <c r="R130" t="s">
        <v>535</v>
      </c>
      <c r="S130" t="s">
        <v>539</v>
      </c>
      <c r="T130" s="2">
        <v>1</v>
      </c>
      <c r="U130" s="1">
        <v>595</v>
      </c>
      <c r="V130" s="1">
        <v>595</v>
      </c>
      <c r="X130" t="s">
        <v>540</v>
      </c>
      <c r="Z130" t="s">
        <v>541</v>
      </c>
      <c r="AA130" t="s">
        <v>542</v>
      </c>
      <c r="AB130" t="s">
        <v>543</v>
      </c>
      <c r="AC130" t="s">
        <v>544</v>
      </c>
      <c r="AD130" t="s">
        <v>545</v>
      </c>
      <c r="AE130" s="3">
        <v>1</v>
      </c>
      <c r="AF130" t="s">
        <v>81</v>
      </c>
      <c r="AG130" s="1">
        <v>595</v>
      </c>
      <c r="AI130" s="1">
        <v>595</v>
      </c>
      <c r="AJ130" s="1">
        <v>595</v>
      </c>
      <c r="AM130" s="1">
        <v>595</v>
      </c>
      <c r="AN130" t="s">
        <v>565</v>
      </c>
      <c r="AO130" t="s">
        <v>546</v>
      </c>
      <c r="AP130" t="s">
        <v>565</v>
      </c>
      <c r="AQ130" t="s">
        <v>548</v>
      </c>
      <c r="AS130" t="s">
        <v>375</v>
      </c>
      <c r="AX130" s="1">
        <v>595</v>
      </c>
      <c r="AY130" t="s">
        <v>546</v>
      </c>
      <c r="AZ130" t="s">
        <v>566</v>
      </c>
      <c r="BA130" s="1">
        <v>595</v>
      </c>
      <c r="BC130" t="s">
        <v>546</v>
      </c>
      <c r="BD130" s="1">
        <v>595</v>
      </c>
      <c r="BE130" t="s">
        <v>540</v>
      </c>
      <c r="BF130" s="1">
        <v>595</v>
      </c>
      <c r="BH130" s="1">
        <v>595</v>
      </c>
      <c r="BI130" t="s">
        <v>550</v>
      </c>
      <c r="BJ130" t="s">
        <v>551</v>
      </c>
      <c r="BK130" t="s">
        <v>551</v>
      </c>
      <c r="BL130" t="s">
        <v>552</v>
      </c>
      <c r="BM130" t="s">
        <v>533</v>
      </c>
      <c r="BN130" t="s">
        <v>1253</v>
      </c>
      <c r="BO130" t="s">
        <v>1254</v>
      </c>
      <c r="BR130" t="s">
        <v>546</v>
      </c>
      <c r="BS130" s="1">
        <v>595</v>
      </c>
      <c r="BW130" t="s">
        <v>536</v>
      </c>
      <c r="BX130" s="1">
        <v>595</v>
      </c>
      <c r="BZ130" t="s">
        <v>535</v>
      </c>
      <c r="CA130" t="s">
        <v>546</v>
      </c>
      <c r="CB130" t="s">
        <v>1244</v>
      </c>
      <c r="CC130" t="s">
        <v>556</v>
      </c>
      <c r="CD130" t="s">
        <v>1247</v>
      </c>
      <c r="CE130" t="s">
        <v>1248</v>
      </c>
      <c r="CF130" t="s">
        <v>81</v>
      </c>
      <c r="CG130" s="4">
        <v>1</v>
      </c>
      <c r="CH130" t="s">
        <v>546</v>
      </c>
      <c r="CK130" t="s">
        <v>1249</v>
      </c>
      <c r="CL130" s="1">
        <v>595</v>
      </c>
      <c r="CN130" t="s">
        <v>535</v>
      </c>
      <c r="CO130" t="s">
        <v>539</v>
      </c>
      <c r="CT130" t="s">
        <v>576</v>
      </c>
      <c r="CW130" t="s">
        <v>546</v>
      </c>
      <c r="DD130" t="s">
        <v>561</v>
      </c>
      <c r="DK130" t="s">
        <v>1250</v>
      </c>
      <c r="DL130" t="s">
        <v>1251</v>
      </c>
    </row>
    <row r="131" ht="15" customHeight="1" spans="1:122">
      <c r="A131" t="s">
        <v>530</v>
      </c>
      <c r="B131" t="s">
        <v>1255</v>
      </c>
      <c r="C131" t="s">
        <v>532</v>
      </c>
      <c r="D131" t="s">
        <v>533</v>
      </c>
      <c r="E131" t="s">
        <v>534</v>
      </c>
      <c r="F131" t="s">
        <v>534</v>
      </c>
      <c r="G131" t="s">
        <v>535</v>
      </c>
      <c r="H131" s="1">
        <v>3280</v>
      </c>
      <c r="I131" s="1">
        <v>3280</v>
      </c>
      <c r="J131" t="s">
        <v>536</v>
      </c>
      <c r="L131" t="s">
        <v>536</v>
      </c>
      <c r="M131" t="s">
        <v>380</v>
      </c>
      <c r="N131" t="s">
        <v>537</v>
      </c>
      <c r="P131" s="1">
        <v>3280</v>
      </c>
      <c r="Q131" t="s">
        <v>970</v>
      </c>
      <c r="R131" t="s">
        <v>535</v>
      </c>
      <c r="S131" t="s">
        <v>539</v>
      </c>
      <c r="T131" s="2">
        <v>1</v>
      </c>
      <c r="U131" s="1">
        <v>3280</v>
      </c>
      <c r="V131" s="1">
        <v>3280</v>
      </c>
      <c r="X131" t="s">
        <v>540</v>
      </c>
      <c r="Z131" t="s">
        <v>541</v>
      </c>
      <c r="AA131" t="s">
        <v>542</v>
      </c>
      <c r="AB131" t="s">
        <v>543</v>
      </c>
      <c r="AC131" t="s">
        <v>544</v>
      </c>
      <c r="AD131" t="s">
        <v>545</v>
      </c>
      <c r="AE131" s="3">
        <v>1</v>
      </c>
      <c r="AF131" t="s">
        <v>80</v>
      </c>
      <c r="AG131" s="1">
        <v>3280</v>
      </c>
      <c r="AI131" s="1">
        <v>3280</v>
      </c>
      <c r="AJ131" s="1">
        <v>3280</v>
      </c>
      <c r="AM131" s="1">
        <v>3280</v>
      </c>
      <c r="AN131" t="s">
        <v>643</v>
      </c>
      <c r="AO131" t="s">
        <v>546</v>
      </c>
      <c r="AP131" t="s">
        <v>643</v>
      </c>
      <c r="AQ131" t="s">
        <v>548</v>
      </c>
      <c r="AS131" t="s">
        <v>380</v>
      </c>
      <c r="AX131" s="1">
        <v>3280</v>
      </c>
      <c r="AY131" t="s">
        <v>546</v>
      </c>
      <c r="AZ131" t="s">
        <v>644</v>
      </c>
      <c r="BA131" s="1">
        <v>3280</v>
      </c>
      <c r="BC131" t="s">
        <v>546</v>
      </c>
      <c r="BD131" s="1">
        <v>3280</v>
      </c>
      <c r="BE131" t="s">
        <v>540</v>
      </c>
      <c r="BF131" s="1">
        <v>3280</v>
      </c>
      <c r="BH131" s="1">
        <v>3280</v>
      </c>
      <c r="BI131" t="s">
        <v>550</v>
      </c>
      <c r="BJ131" t="s">
        <v>551</v>
      </c>
      <c r="BK131" t="s">
        <v>551</v>
      </c>
      <c r="BL131" t="s">
        <v>552</v>
      </c>
      <c r="BM131" t="s">
        <v>533</v>
      </c>
      <c r="BN131" t="s">
        <v>1256</v>
      </c>
      <c r="BO131" t="s">
        <v>1257</v>
      </c>
      <c r="BR131" t="s">
        <v>546</v>
      </c>
      <c r="BS131" s="1">
        <v>3280</v>
      </c>
      <c r="BW131" t="s">
        <v>536</v>
      </c>
      <c r="BX131" s="1">
        <v>3280</v>
      </c>
      <c r="BZ131" t="s">
        <v>535</v>
      </c>
      <c r="CA131" t="s">
        <v>546</v>
      </c>
      <c r="CB131" t="s">
        <v>533</v>
      </c>
      <c r="CC131" t="s">
        <v>556</v>
      </c>
      <c r="CD131" t="s">
        <v>961</v>
      </c>
      <c r="CE131" t="s">
        <v>962</v>
      </c>
      <c r="CF131" t="s">
        <v>80</v>
      </c>
      <c r="CG131" s="4">
        <v>1</v>
      </c>
      <c r="CH131" t="s">
        <v>546</v>
      </c>
      <c r="CK131" t="s">
        <v>1258</v>
      </c>
      <c r="CL131" s="1">
        <v>3280</v>
      </c>
      <c r="CN131" t="s">
        <v>535</v>
      </c>
      <c r="CO131" t="s">
        <v>539</v>
      </c>
      <c r="CT131" t="s">
        <v>576</v>
      </c>
      <c r="CW131" t="s">
        <v>546</v>
      </c>
      <c r="DD131" t="s">
        <v>561</v>
      </c>
      <c r="DK131" t="s">
        <v>1259</v>
      </c>
      <c r="DL131" t="s">
        <v>1260</v>
      </c>
      <c r="DR131" t="s">
        <v>1261</v>
      </c>
    </row>
    <row r="132" ht="15" customHeight="1" spans="1:122">
      <c r="A132" t="s">
        <v>530</v>
      </c>
      <c r="B132" t="s">
        <v>1262</v>
      </c>
      <c r="C132" t="s">
        <v>532</v>
      </c>
      <c r="D132" t="s">
        <v>533</v>
      </c>
      <c r="E132" t="s">
        <v>534</v>
      </c>
      <c r="F132" t="s">
        <v>534</v>
      </c>
      <c r="G132" t="s">
        <v>535</v>
      </c>
      <c r="H132" s="1">
        <v>2591</v>
      </c>
      <c r="I132" s="1">
        <v>2591</v>
      </c>
      <c r="J132" t="s">
        <v>536</v>
      </c>
      <c r="L132" t="s">
        <v>536</v>
      </c>
      <c r="M132" t="s">
        <v>380</v>
      </c>
      <c r="N132" t="s">
        <v>537</v>
      </c>
      <c r="P132" s="1">
        <v>2591</v>
      </c>
      <c r="Q132" t="s">
        <v>970</v>
      </c>
      <c r="R132" t="s">
        <v>535</v>
      </c>
      <c r="S132" t="s">
        <v>539</v>
      </c>
      <c r="T132" s="2">
        <v>1</v>
      </c>
      <c r="U132" s="1">
        <v>2591</v>
      </c>
      <c r="V132" s="1">
        <v>2591</v>
      </c>
      <c r="X132" t="s">
        <v>540</v>
      </c>
      <c r="Z132" t="s">
        <v>541</v>
      </c>
      <c r="AA132" t="s">
        <v>542</v>
      </c>
      <c r="AB132" t="s">
        <v>543</v>
      </c>
      <c r="AC132" t="s">
        <v>544</v>
      </c>
      <c r="AD132" t="s">
        <v>545</v>
      </c>
      <c r="AE132" s="3">
        <v>1</v>
      </c>
      <c r="AF132" t="s">
        <v>79</v>
      </c>
      <c r="AG132" s="1">
        <v>2591</v>
      </c>
      <c r="AI132" s="1">
        <v>2591</v>
      </c>
      <c r="AJ132" s="1">
        <v>2591</v>
      </c>
      <c r="AM132" s="1">
        <v>2591</v>
      </c>
      <c r="AN132" t="s">
        <v>643</v>
      </c>
      <c r="AO132" t="s">
        <v>546</v>
      </c>
      <c r="AP132" t="s">
        <v>643</v>
      </c>
      <c r="AQ132" t="s">
        <v>548</v>
      </c>
      <c r="AS132" t="s">
        <v>380</v>
      </c>
      <c r="AX132" s="1">
        <v>2591</v>
      </c>
      <c r="AY132" t="s">
        <v>546</v>
      </c>
      <c r="AZ132" t="s">
        <v>644</v>
      </c>
      <c r="BA132" s="1">
        <v>2591</v>
      </c>
      <c r="BC132" t="s">
        <v>546</v>
      </c>
      <c r="BD132" s="1">
        <v>2591</v>
      </c>
      <c r="BE132" t="s">
        <v>540</v>
      </c>
      <c r="BF132" s="1">
        <v>2591</v>
      </c>
      <c r="BH132" s="1">
        <v>2591</v>
      </c>
      <c r="BI132" t="s">
        <v>550</v>
      </c>
      <c r="BJ132" t="s">
        <v>551</v>
      </c>
      <c r="BK132" t="s">
        <v>551</v>
      </c>
      <c r="BL132" t="s">
        <v>552</v>
      </c>
      <c r="BM132" t="s">
        <v>533</v>
      </c>
      <c r="BN132" t="s">
        <v>1263</v>
      </c>
      <c r="BO132" t="s">
        <v>1264</v>
      </c>
      <c r="BR132" t="s">
        <v>546</v>
      </c>
      <c r="BS132" s="1">
        <v>2591</v>
      </c>
      <c r="BW132" t="s">
        <v>536</v>
      </c>
      <c r="BX132" s="1">
        <v>2591</v>
      </c>
      <c r="BZ132" t="s">
        <v>535</v>
      </c>
      <c r="CA132" t="s">
        <v>546</v>
      </c>
      <c r="CB132" t="s">
        <v>533</v>
      </c>
      <c r="CC132" t="s">
        <v>556</v>
      </c>
      <c r="CD132" t="s">
        <v>720</v>
      </c>
      <c r="CE132" t="s">
        <v>721</v>
      </c>
      <c r="CF132" t="s">
        <v>79</v>
      </c>
      <c r="CG132" s="4">
        <v>1</v>
      </c>
      <c r="CH132" t="s">
        <v>546</v>
      </c>
      <c r="CK132" t="s">
        <v>1265</v>
      </c>
      <c r="CL132" s="1">
        <v>2591</v>
      </c>
      <c r="CN132" t="s">
        <v>535</v>
      </c>
      <c r="CO132" t="s">
        <v>539</v>
      </c>
      <c r="CT132" t="s">
        <v>576</v>
      </c>
      <c r="CW132" t="s">
        <v>546</v>
      </c>
      <c r="DD132" t="s">
        <v>561</v>
      </c>
      <c r="DK132" t="s">
        <v>1266</v>
      </c>
      <c r="DL132" t="s">
        <v>1267</v>
      </c>
      <c r="DR132" t="s">
        <v>1268</v>
      </c>
    </row>
    <row r="133" ht="15" customHeight="1" spans="1:122">
      <c r="A133" t="s">
        <v>530</v>
      </c>
      <c r="B133" t="s">
        <v>1269</v>
      </c>
      <c r="C133" t="s">
        <v>532</v>
      </c>
      <c r="D133" t="s">
        <v>533</v>
      </c>
      <c r="E133" t="s">
        <v>534</v>
      </c>
      <c r="F133" t="s">
        <v>534</v>
      </c>
      <c r="G133" t="s">
        <v>535</v>
      </c>
      <c r="H133" s="1">
        <v>22330</v>
      </c>
      <c r="I133" s="1">
        <v>22330</v>
      </c>
      <c r="J133" t="s">
        <v>536</v>
      </c>
      <c r="L133" t="s">
        <v>536</v>
      </c>
      <c r="M133" t="s">
        <v>380</v>
      </c>
      <c r="N133" t="s">
        <v>537</v>
      </c>
      <c r="P133" s="1">
        <v>22330</v>
      </c>
      <c r="Q133" t="s">
        <v>970</v>
      </c>
      <c r="R133" t="s">
        <v>535</v>
      </c>
      <c r="S133" t="s">
        <v>539</v>
      </c>
      <c r="T133" s="2">
        <v>1</v>
      </c>
      <c r="U133" s="1">
        <v>22330</v>
      </c>
      <c r="V133" s="1">
        <v>22330</v>
      </c>
      <c r="X133" t="s">
        <v>540</v>
      </c>
      <c r="Z133" t="s">
        <v>541</v>
      </c>
      <c r="AA133" t="s">
        <v>542</v>
      </c>
      <c r="AB133" t="s">
        <v>543</v>
      </c>
      <c r="AC133" t="s">
        <v>544</v>
      </c>
      <c r="AD133" t="s">
        <v>545</v>
      </c>
      <c r="AE133" s="3">
        <v>1</v>
      </c>
      <c r="AF133" t="s">
        <v>82</v>
      </c>
      <c r="AG133" s="1">
        <v>22330</v>
      </c>
      <c r="AI133" s="1">
        <v>22330</v>
      </c>
      <c r="AJ133" s="1">
        <v>22330</v>
      </c>
      <c r="AM133" s="1">
        <v>22330</v>
      </c>
      <c r="AN133" t="s">
        <v>536</v>
      </c>
      <c r="AO133" t="s">
        <v>546</v>
      </c>
      <c r="AP133" t="s">
        <v>547</v>
      </c>
      <c r="AQ133" t="s">
        <v>548</v>
      </c>
      <c r="AS133" t="s">
        <v>380</v>
      </c>
      <c r="AX133" s="1">
        <v>22330</v>
      </c>
      <c r="AY133" t="s">
        <v>546</v>
      </c>
      <c r="AZ133" t="s">
        <v>549</v>
      </c>
      <c r="BA133" s="1">
        <v>22330</v>
      </c>
      <c r="BC133" t="s">
        <v>546</v>
      </c>
      <c r="BD133" s="1">
        <v>22330</v>
      </c>
      <c r="BE133" t="s">
        <v>540</v>
      </c>
      <c r="BF133" s="1">
        <v>22330</v>
      </c>
      <c r="BH133" s="1">
        <v>22330</v>
      </c>
      <c r="BI133" t="s">
        <v>550</v>
      </c>
      <c r="BJ133" t="s">
        <v>551</v>
      </c>
      <c r="BK133" t="s">
        <v>551</v>
      </c>
      <c r="BL133" t="s">
        <v>552</v>
      </c>
      <c r="BM133" t="s">
        <v>533</v>
      </c>
      <c r="BN133" t="s">
        <v>1270</v>
      </c>
      <c r="BO133" t="s">
        <v>1271</v>
      </c>
      <c r="BR133" t="s">
        <v>546</v>
      </c>
      <c r="BS133" s="1">
        <v>22330</v>
      </c>
      <c r="BW133" t="s">
        <v>536</v>
      </c>
      <c r="BX133" s="1">
        <v>22330</v>
      </c>
      <c r="BZ133" t="s">
        <v>535</v>
      </c>
      <c r="CA133" t="s">
        <v>546</v>
      </c>
      <c r="CB133" t="s">
        <v>533</v>
      </c>
      <c r="CC133" t="s">
        <v>556</v>
      </c>
      <c r="CD133" t="s">
        <v>1108</v>
      </c>
      <c r="CE133" t="s">
        <v>1109</v>
      </c>
      <c r="CF133" t="s">
        <v>82</v>
      </c>
      <c r="CG133" s="4">
        <v>1</v>
      </c>
      <c r="CH133" t="s">
        <v>546</v>
      </c>
      <c r="CK133" t="s">
        <v>1272</v>
      </c>
      <c r="CL133" s="1">
        <v>22330</v>
      </c>
      <c r="CN133" t="s">
        <v>535</v>
      </c>
      <c r="CO133" t="s">
        <v>539</v>
      </c>
      <c r="CT133" t="s">
        <v>576</v>
      </c>
      <c r="CW133" t="s">
        <v>546</v>
      </c>
      <c r="DD133" t="s">
        <v>561</v>
      </c>
      <c r="DK133" t="s">
        <v>1273</v>
      </c>
      <c r="DL133" t="s">
        <v>1274</v>
      </c>
    </row>
    <row r="134" ht="15" customHeight="1" spans="1:122">
      <c r="A134" t="s">
        <v>603</v>
      </c>
      <c r="B134" t="s">
        <v>1275</v>
      </c>
      <c r="C134" t="s">
        <v>532</v>
      </c>
      <c r="D134" t="s">
        <v>533</v>
      </c>
      <c r="E134" t="s">
        <v>534</v>
      </c>
      <c r="F134" t="s">
        <v>534</v>
      </c>
      <c r="G134" t="s">
        <v>535</v>
      </c>
      <c r="H134" s="1">
        <v>22026</v>
      </c>
      <c r="I134" s="1">
        <v>21893.83</v>
      </c>
      <c r="J134" t="s">
        <v>536</v>
      </c>
      <c r="L134" t="s">
        <v>536</v>
      </c>
      <c r="M134" t="s">
        <v>411</v>
      </c>
      <c r="N134" t="s">
        <v>369</v>
      </c>
      <c r="P134" s="1">
        <v>22026</v>
      </c>
      <c r="Q134" t="s">
        <v>606</v>
      </c>
      <c r="R134" t="s">
        <v>535</v>
      </c>
      <c r="S134" t="s">
        <v>539</v>
      </c>
      <c r="T134" s="2">
        <v>1</v>
      </c>
      <c r="U134" s="1">
        <v>22026</v>
      </c>
      <c r="V134" s="1">
        <v>21893.83</v>
      </c>
      <c r="X134" t="s">
        <v>616</v>
      </c>
      <c r="Z134" t="s">
        <v>541</v>
      </c>
      <c r="AA134" t="s">
        <v>542</v>
      </c>
      <c r="AB134" t="s">
        <v>543</v>
      </c>
      <c r="AC134" t="s">
        <v>608</v>
      </c>
      <c r="AE134" s="3">
        <v>1</v>
      </c>
      <c r="AG134" s="1">
        <v>2686</v>
      </c>
      <c r="AI134" s="1">
        <v>22026</v>
      </c>
      <c r="AJ134" s="1">
        <v>2686</v>
      </c>
      <c r="AK134" s="1">
        <v>16.12</v>
      </c>
      <c r="AM134" s="1">
        <v>2669.88</v>
      </c>
      <c r="AN134" t="s">
        <v>536</v>
      </c>
      <c r="AO134" t="s">
        <v>546</v>
      </c>
      <c r="AP134" t="s">
        <v>547</v>
      </c>
      <c r="AQ134" t="s">
        <v>548</v>
      </c>
      <c r="AS134" t="s">
        <v>411</v>
      </c>
      <c r="AX134" s="1">
        <v>2686</v>
      </c>
      <c r="AY134" t="s">
        <v>546</v>
      </c>
      <c r="AZ134" t="s">
        <v>549</v>
      </c>
      <c r="BA134" s="1">
        <v>2686</v>
      </c>
      <c r="BB134" t="s">
        <v>1276</v>
      </c>
      <c r="BC134" t="s">
        <v>546</v>
      </c>
      <c r="BE134" t="s">
        <v>616</v>
      </c>
      <c r="BG134" s="1">
        <v>16.12</v>
      </c>
      <c r="BH134" s="1">
        <v>2669.88</v>
      </c>
      <c r="BI134" t="s">
        <v>550</v>
      </c>
      <c r="BJ134" t="s">
        <v>610</v>
      </c>
      <c r="BK134" t="s">
        <v>552</v>
      </c>
      <c r="BL134" t="s">
        <v>552</v>
      </c>
      <c r="BM134" t="s">
        <v>533</v>
      </c>
      <c r="BN134" t="s">
        <v>1277</v>
      </c>
      <c r="BO134" t="s">
        <v>1278</v>
      </c>
      <c r="BR134" t="s">
        <v>546</v>
      </c>
      <c r="BS134" s="1">
        <v>2686</v>
      </c>
      <c r="BW134" t="s">
        <v>536</v>
      </c>
      <c r="BZ134" t="s">
        <v>535</v>
      </c>
      <c r="CA134" t="s">
        <v>546</v>
      </c>
      <c r="CB134" t="s">
        <v>533</v>
      </c>
      <c r="CC134" t="s">
        <v>556</v>
      </c>
      <c r="CH134" t="s">
        <v>546</v>
      </c>
      <c r="CK134" t="s">
        <v>1279</v>
      </c>
      <c r="CN134" t="s">
        <v>535</v>
      </c>
      <c r="CO134" t="s">
        <v>539</v>
      </c>
      <c r="CT134" t="s">
        <v>576</v>
      </c>
      <c r="CW134" t="s">
        <v>546</v>
      </c>
      <c r="DD134" t="s">
        <v>561</v>
      </c>
      <c r="DK134" t="s">
        <v>1280</v>
      </c>
      <c r="DR134" t="s">
        <v>1280</v>
      </c>
    </row>
    <row r="135" ht="15" customHeight="1" spans="1:122">
      <c r="AB135" t="s">
        <v>543</v>
      </c>
      <c r="AC135" t="s">
        <v>608</v>
      </c>
      <c r="AG135" s="1">
        <v>2372</v>
      </c>
      <c r="AJ135" s="1">
        <v>2372</v>
      </c>
      <c r="AK135" s="1">
        <v>14.23</v>
      </c>
      <c r="AM135" s="1">
        <v>2357.77</v>
      </c>
      <c r="AN135" t="s">
        <v>536</v>
      </c>
      <c r="AP135" t="s">
        <v>547</v>
      </c>
      <c r="AX135" s="1">
        <v>2372</v>
      </c>
      <c r="AZ135" t="s">
        <v>549</v>
      </c>
      <c r="BA135" s="1">
        <v>2372</v>
      </c>
      <c r="BB135" t="s">
        <v>1281</v>
      </c>
      <c r="BC135" t="s">
        <v>546</v>
      </c>
      <c r="BE135" t="s">
        <v>616</v>
      </c>
      <c r="BG135" s="1">
        <v>14.23</v>
      </c>
      <c r="BH135" s="1">
        <v>2357.77</v>
      </c>
      <c r="BS135" s="1">
        <v>2372</v>
      </c>
      <c r="CB135" t="s">
        <v>533</v>
      </c>
      <c r="CC135" t="s">
        <v>556</v>
      </c>
      <c r="DD135" t="s">
        <v>561</v>
      </c>
    </row>
    <row r="136" ht="15" customHeight="1" spans="1:122">
      <c r="AB136" t="s">
        <v>543</v>
      </c>
      <c r="AC136" t="s">
        <v>608</v>
      </c>
      <c r="AG136" s="1">
        <v>2686</v>
      </c>
      <c r="AJ136" s="1">
        <v>2686</v>
      </c>
      <c r="AK136" s="1">
        <v>16.12</v>
      </c>
      <c r="AM136" s="1">
        <v>2669.88</v>
      </c>
      <c r="AN136" t="s">
        <v>536</v>
      </c>
      <c r="AP136" t="s">
        <v>547</v>
      </c>
      <c r="AX136" s="1">
        <v>2686</v>
      </c>
      <c r="AZ136" t="s">
        <v>549</v>
      </c>
      <c r="BA136" s="1">
        <v>2686</v>
      </c>
      <c r="BB136" t="s">
        <v>1282</v>
      </c>
      <c r="BC136" t="s">
        <v>546</v>
      </c>
      <c r="BE136" t="s">
        <v>616</v>
      </c>
      <c r="BG136" s="1">
        <v>16.12</v>
      </c>
      <c r="BH136" s="1">
        <v>2669.88</v>
      </c>
      <c r="BS136" s="1">
        <v>2686</v>
      </c>
      <c r="CB136" t="s">
        <v>533</v>
      </c>
      <c r="CC136" t="s">
        <v>556</v>
      </c>
      <c r="DD136" t="s">
        <v>561</v>
      </c>
    </row>
    <row r="137" ht="15" customHeight="1" spans="1:122">
      <c r="AB137" t="s">
        <v>543</v>
      </c>
      <c r="AC137" t="s">
        <v>608</v>
      </c>
      <c r="AG137" s="1">
        <v>2764</v>
      </c>
      <c r="AJ137" s="1">
        <v>2764</v>
      </c>
      <c r="AK137" s="1">
        <v>16.58</v>
      </c>
      <c r="AM137" s="1">
        <v>2747.42</v>
      </c>
      <c r="AN137" t="s">
        <v>536</v>
      </c>
      <c r="AP137" t="s">
        <v>547</v>
      </c>
      <c r="AX137" s="1">
        <v>2764</v>
      </c>
      <c r="AZ137" t="s">
        <v>549</v>
      </c>
      <c r="BA137" s="1">
        <v>2764</v>
      </c>
      <c r="BB137" t="s">
        <v>1283</v>
      </c>
      <c r="BC137" t="s">
        <v>546</v>
      </c>
      <c r="BE137" t="s">
        <v>616</v>
      </c>
      <c r="BG137" s="1">
        <v>16.58</v>
      </c>
      <c r="BH137" s="1">
        <v>2747.42</v>
      </c>
      <c r="BS137" s="1">
        <v>2764</v>
      </c>
      <c r="CB137" t="s">
        <v>533</v>
      </c>
      <c r="CC137" t="s">
        <v>556</v>
      </c>
      <c r="DD137" t="s">
        <v>561</v>
      </c>
    </row>
    <row r="138" ht="15" customHeight="1" spans="1:122">
      <c r="AB138" t="s">
        <v>543</v>
      </c>
      <c r="AC138" t="s">
        <v>608</v>
      </c>
      <c r="AG138" s="1">
        <v>2686</v>
      </c>
      <c r="AJ138" s="1">
        <v>2686</v>
      </c>
      <c r="AK138" s="1">
        <v>16.12</v>
      </c>
      <c r="AM138" s="1">
        <v>2669.88</v>
      </c>
      <c r="AN138" t="s">
        <v>536</v>
      </c>
      <c r="AP138" t="s">
        <v>547</v>
      </c>
      <c r="AX138" s="1">
        <v>2686</v>
      </c>
      <c r="AZ138" t="s">
        <v>549</v>
      </c>
      <c r="BA138" s="1">
        <v>2686</v>
      </c>
      <c r="BB138" t="s">
        <v>1284</v>
      </c>
      <c r="BC138" t="s">
        <v>546</v>
      </c>
      <c r="BE138" t="s">
        <v>616</v>
      </c>
      <c r="BG138" s="1">
        <v>16.12</v>
      </c>
      <c r="BH138" s="1">
        <v>2669.88</v>
      </c>
      <c r="BS138" s="1">
        <v>2686</v>
      </c>
      <c r="CB138" t="s">
        <v>533</v>
      </c>
      <c r="CC138" t="s">
        <v>556</v>
      </c>
      <c r="DD138" t="s">
        <v>561</v>
      </c>
    </row>
    <row r="139" ht="15" customHeight="1" spans="1:122">
      <c r="AB139" t="s">
        <v>543</v>
      </c>
      <c r="AC139" t="s">
        <v>608</v>
      </c>
      <c r="AG139" s="1">
        <v>3460</v>
      </c>
      <c r="AJ139" s="1">
        <v>3460</v>
      </c>
      <c r="AK139" s="1">
        <v>20.76</v>
      </c>
      <c r="AM139" s="1">
        <v>3439.24</v>
      </c>
      <c r="AN139" t="s">
        <v>536</v>
      </c>
      <c r="AP139" t="s">
        <v>547</v>
      </c>
      <c r="AX139" s="1">
        <v>3460</v>
      </c>
      <c r="AZ139" t="s">
        <v>549</v>
      </c>
      <c r="BA139" s="1">
        <v>3460</v>
      </c>
      <c r="BB139" t="s">
        <v>1285</v>
      </c>
      <c r="BC139" t="s">
        <v>546</v>
      </c>
      <c r="BE139" t="s">
        <v>616</v>
      </c>
      <c r="BG139" s="1">
        <v>20.76</v>
      </c>
      <c r="BH139" s="1">
        <v>3439.24</v>
      </c>
      <c r="BS139" s="1">
        <v>3460</v>
      </c>
      <c r="CB139" t="s">
        <v>533</v>
      </c>
      <c r="CC139" t="s">
        <v>556</v>
      </c>
      <c r="DD139" t="s">
        <v>561</v>
      </c>
    </row>
    <row r="140" ht="15" customHeight="1" spans="1:122">
      <c r="AB140" t="s">
        <v>543</v>
      </c>
      <c r="AC140" t="s">
        <v>608</v>
      </c>
      <c r="AG140" s="1">
        <v>2686</v>
      </c>
      <c r="AJ140" s="1">
        <v>2686</v>
      </c>
      <c r="AK140" s="1">
        <v>16.12</v>
      </c>
      <c r="AM140" s="1">
        <v>2669.88</v>
      </c>
      <c r="AN140" t="s">
        <v>536</v>
      </c>
      <c r="AP140" t="s">
        <v>547</v>
      </c>
      <c r="AX140" s="1">
        <v>2686</v>
      </c>
      <c r="AZ140" t="s">
        <v>549</v>
      </c>
      <c r="BA140" s="1">
        <v>2686</v>
      </c>
      <c r="BB140" t="s">
        <v>1286</v>
      </c>
      <c r="BC140" t="s">
        <v>546</v>
      </c>
      <c r="BE140" t="s">
        <v>616</v>
      </c>
      <c r="BG140" s="1">
        <v>16.12</v>
      </c>
      <c r="BH140" s="1">
        <v>2669.88</v>
      </c>
      <c r="BS140" s="1">
        <v>2686</v>
      </c>
      <c r="CB140" t="s">
        <v>533</v>
      </c>
      <c r="CC140" t="s">
        <v>556</v>
      </c>
      <c r="DD140" t="s">
        <v>561</v>
      </c>
    </row>
    <row r="141" ht="15" customHeight="1" spans="1:122">
      <c r="AB141" t="s">
        <v>543</v>
      </c>
      <c r="AC141" t="s">
        <v>608</v>
      </c>
      <c r="AG141" s="1">
        <v>2686</v>
      </c>
      <c r="AJ141" s="1">
        <v>2686</v>
      </c>
      <c r="AK141" s="1">
        <v>16.12</v>
      </c>
      <c r="AM141" s="1">
        <v>2669.88</v>
      </c>
      <c r="AN141" t="s">
        <v>536</v>
      </c>
      <c r="AP141" t="s">
        <v>547</v>
      </c>
      <c r="AX141" s="1">
        <v>2686</v>
      </c>
      <c r="AZ141" t="s">
        <v>549</v>
      </c>
      <c r="BA141" s="1">
        <v>2686</v>
      </c>
      <c r="BB141" t="s">
        <v>1287</v>
      </c>
      <c r="BC141" t="s">
        <v>546</v>
      </c>
      <c r="BE141" t="s">
        <v>616</v>
      </c>
      <c r="BG141" s="1">
        <v>16.12</v>
      </c>
      <c r="BH141" s="1">
        <v>2669.88</v>
      </c>
      <c r="BS141" s="1">
        <v>2686</v>
      </c>
      <c r="CB141" t="s">
        <v>533</v>
      </c>
      <c r="CC141" t="s">
        <v>556</v>
      </c>
      <c r="DD141" t="s">
        <v>561</v>
      </c>
    </row>
    <row r="142" ht="15" customHeight="1" spans="1:122">
      <c r="A142" t="s">
        <v>603</v>
      </c>
      <c r="B142" t="s">
        <v>1288</v>
      </c>
      <c r="C142" t="s">
        <v>532</v>
      </c>
      <c r="D142" t="s">
        <v>1244</v>
      </c>
      <c r="E142" t="s">
        <v>534</v>
      </c>
      <c r="F142" t="s">
        <v>534</v>
      </c>
      <c r="G142" t="s">
        <v>535</v>
      </c>
      <c r="H142" s="1">
        <v>20236</v>
      </c>
      <c r="I142" s="1">
        <v>20114.58</v>
      </c>
      <c r="J142" t="s">
        <v>536</v>
      </c>
      <c r="L142" t="s">
        <v>536</v>
      </c>
      <c r="M142" t="s">
        <v>411</v>
      </c>
      <c r="N142" t="s">
        <v>369</v>
      </c>
      <c r="P142" s="1">
        <v>20236</v>
      </c>
      <c r="Q142" t="s">
        <v>606</v>
      </c>
      <c r="R142" t="s">
        <v>535</v>
      </c>
      <c r="S142" t="s">
        <v>539</v>
      </c>
      <c r="T142" s="2">
        <v>1</v>
      </c>
      <c r="U142" s="1">
        <v>20236</v>
      </c>
      <c r="V142" s="1">
        <v>20114.58</v>
      </c>
      <c r="X142" t="s">
        <v>607</v>
      </c>
      <c r="Z142" t="s">
        <v>541</v>
      </c>
      <c r="AA142" t="s">
        <v>542</v>
      </c>
      <c r="AB142" t="s">
        <v>543</v>
      </c>
      <c r="AC142" t="s">
        <v>608</v>
      </c>
      <c r="AE142" s="3">
        <v>1</v>
      </c>
      <c r="AG142" s="1">
        <v>2574</v>
      </c>
      <c r="AI142" s="1">
        <v>20236</v>
      </c>
      <c r="AJ142" s="1">
        <v>2574</v>
      </c>
      <c r="AK142" s="1">
        <v>15.44</v>
      </c>
      <c r="AM142" s="1">
        <v>2558.56</v>
      </c>
      <c r="AN142" t="s">
        <v>536</v>
      </c>
      <c r="AO142" t="s">
        <v>546</v>
      </c>
      <c r="AP142" t="s">
        <v>547</v>
      </c>
      <c r="AQ142" t="s">
        <v>548</v>
      </c>
      <c r="AS142" t="s">
        <v>411</v>
      </c>
      <c r="AX142" s="1">
        <v>2574</v>
      </c>
      <c r="AY142" t="s">
        <v>546</v>
      </c>
      <c r="AZ142" t="s">
        <v>549</v>
      </c>
      <c r="BA142" s="1">
        <v>2574</v>
      </c>
      <c r="BB142" t="s">
        <v>1289</v>
      </c>
      <c r="BC142" t="s">
        <v>546</v>
      </c>
      <c r="BE142" t="s">
        <v>616</v>
      </c>
      <c r="BG142" s="1">
        <v>15.44</v>
      </c>
      <c r="BH142" s="1">
        <v>2558.56</v>
      </c>
      <c r="BI142" t="s">
        <v>550</v>
      </c>
      <c r="BJ142" t="s">
        <v>610</v>
      </c>
      <c r="BK142" t="s">
        <v>552</v>
      </c>
      <c r="BL142" t="s">
        <v>552</v>
      </c>
      <c r="BM142" t="s">
        <v>533</v>
      </c>
      <c r="BN142" t="s">
        <v>1290</v>
      </c>
      <c r="BO142" t="s">
        <v>1291</v>
      </c>
      <c r="BR142" t="s">
        <v>546</v>
      </c>
      <c r="BS142" s="1">
        <v>2574</v>
      </c>
      <c r="BW142" t="s">
        <v>536</v>
      </c>
      <c r="BZ142" t="s">
        <v>535</v>
      </c>
      <c r="CA142" t="s">
        <v>546</v>
      </c>
      <c r="CB142" t="s">
        <v>1244</v>
      </c>
      <c r="CC142" t="s">
        <v>556</v>
      </c>
      <c r="CH142" t="s">
        <v>546</v>
      </c>
      <c r="CK142" t="s">
        <v>1292</v>
      </c>
      <c r="CN142" t="s">
        <v>535</v>
      </c>
      <c r="CO142" t="s">
        <v>539</v>
      </c>
      <c r="CT142" t="s">
        <v>576</v>
      </c>
      <c r="CW142" t="s">
        <v>546</v>
      </c>
      <c r="DD142" t="s">
        <v>561</v>
      </c>
      <c r="DK142" t="s">
        <v>1293</v>
      </c>
      <c r="DR142" t="s">
        <v>1293</v>
      </c>
    </row>
    <row r="143" ht="15" customHeight="1" spans="1:122">
      <c r="AB143" t="s">
        <v>543</v>
      </c>
      <c r="AC143" t="s">
        <v>608</v>
      </c>
      <c r="AG143" s="1">
        <v>2686</v>
      </c>
      <c r="AJ143" s="1">
        <v>2686</v>
      </c>
      <c r="AK143" s="1">
        <v>16.12</v>
      </c>
      <c r="AM143" s="1">
        <v>2669.88</v>
      </c>
      <c r="AN143" t="s">
        <v>536</v>
      </c>
      <c r="AP143" t="s">
        <v>547</v>
      </c>
      <c r="AX143" s="1">
        <v>2686</v>
      </c>
      <c r="AZ143" t="s">
        <v>549</v>
      </c>
      <c r="BA143" s="1">
        <v>2686</v>
      </c>
      <c r="BB143" t="s">
        <v>1294</v>
      </c>
      <c r="BC143" t="s">
        <v>546</v>
      </c>
      <c r="BE143" t="s">
        <v>616</v>
      </c>
      <c r="BG143" s="1">
        <v>16.12</v>
      </c>
      <c r="BH143" s="1">
        <v>2669.88</v>
      </c>
      <c r="BS143" s="1">
        <v>2686</v>
      </c>
      <c r="CB143" t="s">
        <v>1244</v>
      </c>
      <c r="CC143" t="s">
        <v>556</v>
      </c>
      <c r="DD143" t="s">
        <v>561</v>
      </c>
    </row>
    <row r="144" ht="15" customHeight="1" spans="1:122">
      <c r="AB144" t="s">
        <v>543</v>
      </c>
      <c r="AC144" t="s">
        <v>608</v>
      </c>
      <c r="AG144" s="1">
        <v>2686</v>
      </c>
      <c r="AJ144" s="1">
        <v>2686</v>
      </c>
      <c r="AK144" s="1">
        <v>16.12</v>
      </c>
      <c r="AM144" s="1">
        <v>2669.88</v>
      </c>
      <c r="AN144" t="s">
        <v>536</v>
      </c>
      <c r="AP144" t="s">
        <v>547</v>
      </c>
      <c r="AX144" s="1">
        <v>2686</v>
      </c>
      <c r="AZ144" t="s">
        <v>549</v>
      </c>
      <c r="BA144" s="1">
        <v>2686</v>
      </c>
      <c r="BB144" t="s">
        <v>1295</v>
      </c>
      <c r="BC144" t="s">
        <v>546</v>
      </c>
      <c r="BE144" t="s">
        <v>616</v>
      </c>
      <c r="BG144" s="1">
        <v>16.12</v>
      </c>
      <c r="BH144" s="1">
        <v>2669.88</v>
      </c>
      <c r="BS144" s="1">
        <v>2686</v>
      </c>
      <c r="CB144" t="s">
        <v>1244</v>
      </c>
      <c r="CC144" t="s">
        <v>556</v>
      </c>
      <c r="DD144" t="s">
        <v>561</v>
      </c>
    </row>
    <row r="145" ht="15" customHeight="1" spans="1:122">
      <c r="AB145" t="s">
        <v>543</v>
      </c>
      <c r="AC145" t="s">
        <v>608</v>
      </c>
      <c r="AG145" s="1">
        <v>2686</v>
      </c>
      <c r="AJ145" s="1">
        <v>2686</v>
      </c>
      <c r="AK145" s="1">
        <v>16.12</v>
      </c>
      <c r="AM145" s="1">
        <v>2669.88</v>
      </c>
      <c r="AN145" t="s">
        <v>536</v>
      </c>
      <c r="AP145" t="s">
        <v>547</v>
      </c>
      <c r="AX145" s="1">
        <v>2686</v>
      </c>
      <c r="AZ145" t="s">
        <v>549</v>
      </c>
      <c r="BA145" s="1">
        <v>2686</v>
      </c>
      <c r="BB145" t="s">
        <v>1296</v>
      </c>
      <c r="BC145" t="s">
        <v>546</v>
      </c>
      <c r="BE145" t="s">
        <v>616</v>
      </c>
      <c r="BG145" s="1">
        <v>16.12</v>
      </c>
      <c r="BH145" s="1">
        <v>2669.88</v>
      </c>
      <c r="BS145" s="1">
        <v>2686</v>
      </c>
      <c r="CB145" t="s">
        <v>1244</v>
      </c>
      <c r="CC145" t="s">
        <v>556</v>
      </c>
      <c r="DD145" t="s">
        <v>561</v>
      </c>
    </row>
    <row r="146" ht="15" customHeight="1" spans="1:122">
      <c r="AB146" t="s">
        <v>543</v>
      </c>
      <c r="AC146" t="s">
        <v>608</v>
      </c>
      <c r="AG146" s="1">
        <v>4344</v>
      </c>
      <c r="AJ146" s="1">
        <v>4344</v>
      </c>
      <c r="AK146" s="1">
        <v>26.06</v>
      </c>
      <c r="AM146" s="1">
        <v>4317.94</v>
      </c>
      <c r="AN146" t="s">
        <v>536</v>
      </c>
      <c r="AP146" t="s">
        <v>547</v>
      </c>
      <c r="AX146" s="1">
        <v>4344</v>
      </c>
      <c r="AZ146" t="s">
        <v>549</v>
      </c>
      <c r="BA146" s="1">
        <v>4344</v>
      </c>
      <c r="BB146" t="s">
        <v>1297</v>
      </c>
      <c r="BC146" t="s">
        <v>546</v>
      </c>
      <c r="BE146" t="s">
        <v>540</v>
      </c>
      <c r="BF146" s="1">
        <v>4344</v>
      </c>
      <c r="BG146" s="1">
        <v>26.06</v>
      </c>
      <c r="BH146" s="1">
        <v>4317.94</v>
      </c>
      <c r="BS146" s="1">
        <v>4344</v>
      </c>
      <c r="BX146" s="1">
        <v>4344</v>
      </c>
      <c r="CB146" t="s">
        <v>1244</v>
      </c>
      <c r="CC146" t="s">
        <v>556</v>
      </c>
      <c r="CL146" s="1">
        <v>4344</v>
      </c>
      <c r="DD146" t="s">
        <v>561</v>
      </c>
    </row>
    <row r="147" ht="15" customHeight="1" spans="1:122">
      <c r="AB147" t="s">
        <v>543</v>
      </c>
      <c r="AC147" t="s">
        <v>608</v>
      </c>
      <c r="AG147" s="1">
        <v>2686</v>
      </c>
      <c r="AJ147" s="1">
        <v>2686</v>
      </c>
      <c r="AK147" s="1">
        <v>16.12</v>
      </c>
      <c r="AM147" s="1">
        <v>2669.88</v>
      </c>
      <c r="AN147" t="s">
        <v>536</v>
      </c>
      <c r="AP147" t="s">
        <v>547</v>
      </c>
      <c r="AX147" s="1">
        <v>2686</v>
      </c>
      <c r="AZ147" t="s">
        <v>549</v>
      </c>
      <c r="BA147" s="1">
        <v>2686</v>
      </c>
      <c r="BB147" t="s">
        <v>1298</v>
      </c>
      <c r="BC147" t="s">
        <v>546</v>
      </c>
      <c r="BE147" t="s">
        <v>616</v>
      </c>
      <c r="BG147" s="1">
        <v>16.12</v>
      </c>
      <c r="BH147" s="1">
        <v>2669.88</v>
      </c>
      <c r="BS147" s="1">
        <v>2686</v>
      </c>
      <c r="CB147" t="s">
        <v>1244</v>
      </c>
      <c r="CC147" t="s">
        <v>556</v>
      </c>
      <c r="DD147" t="s">
        <v>561</v>
      </c>
    </row>
    <row r="148" ht="15" customHeight="1" spans="1:122">
      <c r="AB148" t="s">
        <v>543</v>
      </c>
      <c r="AC148" t="s">
        <v>608</v>
      </c>
      <c r="AG148" s="1">
        <v>2574</v>
      </c>
      <c r="AJ148" s="1">
        <v>2574</v>
      </c>
      <c r="AK148" s="1">
        <v>15.44</v>
      </c>
      <c r="AM148" s="1">
        <v>2558.56</v>
      </c>
      <c r="AN148" t="s">
        <v>536</v>
      </c>
      <c r="AP148" t="s">
        <v>547</v>
      </c>
      <c r="AX148" s="1">
        <v>2574</v>
      </c>
      <c r="AZ148" t="s">
        <v>549</v>
      </c>
      <c r="BA148" s="1">
        <v>2574</v>
      </c>
      <c r="BB148" t="s">
        <v>1299</v>
      </c>
      <c r="BC148" t="s">
        <v>546</v>
      </c>
      <c r="BE148" t="s">
        <v>616</v>
      </c>
      <c r="BG148" s="1">
        <v>15.44</v>
      </c>
      <c r="BH148" s="1">
        <v>2558.56</v>
      </c>
      <c r="BS148" s="1">
        <v>2574</v>
      </c>
      <c r="CB148" t="s">
        <v>1244</v>
      </c>
      <c r="CC148" t="s">
        <v>556</v>
      </c>
      <c r="DD148" t="s">
        <v>561</v>
      </c>
    </row>
    <row r="149" ht="15" customHeight="1" spans="1:122">
      <c r="A149" t="s">
        <v>603</v>
      </c>
      <c r="B149" t="s">
        <v>1300</v>
      </c>
      <c r="C149" t="s">
        <v>532</v>
      </c>
      <c r="D149" t="s">
        <v>1301</v>
      </c>
      <c r="E149" t="s">
        <v>534</v>
      </c>
      <c r="F149" t="s">
        <v>534</v>
      </c>
      <c r="G149" t="s">
        <v>535</v>
      </c>
      <c r="H149" s="1">
        <v>25706</v>
      </c>
      <c r="I149" s="1">
        <v>25551.74</v>
      </c>
      <c r="J149" t="s">
        <v>536</v>
      </c>
      <c r="L149" t="s">
        <v>536</v>
      </c>
      <c r="M149" t="s">
        <v>411</v>
      </c>
      <c r="N149" t="s">
        <v>369</v>
      </c>
      <c r="P149" s="1">
        <v>25706</v>
      </c>
      <c r="Q149" t="s">
        <v>606</v>
      </c>
      <c r="R149" t="s">
        <v>535</v>
      </c>
      <c r="S149" t="s">
        <v>539</v>
      </c>
      <c r="T149" s="2">
        <v>1</v>
      </c>
      <c r="U149" s="1">
        <v>25706</v>
      </c>
      <c r="V149" s="1">
        <v>25551.74</v>
      </c>
      <c r="X149" t="s">
        <v>616</v>
      </c>
      <c r="Z149" t="s">
        <v>541</v>
      </c>
      <c r="AA149" t="s">
        <v>542</v>
      </c>
      <c r="AB149" t="s">
        <v>543</v>
      </c>
      <c r="AC149" t="s">
        <v>608</v>
      </c>
      <c r="AE149" s="3">
        <v>1</v>
      </c>
      <c r="AG149" s="1">
        <v>2686</v>
      </c>
      <c r="AI149" s="1">
        <v>25706</v>
      </c>
      <c r="AJ149" s="1">
        <v>2686</v>
      </c>
      <c r="AK149" s="1">
        <v>16.12</v>
      </c>
      <c r="AM149" s="1">
        <v>2669.88</v>
      </c>
      <c r="AN149" t="s">
        <v>536</v>
      </c>
      <c r="AO149" t="s">
        <v>546</v>
      </c>
      <c r="AP149" t="s">
        <v>547</v>
      </c>
      <c r="AQ149" t="s">
        <v>548</v>
      </c>
      <c r="AS149" t="s">
        <v>411</v>
      </c>
      <c r="AX149" s="1">
        <v>2686</v>
      </c>
      <c r="AY149" t="s">
        <v>546</v>
      </c>
      <c r="AZ149" t="s">
        <v>549</v>
      </c>
      <c r="BA149" s="1">
        <v>2686</v>
      </c>
      <c r="BB149" t="s">
        <v>1302</v>
      </c>
      <c r="BC149" t="s">
        <v>546</v>
      </c>
      <c r="BE149" t="s">
        <v>616</v>
      </c>
      <c r="BG149" s="1">
        <v>16.12</v>
      </c>
      <c r="BH149" s="1">
        <v>2669.88</v>
      </c>
      <c r="BI149" t="s">
        <v>550</v>
      </c>
      <c r="BJ149" t="s">
        <v>610</v>
      </c>
      <c r="BK149" t="s">
        <v>552</v>
      </c>
      <c r="BL149" t="s">
        <v>552</v>
      </c>
      <c r="BM149" t="s">
        <v>533</v>
      </c>
      <c r="BN149" t="s">
        <v>1303</v>
      </c>
      <c r="BO149" t="s">
        <v>1304</v>
      </c>
      <c r="BR149" t="s">
        <v>546</v>
      </c>
      <c r="BS149" s="1">
        <v>2686</v>
      </c>
      <c r="BW149" t="s">
        <v>536</v>
      </c>
      <c r="BZ149" t="s">
        <v>535</v>
      </c>
      <c r="CA149" t="s">
        <v>546</v>
      </c>
      <c r="CB149" t="s">
        <v>1301</v>
      </c>
      <c r="CC149" t="s">
        <v>556</v>
      </c>
      <c r="CH149" t="s">
        <v>546</v>
      </c>
      <c r="CK149" t="s">
        <v>1305</v>
      </c>
      <c r="CN149" t="s">
        <v>535</v>
      </c>
      <c r="CO149" t="s">
        <v>539</v>
      </c>
      <c r="CT149" t="s">
        <v>576</v>
      </c>
      <c r="CW149" t="s">
        <v>546</v>
      </c>
      <c r="DD149" t="s">
        <v>561</v>
      </c>
      <c r="DK149" t="s">
        <v>1306</v>
      </c>
      <c r="DR149" t="s">
        <v>1306</v>
      </c>
    </row>
    <row r="150" ht="15" customHeight="1" spans="1:122">
      <c r="AB150" t="s">
        <v>543</v>
      </c>
      <c r="AC150" t="s">
        <v>608</v>
      </c>
      <c r="AG150" s="1">
        <v>2686</v>
      </c>
      <c r="AJ150" s="1">
        <v>2686</v>
      </c>
      <c r="AK150" s="1">
        <v>16.12</v>
      </c>
      <c r="AM150" s="1">
        <v>2669.88</v>
      </c>
      <c r="AN150" t="s">
        <v>536</v>
      </c>
      <c r="AP150" t="s">
        <v>547</v>
      </c>
      <c r="AX150" s="1">
        <v>2686</v>
      </c>
      <c r="AZ150" t="s">
        <v>549</v>
      </c>
      <c r="BA150" s="1">
        <v>2686</v>
      </c>
      <c r="BB150" t="s">
        <v>1307</v>
      </c>
      <c r="BC150" t="s">
        <v>546</v>
      </c>
      <c r="BE150" t="s">
        <v>616</v>
      </c>
      <c r="BG150" s="1">
        <v>16.12</v>
      </c>
      <c r="BH150" s="1">
        <v>2669.88</v>
      </c>
      <c r="BS150" s="1">
        <v>2686</v>
      </c>
      <c r="CB150" t="s">
        <v>1301</v>
      </c>
      <c r="CC150" t="s">
        <v>556</v>
      </c>
      <c r="DD150" t="s">
        <v>561</v>
      </c>
    </row>
    <row r="151" ht="15" customHeight="1" spans="1:122">
      <c r="AB151" t="s">
        <v>543</v>
      </c>
      <c r="AC151" t="s">
        <v>608</v>
      </c>
      <c r="AG151" s="1">
        <v>2686</v>
      </c>
      <c r="AJ151" s="1">
        <v>2686</v>
      </c>
      <c r="AK151" s="1">
        <v>16.12</v>
      </c>
      <c r="AM151" s="1">
        <v>2669.88</v>
      </c>
      <c r="AN151" t="s">
        <v>536</v>
      </c>
      <c r="AP151" t="s">
        <v>547</v>
      </c>
      <c r="AX151" s="1">
        <v>2686</v>
      </c>
      <c r="AZ151" t="s">
        <v>549</v>
      </c>
      <c r="BA151" s="1">
        <v>2686</v>
      </c>
      <c r="BB151" t="s">
        <v>1308</v>
      </c>
      <c r="BC151" t="s">
        <v>546</v>
      </c>
      <c r="BE151" t="s">
        <v>616</v>
      </c>
      <c r="BG151" s="1">
        <v>16.12</v>
      </c>
      <c r="BH151" s="1">
        <v>2669.88</v>
      </c>
      <c r="BS151" s="1">
        <v>2686</v>
      </c>
      <c r="CB151" t="s">
        <v>1301</v>
      </c>
      <c r="CC151" t="s">
        <v>556</v>
      </c>
      <c r="DD151" t="s">
        <v>561</v>
      </c>
    </row>
    <row r="152" ht="15" customHeight="1" spans="1:122">
      <c r="AB152" t="s">
        <v>543</v>
      </c>
      <c r="AC152" t="s">
        <v>608</v>
      </c>
      <c r="AG152" s="1">
        <v>2976</v>
      </c>
      <c r="AJ152" s="1">
        <v>2976</v>
      </c>
      <c r="AK152" s="1">
        <v>17.86</v>
      </c>
      <c r="AM152" s="1">
        <v>2958.14</v>
      </c>
      <c r="AN152" t="s">
        <v>536</v>
      </c>
      <c r="AP152" t="s">
        <v>547</v>
      </c>
      <c r="AX152" s="1">
        <v>2976</v>
      </c>
      <c r="AZ152" t="s">
        <v>549</v>
      </c>
      <c r="BA152" s="1">
        <v>2976</v>
      </c>
      <c r="BB152" t="s">
        <v>1309</v>
      </c>
      <c r="BC152" t="s">
        <v>546</v>
      </c>
      <c r="BE152" t="s">
        <v>616</v>
      </c>
      <c r="BG152" s="1">
        <v>17.86</v>
      </c>
      <c r="BH152" s="1">
        <v>2958.14</v>
      </c>
      <c r="BS152" s="1">
        <v>2976</v>
      </c>
      <c r="CB152" t="s">
        <v>1301</v>
      </c>
      <c r="CC152" t="s">
        <v>556</v>
      </c>
      <c r="DD152" t="s">
        <v>561</v>
      </c>
    </row>
    <row r="153" ht="15" customHeight="1" spans="1:122">
      <c r="AB153" t="s">
        <v>543</v>
      </c>
      <c r="AC153" t="s">
        <v>608</v>
      </c>
      <c r="AG153" s="1">
        <v>2976</v>
      </c>
      <c r="AJ153" s="1">
        <v>2976</v>
      </c>
      <c r="AK153" s="1">
        <v>17.86</v>
      </c>
      <c r="AM153" s="1">
        <v>2958.14</v>
      </c>
      <c r="AN153" t="s">
        <v>536</v>
      </c>
      <c r="AP153" t="s">
        <v>547</v>
      </c>
      <c r="AX153" s="1">
        <v>2976</v>
      </c>
      <c r="AZ153" t="s">
        <v>549</v>
      </c>
      <c r="BA153" s="1">
        <v>2976</v>
      </c>
      <c r="BB153" t="s">
        <v>1310</v>
      </c>
      <c r="BC153" t="s">
        <v>546</v>
      </c>
      <c r="BE153" t="s">
        <v>616</v>
      </c>
      <c r="BG153" s="1">
        <v>17.86</v>
      </c>
      <c r="BH153" s="1">
        <v>2958.14</v>
      </c>
      <c r="BS153" s="1">
        <v>2976</v>
      </c>
      <c r="CB153" t="s">
        <v>1301</v>
      </c>
      <c r="CC153" t="s">
        <v>556</v>
      </c>
      <c r="DD153" t="s">
        <v>561</v>
      </c>
    </row>
    <row r="154" ht="15" customHeight="1" spans="1:122">
      <c r="AB154" t="s">
        <v>543</v>
      </c>
      <c r="AC154" t="s">
        <v>608</v>
      </c>
      <c r="AG154" s="1">
        <v>2686</v>
      </c>
      <c r="AJ154" s="1">
        <v>2686</v>
      </c>
      <c r="AK154" s="1">
        <v>16.12</v>
      </c>
      <c r="AM154" s="1">
        <v>2669.88</v>
      </c>
      <c r="AN154" t="s">
        <v>536</v>
      </c>
      <c r="AP154" t="s">
        <v>547</v>
      </c>
      <c r="AX154" s="1">
        <v>2686</v>
      </c>
      <c r="AZ154" t="s">
        <v>549</v>
      </c>
      <c r="BA154" s="1">
        <v>2686</v>
      </c>
      <c r="BB154" t="s">
        <v>1311</v>
      </c>
      <c r="BC154" t="s">
        <v>546</v>
      </c>
      <c r="BE154" t="s">
        <v>616</v>
      </c>
      <c r="BG154" s="1">
        <v>16.12</v>
      </c>
      <c r="BH154" s="1">
        <v>2669.88</v>
      </c>
      <c r="BS154" s="1">
        <v>2686</v>
      </c>
      <c r="CB154" t="s">
        <v>1301</v>
      </c>
      <c r="CC154" t="s">
        <v>556</v>
      </c>
      <c r="DD154" t="s">
        <v>561</v>
      </c>
    </row>
    <row r="155" ht="15" customHeight="1" spans="1:122">
      <c r="AB155" t="s">
        <v>543</v>
      </c>
      <c r="AC155" t="s">
        <v>608</v>
      </c>
      <c r="AG155" s="1">
        <v>2976</v>
      </c>
      <c r="AJ155" s="1">
        <v>2976</v>
      </c>
      <c r="AK155" s="1">
        <v>17.86</v>
      </c>
      <c r="AM155" s="1">
        <v>2958.14</v>
      </c>
      <c r="AN155" t="s">
        <v>536</v>
      </c>
      <c r="AP155" t="s">
        <v>547</v>
      </c>
      <c r="AX155" s="1">
        <v>2976</v>
      </c>
      <c r="AZ155" t="s">
        <v>549</v>
      </c>
      <c r="BA155" s="1">
        <v>2976</v>
      </c>
      <c r="BB155" t="s">
        <v>1312</v>
      </c>
      <c r="BC155" t="s">
        <v>546</v>
      </c>
      <c r="BE155" t="s">
        <v>616</v>
      </c>
      <c r="BG155" s="1">
        <v>17.86</v>
      </c>
      <c r="BH155" s="1">
        <v>2958.14</v>
      </c>
      <c r="BS155" s="1">
        <v>2976</v>
      </c>
      <c r="CB155" t="s">
        <v>1301</v>
      </c>
      <c r="CC155" t="s">
        <v>556</v>
      </c>
      <c r="DD155" t="s">
        <v>561</v>
      </c>
    </row>
    <row r="156" ht="15" customHeight="1" spans="1:122">
      <c r="AB156" t="s">
        <v>543</v>
      </c>
      <c r="AC156" t="s">
        <v>608</v>
      </c>
      <c r="AG156" s="1">
        <v>3460</v>
      </c>
      <c r="AJ156" s="1">
        <v>3460</v>
      </c>
      <c r="AK156" s="1">
        <v>20.76</v>
      </c>
      <c r="AM156" s="1">
        <v>3439.24</v>
      </c>
      <c r="AN156" t="s">
        <v>536</v>
      </c>
      <c r="AP156" t="s">
        <v>547</v>
      </c>
      <c r="AX156" s="1">
        <v>3460</v>
      </c>
      <c r="AZ156" t="s">
        <v>549</v>
      </c>
      <c r="BA156" s="1">
        <v>3460</v>
      </c>
      <c r="BB156" t="s">
        <v>1313</v>
      </c>
      <c r="BC156" t="s">
        <v>546</v>
      </c>
      <c r="BE156" t="s">
        <v>616</v>
      </c>
      <c r="BG156" s="1">
        <v>20.76</v>
      </c>
      <c r="BH156" s="1">
        <v>3439.24</v>
      </c>
      <c r="BS156" s="1">
        <v>3460</v>
      </c>
      <c r="CB156" t="s">
        <v>1301</v>
      </c>
      <c r="CC156" t="s">
        <v>556</v>
      </c>
      <c r="DD156" t="s">
        <v>561</v>
      </c>
    </row>
    <row r="157" ht="15" customHeight="1" spans="1:122">
      <c r="AB157" t="s">
        <v>543</v>
      </c>
      <c r="AC157" t="s">
        <v>608</v>
      </c>
      <c r="AG157" s="1">
        <v>2574</v>
      </c>
      <c r="AJ157" s="1">
        <v>2574</v>
      </c>
      <c r="AK157" s="1">
        <v>15.44</v>
      </c>
      <c r="AM157" s="1">
        <v>2558.56</v>
      </c>
      <c r="AN157" t="s">
        <v>536</v>
      </c>
      <c r="AP157" t="s">
        <v>547</v>
      </c>
      <c r="AX157" s="1">
        <v>2574</v>
      </c>
      <c r="AZ157" t="s">
        <v>549</v>
      </c>
      <c r="BA157" s="1">
        <v>2574</v>
      </c>
      <c r="BB157" t="s">
        <v>1314</v>
      </c>
      <c r="BC157" t="s">
        <v>546</v>
      </c>
      <c r="BE157" t="s">
        <v>616</v>
      </c>
      <c r="BG157" s="1">
        <v>15.44</v>
      </c>
      <c r="BH157" s="1">
        <v>2558.56</v>
      </c>
      <c r="BS157" s="1">
        <v>2574</v>
      </c>
      <c r="CB157" t="s">
        <v>1301</v>
      </c>
      <c r="CC157" t="s">
        <v>556</v>
      </c>
      <c r="DD157" t="s">
        <v>561</v>
      </c>
    </row>
    <row r="158" ht="15" customHeight="1" spans="1:122">
      <c r="A158" t="s">
        <v>530</v>
      </c>
      <c r="B158" t="s">
        <v>1315</v>
      </c>
      <c r="C158" t="s">
        <v>656</v>
      </c>
      <c r="D158" t="s">
        <v>1244</v>
      </c>
      <c r="E158" t="s">
        <v>534</v>
      </c>
      <c r="F158" t="s">
        <v>534</v>
      </c>
      <c r="G158" t="s">
        <v>535</v>
      </c>
      <c r="H158" s="1">
        <v>7129.8</v>
      </c>
      <c r="I158" s="1">
        <v>7129.8</v>
      </c>
      <c r="J158" t="s">
        <v>536</v>
      </c>
      <c r="L158" t="s">
        <v>536</v>
      </c>
      <c r="M158" t="s">
        <v>372</v>
      </c>
      <c r="N158" t="s">
        <v>657</v>
      </c>
      <c r="P158" s="1">
        <v>7129.8</v>
      </c>
      <c r="Q158" t="s">
        <v>679</v>
      </c>
      <c r="R158" t="s">
        <v>535</v>
      </c>
      <c r="S158" t="s">
        <v>539</v>
      </c>
      <c r="T158" s="2">
        <v>1</v>
      </c>
      <c r="U158" s="1">
        <v>7129.8</v>
      </c>
      <c r="V158" s="1">
        <v>7129.8</v>
      </c>
      <c r="X158" t="s">
        <v>616</v>
      </c>
      <c r="Z158" t="s">
        <v>541</v>
      </c>
      <c r="AA158" t="s">
        <v>542</v>
      </c>
      <c r="AB158" t="s">
        <v>1050</v>
      </c>
      <c r="AC158" t="s">
        <v>544</v>
      </c>
      <c r="AD158" t="s">
        <v>545</v>
      </c>
      <c r="AE158" s="3">
        <v>1</v>
      </c>
      <c r="AF158" t="s">
        <v>303</v>
      </c>
      <c r="AG158" s="1">
        <v>7129.8</v>
      </c>
      <c r="AI158" s="1">
        <v>7129.8</v>
      </c>
      <c r="AJ158" s="1">
        <v>7129.8</v>
      </c>
      <c r="AM158" s="1">
        <v>7129.8</v>
      </c>
      <c r="AN158" t="s">
        <v>1316</v>
      </c>
      <c r="AO158" t="s">
        <v>546</v>
      </c>
      <c r="AP158" t="s">
        <v>1317</v>
      </c>
      <c r="AQ158" t="s">
        <v>548</v>
      </c>
      <c r="AS158" t="s">
        <v>372</v>
      </c>
      <c r="AX158" s="1">
        <v>7129.8</v>
      </c>
      <c r="AY158" t="s">
        <v>546</v>
      </c>
      <c r="AZ158" t="s">
        <v>1318</v>
      </c>
      <c r="BA158" s="1">
        <v>7129.8</v>
      </c>
      <c r="BC158" t="s">
        <v>546</v>
      </c>
      <c r="BD158" s="1">
        <v>7129.8</v>
      </c>
      <c r="BE158" t="s">
        <v>616</v>
      </c>
      <c r="BH158" s="1">
        <v>7129.8</v>
      </c>
      <c r="BI158" t="s">
        <v>550</v>
      </c>
      <c r="BJ158" t="s">
        <v>683</v>
      </c>
      <c r="BK158" t="s">
        <v>683</v>
      </c>
      <c r="BL158" t="s">
        <v>552</v>
      </c>
      <c r="BM158" t="s">
        <v>1244</v>
      </c>
      <c r="BN158" t="s">
        <v>1319</v>
      </c>
      <c r="BO158" t="s">
        <v>1320</v>
      </c>
      <c r="BR158" t="s">
        <v>546</v>
      </c>
      <c r="BS158" s="1">
        <v>7129.8</v>
      </c>
      <c r="BW158" t="s">
        <v>536</v>
      </c>
      <c r="BZ158" t="s">
        <v>535</v>
      </c>
      <c r="CA158" t="s">
        <v>546</v>
      </c>
      <c r="CB158" t="s">
        <v>1244</v>
      </c>
      <c r="CC158" t="s">
        <v>556</v>
      </c>
      <c r="CD158" t="s">
        <v>1321</v>
      </c>
      <c r="CE158" t="s">
        <v>1322</v>
      </c>
      <c r="CF158" t="s">
        <v>303</v>
      </c>
      <c r="CG158" s="4">
        <v>1</v>
      </c>
      <c r="CH158" t="s">
        <v>546</v>
      </c>
      <c r="CK158" t="s">
        <v>1323</v>
      </c>
      <c r="CN158" t="s">
        <v>535</v>
      </c>
      <c r="CO158" t="s">
        <v>539</v>
      </c>
      <c r="CT158" t="s">
        <v>687</v>
      </c>
      <c r="CW158" t="s">
        <v>546</v>
      </c>
      <c r="DD158" t="s">
        <v>561</v>
      </c>
      <c r="DK158" t="s">
        <v>1324</v>
      </c>
      <c r="DL158" t="s">
        <v>1325</v>
      </c>
      <c r="DR158" t="s">
        <v>1326</v>
      </c>
    </row>
    <row r="159" ht="15" customHeight="1" spans="1:122">
      <c r="A159" t="s">
        <v>530</v>
      </c>
      <c r="B159" t="s">
        <v>1327</v>
      </c>
      <c r="C159" t="s">
        <v>532</v>
      </c>
      <c r="D159" t="s">
        <v>1244</v>
      </c>
      <c r="E159" t="s">
        <v>534</v>
      </c>
      <c r="F159" t="s">
        <v>534</v>
      </c>
      <c r="G159" t="s">
        <v>535</v>
      </c>
      <c r="H159" s="1">
        <v>3519.2</v>
      </c>
      <c r="I159" s="1">
        <v>3498.08</v>
      </c>
      <c r="J159" t="s">
        <v>536</v>
      </c>
      <c r="L159" t="s">
        <v>536</v>
      </c>
      <c r="M159" t="s">
        <v>377</v>
      </c>
      <c r="N159" t="s">
        <v>537</v>
      </c>
      <c r="P159" s="1">
        <v>3519.2</v>
      </c>
      <c r="Q159" t="s">
        <v>538</v>
      </c>
      <c r="R159" t="s">
        <v>535</v>
      </c>
      <c r="S159" t="s">
        <v>539</v>
      </c>
      <c r="T159" s="2">
        <v>1</v>
      </c>
      <c r="U159" s="1">
        <v>3519.2</v>
      </c>
      <c r="V159" s="1">
        <v>3498.08</v>
      </c>
      <c r="X159" t="s">
        <v>540</v>
      </c>
      <c r="Z159" t="s">
        <v>541</v>
      </c>
      <c r="AA159" t="s">
        <v>542</v>
      </c>
      <c r="AB159" t="s">
        <v>543</v>
      </c>
      <c r="AC159" t="s">
        <v>544</v>
      </c>
      <c r="AD159" t="s">
        <v>545</v>
      </c>
      <c r="AE159" s="3">
        <v>1</v>
      </c>
      <c r="AF159" t="s">
        <v>83</v>
      </c>
      <c r="AG159" s="1">
        <v>3519.2</v>
      </c>
      <c r="AI159" s="1">
        <v>3519.2</v>
      </c>
      <c r="AJ159" s="1">
        <v>3519.2</v>
      </c>
      <c r="AK159" s="1">
        <v>21.12</v>
      </c>
      <c r="AM159" s="1">
        <v>3498.08</v>
      </c>
      <c r="AN159" t="s">
        <v>536</v>
      </c>
      <c r="AO159" t="s">
        <v>546</v>
      </c>
      <c r="AP159" t="s">
        <v>547</v>
      </c>
      <c r="AQ159" t="s">
        <v>548</v>
      </c>
      <c r="AS159" t="s">
        <v>377</v>
      </c>
      <c r="AX159" s="1">
        <v>3519.2</v>
      </c>
      <c r="AY159" t="s">
        <v>546</v>
      </c>
      <c r="AZ159" t="s">
        <v>549</v>
      </c>
      <c r="BA159" s="1">
        <v>3519.2</v>
      </c>
      <c r="BC159" t="s">
        <v>546</v>
      </c>
      <c r="BD159" s="1">
        <v>3519.2</v>
      </c>
      <c r="BE159" t="s">
        <v>540</v>
      </c>
      <c r="BF159" s="1">
        <v>3519.2</v>
      </c>
      <c r="BG159" s="1">
        <v>21.12</v>
      </c>
      <c r="BH159" s="1">
        <v>3498.08</v>
      </c>
      <c r="BI159" t="s">
        <v>550</v>
      </c>
      <c r="BJ159" t="s">
        <v>551</v>
      </c>
      <c r="BK159" t="s">
        <v>552</v>
      </c>
      <c r="BL159" t="s">
        <v>552</v>
      </c>
      <c r="BM159" t="s">
        <v>1244</v>
      </c>
      <c r="BN159" t="s">
        <v>1328</v>
      </c>
      <c r="BO159" t="s">
        <v>1329</v>
      </c>
      <c r="BR159" t="s">
        <v>546</v>
      </c>
      <c r="BS159" s="1">
        <v>3519.2</v>
      </c>
      <c r="BW159" t="s">
        <v>536</v>
      </c>
      <c r="BX159" s="1">
        <v>3519.2</v>
      </c>
      <c r="BZ159" t="s">
        <v>535</v>
      </c>
      <c r="CA159" t="s">
        <v>546</v>
      </c>
      <c r="CB159" t="s">
        <v>1244</v>
      </c>
      <c r="CC159" t="s">
        <v>556</v>
      </c>
      <c r="CD159" t="s">
        <v>648</v>
      </c>
      <c r="CE159" t="s">
        <v>649</v>
      </c>
      <c r="CF159" t="s">
        <v>83</v>
      </c>
      <c r="CG159" s="4">
        <v>1</v>
      </c>
      <c r="CH159" t="s">
        <v>546</v>
      </c>
      <c r="CK159" t="s">
        <v>1330</v>
      </c>
      <c r="CL159" s="1">
        <v>3519.2</v>
      </c>
      <c r="CN159" t="s">
        <v>535</v>
      </c>
      <c r="CO159" t="s">
        <v>539</v>
      </c>
      <c r="CT159" t="s">
        <v>560</v>
      </c>
      <c r="CW159" t="s">
        <v>546</v>
      </c>
      <c r="DD159" t="s">
        <v>561</v>
      </c>
      <c r="DK159" t="s">
        <v>1331</v>
      </c>
      <c r="DL159" t="s">
        <v>1332</v>
      </c>
    </row>
    <row r="160" ht="15" customHeight="1" spans="1:122">
      <c r="A160" t="s">
        <v>530</v>
      </c>
      <c r="B160" t="s">
        <v>1333</v>
      </c>
      <c r="C160" t="s">
        <v>532</v>
      </c>
      <c r="D160" t="s">
        <v>1244</v>
      </c>
      <c r="E160" t="s">
        <v>534</v>
      </c>
      <c r="F160" t="s">
        <v>534</v>
      </c>
      <c r="G160" t="s">
        <v>535</v>
      </c>
      <c r="H160" s="1">
        <v>879.8</v>
      </c>
      <c r="I160" s="1">
        <v>879.8</v>
      </c>
      <c r="J160" t="s">
        <v>536</v>
      </c>
      <c r="L160" t="s">
        <v>536</v>
      </c>
      <c r="M160" t="s">
        <v>377</v>
      </c>
      <c r="N160" t="s">
        <v>537</v>
      </c>
      <c r="P160" s="1">
        <v>879.8</v>
      </c>
      <c r="Q160" t="s">
        <v>538</v>
      </c>
      <c r="R160" t="s">
        <v>535</v>
      </c>
      <c r="S160" t="s">
        <v>539</v>
      </c>
      <c r="T160" s="2">
        <v>1</v>
      </c>
      <c r="U160" s="1">
        <v>879.8</v>
      </c>
      <c r="V160" s="1">
        <v>879.8</v>
      </c>
      <c r="X160" t="s">
        <v>540</v>
      </c>
      <c r="Z160" t="s">
        <v>541</v>
      </c>
      <c r="AA160" t="s">
        <v>542</v>
      </c>
      <c r="AB160" t="s">
        <v>543</v>
      </c>
      <c r="AC160" t="s">
        <v>544</v>
      </c>
      <c r="AD160" t="s">
        <v>545</v>
      </c>
      <c r="AE160" s="3">
        <v>1</v>
      </c>
      <c r="AF160" t="s">
        <v>83</v>
      </c>
      <c r="AG160" s="1">
        <v>879.8</v>
      </c>
      <c r="AI160" s="1">
        <v>879.8</v>
      </c>
      <c r="AJ160" s="1">
        <v>879.8</v>
      </c>
      <c r="AM160" s="1">
        <v>879.8</v>
      </c>
      <c r="AN160" t="s">
        <v>565</v>
      </c>
      <c r="AO160" t="s">
        <v>546</v>
      </c>
      <c r="AP160" t="s">
        <v>565</v>
      </c>
      <c r="AQ160" t="s">
        <v>548</v>
      </c>
      <c r="AS160" t="s">
        <v>377</v>
      </c>
      <c r="AX160" s="1">
        <v>879.8</v>
      </c>
      <c r="AY160" t="s">
        <v>546</v>
      </c>
      <c r="AZ160" t="s">
        <v>566</v>
      </c>
      <c r="BA160" s="1">
        <v>879.8</v>
      </c>
      <c r="BC160" t="s">
        <v>546</v>
      </c>
      <c r="BD160" s="1">
        <v>879.8</v>
      </c>
      <c r="BE160" t="s">
        <v>540</v>
      </c>
      <c r="BF160" s="1">
        <v>879.8</v>
      </c>
      <c r="BH160" s="1">
        <v>879.8</v>
      </c>
      <c r="BI160" t="s">
        <v>550</v>
      </c>
      <c r="BJ160" t="s">
        <v>551</v>
      </c>
      <c r="BK160" t="s">
        <v>551</v>
      </c>
      <c r="BL160" t="s">
        <v>552</v>
      </c>
      <c r="BM160" t="s">
        <v>1244</v>
      </c>
      <c r="BN160" t="s">
        <v>1334</v>
      </c>
      <c r="BO160" t="s">
        <v>1335</v>
      </c>
      <c r="BR160" t="s">
        <v>546</v>
      </c>
      <c r="BS160" s="1">
        <v>879.8</v>
      </c>
      <c r="BW160" t="s">
        <v>536</v>
      </c>
      <c r="BX160" s="1">
        <v>879.8</v>
      </c>
      <c r="BZ160" t="s">
        <v>535</v>
      </c>
      <c r="CA160" t="s">
        <v>546</v>
      </c>
      <c r="CB160" t="s">
        <v>1244</v>
      </c>
      <c r="CC160" t="s">
        <v>556</v>
      </c>
      <c r="CD160" t="s">
        <v>648</v>
      </c>
      <c r="CE160" t="s">
        <v>649</v>
      </c>
      <c r="CF160" t="s">
        <v>83</v>
      </c>
      <c r="CG160" s="4">
        <v>1</v>
      </c>
      <c r="CH160" t="s">
        <v>546</v>
      </c>
      <c r="CK160" t="s">
        <v>1330</v>
      </c>
      <c r="CL160" s="1">
        <v>879.8</v>
      </c>
      <c r="CN160" t="s">
        <v>535</v>
      </c>
      <c r="CO160" t="s">
        <v>539</v>
      </c>
      <c r="CT160" t="s">
        <v>560</v>
      </c>
      <c r="CW160" t="s">
        <v>546</v>
      </c>
      <c r="DD160" t="s">
        <v>561</v>
      </c>
      <c r="DK160" t="s">
        <v>1331</v>
      </c>
      <c r="DL160" t="s">
        <v>1332</v>
      </c>
    </row>
    <row r="161" ht="15" customHeight="1" spans="1:122">
      <c r="A161" t="s">
        <v>530</v>
      </c>
      <c r="B161" t="s">
        <v>1336</v>
      </c>
      <c r="C161" t="s">
        <v>656</v>
      </c>
      <c r="D161" t="s">
        <v>1244</v>
      </c>
      <c r="E161" t="s">
        <v>534</v>
      </c>
      <c r="F161" t="s">
        <v>534</v>
      </c>
      <c r="G161" t="s">
        <v>535</v>
      </c>
      <c r="H161" s="1">
        <v>1258.2</v>
      </c>
      <c r="I161" s="1">
        <v>1258.2</v>
      </c>
      <c r="J161" t="s">
        <v>536</v>
      </c>
      <c r="L161" t="s">
        <v>536</v>
      </c>
      <c r="M161" t="s">
        <v>372</v>
      </c>
      <c r="N161" t="s">
        <v>657</v>
      </c>
      <c r="P161" s="1">
        <v>1258.2</v>
      </c>
      <c r="Q161" t="s">
        <v>679</v>
      </c>
      <c r="R161" t="s">
        <v>535</v>
      </c>
      <c r="S161" t="s">
        <v>539</v>
      </c>
      <c r="T161" s="2">
        <v>1</v>
      </c>
      <c r="U161" s="1">
        <v>1258.2</v>
      </c>
      <c r="V161" s="1">
        <v>1258.2</v>
      </c>
      <c r="X161" t="s">
        <v>616</v>
      </c>
      <c r="Z161" t="s">
        <v>541</v>
      </c>
      <c r="AA161" t="s">
        <v>542</v>
      </c>
      <c r="AB161" t="s">
        <v>543</v>
      </c>
      <c r="AC161" t="s">
        <v>544</v>
      </c>
      <c r="AD161" t="s">
        <v>545</v>
      </c>
      <c r="AE161" s="3">
        <v>1</v>
      </c>
      <c r="AF161" t="s">
        <v>303</v>
      </c>
      <c r="AG161" s="1">
        <v>1258.2</v>
      </c>
      <c r="AI161" s="1">
        <v>1258.2</v>
      </c>
      <c r="AJ161" s="1">
        <v>1258.2</v>
      </c>
      <c r="AM161" s="1">
        <v>1258.2</v>
      </c>
      <c r="AN161" t="s">
        <v>1316</v>
      </c>
      <c r="AO161" t="s">
        <v>546</v>
      </c>
      <c r="AP161" t="s">
        <v>1317</v>
      </c>
      <c r="AQ161" t="s">
        <v>548</v>
      </c>
      <c r="AS161" t="s">
        <v>372</v>
      </c>
      <c r="AX161" s="1">
        <v>1258.2</v>
      </c>
      <c r="AY161" t="s">
        <v>546</v>
      </c>
      <c r="AZ161" t="s">
        <v>1318</v>
      </c>
      <c r="BA161" s="1">
        <v>1258.2</v>
      </c>
      <c r="BC161" t="s">
        <v>546</v>
      </c>
      <c r="BD161" s="1">
        <v>1258.2</v>
      </c>
      <c r="BE161" t="s">
        <v>616</v>
      </c>
      <c r="BH161" s="1">
        <v>1258.2</v>
      </c>
      <c r="BI161" t="s">
        <v>550</v>
      </c>
      <c r="BJ161" t="s">
        <v>683</v>
      </c>
      <c r="BK161" t="s">
        <v>683</v>
      </c>
      <c r="BL161" t="s">
        <v>552</v>
      </c>
      <c r="BM161" t="s">
        <v>1244</v>
      </c>
      <c r="BN161" t="s">
        <v>1337</v>
      </c>
      <c r="BO161" t="s">
        <v>1338</v>
      </c>
      <c r="BR161" t="s">
        <v>546</v>
      </c>
      <c r="BS161" s="1">
        <v>1258.2</v>
      </c>
      <c r="BW161" t="s">
        <v>536</v>
      </c>
      <c r="BZ161" t="s">
        <v>535</v>
      </c>
      <c r="CA161" t="s">
        <v>546</v>
      </c>
      <c r="CB161" t="s">
        <v>1244</v>
      </c>
      <c r="CC161" t="s">
        <v>556</v>
      </c>
      <c r="CD161" t="s">
        <v>1321</v>
      </c>
      <c r="CE161" t="s">
        <v>1322</v>
      </c>
      <c r="CF161" t="s">
        <v>303</v>
      </c>
      <c r="CG161" s="4">
        <v>1</v>
      </c>
      <c r="CH161" t="s">
        <v>546</v>
      </c>
      <c r="CK161" t="s">
        <v>1323</v>
      </c>
      <c r="CN161" t="s">
        <v>535</v>
      </c>
      <c r="CO161" t="s">
        <v>539</v>
      </c>
      <c r="CT161" t="s">
        <v>687</v>
      </c>
      <c r="CW161" t="s">
        <v>546</v>
      </c>
      <c r="DD161" t="s">
        <v>561</v>
      </c>
      <c r="DK161" t="s">
        <v>1324</v>
      </c>
      <c r="DL161" t="s">
        <v>1325</v>
      </c>
      <c r="DR161" t="s">
        <v>1339</v>
      </c>
    </row>
    <row r="162" ht="15" customHeight="1" spans="1:122">
      <c r="A162" t="s">
        <v>530</v>
      </c>
      <c r="B162" t="s">
        <v>1340</v>
      </c>
      <c r="C162" t="s">
        <v>532</v>
      </c>
      <c r="D162" t="s">
        <v>533</v>
      </c>
      <c r="E162" t="s">
        <v>534</v>
      </c>
      <c r="F162" t="s">
        <v>534</v>
      </c>
      <c r="G162" t="s">
        <v>535</v>
      </c>
      <c r="H162" s="1">
        <v>4800</v>
      </c>
      <c r="I162" s="1">
        <v>4800</v>
      </c>
      <c r="J162" t="s">
        <v>536</v>
      </c>
      <c r="L162" t="s">
        <v>536</v>
      </c>
      <c r="M162" t="s">
        <v>380</v>
      </c>
      <c r="N162" t="s">
        <v>1341</v>
      </c>
      <c r="P162" s="1">
        <v>4800</v>
      </c>
      <c r="Q162" t="s">
        <v>1342</v>
      </c>
      <c r="R162" t="s">
        <v>535</v>
      </c>
      <c r="S162" t="s">
        <v>539</v>
      </c>
      <c r="T162" s="2">
        <v>1</v>
      </c>
      <c r="U162" s="1">
        <v>4800</v>
      </c>
      <c r="V162" s="1">
        <v>4800</v>
      </c>
      <c r="X162" t="s">
        <v>540</v>
      </c>
      <c r="Z162" t="s">
        <v>541</v>
      </c>
      <c r="AA162" t="s">
        <v>542</v>
      </c>
      <c r="AB162" t="s">
        <v>543</v>
      </c>
      <c r="AC162" t="s">
        <v>544</v>
      </c>
      <c r="AD162" t="s">
        <v>545</v>
      </c>
      <c r="AE162" s="3">
        <v>1</v>
      </c>
      <c r="AF162" t="s">
        <v>307</v>
      </c>
      <c r="AG162" s="1">
        <v>4800</v>
      </c>
      <c r="AI162" s="1">
        <v>4800</v>
      </c>
      <c r="AJ162" s="1">
        <v>4800</v>
      </c>
      <c r="AM162" s="1">
        <v>4800</v>
      </c>
      <c r="AN162" t="s">
        <v>536</v>
      </c>
      <c r="AO162" t="s">
        <v>546</v>
      </c>
      <c r="AP162" t="s">
        <v>547</v>
      </c>
      <c r="AQ162" t="s">
        <v>548</v>
      </c>
      <c r="AS162" t="s">
        <v>380</v>
      </c>
      <c r="AX162" s="1">
        <v>4800</v>
      </c>
      <c r="AY162" t="s">
        <v>546</v>
      </c>
      <c r="AZ162" t="s">
        <v>549</v>
      </c>
      <c r="BA162" s="1">
        <v>4800</v>
      </c>
      <c r="BC162" t="s">
        <v>546</v>
      </c>
      <c r="BD162" s="1">
        <v>4800</v>
      </c>
      <c r="BE162" t="s">
        <v>540</v>
      </c>
      <c r="BF162" s="1">
        <v>4800</v>
      </c>
      <c r="BH162" s="1">
        <v>4800</v>
      </c>
      <c r="BI162" t="s">
        <v>550</v>
      </c>
      <c r="BJ162" t="s">
        <v>551</v>
      </c>
      <c r="BK162" t="s">
        <v>552</v>
      </c>
      <c r="BL162" t="s">
        <v>552</v>
      </c>
      <c r="BM162" t="s">
        <v>1244</v>
      </c>
      <c r="BN162" t="s">
        <v>1343</v>
      </c>
      <c r="BO162" t="s">
        <v>1344</v>
      </c>
      <c r="BR162" t="s">
        <v>546</v>
      </c>
      <c r="BS162" s="1">
        <v>4800</v>
      </c>
      <c r="BW162" t="s">
        <v>536</v>
      </c>
      <c r="BX162" s="1">
        <v>4800</v>
      </c>
      <c r="BZ162" t="s">
        <v>535</v>
      </c>
      <c r="CA162" t="s">
        <v>546</v>
      </c>
      <c r="CB162" t="s">
        <v>533</v>
      </c>
      <c r="CC162" t="s">
        <v>556</v>
      </c>
      <c r="CD162" t="s">
        <v>1345</v>
      </c>
      <c r="CE162" t="s">
        <v>1346</v>
      </c>
      <c r="CF162" t="s">
        <v>307</v>
      </c>
      <c r="CG162" s="4">
        <v>1</v>
      </c>
      <c r="CH162" t="s">
        <v>546</v>
      </c>
      <c r="CK162" t="s">
        <v>1347</v>
      </c>
      <c r="CL162" s="1">
        <v>4800</v>
      </c>
      <c r="CN162" t="s">
        <v>535</v>
      </c>
      <c r="CO162" t="s">
        <v>539</v>
      </c>
      <c r="CT162" t="s">
        <v>576</v>
      </c>
      <c r="CW162" t="s">
        <v>546</v>
      </c>
      <c r="DD162" t="s">
        <v>561</v>
      </c>
      <c r="DK162" t="s">
        <v>1348</v>
      </c>
      <c r="DL162" t="s">
        <v>1349</v>
      </c>
    </row>
    <row r="163" ht="15" customHeight="1" spans="1:122">
      <c r="A163" t="s">
        <v>530</v>
      </c>
      <c r="B163" t="s">
        <v>1350</v>
      </c>
      <c r="C163" t="s">
        <v>532</v>
      </c>
      <c r="D163" t="s">
        <v>1244</v>
      </c>
      <c r="E163" t="s">
        <v>534</v>
      </c>
      <c r="F163" t="s">
        <v>534</v>
      </c>
      <c r="G163" t="s">
        <v>535</v>
      </c>
      <c r="H163" s="1">
        <v>5904.6</v>
      </c>
      <c r="I163" s="1">
        <v>5904.6</v>
      </c>
      <c r="J163" t="s">
        <v>536</v>
      </c>
      <c r="L163" t="s">
        <v>536</v>
      </c>
      <c r="M163" t="s">
        <v>380</v>
      </c>
      <c r="N163" t="s">
        <v>369</v>
      </c>
      <c r="P163" s="1">
        <v>5904.6</v>
      </c>
      <c r="Q163" t="s">
        <v>996</v>
      </c>
      <c r="R163" t="s">
        <v>535</v>
      </c>
      <c r="S163" t="s">
        <v>539</v>
      </c>
      <c r="T163" s="2">
        <v>1</v>
      </c>
      <c r="U163" s="1">
        <v>5904.6</v>
      </c>
      <c r="V163" s="1">
        <v>5904.6</v>
      </c>
      <c r="X163" t="s">
        <v>540</v>
      </c>
      <c r="Z163" t="s">
        <v>541</v>
      </c>
      <c r="AA163" t="s">
        <v>542</v>
      </c>
      <c r="AB163" t="s">
        <v>543</v>
      </c>
      <c r="AC163" t="s">
        <v>544</v>
      </c>
      <c r="AD163" t="s">
        <v>545</v>
      </c>
      <c r="AE163" s="3">
        <v>1</v>
      </c>
      <c r="AF163" t="s">
        <v>310</v>
      </c>
      <c r="AG163" s="1">
        <v>1968.2</v>
      </c>
      <c r="AI163" s="1">
        <v>5904.6</v>
      </c>
      <c r="AJ163" s="1">
        <v>1968.2</v>
      </c>
      <c r="AM163" s="1">
        <v>1968.2</v>
      </c>
      <c r="AN163" t="s">
        <v>536</v>
      </c>
      <c r="AO163" t="s">
        <v>546</v>
      </c>
      <c r="AP163" t="s">
        <v>547</v>
      </c>
      <c r="AQ163" t="s">
        <v>548</v>
      </c>
      <c r="AS163" t="s">
        <v>380</v>
      </c>
      <c r="AX163" s="1">
        <v>1968.2</v>
      </c>
      <c r="AY163" t="s">
        <v>546</v>
      </c>
      <c r="AZ163" t="s">
        <v>549</v>
      </c>
      <c r="BA163" s="1">
        <v>1968.2</v>
      </c>
      <c r="BC163" t="s">
        <v>546</v>
      </c>
      <c r="BD163" s="1">
        <v>1968.2</v>
      </c>
      <c r="BE163" t="s">
        <v>540</v>
      </c>
      <c r="BF163" s="1">
        <v>1968.2</v>
      </c>
      <c r="BH163" s="1">
        <v>1968.2</v>
      </c>
      <c r="BI163" t="s">
        <v>550</v>
      </c>
      <c r="BJ163" t="s">
        <v>551</v>
      </c>
      <c r="BK163" t="s">
        <v>551</v>
      </c>
      <c r="BL163" t="s">
        <v>552</v>
      </c>
      <c r="BM163" t="s">
        <v>1244</v>
      </c>
      <c r="BN163" t="s">
        <v>1351</v>
      </c>
      <c r="BO163" t="s">
        <v>1352</v>
      </c>
      <c r="BR163" t="s">
        <v>546</v>
      </c>
      <c r="BS163" s="1">
        <v>1968.2</v>
      </c>
      <c r="BW163" t="s">
        <v>536</v>
      </c>
      <c r="BX163" s="1">
        <v>1968.2</v>
      </c>
      <c r="BZ163" t="s">
        <v>535</v>
      </c>
      <c r="CA163" t="s">
        <v>546</v>
      </c>
      <c r="CB163" t="s">
        <v>1244</v>
      </c>
      <c r="CC163" t="s">
        <v>556</v>
      </c>
      <c r="CD163" t="s">
        <v>1353</v>
      </c>
      <c r="CE163" t="s">
        <v>1354</v>
      </c>
      <c r="CF163" t="s">
        <v>310</v>
      </c>
      <c r="CG163" s="4">
        <v>1</v>
      </c>
      <c r="CH163" t="s">
        <v>546</v>
      </c>
      <c r="CK163" t="s">
        <v>1355</v>
      </c>
      <c r="CL163" s="1">
        <v>1968.2</v>
      </c>
      <c r="CN163" t="s">
        <v>535</v>
      </c>
      <c r="CO163" t="s">
        <v>539</v>
      </c>
      <c r="CT163" t="s">
        <v>576</v>
      </c>
      <c r="CW163" t="s">
        <v>546</v>
      </c>
      <c r="DD163" t="s">
        <v>561</v>
      </c>
      <c r="DK163" t="s">
        <v>1119</v>
      </c>
      <c r="DL163" t="s">
        <v>1356</v>
      </c>
    </row>
    <row r="164" ht="15" customHeight="1" spans="1:122">
      <c r="AB164" t="s">
        <v>543</v>
      </c>
      <c r="AC164" t="s">
        <v>544</v>
      </c>
      <c r="AD164" t="s">
        <v>545</v>
      </c>
      <c r="AF164" t="s">
        <v>309</v>
      </c>
      <c r="AG164" s="1">
        <v>3936.4</v>
      </c>
      <c r="AJ164" s="1">
        <v>3936.4</v>
      </c>
      <c r="AM164" s="1">
        <v>3936.4</v>
      </c>
      <c r="AN164" t="s">
        <v>536</v>
      </c>
      <c r="AP164" t="s">
        <v>547</v>
      </c>
      <c r="AX164" s="1">
        <v>3936.4</v>
      </c>
      <c r="AZ164" t="s">
        <v>549</v>
      </c>
      <c r="BA164" s="1">
        <v>3936.4</v>
      </c>
      <c r="BC164" t="s">
        <v>546</v>
      </c>
      <c r="BD164" s="1">
        <v>3936.4</v>
      </c>
      <c r="BE164" t="s">
        <v>540</v>
      </c>
      <c r="BF164" s="1">
        <v>3936.4</v>
      </c>
      <c r="BH164" s="1">
        <v>3936.4</v>
      </c>
      <c r="BS164" s="1">
        <v>3936.4</v>
      </c>
      <c r="BX164" s="1">
        <v>3936.4</v>
      </c>
      <c r="CB164" t="s">
        <v>1244</v>
      </c>
      <c r="CC164" t="s">
        <v>556</v>
      </c>
      <c r="CD164" t="s">
        <v>1353</v>
      </c>
      <c r="CE164" t="s">
        <v>1354</v>
      </c>
      <c r="CF164" t="s">
        <v>309</v>
      </c>
      <c r="CG164" s="4">
        <v>1</v>
      </c>
      <c r="CL164" s="1">
        <v>3936.4</v>
      </c>
      <c r="DD164" t="s">
        <v>561</v>
      </c>
    </row>
    <row r="165" ht="15" customHeight="1" spans="1:122">
      <c r="A165" t="s">
        <v>530</v>
      </c>
      <c r="B165" t="s">
        <v>1357</v>
      </c>
      <c r="C165" t="s">
        <v>532</v>
      </c>
      <c r="D165" t="s">
        <v>1244</v>
      </c>
      <c r="E165" t="s">
        <v>534</v>
      </c>
      <c r="F165" t="s">
        <v>534</v>
      </c>
      <c r="G165" t="s">
        <v>535</v>
      </c>
      <c r="H165" s="1">
        <v>5124</v>
      </c>
      <c r="I165" s="1">
        <v>5124</v>
      </c>
      <c r="J165" t="s">
        <v>536</v>
      </c>
      <c r="L165" t="s">
        <v>536</v>
      </c>
      <c r="M165" t="s">
        <v>376</v>
      </c>
      <c r="N165" t="s">
        <v>537</v>
      </c>
      <c r="P165" s="1">
        <v>5124</v>
      </c>
      <c r="Q165" t="s">
        <v>1105</v>
      </c>
      <c r="R165" t="s">
        <v>535</v>
      </c>
      <c r="S165" t="s">
        <v>539</v>
      </c>
      <c r="T165" s="2">
        <v>1</v>
      </c>
      <c r="U165" s="1">
        <v>5124</v>
      </c>
      <c r="V165" s="1">
        <v>5124</v>
      </c>
      <c r="X165" t="s">
        <v>540</v>
      </c>
      <c r="Z165" t="s">
        <v>541</v>
      </c>
      <c r="AA165" t="s">
        <v>542</v>
      </c>
      <c r="AB165" t="s">
        <v>543</v>
      </c>
      <c r="AC165" t="s">
        <v>544</v>
      </c>
      <c r="AD165" t="s">
        <v>545</v>
      </c>
      <c r="AE165" s="3">
        <v>1</v>
      </c>
      <c r="AF165" t="s">
        <v>85</v>
      </c>
      <c r="AG165" s="1">
        <v>5124</v>
      </c>
      <c r="AI165" s="1">
        <v>5124</v>
      </c>
      <c r="AJ165" s="1">
        <v>5124</v>
      </c>
      <c r="AM165" s="1">
        <v>5124</v>
      </c>
      <c r="AN165" t="s">
        <v>536</v>
      </c>
      <c r="AO165" t="s">
        <v>546</v>
      </c>
      <c r="AP165" t="s">
        <v>547</v>
      </c>
      <c r="AQ165" t="s">
        <v>548</v>
      </c>
      <c r="AS165" t="s">
        <v>376</v>
      </c>
      <c r="AX165" s="1">
        <v>5124</v>
      </c>
      <c r="AY165" t="s">
        <v>546</v>
      </c>
      <c r="AZ165" t="s">
        <v>549</v>
      </c>
      <c r="BA165" s="1">
        <v>5124</v>
      </c>
      <c r="BC165" t="s">
        <v>546</v>
      </c>
      <c r="BD165" s="1">
        <v>5124</v>
      </c>
      <c r="BE165" t="s">
        <v>540</v>
      </c>
      <c r="BF165" s="1">
        <v>5124</v>
      </c>
      <c r="BH165" s="1">
        <v>5124</v>
      </c>
      <c r="BI165" t="s">
        <v>550</v>
      </c>
      <c r="BJ165" t="s">
        <v>1105</v>
      </c>
      <c r="BK165" t="s">
        <v>551</v>
      </c>
      <c r="BL165" t="s">
        <v>552</v>
      </c>
      <c r="BM165" t="s">
        <v>1244</v>
      </c>
      <c r="BN165" t="s">
        <v>1358</v>
      </c>
      <c r="BO165" t="s">
        <v>1359</v>
      </c>
      <c r="BR165" t="s">
        <v>546</v>
      </c>
      <c r="BS165" s="1">
        <v>5124</v>
      </c>
      <c r="BW165" t="s">
        <v>536</v>
      </c>
      <c r="BX165" s="1">
        <v>5124</v>
      </c>
      <c r="BZ165" t="s">
        <v>535</v>
      </c>
      <c r="CA165" t="s">
        <v>546</v>
      </c>
      <c r="CB165" t="s">
        <v>1244</v>
      </c>
      <c r="CC165" t="s">
        <v>556</v>
      </c>
      <c r="CD165" t="s">
        <v>1108</v>
      </c>
      <c r="CE165" t="s">
        <v>1109</v>
      </c>
      <c r="CF165" t="s">
        <v>85</v>
      </c>
      <c r="CG165" s="4">
        <v>1</v>
      </c>
      <c r="CH165" t="s">
        <v>546</v>
      </c>
      <c r="CK165" t="s">
        <v>1360</v>
      </c>
      <c r="CL165" s="1">
        <v>5124</v>
      </c>
      <c r="CN165" t="s">
        <v>535</v>
      </c>
      <c r="CO165" t="s">
        <v>539</v>
      </c>
      <c r="CT165" t="s">
        <v>576</v>
      </c>
      <c r="CW165" t="s">
        <v>546</v>
      </c>
      <c r="DD165" t="s">
        <v>561</v>
      </c>
      <c r="DK165" t="s">
        <v>1361</v>
      </c>
      <c r="DL165" t="s">
        <v>1362</v>
      </c>
    </row>
    <row r="166" ht="15" customHeight="1" spans="1:122">
      <c r="A166" t="s">
        <v>530</v>
      </c>
      <c r="B166" t="s">
        <v>1363</v>
      </c>
      <c r="C166" t="s">
        <v>532</v>
      </c>
      <c r="D166" t="s">
        <v>1301</v>
      </c>
      <c r="E166" t="s">
        <v>534</v>
      </c>
      <c r="F166" t="s">
        <v>534</v>
      </c>
      <c r="G166" t="s">
        <v>535</v>
      </c>
      <c r="H166" s="1">
        <v>1999.2</v>
      </c>
      <c r="I166" s="1">
        <v>1987.2</v>
      </c>
      <c r="J166" t="s">
        <v>536</v>
      </c>
      <c r="L166" t="s">
        <v>536</v>
      </c>
      <c r="M166" t="s">
        <v>377</v>
      </c>
      <c r="N166" t="s">
        <v>537</v>
      </c>
      <c r="P166" s="1">
        <v>1999.2</v>
      </c>
      <c r="Q166" t="s">
        <v>538</v>
      </c>
      <c r="R166" t="s">
        <v>535</v>
      </c>
      <c r="S166" t="s">
        <v>539</v>
      </c>
      <c r="T166" s="2">
        <v>1</v>
      </c>
      <c r="U166" s="1">
        <v>1999.2</v>
      </c>
      <c r="V166" s="1">
        <v>1987.2</v>
      </c>
      <c r="X166" t="s">
        <v>540</v>
      </c>
      <c r="Z166" t="s">
        <v>541</v>
      </c>
      <c r="AA166" t="s">
        <v>542</v>
      </c>
      <c r="AB166" t="s">
        <v>543</v>
      </c>
      <c r="AC166" t="s">
        <v>544</v>
      </c>
      <c r="AD166" t="s">
        <v>545</v>
      </c>
      <c r="AE166" s="3">
        <v>1</v>
      </c>
      <c r="AF166" t="s">
        <v>88</v>
      </c>
      <c r="AG166" s="1">
        <v>1999.2</v>
      </c>
      <c r="AI166" s="1">
        <v>1999.2</v>
      </c>
      <c r="AJ166" s="1">
        <v>1999.2</v>
      </c>
      <c r="AK166" s="1">
        <v>12</v>
      </c>
      <c r="AM166" s="1">
        <v>1987.2</v>
      </c>
      <c r="AN166" t="s">
        <v>536</v>
      </c>
      <c r="AO166" t="s">
        <v>546</v>
      </c>
      <c r="AP166" t="s">
        <v>547</v>
      </c>
      <c r="AQ166" t="s">
        <v>548</v>
      </c>
      <c r="AS166" t="s">
        <v>377</v>
      </c>
      <c r="AX166" s="1">
        <v>1999.2</v>
      </c>
      <c r="AY166" t="s">
        <v>546</v>
      </c>
      <c r="AZ166" t="s">
        <v>549</v>
      </c>
      <c r="BA166" s="1">
        <v>1999.2</v>
      </c>
      <c r="BC166" t="s">
        <v>546</v>
      </c>
      <c r="BD166" s="1">
        <v>1999.2</v>
      </c>
      <c r="BE166" t="s">
        <v>540</v>
      </c>
      <c r="BF166" s="1">
        <v>1999.2</v>
      </c>
      <c r="BG166" s="1">
        <v>12</v>
      </c>
      <c r="BH166" s="1">
        <v>1987.2</v>
      </c>
      <c r="BI166" t="s">
        <v>550</v>
      </c>
      <c r="BJ166" t="s">
        <v>551</v>
      </c>
      <c r="BK166" t="s">
        <v>552</v>
      </c>
      <c r="BL166" t="s">
        <v>552</v>
      </c>
      <c r="BM166" t="s">
        <v>1301</v>
      </c>
      <c r="BN166" t="s">
        <v>1364</v>
      </c>
      <c r="BO166" t="s">
        <v>1365</v>
      </c>
      <c r="BR166" t="s">
        <v>546</v>
      </c>
      <c r="BS166" s="1">
        <v>1999.2</v>
      </c>
      <c r="BW166" t="s">
        <v>536</v>
      </c>
      <c r="BX166" s="1">
        <v>1999.2</v>
      </c>
      <c r="BZ166" t="s">
        <v>535</v>
      </c>
      <c r="CA166" t="s">
        <v>546</v>
      </c>
      <c r="CB166" t="s">
        <v>1301</v>
      </c>
      <c r="CC166" t="s">
        <v>556</v>
      </c>
      <c r="CD166" t="s">
        <v>1238</v>
      </c>
      <c r="CE166" t="s">
        <v>1239</v>
      </c>
      <c r="CF166" t="s">
        <v>88</v>
      </c>
      <c r="CG166" s="4">
        <v>1</v>
      </c>
      <c r="CH166" t="s">
        <v>546</v>
      </c>
      <c r="CK166" t="s">
        <v>1366</v>
      </c>
      <c r="CL166" s="1">
        <v>1999.2</v>
      </c>
      <c r="CN166" t="s">
        <v>535</v>
      </c>
      <c r="CO166" t="s">
        <v>539</v>
      </c>
      <c r="CT166" t="s">
        <v>560</v>
      </c>
      <c r="CW166" t="s">
        <v>546</v>
      </c>
      <c r="DD166" t="s">
        <v>561</v>
      </c>
      <c r="DK166" t="s">
        <v>1367</v>
      </c>
      <c r="DL166" t="s">
        <v>1368</v>
      </c>
    </row>
    <row r="167" ht="15" customHeight="1" spans="1:122">
      <c r="A167" t="s">
        <v>530</v>
      </c>
      <c r="B167" t="s">
        <v>1369</v>
      </c>
      <c r="C167" t="s">
        <v>532</v>
      </c>
      <c r="D167" t="s">
        <v>1301</v>
      </c>
      <c r="E167" t="s">
        <v>534</v>
      </c>
      <c r="F167" t="s">
        <v>534</v>
      </c>
      <c r="G167" t="s">
        <v>535</v>
      </c>
      <c r="H167" s="1">
        <v>499.8</v>
      </c>
      <c r="I167" s="1">
        <v>499.8</v>
      </c>
      <c r="J167" t="s">
        <v>536</v>
      </c>
      <c r="L167" t="s">
        <v>536</v>
      </c>
      <c r="M167" t="s">
        <v>377</v>
      </c>
      <c r="N167" t="s">
        <v>537</v>
      </c>
      <c r="P167" s="1">
        <v>499.8</v>
      </c>
      <c r="Q167" t="s">
        <v>538</v>
      </c>
      <c r="R167" t="s">
        <v>535</v>
      </c>
      <c r="S167" t="s">
        <v>539</v>
      </c>
      <c r="T167" s="2">
        <v>1</v>
      </c>
      <c r="U167" s="1">
        <v>499.8</v>
      </c>
      <c r="V167" s="1">
        <v>499.8</v>
      </c>
      <c r="X167" t="s">
        <v>540</v>
      </c>
      <c r="Z167" t="s">
        <v>541</v>
      </c>
      <c r="AA167" t="s">
        <v>542</v>
      </c>
      <c r="AB167" t="s">
        <v>543</v>
      </c>
      <c r="AC167" t="s">
        <v>544</v>
      </c>
      <c r="AD167" t="s">
        <v>545</v>
      </c>
      <c r="AE167" s="3">
        <v>1</v>
      </c>
      <c r="AF167" t="s">
        <v>88</v>
      </c>
      <c r="AG167" s="1">
        <v>499.8</v>
      </c>
      <c r="AI167" s="1">
        <v>499.8</v>
      </c>
      <c r="AJ167" s="1">
        <v>499.8</v>
      </c>
      <c r="AM167" s="1">
        <v>499.8</v>
      </c>
      <c r="AN167" t="s">
        <v>565</v>
      </c>
      <c r="AO167" t="s">
        <v>546</v>
      </c>
      <c r="AP167" t="s">
        <v>565</v>
      </c>
      <c r="AQ167" t="s">
        <v>548</v>
      </c>
      <c r="AS167" t="s">
        <v>377</v>
      </c>
      <c r="AX167" s="1">
        <v>499.8</v>
      </c>
      <c r="AY167" t="s">
        <v>546</v>
      </c>
      <c r="AZ167" t="s">
        <v>566</v>
      </c>
      <c r="BA167" s="1">
        <v>499.8</v>
      </c>
      <c r="BC167" t="s">
        <v>546</v>
      </c>
      <c r="BD167" s="1">
        <v>499.8</v>
      </c>
      <c r="BE167" t="s">
        <v>540</v>
      </c>
      <c r="BF167" s="1">
        <v>499.8</v>
      </c>
      <c r="BH167" s="1">
        <v>499.8</v>
      </c>
      <c r="BI167" t="s">
        <v>550</v>
      </c>
      <c r="BJ167" t="s">
        <v>551</v>
      </c>
      <c r="BK167" t="s">
        <v>551</v>
      </c>
      <c r="BL167" t="s">
        <v>552</v>
      </c>
      <c r="BM167" t="s">
        <v>1301</v>
      </c>
      <c r="BN167" t="s">
        <v>1370</v>
      </c>
      <c r="BO167" t="s">
        <v>1371</v>
      </c>
      <c r="BR167" t="s">
        <v>546</v>
      </c>
      <c r="BS167" s="1">
        <v>499.8</v>
      </c>
      <c r="BW167" t="s">
        <v>536</v>
      </c>
      <c r="BX167" s="1">
        <v>499.8</v>
      </c>
      <c r="BZ167" t="s">
        <v>535</v>
      </c>
      <c r="CA167" t="s">
        <v>546</v>
      </c>
      <c r="CB167" t="s">
        <v>1301</v>
      </c>
      <c r="CC167" t="s">
        <v>556</v>
      </c>
      <c r="CD167" t="s">
        <v>1238</v>
      </c>
      <c r="CE167" t="s">
        <v>1239</v>
      </c>
      <c r="CF167" t="s">
        <v>88</v>
      </c>
      <c r="CG167" s="4">
        <v>1</v>
      </c>
      <c r="CH167" t="s">
        <v>546</v>
      </c>
      <c r="CK167" t="s">
        <v>1366</v>
      </c>
      <c r="CL167" s="1">
        <v>499.8</v>
      </c>
      <c r="CN167" t="s">
        <v>535</v>
      </c>
      <c r="CO167" t="s">
        <v>539</v>
      </c>
      <c r="CT167" t="s">
        <v>560</v>
      </c>
      <c r="CW167" t="s">
        <v>546</v>
      </c>
      <c r="DD167" t="s">
        <v>561</v>
      </c>
      <c r="DK167" t="s">
        <v>1367</v>
      </c>
      <c r="DL167" t="s">
        <v>1368</v>
      </c>
    </row>
    <row r="168" ht="15" customHeight="1" spans="1:122">
      <c r="A168" t="s">
        <v>530</v>
      </c>
      <c r="B168" t="s">
        <v>1372</v>
      </c>
      <c r="C168" t="s">
        <v>532</v>
      </c>
      <c r="D168" t="s">
        <v>1301</v>
      </c>
      <c r="E168" t="s">
        <v>534</v>
      </c>
      <c r="F168" t="s">
        <v>534</v>
      </c>
      <c r="G168" t="s">
        <v>535</v>
      </c>
      <c r="H168" s="1">
        <v>2400</v>
      </c>
      <c r="I168" s="1">
        <v>2400</v>
      </c>
      <c r="J168" t="s">
        <v>536</v>
      </c>
      <c r="L168" t="s">
        <v>536</v>
      </c>
      <c r="M168" t="s">
        <v>376</v>
      </c>
      <c r="N168" t="s">
        <v>537</v>
      </c>
      <c r="P168" s="1">
        <v>2400</v>
      </c>
      <c r="Q168" t="s">
        <v>1105</v>
      </c>
      <c r="R168" t="s">
        <v>535</v>
      </c>
      <c r="S168" t="s">
        <v>539</v>
      </c>
      <c r="T168" s="2">
        <v>1</v>
      </c>
      <c r="U168" s="1">
        <v>2400</v>
      </c>
      <c r="V168" s="1">
        <v>2400</v>
      </c>
      <c r="X168" t="s">
        <v>540</v>
      </c>
      <c r="Z168" t="s">
        <v>541</v>
      </c>
      <c r="AA168" t="s">
        <v>542</v>
      </c>
      <c r="AB168" t="s">
        <v>543</v>
      </c>
      <c r="AC168" t="s">
        <v>544</v>
      </c>
      <c r="AD168" t="s">
        <v>545</v>
      </c>
      <c r="AE168" s="3">
        <v>1</v>
      </c>
      <c r="AF168" t="s">
        <v>312</v>
      </c>
      <c r="AG168" s="1">
        <v>2400</v>
      </c>
      <c r="AI168" s="1">
        <v>2400</v>
      </c>
      <c r="AJ168" s="1">
        <v>2400</v>
      </c>
      <c r="AM168" s="1">
        <v>2400</v>
      </c>
      <c r="AN168" t="s">
        <v>643</v>
      </c>
      <c r="AO168" t="s">
        <v>546</v>
      </c>
      <c r="AP168" t="s">
        <v>643</v>
      </c>
      <c r="AQ168" t="s">
        <v>548</v>
      </c>
      <c r="AS168" t="s">
        <v>376</v>
      </c>
      <c r="AX168" s="1">
        <v>2400</v>
      </c>
      <c r="AY168" t="s">
        <v>546</v>
      </c>
      <c r="AZ168" t="s">
        <v>644</v>
      </c>
      <c r="BA168" s="1">
        <v>2400</v>
      </c>
      <c r="BC168" t="s">
        <v>546</v>
      </c>
      <c r="BD168" s="1">
        <v>2400</v>
      </c>
      <c r="BE168" t="s">
        <v>540</v>
      </c>
      <c r="BF168" s="1">
        <v>2400</v>
      </c>
      <c r="BH168" s="1">
        <v>2400</v>
      </c>
      <c r="BI168" t="s">
        <v>550</v>
      </c>
      <c r="BJ168" t="s">
        <v>1105</v>
      </c>
      <c r="BK168" t="s">
        <v>1105</v>
      </c>
      <c r="BL168" t="s">
        <v>552</v>
      </c>
      <c r="BM168" t="s">
        <v>1301</v>
      </c>
      <c r="BN168" t="s">
        <v>1373</v>
      </c>
      <c r="BO168" t="s">
        <v>1374</v>
      </c>
      <c r="BR168" t="s">
        <v>546</v>
      </c>
      <c r="BS168" s="1">
        <v>2400</v>
      </c>
      <c r="BW168" t="s">
        <v>536</v>
      </c>
      <c r="BX168" s="1">
        <v>2400</v>
      </c>
      <c r="BZ168" t="s">
        <v>535</v>
      </c>
      <c r="CA168" t="s">
        <v>546</v>
      </c>
      <c r="CB168" t="s">
        <v>1301</v>
      </c>
      <c r="CC168" t="s">
        <v>556</v>
      </c>
      <c r="CD168" t="s">
        <v>913</v>
      </c>
      <c r="CE168" t="s">
        <v>914</v>
      </c>
      <c r="CF168" t="s">
        <v>312</v>
      </c>
      <c r="CG168" s="4">
        <v>1</v>
      </c>
      <c r="CH168" t="s">
        <v>546</v>
      </c>
      <c r="CK168" t="s">
        <v>1375</v>
      </c>
      <c r="CL168" s="1">
        <v>2400</v>
      </c>
      <c r="CN168" t="s">
        <v>535</v>
      </c>
      <c r="CO168" t="s">
        <v>539</v>
      </c>
      <c r="CT168" t="s">
        <v>576</v>
      </c>
      <c r="CW168" t="s">
        <v>546</v>
      </c>
      <c r="DD168" t="s">
        <v>561</v>
      </c>
      <c r="DK168" t="s">
        <v>1376</v>
      </c>
      <c r="DL168" t="s">
        <v>1377</v>
      </c>
      <c r="DR168" t="s">
        <v>1378</v>
      </c>
    </row>
    <row r="169" ht="15" customHeight="1" spans="1:122">
      <c r="A169" t="s">
        <v>530</v>
      </c>
      <c r="B169" t="s">
        <v>1379</v>
      </c>
      <c r="C169" t="s">
        <v>532</v>
      </c>
      <c r="D169" t="s">
        <v>1301</v>
      </c>
      <c r="E169" t="s">
        <v>534</v>
      </c>
      <c r="F169" t="s">
        <v>534</v>
      </c>
      <c r="G169" t="s">
        <v>535</v>
      </c>
      <c r="H169" s="1">
        <v>2778</v>
      </c>
      <c r="I169" s="1">
        <v>2778</v>
      </c>
      <c r="J169" t="s">
        <v>536</v>
      </c>
      <c r="L169" t="s">
        <v>536</v>
      </c>
      <c r="M169" t="s">
        <v>377</v>
      </c>
      <c r="N169" t="s">
        <v>537</v>
      </c>
      <c r="P169" s="1">
        <v>2778</v>
      </c>
      <c r="Q169" t="s">
        <v>538</v>
      </c>
      <c r="R169" t="s">
        <v>535</v>
      </c>
      <c r="S169" t="s">
        <v>539</v>
      </c>
      <c r="T169" s="2">
        <v>1</v>
      </c>
      <c r="U169" s="1">
        <v>2778</v>
      </c>
      <c r="V169" s="1">
        <v>2778</v>
      </c>
      <c r="X169" t="s">
        <v>540</v>
      </c>
      <c r="Z169" t="s">
        <v>541</v>
      </c>
      <c r="AA169" t="s">
        <v>542</v>
      </c>
      <c r="AB169" t="s">
        <v>543</v>
      </c>
      <c r="AC169" t="s">
        <v>544</v>
      </c>
      <c r="AD169" t="s">
        <v>545</v>
      </c>
      <c r="AE169" s="3">
        <v>1</v>
      </c>
      <c r="AF169" t="s">
        <v>313</v>
      </c>
      <c r="AG169" s="1">
        <v>2778</v>
      </c>
      <c r="AI169" s="1">
        <v>2778</v>
      </c>
      <c r="AJ169" s="1">
        <v>2778</v>
      </c>
      <c r="AM169" s="1">
        <v>2778</v>
      </c>
      <c r="AN169" t="s">
        <v>643</v>
      </c>
      <c r="AO169" t="s">
        <v>546</v>
      </c>
      <c r="AP169" t="s">
        <v>643</v>
      </c>
      <c r="AQ169" t="s">
        <v>548</v>
      </c>
      <c r="AS169" t="s">
        <v>377</v>
      </c>
      <c r="AX169" s="1">
        <v>2778</v>
      </c>
      <c r="AY169" t="s">
        <v>546</v>
      </c>
      <c r="AZ169" t="s">
        <v>644</v>
      </c>
      <c r="BA169" s="1">
        <v>2778</v>
      </c>
      <c r="BC169" t="s">
        <v>546</v>
      </c>
      <c r="BD169" s="1">
        <v>2778</v>
      </c>
      <c r="BE169" t="s">
        <v>540</v>
      </c>
      <c r="BF169" s="1">
        <v>2778</v>
      </c>
      <c r="BH169" s="1">
        <v>2778</v>
      </c>
      <c r="BI169" t="s">
        <v>550</v>
      </c>
      <c r="BJ169" t="s">
        <v>538</v>
      </c>
      <c r="BK169" t="s">
        <v>552</v>
      </c>
      <c r="BL169" t="s">
        <v>552</v>
      </c>
      <c r="BM169" t="s">
        <v>1301</v>
      </c>
      <c r="BN169" t="s">
        <v>1380</v>
      </c>
      <c r="BO169" t="s">
        <v>1381</v>
      </c>
      <c r="BR169" t="s">
        <v>546</v>
      </c>
      <c r="BS169" s="1">
        <v>2778</v>
      </c>
      <c r="BW169" t="s">
        <v>536</v>
      </c>
      <c r="BX169" s="1">
        <v>2778</v>
      </c>
      <c r="BZ169" t="s">
        <v>535</v>
      </c>
      <c r="CA169" t="s">
        <v>546</v>
      </c>
      <c r="CB169" t="s">
        <v>1301</v>
      </c>
      <c r="CC169" t="s">
        <v>556</v>
      </c>
      <c r="CD169" t="s">
        <v>1382</v>
      </c>
      <c r="CE169" t="s">
        <v>1383</v>
      </c>
      <c r="CF169" t="s">
        <v>313</v>
      </c>
      <c r="CG169" s="4">
        <v>1</v>
      </c>
      <c r="CH169" t="s">
        <v>546</v>
      </c>
      <c r="CK169" t="s">
        <v>1384</v>
      </c>
      <c r="CL169" s="1">
        <v>2778</v>
      </c>
      <c r="CN169" t="s">
        <v>535</v>
      </c>
      <c r="CO169" t="s">
        <v>539</v>
      </c>
      <c r="CT169" t="s">
        <v>560</v>
      </c>
      <c r="CW169" t="s">
        <v>546</v>
      </c>
      <c r="DD169" t="s">
        <v>561</v>
      </c>
      <c r="DK169" t="s">
        <v>1385</v>
      </c>
      <c r="DL169" t="s">
        <v>1386</v>
      </c>
      <c r="DR169" t="s">
        <v>1387</v>
      </c>
    </row>
    <row r="170" ht="15" customHeight="1" spans="1:122">
      <c r="A170" t="s">
        <v>530</v>
      </c>
      <c r="B170" t="s">
        <v>1388</v>
      </c>
      <c r="C170" t="s">
        <v>532</v>
      </c>
      <c r="D170" t="s">
        <v>1244</v>
      </c>
      <c r="E170" t="s">
        <v>534</v>
      </c>
      <c r="F170" t="s">
        <v>534</v>
      </c>
      <c r="G170" t="s">
        <v>535</v>
      </c>
      <c r="H170" s="1">
        <v>5871</v>
      </c>
      <c r="I170" s="1">
        <v>5871</v>
      </c>
      <c r="J170" t="s">
        <v>536</v>
      </c>
      <c r="L170" t="s">
        <v>536</v>
      </c>
      <c r="M170" t="s">
        <v>375</v>
      </c>
      <c r="N170" t="s">
        <v>537</v>
      </c>
      <c r="P170" s="1">
        <v>5871</v>
      </c>
      <c r="Q170" t="s">
        <v>580</v>
      </c>
      <c r="R170" t="s">
        <v>535</v>
      </c>
      <c r="S170" t="s">
        <v>539</v>
      </c>
      <c r="T170" s="2">
        <v>1</v>
      </c>
      <c r="U170" s="1">
        <v>5871</v>
      </c>
      <c r="V170" s="1">
        <v>5871</v>
      </c>
      <c r="X170" t="s">
        <v>540</v>
      </c>
      <c r="Z170" t="s">
        <v>541</v>
      </c>
      <c r="AA170" t="s">
        <v>542</v>
      </c>
      <c r="AB170" t="s">
        <v>934</v>
      </c>
      <c r="AC170" t="s">
        <v>544</v>
      </c>
      <c r="AD170" t="s">
        <v>545</v>
      </c>
      <c r="AE170" s="3">
        <v>1</v>
      </c>
      <c r="AF170" t="s">
        <v>91</v>
      </c>
      <c r="AG170" s="1">
        <v>5871</v>
      </c>
      <c r="AI170" s="1">
        <v>5871</v>
      </c>
      <c r="AJ170" s="1">
        <v>5871</v>
      </c>
      <c r="AM170" s="1">
        <v>5871</v>
      </c>
      <c r="AN170" t="s">
        <v>643</v>
      </c>
      <c r="AO170" t="s">
        <v>546</v>
      </c>
      <c r="AP170" t="s">
        <v>643</v>
      </c>
      <c r="AQ170" t="s">
        <v>548</v>
      </c>
      <c r="AS170" t="s">
        <v>375</v>
      </c>
      <c r="AX170" s="1">
        <v>5871</v>
      </c>
      <c r="AY170" t="s">
        <v>546</v>
      </c>
      <c r="AZ170" t="s">
        <v>644</v>
      </c>
      <c r="BA170" s="1">
        <v>5871</v>
      </c>
      <c r="BC170" t="s">
        <v>546</v>
      </c>
      <c r="BD170" s="1">
        <v>5871</v>
      </c>
      <c r="BE170" t="s">
        <v>540</v>
      </c>
      <c r="BF170" s="1">
        <v>5871</v>
      </c>
      <c r="BH170" s="1">
        <v>5871</v>
      </c>
      <c r="BI170" t="s">
        <v>550</v>
      </c>
      <c r="BJ170" t="s">
        <v>570</v>
      </c>
      <c r="BK170" t="s">
        <v>570</v>
      </c>
      <c r="BL170" t="s">
        <v>552</v>
      </c>
      <c r="BM170" t="s">
        <v>1301</v>
      </c>
      <c r="BN170" t="s">
        <v>1389</v>
      </c>
      <c r="BO170" t="s">
        <v>1390</v>
      </c>
      <c r="BR170" t="s">
        <v>546</v>
      </c>
      <c r="BS170" s="1">
        <v>5871</v>
      </c>
      <c r="BW170" t="s">
        <v>536</v>
      </c>
      <c r="BX170" s="1">
        <v>5871</v>
      </c>
      <c r="BZ170" t="s">
        <v>535</v>
      </c>
      <c r="CA170" t="s">
        <v>546</v>
      </c>
      <c r="CB170" t="s">
        <v>1244</v>
      </c>
      <c r="CC170" t="s">
        <v>556</v>
      </c>
      <c r="CD170" t="s">
        <v>1032</v>
      </c>
      <c r="CE170" t="s">
        <v>1033</v>
      </c>
      <c r="CF170" t="s">
        <v>91</v>
      </c>
      <c r="CG170" s="4">
        <v>1</v>
      </c>
      <c r="CH170" t="s">
        <v>546</v>
      </c>
      <c r="CK170" t="s">
        <v>1391</v>
      </c>
      <c r="CL170" s="1">
        <v>5871</v>
      </c>
      <c r="CN170" t="s">
        <v>535</v>
      </c>
      <c r="CO170" t="s">
        <v>539</v>
      </c>
      <c r="CT170" t="s">
        <v>576</v>
      </c>
      <c r="CW170" t="s">
        <v>546</v>
      </c>
      <c r="DD170" t="s">
        <v>561</v>
      </c>
      <c r="DK170" t="s">
        <v>1392</v>
      </c>
      <c r="DL170" t="s">
        <v>1393</v>
      </c>
      <c r="DR170" t="s">
        <v>1394</v>
      </c>
    </row>
    <row r="171" ht="15" customHeight="1" spans="1:122">
      <c r="A171" t="s">
        <v>530</v>
      </c>
      <c r="B171" t="s">
        <v>1395</v>
      </c>
      <c r="C171" t="s">
        <v>532</v>
      </c>
      <c r="D171" t="s">
        <v>1396</v>
      </c>
      <c r="E171" t="s">
        <v>534</v>
      </c>
      <c r="F171" t="s">
        <v>534</v>
      </c>
      <c r="G171" t="s">
        <v>535</v>
      </c>
      <c r="H171" s="1">
        <v>7135.2</v>
      </c>
      <c r="I171" s="1">
        <v>7092.39</v>
      </c>
      <c r="J171" t="s">
        <v>536</v>
      </c>
      <c r="L171" t="s">
        <v>536</v>
      </c>
      <c r="M171" t="s">
        <v>377</v>
      </c>
      <c r="N171" t="s">
        <v>537</v>
      </c>
      <c r="P171" s="1">
        <v>7135.2</v>
      </c>
      <c r="Q171" t="s">
        <v>1397</v>
      </c>
      <c r="R171" t="s">
        <v>535</v>
      </c>
      <c r="S171" t="s">
        <v>539</v>
      </c>
      <c r="T171" s="2">
        <v>1</v>
      </c>
      <c r="U171" s="1">
        <v>7135.2</v>
      </c>
      <c r="V171" s="1">
        <v>7092.39</v>
      </c>
      <c r="X171" t="s">
        <v>540</v>
      </c>
      <c r="Z171" t="s">
        <v>541</v>
      </c>
      <c r="AA171" t="s">
        <v>542</v>
      </c>
      <c r="AB171" t="s">
        <v>543</v>
      </c>
      <c r="AC171" t="s">
        <v>544</v>
      </c>
      <c r="AD171" t="s">
        <v>545</v>
      </c>
      <c r="AE171" s="3">
        <v>1</v>
      </c>
      <c r="AF171" t="s">
        <v>89</v>
      </c>
      <c r="AG171" s="1">
        <v>7135.2</v>
      </c>
      <c r="AI171" s="1">
        <v>7135.2</v>
      </c>
      <c r="AJ171" s="1">
        <v>7135.2</v>
      </c>
      <c r="AK171" s="1">
        <v>42.81</v>
      </c>
      <c r="AM171" s="1">
        <v>7092.39</v>
      </c>
      <c r="AN171" t="s">
        <v>536</v>
      </c>
      <c r="AO171" t="s">
        <v>546</v>
      </c>
      <c r="AP171" t="s">
        <v>547</v>
      </c>
      <c r="AQ171" t="s">
        <v>548</v>
      </c>
      <c r="AS171" t="s">
        <v>377</v>
      </c>
      <c r="AX171" s="1">
        <v>7135.2</v>
      </c>
      <c r="AY171" t="s">
        <v>546</v>
      </c>
      <c r="AZ171" t="s">
        <v>549</v>
      </c>
      <c r="BA171" s="1">
        <v>7135.2</v>
      </c>
      <c r="BC171" t="s">
        <v>546</v>
      </c>
      <c r="BD171" s="1">
        <v>7135.2</v>
      </c>
      <c r="BE171" t="s">
        <v>540</v>
      </c>
      <c r="BF171" s="1">
        <v>7135.2</v>
      </c>
      <c r="BG171" s="1">
        <v>42.81</v>
      </c>
      <c r="BH171" s="1">
        <v>7092.39</v>
      </c>
      <c r="BI171" t="s">
        <v>550</v>
      </c>
      <c r="BJ171" t="s">
        <v>538</v>
      </c>
      <c r="BK171" t="s">
        <v>552</v>
      </c>
      <c r="BL171" t="s">
        <v>552</v>
      </c>
      <c r="BM171" t="s">
        <v>1301</v>
      </c>
      <c r="BN171" t="s">
        <v>1398</v>
      </c>
      <c r="BO171" t="s">
        <v>1399</v>
      </c>
      <c r="BR171" t="s">
        <v>546</v>
      </c>
      <c r="BS171" s="1">
        <v>7135.2</v>
      </c>
      <c r="BW171" t="s">
        <v>536</v>
      </c>
      <c r="BX171" s="1">
        <v>7135.2</v>
      </c>
      <c r="BZ171" t="s">
        <v>535</v>
      </c>
      <c r="CA171" t="s">
        <v>546</v>
      </c>
      <c r="CB171" t="s">
        <v>1396</v>
      </c>
      <c r="CC171" t="s">
        <v>556</v>
      </c>
      <c r="CD171" t="s">
        <v>1400</v>
      </c>
      <c r="CE171" t="s">
        <v>1401</v>
      </c>
      <c r="CF171" t="s">
        <v>89</v>
      </c>
      <c r="CG171" s="4">
        <v>1</v>
      </c>
      <c r="CH171" t="s">
        <v>546</v>
      </c>
      <c r="CK171" t="s">
        <v>1402</v>
      </c>
      <c r="CL171" s="1">
        <v>7135.2</v>
      </c>
      <c r="CN171" t="s">
        <v>535</v>
      </c>
      <c r="CO171" t="s">
        <v>539</v>
      </c>
      <c r="CT171" t="s">
        <v>560</v>
      </c>
      <c r="CW171" t="s">
        <v>546</v>
      </c>
      <c r="DD171" t="s">
        <v>561</v>
      </c>
      <c r="DK171" t="s">
        <v>1403</v>
      </c>
      <c r="DL171" t="s">
        <v>1404</v>
      </c>
    </row>
    <row r="172" ht="15" customHeight="1" spans="1:122">
      <c r="A172" t="s">
        <v>530</v>
      </c>
      <c r="B172" t="s">
        <v>1405</v>
      </c>
      <c r="C172" t="s">
        <v>532</v>
      </c>
      <c r="D172" t="s">
        <v>1396</v>
      </c>
      <c r="E172" t="s">
        <v>534</v>
      </c>
      <c r="F172" t="s">
        <v>534</v>
      </c>
      <c r="G172" t="s">
        <v>535</v>
      </c>
      <c r="H172" s="1">
        <v>1783.8</v>
      </c>
      <c r="I172" s="1">
        <v>1783.8</v>
      </c>
      <c r="J172" t="s">
        <v>536</v>
      </c>
      <c r="L172" t="s">
        <v>536</v>
      </c>
      <c r="M172" t="s">
        <v>377</v>
      </c>
      <c r="N172" t="s">
        <v>537</v>
      </c>
      <c r="P172" s="1">
        <v>1783.8</v>
      </c>
      <c r="Q172" t="s">
        <v>1397</v>
      </c>
      <c r="R172" t="s">
        <v>535</v>
      </c>
      <c r="S172" t="s">
        <v>539</v>
      </c>
      <c r="T172" s="2">
        <v>1</v>
      </c>
      <c r="U172" s="1">
        <v>1783.8</v>
      </c>
      <c r="V172" s="1">
        <v>1783.8</v>
      </c>
      <c r="X172" t="s">
        <v>540</v>
      </c>
      <c r="Z172" t="s">
        <v>541</v>
      </c>
      <c r="AA172" t="s">
        <v>542</v>
      </c>
      <c r="AB172" t="s">
        <v>543</v>
      </c>
      <c r="AC172" t="s">
        <v>544</v>
      </c>
      <c r="AD172" t="s">
        <v>545</v>
      </c>
      <c r="AE172" s="3">
        <v>1</v>
      </c>
      <c r="AF172" t="s">
        <v>89</v>
      </c>
      <c r="AG172" s="1">
        <v>1783.8</v>
      </c>
      <c r="AI172" s="1">
        <v>1783.8</v>
      </c>
      <c r="AJ172" s="1">
        <v>1783.8</v>
      </c>
      <c r="AM172" s="1">
        <v>1783.8</v>
      </c>
      <c r="AN172" t="s">
        <v>565</v>
      </c>
      <c r="AO172" t="s">
        <v>546</v>
      </c>
      <c r="AP172" t="s">
        <v>565</v>
      </c>
      <c r="AQ172" t="s">
        <v>548</v>
      </c>
      <c r="AS172" t="s">
        <v>377</v>
      </c>
      <c r="AX172" s="1">
        <v>1783.8</v>
      </c>
      <c r="AY172" t="s">
        <v>546</v>
      </c>
      <c r="AZ172" t="s">
        <v>566</v>
      </c>
      <c r="BA172" s="1">
        <v>1783.8</v>
      </c>
      <c r="BC172" t="s">
        <v>546</v>
      </c>
      <c r="BD172" s="1">
        <v>1783.8</v>
      </c>
      <c r="BE172" t="s">
        <v>540</v>
      </c>
      <c r="BF172" s="1">
        <v>1783.8</v>
      </c>
      <c r="BH172" s="1">
        <v>1783.8</v>
      </c>
      <c r="BI172" t="s">
        <v>550</v>
      </c>
      <c r="BJ172" t="s">
        <v>538</v>
      </c>
      <c r="BK172" t="s">
        <v>552</v>
      </c>
      <c r="BL172" t="s">
        <v>552</v>
      </c>
      <c r="BM172" t="s">
        <v>1301</v>
      </c>
      <c r="BN172" t="s">
        <v>1406</v>
      </c>
      <c r="BO172" t="s">
        <v>1407</v>
      </c>
      <c r="BR172" t="s">
        <v>546</v>
      </c>
      <c r="BS172" s="1">
        <v>1783.8</v>
      </c>
      <c r="BW172" t="s">
        <v>536</v>
      </c>
      <c r="BX172" s="1">
        <v>1783.8</v>
      </c>
      <c r="BZ172" t="s">
        <v>535</v>
      </c>
      <c r="CA172" t="s">
        <v>546</v>
      </c>
      <c r="CB172" t="s">
        <v>1396</v>
      </c>
      <c r="CC172" t="s">
        <v>556</v>
      </c>
      <c r="CD172" t="s">
        <v>1400</v>
      </c>
      <c r="CE172" t="s">
        <v>1401</v>
      </c>
      <c r="CF172" t="s">
        <v>89</v>
      </c>
      <c r="CG172" s="4">
        <v>1</v>
      </c>
      <c r="CH172" t="s">
        <v>546</v>
      </c>
      <c r="CK172" t="s">
        <v>1402</v>
      </c>
      <c r="CL172" s="1">
        <v>1783.8</v>
      </c>
      <c r="CN172" t="s">
        <v>535</v>
      </c>
      <c r="CO172" t="s">
        <v>539</v>
      </c>
      <c r="CT172" t="s">
        <v>560</v>
      </c>
      <c r="CW172" t="s">
        <v>546</v>
      </c>
      <c r="DD172" t="s">
        <v>561</v>
      </c>
      <c r="DK172" t="s">
        <v>1403</v>
      </c>
      <c r="DL172" t="s">
        <v>1404</v>
      </c>
    </row>
    <row r="173" ht="15" customHeight="1" spans="1:122">
      <c r="A173" t="s">
        <v>530</v>
      </c>
      <c r="B173" t="s">
        <v>1408</v>
      </c>
      <c r="C173" t="s">
        <v>532</v>
      </c>
      <c r="D173" t="s">
        <v>1301</v>
      </c>
      <c r="E173" t="s">
        <v>534</v>
      </c>
      <c r="F173" t="s">
        <v>534</v>
      </c>
      <c r="G173" t="s">
        <v>535</v>
      </c>
      <c r="H173" s="1">
        <v>32</v>
      </c>
      <c r="I173" s="1">
        <v>32</v>
      </c>
      <c r="J173" t="s">
        <v>536</v>
      </c>
      <c r="L173" t="s">
        <v>536</v>
      </c>
      <c r="M173" t="s">
        <v>377</v>
      </c>
      <c r="N173" t="s">
        <v>537</v>
      </c>
      <c r="P173" s="1">
        <v>32</v>
      </c>
      <c r="Q173" t="s">
        <v>1397</v>
      </c>
      <c r="R173" t="s">
        <v>535</v>
      </c>
      <c r="S173" t="s">
        <v>539</v>
      </c>
      <c r="T173" s="2">
        <v>1</v>
      </c>
      <c r="U173" s="1">
        <v>32</v>
      </c>
      <c r="V173" s="1">
        <v>32</v>
      </c>
      <c r="X173" t="s">
        <v>540</v>
      </c>
      <c r="Z173" t="s">
        <v>541</v>
      </c>
      <c r="AA173" t="s">
        <v>542</v>
      </c>
      <c r="AB173" t="s">
        <v>543</v>
      </c>
      <c r="AC173" t="s">
        <v>544</v>
      </c>
      <c r="AD173" t="s">
        <v>545</v>
      </c>
      <c r="AE173" s="3">
        <v>1</v>
      </c>
      <c r="AF173" t="s">
        <v>311</v>
      </c>
      <c r="AG173" s="1">
        <v>32</v>
      </c>
      <c r="AI173" s="1">
        <v>32</v>
      </c>
      <c r="AJ173" s="1">
        <v>32</v>
      </c>
      <c r="AM173" s="1">
        <v>32</v>
      </c>
      <c r="AN173" t="s">
        <v>643</v>
      </c>
      <c r="AO173" t="s">
        <v>546</v>
      </c>
      <c r="AP173" t="s">
        <v>643</v>
      </c>
      <c r="AQ173" t="s">
        <v>548</v>
      </c>
      <c r="AS173" t="s">
        <v>377</v>
      </c>
      <c r="AX173" s="1">
        <v>32</v>
      </c>
      <c r="AY173" t="s">
        <v>546</v>
      </c>
      <c r="AZ173" t="s">
        <v>644</v>
      </c>
      <c r="BA173" s="1">
        <v>32</v>
      </c>
      <c r="BC173" t="s">
        <v>546</v>
      </c>
      <c r="BD173" s="1">
        <v>32</v>
      </c>
      <c r="BE173" t="s">
        <v>540</v>
      </c>
      <c r="BF173" s="1">
        <v>32</v>
      </c>
      <c r="BH173" s="1">
        <v>32</v>
      </c>
      <c r="BI173" t="s">
        <v>550</v>
      </c>
      <c r="BJ173" t="s">
        <v>538</v>
      </c>
      <c r="BK173" t="s">
        <v>552</v>
      </c>
      <c r="BL173" t="s">
        <v>552</v>
      </c>
      <c r="BM173" t="s">
        <v>1301</v>
      </c>
      <c r="BN173" t="s">
        <v>1409</v>
      </c>
      <c r="BO173" t="s">
        <v>1410</v>
      </c>
      <c r="BR173" t="s">
        <v>546</v>
      </c>
      <c r="BS173" s="1">
        <v>32</v>
      </c>
      <c r="BW173" t="s">
        <v>536</v>
      </c>
      <c r="BX173" s="1">
        <v>32</v>
      </c>
      <c r="BZ173" t="s">
        <v>535</v>
      </c>
      <c r="CA173" t="s">
        <v>546</v>
      </c>
      <c r="CB173" t="s">
        <v>1301</v>
      </c>
      <c r="CC173" t="s">
        <v>556</v>
      </c>
      <c r="CD173" t="s">
        <v>1411</v>
      </c>
      <c r="CE173" t="s">
        <v>1412</v>
      </c>
      <c r="CF173" t="s">
        <v>311</v>
      </c>
      <c r="CG173" s="4">
        <v>1</v>
      </c>
      <c r="CH173" t="s">
        <v>546</v>
      </c>
      <c r="CK173" t="s">
        <v>1413</v>
      </c>
      <c r="CL173" s="1">
        <v>32</v>
      </c>
      <c r="CN173" t="s">
        <v>535</v>
      </c>
      <c r="CO173" t="s">
        <v>539</v>
      </c>
      <c r="CT173" t="s">
        <v>560</v>
      </c>
      <c r="CW173" t="s">
        <v>546</v>
      </c>
      <c r="DD173" t="s">
        <v>561</v>
      </c>
      <c r="DK173" t="s">
        <v>1403</v>
      </c>
      <c r="DL173" t="s">
        <v>1404</v>
      </c>
      <c r="DR173" t="s">
        <v>1414</v>
      </c>
    </row>
    <row r="174" ht="15" customHeight="1" spans="1:122">
      <c r="A174" t="s">
        <v>530</v>
      </c>
      <c r="B174" t="s">
        <v>1415</v>
      </c>
      <c r="C174" t="s">
        <v>532</v>
      </c>
      <c r="D174" t="s">
        <v>1301</v>
      </c>
      <c r="E174" t="s">
        <v>534</v>
      </c>
      <c r="F174" t="s">
        <v>534</v>
      </c>
      <c r="G174" t="s">
        <v>535</v>
      </c>
      <c r="H174" s="1">
        <v>5816</v>
      </c>
      <c r="I174" s="1">
        <v>5816</v>
      </c>
      <c r="J174" t="s">
        <v>536</v>
      </c>
      <c r="L174" t="s">
        <v>536</v>
      </c>
      <c r="M174" t="s">
        <v>380</v>
      </c>
      <c r="N174" t="s">
        <v>369</v>
      </c>
      <c r="P174" s="1">
        <v>5816</v>
      </c>
      <c r="Q174" t="s">
        <v>606</v>
      </c>
      <c r="R174" t="s">
        <v>535</v>
      </c>
      <c r="S174" t="s">
        <v>539</v>
      </c>
      <c r="T174" s="2">
        <v>1</v>
      </c>
      <c r="U174" s="1">
        <v>5816</v>
      </c>
      <c r="V174" s="1">
        <v>5816</v>
      </c>
      <c r="X174" t="s">
        <v>540</v>
      </c>
      <c r="Z174" t="s">
        <v>541</v>
      </c>
      <c r="AA174" t="s">
        <v>542</v>
      </c>
      <c r="AB174" t="s">
        <v>543</v>
      </c>
      <c r="AC174" t="s">
        <v>544</v>
      </c>
      <c r="AD174" t="s">
        <v>545</v>
      </c>
      <c r="AE174" s="3">
        <v>1</v>
      </c>
      <c r="AF174" t="s">
        <v>314</v>
      </c>
      <c r="AG174" s="1">
        <v>5816</v>
      </c>
      <c r="AI174" s="1">
        <v>5816</v>
      </c>
      <c r="AJ174" s="1">
        <v>5816</v>
      </c>
      <c r="AM174" s="1">
        <v>5816</v>
      </c>
      <c r="AN174" t="s">
        <v>536</v>
      </c>
      <c r="AO174" t="s">
        <v>546</v>
      </c>
      <c r="AP174" t="s">
        <v>547</v>
      </c>
      <c r="AQ174" t="s">
        <v>548</v>
      </c>
      <c r="AS174" t="s">
        <v>380</v>
      </c>
      <c r="AX174" s="1">
        <v>5816</v>
      </c>
      <c r="AY174" t="s">
        <v>546</v>
      </c>
      <c r="AZ174" t="s">
        <v>549</v>
      </c>
      <c r="BA174" s="1">
        <v>5816</v>
      </c>
      <c r="BC174" t="s">
        <v>546</v>
      </c>
      <c r="BD174" s="1">
        <v>5816</v>
      </c>
      <c r="BE174" t="s">
        <v>540</v>
      </c>
      <c r="BF174" s="1">
        <v>5816</v>
      </c>
      <c r="BH174" s="1">
        <v>5816</v>
      </c>
      <c r="BI174" t="s">
        <v>550</v>
      </c>
      <c r="BJ174" t="s">
        <v>606</v>
      </c>
      <c r="BK174" t="s">
        <v>606</v>
      </c>
      <c r="BL174" t="s">
        <v>552</v>
      </c>
      <c r="BM174" t="s">
        <v>1301</v>
      </c>
      <c r="BN174" t="s">
        <v>1416</v>
      </c>
      <c r="BO174" t="s">
        <v>1417</v>
      </c>
      <c r="BR174" t="s">
        <v>546</v>
      </c>
      <c r="BS174" s="1">
        <v>5816</v>
      </c>
      <c r="BW174" t="s">
        <v>536</v>
      </c>
      <c r="BX174" s="1">
        <v>5816</v>
      </c>
      <c r="BZ174" t="s">
        <v>535</v>
      </c>
      <c r="CA174" t="s">
        <v>546</v>
      </c>
      <c r="CB174" t="s">
        <v>1301</v>
      </c>
      <c r="CC174" t="s">
        <v>556</v>
      </c>
      <c r="CD174" t="s">
        <v>1418</v>
      </c>
      <c r="CE174" t="s">
        <v>1419</v>
      </c>
      <c r="CF174" t="s">
        <v>314</v>
      </c>
      <c r="CG174" s="4">
        <v>1</v>
      </c>
      <c r="CH174" t="s">
        <v>546</v>
      </c>
      <c r="CK174" t="s">
        <v>1420</v>
      </c>
      <c r="CL174" s="1">
        <v>5816</v>
      </c>
      <c r="CN174" t="s">
        <v>535</v>
      </c>
      <c r="CO174" t="s">
        <v>539</v>
      </c>
      <c r="CT174" t="s">
        <v>576</v>
      </c>
      <c r="CW174" t="s">
        <v>546</v>
      </c>
      <c r="DD174" t="s">
        <v>561</v>
      </c>
      <c r="DK174" t="s">
        <v>1421</v>
      </c>
      <c r="DL174" t="s">
        <v>1422</v>
      </c>
    </row>
    <row r="175" ht="15" customHeight="1" spans="1:122">
      <c r="A175" t="s">
        <v>530</v>
      </c>
      <c r="B175" t="s">
        <v>1423</v>
      </c>
      <c r="C175" t="s">
        <v>532</v>
      </c>
      <c r="D175" t="s">
        <v>1301</v>
      </c>
      <c r="E175" t="s">
        <v>534</v>
      </c>
      <c r="F175" t="s">
        <v>534</v>
      </c>
      <c r="G175" t="s">
        <v>535</v>
      </c>
      <c r="H175" s="1">
        <v>4567.9</v>
      </c>
      <c r="I175" s="1">
        <v>4540.49</v>
      </c>
      <c r="J175" t="s">
        <v>536</v>
      </c>
      <c r="L175" t="s">
        <v>536</v>
      </c>
      <c r="M175" t="s">
        <v>375</v>
      </c>
      <c r="N175" t="s">
        <v>537</v>
      </c>
      <c r="P175" s="1">
        <v>4567.9</v>
      </c>
      <c r="Q175" t="s">
        <v>580</v>
      </c>
      <c r="R175" t="s">
        <v>535</v>
      </c>
      <c r="S175" t="s">
        <v>539</v>
      </c>
      <c r="T175" s="2">
        <v>1</v>
      </c>
      <c r="U175" s="1">
        <v>4567.9</v>
      </c>
      <c r="V175" s="1">
        <v>4540.49</v>
      </c>
      <c r="X175" t="s">
        <v>540</v>
      </c>
      <c r="Z175" t="s">
        <v>541</v>
      </c>
      <c r="AA175" t="s">
        <v>542</v>
      </c>
      <c r="AB175" t="s">
        <v>543</v>
      </c>
      <c r="AC175" t="s">
        <v>544</v>
      </c>
      <c r="AD175" t="s">
        <v>545</v>
      </c>
      <c r="AE175" s="3">
        <v>1</v>
      </c>
      <c r="AF175" t="s">
        <v>84</v>
      </c>
      <c r="AG175" s="1">
        <v>4567.9</v>
      </c>
      <c r="AI175" s="1">
        <v>4567.9</v>
      </c>
      <c r="AJ175" s="1">
        <v>4567.9</v>
      </c>
      <c r="AK175" s="1">
        <v>27.41</v>
      </c>
      <c r="AM175" s="1">
        <v>4540.49</v>
      </c>
      <c r="AN175" t="s">
        <v>536</v>
      </c>
      <c r="AO175" t="s">
        <v>546</v>
      </c>
      <c r="AP175" t="s">
        <v>547</v>
      </c>
      <c r="AQ175" t="s">
        <v>548</v>
      </c>
      <c r="AS175" t="s">
        <v>375</v>
      </c>
      <c r="AX175" s="1">
        <v>4567.9</v>
      </c>
      <c r="AY175" t="s">
        <v>546</v>
      </c>
      <c r="AZ175" t="s">
        <v>549</v>
      </c>
      <c r="BA175" s="1">
        <v>4567.9</v>
      </c>
      <c r="BC175" t="s">
        <v>546</v>
      </c>
      <c r="BD175" s="1">
        <v>4567.9</v>
      </c>
      <c r="BE175" t="s">
        <v>540</v>
      </c>
      <c r="BF175" s="1">
        <v>4567.9</v>
      </c>
      <c r="BG175" s="1">
        <v>27.41</v>
      </c>
      <c r="BH175" s="1">
        <v>4540.49</v>
      </c>
      <c r="BI175" t="s">
        <v>550</v>
      </c>
      <c r="BJ175" t="s">
        <v>570</v>
      </c>
      <c r="BK175" t="s">
        <v>552</v>
      </c>
      <c r="BL175" t="s">
        <v>552</v>
      </c>
      <c r="BM175" t="s">
        <v>1301</v>
      </c>
      <c r="BN175" t="s">
        <v>1424</v>
      </c>
      <c r="BO175" t="s">
        <v>1425</v>
      </c>
      <c r="BR175" t="s">
        <v>546</v>
      </c>
      <c r="BS175" s="1">
        <v>4567.9</v>
      </c>
      <c r="BW175" t="s">
        <v>536</v>
      </c>
      <c r="BX175" s="1">
        <v>4567.9</v>
      </c>
      <c r="BZ175" t="s">
        <v>535</v>
      </c>
      <c r="CA175" t="s">
        <v>546</v>
      </c>
      <c r="CB175" t="s">
        <v>1301</v>
      </c>
      <c r="CC175" t="s">
        <v>556</v>
      </c>
      <c r="CD175" t="s">
        <v>1426</v>
      </c>
      <c r="CE175" t="s">
        <v>1427</v>
      </c>
      <c r="CF175" t="s">
        <v>84</v>
      </c>
      <c r="CG175" s="4">
        <v>1</v>
      </c>
      <c r="CH175" t="s">
        <v>546</v>
      </c>
      <c r="CK175" t="s">
        <v>1428</v>
      </c>
      <c r="CL175" s="1">
        <v>4567.9</v>
      </c>
      <c r="CN175" t="s">
        <v>535</v>
      </c>
      <c r="CO175" t="s">
        <v>539</v>
      </c>
      <c r="CT175" t="s">
        <v>576</v>
      </c>
      <c r="CW175" t="s">
        <v>546</v>
      </c>
      <c r="DD175" t="s">
        <v>561</v>
      </c>
      <c r="DK175" t="s">
        <v>1429</v>
      </c>
      <c r="DL175" t="s">
        <v>1430</v>
      </c>
    </row>
    <row r="176" ht="15" customHeight="1" spans="1:122">
      <c r="A176" t="s">
        <v>530</v>
      </c>
      <c r="B176" t="s">
        <v>1431</v>
      </c>
      <c r="C176" t="s">
        <v>532</v>
      </c>
      <c r="D176" t="s">
        <v>1301</v>
      </c>
      <c r="E176" t="s">
        <v>534</v>
      </c>
      <c r="F176" t="s">
        <v>534</v>
      </c>
      <c r="G176" t="s">
        <v>535</v>
      </c>
      <c r="H176" s="1">
        <v>806.1</v>
      </c>
      <c r="I176" s="1">
        <v>806.1</v>
      </c>
      <c r="J176" t="s">
        <v>536</v>
      </c>
      <c r="L176" t="s">
        <v>536</v>
      </c>
      <c r="M176" t="s">
        <v>375</v>
      </c>
      <c r="N176" t="s">
        <v>537</v>
      </c>
      <c r="P176" s="1">
        <v>806.1</v>
      </c>
      <c r="Q176" t="s">
        <v>580</v>
      </c>
      <c r="R176" t="s">
        <v>535</v>
      </c>
      <c r="S176" t="s">
        <v>539</v>
      </c>
      <c r="T176" s="2">
        <v>1</v>
      </c>
      <c r="U176" s="1">
        <v>806.1</v>
      </c>
      <c r="V176" s="1">
        <v>806.1</v>
      </c>
      <c r="X176" t="s">
        <v>540</v>
      </c>
      <c r="Z176" t="s">
        <v>541</v>
      </c>
      <c r="AA176" t="s">
        <v>542</v>
      </c>
      <c r="AB176" t="s">
        <v>543</v>
      </c>
      <c r="AC176" t="s">
        <v>544</v>
      </c>
      <c r="AD176" t="s">
        <v>545</v>
      </c>
      <c r="AE176" s="3">
        <v>1</v>
      </c>
      <c r="AF176" t="s">
        <v>84</v>
      </c>
      <c r="AG176" s="1">
        <v>806.1</v>
      </c>
      <c r="AI176" s="1">
        <v>806.1</v>
      </c>
      <c r="AJ176" s="1">
        <v>806.1</v>
      </c>
      <c r="AM176" s="1">
        <v>806.1</v>
      </c>
      <c r="AN176" t="s">
        <v>565</v>
      </c>
      <c r="AO176" t="s">
        <v>546</v>
      </c>
      <c r="AP176" t="s">
        <v>565</v>
      </c>
      <c r="AQ176" t="s">
        <v>548</v>
      </c>
      <c r="AS176" t="s">
        <v>375</v>
      </c>
      <c r="AX176" s="1">
        <v>806.1</v>
      </c>
      <c r="AY176" t="s">
        <v>546</v>
      </c>
      <c r="AZ176" t="s">
        <v>566</v>
      </c>
      <c r="BA176" s="1">
        <v>806.1</v>
      </c>
      <c r="BC176" t="s">
        <v>546</v>
      </c>
      <c r="BD176" s="1">
        <v>806.1</v>
      </c>
      <c r="BE176" t="s">
        <v>540</v>
      </c>
      <c r="BF176" s="1">
        <v>806.1</v>
      </c>
      <c r="BH176" s="1">
        <v>806.1</v>
      </c>
      <c r="BI176" t="s">
        <v>550</v>
      </c>
      <c r="BJ176" t="s">
        <v>570</v>
      </c>
      <c r="BK176" t="s">
        <v>570</v>
      </c>
      <c r="BL176" t="s">
        <v>552</v>
      </c>
      <c r="BM176" t="s">
        <v>1301</v>
      </c>
      <c r="BN176" t="s">
        <v>1432</v>
      </c>
      <c r="BO176" t="s">
        <v>1433</v>
      </c>
      <c r="BR176" t="s">
        <v>546</v>
      </c>
      <c r="BS176" s="1">
        <v>806.1</v>
      </c>
      <c r="BW176" t="s">
        <v>536</v>
      </c>
      <c r="BX176" s="1">
        <v>806.1</v>
      </c>
      <c r="BZ176" t="s">
        <v>535</v>
      </c>
      <c r="CA176" t="s">
        <v>546</v>
      </c>
      <c r="CB176" t="s">
        <v>1301</v>
      </c>
      <c r="CC176" t="s">
        <v>556</v>
      </c>
      <c r="CD176" t="s">
        <v>1426</v>
      </c>
      <c r="CE176" t="s">
        <v>1427</v>
      </c>
      <c r="CF176" t="s">
        <v>84</v>
      </c>
      <c r="CG176" s="4">
        <v>1</v>
      </c>
      <c r="CH176" t="s">
        <v>546</v>
      </c>
      <c r="CK176" t="s">
        <v>1428</v>
      </c>
      <c r="CL176" s="1">
        <v>806.1</v>
      </c>
      <c r="CN176" t="s">
        <v>535</v>
      </c>
      <c r="CO176" t="s">
        <v>539</v>
      </c>
      <c r="CT176" t="s">
        <v>576</v>
      </c>
      <c r="CW176" t="s">
        <v>546</v>
      </c>
      <c r="DD176" t="s">
        <v>561</v>
      </c>
      <c r="DK176" t="s">
        <v>1429</v>
      </c>
      <c r="DL176" t="s">
        <v>1430</v>
      </c>
    </row>
    <row r="177" ht="15" customHeight="1" spans="1:122">
      <c r="A177" t="s">
        <v>530</v>
      </c>
      <c r="B177" t="s">
        <v>1434</v>
      </c>
      <c r="C177" t="s">
        <v>532</v>
      </c>
      <c r="D177" t="s">
        <v>1301</v>
      </c>
      <c r="E177" t="s">
        <v>534</v>
      </c>
      <c r="F177" t="s">
        <v>534</v>
      </c>
      <c r="G177" t="s">
        <v>535</v>
      </c>
      <c r="H177" s="1">
        <v>398</v>
      </c>
      <c r="I177" s="1">
        <v>398</v>
      </c>
      <c r="J177" t="s">
        <v>536</v>
      </c>
      <c r="L177" t="s">
        <v>536</v>
      </c>
      <c r="M177" t="s">
        <v>377</v>
      </c>
      <c r="N177" t="s">
        <v>537</v>
      </c>
      <c r="P177" s="1">
        <v>398</v>
      </c>
      <c r="Q177" t="s">
        <v>538</v>
      </c>
      <c r="R177" t="s">
        <v>535</v>
      </c>
      <c r="S177" t="s">
        <v>539</v>
      </c>
      <c r="T177" s="2">
        <v>1</v>
      </c>
      <c r="U177" s="1">
        <v>398</v>
      </c>
      <c r="V177" s="1">
        <v>398</v>
      </c>
      <c r="X177" t="s">
        <v>540</v>
      </c>
      <c r="Z177" t="s">
        <v>541</v>
      </c>
      <c r="AA177" t="s">
        <v>542</v>
      </c>
      <c r="AB177" t="s">
        <v>934</v>
      </c>
      <c r="AC177" t="s">
        <v>544</v>
      </c>
      <c r="AD177" t="s">
        <v>545</v>
      </c>
      <c r="AE177" s="3">
        <v>1</v>
      </c>
      <c r="AF177" t="s">
        <v>90</v>
      </c>
      <c r="AG177" s="1">
        <v>398</v>
      </c>
      <c r="AI177" s="1">
        <v>398</v>
      </c>
      <c r="AJ177" s="1">
        <v>398</v>
      </c>
      <c r="AM177" s="1">
        <v>398</v>
      </c>
      <c r="AN177" t="s">
        <v>643</v>
      </c>
      <c r="AO177" t="s">
        <v>546</v>
      </c>
      <c r="AP177" t="s">
        <v>643</v>
      </c>
      <c r="AQ177" t="s">
        <v>548</v>
      </c>
      <c r="AS177" t="s">
        <v>377</v>
      </c>
      <c r="AX177" s="1">
        <v>398</v>
      </c>
      <c r="AY177" t="s">
        <v>546</v>
      </c>
      <c r="AZ177" t="s">
        <v>644</v>
      </c>
      <c r="BA177" s="1">
        <v>398</v>
      </c>
      <c r="BC177" t="s">
        <v>546</v>
      </c>
      <c r="BD177" s="1">
        <v>398</v>
      </c>
      <c r="BE177" t="s">
        <v>540</v>
      </c>
      <c r="BF177" s="1">
        <v>398</v>
      </c>
      <c r="BH177" s="1">
        <v>398</v>
      </c>
      <c r="BI177" t="s">
        <v>550</v>
      </c>
      <c r="BJ177" t="s">
        <v>551</v>
      </c>
      <c r="BK177" t="s">
        <v>551</v>
      </c>
      <c r="BL177" t="s">
        <v>552</v>
      </c>
      <c r="BM177" t="s">
        <v>1301</v>
      </c>
      <c r="BN177" t="s">
        <v>1435</v>
      </c>
      <c r="BO177" t="s">
        <v>1436</v>
      </c>
      <c r="BR177" t="s">
        <v>546</v>
      </c>
      <c r="BS177" s="1">
        <v>398</v>
      </c>
      <c r="BW177" t="s">
        <v>536</v>
      </c>
      <c r="BX177" s="1">
        <v>398</v>
      </c>
      <c r="BZ177" t="s">
        <v>535</v>
      </c>
      <c r="CA177" t="s">
        <v>546</v>
      </c>
      <c r="CB177" t="s">
        <v>1301</v>
      </c>
      <c r="CC177" t="s">
        <v>556</v>
      </c>
      <c r="CD177" t="s">
        <v>922</v>
      </c>
      <c r="CE177" t="s">
        <v>923</v>
      </c>
      <c r="CF177" t="s">
        <v>90</v>
      </c>
      <c r="CG177" s="4">
        <v>1</v>
      </c>
      <c r="CH177" t="s">
        <v>546</v>
      </c>
      <c r="CK177" t="s">
        <v>1437</v>
      </c>
      <c r="CL177" s="1">
        <v>398</v>
      </c>
      <c r="CN177" t="s">
        <v>535</v>
      </c>
      <c r="CO177" t="s">
        <v>539</v>
      </c>
      <c r="CT177" t="s">
        <v>560</v>
      </c>
      <c r="CW177" t="s">
        <v>546</v>
      </c>
      <c r="DD177" t="s">
        <v>561</v>
      </c>
      <c r="DK177" t="s">
        <v>1403</v>
      </c>
      <c r="DL177" t="s">
        <v>1404</v>
      </c>
      <c r="DR177" t="s">
        <v>1438</v>
      </c>
    </row>
    <row r="178" ht="15" customHeight="1" spans="1:122">
      <c r="A178" t="s">
        <v>603</v>
      </c>
      <c r="B178" t="s">
        <v>1439</v>
      </c>
      <c r="C178" t="s">
        <v>656</v>
      </c>
      <c r="D178" t="s">
        <v>1301</v>
      </c>
      <c r="E178" t="s">
        <v>534</v>
      </c>
      <c r="F178" t="s">
        <v>534</v>
      </c>
      <c r="G178" t="s">
        <v>535</v>
      </c>
      <c r="H178" s="1">
        <v>2400</v>
      </c>
      <c r="I178" s="1">
        <v>2400</v>
      </c>
      <c r="J178" t="s">
        <v>536</v>
      </c>
      <c r="L178" t="s">
        <v>536</v>
      </c>
      <c r="M178" t="s">
        <v>396</v>
      </c>
      <c r="N178" t="s">
        <v>657</v>
      </c>
      <c r="P178" s="1">
        <v>2400</v>
      </c>
      <c r="Q178" t="s">
        <v>658</v>
      </c>
      <c r="R178" t="s">
        <v>535</v>
      </c>
      <c r="S178" t="s">
        <v>539</v>
      </c>
      <c r="T178" s="2">
        <v>1</v>
      </c>
      <c r="U178" s="1">
        <v>2400</v>
      </c>
      <c r="V178" s="1">
        <v>2400</v>
      </c>
      <c r="X178" t="s">
        <v>616</v>
      </c>
      <c r="Z178" t="s">
        <v>541</v>
      </c>
      <c r="AA178" t="s">
        <v>542</v>
      </c>
      <c r="AB178" t="s">
        <v>543</v>
      </c>
      <c r="AC178" t="s">
        <v>608</v>
      </c>
      <c r="AE178" s="3">
        <v>1</v>
      </c>
      <c r="AG178" s="1">
        <v>2400</v>
      </c>
      <c r="AI178" s="1">
        <v>2400</v>
      </c>
      <c r="AJ178" s="1">
        <v>2400</v>
      </c>
      <c r="AM178" s="1">
        <v>2400</v>
      </c>
      <c r="AN178" t="s">
        <v>680</v>
      </c>
      <c r="AO178" t="s">
        <v>546</v>
      </c>
      <c r="AP178" t="s">
        <v>681</v>
      </c>
      <c r="AQ178" t="s">
        <v>548</v>
      </c>
      <c r="AS178" t="s">
        <v>396</v>
      </c>
      <c r="AX178" s="1">
        <v>2400</v>
      </c>
      <c r="AY178" t="s">
        <v>546</v>
      </c>
      <c r="AZ178" t="s">
        <v>682</v>
      </c>
      <c r="BA178" s="1">
        <v>2400</v>
      </c>
      <c r="BC178" t="s">
        <v>546</v>
      </c>
      <c r="BE178" t="s">
        <v>616</v>
      </c>
      <c r="BH178" s="1">
        <v>2400</v>
      </c>
      <c r="BI178" t="s">
        <v>550</v>
      </c>
      <c r="BJ178" t="s">
        <v>683</v>
      </c>
      <c r="BK178" t="s">
        <v>683</v>
      </c>
      <c r="BL178" t="s">
        <v>552</v>
      </c>
      <c r="BM178" t="s">
        <v>1440</v>
      </c>
      <c r="BN178" t="s">
        <v>1441</v>
      </c>
      <c r="BO178" t="s">
        <v>1442</v>
      </c>
      <c r="BR178" t="s">
        <v>546</v>
      </c>
      <c r="BS178" s="1">
        <v>2400</v>
      </c>
      <c r="BW178" t="s">
        <v>536</v>
      </c>
      <c r="BZ178" t="s">
        <v>535</v>
      </c>
      <c r="CA178" t="s">
        <v>546</v>
      </c>
      <c r="CB178" t="s">
        <v>1301</v>
      </c>
      <c r="CC178" t="s">
        <v>556</v>
      </c>
      <c r="CH178" t="s">
        <v>546</v>
      </c>
      <c r="CK178" t="s">
        <v>1443</v>
      </c>
      <c r="CN178" t="s">
        <v>535</v>
      </c>
      <c r="CO178" t="s">
        <v>539</v>
      </c>
      <c r="CT178" t="s">
        <v>1444</v>
      </c>
      <c r="CW178" t="s">
        <v>546</v>
      </c>
      <c r="DD178" t="s">
        <v>561</v>
      </c>
      <c r="DK178" t="s">
        <v>1445</v>
      </c>
    </row>
    <row r="179" ht="15" customHeight="1" spans="1:122">
      <c r="A179" t="s">
        <v>530</v>
      </c>
      <c r="B179" t="s">
        <v>1446</v>
      </c>
      <c r="C179" t="s">
        <v>532</v>
      </c>
      <c r="D179" t="s">
        <v>1396</v>
      </c>
      <c r="E179" t="s">
        <v>534</v>
      </c>
      <c r="F179" t="s">
        <v>534</v>
      </c>
      <c r="G179" t="s">
        <v>535</v>
      </c>
      <c r="H179" s="1">
        <v>3127.2</v>
      </c>
      <c r="I179" s="1">
        <v>3108.44</v>
      </c>
      <c r="J179" t="s">
        <v>536</v>
      </c>
      <c r="L179" t="s">
        <v>536</v>
      </c>
      <c r="M179" t="s">
        <v>375</v>
      </c>
      <c r="N179" t="s">
        <v>537</v>
      </c>
      <c r="P179" s="1">
        <v>3127.2</v>
      </c>
      <c r="Q179" t="s">
        <v>580</v>
      </c>
      <c r="R179" t="s">
        <v>535</v>
      </c>
      <c r="S179" t="s">
        <v>539</v>
      </c>
      <c r="T179" s="2">
        <v>1</v>
      </c>
      <c r="U179" s="1">
        <v>3127.2</v>
      </c>
      <c r="V179" s="1">
        <v>3108.44</v>
      </c>
      <c r="X179" t="s">
        <v>540</v>
      </c>
      <c r="Z179" t="s">
        <v>541</v>
      </c>
      <c r="AA179" t="s">
        <v>542</v>
      </c>
      <c r="AB179" t="s">
        <v>543</v>
      </c>
      <c r="AC179" t="s">
        <v>544</v>
      </c>
      <c r="AD179" t="s">
        <v>545</v>
      </c>
      <c r="AE179" s="3">
        <v>1</v>
      </c>
      <c r="AF179" t="s">
        <v>95</v>
      </c>
      <c r="AG179" s="1">
        <v>3127.2</v>
      </c>
      <c r="AI179" s="1">
        <v>3127.2</v>
      </c>
      <c r="AJ179" s="1">
        <v>3127.2</v>
      </c>
      <c r="AK179" s="1">
        <v>18.76</v>
      </c>
      <c r="AM179" s="1">
        <v>3108.44</v>
      </c>
      <c r="AN179" t="s">
        <v>536</v>
      </c>
      <c r="AO179" t="s">
        <v>546</v>
      </c>
      <c r="AP179" t="s">
        <v>547</v>
      </c>
      <c r="AQ179" t="s">
        <v>548</v>
      </c>
      <c r="AS179" t="s">
        <v>375</v>
      </c>
      <c r="AX179" s="1">
        <v>3127.2</v>
      </c>
      <c r="AY179" t="s">
        <v>546</v>
      </c>
      <c r="AZ179" t="s">
        <v>549</v>
      </c>
      <c r="BA179" s="1">
        <v>3127.2</v>
      </c>
      <c r="BC179" t="s">
        <v>546</v>
      </c>
      <c r="BD179" s="1">
        <v>3127.2</v>
      </c>
      <c r="BE179" t="s">
        <v>540</v>
      </c>
      <c r="BF179" s="1">
        <v>3127.2</v>
      </c>
      <c r="BG179" s="1">
        <v>18.76</v>
      </c>
      <c r="BH179" s="1">
        <v>3108.44</v>
      </c>
      <c r="BI179" t="s">
        <v>550</v>
      </c>
      <c r="BJ179" t="s">
        <v>570</v>
      </c>
      <c r="BK179" t="s">
        <v>552</v>
      </c>
      <c r="BL179" t="s">
        <v>552</v>
      </c>
      <c r="BM179" t="s">
        <v>1440</v>
      </c>
      <c r="BN179" t="s">
        <v>1447</v>
      </c>
      <c r="BO179" t="s">
        <v>1448</v>
      </c>
      <c r="BR179" t="s">
        <v>546</v>
      </c>
      <c r="BS179" s="1">
        <v>3127.2</v>
      </c>
      <c r="BW179" t="s">
        <v>536</v>
      </c>
      <c r="BX179" s="1">
        <v>3127.2</v>
      </c>
      <c r="BZ179" t="s">
        <v>535</v>
      </c>
      <c r="CA179" t="s">
        <v>546</v>
      </c>
      <c r="CB179" t="s">
        <v>1396</v>
      </c>
      <c r="CC179" t="s">
        <v>556</v>
      </c>
      <c r="CD179" t="s">
        <v>944</v>
      </c>
      <c r="CE179" t="s">
        <v>945</v>
      </c>
      <c r="CF179" t="s">
        <v>95</v>
      </c>
      <c r="CG179" s="4">
        <v>1</v>
      </c>
      <c r="CH179" t="s">
        <v>546</v>
      </c>
      <c r="CK179" t="s">
        <v>1449</v>
      </c>
      <c r="CL179" s="1">
        <v>3127.2</v>
      </c>
      <c r="CN179" t="s">
        <v>535</v>
      </c>
      <c r="CO179" t="s">
        <v>539</v>
      </c>
      <c r="CT179" t="s">
        <v>576</v>
      </c>
      <c r="CW179" t="s">
        <v>546</v>
      </c>
      <c r="DD179" t="s">
        <v>561</v>
      </c>
      <c r="DK179" t="s">
        <v>1450</v>
      </c>
      <c r="DL179" t="s">
        <v>1451</v>
      </c>
    </row>
    <row r="180" ht="15" customHeight="1" spans="1:122">
      <c r="A180" t="s">
        <v>530</v>
      </c>
      <c r="B180" t="s">
        <v>1452</v>
      </c>
      <c r="C180" t="s">
        <v>532</v>
      </c>
      <c r="D180" t="s">
        <v>1396</v>
      </c>
      <c r="E180" t="s">
        <v>534</v>
      </c>
      <c r="F180" t="s">
        <v>534</v>
      </c>
      <c r="G180" t="s">
        <v>535</v>
      </c>
      <c r="H180" s="1">
        <v>781.8</v>
      </c>
      <c r="I180" s="1">
        <v>781.8</v>
      </c>
      <c r="J180" t="s">
        <v>536</v>
      </c>
      <c r="L180" t="s">
        <v>536</v>
      </c>
      <c r="M180" t="s">
        <v>375</v>
      </c>
      <c r="N180" t="s">
        <v>537</v>
      </c>
      <c r="P180" s="1">
        <v>781.8</v>
      </c>
      <c r="Q180" t="s">
        <v>580</v>
      </c>
      <c r="R180" t="s">
        <v>535</v>
      </c>
      <c r="S180" t="s">
        <v>539</v>
      </c>
      <c r="T180" s="2">
        <v>1</v>
      </c>
      <c r="U180" s="1">
        <v>781.8</v>
      </c>
      <c r="V180" s="1">
        <v>781.8</v>
      </c>
      <c r="X180" t="s">
        <v>540</v>
      </c>
      <c r="Z180" t="s">
        <v>541</v>
      </c>
      <c r="AA180" t="s">
        <v>542</v>
      </c>
      <c r="AB180" t="s">
        <v>543</v>
      </c>
      <c r="AC180" t="s">
        <v>544</v>
      </c>
      <c r="AD180" t="s">
        <v>545</v>
      </c>
      <c r="AE180" s="3">
        <v>1</v>
      </c>
      <c r="AF180" t="s">
        <v>95</v>
      </c>
      <c r="AG180" s="1">
        <v>781.8</v>
      </c>
      <c r="AI180" s="1">
        <v>781.8</v>
      </c>
      <c r="AJ180" s="1">
        <v>781.8</v>
      </c>
      <c r="AM180" s="1">
        <v>781.8</v>
      </c>
      <c r="AN180" t="s">
        <v>565</v>
      </c>
      <c r="AO180" t="s">
        <v>546</v>
      </c>
      <c r="AP180" t="s">
        <v>565</v>
      </c>
      <c r="AQ180" t="s">
        <v>548</v>
      </c>
      <c r="AS180" t="s">
        <v>375</v>
      </c>
      <c r="AX180" s="1">
        <v>781.8</v>
      </c>
      <c r="AY180" t="s">
        <v>546</v>
      </c>
      <c r="AZ180" t="s">
        <v>566</v>
      </c>
      <c r="BA180" s="1">
        <v>781.8</v>
      </c>
      <c r="BC180" t="s">
        <v>546</v>
      </c>
      <c r="BD180" s="1">
        <v>781.8</v>
      </c>
      <c r="BE180" t="s">
        <v>540</v>
      </c>
      <c r="BF180" s="1">
        <v>781.8</v>
      </c>
      <c r="BH180" s="1">
        <v>781.8</v>
      </c>
      <c r="BI180" t="s">
        <v>550</v>
      </c>
      <c r="BJ180" t="s">
        <v>570</v>
      </c>
      <c r="BK180" t="s">
        <v>551</v>
      </c>
      <c r="BL180" t="s">
        <v>552</v>
      </c>
      <c r="BM180" t="s">
        <v>1440</v>
      </c>
      <c r="BN180" t="s">
        <v>1453</v>
      </c>
      <c r="BO180" t="s">
        <v>1454</v>
      </c>
      <c r="BR180" t="s">
        <v>546</v>
      </c>
      <c r="BS180" s="1">
        <v>781.8</v>
      </c>
      <c r="BW180" t="s">
        <v>536</v>
      </c>
      <c r="BX180" s="1">
        <v>781.8</v>
      </c>
      <c r="BZ180" t="s">
        <v>535</v>
      </c>
      <c r="CA180" t="s">
        <v>546</v>
      </c>
      <c r="CB180" t="s">
        <v>1396</v>
      </c>
      <c r="CC180" t="s">
        <v>556</v>
      </c>
      <c r="CD180" t="s">
        <v>944</v>
      </c>
      <c r="CE180" t="s">
        <v>945</v>
      </c>
      <c r="CF180" t="s">
        <v>95</v>
      </c>
      <c r="CG180" s="4">
        <v>1</v>
      </c>
      <c r="CH180" t="s">
        <v>546</v>
      </c>
      <c r="CK180" t="s">
        <v>1449</v>
      </c>
      <c r="CL180" s="1">
        <v>781.8</v>
      </c>
      <c r="CN180" t="s">
        <v>535</v>
      </c>
      <c r="CO180" t="s">
        <v>539</v>
      </c>
      <c r="CT180" t="s">
        <v>576</v>
      </c>
      <c r="CW180" t="s">
        <v>546</v>
      </c>
      <c r="DD180" t="s">
        <v>561</v>
      </c>
      <c r="DK180" t="s">
        <v>1450</v>
      </c>
      <c r="DL180" t="s">
        <v>1451</v>
      </c>
    </row>
    <row r="181" ht="15" customHeight="1" spans="1:122">
      <c r="A181" t="s">
        <v>530</v>
      </c>
      <c r="B181" t="s">
        <v>1455</v>
      </c>
      <c r="C181" t="s">
        <v>532</v>
      </c>
      <c r="D181" t="s">
        <v>1396</v>
      </c>
      <c r="E181" t="s">
        <v>534</v>
      </c>
      <c r="F181" t="s">
        <v>534</v>
      </c>
      <c r="G181" t="s">
        <v>535</v>
      </c>
      <c r="H181" s="1">
        <v>10579</v>
      </c>
      <c r="I181" s="1">
        <v>10515.53</v>
      </c>
      <c r="J181" t="s">
        <v>536</v>
      </c>
      <c r="L181" t="s">
        <v>536</v>
      </c>
      <c r="M181" t="s">
        <v>377</v>
      </c>
      <c r="N181" t="s">
        <v>537</v>
      </c>
      <c r="P181" s="1">
        <v>10579</v>
      </c>
      <c r="Q181" t="s">
        <v>538</v>
      </c>
      <c r="R181" t="s">
        <v>535</v>
      </c>
      <c r="S181" t="s">
        <v>539</v>
      </c>
      <c r="T181" s="2">
        <v>1</v>
      </c>
      <c r="U181" s="1">
        <v>10579</v>
      </c>
      <c r="V181" s="1">
        <v>10515.53</v>
      </c>
      <c r="X181" t="s">
        <v>540</v>
      </c>
      <c r="Z181" t="s">
        <v>541</v>
      </c>
      <c r="AA181" t="s">
        <v>542</v>
      </c>
      <c r="AB181" t="s">
        <v>543</v>
      </c>
      <c r="AC181" t="s">
        <v>544</v>
      </c>
      <c r="AD181" t="s">
        <v>545</v>
      </c>
      <c r="AE181" s="3">
        <v>1</v>
      </c>
      <c r="AF181" t="s">
        <v>94</v>
      </c>
      <c r="AG181" s="1">
        <v>10579</v>
      </c>
      <c r="AI181" s="1">
        <v>10579</v>
      </c>
      <c r="AJ181" s="1">
        <v>10579</v>
      </c>
      <c r="AK181" s="1">
        <v>63.47</v>
      </c>
      <c r="AM181" s="1">
        <v>10515.53</v>
      </c>
      <c r="AN181" t="s">
        <v>536</v>
      </c>
      <c r="AO181" t="s">
        <v>546</v>
      </c>
      <c r="AP181" t="s">
        <v>547</v>
      </c>
      <c r="AQ181" t="s">
        <v>548</v>
      </c>
      <c r="AS181" t="s">
        <v>377</v>
      </c>
      <c r="AX181" s="1">
        <v>10579</v>
      </c>
      <c r="AY181" t="s">
        <v>546</v>
      </c>
      <c r="AZ181" t="s">
        <v>549</v>
      </c>
      <c r="BA181" s="1">
        <v>10579</v>
      </c>
      <c r="BC181" t="s">
        <v>546</v>
      </c>
      <c r="BD181" s="1">
        <v>10579</v>
      </c>
      <c r="BE181" t="s">
        <v>540</v>
      </c>
      <c r="BF181" s="1">
        <v>10579</v>
      </c>
      <c r="BG181" s="1">
        <v>63.47</v>
      </c>
      <c r="BH181" s="1">
        <v>10515.53</v>
      </c>
      <c r="BI181" t="s">
        <v>550</v>
      </c>
      <c r="BJ181" t="s">
        <v>551</v>
      </c>
      <c r="BK181" t="s">
        <v>552</v>
      </c>
      <c r="BL181" t="s">
        <v>552</v>
      </c>
      <c r="BM181" t="s">
        <v>1440</v>
      </c>
      <c r="BN181" t="s">
        <v>1456</v>
      </c>
      <c r="BO181" t="s">
        <v>1457</v>
      </c>
      <c r="BR181" t="s">
        <v>546</v>
      </c>
      <c r="BS181" s="1">
        <v>10579</v>
      </c>
      <c r="BW181" t="s">
        <v>536</v>
      </c>
      <c r="BX181" s="1">
        <v>10579</v>
      </c>
      <c r="BZ181" t="s">
        <v>535</v>
      </c>
      <c r="CA181" t="s">
        <v>546</v>
      </c>
      <c r="CB181" t="s">
        <v>1396</v>
      </c>
      <c r="CC181" t="s">
        <v>556</v>
      </c>
      <c r="CD181" t="s">
        <v>1458</v>
      </c>
      <c r="CE181" t="s">
        <v>1459</v>
      </c>
      <c r="CF181" t="s">
        <v>94</v>
      </c>
      <c r="CG181" s="4">
        <v>1</v>
      </c>
      <c r="CH181" t="s">
        <v>546</v>
      </c>
      <c r="CK181" t="s">
        <v>1460</v>
      </c>
      <c r="CL181" s="1">
        <v>10579</v>
      </c>
      <c r="CN181" t="s">
        <v>535</v>
      </c>
      <c r="CO181" t="s">
        <v>539</v>
      </c>
      <c r="CT181" t="s">
        <v>560</v>
      </c>
      <c r="CW181" t="s">
        <v>546</v>
      </c>
      <c r="DD181" t="s">
        <v>561</v>
      </c>
      <c r="DK181" t="s">
        <v>1461</v>
      </c>
      <c r="DL181" t="s">
        <v>1462</v>
      </c>
    </row>
    <row r="182" ht="15" customHeight="1" spans="1:122">
      <c r="A182" t="s">
        <v>530</v>
      </c>
      <c r="B182" t="s">
        <v>1463</v>
      </c>
      <c r="C182" t="s">
        <v>532</v>
      </c>
      <c r="D182" t="s">
        <v>1396</v>
      </c>
      <c r="E182" t="s">
        <v>534</v>
      </c>
      <c r="F182" t="s">
        <v>534</v>
      </c>
      <c r="G182" t="s">
        <v>535</v>
      </c>
      <c r="H182" s="1">
        <v>2000</v>
      </c>
      <c r="I182" s="1">
        <v>2000</v>
      </c>
      <c r="J182" t="s">
        <v>536</v>
      </c>
      <c r="L182" t="s">
        <v>536</v>
      </c>
      <c r="M182" t="s">
        <v>377</v>
      </c>
      <c r="N182" t="s">
        <v>537</v>
      </c>
      <c r="P182" s="1">
        <v>2000</v>
      </c>
      <c r="Q182" t="s">
        <v>538</v>
      </c>
      <c r="R182" t="s">
        <v>535</v>
      </c>
      <c r="S182" t="s">
        <v>539</v>
      </c>
      <c r="T182" s="2">
        <v>1</v>
      </c>
      <c r="U182" s="1">
        <v>2000</v>
      </c>
      <c r="V182" s="1">
        <v>2000</v>
      </c>
      <c r="X182" t="s">
        <v>540</v>
      </c>
      <c r="Z182" t="s">
        <v>541</v>
      </c>
      <c r="AA182" t="s">
        <v>542</v>
      </c>
      <c r="AB182" t="s">
        <v>543</v>
      </c>
      <c r="AC182" t="s">
        <v>544</v>
      </c>
      <c r="AD182" t="s">
        <v>545</v>
      </c>
      <c r="AE182" s="3">
        <v>1</v>
      </c>
      <c r="AF182" t="s">
        <v>94</v>
      </c>
      <c r="AG182" s="1">
        <v>2000</v>
      </c>
      <c r="AI182" s="1">
        <v>2000</v>
      </c>
      <c r="AJ182" s="1">
        <v>2000</v>
      </c>
      <c r="AM182" s="1">
        <v>2000</v>
      </c>
      <c r="AN182" t="s">
        <v>565</v>
      </c>
      <c r="AO182" t="s">
        <v>546</v>
      </c>
      <c r="AP182" t="s">
        <v>565</v>
      </c>
      <c r="AQ182" t="s">
        <v>548</v>
      </c>
      <c r="AS182" t="s">
        <v>377</v>
      </c>
      <c r="AX182" s="1">
        <v>2000</v>
      </c>
      <c r="AY182" t="s">
        <v>546</v>
      </c>
      <c r="AZ182" t="s">
        <v>566</v>
      </c>
      <c r="BA182" s="1">
        <v>2000</v>
      </c>
      <c r="BC182" t="s">
        <v>546</v>
      </c>
      <c r="BD182" s="1">
        <v>2000</v>
      </c>
      <c r="BE182" t="s">
        <v>540</v>
      </c>
      <c r="BF182" s="1">
        <v>2000</v>
      </c>
      <c r="BH182" s="1">
        <v>2000</v>
      </c>
      <c r="BI182" t="s">
        <v>550</v>
      </c>
      <c r="BJ182" t="s">
        <v>551</v>
      </c>
      <c r="BK182" t="s">
        <v>551</v>
      </c>
      <c r="BL182" t="s">
        <v>552</v>
      </c>
      <c r="BM182" t="s">
        <v>1440</v>
      </c>
      <c r="BN182" t="s">
        <v>1464</v>
      </c>
      <c r="BO182" t="s">
        <v>1465</v>
      </c>
      <c r="BR182" t="s">
        <v>546</v>
      </c>
      <c r="BS182" s="1">
        <v>2000</v>
      </c>
      <c r="BW182" t="s">
        <v>536</v>
      </c>
      <c r="BX182" s="1">
        <v>2000</v>
      </c>
      <c r="BZ182" t="s">
        <v>535</v>
      </c>
      <c r="CA182" t="s">
        <v>546</v>
      </c>
      <c r="CB182" t="s">
        <v>1396</v>
      </c>
      <c r="CC182" t="s">
        <v>556</v>
      </c>
      <c r="CD182" t="s">
        <v>1458</v>
      </c>
      <c r="CE182" t="s">
        <v>1459</v>
      </c>
      <c r="CF182" t="s">
        <v>94</v>
      </c>
      <c r="CG182" s="4">
        <v>1</v>
      </c>
      <c r="CH182" t="s">
        <v>546</v>
      </c>
      <c r="CK182" t="s">
        <v>1460</v>
      </c>
      <c r="CL182" s="1">
        <v>2000</v>
      </c>
      <c r="CN182" t="s">
        <v>535</v>
      </c>
      <c r="CO182" t="s">
        <v>539</v>
      </c>
      <c r="CT182" t="s">
        <v>560</v>
      </c>
      <c r="CW182" t="s">
        <v>546</v>
      </c>
      <c r="DD182" t="s">
        <v>561</v>
      </c>
      <c r="DK182" t="s">
        <v>1461</v>
      </c>
      <c r="DL182" t="s">
        <v>1462</v>
      </c>
    </row>
    <row r="183" ht="15" customHeight="1" spans="1:122">
      <c r="A183" t="s">
        <v>603</v>
      </c>
      <c r="B183" t="s">
        <v>1466</v>
      </c>
      <c r="C183" t="s">
        <v>532</v>
      </c>
      <c r="D183" t="s">
        <v>1440</v>
      </c>
      <c r="E183" t="s">
        <v>534</v>
      </c>
      <c r="F183" t="s">
        <v>534</v>
      </c>
      <c r="G183" t="s">
        <v>535</v>
      </c>
      <c r="H183" s="1">
        <v>10000</v>
      </c>
      <c r="I183" s="1">
        <v>10000</v>
      </c>
      <c r="J183" t="s">
        <v>536</v>
      </c>
      <c r="L183" t="s">
        <v>536</v>
      </c>
      <c r="M183" t="s">
        <v>401</v>
      </c>
      <c r="N183" t="s">
        <v>537</v>
      </c>
      <c r="P183" s="1">
        <v>10000</v>
      </c>
      <c r="Q183" t="s">
        <v>905</v>
      </c>
      <c r="R183" t="s">
        <v>535</v>
      </c>
      <c r="S183" t="s">
        <v>539</v>
      </c>
      <c r="T183" s="2">
        <v>1</v>
      </c>
      <c r="U183" s="1">
        <v>10000</v>
      </c>
      <c r="V183" s="1">
        <v>10000</v>
      </c>
      <c r="X183" t="s">
        <v>616</v>
      </c>
      <c r="Z183" t="s">
        <v>541</v>
      </c>
      <c r="AA183" t="s">
        <v>542</v>
      </c>
      <c r="AB183" t="s">
        <v>543</v>
      </c>
      <c r="AC183" t="s">
        <v>608</v>
      </c>
      <c r="AE183" s="3">
        <v>1</v>
      </c>
      <c r="AG183" s="1">
        <v>10000</v>
      </c>
      <c r="AI183" s="1">
        <v>10000</v>
      </c>
      <c r="AJ183" s="1">
        <v>10000</v>
      </c>
      <c r="AM183" s="1">
        <v>10000</v>
      </c>
      <c r="AN183" t="s">
        <v>536</v>
      </c>
      <c r="AO183" t="s">
        <v>546</v>
      </c>
      <c r="AP183" t="s">
        <v>547</v>
      </c>
      <c r="AQ183" t="s">
        <v>548</v>
      </c>
      <c r="AS183" t="s">
        <v>401</v>
      </c>
      <c r="AX183" s="1">
        <v>10000</v>
      </c>
      <c r="AY183" t="s">
        <v>546</v>
      </c>
      <c r="AZ183" t="s">
        <v>549</v>
      </c>
      <c r="BA183" s="1">
        <v>10000</v>
      </c>
      <c r="BC183" t="s">
        <v>546</v>
      </c>
      <c r="BE183" t="s">
        <v>616</v>
      </c>
      <c r="BH183" s="1">
        <v>10000</v>
      </c>
      <c r="BI183" t="s">
        <v>550</v>
      </c>
      <c r="BJ183" t="s">
        <v>551</v>
      </c>
      <c r="BK183" t="s">
        <v>551</v>
      </c>
      <c r="BL183" t="s">
        <v>552</v>
      </c>
      <c r="BM183" t="s">
        <v>1440</v>
      </c>
      <c r="BN183" t="s">
        <v>1467</v>
      </c>
      <c r="BO183" t="s">
        <v>1468</v>
      </c>
      <c r="BR183" t="s">
        <v>546</v>
      </c>
      <c r="BS183" s="1">
        <v>10000</v>
      </c>
      <c r="BW183" t="s">
        <v>536</v>
      </c>
      <c r="BZ183" t="s">
        <v>535</v>
      </c>
      <c r="CA183" t="s">
        <v>546</v>
      </c>
      <c r="CB183" t="s">
        <v>1440</v>
      </c>
      <c r="CC183" t="s">
        <v>556</v>
      </c>
      <c r="CH183" t="s">
        <v>546</v>
      </c>
      <c r="CK183" t="s">
        <v>1469</v>
      </c>
      <c r="CN183" t="s">
        <v>535</v>
      </c>
      <c r="CO183" t="s">
        <v>539</v>
      </c>
      <c r="CT183" t="s">
        <v>909</v>
      </c>
      <c r="CW183" t="s">
        <v>546</v>
      </c>
      <c r="DD183" t="s">
        <v>561</v>
      </c>
    </row>
    <row r="184" ht="15" customHeight="1" spans="1:122">
      <c r="A184" t="s">
        <v>603</v>
      </c>
      <c r="B184" t="s">
        <v>1470</v>
      </c>
      <c r="C184" t="s">
        <v>532</v>
      </c>
      <c r="D184" t="s">
        <v>1440</v>
      </c>
      <c r="E184" t="s">
        <v>534</v>
      </c>
      <c r="F184" t="s">
        <v>534</v>
      </c>
      <c r="G184" t="s">
        <v>535</v>
      </c>
      <c r="H184" s="1">
        <v>4810</v>
      </c>
      <c r="I184" s="1">
        <v>4810</v>
      </c>
      <c r="J184" t="s">
        <v>536</v>
      </c>
      <c r="L184" t="s">
        <v>536</v>
      </c>
      <c r="M184" t="s">
        <v>377</v>
      </c>
      <c r="N184" t="s">
        <v>537</v>
      </c>
      <c r="P184" s="1">
        <v>4810</v>
      </c>
      <c r="Q184" t="s">
        <v>538</v>
      </c>
      <c r="R184" t="s">
        <v>535</v>
      </c>
      <c r="S184" t="s">
        <v>539</v>
      </c>
      <c r="T184" s="2">
        <v>1</v>
      </c>
      <c r="U184" s="1">
        <v>4810</v>
      </c>
      <c r="V184" s="1">
        <v>4810</v>
      </c>
      <c r="X184" t="s">
        <v>540</v>
      </c>
      <c r="Z184" t="s">
        <v>541</v>
      </c>
      <c r="AA184" t="s">
        <v>542</v>
      </c>
      <c r="AB184" t="s">
        <v>543</v>
      </c>
      <c r="AC184" t="s">
        <v>608</v>
      </c>
      <c r="AE184" s="3">
        <v>1</v>
      </c>
      <c r="AG184" s="1">
        <v>4810</v>
      </c>
      <c r="AI184" s="1">
        <v>4810</v>
      </c>
      <c r="AJ184" s="1">
        <v>4810</v>
      </c>
      <c r="AM184" s="1">
        <v>4810</v>
      </c>
      <c r="AN184" t="s">
        <v>643</v>
      </c>
      <c r="AO184" t="s">
        <v>546</v>
      </c>
      <c r="AP184" t="s">
        <v>643</v>
      </c>
      <c r="AQ184" t="s">
        <v>548</v>
      </c>
      <c r="AS184" t="s">
        <v>377</v>
      </c>
      <c r="AX184" s="1">
        <v>4810</v>
      </c>
      <c r="AY184" t="s">
        <v>546</v>
      </c>
      <c r="AZ184" t="s">
        <v>644</v>
      </c>
      <c r="BA184" s="1">
        <v>4810</v>
      </c>
      <c r="BC184" t="s">
        <v>546</v>
      </c>
      <c r="BE184" t="s">
        <v>540</v>
      </c>
      <c r="BF184" s="1">
        <v>4810</v>
      </c>
      <c r="BH184" s="1">
        <v>4810</v>
      </c>
      <c r="BI184" t="s">
        <v>550</v>
      </c>
      <c r="BJ184" t="s">
        <v>551</v>
      </c>
      <c r="BK184" t="s">
        <v>551</v>
      </c>
      <c r="BL184" t="s">
        <v>552</v>
      </c>
      <c r="BM184" t="s">
        <v>1396</v>
      </c>
      <c r="BN184" t="s">
        <v>1471</v>
      </c>
      <c r="BO184" t="s">
        <v>1472</v>
      </c>
      <c r="BR184" t="s">
        <v>546</v>
      </c>
      <c r="BS184" s="1">
        <v>4810</v>
      </c>
      <c r="BW184" t="s">
        <v>536</v>
      </c>
      <c r="BX184" s="1">
        <v>4810</v>
      </c>
      <c r="BZ184" t="s">
        <v>535</v>
      </c>
      <c r="CA184" t="s">
        <v>546</v>
      </c>
      <c r="CB184" t="s">
        <v>1440</v>
      </c>
      <c r="CC184" t="s">
        <v>556</v>
      </c>
      <c r="CH184" t="s">
        <v>546</v>
      </c>
      <c r="CK184" t="s">
        <v>1473</v>
      </c>
      <c r="CL184" s="1">
        <v>4810</v>
      </c>
      <c r="CN184" t="s">
        <v>535</v>
      </c>
      <c r="CO184" t="s">
        <v>539</v>
      </c>
      <c r="CT184" t="s">
        <v>560</v>
      </c>
      <c r="CW184" t="s">
        <v>546</v>
      </c>
      <c r="DD184" t="s">
        <v>561</v>
      </c>
      <c r="DK184" t="s">
        <v>1474</v>
      </c>
      <c r="DL184" t="s">
        <v>1475</v>
      </c>
      <c r="DR184" t="s">
        <v>1476</v>
      </c>
    </row>
    <row r="185" ht="15" customHeight="1" spans="1:122">
      <c r="A185" t="s">
        <v>603</v>
      </c>
      <c r="B185" t="s">
        <v>1477</v>
      </c>
      <c r="C185" t="s">
        <v>532</v>
      </c>
      <c r="D185" t="s">
        <v>1440</v>
      </c>
      <c r="E185" t="s">
        <v>534</v>
      </c>
      <c r="F185" t="s">
        <v>534</v>
      </c>
      <c r="G185" t="s">
        <v>535</v>
      </c>
      <c r="H185" s="1">
        <v>32004</v>
      </c>
      <c r="I185" s="1">
        <v>31795.96</v>
      </c>
      <c r="J185" t="s">
        <v>536</v>
      </c>
      <c r="L185" t="s">
        <v>536</v>
      </c>
      <c r="M185" t="s">
        <v>411</v>
      </c>
      <c r="N185" t="s">
        <v>369</v>
      </c>
      <c r="P185" s="1">
        <v>32004</v>
      </c>
      <c r="Q185" t="s">
        <v>606</v>
      </c>
      <c r="R185" t="s">
        <v>535</v>
      </c>
      <c r="S185" t="s">
        <v>539</v>
      </c>
      <c r="T185" s="2">
        <v>1</v>
      </c>
      <c r="U185" s="1">
        <v>32004</v>
      </c>
      <c r="V185" s="1">
        <v>31795.96</v>
      </c>
      <c r="X185" t="s">
        <v>616</v>
      </c>
      <c r="Z185" t="s">
        <v>541</v>
      </c>
      <c r="AA185" t="s">
        <v>542</v>
      </c>
      <c r="AB185" t="s">
        <v>543</v>
      </c>
      <c r="AC185" t="s">
        <v>608</v>
      </c>
      <c r="AE185" s="3">
        <v>1</v>
      </c>
      <c r="AG185" s="1">
        <v>2686</v>
      </c>
      <c r="AI185" s="1">
        <v>32004</v>
      </c>
      <c r="AJ185" s="1">
        <v>2686</v>
      </c>
      <c r="AK185" s="1">
        <v>17.46</v>
      </c>
      <c r="AM185" s="1">
        <v>2668.54</v>
      </c>
      <c r="AN185" t="s">
        <v>536</v>
      </c>
      <c r="AO185" t="s">
        <v>546</v>
      </c>
      <c r="AP185" t="s">
        <v>547</v>
      </c>
      <c r="AQ185" t="s">
        <v>548</v>
      </c>
      <c r="AS185" t="s">
        <v>411</v>
      </c>
      <c r="AX185" s="1">
        <v>2686</v>
      </c>
      <c r="AY185" t="s">
        <v>546</v>
      </c>
      <c r="AZ185" t="s">
        <v>549</v>
      </c>
      <c r="BA185" s="1">
        <v>2686</v>
      </c>
      <c r="BB185" t="s">
        <v>1478</v>
      </c>
      <c r="BC185" t="s">
        <v>546</v>
      </c>
      <c r="BE185" t="s">
        <v>616</v>
      </c>
      <c r="BG185" s="1">
        <v>17.46</v>
      </c>
      <c r="BH185" s="1">
        <v>2668.54</v>
      </c>
      <c r="BI185" t="s">
        <v>550</v>
      </c>
      <c r="BJ185" t="s">
        <v>610</v>
      </c>
      <c r="BK185" t="s">
        <v>552</v>
      </c>
      <c r="BL185" t="s">
        <v>552</v>
      </c>
      <c r="BM185" t="s">
        <v>1396</v>
      </c>
      <c r="BN185" t="s">
        <v>1479</v>
      </c>
      <c r="BO185" t="s">
        <v>1480</v>
      </c>
      <c r="BR185" t="s">
        <v>546</v>
      </c>
      <c r="BS185" s="1">
        <v>2686</v>
      </c>
      <c r="BW185" t="s">
        <v>536</v>
      </c>
      <c r="BZ185" t="s">
        <v>535</v>
      </c>
      <c r="CA185" t="s">
        <v>546</v>
      </c>
      <c r="CB185" t="s">
        <v>1440</v>
      </c>
      <c r="CC185" t="s">
        <v>556</v>
      </c>
      <c r="CH185" t="s">
        <v>546</v>
      </c>
      <c r="CK185" t="s">
        <v>1481</v>
      </c>
      <c r="CN185" t="s">
        <v>535</v>
      </c>
      <c r="CO185" t="s">
        <v>539</v>
      </c>
      <c r="CT185" t="s">
        <v>576</v>
      </c>
      <c r="CW185" t="s">
        <v>546</v>
      </c>
      <c r="DD185" t="s">
        <v>561</v>
      </c>
      <c r="DK185" t="s">
        <v>1482</v>
      </c>
      <c r="DR185" t="s">
        <v>1482</v>
      </c>
    </row>
    <row r="186" ht="15" customHeight="1" spans="1:122">
      <c r="AB186" t="s">
        <v>543</v>
      </c>
      <c r="AC186" t="s">
        <v>608</v>
      </c>
      <c r="AG186" s="1">
        <v>2976</v>
      </c>
      <c r="AJ186" s="1">
        <v>2976</v>
      </c>
      <c r="AK186" s="1">
        <v>19.35</v>
      </c>
      <c r="AM186" s="1">
        <v>2956.65</v>
      </c>
      <c r="AN186" t="s">
        <v>536</v>
      </c>
      <c r="AP186" t="s">
        <v>547</v>
      </c>
      <c r="AX186" s="1">
        <v>2976</v>
      </c>
      <c r="AZ186" t="s">
        <v>549</v>
      </c>
      <c r="BA186" s="1">
        <v>2976</v>
      </c>
      <c r="BB186" t="s">
        <v>1483</v>
      </c>
      <c r="BC186" t="s">
        <v>546</v>
      </c>
      <c r="BE186" t="s">
        <v>616</v>
      </c>
      <c r="BG186" s="1">
        <v>19.35</v>
      </c>
      <c r="BH186" s="1">
        <v>2956.65</v>
      </c>
      <c r="BS186" s="1">
        <v>2976</v>
      </c>
      <c r="CB186" t="s">
        <v>1440</v>
      </c>
      <c r="CC186" t="s">
        <v>556</v>
      </c>
      <c r="DD186" t="s">
        <v>561</v>
      </c>
    </row>
    <row r="187" ht="15" customHeight="1" spans="1:122">
      <c r="AB187" t="s">
        <v>543</v>
      </c>
      <c r="AC187" t="s">
        <v>608</v>
      </c>
      <c r="AG187" s="1">
        <v>2686</v>
      </c>
      <c r="AJ187" s="1">
        <v>2686</v>
      </c>
      <c r="AK187" s="1">
        <v>17.46</v>
      </c>
      <c r="AM187" s="1">
        <v>2668.54</v>
      </c>
      <c r="AN187" t="s">
        <v>536</v>
      </c>
      <c r="AP187" t="s">
        <v>547</v>
      </c>
      <c r="AX187" s="1">
        <v>2686</v>
      </c>
      <c r="AZ187" t="s">
        <v>549</v>
      </c>
      <c r="BA187" s="1">
        <v>2686</v>
      </c>
      <c r="BB187" t="s">
        <v>1484</v>
      </c>
      <c r="BC187" t="s">
        <v>546</v>
      </c>
      <c r="BE187" t="s">
        <v>616</v>
      </c>
      <c r="BG187" s="1">
        <v>17.46</v>
      </c>
      <c r="BH187" s="1">
        <v>2668.54</v>
      </c>
      <c r="BS187" s="1">
        <v>2686</v>
      </c>
      <c r="CB187" t="s">
        <v>1440</v>
      </c>
      <c r="CC187" t="s">
        <v>556</v>
      </c>
      <c r="DD187" t="s">
        <v>561</v>
      </c>
    </row>
    <row r="188" ht="15" customHeight="1" spans="1:122">
      <c r="AB188" t="s">
        <v>543</v>
      </c>
      <c r="AC188" t="s">
        <v>608</v>
      </c>
      <c r="AG188" s="1">
        <v>2172</v>
      </c>
      <c r="AJ188" s="1">
        <v>2172</v>
      </c>
      <c r="AK188" s="1">
        <v>14.12</v>
      </c>
      <c r="AM188" s="1">
        <v>2157.88</v>
      </c>
      <c r="AN188" t="s">
        <v>536</v>
      </c>
      <c r="AP188" t="s">
        <v>547</v>
      </c>
      <c r="AX188" s="1">
        <v>2172</v>
      </c>
      <c r="AZ188" t="s">
        <v>549</v>
      </c>
      <c r="BA188" s="1">
        <v>2172</v>
      </c>
      <c r="BB188" t="s">
        <v>1485</v>
      </c>
      <c r="BC188" t="s">
        <v>546</v>
      </c>
      <c r="BE188" t="s">
        <v>616</v>
      </c>
      <c r="BG188" s="1">
        <v>14.12</v>
      </c>
      <c r="BH188" s="1">
        <v>2157.88</v>
      </c>
      <c r="BS188" s="1">
        <v>2172</v>
      </c>
      <c r="CB188" t="s">
        <v>1440</v>
      </c>
      <c r="CC188" t="s">
        <v>556</v>
      </c>
      <c r="DD188" t="s">
        <v>561</v>
      </c>
    </row>
    <row r="189" ht="15" customHeight="1" spans="1:122">
      <c r="AB189" t="s">
        <v>543</v>
      </c>
      <c r="AC189" t="s">
        <v>608</v>
      </c>
      <c r="AG189" s="1">
        <v>2686</v>
      </c>
      <c r="AJ189" s="1">
        <v>2686</v>
      </c>
      <c r="AK189" s="1">
        <v>17.46</v>
      </c>
      <c r="AM189" s="1">
        <v>2668.54</v>
      </c>
      <c r="AN189" t="s">
        <v>536</v>
      </c>
      <c r="AP189" t="s">
        <v>547</v>
      </c>
      <c r="AX189" s="1">
        <v>2686</v>
      </c>
      <c r="AZ189" t="s">
        <v>549</v>
      </c>
      <c r="BA189" s="1">
        <v>2686</v>
      </c>
      <c r="BB189" t="s">
        <v>1486</v>
      </c>
      <c r="BC189" t="s">
        <v>546</v>
      </c>
      <c r="BE189" t="s">
        <v>616</v>
      </c>
      <c r="BG189" s="1">
        <v>17.46</v>
      </c>
      <c r="BH189" s="1">
        <v>2668.54</v>
      </c>
      <c r="BS189" s="1">
        <v>2686</v>
      </c>
      <c r="CB189" t="s">
        <v>1440</v>
      </c>
      <c r="CC189" t="s">
        <v>556</v>
      </c>
      <c r="DD189" t="s">
        <v>561</v>
      </c>
    </row>
    <row r="190" ht="15" customHeight="1" spans="1:122">
      <c r="AB190" t="s">
        <v>543</v>
      </c>
      <c r="AC190" t="s">
        <v>608</v>
      </c>
      <c r="AG190" s="1">
        <v>3460</v>
      </c>
      <c r="AJ190" s="1">
        <v>3460</v>
      </c>
      <c r="AK190" s="1">
        <v>22.49</v>
      </c>
      <c r="AM190" s="1">
        <v>3437.51</v>
      </c>
      <c r="AN190" t="s">
        <v>536</v>
      </c>
      <c r="AP190" t="s">
        <v>547</v>
      </c>
      <c r="AX190" s="1">
        <v>3460</v>
      </c>
      <c r="AZ190" t="s">
        <v>549</v>
      </c>
      <c r="BA190" s="1">
        <v>3460</v>
      </c>
      <c r="BB190" t="s">
        <v>1487</v>
      </c>
      <c r="BC190" t="s">
        <v>546</v>
      </c>
      <c r="BE190" t="s">
        <v>616</v>
      </c>
      <c r="BG190" s="1">
        <v>22.49</v>
      </c>
      <c r="BH190" s="1">
        <v>3437.51</v>
      </c>
      <c r="BS190" s="1">
        <v>3460</v>
      </c>
      <c r="CB190" t="s">
        <v>1440</v>
      </c>
      <c r="CC190" t="s">
        <v>556</v>
      </c>
      <c r="DD190" t="s">
        <v>561</v>
      </c>
    </row>
    <row r="191" ht="15" customHeight="1" spans="1:122">
      <c r="AB191" t="s">
        <v>543</v>
      </c>
      <c r="AC191" t="s">
        <v>608</v>
      </c>
      <c r="AG191" s="1">
        <v>2686</v>
      </c>
      <c r="AJ191" s="1">
        <v>2686</v>
      </c>
      <c r="AK191" s="1">
        <v>17.46</v>
      </c>
      <c r="AM191" s="1">
        <v>2668.54</v>
      </c>
      <c r="AN191" t="s">
        <v>536</v>
      </c>
      <c r="AP191" t="s">
        <v>547</v>
      </c>
      <c r="AX191" s="1">
        <v>2686</v>
      </c>
      <c r="AZ191" t="s">
        <v>549</v>
      </c>
      <c r="BA191" s="1">
        <v>2686</v>
      </c>
      <c r="BB191" t="s">
        <v>1488</v>
      </c>
      <c r="BC191" t="s">
        <v>546</v>
      </c>
      <c r="BE191" t="s">
        <v>616</v>
      </c>
      <c r="BG191" s="1">
        <v>17.46</v>
      </c>
      <c r="BH191" s="1">
        <v>2668.54</v>
      </c>
      <c r="BS191" s="1">
        <v>2686</v>
      </c>
      <c r="CB191" t="s">
        <v>1440</v>
      </c>
      <c r="CC191" t="s">
        <v>556</v>
      </c>
      <c r="DD191" t="s">
        <v>561</v>
      </c>
    </row>
    <row r="192" ht="15" customHeight="1" spans="1:122">
      <c r="AB192" t="s">
        <v>543</v>
      </c>
      <c r="AC192" t="s">
        <v>608</v>
      </c>
      <c r="AG192" s="1">
        <v>2574</v>
      </c>
      <c r="AJ192" s="1">
        <v>2574</v>
      </c>
      <c r="AK192" s="1">
        <v>16.73</v>
      </c>
      <c r="AM192" s="1">
        <v>2557.27</v>
      </c>
      <c r="AN192" t="s">
        <v>536</v>
      </c>
      <c r="AP192" t="s">
        <v>547</v>
      </c>
      <c r="AX192" s="1">
        <v>2574</v>
      </c>
      <c r="AZ192" t="s">
        <v>549</v>
      </c>
      <c r="BA192" s="1">
        <v>2574</v>
      </c>
      <c r="BB192" t="s">
        <v>1489</v>
      </c>
      <c r="BC192" t="s">
        <v>546</v>
      </c>
      <c r="BE192" t="s">
        <v>616</v>
      </c>
      <c r="BG192" s="1">
        <v>16.73</v>
      </c>
      <c r="BH192" s="1">
        <v>2557.27</v>
      </c>
      <c r="BS192" s="1">
        <v>2574</v>
      </c>
      <c r="CB192" t="s">
        <v>1440</v>
      </c>
      <c r="CC192" t="s">
        <v>556</v>
      </c>
      <c r="DD192" t="s">
        <v>561</v>
      </c>
    </row>
    <row r="193" ht="15" customHeight="1" spans="1:122">
      <c r="AB193" t="s">
        <v>543</v>
      </c>
      <c r="AC193" t="s">
        <v>608</v>
      </c>
      <c r="AG193" s="1">
        <v>3460</v>
      </c>
      <c r="AJ193" s="1">
        <v>3460</v>
      </c>
      <c r="AK193" s="1">
        <v>22.49</v>
      </c>
      <c r="AM193" s="1">
        <v>3437.51</v>
      </c>
      <c r="AN193" t="s">
        <v>536</v>
      </c>
      <c r="AP193" t="s">
        <v>547</v>
      </c>
      <c r="AX193" s="1">
        <v>3460</v>
      </c>
      <c r="AZ193" t="s">
        <v>549</v>
      </c>
      <c r="BA193" s="1">
        <v>3460</v>
      </c>
      <c r="BB193" t="s">
        <v>1490</v>
      </c>
      <c r="BC193" t="s">
        <v>546</v>
      </c>
      <c r="BE193" t="s">
        <v>616</v>
      </c>
      <c r="BG193" s="1">
        <v>22.49</v>
      </c>
      <c r="BH193" s="1">
        <v>3437.51</v>
      </c>
      <c r="BS193" s="1">
        <v>3460</v>
      </c>
      <c r="CB193" t="s">
        <v>1440</v>
      </c>
      <c r="CC193" t="s">
        <v>556</v>
      </c>
      <c r="DD193" t="s">
        <v>561</v>
      </c>
    </row>
    <row r="194" ht="15" customHeight="1" spans="1:122">
      <c r="AB194" t="s">
        <v>543</v>
      </c>
      <c r="AC194" t="s">
        <v>608</v>
      </c>
      <c r="AG194" s="1">
        <v>2686</v>
      </c>
      <c r="AJ194" s="1">
        <v>2686</v>
      </c>
      <c r="AK194" s="1">
        <v>17.46</v>
      </c>
      <c r="AM194" s="1">
        <v>2668.54</v>
      </c>
      <c r="AN194" t="s">
        <v>536</v>
      </c>
      <c r="AP194" t="s">
        <v>547</v>
      </c>
      <c r="AX194" s="1">
        <v>2686</v>
      </c>
      <c r="AZ194" t="s">
        <v>549</v>
      </c>
      <c r="BA194" s="1">
        <v>2686</v>
      </c>
      <c r="BB194" t="s">
        <v>1491</v>
      </c>
      <c r="BC194" t="s">
        <v>546</v>
      </c>
      <c r="BE194" t="s">
        <v>616</v>
      </c>
      <c r="BG194" s="1">
        <v>17.46</v>
      </c>
      <c r="BH194" s="1">
        <v>2668.54</v>
      </c>
      <c r="BS194" s="1">
        <v>2686</v>
      </c>
      <c r="CB194" t="s">
        <v>1440</v>
      </c>
      <c r="CC194" t="s">
        <v>556</v>
      </c>
      <c r="DD194" t="s">
        <v>561</v>
      </c>
    </row>
    <row r="195" ht="15" customHeight="1" spans="1:122">
      <c r="AB195" t="s">
        <v>543</v>
      </c>
      <c r="AC195" t="s">
        <v>608</v>
      </c>
      <c r="AG195" s="1">
        <v>3932</v>
      </c>
      <c r="AJ195" s="1">
        <v>3932</v>
      </c>
      <c r="AK195" s="1">
        <v>25.56</v>
      </c>
      <c r="AM195" s="1">
        <v>3906.44</v>
      </c>
      <c r="AN195" t="s">
        <v>536</v>
      </c>
      <c r="AP195" t="s">
        <v>547</v>
      </c>
      <c r="AX195" s="1">
        <v>3932</v>
      </c>
      <c r="AZ195" t="s">
        <v>549</v>
      </c>
      <c r="BA195" s="1">
        <v>3932</v>
      </c>
      <c r="BB195" t="s">
        <v>1492</v>
      </c>
      <c r="BC195" t="s">
        <v>546</v>
      </c>
      <c r="BE195" t="s">
        <v>616</v>
      </c>
      <c r="BG195" s="1">
        <v>25.56</v>
      </c>
      <c r="BH195" s="1">
        <v>3906.44</v>
      </c>
      <c r="BS195" s="1">
        <v>3932</v>
      </c>
      <c r="CB195" t="s">
        <v>1440</v>
      </c>
      <c r="CC195" t="s">
        <v>556</v>
      </c>
      <c r="DD195" t="s">
        <v>561</v>
      </c>
    </row>
    <row r="196" ht="15" customHeight="1" spans="1:122">
      <c r="A196" t="s">
        <v>603</v>
      </c>
      <c r="B196" t="s">
        <v>1493</v>
      </c>
      <c r="C196" t="s">
        <v>532</v>
      </c>
      <c r="D196" t="s">
        <v>1396</v>
      </c>
      <c r="E196" t="s">
        <v>534</v>
      </c>
      <c r="F196" t="s">
        <v>534</v>
      </c>
      <c r="G196" t="s">
        <v>535</v>
      </c>
      <c r="H196" s="1">
        <v>12018</v>
      </c>
      <c r="I196" s="1">
        <v>11945.89</v>
      </c>
      <c r="J196" t="s">
        <v>536</v>
      </c>
      <c r="L196" t="s">
        <v>536</v>
      </c>
      <c r="M196" t="s">
        <v>411</v>
      </c>
      <c r="N196" t="s">
        <v>369</v>
      </c>
      <c r="P196" s="1">
        <v>12018</v>
      </c>
      <c r="Q196" t="s">
        <v>606</v>
      </c>
      <c r="R196" t="s">
        <v>535</v>
      </c>
      <c r="S196" t="s">
        <v>539</v>
      </c>
      <c r="T196" s="2">
        <v>1</v>
      </c>
      <c r="U196" s="1">
        <v>12018</v>
      </c>
      <c r="V196" s="1">
        <v>11945.89</v>
      </c>
      <c r="X196" t="s">
        <v>616</v>
      </c>
      <c r="Z196" t="s">
        <v>541</v>
      </c>
      <c r="AA196" t="s">
        <v>542</v>
      </c>
      <c r="AB196" t="s">
        <v>543</v>
      </c>
      <c r="AC196" t="s">
        <v>608</v>
      </c>
      <c r="AE196" s="3">
        <v>1</v>
      </c>
      <c r="AG196" s="1">
        <v>3298</v>
      </c>
      <c r="AI196" s="1">
        <v>12018</v>
      </c>
      <c r="AJ196" s="1">
        <v>3298</v>
      </c>
      <c r="AK196" s="1">
        <v>19.79</v>
      </c>
      <c r="AM196" s="1">
        <v>3278.21</v>
      </c>
      <c r="AN196" t="s">
        <v>536</v>
      </c>
      <c r="AO196" t="s">
        <v>546</v>
      </c>
      <c r="AP196" t="s">
        <v>547</v>
      </c>
      <c r="AQ196" t="s">
        <v>548</v>
      </c>
      <c r="AS196" t="s">
        <v>411</v>
      </c>
      <c r="AX196" s="1">
        <v>3298</v>
      </c>
      <c r="AY196" t="s">
        <v>546</v>
      </c>
      <c r="AZ196" t="s">
        <v>549</v>
      </c>
      <c r="BA196" s="1">
        <v>3298</v>
      </c>
      <c r="BB196" t="s">
        <v>1494</v>
      </c>
      <c r="BC196" t="s">
        <v>546</v>
      </c>
      <c r="BE196" t="s">
        <v>616</v>
      </c>
      <c r="BG196" s="1">
        <v>19.79</v>
      </c>
      <c r="BH196" s="1">
        <v>3278.21</v>
      </c>
      <c r="BI196" t="s">
        <v>550</v>
      </c>
      <c r="BJ196" t="s">
        <v>610</v>
      </c>
      <c r="BK196" t="s">
        <v>552</v>
      </c>
      <c r="BL196" t="s">
        <v>552</v>
      </c>
      <c r="BM196" t="s">
        <v>1396</v>
      </c>
      <c r="BN196" t="s">
        <v>1495</v>
      </c>
      <c r="BO196" t="s">
        <v>1496</v>
      </c>
      <c r="BR196" t="s">
        <v>546</v>
      </c>
      <c r="BS196" s="1">
        <v>3298</v>
      </c>
      <c r="BW196" t="s">
        <v>536</v>
      </c>
      <c r="BZ196" t="s">
        <v>535</v>
      </c>
      <c r="CA196" t="s">
        <v>546</v>
      </c>
      <c r="CB196" t="s">
        <v>1396</v>
      </c>
      <c r="CC196" t="s">
        <v>556</v>
      </c>
      <c r="CH196" t="s">
        <v>546</v>
      </c>
      <c r="CK196" t="s">
        <v>1497</v>
      </c>
      <c r="CN196" t="s">
        <v>535</v>
      </c>
      <c r="CO196" t="s">
        <v>539</v>
      </c>
      <c r="CT196" t="s">
        <v>576</v>
      </c>
      <c r="CW196" t="s">
        <v>546</v>
      </c>
      <c r="DD196" t="s">
        <v>561</v>
      </c>
      <c r="DK196" t="s">
        <v>1498</v>
      </c>
      <c r="DR196" t="s">
        <v>1498</v>
      </c>
    </row>
    <row r="197" ht="15" customHeight="1" spans="1:122">
      <c r="AB197" t="s">
        <v>543</v>
      </c>
      <c r="AC197" t="s">
        <v>608</v>
      </c>
      <c r="AG197" s="1">
        <v>3460</v>
      </c>
      <c r="AJ197" s="1">
        <v>3460</v>
      </c>
      <c r="AK197" s="1">
        <v>20.76</v>
      </c>
      <c r="AM197" s="1">
        <v>3439.24</v>
      </c>
      <c r="AN197" t="s">
        <v>536</v>
      </c>
      <c r="AP197" t="s">
        <v>547</v>
      </c>
      <c r="AX197" s="1">
        <v>3460</v>
      </c>
      <c r="AZ197" t="s">
        <v>549</v>
      </c>
      <c r="BA197" s="1">
        <v>3460</v>
      </c>
      <c r="BB197" t="s">
        <v>1499</v>
      </c>
      <c r="BC197" t="s">
        <v>546</v>
      </c>
      <c r="BE197" t="s">
        <v>616</v>
      </c>
      <c r="BG197" s="1">
        <v>20.76</v>
      </c>
      <c r="BH197" s="1">
        <v>3439.24</v>
      </c>
      <c r="BS197" s="1">
        <v>3460</v>
      </c>
      <c r="CB197" t="s">
        <v>1396</v>
      </c>
      <c r="CC197" t="s">
        <v>556</v>
      </c>
      <c r="DD197" t="s">
        <v>561</v>
      </c>
    </row>
    <row r="198" ht="15" customHeight="1" spans="1:122">
      <c r="AB198" t="s">
        <v>543</v>
      </c>
      <c r="AC198" t="s">
        <v>608</v>
      </c>
      <c r="AG198" s="1">
        <v>2686</v>
      </c>
      <c r="AJ198" s="1">
        <v>2686</v>
      </c>
      <c r="AK198" s="1">
        <v>16.12</v>
      </c>
      <c r="AM198" s="1">
        <v>2669.88</v>
      </c>
      <c r="AN198" t="s">
        <v>536</v>
      </c>
      <c r="AP198" t="s">
        <v>547</v>
      </c>
      <c r="AX198" s="1">
        <v>2686</v>
      </c>
      <c r="AZ198" t="s">
        <v>549</v>
      </c>
      <c r="BA198" s="1">
        <v>2686</v>
      </c>
      <c r="BB198" t="s">
        <v>1500</v>
      </c>
      <c r="BC198" t="s">
        <v>546</v>
      </c>
      <c r="BE198" t="s">
        <v>616</v>
      </c>
      <c r="BG198" s="1">
        <v>16.12</v>
      </c>
      <c r="BH198" s="1">
        <v>2669.88</v>
      </c>
      <c r="BS198" s="1">
        <v>2686</v>
      </c>
      <c r="CB198" t="s">
        <v>1396</v>
      </c>
      <c r="CC198" t="s">
        <v>556</v>
      </c>
      <c r="DD198" t="s">
        <v>561</v>
      </c>
    </row>
    <row r="199" ht="15" customHeight="1" spans="1:122">
      <c r="AB199" t="s">
        <v>543</v>
      </c>
      <c r="AC199" t="s">
        <v>608</v>
      </c>
      <c r="AG199" s="1">
        <v>2574</v>
      </c>
      <c r="AJ199" s="1">
        <v>2574</v>
      </c>
      <c r="AK199" s="1">
        <v>15.44</v>
      </c>
      <c r="AM199" s="1">
        <v>2558.56</v>
      </c>
      <c r="AN199" t="s">
        <v>536</v>
      </c>
      <c r="AP199" t="s">
        <v>547</v>
      </c>
      <c r="AX199" s="1">
        <v>2574</v>
      </c>
      <c r="AZ199" t="s">
        <v>549</v>
      </c>
      <c r="BA199" s="1">
        <v>2574</v>
      </c>
      <c r="BB199" t="s">
        <v>1501</v>
      </c>
      <c r="BC199" t="s">
        <v>546</v>
      </c>
      <c r="BE199" t="s">
        <v>616</v>
      </c>
      <c r="BG199" s="1">
        <v>15.44</v>
      </c>
      <c r="BH199" s="1">
        <v>2558.56</v>
      </c>
      <c r="BS199" s="1">
        <v>2574</v>
      </c>
      <c r="CB199" t="s">
        <v>1396</v>
      </c>
      <c r="CC199" t="s">
        <v>556</v>
      </c>
      <c r="DD199" t="s">
        <v>561</v>
      </c>
    </row>
    <row r="200" ht="15" customHeight="1" spans="1:122">
      <c r="A200" t="s">
        <v>603</v>
      </c>
      <c r="B200" t="s">
        <v>1502</v>
      </c>
      <c r="C200" t="s">
        <v>532</v>
      </c>
      <c r="D200" t="s">
        <v>1503</v>
      </c>
      <c r="E200" t="s">
        <v>534</v>
      </c>
      <c r="F200" t="s">
        <v>534</v>
      </c>
      <c r="G200" t="s">
        <v>535</v>
      </c>
      <c r="H200" s="1">
        <v>3701</v>
      </c>
      <c r="I200" s="1">
        <v>3678.79</v>
      </c>
      <c r="J200" t="s">
        <v>536</v>
      </c>
      <c r="L200" t="s">
        <v>536</v>
      </c>
      <c r="M200" t="s">
        <v>411</v>
      </c>
      <c r="N200" t="s">
        <v>369</v>
      </c>
      <c r="P200" s="1">
        <v>3701</v>
      </c>
      <c r="Q200" t="s">
        <v>606</v>
      </c>
      <c r="R200" t="s">
        <v>535</v>
      </c>
      <c r="S200" t="s">
        <v>539</v>
      </c>
      <c r="T200" s="2">
        <v>1</v>
      </c>
      <c r="U200" s="1">
        <v>3701</v>
      </c>
      <c r="V200" s="1">
        <v>3678.79</v>
      </c>
      <c r="X200" t="s">
        <v>616</v>
      </c>
      <c r="Z200" t="s">
        <v>541</v>
      </c>
      <c r="AA200" t="s">
        <v>542</v>
      </c>
      <c r="AB200" t="s">
        <v>543</v>
      </c>
      <c r="AC200" t="s">
        <v>608</v>
      </c>
      <c r="AE200" s="3">
        <v>1</v>
      </c>
      <c r="AG200" s="1">
        <v>3701</v>
      </c>
      <c r="AI200" s="1">
        <v>3701</v>
      </c>
      <c r="AJ200" s="1">
        <v>3701</v>
      </c>
      <c r="AK200" s="1">
        <v>22.21</v>
      </c>
      <c r="AM200" s="1">
        <v>3678.79</v>
      </c>
      <c r="AN200" t="s">
        <v>536</v>
      </c>
      <c r="AO200" t="s">
        <v>546</v>
      </c>
      <c r="AP200" t="s">
        <v>547</v>
      </c>
      <c r="AQ200" t="s">
        <v>548</v>
      </c>
      <c r="AS200" t="s">
        <v>411</v>
      </c>
      <c r="AX200" s="1">
        <v>3701</v>
      </c>
      <c r="AY200" t="s">
        <v>546</v>
      </c>
      <c r="AZ200" t="s">
        <v>549</v>
      </c>
      <c r="BA200" s="1">
        <v>3701</v>
      </c>
      <c r="BB200" t="s">
        <v>1504</v>
      </c>
      <c r="BC200" t="s">
        <v>546</v>
      </c>
      <c r="BE200" t="s">
        <v>616</v>
      </c>
      <c r="BG200" s="1">
        <v>22.21</v>
      </c>
      <c r="BH200" s="1">
        <v>3678.79</v>
      </c>
      <c r="BI200" t="s">
        <v>550</v>
      </c>
      <c r="BJ200" t="s">
        <v>610</v>
      </c>
      <c r="BK200" t="s">
        <v>552</v>
      </c>
      <c r="BL200" t="s">
        <v>552</v>
      </c>
      <c r="BM200" t="s">
        <v>1396</v>
      </c>
      <c r="BN200" t="s">
        <v>1505</v>
      </c>
      <c r="BO200" t="s">
        <v>1506</v>
      </c>
      <c r="BR200" t="s">
        <v>546</v>
      </c>
      <c r="BS200" s="1">
        <v>3701</v>
      </c>
      <c r="BW200" t="s">
        <v>536</v>
      </c>
      <c r="BZ200" t="s">
        <v>535</v>
      </c>
      <c r="CA200" t="s">
        <v>546</v>
      </c>
      <c r="CB200" t="s">
        <v>1503</v>
      </c>
      <c r="CC200" t="s">
        <v>556</v>
      </c>
      <c r="CH200" t="s">
        <v>546</v>
      </c>
      <c r="CK200" t="s">
        <v>1507</v>
      </c>
      <c r="CN200" t="s">
        <v>535</v>
      </c>
      <c r="CO200" t="s">
        <v>539</v>
      </c>
      <c r="CT200" t="s">
        <v>576</v>
      </c>
      <c r="CW200" t="s">
        <v>546</v>
      </c>
      <c r="DD200" t="s">
        <v>561</v>
      </c>
      <c r="DK200" t="s">
        <v>1508</v>
      </c>
      <c r="DR200" t="s">
        <v>1504</v>
      </c>
    </row>
    <row r="201" ht="15" customHeight="1" spans="1:122">
      <c r="A201" t="s">
        <v>530</v>
      </c>
      <c r="B201" t="s">
        <v>1509</v>
      </c>
      <c r="C201" t="s">
        <v>532</v>
      </c>
      <c r="D201" t="s">
        <v>1396</v>
      </c>
      <c r="E201" t="s">
        <v>534</v>
      </c>
      <c r="F201" t="s">
        <v>534</v>
      </c>
      <c r="G201" t="s">
        <v>535</v>
      </c>
      <c r="H201" s="1">
        <v>2071</v>
      </c>
      <c r="I201" s="1">
        <v>2071</v>
      </c>
      <c r="J201" t="s">
        <v>536</v>
      </c>
      <c r="L201" t="s">
        <v>536</v>
      </c>
      <c r="M201" t="s">
        <v>404</v>
      </c>
      <c r="N201" t="s">
        <v>537</v>
      </c>
      <c r="P201" s="1">
        <v>2071</v>
      </c>
      <c r="Q201" t="s">
        <v>642</v>
      </c>
      <c r="R201" t="s">
        <v>535</v>
      </c>
      <c r="S201" t="s">
        <v>539</v>
      </c>
      <c r="T201" s="2">
        <v>1</v>
      </c>
      <c r="U201" s="1">
        <v>2071</v>
      </c>
      <c r="V201" s="1">
        <v>2071</v>
      </c>
      <c r="X201" t="s">
        <v>540</v>
      </c>
      <c r="Z201" t="s">
        <v>541</v>
      </c>
      <c r="AA201" t="s">
        <v>542</v>
      </c>
      <c r="AB201" t="s">
        <v>543</v>
      </c>
      <c r="AC201" t="s">
        <v>544</v>
      </c>
      <c r="AD201" t="s">
        <v>545</v>
      </c>
      <c r="AE201" s="3">
        <v>1</v>
      </c>
      <c r="AF201" t="s">
        <v>103</v>
      </c>
      <c r="AG201" s="1">
        <v>2071</v>
      </c>
      <c r="AI201" s="1">
        <v>2071</v>
      </c>
      <c r="AJ201" s="1">
        <v>2071</v>
      </c>
      <c r="AM201" s="1">
        <v>2071</v>
      </c>
      <c r="AN201" t="s">
        <v>643</v>
      </c>
      <c r="AO201" t="s">
        <v>546</v>
      </c>
      <c r="AP201" t="s">
        <v>643</v>
      </c>
      <c r="AQ201" t="s">
        <v>548</v>
      </c>
      <c r="AS201" t="s">
        <v>404</v>
      </c>
      <c r="AX201" s="1">
        <v>2071</v>
      </c>
      <c r="AY201" t="s">
        <v>546</v>
      </c>
      <c r="AZ201" t="s">
        <v>644</v>
      </c>
      <c r="BA201" s="1">
        <v>2071</v>
      </c>
      <c r="BC201" t="s">
        <v>546</v>
      </c>
      <c r="BD201" s="1">
        <v>2071</v>
      </c>
      <c r="BE201" t="s">
        <v>540</v>
      </c>
      <c r="BF201" s="1">
        <v>2071</v>
      </c>
      <c r="BH201" s="1">
        <v>2071</v>
      </c>
      <c r="BI201" t="s">
        <v>550</v>
      </c>
      <c r="BJ201" t="s">
        <v>642</v>
      </c>
      <c r="BK201" t="s">
        <v>552</v>
      </c>
      <c r="BL201" t="s">
        <v>552</v>
      </c>
      <c r="BM201" t="s">
        <v>1396</v>
      </c>
      <c r="BN201" t="s">
        <v>1510</v>
      </c>
      <c r="BO201" t="s">
        <v>1511</v>
      </c>
      <c r="BR201" t="s">
        <v>546</v>
      </c>
      <c r="BS201" s="1">
        <v>2071</v>
      </c>
      <c r="BW201" t="s">
        <v>536</v>
      </c>
      <c r="BX201" s="1">
        <v>2071</v>
      </c>
      <c r="BZ201" t="s">
        <v>535</v>
      </c>
      <c r="CA201" t="s">
        <v>546</v>
      </c>
      <c r="CB201" t="s">
        <v>1396</v>
      </c>
      <c r="CC201" t="s">
        <v>556</v>
      </c>
      <c r="CD201" t="s">
        <v>692</v>
      </c>
      <c r="CE201" t="s">
        <v>693</v>
      </c>
      <c r="CF201" t="s">
        <v>103</v>
      </c>
      <c r="CG201" s="4">
        <v>1</v>
      </c>
      <c r="CH201" t="s">
        <v>546</v>
      </c>
      <c r="CK201" t="s">
        <v>1512</v>
      </c>
      <c r="CL201" s="1">
        <v>2071</v>
      </c>
      <c r="CN201" t="s">
        <v>535</v>
      </c>
      <c r="CO201" t="s">
        <v>539</v>
      </c>
      <c r="CT201" t="s">
        <v>651</v>
      </c>
      <c r="CW201" t="s">
        <v>546</v>
      </c>
      <c r="DD201" t="s">
        <v>561</v>
      </c>
      <c r="DK201" t="s">
        <v>1513</v>
      </c>
      <c r="DL201" t="s">
        <v>1514</v>
      </c>
      <c r="DR201" t="s">
        <v>1515</v>
      </c>
    </row>
    <row r="202" ht="15" customHeight="1" spans="1:122">
      <c r="A202" t="s">
        <v>530</v>
      </c>
      <c r="B202" t="s">
        <v>1516</v>
      </c>
      <c r="C202" t="s">
        <v>656</v>
      </c>
      <c r="D202" t="s">
        <v>1301</v>
      </c>
      <c r="E202" t="s">
        <v>534</v>
      </c>
      <c r="F202" t="s">
        <v>534</v>
      </c>
      <c r="G202" t="s">
        <v>535</v>
      </c>
      <c r="H202" s="1">
        <v>2608</v>
      </c>
      <c r="I202" s="1">
        <v>2602.39</v>
      </c>
      <c r="J202" t="s">
        <v>536</v>
      </c>
      <c r="L202" t="s">
        <v>536</v>
      </c>
      <c r="M202" t="s">
        <v>393</v>
      </c>
      <c r="N202" t="s">
        <v>657</v>
      </c>
      <c r="P202" s="1">
        <v>2608</v>
      </c>
      <c r="Q202" t="s">
        <v>658</v>
      </c>
      <c r="R202" t="s">
        <v>535</v>
      </c>
      <c r="S202" t="s">
        <v>539</v>
      </c>
      <c r="T202" s="2">
        <v>1</v>
      </c>
      <c r="U202" s="1">
        <v>2608</v>
      </c>
      <c r="V202" s="1">
        <v>2602.39</v>
      </c>
      <c r="X202" t="s">
        <v>540</v>
      </c>
      <c r="Z202" t="s">
        <v>541</v>
      </c>
      <c r="AA202" t="s">
        <v>542</v>
      </c>
      <c r="AB202" t="s">
        <v>659</v>
      </c>
      <c r="AC202" t="s">
        <v>544</v>
      </c>
      <c r="AD202" t="s">
        <v>545</v>
      </c>
      <c r="AE202" s="3">
        <v>1</v>
      </c>
      <c r="AF202" t="s">
        <v>86</v>
      </c>
      <c r="AG202" s="1">
        <v>2608</v>
      </c>
      <c r="AI202" s="1">
        <v>2608</v>
      </c>
      <c r="AJ202" s="1">
        <v>2608</v>
      </c>
      <c r="AK202" s="1">
        <v>5.61</v>
      </c>
      <c r="AM202" s="1">
        <v>2602.39</v>
      </c>
      <c r="AN202" t="s">
        <v>536</v>
      </c>
      <c r="AO202" t="s">
        <v>546</v>
      </c>
      <c r="AP202" t="s">
        <v>547</v>
      </c>
      <c r="AQ202" t="s">
        <v>548</v>
      </c>
      <c r="AS202" t="s">
        <v>393</v>
      </c>
      <c r="AX202" s="1">
        <v>2608</v>
      </c>
      <c r="AY202" t="s">
        <v>546</v>
      </c>
      <c r="AZ202" t="s">
        <v>549</v>
      </c>
      <c r="BA202" s="1">
        <v>2608</v>
      </c>
      <c r="BC202" t="s">
        <v>546</v>
      </c>
      <c r="BD202" s="1">
        <v>2608</v>
      </c>
      <c r="BE202" t="s">
        <v>540</v>
      </c>
      <c r="BF202" s="1">
        <v>2608</v>
      </c>
      <c r="BG202" s="1">
        <v>5.61</v>
      </c>
      <c r="BH202" s="1">
        <v>2602.39</v>
      </c>
      <c r="BI202" t="s">
        <v>550</v>
      </c>
      <c r="BJ202" t="s">
        <v>660</v>
      </c>
      <c r="BK202" t="s">
        <v>552</v>
      </c>
      <c r="BL202" t="s">
        <v>552</v>
      </c>
      <c r="BM202" t="s">
        <v>1396</v>
      </c>
      <c r="BN202" t="s">
        <v>1517</v>
      </c>
      <c r="BO202" t="s">
        <v>1518</v>
      </c>
      <c r="BR202" t="s">
        <v>546</v>
      </c>
      <c r="BS202" s="1">
        <v>2608</v>
      </c>
      <c r="BW202" t="s">
        <v>536</v>
      </c>
      <c r="BX202" s="1">
        <v>2608</v>
      </c>
      <c r="BZ202" t="s">
        <v>535</v>
      </c>
      <c r="CA202" t="s">
        <v>546</v>
      </c>
      <c r="CB202" t="s">
        <v>1301</v>
      </c>
      <c r="CC202" t="s">
        <v>556</v>
      </c>
      <c r="CD202" t="s">
        <v>1519</v>
      </c>
      <c r="CE202" t="s">
        <v>1520</v>
      </c>
      <c r="CF202" t="s">
        <v>86</v>
      </c>
      <c r="CG202" s="4">
        <v>1</v>
      </c>
      <c r="CH202" t="s">
        <v>546</v>
      </c>
      <c r="CK202" t="s">
        <v>1521</v>
      </c>
      <c r="CL202" s="1">
        <v>2608</v>
      </c>
      <c r="CN202" t="s">
        <v>535</v>
      </c>
      <c r="CO202" t="s">
        <v>539</v>
      </c>
      <c r="CT202" t="s">
        <v>666</v>
      </c>
      <c r="CW202" t="s">
        <v>546</v>
      </c>
      <c r="DD202" t="s">
        <v>561</v>
      </c>
      <c r="DK202" t="s">
        <v>1522</v>
      </c>
      <c r="DL202" t="s">
        <v>1523</v>
      </c>
    </row>
    <row r="203" ht="15" customHeight="1" spans="1:122">
      <c r="A203" t="s">
        <v>530</v>
      </c>
      <c r="B203" t="s">
        <v>1524</v>
      </c>
      <c r="C203" t="s">
        <v>656</v>
      </c>
      <c r="D203" t="s">
        <v>1301</v>
      </c>
      <c r="E203" t="s">
        <v>534</v>
      </c>
      <c r="F203" t="s">
        <v>534</v>
      </c>
      <c r="G203" t="s">
        <v>535</v>
      </c>
      <c r="H203" s="1">
        <v>30</v>
      </c>
      <c r="I203" s="1">
        <v>29.94</v>
      </c>
      <c r="J203" t="s">
        <v>536</v>
      </c>
      <c r="L203" t="s">
        <v>536</v>
      </c>
      <c r="M203" t="s">
        <v>393</v>
      </c>
      <c r="N203" t="s">
        <v>657</v>
      </c>
      <c r="P203" s="1">
        <v>30</v>
      </c>
      <c r="Q203" t="s">
        <v>658</v>
      </c>
      <c r="R203" t="s">
        <v>535</v>
      </c>
      <c r="S203" t="s">
        <v>539</v>
      </c>
      <c r="T203" s="2">
        <v>1</v>
      </c>
      <c r="U203" s="1">
        <v>30</v>
      </c>
      <c r="V203" s="1">
        <v>29.94</v>
      </c>
      <c r="X203" t="s">
        <v>540</v>
      </c>
      <c r="Z203" t="s">
        <v>541</v>
      </c>
      <c r="AA203" t="s">
        <v>542</v>
      </c>
      <c r="AB203" t="s">
        <v>659</v>
      </c>
      <c r="AC203" t="s">
        <v>544</v>
      </c>
      <c r="AD203" t="s">
        <v>545</v>
      </c>
      <c r="AE203" s="3">
        <v>1</v>
      </c>
      <c r="AF203" t="s">
        <v>86</v>
      </c>
      <c r="AG203" s="1">
        <v>30</v>
      </c>
      <c r="AI203" s="1">
        <v>30</v>
      </c>
      <c r="AJ203" s="1">
        <v>30</v>
      </c>
      <c r="AK203" s="1">
        <v>0.06</v>
      </c>
      <c r="AM203" s="1">
        <v>29.94</v>
      </c>
      <c r="AN203" t="s">
        <v>536</v>
      </c>
      <c r="AO203" t="s">
        <v>546</v>
      </c>
      <c r="AP203" t="s">
        <v>547</v>
      </c>
      <c r="AQ203" t="s">
        <v>548</v>
      </c>
      <c r="AS203" t="s">
        <v>393</v>
      </c>
      <c r="AX203" s="1">
        <v>30</v>
      </c>
      <c r="AY203" t="s">
        <v>546</v>
      </c>
      <c r="AZ203" t="s">
        <v>549</v>
      </c>
      <c r="BA203" s="1">
        <v>30</v>
      </c>
      <c r="BC203" t="s">
        <v>546</v>
      </c>
      <c r="BD203" s="1">
        <v>30</v>
      </c>
      <c r="BE203" t="s">
        <v>540</v>
      </c>
      <c r="BF203" s="1">
        <v>30</v>
      </c>
      <c r="BG203" s="1">
        <v>0.06</v>
      </c>
      <c r="BH203" s="1">
        <v>29.94</v>
      </c>
      <c r="BI203" t="s">
        <v>550</v>
      </c>
      <c r="BJ203" t="s">
        <v>660</v>
      </c>
      <c r="BK203" t="s">
        <v>552</v>
      </c>
      <c r="BL203" t="s">
        <v>552</v>
      </c>
      <c r="BM203" t="s">
        <v>1396</v>
      </c>
      <c r="BN203" t="s">
        <v>1525</v>
      </c>
      <c r="BO203" t="s">
        <v>1526</v>
      </c>
      <c r="BR203" t="s">
        <v>546</v>
      </c>
      <c r="BS203" s="1">
        <v>30</v>
      </c>
      <c r="BW203" t="s">
        <v>536</v>
      </c>
      <c r="BX203" s="1">
        <v>30</v>
      </c>
      <c r="BZ203" t="s">
        <v>535</v>
      </c>
      <c r="CA203" t="s">
        <v>546</v>
      </c>
      <c r="CB203" t="s">
        <v>1301</v>
      </c>
      <c r="CC203" t="s">
        <v>556</v>
      </c>
      <c r="CD203" t="s">
        <v>1519</v>
      </c>
      <c r="CE203" t="s">
        <v>1520</v>
      </c>
      <c r="CF203" t="s">
        <v>86</v>
      </c>
      <c r="CG203" s="4">
        <v>1</v>
      </c>
      <c r="CH203" t="s">
        <v>546</v>
      </c>
      <c r="CK203" t="s">
        <v>1527</v>
      </c>
      <c r="CL203" s="1">
        <v>30</v>
      </c>
      <c r="CN203" t="s">
        <v>535</v>
      </c>
      <c r="CO203" t="s">
        <v>539</v>
      </c>
      <c r="CT203" t="s">
        <v>666</v>
      </c>
      <c r="CW203" t="s">
        <v>546</v>
      </c>
      <c r="DD203" t="s">
        <v>561</v>
      </c>
      <c r="DK203" t="s">
        <v>1522</v>
      </c>
      <c r="DL203" t="s">
        <v>1523</v>
      </c>
    </row>
    <row r="204" ht="15" customHeight="1" spans="1:122">
      <c r="A204" t="s">
        <v>530</v>
      </c>
      <c r="B204" t="s">
        <v>1528</v>
      </c>
      <c r="C204" t="s">
        <v>656</v>
      </c>
      <c r="D204" t="s">
        <v>1440</v>
      </c>
      <c r="E204" t="s">
        <v>534</v>
      </c>
      <c r="F204" t="s">
        <v>534</v>
      </c>
      <c r="G204" t="s">
        <v>535</v>
      </c>
      <c r="H204" s="1">
        <v>188</v>
      </c>
      <c r="I204" s="1">
        <v>187.6</v>
      </c>
      <c r="J204" t="s">
        <v>536</v>
      </c>
      <c r="L204" t="s">
        <v>536</v>
      </c>
      <c r="M204" t="s">
        <v>393</v>
      </c>
      <c r="N204" t="s">
        <v>657</v>
      </c>
      <c r="P204" s="1">
        <v>188</v>
      </c>
      <c r="Q204" t="s">
        <v>658</v>
      </c>
      <c r="R204" t="s">
        <v>535</v>
      </c>
      <c r="S204" t="s">
        <v>539</v>
      </c>
      <c r="T204" s="2">
        <v>1</v>
      </c>
      <c r="U204" s="1">
        <v>188</v>
      </c>
      <c r="V204" s="1">
        <v>187.6</v>
      </c>
      <c r="X204" t="s">
        <v>540</v>
      </c>
      <c r="Z204" t="s">
        <v>541</v>
      </c>
      <c r="AA204" t="s">
        <v>542</v>
      </c>
      <c r="AB204" t="s">
        <v>659</v>
      </c>
      <c r="AC204" t="s">
        <v>544</v>
      </c>
      <c r="AD204" t="s">
        <v>545</v>
      </c>
      <c r="AE204" s="3">
        <v>1</v>
      </c>
      <c r="AF204" t="s">
        <v>86</v>
      </c>
      <c r="AG204" s="1">
        <v>188</v>
      </c>
      <c r="AI204" s="1">
        <v>188</v>
      </c>
      <c r="AJ204" s="1">
        <v>188</v>
      </c>
      <c r="AK204" s="1">
        <v>0.4</v>
      </c>
      <c r="AM204" s="1">
        <v>187.6</v>
      </c>
      <c r="AN204" t="s">
        <v>536</v>
      </c>
      <c r="AO204" t="s">
        <v>546</v>
      </c>
      <c r="AP204" t="s">
        <v>547</v>
      </c>
      <c r="AQ204" t="s">
        <v>548</v>
      </c>
      <c r="AS204" t="s">
        <v>393</v>
      </c>
      <c r="AX204" s="1">
        <v>188</v>
      </c>
      <c r="AY204" t="s">
        <v>546</v>
      </c>
      <c r="AZ204" t="s">
        <v>549</v>
      </c>
      <c r="BA204" s="1">
        <v>188</v>
      </c>
      <c r="BC204" t="s">
        <v>546</v>
      </c>
      <c r="BD204" s="1">
        <v>188</v>
      </c>
      <c r="BE204" t="s">
        <v>540</v>
      </c>
      <c r="BF204" s="1">
        <v>188</v>
      </c>
      <c r="BG204" s="1">
        <v>0.4</v>
      </c>
      <c r="BH204" s="1">
        <v>187.6</v>
      </c>
      <c r="BI204" t="s">
        <v>550</v>
      </c>
      <c r="BJ204" t="s">
        <v>660</v>
      </c>
      <c r="BK204" t="s">
        <v>552</v>
      </c>
      <c r="BL204" t="s">
        <v>552</v>
      </c>
      <c r="BM204" t="s">
        <v>1396</v>
      </c>
      <c r="BN204" t="s">
        <v>1529</v>
      </c>
      <c r="BO204" t="s">
        <v>1530</v>
      </c>
      <c r="BR204" t="s">
        <v>546</v>
      </c>
      <c r="BS204" s="1">
        <v>188</v>
      </c>
      <c r="BW204" t="s">
        <v>536</v>
      </c>
      <c r="BX204" s="1">
        <v>188</v>
      </c>
      <c r="BZ204" t="s">
        <v>535</v>
      </c>
      <c r="CA204" t="s">
        <v>546</v>
      </c>
      <c r="CB204" t="s">
        <v>1440</v>
      </c>
      <c r="CC204" t="s">
        <v>556</v>
      </c>
      <c r="CD204" t="s">
        <v>1519</v>
      </c>
      <c r="CE204" t="s">
        <v>1520</v>
      </c>
      <c r="CF204" t="s">
        <v>86</v>
      </c>
      <c r="CG204" s="4">
        <v>1</v>
      </c>
      <c r="CH204" t="s">
        <v>546</v>
      </c>
      <c r="CK204" t="s">
        <v>1531</v>
      </c>
      <c r="CL204" s="1">
        <v>188</v>
      </c>
      <c r="CN204" t="s">
        <v>535</v>
      </c>
      <c r="CO204" t="s">
        <v>539</v>
      </c>
      <c r="CT204" t="s">
        <v>666</v>
      </c>
      <c r="CW204" t="s">
        <v>546</v>
      </c>
      <c r="DD204" t="s">
        <v>561</v>
      </c>
      <c r="DK204" t="s">
        <v>1522</v>
      </c>
      <c r="DL204" t="s">
        <v>1523</v>
      </c>
    </row>
    <row r="205" ht="15" customHeight="1" spans="1:122">
      <c r="A205" t="s">
        <v>530</v>
      </c>
      <c r="B205" t="s">
        <v>1532</v>
      </c>
      <c r="C205" t="s">
        <v>656</v>
      </c>
      <c r="D205" t="s">
        <v>1396</v>
      </c>
      <c r="E205" t="s">
        <v>534</v>
      </c>
      <c r="F205" t="s">
        <v>534</v>
      </c>
      <c r="G205" t="s">
        <v>535</v>
      </c>
      <c r="H205" s="1">
        <v>6502</v>
      </c>
      <c r="I205" s="1">
        <v>6488.02</v>
      </c>
      <c r="J205" t="s">
        <v>536</v>
      </c>
      <c r="L205" t="s">
        <v>536</v>
      </c>
      <c r="M205" t="s">
        <v>393</v>
      </c>
      <c r="N205" t="s">
        <v>657</v>
      </c>
      <c r="P205" s="1">
        <v>6502</v>
      </c>
      <c r="Q205" t="s">
        <v>658</v>
      </c>
      <c r="R205" t="s">
        <v>535</v>
      </c>
      <c r="S205" t="s">
        <v>539</v>
      </c>
      <c r="T205" s="2">
        <v>1</v>
      </c>
      <c r="U205" s="1">
        <v>6502</v>
      </c>
      <c r="V205" s="1">
        <v>6488.02</v>
      </c>
      <c r="X205" t="s">
        <v>540</v>
      </c>
      <c r="Z205" t="s">
        <v>541</v>
      </c>
      <c r="AA205" t="s">
        <v>542</v>
      </c>
      <c r="AB205" t="s">
        <v>659</v>
      </c>
      <c r="AC205" t="s">
        <v>544</v>
      </c>
      <c r="AD205" t="s">
        <v>545</v>
      </c>
      <c r="AE205" s="3">
        <v>1</v>
      </c>
      <c r="AF205" t="s">
        <v>93</v>
      </c>
      <c r="AG205" s="1">
        <v>6502</v>
      </c>
      <c r="AI205" s="1">
        <v>6502</v>
      </c>
      <c r="AJ205" s="1">
        <v>6502</v>
      </c>
      <c r="AK205" s="1">
        <v>13.98</v>
      </c>
      <c r="AM205" s="1">
        <v>6488.02</v>
      </c>
      <c r="AN205" t="s">
        <v>536</v>
      </c>
      <c r="AO205" t="s">
        <v>546</v>
      </c>
      <c r="AP205" t="s">
        <v>547</v>
      </c>
      <c r="AQ205" t="s">
        <v>548</v>
      </c>
      <c r="AS205" t="s">
        <v>393</v>
      </c>
      <c r="AX205" s="1">
        <v>6502</v>
      </c>
      <c r="AY205" t="s">
        <v>546</v>
      </c>
      <c r="AZ205" t="s">
        <v>549</v>
      </c>
      <c r="BA205" s="1">
        <v>6502</v>
      </c>
      <c r="BC205" t="s">
        <v>546</v>
      </c>
      <c r="BD205" s="1">
        <v>6502</v>
      </c>
      <c r="BE205" t="s">
        <v>540</v>
      </c>
      <c r="BF205" s="1">
        <v>6502</v>
      </c>
      <c r="BG205" s="1">
        <v>13.98</v>
      </c>
      <c r="BH205" s="1">
        <v>6488.02</v>
      </c>
      <c r="BI205" t="s">
        <v>550</v>
      </c>
      <c r="BJ205" t="s">
        <v>660</v>
      </c>
      <c r="BK205" t="s">
        <v>552</v>
      </c>
      <c r="BL205" t="s">
        <v>552</v>
      </c>
      <c r="BM205" t="s">
        <v>1396</v>
      </c>
      <c r="BN205" t="s">
        <v>1533</v>
      </c>
      <c r="BO205" t="s">
        <v>1534</v>
      </c>
      <c r="BR205" t="s">
        <v>546</v>
      </c>
      <c r="BS205" s="1">
        <v>6502</v>
      </c>
      <c r="BW205" t="s">
        <v>536</v>
      </c>
      <c r="BX205" s="1">
        <v>6502</v>
      </c>
      <c r="BZ205" t="s">
        <v>535</v>
      </c>
      <c r="CA205" t="s">
        <v>546</v>
      </c>
      <c r="CB205" t="s">
        <v>1396</v>
      </c>
      <c r="CC205" t="s">
        <v>556</v>
      </c>
      <c r="CD205" t="s">
        <v>1535</v>
      </c>
      <c r="CE205" t="s">
        <v>1536</v>
      </c>
      <c r="CF205" t="s">
        <v>93</v>
      </c>
      <c r="CG205" s="4">
        <v>1</v>
      </c>
      <c r="CH205" t="s">
        <v>546</v>
      </c>
      <c r="CK205" t="s">
        <v>1537</v>
      </c>
      <c r="CL205" s="1">
        <v>6502</v>
      </c>
      <c r="CN205" t="s">
        <v>535</v>
      </c>
      <c r="CO205" t="s">
        <v>539</v>
      </c>
      <c r="CT205" t="s">
        <v>666</v>
      </c>
      <c r="CW205" t="s">
        <v>546</v>
      </c>
      <c r="DD205" t="s">
        <v>561</v>
      </c>
      <c r="DK205" t="s">
        <v>1538</v>
      </c>
      <c r="DL205" t="s">
        <v>1539</v>
      </c>
    </row>
    <row r="206" ht="15" customHeight="1" spans="1:122">
      <c r="A206" t="s">
        <v>530</v>
      </c>
      <c r="B206" t="s">
        <v>1540</v>
      </c>
      <c r="C206" t="s">
        <v>532</v>
      </c>
      <c r="D206" t="s">
        <v>1396</v>
      </c>
      <c r="E206" t="s">
        <v>534</v>
      </c>
      <c r="F206" t="s">
        <v>534</v>
      </c>
      <c r="G206" t="s">
        <v>535</v>
      </c>
      <c r="H206" s="1">
        <v>1340</v>
      </c>
      <c r="I206" s="1">
        <v>1340</v>
      </c>
      <c r="J206" t="s">
        <v>536</v>
      </c>
      <c r="L206" t="s">
        <v>536</v>
      </c>
      <c r="M206" t="s">
        <v>404</v>
      </c>
      <c r="N206" t="s">
        <v>537</v>
      </c>
      <c r="P206" s="1">
        <v>1340</v>
      </c>
      <c r="Q206" t="s">
        <v>642</v>
      </c>
      <c r="R206" t="s">
        <v>535</v>
      </c>
      <c r="S206" t="s">
        <v>539</v>
      </c>
      <c r="T206" s="2">
        <v>1</v>
      </c>
      <c r="U206" s="1">
        <v>1340</v>
      </c>
      <c r="V206" s="1">
        <v>1340</v>
      </c>
      <c r="X206" t="s">
        <v>616</v>
      </c>
      <c r="Z206" t="s">
        <v>541</v>
      </c>
      <c r="AA206" t="s">
        <v>542</v>
      </c>
      <c r="AB206" t="s">
        <v>543</v>
      </c>
      <c r="AC206" t="s">
        <v>544</v>
      </c>
      <c r="AD206" t="s">
        <v>545</v>
      </c>
      <c r="AE206" s="3">
        <v>1</v>
      </c>
      <c r="AF206" t="s">
        <v>105</v>
      </c>
      <c r="AG206" s="1">
        <v>1340</v>
      </c>
      <c r="AI206" s="1">
        <v>1340</v>
      </c>
      <c r="AJ206" s="1">
        <v>1340</v>
      </c>
      <c r="AM206" s="1">
        <v>1340</v>
      </c>
      <c r="AN206" t="s">
        <v>643</v>
      </c>
      <c r="AO206" t="s">
        <v>546</v>
      </c>
      <c r="AP206" t="s">
        <v>643</v>
      </c>
      <c r="AQ206" t="s">
        <v>548</v>
      </c>
      <c r="AS206" t="s">
        <v>404</v>
      </c>
      <c r="AX206" s="1">
        <v>1340</v>
      </c>
      <c r="AY206" t="s">
        <v>546</v>
      </c>
      <c r="AZ206" t="s">
        <v>644</v>
      </c>
      <c r="BA206" s="1">
        <v>1340</v>
      </c>
      <c r="BC206" t="s">
        <v>546</v>
      </c>
      <c r="BD206" s="1">
        <v>1340</v>
      </c>
      <c r="BE206" t="s">
        <v>616</v>
      </c>
      <c r="BH206" s="1">
        <v>1340</v>
      </c>
      <c r="BI206" t="s">
        <v>550</v>
      </c>
      <c r="BJ206" t="s">
        <v>642</v>
      </c>
      <c r="BK206" t="s">
        <v>552</v>
      </c>
      <c r="BL206" t="s">
        <v>552</v>
      </c>
      <c r="BM206" t="s">
        <v>1396</v>
      </c>
      <c r="BN206" t="s">
        <v>1541</v>
      </c>
      <c r="BO206" t="s">
        <v>1542</v>
      </c>
      <c r="BR206" t="s">
        <v>546</v>
      </c>
      <c r="BS206" s="1">
        <v>1340</v>
      </c>
      <c r="BW206" t="s">
        <v>536</v>
      </c>
      <c r="BZ206" t="s">
        <v>535</v>
      </c>
      <c r="CA206" t="s">
        <v>546</v>
      </c>
      <c r="CB206" t="s">
        <v>1396</v>
      </c>
      <c r="CC206" t="s">
        <v>556</v>
      </c>
      <c r="CD206" t="s">
        <v>1197</v>
      </c>
      <c r="CE206" t="s">
        <v>1198</v>
      </c>
      <c r="CF206" t="s">
        <v>105</v>
      </c>
      <c r="CG206" s="4">
        <v>1</v>
      </c>
      <c r="CH206" t="s">
        <v>546</v>
      </c>
      <c r="CK206" t="s">
        <v>1543</v>
      </c>
      <c r="CN206" t="s">
        <v>535</v>
      </c>
      <c r="CO206" t="s">
        <v>539</v>
      </c>
      <c r="CT206" t="s">
        <v>651</v>
      </c>
      <c r="CW206" t="s">
        <v>546</v>
      </c>
      <c r="DD206" t="s">
        <v>561</v>
      </c>
      <c r="DK206" t="s">
        <v>1544</v>
      </c>
      <c r="DL206" t="s">
        <v>1545</v>
      </c>
      <c r="DR206" t="s">
        <v>1546</v>
      </c>
    </row>
    <row r="207" ht="15" customHeight="1" spans="1:122">
      <c r="A207" t="s">
        <v>530</v>
      </c>
      <c r="B207" t="s">
        <v>1547</v>
      </c>
      <c r="C207" t="s">
        <v>532</v>
      </c>
      <c r="D207" t="s">
        <v>1396</v>
      </c>
      <c r="E207" t="s">
        <v>534</v>
      </c>
      <c r="F207" t="s">
        <v>534</v>
      </c>
      <c r="G207" t="s">
        <v>535</v>
      </c>
      <c r="H207" s="1">
        <v>4086</v>
      </c>
      <c r="I207" s="1">
        <v>4086</v>
      </c>
      <c r="J207" t="s">
        <v>536</v>
      </c>
      <c r="L207" t="s">
        <v>536</v>
      </c>
      <c r="M207" t="s">
        <v>377</v>
      </c>
      <c r="N207" t="s">
        <v>537</v>
      </c>
      <c r="P207" s="1">
        <v>4086</v>
      </c>
      <c r="Q207" t="s">
        <v>538</v>
      </c>
      <c r="R207" t="s">
        <v>535</v>
      </c>
      <c r="S207" t="s">
        <v>539</v>
      </c>
      <c r="T207" s="2">
        <v>1</v>
      </c>
      <c r="U207" s="1">
        <v>4086</v>
      </c>
      <c r="V207" s="1">
        <v>4086</v>
      </c>
      <c r="X207" t="s">
        <v>540</v>
      </c>
      <c r="Z207" t="s">
        <v>541</v>
      </c>
      <c r="AA207" t="s">
        <v>542</v>
      </c>
      <c r="AB207" t="s">
        <v>543</v>
      </c>
      <c r="AC207" t="s">
        <v>544</v>
      </c>
      <c r="AD207" t="s">
        <v>545</v>
      </c>
      <c r="AE207" s="3">
        <v>1</v>
      </c>
      <c r="AF207" t="s">
        <v>104</v>
      </c>
      <c r="AG207" s="1">
        <v>4086</v>
      </c>
      <c r="AI207" s="1">
        <v>4086</v>
      </c>
      <c r="AJ207" s="1">
        <v>4086</v>
      </c>
      <c r="AM207" s="1">
        <v>4086</v>
      </c>
      <c r="AN207" t="s">
        <v>536</v>
      </c>
      <c r="AO207" t="s">
        <v>546</v>
      </c>
      <c r="AP207" t="s">
        <v>547</v>
      </c>
      <c r="AQ207" t="s">
        <v>548</v>
      </c>
      <c r="AS207" t="s">
        <v>377</v>
      </c>
      <c r="AX207" s="1">
        <v>4086</v>
      </c>
      <c r="AY207" t="s">
        <v>546</v>
      </c>
      <c r="AZ207" t="s">
        <v>549</v>
      </c>
      <c r="BA207" s="1">
        <v>4086</v>
      </c>
      <c r="BC207" t="s">
        <v>546</v>
      </c>
      <c r="BD207" s="1">
        <v>4086</v>
      </c>
      <c r="BE207" t="s">
        <v>540</v>
      </c>
      <c r="BF207" s="1">
        <v>4086</v>
      </c>
      <c r="BH207" s="1">
        <v>4086</v>
      </c>
      <c r="BI207" t="s">
        <v>550</v>
      </c>
      <c r="BJ207" t="s">
        <v>551</v>
      </c>
      <c r="BK207" t="s">
        <v>551</v>
      </c>
      <c r="BL207" t="s">
        <v>552</v>
      </c>
      <c r="BM207" t="s">
        <v>1396</v>
      </c>
      <c r="BN207" t="s">
        <v>1548</v>
      </c>
      <c r="BO207" t="s">
        <v>1549</v>
      </c>
      <c r="BR207" t="s">
        <v>546</v>
      </c>
      <c r="BS207" s="1">
        <v>4086</v>
      </c>
      <c r="BW207" t="s">
        <v>536</v>
      </c>
      <c r="BX207" s="1">
        <v>4086</v>
      </c>
      <c r="BZ207" t="s">
        <v>535</v>
      </c>
      <c r="CA207" t="s">
        <v>546</v>
      </c>
      <c r="CB207" t="s">
        <v>1396</v>
      </c>
      <c r="CC207" t="s">
        <v>556</v>
      </c>
      <c r="CD207" t="s">
        <v>622</v>
      </c>
      <c r="CE207" t="s">
        <v>623</v>
      </c>
      <c r="CF207" t="s">
        <v>104</v>
      </c>
      <c r="CG207" s="4">
        <v>1</v>
      </c>
      <c r="CH207" t="s">
        <v>546</v>
      </c>
      <c r="CK207" t="s">
        <v>1550</v>
      </c>
      <c r="CL207" s="1">
        <v>4086</v>
      </c>
      <c r="CN207" t="s">
        <v>535</v>
      </c>
      <c r="CO207" t="s">
        <v>539</v>
      </c>
      <c r="CT207" t="s">
        <v>560</v>
      </c>
      <c r="CW207" t="s">
        <v>546</v>
      </c>
      <c r="DD207" t="s">
        <v>561</v>
      </c>
      <c r="DK207" t="s">
        <v>1551</v>
      </c>
      <c r="DL207" t="s">
        <v>1552</v>
      </c>
    </row>
    <row r="208" ht="15" customHeight="1" spans="1:122">
      <c r="A208" t="s">
        <v>530</v>
      </c>
      <c r="B208" t="s">
        <v>1553</v>
      </c>
      <c r="C208" t="s">
        <v>532</v>
      </c>
      <c r="D208" t="s">
        <v>1396</v>
      </c>
      <c r="E208" t="s">
        <v>534</v>
      </c>
      <c r="F208" t="s">
        <v>534</v>
      </c>
      <c r="G208" t="s">
        <v>535</v>
      </c>
      <c r="H208" s="1">
        <v>2972.8</v>
      </c>
      <c r="I208" s="1">
        <v>2954.96</v>
      </c>
      <c r="J208" t="s">
        <v>536</v>
      </c>
      <c r="L208" t="s">
        <v>536</v>
      </c>
      <c r="M208" t="s">
        <v>375</v>
      </c>
      <c r="N208" t="s">
        <v>537</v>
      </c>
      <c r="P208" s="1">
        <v>2972.8</v>
      </c>
      <c r="Q208" t="s">
        <v>580</v>
      </c>
      <c r="R208" t="s">
        <v>535</v>
      </c>
      <c r="S208" t="s">
        <v>539</v>
      </c>
      <c r="T208" s="2">
        <v>1</v>
      </c>
      <c r="U208" s="1">
        <v>2972.8</v>
      </c>
      <c r="V208" s="1">
        <v>2954.96</v>
      </c>
      <c r="X208" t="s">
        <v>540</v>
      </c>
      <c r="Z208" t="s">
        <v>541</v>
      </c>
      <c r="AA208" t="s">
        <v>542</v>
      </c>
      <c r="AB208" t="s">
        <v>543</v>
      </c>
      <c r="AC208" t="s">
        <v>544</v>
      </c>
      <c r="AD208" t="s">
        <v>545</v>
      </c>
      <c r="AE208" s="3">
        <v>1</v>
      </c>
      <c r="AF208" t="s">
        <v>97</v>
      </c>
      <c r="AG208" s="1">
        <v>2972.8</v>
      </c>
      <c r="AI208" s="1">
        <v>2972.8</v>
      </c>
      <c r="AJ208" s="1">
        <v>2972.8</v>
      </c>
      <c r="AK208" s="1">
        <v>17.84</v>
      </c>
      <c r="AM208" s="1">
        <v>2954.96</v>
      </c>
      <c r="AN208" t="s">
        <v>536</v>
      </c>
      <c r="AO208" t="s">
        <v>546</v>
      </c>
      <c r="AP208" t="s">
        <v>547</v>
      </c>
      <c r="AQ208" t="s">
        <v>548</v>
      </c>
      <c r="AS208" t="s">
        <v>375</v>
      </c>
      <c r="AX208" s="1">
        <v>2972.8</v>
      </c>
      <c r="AY208" t="s">
        <v>546</v>
      </c>
      <c r="AZ208" t="s">
        <v>549</v>
      </c>
      <c r="BA208" s="1">
        <v>2972.8</v>
      </c>
      <c r="BC208" t="s">
        <v>546</v>
      </c>
      <c r="BD208" s="1">
        <v>2972.8</v>
      </c>
      <c r="BE208" t="s">
        <v>540</v>
      </c>
      <c r="BF208" s="1">
        <v>2972.8</v>
      </c>
      <c r="BG208" s="1">
        <v>17.84</v>
      </c>
      <c r="BH208" s="1">
        <v>2954.96</v>
      </c>
      <c r="BI208" t="s">
        <v>550</v>
      </c>
      <c r="BJ208" t="s">
        <v>570</v>
      </c>
      <c r="BK208" t="s">
        <v>552</v>
      </c>
      <c r="BL208" t="s">
        <v>552</v>
      </c>
      <c r="BM208" t="s">
        <v>1396</v>
      </c>
      <c r="BN208" t="s">
        <v>1554</v>
      </c>
      <c r="BO208" t="s">
        <v>1555</v>
      </c>
      <c r="BR208" t="s">
        <v>546</v>
      </c>
      <c r="BS208" s="1">
        <v>2972.8</v>
      </c>
      <c r="BW208" t="s">
        <v>536</v>
      </c>
      <c r="BX208" s="1">
        <v>2972.8</v>
      </c>
      <c r="BZ208" t="s">
        <v>535</v>
      </c>
      <c r="CA208" t="s">
        <v>546</v>
      </c>
      <c r="CB208" t="s">
        <v>1396</v>
      </c>
      <c r="CC208" t="s">
        <v>556</v>
      </c>
      <c r="CD208" t="s">
        <v>1099</v>
      </c>
      <c r="CE208" t="s">
        <v>1100</v>
      </c>
      <c r="CF208" t="s">
        <v>97</v>
      </c>
      <c r="CG208" s="4">
        <v>1</v>
      </c>
      <c r="CH208" t="s">
        <v>546</v>
      </c>
      <c r="CK208" t="s">
        <v>1556</v>
      </c>
      <c r="CL208" s="1">
        <v>2972.8</v>
      </c>
      <c r="CN208" t="s">
        <v>535</v>
      </c>
      <c r="CO208" t="s">
        <v>539</v>
      </c>
      <c r="CT208" t="s">
        <v>576</v>
      </c>
      <c r="CW208" t="s">
        <v>546</v>
      </c>
      <c r="DD208" t="s">
        <v>561</v>
      </c>
      <c r="DK208" t="s">
        <v>1557</v>
      </c>
      <c r="DL208" t="s">
        <v>1558</v>
      </c>
    </row>
    <row r="209" ht="15" customHeight="1" spans="1:122">
      <c r="A209" t="s">
        <v>530</v>
      </c>
      <c r="B209" t="s">
        <v>1559</v>
      </c>
      <c r="C209" t="s">
        <v>532</v>
      </c>
      <c r="D209" t="s">
        <v>1396</v>
      </c>
      <c r="E209" t="s">
        <v>534</v>
      </c>
      <c r="F209" t="s">
        <v>534</v>
      </c>
      <c r="G209" t="s">
        <v>535</v>
      </c>
      <c r="H209" s="1">
        <v>743.2</v>
      </c>
      <c r="I209" s="1">
        <v>743.2</v>
      </c>
      <c r="J209" t="s">
        <v>536</v>
      </c>
      <c r="L209" t="s">
        <v>536</v>
      </c>
      <c r="M209" t="s">
        <v>375</v>
      </c>
      <c r="N209" t="s">
        <v>537</v>
      </c>
      <c r="P209" s="1">
        <v>743.2</v>
      </c>
      <c r="Q209" t="s">
        <v>580</v>
      </c>
      <c r="R209" t="s">
        <v>535</v>
      </c>
      <c r="S209" t="s">
        <v>539</v>
      </c>
      <c r="T209" s="2">
        <v>1</v>
      </c>
      <c r="U209" s="1">
        <v>743.2</v>
      </c>
      <c r="V209" s="1">
        <v>743.2</v>
      </c>
      <c r="X209" t="s">
        <v>540</v>
      </c>
      <c r="Z209" t="s">
        <v>541</v>
      </c>
      <c r="AA209" t="s">
        <v>542</v>
      </c>
      <c r="AB209" t="s">
        <v>543</v>
      </c>
      <c r="AC209" t="s">
        <v>544</v>
      </c>
      <c r="AD209" t="s">
        <v>545</v>
      </c>
      <c r="AE209" s="3">
        <v>1</v>
      </c>
      <c r="AF209" t="s">
        <v>97</v>
      </c>
      <c r="AG209" s="1">
        <v>743.2</v>
      </c>
      <c r="AI209" s="1">
        <v>743.2</v>
      </c>
      <c r="AJ209" s="1">
        <v>743.2</v>
      </c>
      <c r="AM209" s="1">
        <v>743.2</v>
      </c>
      <c r="AN209" t="s">
        <v>565</v>
      </c>
      <c r="AO209" t="s">
        <v>546</v>
      </c>
      <c r="AP209" t="s">
        <v>565</v>
      </c>
      <c r="AQ209" t="s">
        <v>548</v>
      </c>
      <c r="AS209" t="s">
        <v>375</v>
      </c>
      <c r="AX209" s="1">
        <v>743.2</v>
      </c>
      <c r="AY209" t="s">
        <v>546</v>
      </c>
      <c r="AZ209" t="s">
        <v>566</v>
      </c>
      <c r="BA209" s="1">
        <v>743.2</v>
      </c>
      <c r="BC209" t="s">
        <v>546</v>
      </c>
      <c r="BD209" s="1">
        <v>743.2</v>
      </c>
      <c r="BE209" t="s">
        <v>540</v>
      </c>
      <c r="BF209" s="1">
        <v>743.2</v>
      </c>
      <c r="BH209" s="1">
        <v>743.2</v>
      </c>
      <c r="BI209" t="s">
        <v>550</v>
      </c>
      <c r="BJ209" t="s">
        <v>570</v>
      </c>
      <c r="BK209" t="s">
        <v>552</v>
      </c>
      <c r="BL209" t="s">
        <v>552</v>
      </c>
      <c r="BM209" t="s">
        <v>1396</v>
      </c>
      <c r="BN209" t="s">
        <v>1560</v>
      </c>
      <c r="BO209" t="s">
        <v>1561</v>
      </c>
      <c r="BR209" t="s">
        <v>546</v>
      </c>
      <c r="BS209" s="1">
        <v>743.2</v>
      </c>
      <c r="BW209" t="s">
        <v>536</v>
      </c>
      <c r="BX209" s="1">
        <v>743.2</v>
      </c>
      <c r="BZ209" t="s">
        <v>535</v>
      </c>
      <c r="CA209" t="s">
        <v>546</v>
      </c>
      <c r="CB209" t="s">
        <v>1396</v>
      </c>
      <c r="CC209" t="s">
        <v>556</v>
      </c>
      <c r="CD209" t="s">
        <v>1099</v>
      </c>
      <c r="CE209" t="s">
        <v>1100</v>
      </c>
      <c r="CF209" t="s">
        <v>97</v>
      </c>
      <c r="CG209" s="4">
        <v>1</v>
      </c>
      <c r="CH209" t="s">
        <v>546</v>
      </c>
      <c r="CK209" t="s">
        <v>1556</v>
      </c>
      <c r="CL209" s="1">
        <v>743.2</v>
      </c>
      <c r="CN209" t="s">
        <v>535</v>
      </c>
      <c r="CO209" t="s">
        <v>539</v>
      </c>
      <c r="CT209" t="s">
        <v>576</v>
      </c>
      <c r="CW209" t="s">
        <v>546</v>
      </c>
      <c r="DD209" t="s">
        <v>561</v>
      </c>
      <c r="DK209" t="s">
        <v>1557</v>
      </c>
      <c r="DL209" t="s">
        <v>1558</v>
      </c>
    </row>
    <row r="210" ht="15" customHeight="1" spans="1:122">
      <c r="A210" t="s">
        <v>530</v>
      </c>
      <c r="B210" t="s">
        <v>1562</v>
      </c>
      <c r="C210" t="s">
        <v>532</v>
      </c>
      <c r="D210" t="s">
        <v>1396</v>
      </c>
      <c r="E210" t="s">
        <v>534</v>
      </c>
      <c r="F210" t="s">
        <v>534</v>
      </c>
      <c r="G210" t="s">
        <v>535</v>
      </c>
      <c r="H210" s="1">
        <v>4279</v>
      </c>
      <c r="I210" s="1">
        <v>4279</v>
      </c>
      <c r="J210" t="s">
        <v>536</v>
      </c>
      <c r="L210" t="s">
        <v>536</v>
      </c>
      <c r="M210" t="s">
        <v>377</v>
      </c>
      <c r="N210" t="s">
        <v>537</v>
      </c>
      <c r="P210" s="1">
        <v>4279</v>
      </c>
      <c r="Q210" t="s">
        <v>538</v>
      </c>
      <c r="R210" t="s">
        <v>535</v>
      </c>
      <c r="S210" t="s">
        <v>539</v>
      </c>
      <c r="T210" s="2">
        <v>1</v>
      </c>
      <c r="U210" s="1">
        <v>4279</v>
      </c>
      <c r="V210" s="1">
        <v>4279</v>
      </c>
      <c r="X210" t="s">
        <v>540</v>
      </c>
      <c r="Z210" t="s">
        <v>541</v>
      </c>
      <c r="AA210" t="s">
        <v>542</v>
      </c>
      <c r="AB210" t="s">
        <v>543</v>
      </c>
      <c r="AC210" t="s">
        <v>544</v>
      </c>
      <c r="AD210" t="s">
        <v>545</v>
      </c>
      <c r="AE210" s="3">
        <v>1</v>
      </c>
      <c r="AF210" t="s">
        <v>108</v>
      </c>
      <c r="AG210" s="1">
        <v>4279</v>
      </c>
      <c r="AI210" s="1">
        <v>4279</v>
      </c>
      <c r="AJ210" s="1">
        <v>4279</v>
      </c>
      <c r="AM210" s="1">
        <v>4279</v>
      </c>
      <c r="AN210" t="s">
        <v>643</v>
      </c>
      <c r="AO210" t="s">
        <v>546</v>
      </c>
      <c r="AP210" t="s">
        <v>643</v>
      </c>
      <c r="AQ210" t="s">
        <v>548</v>
      </c>
      <c r="AS210" t="s">
        <v>377</v>
      </c>
      <c r="AX210" s="1">
        <v>4279</v>
      </c>
      <c r="AY210" t="s">
        <v>546</v>
      </c>
      <c r="AZ210" t="s">
        <v>644</v>
      </c>
      <c r="BA210" s="1">
        <v>4279</v>
      </c>
      <c r="BC210" t="s">
        <v>546</v>
      </c>
      <c r="BD210" s="1">
        <v>4279</v>
      </c>
      <c r="BE210" t="s">
        <v>540</v>
      </c>
      <c r="BF210" s="1">
        <v>4279</v>
      </c>
      <c r="BH210" s="1">
        <v>4279</v>
      </c>
      <c r="BI210" t="s">
        <v>550</v>
      </c>
      <c r="BJ210" t="s">
        <v>551</v>
      </c>
      <c r="BK210" t="s">
        <v>551</v>
      </c>
      <c r="BL210" t="s">
        <v>552</v>
      </c>
      <c r="BM210" t="s">
        <v>1396</v>
      </c>
      <c r="BN210" t="s">
        <v>1563</v>
      </c>
      <c r="BO210" t="s">
        <v>1564</v>
      </c>
      <c r="BR210" t="s">
        <v>546</v>
      </c>
      <c r="BS210" s="1">
        <v>4279</v>
      </c>
      <c r="BW210" t="s">
        <v>536</v>
      </c>
      <c r="BX210" s="1">
        <v>4279</v>
      </c>
      <c r="BZ210" t="s">
        <v>535</v>
      </c>
      <c r="CA210" t="s">
        <v>546</v>
      </c>
      <c r="CB210" t="s">
        <v>1396</v>
      </c>
      <c r="CC210" t="s">
        <v>556</v>
      </c>
      <c r="CD210" t="s">
        <v>944</v>
      </c>
      <c r="CE210" t="s">
        <v>945</v>
      </c>
      <c r="CF210" t="s">
        <v>108</v>
      </c>
      <c r="CG210" s="4">
        <v>1</v>
      </c>
      <c r="CH210" t="s">
        <v>546</v>
      </c>
      <c r="CK210" t="s">
        <v>1565</v>
      </c>
      <c r="CL210" s="1">
        <v>4279</v>
      </c>
      <c r="CN210" t="s">
        <v>535</v>
      </c>
      <c r="CO210" t="s">
        <v>539</v>
      </c>
      <c r="CT210" t="s">
        <v>560</v>
      </c>
      <c r="CW210" t="s">
        <v>546</v>
      </c>
      <c r="DD210" t="s">
        <v>561</v>
      </c>
      <c r="DK210" t="s">
        <v>1566</v>
      </c>
      <c r="DL210" t="s">
        <v>1567</v>
      </c>
      <c r="DR210" t="s">
        <v>1568</v>
      </c>
    </row>
    <row r="211" ht="15" customHeight="1" spans="1:122">
      <c r="A211" t="s">
        <v>603</v>
      </c>
      <c r="B211" t="s">
        <v>1569</v>
      </c>
      <c r="C211" t="s">
        <v>532</v>
      </c>
      <c r="D211" t="s">
        <v>1244</v>
      </c>
      <c r="E211" t="s">
        <v>534</v>
      </c>
      <c r="F211" t="s">
        <v>534</v>
      </c>
      <c r="G211" t="s">
        <v>535</v>
      </c>
      <c r="H211" s="1">
        <v>19733</v>
      </c>
      <c r="I211" s="1">
        <v>19733</v>
      </c>
      <c r="J211" t="s">
        <v>536</v>
      </c>
      <c r="L211" t="s">
        <v>536</v>
      </c>
      <c r="M211" t="s">
        <v>371</v>
      </c>
      <c r="N211" t="s">
        <v>537</v>
      </c>
      <c r="P211" s="1">
        <v>19733</v>
      </c>
      <c r="Q211" t="s">
        <v>1060</v>
      </c>
      <c r="R211" t="s">
        <v>535</v>
      </c>
      <c r="S211" t="s">
        <v>539</v>
      </c>
      <c r="T211" s="2">
        <v>1</v>
      </c>
      <c r="U211" s="1">
        <v>19733</v>
      </c>
      <c r="V211" s="1">
        <v>19733</v>
      </c>
      <c r="X211" t="s">
        <v>540</v>
      </c>
      <c r="Z211" t="s">
        <v>541</v>
      </c>
      <c r="AA211" t="s">
        <v>542</v>
      </c>
      <c r="AB211" t="s">
        <v>543</v>
      </c>
      <c r="AC211" t="s">
        <v>608</v>
      </c>
      <c r="AE211" s="3">
        <v>1</v>
      </c>
      <c r="AG211" s="1">
        <v>19733</v>
      </c>
      <c r="AI211" s="1">
        <v>19733</v>
      </c>
      <c r="AJ211" s="1">
        <v>19733</v>
      </c>
      <c r="AM211" s="1">
        <v>19733</v>
      </c>
      <c r="AN211" t="s">
        <v>643</v>
      </c>
      <c r="AO211" t="s">
        <v>546</v>
      </c>
      <c r="AP211" t="s">
        <v>643</v>
      </c>
      <c r="AQ211" t="s">
        <v>548</v>
      </c>
      <c r="AS211" t="s">
        <v>371</v>
      </c>
      <c r="AX211" s="1">
        <v>19733</v>
      </c>
      <c r="AY211" t="s">
        <v>546</v>
      </c>
      <c r="AZ211" t="s">
        <v>644</v>
      </c>
      <c r="BA211" s="1">
        <v>19733</v>
      </c>
      <c r="BC211" t="s">
        <v>546</v>
      </c>
      <c r="BE211" t="s">
        <v>540</v>
      </c>
      <c r="BF211" s="1">
        <v>19733</v>
      </c>
      <c r="BH211" s="1">
        <v>19733</v>
      </c>
      <c r="BI211" t="s">
        <v>550</v>
      </c>
      <c r="BJ211" t="s">
        <v>551</v>
      </c>
      <c r="BK211" t="s">
        <v>551</v>
      </c>
      <c r="BL211" t="s">
        <v>552</v>
      </c>
      <c r="BM211" t="s">
        <v>1396</v>
      </c>
      <c r="BN211" t="s">
        <v>1570</v>
      </c>
      <c r="BO211" t="s">
        <v>1571</v>
      </c>
      <c r="BR211" t="s">
        <v>546</v>
      </c>
      <c r="BS211" s="1">
        <v>19733</v>
      </c>
      <c r="BW211" t="s">
        <v>536</v>
      </c>
      <c r="BX211" s="1">
        <v>19733</v>
      </c>
      <c r="BZ211" t="s">
        <v>535</v>
      </c>
      <c r="CA211" t="s">
        <v>546</v>
      </c>
      <c r="CB211" t="s">
        <v>1244</v>
      </c>
      <c r="CC211" t="s">
        <v>556</v>
      </c>
      <c r="CH211" t="s">
        <v>546</v>
      </c>
      <c r="CK211" t="s">
        <v>1572</v>
      </c>
      <c r="CL211" s="1">
        <v>19733</v>
      </c>
      <c r="CN211" t="s">
        <v>535</v>
      </c>
      <c r="CO211" t="s">
        <v>539</v>
      </c>
      <c r="CT211" t="s">
        <v>576</v>
      </c>
      <c r="CW211" t="s">
        <v>546</v>
      </c>
      <c r="DD211" t="s">
        <v>561</v>
      </c>
      <c r="DK211" t="s">
        <v>1573</v>
      </c>
      <c r="DL211" t="s">
        <v>1574</v>
      </c>
      <c r="DR211" t="s">
        <v>1575</v>
      </c>
    </row>
    <row r="212" ht="15" customHeight="1" spans="1:122">
      <c r="A212" t="s">
        <v>530</v>
      </c>
      <c r="B212" t="s">
        <v>1576</v>
      </c>
      <c r="C212" t="s">
        <v>532</v>
      </c>
      <c r="D212" t="s">
        <v>1396</v>
      </c>
      <c r="E212" t="s">
        <v>534</v>
      </c>
      <c r="F212" t="s">
        <v>534</v>
      </c>
      <c r="G212" t="s">
        <v>535</v>
      </c>
      <c r="H212" s="1">
        <v>7020</v>
      </c>
      <c r="I212" s="1">
        <v>7020</v>
      </c>
      <c r="J212" t="s">
        <v>536</v>
      </c>
      <c r="L212" t="s">
        <v>536</v>
      </c>
      <c r="M212" t="s">
        <v>380</v>
      </c>
      <c r="N212" t="s">
        <v>537</v>
      </c>
      <c r="P212" s="1">
        <v>7020</v>
      </c>
      <c r="Q212" t="s">
        <v>905</v>
      </c>
      <c r="R212" t="s">
        <v>535</v>
      </c>
      <c r="S212" t="s">
        <v>539</v>
      </c>
      <c r="T212" s="2">
        <v>1</v>
      </c>
      <c r="U212" s="1">
        <v>7020</v>
      </c>
      <c r="V212" s="1">
        <v>7020</v>
      </c>
      <c r="X212" t="s">
        <v>540</v>
      </c>
      <c r="Z212" t="s">
        <v>541</v>
      </c>
      <c r="AA212" t="s">
        <v>542</v>
      </c>
      <c r="AB212" t="s">
        <v>543</v>
      </c>
      <c r="AC212" t="s">
        <v>544</v>
      </c>
      <c r="AD212" t="s">
        <v>545</v>
      </c>
      <c r="AE212" s="3">
        <v>1</v>
      </c>
      <c r="AF212" t="s">
        <v>315</v>
      </c>
      <c r="AG212" s="1">
        <v>7020</v>
      </c>
      <c r="AI212" s="1">
        <v>7020</v>
      </c>
      <c r="AJ212" s="1">
        <v>7020</v>
      </c>
      <c r="AM212" s="1">
        <v>7020</v>
      </c>
      <c r="AN212" t="s">
        <v>536</v>
      </c>
      <c r="AO212" t="s">
        <v>546</v>
      </c>
      <c r="AP212" t="s">
        <v>547</v>
      </c>
      <c r="AQ212" t="s">
        <v>548</v>
      </c>
      <c r="AS212" t="s">
        <v>380</v>
      </c>
      <c r="AX212" s="1">
        <v>7020</v>
      </c>
      <c r="AY212" t="s">
        <v>546</v>
      </c>
      <c r="AZ212" t="s">
        <v>549</v>
      </c>
      <c r="BA212" s="1">
        <v>7020</v>
      </c>
      <c r="BC212" t="s">
        <v>546</v>
      </c>
      <c r="BD212" s="1">
        <v>7020</v>
      </c>
      <c r="BE212" t="s">
        <v>540</v>
      </c>
      <c r="BF212" s="1">
        <v>7020</v>
      </c>
      <c r="BH212" s="1">
        <v>7020</v>
      </c>
      <c r="BI212" t="s">
        <v>550</v>
      </c>
      <c r="BJ212" t="s">
        <v>551</v>
      </c>
      <c r="BK212" t="s">
        <v>551</v>
      </c>
      <c r="BL212" t="s">
        <v>552</v>
      </c>
      <c r="BM212" t="s">
        <v>1396</v>
      </c>
      <c r="BN212" t="s">
        <v>1577</v>
      </c>
      <c r="BO212" t="s">
        <v>1578</v>
      </c>
      <c r="BR212" t="s">
        <v>546</v>
      </c>
      <c r="BS212" s="1">
        <v>7020</v>
      </c>
      <c r="BW212" t="s">
        <v>536</v>
      </c>
      <c r="BX212" s="1">
        <v>7020</v>
      </c>
      <c r="BZ212" t="s">
        <v>535</v>
      </c>
      <c r="CA212" t="s">
        <v>546</v>
      </c>
      <c r="CB212" t="s">
        <v>1396</v>
      </c>
      <c r="CC212" t="s">
        <v>556</v>
      </c>
      <c r="CD212" t="s">
        <v>1579</v>
      </c>
      <c r="CE212" t="s">
        <v>1580</v>
      </c>
      <c r="CF212" t="s">
        <v>315</v>
      </c>
      <c r="CG212" s="4">
        <v>1</v>
      </c>
      <c r="CH212" t="s">
        <v>546</v>
      </c>
      <c r="CK212" t="s">
        <v>1581</v>
      </c>
      <c r="CL212" s="1">
        <v>7020</v>
      </c>
      <c r="CN212" t="s">
        <v>535</v>
      </c>
      <c r="CO212" t="s">
        <v>539</v>
      </c>
      <c r="CT212" t="s">
        <v>576</v>
      </c>
      <c r="CW212" t="s">
        <v>546</v>
      </c>
      <c r="DD212" t="s">
        <v>561</v>
      </c>
      <c r="DK212" t="s">
        <v>401</v>
      </c>
      <c r="DL212" t="s">
        <v>1582</v>
      </c>
    </row>
    <row r="213" ht="15" customHeight="1" spans="1:122">
      <c r="A213" t="s">
        <v>530</v>
      </c>
      <c r="B213" t="s">
        <v>1583</v>
      </c>
      <c r="C213" t="s">
        <v>532</v>
      </c>
      <c r="D213" t="s">
        <v>1440</v>
      </c>
      <c r="E213" t="s">
        <v>534</v>
      </c>
      <c r="F213" t="s">
        <v>534</v>
      </c>
      <c r="G213" t="s">
        <v>535</v>
      </c>
      <c r="H213" s="1">
        <v>4764</v>
      </c>
      <c r="I213" s="1">
        <v>4764</v>
      </c>
      <c r="J213" t="s">
        <v>536</v>
      </c>
      <c r="L213" t="s">
        <v>536</v>
      </c>
      <c r="M213" t="s">
        <v>371</v>
      </c>
      <c r="N213" t="s">
        <v>537</v>
      </c>
      <c r="P213" s="1">
        <v>4764</v>
      </c>
      <c r="Q213" t="s">
        <v>1060</v>
      </c>
      <c r="R213" t="s">
        <v>535</v>
      </c>
      <c r="S213" t="s">
        <v>539</v>
      </c>
      <c r="T213" s="2">
        <v>1</v>
      </c>
      <c r="U213" s="1">
        <v>4764</v>
      </c>
      <c r="V213" s="1">
        <v>4764</v>
      </c>
      <c r="X213" t="s">
        <v>540</v>
      </c>
      <c r="Z213" t="s">
        <v>541</v>
      </c>
      <c r="AA213" t="s">
        <v>542</v>
      </c>
      <c r="AB213" t="s">
        <v>934</v>
      </c>
      <c r="AC213" t="s">
        <v>544</v>
      </c>
      <c r="AD213" t="s">
        <v>545</v>
      </c>
      <c r="AE213" s="3">
        <v>1</v>
      </c>
      <c r="AF213" t="s">
        <v>99</v>
      </c>
      <c r="AG213" s="1">
        <v>4366</v>
      </c>
      <c r="AI213" s="1">
        <v>4764</v>
      </c>
      <c r="AJ213" s="1">
        <v>4366</v>
      </c>
      <c r="AM213" s="1">
        <v>4366</v>
      </c>
      <c r="AN213" t="s">
        <v>643</v>
      </c>
      <c r="AO213" t="s">
        <v>546</v>
      </c>
      <c r="AP213" t="s">
        <v>643</v>
      </c>
      <c r="AQ213" t="s">
        <v>548</v>
      </c>
      <c r="AS213" t="s">
        <v>371</v>
      </c>
      <c r="AX213" s="1">
        <v>4366</v>
      </c>
      <c r="AY213" t="s">
        <v>546</v>
      </c>
      <c r="AZ213" t="s">
        <v>644</v>
      </c>
      <c r="BA213" s="1">
        <v>4366</v>
      </c>
      <c r="BC213" t="s">
        <v>546</v>
      </c>
      <c r="BD213" s="1">
        <v>4366</v>
      </c>
      <c r="BE213" t="s">
        <v>540</v>
      </c>
      <c r="BF213" s="1">
        <v>4366</v>
      </c>
      <c r="BH213" s="1">
        <v>4366</v>
      </c>
      <c r="BI213" t="s">
        <v>550</v>
      </c>
      <c r="BJ213" t="s">
        <v>551</v>
      </c>
      <c r="BK213" t="s">
        <v>552</v>
      </c>
      <c r="BL213" t="s">
        <v>552</v>
      </c>
      <c r="BM213" t="s">
        <v>1396</v>
      </c>
      <c r="BN213" t="s">
        <v>1584</v>
      </c>
      <c r="BO213" t="s">
        <v>1585</v>
      </c>
      <c r="BR213" t="s">
        <v>546</v>
      </c>
      <c r="BS213" s="1">
        <v>4366</v>
      </c>
      <c r="BW213" t="s">
        <v>536</v>
      </c>
      <c r="BX213" s="1">
        <v>4366</v>
      </c>
      <c r="BZ213" t="s">
        <v>535</v>
      </c>
      <c r="CA213" t="s">
        <v>546</v>
      </c>
      <c r="CB213" t="s">
        <v>1440</v>
      </c>
      <c r="CC213" t="s">
        <v>556</v>
      </c>
      <c r="CD213" t="s">
        <v>1161</v>
      </c>
      <c r="CE213" t="s">
        <v>1162</v>
      </c>
      <c r="CF213" t="s">
        <v>99</v>
      </c>
      <c r="CG213" s="4">
        <v>1</v>
      </c>
      <c r="CH213" t="s">
        <v>546</v>
      </c>
      <c r="CK213" t="s">
        <v>1586</v>
      </c>
      <c r="CL213" s="1">
        <v>4366</v>
      </c>
      <c r="CN213" t="s">
        <v>535</v>
      </c>
      <c r="CO213" t="s">
        <v>539</v>
      </c>
      <c r="CT213" t="s">
        <v>576</v>
      </c>
      <c r="CW213" t="s">
        <v>546</v>
      </c>
      <c r="DD213" t="s">
        <v>561</v>
      </c>
      <c r="DK213" t="s">
        <v>1587</v>
      </c>
      <c r="DL213" t="s">
        <v>1588</v>
      </c>
      <c r="DR213" t="s">
        <v>1589</v>
      </c>
    </row>
    <row r="214" ht="15" customHeight="1" spans="1:122">
      <c r="AB214" t="s">
        <v>934</v>
      </c>
      <c r="AC214" t="s">
        <v>544</v>
      </c>
      <c r="AD214" t="s">
        <v>545</v>
      </c>
      <c r="AF214" t="s">
        <v>100</v>
      </c>
      <c r="AG214" s="1">
        <v>398</v>
      </c>
      <c r="AJ214" s="1">
        <v>398</v>
      </c>
      <c r="AM214" s="1">
        <v>398</v>
      </c>
      <c r="AN214" t="s">
        <v>643</v>
      </c>
      <c r="AP214" t="s">
        <v>643</v>
      </c>
      <c r="AX214" s="1">
        <v>398</v>
      </c>
      <c r="AZ214" t="s">
        <v>644</v>
      </c>
      <c r="BA214" s="1">
        <v>398</v>
      </c>
      <c r="BC214" t="s">
        <v>546</v>
      </c>
      <c r="BD214" s="1">
        <v>398</v>
      </c>
      <c r="BE214" t="s">
        <v>540</v>
      </c>
      <c r="BF214" s="1">
        <v>398</v>
      </c>
      <c r="BH214" s="1">
        <v>398</v>
      </c>
      <c r="BS214" s="1">
        <v>398</v>
      </c>
      <c r="BX214" s="1">
        <v>398</v>
      </c>
      <c r="CB214" t="s">
        <v>1440</v>
      </c>
      <c r="CC214" t="s">
        <v>556</v>
      </c>
      <c r="CD214" t="s">
        <v>922</v>
      </c>
      <c r="CE214" t="s">
        <v>923</v>
      </c>
      <c r="CF214" t="s">
        <v>100</v>
      </c>
      <c r="CG214" s="4">
        <v>1</v>
      </c>
      <c r="CL214" s="1">
        <v>398</v>
      </c>
      <c r="DD214" t="s">
        <v>561</v>
      </c>
    </row>
    <row r="215" ht="15" customHeight="1" spans="1:122">
      <c r="A215" t="s">
        <v>1590</v>
      </c>
      <c r="B215" t="s">
        <v>1591</v>
      </c>
      <c r="C215" t="s">
        <v>532</v>
      </c>
      <c r="D215" t="s">
        <v>1396</v>
      </c>
      <c r="E215" t="s">
        <v>534</v>
      </c>
      <c r="F215" t="s">
        <v>534</v>
      </c>
      <c r="G215" t="s">
        <v>535</v>
      </c>
      <c r="H215" s="1">
        <v>9847.7</v>
      </c>
      <c r="I215" s="1">
        <v>9847.7</v>
      </c>
      <c r="J215" t="s">
        <v>536</v>
      </c>
      <c r="L215" t="s">
        <v>536</v>
      </c>
      <c r="M215" t="s">
        <v>380</v>
      </c>
      <c r="N215" t="s">
        <v>369</v>
      </c>
      <c r="P215" s="1">
        <v>9847.7</v>
      </c>
      <c r="Q215" t="s">
        <v>606</v>
      </c>
      <c r="R215" t="s">
        <v>535</v>
      </c>
      <c r="S215" t="s">
        <v>539</v>
      </c>
      <c r="T215" s="2">
        <v>1</v>
      </c>
      <c r="U215" s="1">
        <v>9847.7</v>
      </c>
      <c r="V215" s="1">
        <v>9847.7</v>
      </c>
      <c r="X215" t="s">
        <v>540</v>
      </c>
      <c r="Z215" t="s">
        <v>541</v>
      </c>
      <c r="AA215" t="s">
        <v>542</v>
      </c>
      <c r="AB215" t="s">
        <v>543</v>
      </c>
      <c r="AC215" t="s">
        <v>544</v>
      </c>
      <c r="AD215" t="s">
        <v>545</v>
      </c>
      <c r="AE215" s="3">
        <v>1</v>
      </c>
      <c r="AF215" t="s">
        <v>316</v>
      </c>
      <c r="AG215" s="1">
        <v>3604</v>
      </c>
      <c r="AI215" s="1">
        <v>9847.7</v>
      </c>
      <c r="AJ215" s="1">
        <v>3604</v>
      </c>
      <c r="AM215" s="1">
        <v>3604</v>
      </c>
      <c r="AN215" t="s">
        <v>1592</v>
      </c>
      <c r="AO215" t="s">
        <v>546</v>
      </c>
      <c r="AP215" t="s">
        <v>1593</v>
      </c>
      <c r="AQ215" t="s">
        <v>548</v>
      </c>
      <c r="AS215" t="s">
        <v>380</v>
      </c>
      <c r="AX215" s="1">
        <v>3604</v>
      </c>
      <c r="AY215" t="s">
        <v>546</v>
      </c>
      <c r="AZ215" t="s">
        <v>1594</v>
      </c>
      <c r="BA215" s="1">
        <v>3604</v>
      </c>
      <c r="BC215" t="s">
        <v>546</v>
      </c>
      <c r="BD215" s="1">
        <v>3604</v>
      </c>
      <c r="BE215" t="s">
        <v>540</v>
      </c>
      <c r="BF215" s="1">
        <v>3604</v>
      </c>
      <c r="BH215" s="1">
        <v>3604</v>
      </c>
      <c r="BI215" t="s">
        <v>550</v>
      </c>
      <c r="BJ215" t="s">
        <v>606</v>
      </c>
      <c r="BK215" t="s">
        <v>606</v>
      </c>
      <c r="BL215" t="s">
        <v>552</v>
      </c>
      <c r="BM215" t="s">
        <v>1396</v>
      </c>
      <c r="BN215" t="s">
        <v>1595</v>
      </c>
      <c r="BO215" t="s">
        <v>1596</v>
      </c>
      <c r="BR215" t="s">
        <v>546</v>
      </c>
      <c r="BS215" s="1">
        <v>3604</v>
      </c>
      <c r="BW215" t="s">
        <v>536</v>
      </c>
      <c r="BX215" s="1">
        <v>3604</v>
      </c>
      <c r="BZ215" t="s">
        <v>535</v>
      </c>
      <c r="CA215" t="s">
        <v>546</v>
      </c>
      <c r="CB215" t="s">
        <v>1396</v>
      </c>
      <c r="CC215" t="s">
        <v>556</v>
      </c>
      <c r="CD215" t="s">
        <v>1597</v>
      </c>
      <c r="CE215" t="s">
        <v>1598</v>
      </c>
      <c r="CF215" t="s">
        <v>316</v>
      </c>
      <c r="CG215" s="4">
        <v>1</v>
      </c>
      <c r="CH215" t="s">
        <v>546</v>
      </c>
      <c r="CK215" t="s">
        <v>1599</v>
      </c>
      <c r="CL215" s="1">
        <v>3604</v>
      </c>
      <c r="CN215" t="s">
        <v>535</v>
      </c>
      <c r="CO215" t="s">
        <v>539</v>
      </c>
      <c r="CT215" t="s">
        <v>576</v>
      </c>
      <c r="CW215" t="s">
        <v>546</v>
      </c>
      <c r="DD215" t="s">
        <v>561</v>
      </c>
      <c r="DK215" t="s">
        <v>1600</v>
      </c>
    </row>
    <row r="216" ht="15" customHeight="1" spans="1:122">
      <c r="AB216" t="s">
        <v>543</v>
      </c>
      <c r="AC216" t="s">
        <v>544</v>
      </c>
      <c r="AD216" t="s">
        <v>545</v>
      </c>
      <c r="AF216" t="s">
        <v>316</v>
      </c>
      <c r="AG216" s="1">
        <v>1798.8</v>
      </c>
      <c r="AJ216" s="1">
        <v>1798.8</v>
      </c>
      <c r="AM216" s="1">
        <v>1798.8</v>
      </c>
      <c r="AN216" t="s">
        <v>1592</v>
      </c>
      <c r="AP216" t="s">
        <v>1593</v>
      </c>
      <c r="AX216" s="1">
        <v>1798.8</v>
      </c>
      <c r="AZ216" t="s">
        <v>1594</v>
      </c>
      <c r="BA216" s="1">
        <v>1798.8</v>
      </c>
      <c r="BC216" t="s">
        <v>546</v>
      </c>
      <c r="BD216" s="1">
        <v>1798.8</v>
      </c>
      <c r="BE216" t="s">
        <v>540</v>
      </c>
      <c r="BF216" s="1">
        <v>1798.8</v>
      </c>
      <c r="BH216" s="1">
        <v>1798.8</v>
      </c>
      <c r="BS216" s="1">
        <v>1798.8</v>
      </c>
      <c r="BX216" s="1">
        <v>1798.8</v>
      </c>
      <c r="CB216" t="s">
        <v>1396</v>
      </c>
      <c r="CC216" t="s">
        <v>556</v>
      </c>
      <c r="CD216" t="s">
        <v>1601</v>
      </c>
      <c r="CE216" t="s">
        <v>1602</v>
      </c>
      <c r="CF216" t="s">
        <v>316</v>
      </c>
      <c r="CG216" s="4">
        <v>2</v>
      </c>
      <c r="CL216" s="1">
        <v>1798.8</v>
      </c>
      <c r="DD216" t="s">
        <v>561</v>
      </c>
    </row>
    <row r="217" ht="15" customHeight="1" spans="1:122">
      <c r="AB217" t="s">
        <v>543</v>
      </c>
      <c r="AC217" t="s">
        <v>544</v>
      </c>
      <c r="AD217" t="s">
        <v>545</v>
      </c>
      <c r="AF217" t="s">
        <v>316</v>
      </c>
      <c r="AG217" s="1">
        <v>2249.5</v>
      </c>
      <c r="AJ217" s="1">
        <v>2249.5</v>
      </c>
      <c r="AM217" s="1">
        <v>2249.5</v>
      </c>
      <c r="AN217" t="s">
        <v>1592</v>
      </c>
      <c r="AP217" t="s">
        <v>1593</v>
      </c>
      <c r="AX217" s="1">
        <v>2249.5</v>
      </c>
      <c r="AZ217" t="s">
        <v>1594</v>
      </c>
      <c r="BA217" s="1">
        <v>2249.5</v>
      </c>
      <c r="BC217" t="s">
        <v>546</v>
      </c>
      <c r="BD217" s="1">
        <v>2249.5</v>
      </c>
      <c r="BE217" t="s">
        <v>540</v>
      </c>
      <c r="BF217" s="1">
        <v>2249.5</v>
      </c>
      <c r="BH217" s="1">
        <v>2249.5</v>
      </c>
      <c r="BS217" s="1">
        <v>2249.5</v>
      </c>
      <c r="BX217" s="1">
        <v>2249.5</v>
      </c>
      <c r="CB217" t="s">
        <v>1396</v>
      </c>
      <c r="CC217" t="s">
        <v>556</v>
      </c>
      <c r="CD217" t="s">
        <v>1603</v>
      </c>
      <c r="CE217" t="s">
        <v>1604</v>
      </c>
      <c r="CF217" t="s">
        <v>316</v>
      </c>
      <c r="CG217" s="4">
        <v>3</v>
      </c>
      <c r="CL217" s="1">
        <v>2249.5</v>
      </c>
      <c r="DD217" t="s">
        <v>561</v>
      </c>
    </row>
    <row r="218" ht="15" customHeight="1" spans="1:122">
      <c r="AB218" t="s">
        <v>543</v>
      </c>
      <c r="AC218" t="s">
        <v>544</v>
      </c>
      <c r="AD218" t="s">
        <v>545</v>
      </c>
      <c r="AF218" t="s">
        <v>316</v>
      </c>
      <c r="AG218" s="1">
        <v>2195.4</v>
      </c>
      <c r="AJ218" s="1">
        <v>2195.4</v>
      </c>
      <c r="AM218" s="1">
        <v>2195.4</v>
      </c>
      <c r="AN218" t="s">
        <v>1592</v>
      </c>
      <c r="AP218" t="s">
        <v>1593</v>
      </c>
      <c r="AX218" s="1">
        <v>2195.4</v>
      </c>
      <c r="AZ218" t="s">
        <v>1594</v>
      </c>
      <c r="BA218" s="1">
        <v>2195.4</v>
      </c>
      <c r="BC218" t="s">
        <v>546</v>
      </c>
      <c r="BD218" s="1">
        <v>2195.4</v>
      </c>
      <c r="BE218" t="s">
        <v>540</v>
      </c>
      <c r="BF218" s="1">
        <v>2195.4</v>
      </c>
      <c r="BH218" s="1">
        <v>2195.4</v>
      </c>
      <c r="BS218" s="1">
        <v>2195.4</v>
      </c>
      <c r="BX218" s="1">
        <v>2195.4</v>
      </c>
      <c r="CB218" t="s">
        <v>1396</v>
      </c>
      <c r="CC218" t="s">
        <v>556</v>
      </c>
      <c r="CD218" t="s">
        <v>788</v>
      </c>
      <c r="CE218" t="s">
        <v>789</v>
      </c>
      <c r="CF218" t="s">
        <v>316</v>
      </c>
      <c r="CG218" s="4">
        <v>4</v>
      </c>
      <c r="CL218" s="1">
        <v>2195.4</v>
      </c>
      <c r="DD218" t="s">
        <v>561</v>
      </c>
    </row>
    <row r="219" ht="15" customHeight="1" spans="1:122">
      <c r="A219" t="s">
        <v>530</v>
      </c>
      <c r="B219" t="s">
        <v>1605</v>
      </c>
      <c r="C219" t="s">
        <v>532</v>
      </c>
      <c r="D219" t="s">
        <v>1503</v>
      </c>
      <c r="E219" t="s">
        <v>534</v>
      </c>
      <c r="F219" t="s">
        <v>534</v>
      </c>
      <c r="G219" t="s">
        <v>535</v>
      </c>
      <c r="H219" s="1">
        <v>15392</v>
      </c>
      <c r="I219" s="1">
        <v>15392</v>
      </c>
      <c r="J219" t="s">
        <v>536</v>
      </c>
      <c r="L219" t="s">
        <v>536</v>
      </c>
      <c r="M219" t="s">
        <v>371</v>
      </c>
      <c r="N219" t="s">
        <v>537</v>
      </c>
      <c r="P219" s="1">
        <v>15392</v>
      </c>
      <c r="Q219" t="s">
        <v>1060</v>
      </c>
      <c r="R219" t="s">
        <v>535</v>
      </c>
      <c r="S219" t="s">
        <v>539</v>
      </c>
      <c r="T219" s="2">
        <v>1</v>
      </c>
      <c r="U219" s="1">
        <v>15392</v>
      </c>
      <c r="V219" s="1">
        <v>15392</v>
      </c>
      <c r="X219" t="s">
        <v>540</v>
      </c>
      <c r="Z219" t="s">
        <v>541</v>
      </c>
      <c r="AA219" t="s">
        <v>542</v>
      </c>
      <c r="AB219" t="s">
        <v>543</v>
      </c>
      <c r="AC219" t="s">
        <v>544</v>
      </c>
      <c r="AD219" t="s">
        <v>545</v>
      </c>
      <c r="AE219" s="3">
        <v>1</v>
      </c>
      <c r="AF219" t="s">
        <v>87</v>
      </c>
      <c r="AG219" s="1">
        <v>15392</v>
      </c>
      <c r="AI219" s="1">
        <v>15392</v>
      </c>
      <c r="AJ219" s="1">
        <v>15392</v>
      </c>
      <c r="AM219" s="1">
        <v>15392</v>
      </c>
      <c r="AN219" t="s">
        <v>1316</v>
      </c>
      <c r="AO219" t="s">
        <v>546</v>
      </c>
      <c r="AP219" t="s">
        <v>1317</v>
      </c>
      <c r="AQ219" t="s">
        <v>548</v>
      </c>
      <c r="AS219" t="s">
        <v>371</v>
      </c>
      <c r="AX219" s="1">
        <v>15392</v>
      </c>
      <c r="AY219" t="s">
        <v>546</v>
      </c>
      <c r="AZ219" t="s">
        <v>1318</v>
      </c>
      <c r="BA219" s="1">
        <v>15392</v>
      </c>
      <c r="BC219" t="s">
        <v>546</v>
      </c>
      <c r="BD219" s="1">
        <v>15392</v>
      </c>
      <c r="BE219" t="s">
        <v>540</v>
      </c>
      <c r="BF219" s="1">
        <v>15392</v>
      </c>
      <c r="BH219" s="1">
        <v>15392</v>
      </c>
      <c r="BI219" t="s">
        <v>550</v>
      </c>
      <c r="BJ219" t="s">
        <v>551</v>
      </c>
      <c r="BK219" t="s">
        <v>551</v>
      </c>
      <c r="BL219" t="s">
        <v>552</v>
      </c>
      <c r="BM219" t="s">
        <v>1396</v>
      </c>
      <c r="BN219" t="s">
        <v>1606</v>
      </c>
      <c r="BO219" t="s">
        <v>1607</v>
      </c>
      <c r="BR219" t="s">
        <v>546</v>
      </c>
      <c r="BS219" s="1">
        <v>15392</v>
      </c>
      <c r="BW219" t="s">
        <v>536</v>
      </c>
      <c r="BX219" s="1">
        <v>15392</v>
      </c>
      <c r="BZ219" t="s">
        <v>535</v>
      </c>
      <c r="CA219" t="s">
        <v>546</v>
      </c>
      <c r="CB219" t="s">
        <v>1503</v>
      </c>
      <c r="CC219" t="s">
        <v>556</v>
      </c>
      <c r="CD219" t="s">
        <v>1608</v>
      </c>
      <c r="CE219" t="s">
        <v>1609</v>
      </c>
      <c r="CF219" t="s">
        <v>87</v>
      </c>
      <c r="CG219" s="4">
        <v>1</v>
      </c>
      <c r="CH219" t="s">
        <v>546</v>
      </c>
      <c r="CK219" t="s">
        <v>1610</v>
      </c>
      <c r="CL219" s="1">
        <v>15392</v>
      </c>
      <c r="CN219" t="s">
        <v>535</v>
      </c>
      <c r="CO219" t="s">
        <v>539</v>
      </c>
      <c r="CT219" t="s">
        <v>576</v>
      </c>
      <c r="CW219" t="s">
        <v>546</v>
      </c>
      <c r="DD219" t="s">
        <v>561</v>
      </c>
      <c r="DK219" t="s">
        <v>1611</v>
      </c>
      <c r="DL219" t="s">
        <v>1574</v>
      </c>
    </row>
    <row r="220" ht="15" customHeight="1" spans="1:122">
      <c r="A220" t="s">
        <v>530</v>
      </c>
      <c r="B220" t="s">
        <v>1612</v>
      </c>
      <c r="C220" t="s">
        <v>532</v>
      </c>
      <c r="D220" t="s">
        <v>1396</v>
      </c>
      <c r="E220" t="s">
        <v>534</v>
      </c>
      <c r="F220" t="s">
        <v>534</v>
      </c>
      <c r="G220" t="s">
        <v>535</v>
      </c>
      <c r="H220" s="1">
        <v>2623.2</v>
      </c>
      <c r="I220" s="1">
        <v>2607.46</v>
      </c>
      <c r="J220" t="s">
        <v>536</v>
      </c>
      <c r="L220" t="s">
        <v>536</v>
      </c>
      <c r="M220" t="s">
        <v>375</v>
      </c>
      <c r="N220" t="s">
        <v>537</v>
      </c>
      <c r="P220" s="1">
        <v>2623.2</v>
      </c>
      <c r="Q220" t="s">
        <v>580</v>
      </c>
      <c r="R220" t="s">
        <v>535</v>
      </c>
      <c r="S220" t="s">
        <v>539</v>
      </c>
      <c r="T220" s="2">
        <v>1</v>
      </c>
      <c r="U220" s="1">
        <v>2623.2</v>
      </c>
      <c r="V220" s="1">
        <v>2607.46</v>
      </c>
      <c r="X220" t="s">
        <v>616</v>
      </c>
      <c r="Z220" t="s">
        <v>541</v>
      </c>
      <c r="AA220" t="s">
        <v>542</v>
      </c>
      <c r="AB220" t="s">
        <v>543</v>
      </c>
      <c r="AC220" t="s">
        <v>544</v>
      </c>
      <c r="AD220" t="s">
        <v>545</v>
      </c>
      <c r="AE220" s="3">
        <v>1</v>
      </c>
      <c r="AF220" t="s">
        <v>98</v>
      </c>
      <c r="AG220" s="1">
        <v>2623.2</v>
      </c>
      <c r="AI220" s="1">
        <v>2623.2</v>
      </c>
      <c r="AJ220" s="1">
        <v>2623.2</v>
      </c>
      <c r="AK220" s="1">
        <v>15.74</v>
      </c>
      <c r="AM220" s="1">
        <v>2607.46</v>
      </c>
      <c r="AN220" t="s">
        <v>536</v>
      </c>
      <c r="AO220" t="s">
        <v>546</v>
      </c>
      <c r="AP220" t="s">
        <v>547</v>
      </c>
      <c r="AQ220" t="s">
        <v>548</v>
      </c>
      <c r="AS220" t="s">
        <v>375</v>
      </c>
      <c r="AX220" s="1">
        <v>2623.2</v>
      </c>
      <c r="AY220" t="s">
        <v>546</v>
      </c>
      <c r="AZ220" t="s">
        <v>549</v>
      </c>
      <c r="BA220" s="1">
        <v>2623.2</v>
      </c>
      <c r="BC220" t="s">
        <v>546</v>
      </c>
      <c r="BD220" s="1">
        <v>2623.2</v>
      </c>
      <c r="BE220" t="s">
        <v>616</v>
      </c>
      <c r="BG220" s="1">
        <v>15.74</v>
      </c>
      <c r="BH220" s="1">
        <v>2607.46</v>
      </c>
      <c r="BI220" t="s">
        <v>550</v>
      </c>
      <c r="BJ220" t="s">
        <v>570</v>
      </c>
      <c r="BK220" t="s">
        <v>552</v>
      </c>
      <c r="BL220" t="s">
        <v>552</v>
      </c>
      <c r="BM220" t="s">
        <v>1396</v>
      </c>
      <c r="BN220" t="s">
        <v>1613</v>
      </c>
      <c r="BO220" t="s">
        <v>1614</v>
      </c>
      <c r="BR220" t="s">
        <v>546</v>
      </c>
      <c r="BS220" s="1">
        <v>2623.2</v>
      </c>
      <c r="BW220" t="s">
        <v>536</v>
      </c>
      <c r="BZ220" t="s">
        <v>535</v>
      </c>
      <c r="CA220" t="s">
        <v>546</v>
      </c>
      <c r="CB220" t="s">
        <v>1396</v>
      </c>
      <c r="CC220" t="s">
        <v>556</v>
      </c>
      <c r="CD220" t="s">
        <v>573</v>
      </c>
      <c r="CE220" t="s">
        <v>574</v>
      </c>
      <c r="CF220" t="s">
        <v>98</v>
      </c>
      <c r="CG220" s="4">
        <v>1</v>
      </c>
      <c r="CH220" t="s">
        <v>546</v>
      </c>
      <c r="CK220" t="s">
        <v>1615</v>
      </c>
      <c r="CN220" t="s">
        <v>535</v>
      </c>
      <c r="CO220" t="s">
        <v>539</v>
      </c>
      <c r="CT220" t="s">
        <v>576</v>
      </c>
      <c r="CW220" t="s">
        <v>546</v>
      </c>
      <c r="DD220" t="s">
        <v>561</v>
      </c>
      <c r="DK220" t="s">
        <v>1616</v>
      </c>
      <c r="DL220" t="s">
        <v>1617</v>
      </c>
    </row>
    <row r="221" ht="15" customHeight="1" spans="1:122">
      <c r="A221" t="s">
        <v>530</v>
      </c>
      <c r="B221" t="s">
        <v>1618</v>
      </c>
      <c r="C221" t="s">
        <v>532</v>
      </c>
      <c r="D221" t="s">
        <v>1396</v>
      </c>
      <c r="E221" t="s">
        <v>534</v>
      </c>
      <c r="F221" t="s">
        <v>534</v>
      </c>
      <c r="G221" t="s">
        <v>535</v>
      </c>
      <c r="H221" s="1">
        <v>655.8</v>
      </c>
      <c r="I221" s="1">
        <v>655.8</v>
      </c>
      <c r="J221" t="s">
        <v>536</v>
      </c>
      <c r="L221" t="s">
        <v>536</v>
      </c>
      <c r="M221" t="s">
        <v>375</v>
      </c>
      <c r="N221" t="s">
        <v>537</v>
      </c>
      <c r="P221" s="1">
        <v>655.8</v>
      </c>
      <c r="Q221" t="s">
        <v>580</v>
      </c>
      <c r="R221" t="s">
        <v>535</v>
      </c>
      <c r="S221" t="s">
        <v>539</v>
      </c>
      <c r="T221" s="2">
        <v>1</v>
      </c>
      <c r="U221" s="1">
        <v>655.8</v>
      </c>
      <c r="V221" s="1">
        <v>655.8</v>
      </c>
      <c r="X221" t="s">
        <v>616</v>
      </c>
      <c r="Z221" t="s">
        <v>541</v>
      </c>
      <c r="AA221" t="s">
        <v>542</v>
      </c>
      <c r="AB221" t="s">
        <v>543</v>
      </c>
      <c r="AC221" t="s">
        <v>544</v>
      </c>
      <c r="AD221" t="s">
        <v>545</v>
      </c>
      <c r="AE221" s="3">
        <v>1</v>
      </c>
      <c r="AF221" t="s">
        <v>98</v>
      </c>
      <c r="AG221" s="1">
        <v>655.8</v>
      </c>
      <c r="AI221" s="1">
        <v>655.8</v>
      </c>
      <c r="AJ221" s="1">
        <v>655.8</v>
      </c>
      <c r="AM221" s="1">
        <v>655.8</v>
      </c>
      <c r="AN221" t="s">
        <v>565</v>
      </c>
      <c r="AO221" t="s">
        <v>546</v>
      </c>
      <c r="AP221" t="s">
        <v>565</v>
      </c>
      <c r="AQ221" t="s">
        <v>548</v>
      </c>
      <c r="AS221" t="s">
        <v>375</v>
      </c>
      <c r="AX221" s="1">
        <v>655.8</v>
      </c>
      <c r="AY221" t="s">
        <v>546</v>
      </c>
      <c r="AZ221" t="s">
        <v>566</v>
      </c>
      <c r="BA221" s="1">
        <v>655.8</v>
      </c>
      <c r="BC221" t="s">
        <v>546</v>
      </c>
      <c r="BD221" s="1">
        <v>655.8</v>
      </c>
      <c r="BE221" t="s">
        <v>616</v>
      </c>
      <c r="BH221" s="1">
        <v>655.8</v>
      </c>
      <c r="BI221" t="s">
        <v>550</v>
      </c>
      <c r="BJ221" t="s">
        <v>570</v>
      </c>
      <c r="BK221" t="s">
        <v>570</v>
      </c>
      <c r="BL221" t="s">
        <v>552</v>
      </c>
      <c r="BM221" t="s">
        <v>1396</v>
      </c>
      <c r="BN221" t="s">
        <v>1619</v>
      </c>
      <c r="BO221" t="s">
        <v>1620</v>
      </c>
      <c r="BR221" t="s">
        <v>546</v>
      </c>
      <c r="BS221" s="1">
        <v>655.8</v>
      </c>
      <c r="BW221" t="s">
        <v>536</v>
      </c>
      <c r="BZ221" t="s">
        <v>535</v>
      </c>
      <c r="CA221" t="s">
        <v>546</v>
      </c>
      <c r="CB221" t="s">
        <v>1396</v>
      </c>
      <c r="CC221" t="s">
        <v>556</v>
      </c>
      <c r="CD221" t="s">
        <v>573</v>
      </c>
      <c r="CE221" t="s">
        <v>574</v>
      </c>
      <c r="CF221" t="s">
        <v>98</v>
      </c>
      <c r="CG221" s="4">
        <v>1</v>
      </c>
      <c r="CH221" t="s">
        <v>546</v>
      </c>
      <c r="CK221" t="s">
        <v>1615</v>
      </c>
      <c r="CN221" t="s">
        <v>535</v>
      </c>
      <c r="CO221" t="s">
        <v>539</v>
      </c>
      <c r="CT221" t="s">
        <v>576</v>
      </c>
      <c r="CW221" t="s">
        <v>546</v>
      </c>
      <c r="DD221" t="s">
        <v>561</v>
      </c>
      <c r="DK221" t="s">
        <v>1616</v>
      </c>
      <c r="DL221" t="s">
        <v>1617</v>
      </c>
    </row>
    <row r="222" ht="15" customHeight="1" spans="1:122">
      <c r="A222" t="s">
        <v>530</v>
      </c>
      <c r="B222" t="s">
        <v>1621</v>
      </c>
      <c r="C222" t="s">
        <v>532</v>
      </c>
      <c r="D222" t="s">
        <v>1396</v>
      </c>
      <c r="E222" t="s">
        <v>534</v>
      </c>
      <c r="F222" t="s">
        <v>534</v>
      </c>
      <c r="G222" t="s">
        <v>535</v>
      </c>
      <c r="H222" s="1">
        <v>4400</v>
      </c>
      <c r="I222" s="1">
        <v>4400</v>
      </c>
      <c r="J222" t="s">
        <v>536</v>
      </c>
      <c r="L222" t="s">
        <v>536</v>
      </c>
      <c r="M222" t="s">
        <v>382</v>
      </c>
      <c r="N222" t="s">
        <v>537</v>
      </c>
      <c r="P222" s="1">
        <v>4400</v>
      </c>
      <c r="Q222" t="s">
        <v>785</v>
      </c>
      <c r="R222" t="s">
        <v>535</v>
      </c>
      <c r="S222" t="s">
        <v>539</v>
      </c>
      <c r="T222" s="2">
        <v>1</v>
      </c>
      <c r="U222" s="1">
        <v>4400</v>
      </c>
      <c r="V222" s="1">
        <v>4400</v>
      </c>
      <c r="X222" t="s">
        <v>540</v>
      </c>
      <c r="Z222" t="s">
        <v>541</v>
      </c>
      <c r="AA222" t="s">
        <v>542</v>
      </c>
      <c r="AB222" t="s">
        <v>543</v>
      </c>
      <c r="AC222" t="s">
        <v>544</v>
      </c>
      <c r="AD222" t="s">
        <v>545</v>
      </c>
      <c r="AE222" s="3">
        <v>1</v>
      </c>
      <c r="AF222" t="s">
        <v>109</v>
      </c>
      <c r="AG222" s="1">
        <v>4400</v>
      </c>
      <c r="AI222" s="1">
        <v>4400</v>
      </c>
      <c r="AJ222" s="1">
        <v>4400</v>
      </c>
      <c r="AM222" s="1">
        <v>4400</v>
      </c>
      <c r="AN222" t="s">
        <v>643</v>
      </c>
      <c r="AO222" t="s">
        <v>546</v>
      </c>
      <c r="AP222" t="s">
        <v>643</v>
      </c>
      <c r="AQ222" t="s">
        <v>548</v>
      </c>
      <c r="AS222" t="s">
        <v>382</v>
      </c>
      <c r="AX222" s="1">
        <v>4400</v>
      </c>
      <c r="AY222" t="s">
        <v>546</v>
      </c>
      <c r="AZ222" t="s">
        <v>644</v>
      </c>
      <c r="BA222" s="1">
        <v>4400</v>
      </c>
      <c r="BC222" t="s">
        <v>546</v>
      </c>
      <c r="BD222" s="1">
        <v>4400</v>
      </c>
      <c r="BE222" t="s">
        <v>540</v>
      </c>
      <c r="BF222" s="1">
        <v>4400</v>
      </c>
      <c r="BH222" s="1">
        <v>4400</v>
      </c>
      <c r="BI222" t="s">
        <v>550</v>
      </c>
      <c r="BJ222" t="s">
        <v>785</v>
      </c>
      <c r="BK222" t="s">
        <v>785</v>
      </c>
      <c r="BL222" t="s">
        <v>552</v>
      </c>
      <c r="BM222" t="s">
        <v>1396</v>
      </c>
      <c r="BN222" t="s">
        <v>1622</v>
      </c>
      <c r="BO222" t="s">
        <v>1623</v>
      </c>
      <c r="BR222" t="s">
        <v>546</v>
      </c>
      <c r="BS222" s="1">
        <v>4400</v>
      </c>
      <c r="BW222" t="s">
        <v>536</v>
      </c>
      <c r="BX222" s="1">
        <v>4400</v>
      </c>
      <c r="BZ222" t="s">
        <v>535</v>
      </c>
      <c r="CA222" t="s">
        <v>546</v>
      </c>
      <c r="CB222" t="s">
        <v>1396</v>
      </c>
      <c r="CC222" t="s">
        <v>556</v>
      </c>
      <c r="CD222" t="s">
        <v>648</v>
      </c>
      <c r="CE222" t="s">
        <v>649</v>
      </c>
      <c r="CF222" t="s">
        <v>109</v>
      </c>
      <c r="CG222" s="4">
        <v>1</v>
      </c>
      <c r="CH222" t="s">
        <v>546</v>
      </c>
      <c r="CK222" t="s">
        <v>1624</v>
      </c>
      <c r="CL222" s="1">
        <v>4400</v>
      </c>
      <c r="CN222" t="s">
        <v>535</v>
      </c>
      <c r="CO222" t="s">
        <v>539</v>
      </c>
      <c r="CT222" t="s">
        <v>791</v>
      </c>
      <c r="CW222" t="s">
        <v>546</v>
      </c>
      <c r="DD222" t="s">
        <v>561</v>
      </c>
      <c r="DK222" t="s">
        <v>1625</v>
      </c>
      <c r="DL222" t="s">
        <v>1626</v>
      </c>
      <c r="DR222" t="s">
        <v>1627</v>
      </c>
    </row>
    <row r="223" ht="15" customHeight="1" spans="1:122">
      <c r="A223" t="s">
        <v>530</v>
      </c>
      <c r="B223" t="s">
        <v>1628</v>
      </c>
      <c r="C223" t="s">
        <v>532</v>
      </c>
      <c r="D223" t="s">
        <v>1396</v>
      </c>
      <c r="E223" t="s">
        <v>534</v>
      </c>
      <c r="F223" t="s">
        <v>534</v>
      </c>
      <c r="G223" t="s">
        <v>535</v>
      </c>
      <c r="H223" s="1">
        <v>898</v>
      </c>
      <c r="I223" s="1">
        <v>898</v>
      </c>
      <c r="J223" t="s">
        <v>536</v>
      </c>
      <c r="L223" t="s">
        <v>536</v>
      </c>
      <c r="M223" t="s">
        <v>380</v>
      </c>
      <c r="N223" t="s">
        <v>537</v>
      </c>
      <c r="P223" s="1">
        <v>898</v>
      </c>
      <c r="Q223" t="s">
        <v>970</v>
      </c>
      <c r="R223" t="s">
        <v>535</v>
      </c>
      <c r="S223" t="s">
        <v>539</v>
      </c>
      <c r="T223" s="2">
        <v>1</v>
      </c>
      <c r="U223" s="1">
        <v>898</v>
      </c>
      <c r="V223" s="1">
        <v>898</v>
      </c>
      <c r="X223" t="s">
        <v>540</v>
      </c>
      <c r="Z223" t="s">
        <v>541</v>
      </c>
      <c r="AA223" t="s">
        <v>542</v>
      </c>
      <c r="AB223" t="s">
        <v>543</v>
      </c>
      <c r="AC223" t="s">
        <v>544</v>
      </c>
      <c r="AD223" t="s">
        <v>545</v>
      </c>
      <c r="AE223" s="3">
        <v>1</v>
      </c>
      <c r="AF223" t="s">
        <v>110</v>
      </c>
      <c r="AG223" s="1">
        <v>898</v>
      </c>
      <c r="AI223" s="1">
        <v>898</v>
      </c>
      <c r="AJ223" s="1">
        <v>898</v>
      </c>
      <c r="AM223" s="1">
        <v>898</v>
      </c>
      <c r="AN223" t="s">
        <v>643</v>
      </c>
      <c r="AO223" t="s">
        <v>546</v>
      </c>
      <c r="AP223" t="s">
        <v>643</v>
      </c>
      <c r="AQ223" t="s">
        <v>548</v>
      </c>
      <c r="AS223" t="s">
        <v>380</v>
      </c>
      <c r="AX223" s="1">
        <v>898</v>
      </c>
      <c r="AY223" t="s">
        <v>546</v>
      </c>
      <c r="AZ223" t="s">
        <v>644</v>
      </c>
      <c r="BA223" s="1">
        <v>898</v>
      </c>
      <c r="BC223" t="s">
        <v>546</v>
      </c>
      <c r="BD223" s="1">
        <v>898</v>
      </c>
      <c r="BE223" t="s">
        <v>540</v>
      </c>
      <c r="BF223" s="1">
        <v>898</v>
      </c>
      <c r="BH223" s="1">
        <v>898</v>
      </c>
      <c r="BI223" t="s">
        <v>550</v>
      </c>
      <c r="BJ223" t="s">
        <v>551</v>
      </c>
      <c r="BK223" t="s">
        <v>551</v>
      </c>
      <c r="BL223" t="s">
        <v>552</v>
      </c>
      <c r="BM223" t="s">
        <v>1396</v>
      </c>
      <c r="BN223" t="s">
        <v>1629</v>
      </c>
      <c r="BO223" t="s">
        <v>1630</v>
      </c>
      <c r="BR223" t="s">
        <v>546</v>
      </c>
      <c r="BS223" s="1">
        <v>898</v>
      </c>
      <c r="BW223" t="s">
        <v>536</v>
      </c>
      <c r="BX223" s="1">
        <v>898</v>
      </c>
      <c r="BZ223" t="s">
        <v>535</v>
      </c>
      <c r="CA223" t="s">
        <v>546</v>
      </c>
      <c r="CB223" t="s">
        <v>1396</v>
      </c>
      <c r="CC223" t="s">
        <v>556</v>
      </c>
      <c r="CD223" t="s">
        <v>1108</v>
      </c>
      <c r="CE223" t="s">
        <v>1109</v>
      </c>
      <c r="CF223" t="s">
        <v>110</v>
      </c>
      <c r="CG223" s="4">
        <v>1</v>
      </c>
      <c r="CH223" t="s">
        <v>546</v>
      </c>
      <c r="CK223" t="s">
        <v>1631</v>
      </c>
      <c r="CL223" s="1">
        <v>898</v>
      </c>
      <c r="CN223" t="s">
        <v>535</v>
      </c>
      <c r="CO223" t="s">
        <v>539</v>
      </c>
      <c r="CT223" t="s">
        <v>576</v>
      </c>
      <c r="CW223" t="s">
        <v>546</v>
      </c>
      <c r="DD223" t="s">
        <v>561</v>
      </c>
      <c r="DK223" t="s">
        <v>1632</v>
      </c>
      <c r="DL223" t="s">
        <v>1633</v>
      </c>
      <c r="DR223" t="s">
        <v>1634</v>
      </c>
    </row>
    <row r="224" ht="15" customHeight="1" spans="1:122">
      <c r="A224" t="s">
        <v>530</v>
      </c>
      <c r="B224" t="s">
        <v>1635</v>
      </c>
      <c r="C224" t="s">
        <v>532</v>
      </c>
      <c r="D224" t="s">
        <v>1440</v>
      </c>
      <c r="E224" t="s">
        <v>534</v>
      </c>
      <c r="F224" t="s">
        <v>534</v>
      </c>
      <c r="G224" t="s">
        <v>535</v>
      </c>
      <c r="H224" s="1">
        <v>4481</v>
      </c>
      <c r="I224" s="1">
        <v>4481</v>
      </c>
      <c r="J224" t="s">
        <v>536</v>
      </c>
      <c r="L224" t="s">
        <v>536</v>
      </c>
      <c r="M224" t="s">
        <v>380</v>
      </c>
      <c r="N224" t="s">
        <v>537</v>
      </c>
      <c r="P224" s="1">
        <v>4481</v>
      </c>
      <c r="Q224" t="s">
        <v>970</v>
      </c>
      <c r="R224" t="s">
        <v>535</v>
      </c>
      <c r="S224" t="s">
        <v>539</v>
      </c>
      <c r="T224" s="2">
        <v>1</v>
      </c>
      <c r="U224" s="1">
        <v>4481</v>
      </c>
      <c r="V224" s="1">
        <v>4481</v>
      </c>
      <c r="X224" t="s">
        <v>540</v>
      </c>
      <c r="Z224" t="s">
        <v>541</v>
      </c>
      <c r="AA224" t="s">
        <v>542</v>
      </c>
      <c r="AB224" t="s">
        <v>543</v>
      </c>
      <c r="AC224" t="s">
        <v>544</v>
      </c>
      <c r="AD224" t="s">
        <v>545</v>
      </c>
      <c r="AE224" s="3">
        <v>1</v>
      </c>
      <c r="AF224" t="s">
        <v>102</v>
      </c>
      <c r="AG224" s="1">
        <v>4481</v>
      </c>
      <c r="AI224" s="1">
        <v>4481</v>
      </c>
      <c r="AJ224" s="1">
        <v>4481</v>
      </c>
      <c r="AM224" s="1">
        <v>4481</v>
      </c>
      <c r="AN224" t="s">
        <v>536</v>
      </c>
      <c r="AO224" t="s">
        <v>546</v>
      </c>
      <c r="AP224" t="s">
        <v>547</v>
      </c>
      <c r="AQ224" t="s">
        <v>548</v>
      </c>
      <c r="AS224" t="s">
        <v>380</v>
      </c>
      <c r="AX224" s="1">
        <v>4481</v>
      </c>
      <c r="AY224" t="s">
        <v>546</v>
      </c>
      <c r="AZ224" t="s">
        <v>549</v>
      </c>
      <c r="BA224" s="1">
        <v>4481</v>
      </c>
      <c r="BC224" t="s">
        <v>546</v>
      </c>
      <c r="BD224" s="1">
        <v>4481</v>
      </c>
      <c r="BE224" t="s">
        <v>540</v>
      </c>
      <c r="BF224" s="1">
        <v>4481</v>
      </c>
      <c r="BH224" s="1">
        <v>4481</v>
      </c>
      <c r="BI224" t="s">
        <v>550</v>
      </c>
      <c r="BJ224" t="s">
        <v>551</v>
      </c>
      <c r="BK224" t="s">
        <v>552</v>
      </c>
      <c r="BL224" t="s">
        <v>552</v>
      </c>
      <c r="BM224" t="s">
        <v>1396</v>
      </c>
      <c r="BN224" t="s">
        <v>1636</v>
      </c>
      <c r="BO224" t="s">
        <v>1637</v>
      </c>
      <c r="BR224" t="s">
        <v>546</v>
      </c>
      <c r="BS224" s="1">
        <v>4481</v>
      </c>
      <c r="BW224" t="s">
        <v>536</v>
      </c>
      <c r="BX224" s="1">
        <v>4481</v>
      </c>
      <c r="BZ224" t="s">
        <v>535</v>
      </c>
      <c r="CA224" t="s">
        <v>546</v>
      </c>
      <c r="CB224" t="s">
        <v>1440</v>
      </c>
      <c r="CC224" t="s">
        <v>556</v>
      </c>
      <c r="CD224" t="s">
        <v>757</v>
      </c>
      <c r="CE224" t="s">
        <v>758</v>
      </c>
      <c r="CF224" t="s">
        <v>102</v>
      </c>
      <c r="CG224" s="4">
        <v>1</v>
      </c>
      <c r="CH224" t="s">
        <v>546</v>
      </c>
      <c r="CK224" t="s">
        <v>1638</v>
      </c>
      <c r="CL224" s="1">
        <v>4481</v>
      </c>
      <c r="CN224" t="s">
        <v>535</v>
      </c>
      <c r="CO224" t="s">
        <v>539</v>
      </c>
      <c r="CT224" t="s">
        <v>576</v>
      </c>
      <c r="CW224" t="s">
        <v>546</v>
      </c>
      <c r="DD224" t="s">
        <v>561</v>
      </c>
      <c r="DK224" t="s">
        <v>1639</v>
      </c>
      <c r="DL224" t="s">
        <v>1640</v>
      </c>
    </row>
    <row r="225" ht="15" customHeight="1" spans="1:122">
      <c r="A225" t="s">
        <v>530</v>
      </c>
      <c r="B225" t="s">
        <v>1641</v>
      </c>
      <c r="C225" t="s">
        <v>532</v>
      </c>
      <c r="D225" t="s">
        <v>1440</v>
      </c>
      <c r="E225" t="s">
        <v>534</v>
      </c>
      <c r="F225" t="s">
        <v>534</v>
      </c>
      <c r="G225" t="s">
        <v>535</v>
      </c>
      <c r="H225" s="1">
        <v>7000</v>
      </c>
      <c r="I225" s="1">
        <v>7000</v>
      </c>
      <c r="J225" t="s">
        <v>536</v>
      </c>
      <c r="L225" t="s">
        <v>536</v>
      </c>
      <c r="M225" t="s">
        <v>376</v>
      </c>
      <c r="N225" t="s">
        <v>537</v>
      </c>
      <c r="P225" s="1">
        <v>7000</v>
      </c>
      <c r="Q225" t="s">
        <v>1105</v>
      </c>
      <c r="R225" t="s">
        <v>535</v>
      </c>
      <c r="S225" t="s">
        <v>539</v>
      </c>
      <c r="T225" s="2">
        <v>1</v>
      </c>
      <c r="U225" s="1">
        <v>7000</v>
      </c>
      <c r="V225" s="1">
        <v>7000</v>
      </c>
      <c r="X225" t="s">
        <v>540</v>
      </c>
      <c r="Z225" t="s">
        <v>541</v>
      </c>
      <c r="AA225" t="s">
        <v>542</v>
      </c>
      <c r="AB225" t="s">
        <v>543</v>
      </c>
      <c r="AC225" t="s">
        <v>544</v>
      </c>
      <c r="AD225" t="s">
        <v>545</v>
      </c>
      <c r="AE225" s="3">
        <v>1</v>
      </c>
      <c r="AF225" t="s">
        <v>96</v>
      </c>
      <c r="AG225" s="1">
        <v>7000</v>
      </c>
      <c r="AI225" s="1">
        <v>7000</v>
      </c>
      <c r="AJ225" s="1">
        <v>7000</v>
      </c>
      <c r="AM225" s="1">
        <v>7000</v>
      </c>
      <c r="AN225" t="s">
        <v>643</v>
      </c>
      <c r="AO225" t="s">
        <v>546</v>
      </c>
      <c r="AP225" t="s">
        <v>643</v>
      </c>
      <c r="AQ225" t="s">
        <v>548</v>
      </c>
      <c r="AS225" t="s">
        <v>376</v>
      </c>
      <c r="AX225" s="1">
        <v>7000</v>
      </c>
      <c r="AY225" t="s">
        <v>546</v>
      </c>
      <c r="AZ225" t="s">
        <v>644</v>
      </c>
      <c r="BA225" s="1">
        <v>7000</v>
      </c>
      <c r="BC225" t="s">
        <v>546</v>
      </c>
      <c r="BD225" s="1">
        <v>7000</v>
      </c>
      <c r="BE225" t="s">
        <v>540</v>
      </c>
      <c r="BF225" s="1">
        <v>7000</v>
      </c>
      <c r="BH225" s="1">
        <v>7000</v>
      </c>
      <c r="BI225" t="s">
        <v>550</v>
      </c>
      <c r="BJ225" t="s">
        <v>551</v>
      </c>
      <c r="BK225" t="s">
        <v>551</v>
      </c>
      <c r="BL225" t="s">
        <v>552</v>
      </c>
      <c r="BM225" t="s">
        <v>1396</v>
      </c>
      <c r="BN225" t="s">
        <v>1642</v>
      </c>
      <c r="BO225" t="s">
        <v>1643</v>
      </c>
      <c r="BR225" t="s">
        <v>546</v>
      </c>
      <c r="BS225" s="1">
        <v>7000</v>
      </c>
      <c r="BW225" t="s">
        <v>536</v>
      </c>
      <c r="BX225" s="1">
        <v>7000</v>
      </c>
      <c r="BZ225" t="s">
        <v>535</v>
      </c>
      <c r="CA225" t="s">
        <v>546</v>
      </c>
      <c r="CB225" t="s">
        <v>1440</v>
      </c>
      <c r="CC225" t="s">
        <v>556</v>
      </c>
      <c r="CD225" t="s">
        <v>1223</v>
      </c>
      <c r="CE225" t="s">
        <v>1224</v>
      </c>
      <c r="CF225" t="s">
        <v>96</v>
      </c>
      <c r="CG225" s="4">
        <v>1</v>
      </c>
      <c r="CH225" t="s">
        <v>546</v>
      </c>
      <c r="CK225" t="s">
        <v>1644</v>
      </c>
      <c r="CL225" s="1">
        <v>7000</v>
      </c>
      <c r="CN225" t="s">
        <v>535</v>
      </c>
      <c r="CO225" t="s">
        <v>539</v>
      </c>
      <c r="CT225" t="s">
        <v>576</v>
      </c>
      <c r="CW225" t="s">
        <v>546</v>
      </c>
      <c r="DD225" t="s">
        <v>561</v>
      </c>
      <c r="DK225" t="s">
        <v>1645</v>
      </c>
      <c r="DL225" t="s">
        <v>1646</v>
      </c>
      <c r="DR225" t="s">
        <v>1647</v>
      </c>
    </row>
    <row r="226" ht="15" customHeight="1" spans="1:122">
      <c r="A226" t="s">
        <v>603</v>
      </c>
      <c r="B226" t="s">
        <v>1648</v>
      </c>
      <c r="C226" t="s">
        <v>532</v>
      </c>
      <c r="D226" t="s">
        <v>1396</v>
      </c>
      <c r="E226" t="s">
        <v>534</v>
      </c>
      <c r="F226" t="s">
        <v>534</v>
      </c>
      <c r="G226" t="s">
        <v>535</v>
      </c>
      <c r="H226" s="1">
        <v>3000</v>
      </c>
      <c r="I226" s="1">
        <v>2982</v>
      </c>
      <c r="J226" t="s">
        <v>536</v>
      </c>
      <c r="L226" t="s">
        <v>536</v>
      </c>
      <c r="M226" t="s">
        <v>375</v>
      </c>
      <c r="N226" t="s">
        <v>537</v>
      </c>
      <c r="P226" s="1">
        <v>3000</v>
      </c>
      <c r="Q226" t="s">
        <v>580</v>
      </c>
      <c r="R226" t="s">
        <v>535</v>
      </c>
      <c r="S226" t="s">
        <v>539</v>
      </c>
      <c r="T226" s="2">
        <v>1</v>
      </c>
      <c r="U226" s="1">
        <v>3000</v>
      </c>
      <c r="V226" s="1">
        <v>2982</v>
      </c>
      <c r="X226" t="s">
        <v>540</v>
      </c>
      <c r="Z226" t="s">
        <v>541</v>
      </c>
      <c r="AA226" t="s">
        <v>542</v>
      </c>
      <c r="AB226" t="s">
        <v>543</v>
      </c>
      <c r="AC226" t="s">
        <v>608</v>
      </c>
      <c r="AE226" s="3">
        <v>1</v>
      </c>
      <c r="AG226" s="1">
        <v>3000</v>
      </c>
      <c r="AI226" s="1">
        <v>3000</v>
      </c>
      <c r="AJ226" s="1">
        <v>3000</v>
      </c>
      <c r="AK226" s="1">
        <v>18</v>
      </c>
      <c r="AM226" s="1">
        <v>2982</v>
      </c>
      <c r="AN226" t="s">
        <v>536</v>
      </c>
      <c r="AO226" t="s">
        <v>546</v>
      </c>
      <c r="AP226" t="s">
        <v>547</v>
      </c>
      <c r="AQ226" t="s">
        <v>548</v>
      </c>
      <c r="AS226" t="s">
        <v>375</v>
      </c>
      <c r="AX226" s="1">
        <v>3000</v>
      </c>
      <c r="AY226" t="s">
        <v>546</v>
      </c>
      <c r="AZ226" t="s">
        <v>549</v>
      </c>
      <c r="BA226" s="1">
        <v>3000</v>
      </c>
      <c r="BC226" t="s">
        <v>546</v>
      </c>
      <c r="BE226" t="s">
        <v>540</v>
      </c>
      <c r="BF226" s="1">
        <v>3000</v>
      </c>
      <c r="BG226" s="1">
        <v>18</v>
      </c>
      <c r="BH226" s="1">
        <v>2982</v>
      </c>
      <c r="BI226" t="s">
        <v>550</v>
      </c>
      <c r="BJ226" t="s">
        <v>570</v>
      </c>
      <c r="BK226" t="s">
        <v>552</v>
      </c>
      <c r="BL226" t="s">
        <v>552</v>
      </c>
      <c r="BM226" t="s">
        <v>1396</v>
      </c>
      <c r="BN226" t="s">
        <v>1649</v>
      </c>
      <c r="BO226" t="s">
        <v>1650</v>
      </c>
      <c r="BR226" t="s">
        <v>546</v>
      </c>
      <c r="BS226" s="1">
        <v>3000</v>
      </c>
      <c r="BW226" t="s">
        <v>536</v>
      </c>
      <c r="BX226" s="1">
        <v>3000</v>
      </c>
      <c r="BZ226" t="s">
        <v>535</v>
      </c>
      <c r="CA226" t="s">
        <v>546</v>
      </c>
      <c r="CB226" t="s">
        <v>1396</v>
      </c>
      <c r="CC226" t="s">
        <v>556</v>
      </c>
      <c r="CH226" t="s">
        <v>546</v>
      </c>
      <c r="CK226" t="s">
        <v>1651</v>
      </c>
      <c r="CL226" s="1">
        <v>3000</v>
      </c>
      <c r="CN226" t="s">
        <v>535</v>
      </c>
      <c r="CO226" t="s">
        <v>539</v>
      </c>
      <c r="CT226" t="s">
        <v>576</v>
      </c>
      <c r="CW226" t="s">
        <v>546</v>
      </c>
      <c r="DD226" t="s">
        <v>561</v>
      </c>
      <c r="DK226" t="s">
        <v>580</v>
      </c>
    </row>
    <row r="227" ht="15" customHeight="1" spans="1:122">
      <c r="A227" t="s">
        <v>530</v>
      </c>
      <c r="B227" t="s">
        <v>1652</v>
      </c>
      <c r="C227" t="s">
        <v>532</v>
      </c>
      <c r="D227" t="s">
        <v>1396</v>
      </c>
      <c r="E227" t="s">
        <v>534</v>
      </c>
      <c r="F227" t="s">
        <v>534</v>
      </c>
      <c r="G227" t="s">
        <v>535</v>
      </c>
      <c r="H227" s="1">
        <v>3395</v>
      </c>
      <c r="I227" s="1">
        <v>3395</v>
      </c>
      <c r="J227" t="s">
        <v>536</v>
      </c>
      <c r="L227" t="s">
        <v>536</v>
      </c>
      <c r="M227" t="s">
        <v>404</v>
      </c>
      <c r="N227" t="s">
        <v>537</v>
      </c>
      <c r="P227" s="1">
        <v>3395</v>
      </c>
      <c r="Q227" t="s">
        <v>642</v>
      </c>
      <c r="R227" t="s">
        <v>535</v>
      </c>
      <c r="S227" t="s">
        <v>539</v>
      </c>
      <c r="T227" s="2">
        <v>1</v>
      </c>
      <c r="U227" s="1">
        <v>3395</v>
      </c>
      <c r="V227" s="1">
        <v>3395</v>
      </c>
      <c r="X227" t="s">
        <v>540</v>
      </c>
      <c r="Z227" t="s">
        <v>541</v>
      </c>
      <c r="AA227" t="s">
        <v>542</v>
      </c>
      <c r="AB227" t="s">
        <v>543</v>
      </c>
      <c r="AC227" t="s">
        <v>544</v>
      </c>
      <c r="AD227" t="s">
        <v>545</v>
      </c>
      <c r="AE227" s="3">
        <v>1</v>
      </c>
      <c r="AF227" t="s">
        <v>106</v>
      </c>
      <c r="AG227" s="1">
        <v>3395</v>
      </c>
      <c r="AI227" s="1">
        <v>3395</v>
      </c>
      <c r="AJ227" s="1">
        <v>3395</v>
      </c>
      <c r="AM227" s="1">
        <v>3395</v>
      </c>
      <c r="AN227" t="s">
        <v>643</v>
      </c>
      <c r="AO227" t="s">
        <v>546</v>
      </c>
      <c r="AP227" t="s">
        <v>643</v>
      </c>
      <c r="AQ227" t="s">
        <v>548</v>
      </c>
      <c r="AS227" t="s">
        <v>404</v>
      </c>
      <c r="AX227" s="1">
        <v>3395</v>
      </c>
      <c r="AY227" t="s">
        <v>546</v>
      </c>
      <c r="AZ227" t="s">
        <v>644</v>
      </c>
      <c r="BA227" s="1">
        <v>3395</v>
      </c>
      <c r="BC227" t="s">
        <v>546</v>
      </c>
      <c r="BD227" s="1">
        <v>3395</v>
      </c>
      <c r="BE227" t="s">
        <v>540</v>
      </c>
      <c r="BF227" s="1">
        <v>3395</v>
      </c>
      <c r="BH227" s="1">
        <v>3395</v>
      </c>
      <c r="BI227" t="s">
        <v>550</v>
      </c>
      <c r="BJ227" t="s">
        <v>551</v>
      </c>
      <c r="BK227" t="s">
        <v>551</v>
      </c>
      <c r="BL227" t="s">
        <v>552</v>
      </c>
      <c r="BM227" t="s">
        <v>1396</v>
      </c>
      <c r="BN227" t="s">
        <v>1653</v>
      </c>
      <c r="BO227" t="s">
        <v>1654</v>
      </c>
      <c r="BR227" t="s">
        <v>546</v>
      </c>
      <c r="BS227" s="1">
        <v>3395</v>
      </c>
      <c r="BW227" t="s">
        <v>536</v>
      </c>
      <c r="BX227" s="1">
        <v>3395</v>
      </c>
      <c r="BZ227" t="s">
        <v>535</v>
      </c>
      <c r="CA227" t="s">
        <v>546</v>
      </c>
      <c r="CB227" t="s">
        <v>1396</v>
      </c>
      <c r="CC227" t="s">
        <v>556</v>
      </c>
      <c r="CD227" t="s">
        <v>745</v>
      </c>
      <c r="CE227" t="s">
        <v>746</v>
      </c>
      <c r="CF227" t="s">
        <v>106</v>
      </c>
      <c r="CG227" s="4">
        <v>1</v>
      </c>
      <c r="CH227" t="s">
        <v>546</v>
      </c>
      <c r="CK227" t="s">
        <v>1655</v>
      </c>
      <c r="CL227" s="1">
        <v>3395</v>
      </c>
      <c r="CN227" t="s">
        <v>535</v>
      </c>
      <c r="CO227" t="s">
        <v>539</v>
      </c>
      <c r="CT227" t="s">
        <v>651</v>
      </c>
      <c r="CW227" t="s">
        <v>546</v>
      </c>
      <c r="DD227" t="s">
        <v>561</v>
      </c>
      <c r="DK227" t="s">
        <v>1544</v>
      </c>
      <c r="DL227" t="s">
        <v>1545</v>
      </c>
      <c r="DR227" t="s">
        <v>1656</v>
      </c>
    </row>
    <row r="228" ht="15" customHeight="1" spans="1:122">
      <c r="A228" t="s">
        <v>603</v>
      </c>
      <c r="B228" t="s">
        <v>1657</v>
      </c>
      <c r="C228" t="s">
        <v>656</v>
      </c>
      <c r="D228" t="s">
        <v>1503</v>
      </c>
      <c r="E228" t="s">
        <v>534</v>
      </c>
      <c r="F228" t="s">
        <v>534</v>
      </c>
      <c r="G228" t="s">
        <v>535</v>
      </c>
      <c r="H228" s="1">
        <v>4039</v>
      </c>
      <c r="I228" s="1">
        <v>4039</v>
      </c>
      <c r="J228" t="s">
        <v>536</v>
      </c>
      <c r="L228" t="s">
        <v>536</v>
      </c>
      <c r="M228" t="s">
        <v>396</v>
      </c>
      <c r="N228" t="s">
        <v>657</v>
      </c>
      <c r="P228" s="1">
        <v>4039</v>
      </c>
      <c r="Q228" t="s">
        <v>658</v>
      </c>
      <c r="R228" t="s">
        <v>535</v>
      </c>
      <c r="S228" t="s">
        <v>539</v>
      </c>
      <c r="T228" s="2">
        <v>1</v>
      </c>
      <c r="U228" s="1">
        <v>4039</v>
      </c>
      <c r="V228" s="1">
        <v>4039</v>
      </c>
      <c r="X228" t="s">
        <v>616</v>
      </c>
      <c r="Z228" t="s">
        <v>541</v>
      </c>
      <c r="AA228" t="s">
        <v>542</v>
      </c>
      <c r="AB228" t="s">
        <v>543</v>
      </c>
      <c r="AC228" t="s">
        <v>608</v>
      </c>
      <c r="AE228" s="3">
        <v>1</v>
      </c>
      <c r="AG228" s="1">
        <v>4039</v>
      </c>
      <c r="AI228" s="1">
        <v>4039</v>
      </c>
      <c r="AJ228" s="1">
        <v>4039</v>
      </c>
      <c r="AM228" s="1">
        <v>4039</v>
      </c>
      <c r="AN228" t="s">
        <v>680</v>
      </c>
      <c r="AO228" t="s">
        <v>546</v>
      </c>
      <c r="AP228" t="s">
        <v>681</v>
      </c>
      <c r="AQ228" t="s">
        <v>548</v>
      </c>
      <c r="AS228" t="s">
        <v>396</v>
      </c>
      <c r="AX228" s="1">
        <v>4039</v>
      </c>
      <c r="AY228" t="s">
        <v>546</v>
      </c>
      <c r="AZ228" t="s">
        <v>682</v>
      </c>
      <c r="BA228" s="1">
        <v>4039</v>
      </c>
      <c r="BC228" t="s">
        <v>546</v>
      </c>
      <c r="BE228" t="s">
        <v>616</v>
      </c>
      <c r="BH228" s="1">
        <v>4039</v>
      </c>
      <c r="BI228" t="s">
        <v>550</v>
      </c>
      <c r="BJ228" t="s">
        <v>683</v>
      </c>
      <c r="BK228" t="s">
        <v>683</v>
      </c>
      <c r="BL228" t="s">
        <v>552</v>
      </c>
      <c r="BM228" t="s">
        <v>1503</v>
      </c>
      <c r="BN228" t="s">
        <v>1658</v>
      </c>
      <c r="BO228" t="s">
        <v>1659</v>
      </c>
      <c r="BR228" t="s">
        <v>546</v>
      </c>
      <c r="BS228" s="1">
        <v>4039</v>
      </c>
      <c r="BW228" t="s">
        <v>536</v>
      </c>
      <c r="BZ228" t="s">
        <v>535</v>
      </c>
      <c r="CA228" t="s">
        <v>546</v>
      </c>
      <c r="CB228" t="s">
        <v>1503</v>
      </c>
      <c r="CC228" t="s">
        <v>556</v>
      </c>
      <c r="CH228" t="s">
        <v>546</v>
      </c>
      <c r="CK228" t="s">
        <v>1660</v>
      </c>
      <c r="CN228" t="s">
        <v>535</v>
      </c>
      <c r="CO228" t="s">
        <v>539</v>
      </c>
      <c r="CT228" t="s">
        <v>1444</v>
      </c>
      <c r="CW228" t="s">
        <v>546</v>
      </c>
      <c r="DD228" t="s">
        <v>561</v>
      </c>
      <c r="DK228" t="s">
        <v>1445</v>
      </c>
    </row>
    <row r="229" ht="15" customHeight="1" spans="1:122">
      <c r="A229" t="s">
        <v>603</v>
      </c>
      <c r="B229" t="s">
        <v>1661</v>
      </c>
      <c r="C229" t="s">
        <v>656</v>
      </c>
      <c r="D229" t="s">
        <v>1503</v>
      </c>
      <c r="E229" t="s">
        <v>534</v>
      </c>
      <c r="F229" t="s">
        <v>534</v>
      </c>
      <c r="G229" t="s">
        <v>535</v>
      </c>
      <c r="H229" s="1">
        <v>6354</v>
      </c>
      <c r="I229" s="1">
        <v>6354</v>
      </c>
      <c r="J229" t="s">
        <v>536</v>
      </c>
      <c r="L229" t="s">
        <v>536</v>
      </c>
      <c r="M229" t="s">
        <v>397</v>
      </c>
      <c r="N229" t="s">
        <v>657</v>
      </c>
      <c r="P229" s="1">
        <v>6354</v>
      </c>
      <c r="Q229" t="s">
        <v>679</v>
      </c>
      <c r="R229" t="s">
        <v>535</v>
      </c>
      <c r="S229" t="s">
        <v>539</v>
      </c>
      <c r="T229" s="2">
        <v>1</v>
      </c>
      <c r="U229" s="1">
        <v>6354</v>
      </c>
      <c r="V229" s="1">
        <v>6354</v>
      </c>
      <c r="X229" t="s">
        <v>616</v>
      </c>
      <c r="Z229" t="s">
        <v>541</v>
      </c>
      <c r="AA229" t="s">
        <v>542</v>
      </c>
      <c r="AB229" t="s">
        <v>543</v>
      </c>
      <c r="AC229" t="s">
        <v>608</v>
      </c>
      <c r="AE229" s="3">
        <v>1</v>
      </c>
      <c r="AG229" s="1">
        <v>6354</v>
      </c>
      <c r="AI229" s="1">
        <v>6354</v>
      </c>
      <c r="AJ229" s="1">
        <v>6354</v>
      </c>
      <c r="AM229" s="1">
        <v>6354</v>
      </c>
      <c r="AN229" t="s">
        <v>680</v>
      </c>
      <c r="AO229" t="s">
        <v>546</v>
      </c>
      <c r="AP229" t="s">
        <v>681</v>
      </c>
      <c r="AQ229" t="s">
        <v>548</v>
      </c>
      <c r="AS229" t="s">
        <v>397</v>
      </c>
      <c r="AX229" s="1">
        <v>6354</v>
      </c>
      <c r="AY229" t="s">
        <v>546</v>
      </c>
      <c r="AZ229" t="s">
        <v>682</v>
      </c>
      <c r="BA229" s="1">
        <v>6354</v>
      </c>
      <c r="BC229" t="s">
        <v>546</v>
      </c>
      <c r="BE229" t="s">
        <v>616</v>
      </c>
      <c r="BH229" s="1">
        <v>6354</v>
      </c>
      <c r="BI229" t="s">
        <v>550</v>
      </c>
      <c r="BJ229" t="s">
        <v>683</v>
      </c>
      <c r="BK229" t="s">
        <v>683</v>
      </c>
      <c r="BL229" t="s">
        <v>552</v>
      </c>
      <c r="BM229" t="s">
        <v>1503</v>
      </c>
      <c r="BN229" t="s">
        <v>1662</v>
      </c>
      <c r="BO229" t="s">
        <v>1663</v>
      </c>
      <c r="BR229" t="s">
        <v>546</v>
      </c>
      <c r="BS229" s="1">
        <v>6354</v>
      </c>
      <c r="BW229" t="s">
        <v>536</v>
      </c>
      <c r="BZ229" t="s">
        <v>535</v>
      </c>
      <c r="CA229" t="s">
        <v>546</v>
      </c>
      <c r="CB229" t="s">
        <v>1503</v>
      </c>
      <c r="CC229" t="s">
        <v>556</v>
      </c>
      <c r="CH229" t="s">
        <v>546</v>
      </c>
      <c r="CK229" t="s">
        <v>1664</v>
      </c>
      <c r="CN229" t="s">
        <v>535</v>
      </c>
      <c r="CO229" t="s">
        <v>539</v>
      </c>
      <c r="CT229" t="s">
        <v>687</v>
      </c>
      <c r="CW229" t="s">
        <v>546</v>
      </c>
      <c r="DD229" t="s">
        <v>561</v>
      </c>
      <c r="DK229" t="s">
        <v>688</v>
      </c>
    </row>
    <row r="230" ht="15" customHeight="1" spans="1:122">
      <c r="A230" t="s">
        <v>530</v>
      </c>
      <c r="B230" t="s">
        <v>1665</v>
      </c>
      <c r="C230" t="s">
        <v>532</v>
      </c>
      <c r="D230" t="s">
        <v>1503</v>
      </c>
      <c r="E230" t="s">
        <v>534</v>
      </c>
      <c r="F230" t="s">
        <v>534</v>
      </c>
      <c r="G230" t="s">
        <v>535</v>
      </c>
      <c r="H230" s="1">
        <v>5100</v>
      </c>
      <c r="I230" s="1">
        <v>5100</v>
      </c>
      <c r="J230" t="s">
        <v>536</v>
      </c>
      <c r="L230" t="s">
        <v>536</v>
      </c>
      <c r="M230" t="s">
        <v>382</v>
      </c>
      <c r="N230" t="s">
        <v>537</v>
      </c>
      <c r="P230" s="1">
        <v>5100</v>
      </c>
      <c r="Q230" t="s">
        <v>785</v>
      </c>
      <c r="R230" t="s">
        <v>535</v>
      </c>
      <c r="S230" t="s">
        <v>539</v>
      </c>
      <c r="T230" s="2">
        <v>1</v>
      </c>
      <c r="U230" s="1">
        <v>5100</v>
      </c>
      <c r="V230" s="1">
        <v>5100</v>
      </c>
      <c r="X230" t="s">
        <v>540</v>
      </c>
      <c r="Z230" t="s">
        <v>541</v>
      </c>
      <c r="AA230" t="s">
        <v>542</v>
      </c>
      <c r="AB230" t="s">
        <v>543</v>
      </c>
      <c r="AC230" t="s">
        <v>544</v>
      </c>
      <c r="AD230" t="s">
        <v>545</v>
      </c>
      <c r="AE230" s="3">
        <v>1</v>
      </c>
      <c r="AF230" t="s">
        <v>112</v>
      </c>
      <c r="AG230" s="1">
        <v>5100</v>
      </c>
      <c r="AI230" s="1">
        <v>5100</v>
      </c>
      <c r="AJ230" s="1">
        <v>5100</v>
      </c>
      <c r="AM230" s="1">
        <v>5100</v>
      </c>
      <c r="AN230" t="s">
        <v>643</v>
      </c>
      <c r="AO230" t="s">
        <v>546</v>
      </c>
      <c r="AP230" t="s">
        <v>643</v>
      </c>
      <c r="AQ230" t="s">
        <v>548</v>
      </c>
      <c r="AS230" t="s">
        <v>382</v>
      </c>
      <c r="AX230" s="1">
        <v>5100</v>
      </c>
      <c r="AY230" t="s">
        <v>546</v>
      </c>
      <c r="AZ230" t="s">
        <v>644</v>
      </c>
      <c r="BA230" s="1">
        <v>5100</v>
      </c>
      <c r="BC230" t="s">
        <v>546</v>
      </c>
      <c r="BD230" s="1">
        <v>5100</v>
      </c>
      <c r="BE230" t="s">
        <v>540</v>
      </c>
      <c r="BF230" s="1">
        <v>5100</v>
      </c>
      <c r="BH230" s="1">
        <v>5100</v>
      </c>
      <c r="BI230" t="s">
        <v>550</v>
      </c>
      <c r="BJ230" t="s">
        <v>785</v>
      </c>
      <c r="BK230" t="s">
        <v>785</v>
      </c>
      <c r="BL230" t="s">
        <v>552</v>
      </c>
      <c r="BM230" t="s">
        <v>1503</v>
      </c>
      <c r="BN230" t="s">
        <v>1666</v>
      </c>
      <c r="BO230" t="s">
        <v>1667</v>
      </c>
      <c r="BR230" t="s">
        <v>546</v>
      </c>
      <c r="BS230" s="1">
        <v>5100</v>
      </c>
      <c r="BW230" t="s">
        <v>536</v>
      </c>
      <c r="BX230" s="1">
        <v>5100</v>
      </c>
      <c r="BZ230" t="s">
        <v>535</v>
      </c>
      <c r="CA230" t="s">
        <v>546</v>
      </c>
      <c r="CB230" t="s">
        <v>1503</v>
      </c>
      <c r="CC230" t="s">
        <v>556</v>
      </c>
      <c r="CD230" t="s">
        <v>1668</v>
      </c>
      <c r="CE230" t="s">
        <v>1669</v>
      </c>
      <c r="CF230" t="s">
        <v>112</v>
      </c>
      <c r="CG230" s="4">
        <v>1</v>
      </c>
      <c r="CH230" t="s">
        <v>546</v>
      </c>
      <c r="CK230" t="s">
        <v>1670</v>
      </c>
      <c r="CL230" s="1">
        <v>5100</v>
      </c>
      <c r="CN230" t="s">
        <v>535</v>
      </c>
      <c r="CO230" t="s">
        <v>539</v>
      </c>
      <c r="CT230" t="s">
        <v>791</v>
      </c>
      <c r="CW230" t="s">
        <v>546</v>
      </c>
      <c r="DD230" t="s">
        <v>561</v>
      </c>
      <c r="DK230" t="s">
        <v>1671</v>
      </c>
      <c r="DL230" t="s">
        <v>1672</v>
      </c>
      <c r="DR230" t="s">
        <v>1673</v>
      </c>
    </row>
    <row r="231" ht="15" customHeight="1" spans="1:122">
      <c r="A231" t="s">
        <v>530</v>
      </c>
      <c r="B231" t="s">
        <v>1674</v>
      </c>
      <c r="C231" t="s">
        <v>532</v>
      </c>
      <c r="D231" t="s">
        <v>1503</v>
      </c>
      <c r="E231" t="s">
        <v>534</v>
      </c>
      <c r="F231" t="s">
        <v>534</v>
      </c>
      <c r="G231" t="s">
        <v>535</v>
      </c>
      <c r="H231" s="1">
        <v>3958</v>
      </c>
      <c r="I231" s="1">
        <v>3958</v>
      </c>
      <c r="J231" t="s">
        <v>536</v>
      </c>
      <c r="L231" t="s">
        <v>536</v>
      </c>
      <c r="M231" t="s">
        <v>377</v>
      </c>
      <c r="N231" t="s">
        <v>537</v>
      </c>
      <c r="P231" s="1">
        <v>3958</v>
      </c>
      <c r="Q231" t="s">
        <v>538</v>
      </c>
      <c r="R231" t="s">
        <v>535</v>
      </c>
      <c r="S231" t="s">
        <v>539</v>
      </c>
      <c r="T231" s="2">
        <v>1</v>
      </c>
      <c r="U231" s="1">
        <v>3958</v>
      </c>
      <c r="V231" s="1">
        <v>3958</v>
      </c>
      <c r="X231" t="s">
        <v>540</v>
      </c>
      <c r="Z231" t="s">
        <v>541</v>
      </c>
      <c r="AA231" t="s">
        <v>542</v>
      </c>
      <c r="AB231" t="s">
        <v>543</v>
      </c>
      <c r="AC231" t="s">
        <v>544</v>
      </c>
      <c r="AD231" t="s">
        <v>545</v>
      </c>
      <c r="AE231" s="3">
        <v>1</v>
      </c>
      <c r="AF231" t="s">
        <v>114</v>
      </c>
      <c r="AG231" s="1">
        <v>3958</v>
      </c>
      <c r="AI231" s="1">
        <v>3958</v>
      </c>
      <c r="AJ231" s="1">
        <v>3958</v>
      </c>
      <c r="AM231" s="1">
        <v>3958</v>
      </c>
      <c r="AN231" t="s">
        <v>643</v>
      </c>
      <c r="AO231" t="s">
        <v>546</v>
      </c>
      <c r="AP231" t="s">
        <v>643</v>
      </c>
      <c r="AQ231" t="s">
        <v>548</v>
      </c>
      <c r="AS231" t="s">
        <v>377</v>
      </c>
      <c r="AX231" s="1">
        <v>3958</v>
      </c>
      <c r="AY231" t="s">
        <v>546</v>
      </c>
      <c r="AZ231" t="s">
        <v>644</v>
      </c>
      <c r="BA231" s="1">
        <v>3958</v>
      </c>
      <c r="BC231" t="s">
        <v>546</v>
      </c>
      <c r="BD231" s="1">
        <v>3958</v>
      </c>
      <c r="BE231" t="s">
        <v>540</v>
      </c>
      <c r="BF231" s="1">
        <v>3958</v>
      </c>
      <c r="BH231" s="1">
        <v>3958</v>
      </c>
      <c r="BI231" t="s">
        <v>550</v>
      </c>
      <c r="BJ231" t="s">
        <v>551</v>
      </c>
      <c r="BK231" t="s">
        <v>551</v>
      </c>
      <c r="BL231" t="s">
        <v>552</v>
      </c>
      <c r="BM231" t="s">
        <v>1503</v>
      </c>
      <c r="BN231" t="s">
        <v>1675</v>
      </c>
      <c r="BO231" t="s">
        <v>1676</v>
      </c>
      <c r="BR231" t="s">
        <v>546</v>
      </c>
      <c r="BS231" s="1">
        <v>3958</v>
      </c>
      <c r="BW231" t="s">
        <v>536</v>
      </c>
      <c r="BX231" s="1">
        <v>3958</v>
      </c>
      <c r="BZ231" t="s">
        <v>535</v>
      </c>
      <c r="CA231" t="s">
        <v>546</v>
      </c>
      <c r="CB231" t="s">
        <v>1503</v>
      </c>
      <c r="CC231" t="s">
        <v>556</v>
      </c>
      <c r="CD231" t="s">
        <v>622</v>
      </c>
      <c r="CE231" t="s">
        <v>623</v>
      </c>
      <c r="CF231" t="s">
        <v>114</v>
      </c>
      <c r="CG231" s="4">
        <v>1</v>
      </c>
      <c r="CH231" t="s">
        <v>546</v>
      </c>
      <c r="CK231" t="s">
        <v>1677</v>
      </c>
      <c r="CL231" s="1">
        <v>3958</v>
      </c>
      <c r="CN231" t="s">
        <v>535</v>
      </c>
      <c r="CO231" t="s">
        <v>539</v>
      </c>
      <c r="CT231" t="s">
        <v>560</v>
      </c>
      <c r="CW231" t="s">
        <v>546</v>
      </c>
      <c r="DD231" t="s">
        <v>561</v>
      </c>
      <c r="DK231" t="s">
        <v>1678</v>
      </c>
      <c r="DL231" t="s">
        <v>1679</v>
      </c>
      <c r="DR231" t="s">
        <v>1680</v>
      </c>
    </row>
    <row r="232" ht="15" customHeight="1" spans="1:122">
      <c r="A232" t="s">
        <v>530</v>
      </c>
      <c r="B232" t="s">
        <v>1681</v>
      </c>
      <c r="C232" t="s">
        <v>532</v>
      </c>
      <c r="D232" t="s">
        <v>1396</v>
      </c>
      <c r="E232" t="s">
        <v>534</v>
      </c>
      <c r="F232" t="s">
        <v>534</v>
      </c>
      <c r="G232" t="s">
        <v>535</v>
      </c>
      <c r="H232" s="1">
        <v>6440</v>
      </c>
      <c r="I232" s="1">
        <v>6440</v>
      </c>
      <c r="J232" t="s">
        <v>536</v>
      </c>
      <c r="L232" t="s">
        <v>536</v>
      </c>
      <c r="M232" t="s">
        <v>375</v>
      </c>
      <c r="N232" t="s">
        <v>537</v>
      </c>
      <c r="P232" s="1">
        <v>6440</v>
      </c>
      <c r="Q232" t="s">
        <v>580</v>
      </c>
      <c r="R232" t="s">
        <v>535</v>
      </c>
      <c r="S232" t="s">
        <v>539</v>
      </c>
      <c r="T232" s="2">
        <v>1</v>
      </c>
      <c r="U232" s="1">
        <v>6440</v>
      </c>
      <c r="V232" s="1">
        <v>6440</v>
      </c>
      <c r="X232" t="s">
        <v>540</v>
      </c>
      <c r="Z232" t="s">
        <v>541</v>
      </c>
      <c r="AA232" t="s">
        <v>542</v>
      </c>
      <c r="AB232" t="s">
        <v>543</v>
      </c>
      <c r="AC232" t="s">
        <v>544</v>
      </c>
      <c r="AD232" t="s">
        <v>545</v>
      </c>
      <c r="AE232" s="3">
        <v>1</v>
      </c>
      <c r="AF232" t="s">
        <v>111</v>
      </c>
      <c r="AG232" s="1">
        <v>6440</v>
      </c>
      <c r="AI232" s="1">
        <v>6440</v>
      </c>
      <c r="AJ232" s="1">
        <v>6440</v>
      </c>
      <c r="AM232" s="1">
        <v>6440</v>
      </c>
      <c r="AN232" t="s">
        <v>536</v>
      </c>
      <c r="AO232" t="s">
        <v>546</v>
      </c>
      <c r="AP232" t="s">
        <v>547</v>
      </c>
      <c r="AQ232" t="s">
        <v>548</v>
      </c>
      <c r="AS232" t="s">
        <v>375</v>
      </c>
      <c r="AX232" s="1">
        <v>6440</v>
      </c>
      <c r="AY232" t="s">
        <v>546</v>
      </c>
      <c r="AZ232" t="s">
        <v>549</v>
      </c>
      <c r="BA232" s="1">
        <v>6440</v>
      </c>
      <c r="BC232" t="s">
        <v>546</v>
      </c>
      <c r="BD232" s="1">
        <v>6440</v>
      </c>
      <c r="BE232" t="s">
        <v>540</v>
      </c>
      <c r="BF232" s="1">
        <v>6440</v>
      </c>
      <c r="BH232" s="1">
        <v>6440</v>
      </c>
      <c r="BI232" t="s">
        <v>550</v>
      </c>
      <c r="BJ232" t="s">
        <v>570</v>
      </c>
      <c r="BK232" t="s">
        <v>552</v>
      </c>
      <c r="BL232" t="s">
        <v>552</v>
      </c>
      <c r="BM232" t="s">
        <v>1503</v>
      </c>
      <c r="BN232" t="s">
        <v>1682</v>
      </c>
      <c r="BO232" t="s">
        <v>1683</v>
      </c>
      <c r="BR232" t="s">
        <v>546</v>
      </c>
      <c r="BS232" s="1">
        <v>6440</v>
      </c>
      <c r="BW232" t="s">
        <v>536</v>
      </c>
      <c r="BX232" s="1">
        <v>6440</v>
      </c>
      <c r="BZ232" t="s">
        <v>535</v>
      </c>
      <c r="CA232" t="s">
        <v>546</v>
      </c>
      <c r="CB232" t="s">
        <v>1396</v>
      </c>
      <c r="CC232" t="s">
        <v>556</v>
      </c>
      <c r="CD232" t="s">
        <v>1684</v>
      </c>
      <c r="CE232" t="s">
        <v>1685</v>
      </c>
      <c r="CF232" t="s">
        <v>111</v>
      </c>
      <c r="CG232" s="4">
        <v>1</v>
      </c>
      <c r="CH232" t="s">
        <v>546</v>
      </c>
      <c r="CK232" t="s">
        <v>1686</v>
      </c>
      <c r="CL232" s="1">
        <v>6440</v>
      </c>
      <c r="CN232" t="s">
        <v>535</v>
      </c>
      <c r="CO232" t="s">
        <v>539</v>
      </c>
      <c r="CT232" t="s">
        <v>576</v>
      </c>
      <c r="CW232" t="s">
        <v>546</v>
      </c>
      <c r="DD232" t="s">
        <v>561</v>
      </c>
      <c r="DK232" t="s">
        <v>1687</v>
      </c>
      <c r="DL232" t="s">
        <v>1688</v>
      </c>
    </row>
    <row r="233" ht="15" customHeight="1" spans="1:122">
      <c r="A233" t="s">
        <v>530</v>
      </c>
      <c r="B233" t="s">
        <v>1689</v>
      </c>
      <c r="C233" t="s">
        <v>532</v>
      </c>
      <c r="D233" t="s">
        <v>1503</v>
      </c>
      <c r="E233" t="s">
        <v>534</v>
      </c>
      <c r="F233" t="s">
        <v>534</v>
      </c>
      <c r="G233" t="s">
        <v>535</v>
      </c>
      <c r="H233" s="1">
        <v>1310</v>
      </c>
      <c r="I233" s="1">
        <v>1310</v>
      </c>
      <c r="J233" t="s">
        <v>536</v>
      </c>
      <c r="L233" t="s">
        <v>536</v>
      </c>
      <c r="M233" t="s">
        <v>377</v>
      </c>
      <c r="N233" t="s">
        <v>537</v>
      </c>
      <c r="P233" s="1">
        <v>1310</v>
      </c>
      <c r="Q233" t="s">
        <v>538</v>
      </c>
      <c r="R233" t="s">
        <v>535</v>
      </c>
      <c r="S233" t="s">
        <v>539</v>
      </c>
      <c r="T233" s="2">
        <v>1</v>
      </c>
      <c r="U233" s="1">
        <v>1310</v>
      </c>
      <c r="V233" s="1">
        <v>1310</v>
      </c>
      <c r="X233" t="s">
        <v>540</v>
      </c>
      <c r="Z233" t="s">
        <v>541</v>
      </c>
      <c r="AA233" t="s">
        <v>542</v>
      </c>
      <c r="AB233" t="s">
        <v>543</v>
      </c>
      <c r="AC233" t="s">
        <v>544</v>
      </c>
      <c r="AD233" t="s">
        <v>545</v>
      </c>
      <c r="AE233" s="3">
        <v>1</v>
      </c>
      <c r="AF233" t="s">
        <v>116</v>
      </c>
      <c r="AG233" s="1">
        <v>1310</v>
      </c>
      <c r="AI233" s="1">
        <v>1310</v>
      </c>
      <c r="AJ233" s="1">
        <v>1310</v>
      </c>
      <c r="AM233" s="1">
        <v>1310</v>
      </c>
      <c r="AN233" t="s">
        <v>643</v>
      </c>
      <c r="AO233" t="s">
        <v>546</v>
      </c>
      <c r="AP233" t="s">
        <v>643</v>
      </c>
      <c r="AQ233" t="s">
        <v>548</v>
      </c>
      <c r="AS233" t="s">
        <v>377</v>
      </c>
      <c r="AX233" s="1">
        <v>1310</v>
      </c>
      <c r="AY233" t="s">
        <v>546</v>
      </c>
      <c r="AZ233" t="s">
        <v>644</v>
      </c>
      <c r="BA233" s="1">
        <v>1310</v>
      </c>
      <c r="BC233" t="s">
        <v>546</v>
      </c>
      <c r="BD233" s="1">
        <v>1310</v>
      </c>
      <c r="BE233" t="s">
        <v>540</v>
      </c>
      <c r="BF233" s="1">
        <v>1310</v>
      </c>
      <c r="BH233" s="1">
        <v>1310</v>
      </c>
      <c r="BI233" t="s">
        <v>550</v>
      </c>
      <c r="BJ233" t="s">
        <v>551</v>
      </c>
      <c r="BK233" t="s">
        <v>551</v>
      </c>
      <c r="BL233" t="s">
        <v>552</v>
      </c>
      <c r="BM233" t="s">
        <v>1503</v>
      </c>
      <c r="BN233" t="s">
        <v>1690</v>
      </c>
      <c r="BO233" t="s">
        <v>1691</v>
      </c>
      <c r="BR233" t="s">
        <v>546</v>
      </c>
      <c r="BS233" s="1">
        <v>1310</v>
      </c>
      <c r="BW233" t="s">
        <v>536</v>
      </c>
      <c r="BX233" s="1">
        <v>1310</v>
      </c>
      <c r="BZ233" t="s">
        <v>535</v>
      </c>
      <c r="CA233" t="s">
        <v>546</v>
      </c>
      <c r="CB233" t="s">
        <v>1503</v>
      </c>
      <c r="CC233" t="s">
        <v>556</v>
      </c>
      <c r="CD233" t="s">
        <v>1197</v>
      </c>
      <c r="CE233" t="s">
        <v>1198</v>
      </c>
      <c r="CF233" t="s">
        <v>116</v>
      </c>
      <c r="CG233" s="4">
        <v>1</v>
      </c>
      <c r="CH233" t="s">
        <v>546</v>
      </c>
      <c r="CK233" t="s">
        <v>1692</v>
      </c>
      <c r="CL233" s="1">
        <v>1310</v>
      </c>
      <c r="CN233" t="s">
        <v>535</v>
      </c>
      <c r="CO233" t="s">
        <v>539</v>
      </c>
      <c r="CT233" t="s">
        <v>560</v>
      </c>
      <c r="CW233" t="s">
        <v>546</v>
      </c>
      <c r="DD233" t="s">
        <v>561</v>
      </c>
      <c r="DK233" t="s">
        <v>1693</v>
      </c>
      <c r="DL233" t="s">
        <v>1694</v>
      </c>
      <c r="DR233" t="s">
        <v>1695</v>
      </c>
    </row>
    <row r="234" ht="15" customHeight="1" spans="1:122">
      <c r="A234" t="s">
        <v>530</v>
      </c>
      <c r="B234" t="s">
        <v>1696</v>
      </c>
      <c r="C234" t="s">
        <v>532</v>
      </c>
      <c r="D234" t="s">
        <v>1503</v>
      </c>
      <c r="E234" t="s">
        <v>534</v>
      </c>
      <c r="F234" t="s">
        <v>534</v>
      </c>
      <c r="G234" t="s">
        <v>535</v>
      </c>
      <c r="H234" s="1">
        <v>2240</v>
      </c>
      <c r="I234" s="1">
        <v>2240</v>
      </c>
      <c r="J234" t="s">
        <v>536</v>
      </c>
      <c r="L234" t="s">
        <v>536</v>
      </c>
      <c r="M234" t="s">
        <v>375</v>
      </c>
      <c r="N234" t="s">
        <v>537</v>
      </c>
      <c r="P234" s="1">
        <v>2240</v>
      </c>
      <c r="Q234" t="s">
        <v>580</v>
      </c>
      <c r="R234" t="s">
        <v>535</v>
      </c>
      <c r="S234" t="s">
        <v>539</v>
      </c>
      <c r="T234" s="2">
        <v>1</v>
      </c>
      <c r="U234" s="1">
        <v>2240</v>
      </c>
      <c r="V234" s="1">
        <v>2240</v>
      </c>
      <c r="X234" t="s">
        <v>540</v>
      </c>
      <c r="Z234" t="s">
        <v>541</v>
      </c>
      <c r="AA234" t="s">
        <v>542</v>
      </c>
      <c r="AB234" t="s">
        <v>543</v>
      </c>
      <c r="AC234" t="s">
        <v>544</v>
      </c>
      <c r="AD234" t="s">
        <v>545</v>
      </c>
      <c r="AE234" s="3">
        <v>1</v>
      </c>
      <c r="AF234" t="s">
        <v>29</v>
      </c>
      <c r="AG234" s="1">
        <v>2240</v>
      </c>
      <c r="AI234" s="1">
        <v>2240</v>
      </c>
      <c r="AJ234" s="1">
        <v>2240</v>
      </c>
      <c r="AM234" s="1">
        <v>2240</v>
      </c>
      <c r="AN234" t="s">
        <v>1316</v>
      </c>
      <c r="AO234" t="s">
        <v>546</v>
      </c>
      <c r="AP234" t="s">
        <v>1317</v>
      </c>
      <c r="AQ234" t="s">
        <v>548</v>
      </c>
      <c r="AS234" t="s">
        <v>375</v>
      </c>
      <c r="AX234" s="1">
        <v>2240</v>
      </c>
      <c r="AY234" t="s">
        <v>546</v>
      </c>
      <c r="AZ234" t="s">
        <v>1318</v>
      </c>
      <c r="BA234" s="1">
        <v>2240</v>
      </c>
      <c r="BC234" t="s">
        <v>546</v>
      </c>
      <c r="BD234" s="1">
        <v>2240</v>
      </c>
      <c r="BE234" t="s">
        <v>540</v>
      </c>
      <c r="BF234" s="1">
        <v>2240</v>
      </c>
      <c r="BH234" s="1">
        <v>2240</v>
      </c>
      <c r="BI234" t="s">
        <v>550</v>
      </c>
      <c r="BJ234" t="s">
        <v>551</v>
      </c>
      <c r="BK234" t="s">
        <v>551</v>
      </c>
      <c r="BL234" t="s">
        <v>552</v>
      </c>
      <c r="BM234" t="s">
        <v>1503</v>
      </c>
      <c r="BN234" t="s">
        <v>1697</v>
      </c>
      <c r="BO234" t="s">
        <v>1698</v>
      </c>
      <c r="BR234" t="s">
        <v>546</v>
      </c>
      <c r="BS234" s="1">
        <v>2240</v>
      </c>
      <c r="BW234" t="s">
        <v>536</v>
      </c>
      <c r="BX234" s="1">
        <v>2240</v>
      </c>
      <c r="BZ234" t="s">
        <v>535</v>
      </c>
      <c r="CA234" t="s">
        <v>546</v>
      </c>
      <c r="CB234" t="s">
        <v>1503</v>
      </c>
      <c r="CC234" t="s">
        <v>556</v>
      </c>
      <c r="CD234" t="s">
        <v>633</v>
      </c>
      <c r="CE234" t="s">
        <v>634</v>
      </c>
      <c r="CF234" t="s">
        <v>29</v>
      </c>
      <c r="CG234" s="4">
        <v>1</v>
      </c>
      <c r="CH234" t="s">
        <v>546</v>
      </c>
      <c r="CK234" t="s">
        <v>1699</v>
      </c>
      <c r="CL234" s="1">
        <v>2240</v>
      </c>
      <c r="CN234" t="s">
        <v>535</v>
      </c>
      <c r="CO234" t="s">
        <v>539</v>
      </c>
      <c r="CT234" t="s">
        <v>576</v>
      </c>
      <c r="CW234" t="s">
        <v>546</v>
      </c>
      <c r="DD234" t="s">
        <v>561</v>
      </c>
      <c r="DK234" t="s">
        <v>636</v>
      </c>
      <c r="DL234" t="s">
        <v>637</v>
      </c>
    </row>
    <row r="235" ht="15" customHeight="1" spans="1:122">
      <c r="A235" t="s">
        <v>530</v>
      </c>
      <c r="B235" t="s">
        <v>1700</v>
      </c>
      <c r="C235" t="s">
        <v>532</v>
      </c>
      <c r="D235" t="s">
        <v>1503</v>
      </c>
      <c r="E235" t="s">
        <v>534</v>
      </c>
      <c r="F235" t="s">
        <v>534</v>
      </c>
      <c r="G235" t="s">
        <v>535</v>
      </c>
      <c r="H235" s="1">
        <v>560</v>
      </c>
      <c r="I235" s="1">
        <v>560</v>
      </c>
      <c r="J235" t="s">
        <v>536</v>
      </c>
      <c r="L235" t="s">
        <v>536</v>
      </c>
      <c r="M235" t="s">
        <v>375</v>
      </c>
      <c r="N235" t="s">
        <v>537</v>
      </c>
      <c r="P235" s="1">
        <v>560</v>
      </c>
      <c r="Q235" t="s">
        <v>580</v>
      </c>
      <c r="R235" t="s">
        <v>535</v>
      </c>
      <c r="S235" t="s">
        <v>539</v>
      </c>
      <c r="T235" s="2">
        <v>1</v>
      </c>
      <c r="U235" s="1">
        <v>560</v>
      </c>
      <c r="V235" s="1">
        <v>560</v>
      </c>
      <c r="X235" t="s">
        <v>540</v>
      </c>
      <c r="Z235" t="s">
        <v>541</v>
      </c>
      <c r="AA235" t="s">
        <v>542</v>
      </c>
      <c r="AB235" t="s">
        <v>543</v>
      </c>
      <c r="AC235" t="s">
        <v>544</v>
      </c>
      <c r="AD235" t="s">
        <v>545</v>
      </c>
      <c r="AE235" s="3">
        <v>1</v>
      </c>
      <c r="AF235" t="s">
        <v>29</v>
      </c>
      <c r="AG235" s="1">
        <v>560</v>
      </c>
      <c r="AI235" s="1">
        <v>560</v>
      </c>
      <c r="AJ235" s="1">
        <v>560</v>
      </c>
      <c r="AM235" s="1">
        <v>560</v>
      </c>
      <c r="AN235" t="s">
        <v>1316</v>
      </c>
      <c r="AO235" t="s">
        <v>546</v>
      </c>
      <c r="AP235" t="s">
        <v>1317</v>
      </c>
      <c r="AQ235" t="s">
        <v>548</v>
      </c>
      <c r="AS235" t="s">
        <v>375</v>
      </c>
      <c r="AX235" s="1">
        <v>560</v>
      </c>
      <c r="AY235" t="s">
        <v>546</v>
      </c>
      <c r="AZ235" t="s">
        <v>1318</v>
      </c>
      <c r="BA235" s="1">
        <v>560</v>
      </c>
      <c r="BC235" t="s">
        <v>546</v>
      </c>
      <c r="BD235" s="1">
        <v>560</v>
      </c>
      <c r="BE235" t="s">
        <v>540</v>
      </c>
      <c r="BF235" s="1">
        <v>560</v>
      </c>
      <c r="BH235" s="1">
        <v>560</v>
      </c>
      <c r="BI235" t="s">
        <v>550</v>
      </c>
      <c r="BJ235" t="s">
        <v>551</v>
      </c>
      <c r="BK235" t="s">
        <v>551</v>
      </c>
      <c r="BL235" t="s">
        <v>552</v>
      </c>
      <c r="BM235" t="s">
        <v>1503</v>
      </c>
      <c r="BN235" t="s">
        <v>1701</v>
      </c>
      <c r="BO235" t="s">
        <v>1702</v>
      </c>
      <c r="BR235" t="s">
        <v>546</v>
      </c>
      <c r="BS235" s="1">
        <v>560</v>
      </c>
      <c r="BW235" t="s">
        <v>536</v>
      </c>
      <c r="BX235" s="1">
        <v>560</v>
      </c>
      <c r="BZ235" t="s">
        <v>535</v>
      </c>
      <c r="CA235" t="s">
        <v>546</v>
      </c>
      <c r="CB235" t="s">
        <v>1503</v>
      </c>
      <c r="CC235" t="s">
        <v>556</v>
      </c>
      <c r="CD235" t="s">
        <v>633</v>
      </c>
      <c r="CE235" t="s">
        <v>634</v>
      </c>
      <c r="CF235" t="s">
        <v>29</v>
      </c>
      <c r="CG235" s="4">
        <v>1</v>
      </c>
      <c r="CH235" t="s">
        <v>546</v>
      </c>
      <c r="CK235" t="s">
        <v>1703</v>
      </c>
      <c r="CL235" s="1">
        <v>560</v>
      </c>
      <c r="CN235" t="s">
        <v>535</v>
      </c>
      <c r="CO235" t="s">
        <v>539</v>
      </c>
      <c r="CT235" t="s">
        <v>576</v>
      </c>
      <c r="CW235" t="s">
        <v>546</v>
      </c>
      <c r="DD235" t="s">
        <v>561</v>
      </c>
      <c r="DK235" t="s">
        <v>636</v>
      </c>
      <c r="DL235" t="s">
        <v>637</v>
      </c>
    </row>
    <row r="236" ht="15" customHeight="1" spans="1:122">
      <c r="A236" t="s">
        <v>530</v>
      </c>
      <c r="B236" t="s">
        <v>1704</v>
      </c>
      <c r="C236" t="s">
        <v>532</v>
      </c>
      <c r="D236" t="s">
        <v>1705</v>
      </c>
      <c r="E236" t="s">
        <v>534</v>
      </c>
      <c r="F236" t="s">
        <v>534</v>
      </c>
      <c r="G236" t="s">
        <v>535</v>
      </c>
      <c r="H236" s="1">
        <v>5032.8</v>
      </c>
      <c r="I236" s="1">
        <v>5002.6</v>
      </c>
      <c r="J236" t="s">
        <v>536</v>
      </c>
      <c r="L236" t="s">
        <v>536</v>
      </c>
      <c r="M236" t="s">
        <v>377</v>
      </c>
      <c r="N236" t="s">
        <v>537</v>
      </c>
      <c r="P236" s="1">
        <v>5032.8</v>
      </c>
      <c r="Q236" t="s">
        <v>538</v>
      </c>
      <c r="R236" t="s">
        <v>535</v>
      </c>
      <c r="S236" t="s">
        <v>539</v>
      </c>
      <c r="T236" s="2">
        <v>1</v>
      </c>
      <c r="U236" s="1">
        <v>5032.8</v>
      </c>
      <c r="V236" s="1">
        <v>5002.6</v>
      </c>
      <c r="X236" t="s">
        <v>540</v>
      </c>
      <c r="Z236" t="s">
        <v>541</v>
      </c>
      <c r="AA236" t="s">
        <v>542</v>
      </c>
      <c r="AB236" t="s">
        <v>543</v>
      </c>
      <c r="AC236" t="s">
        <v>544</v>
      </c>
      <c r="AD236" t="s">
        <v>545</v>
      </c>
      <c r="AE236" s="3">
        <v>1</v>
      </c>
      <c r="AF236" t="s">
        <v>115</v>
      </c>
      <c r="AG236" s="1">
        <v>5032.8</v>
      </c>
      <c r="AI236" s="1">
        <v>5032.8</v>
      </c>
      <c r="AJ236" s="1">
        <v>5032.8</v>
      </c>
      <c r="AK236" s="1">
        <v>30.2</v>
      </c>
      <c r="AM236" s="1">
        <v>5002.6</v>
      </c>
      <c r="AN236" t="s">
        <v>536</v>
      </c>
      <c r="AO236" t="s">
        <v>546</v>
      </c>
      <c r="AP236" t="s">
        <v>547</v>
      </c>
      <c r="AQ236" t="s">
        <v>548</v>
      </c>
      <c r="AS236" t="s">
        <v>377</v>
      </c>
      <c r="AX236" s="1">
        <v>5032.8</v>
      </c>
      <c r="AY236" t="s">
        <v>546</v>
      </c>
      <c r="AZ236" t="s">
        <v>549</v>
      </c>
      <c r="BA236" s="1">
        <v>5032.8</v>
      </c>
      <c r="BC236" t="s">
        <v>546</v>
      </c>
      <c r="BD236" s="1">
        <v>5032.8</v>
      </c>
      <c r="BE236" t="s">
        <v>540</v>
      </c>
      <c r="BF236" s="1">
        <v>5032.8</v>
      </c>
      <c r="BG236" s="1">
        <v>30.2</v>
      </c>
      <c r="BH236" s="1">
        <v>5002.6</v>
      </c>
      <c r="BI236" t="s">
        <v>550</v>
      </c>
      <c r="BJ236" t="s">
        <v>551</v>
      </c>
      <c r="BK236" t="s">
        <v>552</v>
      </c>
      <c r="BL236" t="s">
        <v>552</v>
      </c>
      <c r="BM236" t="s">
        <v>1503</v>
      </c>
      <c r="BN236" t="s">
        <v>1706</v>
      </c>
      <c r="BO236" t="s">
        <v>1707</v>
      </c>
      <c r="BR236" t="s">
        <v>546</v>
      </c>
      <c r="BS236" s="1">
        <v>5032.8</v>
      </c>
      <c r="BW236" t="s">
        <v>536</v>
      </c>
      <c r="BX236" s="1">
        <v>5032.8</v>
      </c>
      <c r="BZ236" t="s">
        <v>535</v>
      </c>
      <c r="CA236" t="s">
        <v>546</v>
      </c>
      <c r="CB236" t="s">
        <v>1705</v>
      </c>
      <c r="CC236" t="s">
        <v>556</v>
      </c>
      <c r="CD236" t="s">
        <v>1032</v>
      </c>
      <c r="CE236" t="s">
        <v>1033</v>
      </c>
      <c r="CF236" t="s">
        <v>115</v>
      </c>
      <c r="CG236" s="4">
        <v>1</v>
      </c>
      <c r="CH236" t="s">
        <v>546</v>
      </c>
      <c r="CK236" t="s">
        <v>1708</v>
      </c>
      <c r="CL236" s="1">
        <v>5032.8</v>
      </c>
      <c r="CN236" t="s">
        <v>535</v>
      </c>
      <c r="CO236" t="s">
        <v>539</v>
      </c>
      <c r="CT236" t="s">
        <v>560</v>
      </c>
      <c r="CW236" t="s">
        <v>546</v>
      </c>
      <c r="DD236" t="s">
        <v>561</v>
      </c>
      <c r="DK236" t="s">
        <v>1693</v>
      </c>
      <c r="DL236" t="s">
        <v>1694</v>
      </c>
    </row>
    <row r="237" ht="15" customHeight="1" spans="1:122">
      <c r="A237" t="s">
        <v>530</v>
      </c>
      <c r="B237" t="s">
        <v>1709</v>
      </c>
      <c r="C237" t="s">
        <v>532</v>
      </c>
      <c r="D237" t="s">
        <v>1705</v>
      </c>
      <c r="E237" t="s">
        <v>534</v>
      </c>
      <c r="F237" t="s">
        <v>534</v>
      </c>
      <c r="G237" t="s">
        <v>535</v>
      </c>
      <c r="H237" s="1">
        <v>1258.2</v>
      </c>
      <c r="I237" s="1">
        <v>1258.2</v>
      </c>
      <c r="J237" t="s">
        <v>536</v>
      </c>
      <c r="L237" t="s">
        <v>536</v>
      </c>
      <c r="M237" t="s">
        <v>377</v>
      </c>
      <c r="N237" t="s">
        <v>537</v>
      </c>
      <c r="P237" s="1">
        <v>1258.2</v>
      </c>
      <c r="Q237" t="s">
        <v>538</v>
      </c>
      <c r="R237" t="s">
        <v>535</v>
      </c>
      <c r="S237" t="s">
        <v>539</v>
      </c>
      <c r="T237" s="2">
        <v>1</v>
      </c>
      <c r="U237" s="1">
        <v>1258.2</v>
      </c>
      <c r="V237" s="1">
        <v>1258.2</v>
      </c>
      <c r="X237" t="s">
        <v>540</v>
      </c>
      <c r="Z237" t="s">
        <v>541</v>
      </c>
      <c r="AA237" t="s">
        <v>542</v>
      </c>
      <c r="AB237" t="s">
        <v>543</v>
      </c>
      <c r="AC237" t="s">
        <v>544</v>
      </c>
      <c r="AD237" t="s">
        <v>545</v>
      </c>
      <c r="AE237" s="3">
        <v>1</v>
      </c>
      <c r="AF237" t="s">
        <v>115</v>
      </c>
      <c r="AG237" s="1">
        <v>1258.2</v>
      </c>
      <c r="AI237" s="1">
        <v>1258.2</v>
      </c>
      <c r="AJ237" s="1">
        <v>1258.2</v>
      </c>
      <c r="AM237" s="1">
        <v>1258.2</v>
      </c>
      <c r="AN237" t="s">
        <v>565</v>
      </c>
      <c r="AO237" t="s">
        <v>546</v>
      </c>
      <c r="AP237" t="s">
        <v>565</v>
      </c>
      <c r="AQ237" t="s">
        <v>548</v>
      </c>
      <c r="AS237" t="s">
        <v>377</v>
      </c>
      <c r="AX237" s="1">
        <v>1258.2</v>
      </c>
      <c r="AY237" t="s">
        <v>546</v>
      </c>
      <c r="AZ237" t="s">
        <v>566</v>
      </c>
      <c r="BA237" s="1">
        <v>1258.2</v>
      </c>
      <c r="BC237" t="s">
        <v>546</v>
      </c>
      <c r="BD237" s="1">
        <v>1258.2</v>
      </c>
      <c r="BE237" t="s">
        <v>540</v>
      </c>
      <c r="BF237" s="1">
        <v>1258.2</v>
      </c>
      <c r="BH237" s="1">
        <v>1258.2</v>
      </c>
      <c r="BI237" t="s">
        <v>550</v>
      </c>
      <c r="BJ237" t="s">
        <v>551</v>
      </c>
      <c r="BK237" t="s">
        <v>551</v>
      </c>
      <c r="BL237" t="s">
        <v>552</v>
      </c>
      <c r="BM237" t="s">
        <v>1503</v>
      </c>
      <c r="BN237" t="s">
        <v>1710</v>
      </c>
      <c r="BO237" t="s">
        <v>1711</v>
      </c>
      <c r="BR237" t="s">
        <v>546</v>
      </c>
      <c r="BS237" s="1">
        <v>1258.2</v>
      </c>
      <c r="BW237" t="s">
        <v>536</v>
      </c>
      <c r="BX237" s="1">
        <v>1258.2</v>
      </c>
      <c r="BZ237" t="s">
        <v>535</v>
      </c>
      <c r="CA237" t="s">
        <v>546</v>
      </c>
      <c r="CB237" t="s">
        <v>1705</v>
      </c>
      <c r="CC237" t="s">
        <v>556</v>
      </c>
      <c r="CD237" t="s">
        <v>1032</v>
      </c>
      <c r="CE237" t="s">
        <v>1033</v>
      </c>
      <c r="CF237" t="s">
        <v>115</v>
      </c>
      <c r="CG237" s="4">
        <v>1</v>
      </c>
      <c r="CH237" t="s">
        <v>546</v>
      </c>
      <c r="CK237" t="s">
        <v>1708</v>
      </c>
      <c r="CL237" s="1">
        <v>1258.2</v>
      </c>
      <c r="CN237" t="s">
        <v>535</v>
      </c>
      <c r="CO237" t="s">
        <v>539</v>
      </c>
      <c r="CT237" t="s">
        <v>560</v>
      </c>
      <c r="CW237" t="s">
        <v>546</v>
      </c>
      <c r="DD237" t="s">
        <v>561</v>
      </c>
      <c r="DK237" t="s">
        <v>1693</v>
      </c>
      <c r="DL237" t="s">
        <v>1694</v>
      </c>
    </row>
    <row r="238" ht="15" customHeight="1" spans="1:122">
      <c r="A238" t="s">
        <v>530</v>
      </c>
      <c r="B238" t="s">
        <v>1712</v>
      </c>
      <c r="C238" t="s">
        <v>532</v>
      </c>
      <c r="D238" t="s">
        <v>1503</v>
      </c>
      <c r="E238" t="s">
        <v>534</v>
      </c>
      <c r="F238" t="s">
        <v>534</v>
      </c>
      <c r="G238" t="s">
        <v>535</v>
      </c>
      <c r="H238" s="1">
        <v>11629.8</v>
      </c>
      <c r="I238" s="1">
        <v>11629.8</v>
      </c>
      <c r="J238" t="s">
        <v>536</v>
      </c>
      <c r="L238" t="s">
        <v>536</v>
      </c>
      <c r="M238" t="s">
        <v>380</v>
      </c>
      <c r="N238" t="s">
        <v>369</v>
      </c>
      <c r="P238" s="1">
        <v>11629.8</v>
      </c>
      <c r="Q238" t="s">
        <v>996</v>
      </c>
      <c r="R238" t="s">
        <v>535</v>
      </c>
      <c r="S238" t="s">
        <v>539</v>
      </c>
      <c r="T238" s="2">
        <v>1</v>
      </c>
      <c r="U238" s="1">
        <v>11629.8</v>
      </c>
      <c r="V238" s="1">
        <v>11629.8</v>
      </c>
      <c r="X238" t="s">
        <v>540</v>
      </c>
      <c r="Z238" t="s">
        <v>541</v>
      </c>
      <c r="AA238" t="s">
        <v>542</v>
      </c>
      <c r="AB238" t="s">
        <v>543</v>
      </c>
      <c r="AC238" t="s">
        <v>544</v>
      </c>
      <c r="AD238" t="s">
        <v>545</v>
      </c>
      <c r="AE238" s="3">
        <v>1</v>
      </c>
      <c r="AF238" t="s">
        <v>318</v>
      </c>
      <c r="AG238" s="1">
        <v>4885.4</v>
      </c>
      <c r="AI238" s="1">
        <v>11629.8</v>
      </c>
      <c r="AJ238" s="1">
        <v>4885.4</v>
      </c>
      <c r="AM238" s="1">
        <v>4885.4</v>
      </c>
      <c r="AN238" t="s">
        <v>536</v>
      </c>
      <c r="AO238" t="s">
        <v>546</v>
      </c>
      <c r="AP238" t="s">
        <v>547</v>
      </c>
      <c r="AQ238" t="s">
        <v>548</v>
      </c>
      <c r="AS238" t="s">
        <v>380</v>
      </c>
      <c r="AX238" s="1">
        <v>4885.4</v>
      </c>
      <c r="AY238" t="s">
        <v>546</v>
      </c>
      <c r="AZ238" t="s">
        <v>549</v>
      </c>
      <c r="BA238" s="1">
        <v>4885.4</v>
      </c>
      <c r="BC238" t="s">
        <v>546</v>
      </c>
      <c r="BD238" s="1">
        <v>4885.4</v>
      </c>
      <c r="BE238" t="s">
        <v>540</v>
      </c>
      <c r="BF238" s="1">
        <v>4885.4</v>
      </c>
      <c r="BH238" s="1">
        <v>4885.4</v>
      </c>
      <c r="BI238" t="s">
        <v>550</v>
      </c>
      <c r="BJ238" t="s">
        <v>551</v>
      </c>
      <c r="BK238" t="s">
        <v>551</v>
      </c>
      <c r="BL238" t="s">
        <v>552</v>
      </c>
      <c r="BM238" t="s">
        <v>1503</v>
      </c>
      <c r="BN238" t="s">
        <v>1713</v>
      </c>
      <c r="BO238" t="s">
        <v>1714</v>
      </c>
      <c r="BR238" t="s">
        <v>546</v>
      </c>
      <c r="BS238" s="1">
        <v>4885.4</v>
      </c>
      <c r="BW238" t="s">
        <v>536</v>
      </c>
      <c r="BX238" s="1">
        <v>4885.4</v>
      </c>
      <c r="BZ238" t="s">
        <v>535</v>
      </c>
      <c r="CA238" t="s">
        <v>546</v>
      </c>
      <c r="CB238" t="s">
        <v>1503</v>
      </c>
      <c r="CC238" t="s">
        <v>556</v>
      </c>
      <c r="CD238" t="s">
        <v>1715</v>
      </c>
      <c r="CE238" t="s">
        <v>1716</v>
      </c>
      <c r="CF238" t="s">
        <v>318</v>
      </c>
      <c r="CG238" s="4">
        <v>1</v>
      </c>
      <c r="CH238" t="s">
        <v>546</v>
      </c>
      <c r="CK238" t="s">
        <v>1717</v>
      </c>
      <c r="CL238" s="1">
        <v>4885.4</v>
      </c>
      <c r="CN238" t="s">
        <v>535</v>
      </c>
      <c r="CO238" t="s">
        <v>539</v>
      </c>
      <c r="CT238" t="s">
        <v>576</v>
      </c>
      <c r="CW238" t="s">
        <v>546</v>
      </c>
      <c r="DD238" t="s">
        <v>561</v>
      </c>
      <c r="DK238" t="s">
        <v>1421</v>
      </c>
      <c r="DL238" t="s">
        <v>1422</v>
      </c>
    </row>
    <row r="239" ht="15" customHeight="1" spans="1:122">
      <c r="AB239" t="s">
        <v>543</v>
      </c>
      <c r="AC239" t="s">
        <v>544</v>
      </c>
      <c r="AD239" t="s">
        <v>545</v>
      </c>
      <c r="AF239" t="s">
        <v>317</v>
      </c>
      <c r="AG239" s="1">
        <v>6744.4</v>
      </c>
      <c r="AJ239" s="1">
        <v>6744.4</v>
      </c>
      <c r="AM239" s="1">
        <v>6744.4</v>
      </c>
      <c r="AN239" t="s">
        <v>536</v>
      </c>
      <c r="AP239" t="s">
        <v>547</v>
      </c>
      <c r="AX239" s="1">
        <v>6744.4</v>
      </c>
      <c r="AZ239" t="s">
        <v>549</v>
      </c>
      <c r="BA239" s="1">
        <v>6744.4</v>
      </c>
      <c r="BC239" t="s">
        <v>546</v>
      </c>
      <c r="BD239" s="1">
        <v>6744.4</v>
      </c>
      <c r="BE239" t="s">
        <v>540</v>
      </c>
      <c r="BF239" s="1">
        <v>6744.4</v>
      </c>
      <c r="BH239" s="1">
        <v>6744.4</v>
      </c>
      <c r="BS239" s="1">
        <v>6744.4</v>
      </c>
      <c r="BX239" s="1">
        <v>6744.4</v>
      </c>
      <c r="CB239" t="s">
        <v>1503</v>
      </c>
      <c r="CC239" t="s">
        <v>556</v>
      </c>
      <c r="CD239" t="s">
        <v>776</v>
      </c>
      <c r="CE239" t="s">
        <v>777</v>
      </c>
      <c r="CF239" t="s">
        <v>317</v>
      </c>
      <c r="CG239" s="4">
        <v>1</v>
      </c>
      <c r="CL239" s="1">
        <v>6744.4</v>
      </c>
      <c r="DD239" t="s">
        <v>561</v>
      </c>
    </row>
    <row r="240" ht="15" customHeight="1" spans="1:122">
      <c r="A240" t="s">
        <v>603</v>
      </c>
      <c r="B240" t="s">
        <v>1718</v>
      </c>
      <c r="C240" t="s">
        <v>532</v>
      </c>
      <c r="D240" t="s">
        <v>1503</v>
      </c>
      <c r="E240" t="s">
        <v>534</v>
      </c>
      <c r="F240" t="s">
        <v>534</v>
      </c>
      <c r="G240" t="s">
        <v>535</v>
      </c>
      <c r="H240" s="1">
        <v>162108.3</v>
      </c>
      <c r="I240" s="1">
        <v>162108.3</v>
      </c>
      <c r="J240" t="s">
        <v>536</v>
      </c>
      <c r="L240" t="s">
        <v>536</v>
      </c>
      <c r="M240" t="s">
        <v>406</v>
      </c>
      <c r="N240" t="s">
        <v>537</v>
      </c>
      <c r="P240" s="1">
        <v>162108.3</v>
      </c>
      <c r="Q240" t="s">
        <v>1719</v>
      </c>
      <c r="R240" t="s">
        <v>535</v>
      </c>
      <c r="S240" t="s">
        <v>539</v>
      </c>
      <c r="T240" s="2">
        <v>1</v>
      </c>
      <c r="U240" s="1">
        <v>162108.3</v>
      </c>
      <c r="V240" s="1">
        <v>162108.3</v>
      </c>
      <c r="X240" t="s">
        <v>616</v>
      </c>
      <c r="Z240" t="s">
        <v>541</v>
      </c>
      <c r="AA240" t="s">
        <v>542</v>
      </c>
      <c r="AB240" t="s">
        <v>543</v>
      </c>
      <c r="AC240" t="s">
        <v>608</v>
      </c>
      <c r="AE240" s="3">
        <v>1</v>
      </c>
      <c r="AG240" s="1">
        <v>162108.3</v>
      </c>
      <c r="AI240" s="1">
        <v>162108.3</v>
      </c>
      <c r="AJ240" s="1">
        <v>162108.3</v>
      </c>
      <c r="AM240" s="1">
        <v>162108.3</v>
      </c>
      <c r="AN240" t="s">
        <v>536</v>
      </c>
      <c r="AO240" t="s">
        <v>546</v>
      </c>
      <c r="AP240" t="s">
        <v>547</v>
      </c>
      <c r="AQ240" t="s">
        <v>548</v>
      </c>
      <c r="AS240" t="s">
        <v>406</v>
      </c>
      <c r="AX240" s="1">
        <v>162108.3</v>
      </c>
      <c r="AY240" t="s">
        <v>546</v>
      </c>
      <c r="AZ240" t="s">
        <v>549</v>
      </c>
      <c r="BA240" s="1">
        <v>162108.3</v>
      </c>
      <c r="BB240" t="s">
        <v>1720</v>
      </c>
      <c r="BC240" t="s">
        <v>546</v>
      </c>
      <c r="BE240" t="s">
        <v>616</v>
      </c>
      <c r="BH240" s="1">
        <v>162108.3</v>
      </c>
      <c r="BI240" t="s">
        <v>550</v>
      </c>
      <c r="BJ240" t="s">
        <v>551</v>
      </c>
      <c r="BK240" t="s">
        <v>610</v>
      </c>
      <c r="BL240" t="s">
        <v>552</v>
      </c>
      <c r="BM240" t="s">
        <v>1503</v>
      </c>
      <c r="BN240" t="s">
        <v>1721</v>
      </c>
      <c r="BO240" t="s">
        <v>1722</v>
      </c>
      <c r="BR240" t="s">
        <v>546</v>
      </c>
      <c r="BS240" s="1">
        <v>162108.3</v>
      </c>
      <c r="BW240" t="s">
        <v>536</v>
      </c>
      <c r="BZ240" t="s">
        <v>535</v>
      </c>
      <c r="CA240" t="s">
        <v>546</v>
      </c>
      <c r="CB240" t="s">
        <v>1503</v>
      </c>
      <c r="CC240" t="s">
        <v>556</v>
      </c>
      <c r="CH240" t="s">
        <v>546</v>
      </c>
      <c r="CK240" t="s">
        <v>1723</v>
      </c>
      <c r="CN240" t="s">
        <v>535</v>
      </c>
      <c r="CO240" t="s">
        <v>539</v>
      </c>
      <c r="CT240" t="s">
        <v>651</v>
      </c>
      <c r="CW240" t="s">
        <v>546</v>
      </c>
      <c r="DD240" t="s">
        <v>561</v>
      </c>
      <c r="DR240" t="s">
        <v>1724</v>
      </c>
    </row>
    <row r="241" ht="15" customHeight="1" spans="1:122">
      <c r="A241" t="s">
        <v>530</v>
      </c>
      <c r="B241" t="s">
        <v>1725</v>
      </c>
      <c r="C241" t="s">
        <v>532</v>
      </c>
      <c r="D241" t="s">
        <v>1396</v>
      </c>
      <c r="E241" t="s">
        <v>534</v>
      </c>
      <c r="F241" t="s">
        <v>534</v>
      </c>
      <c r="G241" t="s">
        <v>535</v>
      </c>
      <c r="H241" s="1">
        <v>4612.8</v>
      </c>
      <c r="I241" s="1">
        <v>4585.12</v>
      </c>
      <c r="J241" t="s">
        <v>536</v>
      </c>
      <c r="L241" t="s">
        <v>536</v>
      </c>
      <c r="M241" t="s">
        <v>375</v>
      </c>
      <c r="N241" t="s">
        <v>537</v>
      </c>
      <c r="P241" s="1">
        <v>4612.8</v>
      </c>
      <c r="Q241" t="s">
        <v>580</v>
      </c>
      <c r="R241" t="s">
        <v>535</v>
      </c>
      <c r="S241" t="s">
        <v>539</v>
      </c>
      <c r="T241" s="2">
        <v>1</v>
      </c>
      <c r="U241" s="1">
        <v>4612.8</v>
      </c>
      <c r="V241" s="1">
        <v>4585.12</v>
      </c>
      <c r="X241" t="s">
        <v>540</v>
      </c>
      <c r="Z241" t="s">
        <v>541</v>
      </c>
      <c r="AA241" t="s">
        <v>542</v>
      </c>
      <c r="AB241" t="s">
        <v>543</v>
      </c>
      <c r="AC241" t="s">
        <v>544</v>
      </c>
      <c r="AD241" t="s">
        <v>545</v>
      </c>
      <c r="AE241" s="3">
        <v>1</v>
      </c>
      <c r="AF241" t="s">
        <v>92</v>
      </c>
      <c r="AG241" s="1">
        <v>4612.8</v>
      </c>
      <c r="AI241" s="1">
        <v>4612.8</v>
      </c>
      <c r="AJ241" s="1">
        <v>4612.8</v>
      </c>
      <c r="AK241" s="1">
        <v>27.68</v>
      </c>
      <c r="AM241" s="1">
        <v>4585.12</v>
      </c>
      <c r="AN241" t="s">
        <v>536</v>
      </c>
      <c r="AO241" t="s">
        <v>546</v>
      </c>
      <c r="AP241" t="s">
        <v>547</v>
      </c>
      <c r="AQ241" t="s">
        <v>548</v>
      </c>
      <c r="AS241" t="s">
        <v>375</v>
      </c>
      <c r="AX241" s="1">
        <v>4612.8</v>
      </c>
      <c r="AY241" t="s">
        <v>546</v>
      </c>
      <c r="AZ241" t="s">
        <v>549</v>
      </c>
      <c r="BA241" s="1">
        <v>4612.8</v>
      </c>
      <c r="BC241" t="s">
        <v>546</v>
      </c>
      <c r="BD241" s="1">
        <v>4612.8</v>
      </c>
      <c r="BE241" t="s">
        <v>540</v>
      </c>
      <c r="BF241" s="1">
        <v>4612.8</v>
      </c>
      <c r="BG241" s="1">
        <v>27.68</v>
      </c>
      <c r="BH241" s="1">
        <v>4585.12</v>
      </c>
      <c r="BI241" t="s">
        <v>550</v>
      </c>
      <c r="BJ241" t="s">
        <v>551</v>
      </c>
      <c r="BK241" t="s">
        <v>552</v>
      </c>
      <c r="BL241" t="s">
        <v>552</v>
      </c>
      <c r="BM241" t="s">
        <v>1503</v>
      </c>
      <c r="BN241" t="s">
        <v>1726</v>
      </c>
      <c r="BO241" t="s">
        <v>1727</v>
      </c>
      <c r="BR241" t="s">
        <v>546</v>
      </c>
      <c r="BS241" s="1">
        <v>4612.8</v>
      </c>
      <c r="BW241" t="s">
        <v>536</v>
      </c>
      <c r="BX241" s="1">
        <v>4612.8</v>
      </c>
      <c r="BZ241" t="s">
        <v>535</v>
      </c>
      <c r="CA241" t="s">
        <v>546</v>
      </c>
      <c r="CB241" t="s">
        <v>1396</v>
      </c>
      <c r="CC241" t="s">
        <v>556</v>
      </c>
      <c r="CD241" t="s">
        <v>1728</v>
      </c>
      <c r="CE241" t="s">
        <v>1729</v>
      </c>
      <c r="CF241" t="s">
        <v>92</v>
      </c>
      <c r="CG241" s="4">
        <v>1</v>
      </c>
      <c r="CH241" t="s">
        <v>546</v>
      </c>
      <c r="CK241" t="s">
        <v>1730</v>
      </c>
      <c r="CL241" s="1">
        <v>4612.8</v>
      </c>
      <c r="CN241" t="s">
        <v>535</v>
      </c>
      <c r="CO241" t="s">
        <v>539</v>
      </c>
      <c r="CT241" t="s">
        <v>576</v>
      </c>
      <c r="CW241" t="s">
        <v>546</v>
      </c>
      <c r="DD241" t="s">
        <v>561</v>
      </c>
      <c r="DK241" t="s">
        <v>1731</v>
      </c>
      <c r="DL241" t="s">
        <v>1732</v>
      </c>
    </row>
    <row r="242" ht="15" customHeight="1" spans="1:122">
      <c r="A242" t="s">
        <v>530</v>
      </c>
      <c r="B242" t="s">
        <v>1733</v>
      </c>
      <c r="C242" t="s">
        <v>532</v>
      </c>
      <c r="D242" t="s">
        <v>1396</v>
      </c>
      <c r="E242" t="s">
        <v>534</v>
      </c>
      <c r="F242" t="s">
        <v>534</v>
      </c>
      <c r="G242" t="s">
        <v>535</v>
      </c>
      <c r="H242" s="1">
        <v>1153.2</v>
      </c>
      <c r="I242" s="1">
        <v>1153.2</v>
      </c>
      <c r="J242" t="s">
        <v>536</v>
      </c>
      <c r="L242" t="s">
        <v>536</v>
      </c>
      <c r="M242" t="s">
        <v>375</v>
      </c>
      <c r="N242" t="s">
        <v>537</v>
      </c>
      <c r="P242" s="1">
        <v>1153.2</v>
      </c>
      <c r="Q242" t="s">
        <v>580</v>
      </c>
      <c r="R242" t="s">
        <v>535</v>
      </c>
      <c r="S242" t="s">
        <v>539</v>
      </c>
      <c r="T242" s="2">
        <v>1</v>
      </c>
      <c r="U242" s="1">
        <v>1153.2</v>
      </c>
      <c r="V242" s="1">
        <v>1153.2</v>
      </c>
      <c r="X242" t="s">
        <v>540</v>
      </c>
      <c r="Z242" t="s">
        <v>541</v>
      </c>
      <c r="AA242" t="s">
        <v>542</v>
      </c>
      <c r="AB242" t="s">
        <v>543</v>
      </c>
      <c r="AC242" t="s">
        <v>544</v>
      </c>
      <c r="AD242" t="s">
        <v>545</v>
      </c>
      <c r="AE242" s="3">
        <v>1</v>
      </c>
      <c r="AF242" t="s">
        <v>92</v>
      </c>
      <c r="AG242" s="1">
        <v>1153.2</v>
      </c>
      <c r="AI242" s="1">
        <v>1153.2</v>
      </c>
      <c r="AJ242" s="1">
        <v>1153.2</v>
      </c>
      <c r="AM242" s="1">
        <v>1153.2</v>
      </c>
      <c r="AN242" t="s">
        <v>565</v>
      </c>
      <c r="AO242" t="s">
        <v>546</v>
      </c>
      <c r="AP242" t="s">
        <v>565</v>
      </c>
      <c r="AQ242" t="s">
        <v>548</v>
      </c>
      <c r="AS242" t="s">
        <v>375</v>
      </c>
      <c r="AX242" s="1">
        <v>1153.2</v>
      </c>
      <c r="AY242" t="s">
        <v>546</v>
      </c>
      <c r="AZ242" t="s">
        <v>566</v>
      </c>
      <c r="BA242" s="1">
        <v>1153.2</v>
      </c>
      <c r="BC242" t="s">
        <v>546</v>
      </c>
      <c r="BD242" s="1">
        <v>1153.2</v>
      </c>
      <c r="BE242" t="s">
        <v>540</v>
      </c>
      <c r="BF242" s="1">
        <v>1153.2</v>
      </c>
      <c r="BH242" s="1">
        <v>1153.2</v>
      </c>
      <c r="BI242" t="s">
        <v>550</v>
      </c>
      <c r="BJ242" t="s">
        <v>551</v>
      </c>
      <c r="BK242" t="s">
        <v>551</v>
      </c>
      <c r="BL242" t="s">
        <v>552</v>
      </c>
      <c r="BM242" t="s">
        <v>1503</v>
      </c>
      <c r="BN242" t="s">
        <v>1734</v>
      </c>
      <c r="BO242" t="s">
        <v>1735</v>
      </c>
      <c r="BR242" t="s">
        <v>546</v>
      </c>
      <c r="BS242" s="1">
        <v>1153.2</v>
      </c>
      <c r="BW242" t="s">
        <v>536</v>
      </c>
      <c r="BX242" s="1">
        <v>1153.2</v>
      </c>
      <c r="BZ242" t="s">
        <v>535</v>
      </c>
      <c r="CA242" t="s">
        <v>546</v>
      </c>
      <c r="CB242" t="s">
        <v>1396</v>
      </c>
      <c r="CC242" t="s">
        <v>556</v>
      </c>
      <c r="CD242" t="s">
        <v>1728</v>
      </c>
      <c r="CE242" t="s">
        <v>1729</v>
      </c>
      <c r="CF242" t="s">
        <v>92</v>
      </c>
      <c r="CG242" s="4">
        <v>1</v>
      </c>
      <c r="CH242" t="s">
        <v>546</v>
      </c>
      <c r="CK242" t="s">
        <v>1730</v>
      </c>
      <c r="CL242" s="1">
        <v>1153.2</v>
      </c>
      <c r="CN242" t="s">
        <v>535</v>
      </c>
      <c r="CO242" t="s">
        <v>539</v>
      </c>
      <c r="CT242" t="s">
        <v>576</v>
      </c>
      <c r="CW242" t="s">
        <v>546</v>
      </c>
      <c r="DD242" t="s">
        <v>561</v>
      </c>
      <c r="DK242" t="s">
        <v>1731</v>
      </c>
      <c r="DL242" t="s">
        <v>1732</v>
      </c>
    </row>
    <row r="243" ht="15" customHeight="1" spans="1:122">
      <c r="A243" t="s">
        <v>603</v>
      </c>
      <c r="B243" t="s">
        <v>1736</v>
      </c>
      <c r="C243" t="s">
        <v>532</v>
      </c>
      <c r="D243" t="s">
        <v>1503</v>
      </c>
      <c r="E243" t="s">
        <v>534</v>
      </c>
      <c r="F243" t="s">
        <v>534</v>
      </c>
      <c r="G243" t="s">
        <v>535</v>
      </c>
      <c r="H243" s="1">
        <v>62620.6</v>
      </c>
      <c r="I243" s="1">
        <v>62620.6</v>
      </c>
      <c r="J243" t="s">
        <v>536</v>
      </c>
      <c r="L243" t="s">
        <v>536</v>
      </c>
      <c r="M243" t="s">
        <v>406</v>
      </c>
      <c r="N243" t="s">
        <v>537</v>
      </c>
      <c r="P243" s="1">
        <v>62620.6</v>
      </c>
      <c r="Q243" t="s">
        <v>1719</v>
      </c>
      <c r="R243" t="s">
        <v>535</v>
      </c>
      <c r="S243" t="s">
        <v>539</v>
      </c>
      <c r="T243" s="2">
        <v>1</v>
      </c>
      <c r="U243" s="1">
        <v>62620.6</v>
      </c>
      <c r="V243" s="1">
        <v>62620.6</v>
      </c>
      <c r="X243" t="s">
        <v>616</v>
      </c>
      <c r="Z243" t="s">
        <v>541</v>
      </c>
      <c r="AA243" t="s">
        <v>542</v>
      </c>
      <c r="AB243" t="s">
        <v>543</v>
      </c>
      <c r="AC243" t="s">
        <v>608</v>
      </c>
      <c r="AE243" s="3">
        <v>1</v>
      </c>
      <c r="AG243" s="1">
        <v>62620.6</v>
      </c>
      <c r="AI243" s="1">
        <v>62620.6</v>
      </c>
      <c r="AJ243" s="1">
        <v>62620.6</v>
      </c>
      <c r="AM243" s="1">
        <v>62620.6</v>
      </c>
      <c r="AN243" t="s">
        <v>536</v>
      </c>
      <c r="AO243" t="s">
        <v>546</v>
      </c>
      <c r="AP243" t="s">
        <v>547</v>
      </c>
      <c r="AQ243" t="s">
        <v>548</v>
      </c>
      <c r="AS243" t="s">
        <v>406</v>
      </c>
      <c r="AX243" s="1">
        <v>62620.6</v>
      </c>
      <c r="AY243" t="s">
        <v>546</v>
      </c>
      <c r="AZ243" t="s">
        <v>549</v>
      </c>
      <c r="BA243" s="1">
        <v>62620.6</v>
      </c>
      <c r="BB243" t="s">
        <v>1737</v>
      </c>
      <c r="BC243" t="s">
        <v>546</v>
      </c>
      <c r="BE243" t="s">
        <v>616</v>
      </c>
      <c r="BH243" s="1">
        <v>62620.6</v>
      </c>
      <c r="BI243" t="s">
        <v>550</v>
      </c>
      <c r="BJ243" t="s">
        <v>551</v>
      </c>
      <c r="BK243" t="s">
        <v>610</v>
      </c>
      <c r="BL243" t="s">
        <v>552</v>
      </c>
      <c r="BM243" t="s">
        <v>1503</v>
      </c>
      <c r="BN243" t="s">
        <v>1738</v>
      </c>
      <c r="BO243" t="s">
        <v>1739</v>
      </c>
      <c r="BR243" t="s">
        <v>546</v>
      </c>
      <c r="BS243" s="1">
        <v>62620.6</v>
      </c>
      <c r="BW243" t="s">
        <v>536</v>
      </c>
      <c r="BZ243" t="s">
        <v>535</v>
      </c>
      <c r="CA243" t="s">
        <v>546</v>
      </c>
      <c r="CB243" t="s">
        <v>1503</v>
      </c>
      <c r="CC243" t="s">
        <v>556</v>
      </c>
      <c r="CH243" t="s">
        <v>546</v>
      </c>
      <c r="CK243" t="s">
        <v>1740</v>
      </c>
      <c r="CN243" t="s">
        <v>535</v>
      </c>
      <c r="CO243" t="s">
        <v>539</v>
      </c>
      <c r="CT243" t="s">
        <v>651</v>
      </c>
      <c r="CW243" t="s">
        <v>546</v>
      </c>
      <c r="DD243" t="s">
        <v>561</v>
      </c>
      <c r="DR243" t="s">
        <v>1741</v>
      </c>
    </row>
    <row r="244" ht="15" customHeight="1" spans="1:122">
      <c r="A244" t="s">
        <v>530</v>
      </c>
      <c r="B244" t="s">
        <v>1742</v>
      </c>
      <c r="C244" t="s">
        <v>532</v>
      </c>
      <c r="D244" t="s">
        <v>1503</v>
      </c>
      <c r="E244" t="s">
        <v>534</v>
      </c>
      <c r="F244" t="s">
        <v>534</v>
      </c>
      <c r="G244" t="s">
        <v>535</v>
      </c>
      <c r="H244" s="1">
        <v>3600</v>
      </c>
      <c r="I244" s="1">
        <v>3600</v>
      </c>
      <c r="J244" t="s">
        <v>536</v>
      </c>
      <c r="L244" t="s">
        <v>536</v>
      </c>
      <c r="M244" t="s">
        <v>404</v>
      </c>
      <c r="N244" t="s">
        <v>537</v>
      </c>
      <c r="P244" s="1">
        <v>3600</v>
      </c>
      <c r="Q244" t="s">
        <v>642</v>
      </c>
      <c r="R244" t="s">
        <v>535</v>
      </c>
      <c r="S244" t="s">
        <v>539</v>
      </c>
      <c r="T244" s="2">
        <v>1</v>
      </c>
      <c r="U244" s="1">
        <v>3600</v>
      </c>
      <c r="V244" s="1">
        <v>3600</v>
      </c>
      <c r="X244" t="s">
        <v>540</v>
      </c>
      <c r="Z244" t="s">
        <v>541</v>
      </c>
      <c r="AA244" t="s">
        <v>542</v>
      </c>
      <c r="AB244" t="s">
        <v>543</v>
      </c>
      <c r="AC244" t="s">
        <v>544</v>
      </c>
      <c r="AD244" t="s">
        <v>545</v>
      </c>
      <c r="AE244" s="3">
        <v>1</v>
      </c>
      <c r="AF244" t="s">
        <v>118</v>
      </c>
      <c r="AG244" s="1">
        <v>3600</v>
      </c>
      <c r="AI244" s="1">
        <v>3600</v>
      </c>
      <c r="AJ244" s="1">
        <v>3600</v>
      </c>
      <c r="AM244" s="1">
        <v>3600</v>
      </c>
      <c r="AN244" t="s">
        <v>643</v>
      </c>
      <c r="AO244" t="s">
        <v>546</v>
      </c>
      <c r="AP244" t="s">
        <v>643</v>
      </c>
      <c r="AQ244" t="s">
        <v>548</v>
      </c>
      <c r="AS244" t="s">
        <v>404</v>
      </c>
      <c r="AX244" s="1">
        <v>3600</v>
      </c>
      <c r="AY244" t="s">
        <v>546</v>
      </c>
      <c r="AZ244" t="s">
        <v>644</v>
      </c>
      <c r="BA244" s="1">
        <v>3600</v>
      </c>
      <c r="BC244" t="s">
        <v>546</v>
      </c>
      <c r="BD244" s="1">
        <v>3600</v>
      </c>
      <c r="BE244" t="s">
        <v>540</v>
      </c>
      <c r="BF244" s="1">
        <v>3600</v>
      </c>
      <c r="BH244" s="1">
        <v>3600</v>
      </c>
      <c r="BI244" t="s">
        <v>550</v>
      </c>
      <c r="BJ244" t="s">
        <v>642</v>
      </c>
      <c r="BK244" t="s">
        <v>552</v>
      </c>
      <c r="BL244" t="s">
        <v>552</v>
      </c>
      <c r="BM244" t="s">
        <v>1503</v>
      </c>
      <c r="BN244" t="s">
        <v>1743</v>
      </c>
      <c r="BO244" t="s">
        <v>1744</v>
      </c>
      <c r="BR244" t="s">
        <v>546</v>
      </c>
      <c r="BS244" s="1">
        <v>3600</v>
      </c>
      <c r="BW244" t="s">
        <v>536</v>
      </c>
      <c r="BX244" s="1">
        <v>3600</v>
      </c>
      <c r="BZ244" t="s">
        <v>535</v>
      </c>
      <c r="CA244" t="s">
        <v>546</v>
      </c>
      <c r="CB244" t="s">
        <v>1503</v>
      </c>
      <c r="CC244" t="s">
        <v>556</v>
      </c>
      <c r="CD244" t="s">
        <v>557</v>
      </c>
      <c r="CE244" t="s">
        <v>558</v>
      </c>
      <c r="CF244" t="s">
        <v>118</v>
      </c>
      <c r="CG244" s="4">
        <v>1</v>
      </c>
      <c r="CH244" t="s">
        <v>546</v>
      </c>
      <c r="CK244" t="s">
        <v>1745</v>
      </c>
      <c r="CL244" s="1">
        <v>3600</v>
      </c>
      <c r="CN244" t="s">
        <v>535</v>
      </c>
      <c r="CO244" t="s">
        <v>539</v>
      </c>
      <c r="CT244" t="s">
        <v>651</v>
      </c>
      <c r="CW244" t="s">
        <v>546</v>
      </c>
      <c r="DD244" t="s">
        <v>561</v>
      </c>
      <c r="DK244" t="s">
        <v>1746</v>
      </c>
      <c r="DL244" t="s">
        <v>1747</v>
      </c>
      <c r="DR244" t="s">
        <v>1748</v>
      </c>
    </row>
    <row r="245" ht="15" customHeight="1" spans="1:122">
      <c r="A245" t="s">
        <v>530</v>
      </c>
      <c r="B245" t="s">
        <v>1749</v>
      </c>
      <c r="C245" t="s">
        <v>532</v>
      </c>
      <c r="D245" t="s">
        <v>1503</v>
      </c>
      <c r="E245" t="s">
        <v>534</v>
      </c>
      <c r="F245" t="s">
        <v>534</v>
      </c>
      <c r="G245" t="s">
        <v>535</v>
      </c>
      <c r="H245" s="1">
        <v>2789</v>
      </c>
      <c r="I245" s="1">
        <v>2789</v>
      </c>
      <c r="J245" t="s">
        <v>536</v>
      </c>
      <c r="L245" t="s">
        <v>536</v>
      </c>
      <c r="M245" t="s">
        <v>375</v>
      </c>
      <c r="N245" t="s">
        <v>537</v>
      </c>
      <c r="P245" s="1">
        <v>2789</v>
      </c>
      <c r="Q245" t="s">
        <v>580</v>
      </c>
      <c r="R245" t="s">
        <v>535</v>
      </c>
      <c r="S245" t="s">
        <v>539</v>
      </c>
      <c r="T245" s="2">
        <v>1</v>
      </c>
      <c r="U245" s="1">
        <v>2789</v>
      </c>
      <c r="V245" s="1">
        <v>2789</v>
      </c>
      <c r="X245" t="s">
        <v>540</v>
      </c>
      <c r="Z245" t="s">
        <v>541</v>
      </c>
      <c r="AA245" t="s">
        <v>542</v>
      </c>
      <c r="AB245" t="s">
        <v>543</v>
      </c>
      <c r="AC245" t="s">
        <v>544</v>
      </c>
      <c r="AD245" t="s">
        <v>545</v>
      </c>
      <c r="AE245" s="3">
        <v>1</v>
      </c>
      <c r="AF245" t="s">
        <v>113</v>
      </c>
      <c r="AG245" s="1">
        <v>2789</v>
      </c>
      <c r="AI245" s="1">
        <v>2789</v>
      </c>
      <c r="AJ245" s="1">
        <v>2789</v>
      </c>
      <c r="AM245" s="1">
        <v>2789</v>
      </c>
      <c r="AN245" t="s">
        <v>643</v>
      </c>
      <c r="AO245" t="s">
        <v>546</v>
      </c>
      <c r="AP245" t="s">
        <v>643</v>
      </c>
      <c r="AQ245" t="s">
        <v>548</v>
      </c>
      <c r="AS245" t="s">
        <v>375</v>
      </c>
      <c r="AX245" s="1">
        <v>2789</v>
      </c>
      <c r="AY245" t="s">
        <v>546</v>
      </c>
      <c r="AZ245" t="s">
        <v>644</v>
      </c>
      <c r="BA245" s="1">
        <v>2789</v>
      </c>
      <c r="BC245" t="s">
        <v>546</v>
      </c>
      <c r="BD245" s="1">
        <v>2789</v>
      </c>
      <c r="BE245" t="s">
        <v>540</v>
      </c>
      <c r="BF245" s="1">
        <v>2789</v>
      </c>
      <c r="BH245" s="1">
        <v>2789</v>
      </c>
      <c r="BI245" t="s">
        <v>550</v>
      </c>
      <c r="BJ245" t="s">
        <v>570</v>
      </c>
      <c r="BK245" t="s">
        <v>552</v>
      </c>
      <c r="BL245" t="s">
        <v>552</v>
      </c>
      <c r="BM245" t="s">
        <v>1503</v>
      </c>
      <c r="BN245" t="s">
        <v>1750</v>
      </c>
      <c r="BO245" t="s">
        <v>1751</v>
      </c>
      <c r="BR245" t="s">
        <v>546</v>
      </c>
      <c r="BS245" s="1">
        <v>2789</v>
      </c>
      <c r="BW245" t="s">
        <v>536</v>
      </c>
      <c r="BX245" s="1">
        <v>2789</v>
      </c>
      <c r="BZ245" t="s">
        <v>535</v>
      </c>
      <c r="CA245" t="s">
        <v>546</v>
      </c>
      <c r="CB245" t="s">
        <v>1503</v>
      </c>
      <c r="CC245" t="s">
        <v>556</v>
      </c>
      <c r="CD245" t="s">
        <v>1247</v>
      </c>
      <c r="CE245" t="s">
        <v>1248</v>
      </c>
      <c r="CF245" t="s">
        <v>113</v>
      </c>
      <c r="CG245" s="4">
        <v>1</v>
      </c>
      <c r="CH245" t="s">
        <v>546</v>
      </c>
      <c r="CK245" t="s">
        <v>1752</v>
      </c>
      <c r="CL245" s="1">
        <v>2789</v>
      </c>
      <c r="CN245" t="s">
        <v>535</v>
      </c>
      <c r="CO245" t="s">
        <v>539</v>
      </c>
      <c r="CT245" t="s">
        <v>576</v>
      </c>
      <c r="CW245" t="s">
        <v>546</v>
      </c>
      <c r="DD245" t="s">
        <v>561</v>
      </c>
      <c r="DK245" t="s">
        <v>1753</v>
      </c>
      <c r="DL245" t="s">
        <v>1754</v>
      </c>
      <c r="DR245" t="s">
        <v>1755</v>
      </c>
    </row>
    <row r="246" ht="15" customHeight="1" spans="1:122">
      <c r="A246" t="s">
        <v>603</v>
      </c>
      <c r="B246" t="s">
        <v>1756</v>
      </c>
      <c r="C246" t="s">
        <v>532</v>
      </c>
      <c r="D246" t="s">
        <v>1503</v>
      </c>
      <c r="E246" t="s">
        <v>534</v>
      </c>
      <c r="F246" t="s">
        <v>534</v>
      </c>
      <c r="G246" t="s">
        <v>535</v>
      </c>
      <c r="H246" s="1">
        <v>300000</v>
      </c>
      <c r="I246" s="1">
        <v>300000</v>
      </c>
      <c r="J246" t="s">
        <v>536</v>
      </c>
      <c r="L246" t="s">
        <v>536</v>
      </c>
      <c r="M246" t="s">
        <v>405</v>
      </c>
      <c r="N246" t="s">
        <v>537</v>
      </c>
      <c r="P246" s="1">
        <v>300000</v>
      </c>
      <c r="Q246" t="s">
        <v>1719</v>
      </c>
      <c r="R246" t="s">
        <v>535</v>
      </c>
      <c r="S246" t="s">
        <v>539</v>
      </c>
      <c r="T246" s="2">
        <v>1</v>
      </c>
      <c r="U246" s="1">
        <v>300000</v>
      </c>
      <c r="V246" s="1">
        <v>300000</v>
      </c>
      <c r="X246" t="s">
        <v>616</v>
      </c>
      <c r="Z246" t="s">
        <v>541</v>
      </c>
      <c r="AA246" t="s">
        <v>542</v>
      </c>
      <c r="AB246" t="s">
        <v>543</v>
      </c>
      <c r="AC246" t="s">
        <v>608</v>
      </c>
      <c r="AE246" s="3">
        <v>1</v>
      </c>
      <c r="AG246" s="1">
        <v>300000</v>
      </c>
      <c r="AI246" s="1">
        <v>300000</v>
      </c>
      <c r="AJ246" s="1">
        <v>300000</v>
      </c>
      <c r="AM246" s="1">
        <v>300000</v>
      </c>
      <c r="AN246" t="s">
        <v>536</v>
      </c>
      <c r="AO246" t="s">
        <v>546</v>
      </c>
      <c r="AP246" t="s">
        <v>547</v>
      </c>
      <c r="AQ246" t="s">
        <v>548</v>
      </c>
      <c r="AS246" t="s">
        <v>405</v>
      </c>
      <c r="AX246" s="1">
        <v>300000</v>
      </c>
      <c r="AY246" t="s">
        <v>546</v>
      </c>
      <c r="AZ246" t="s">
        <v>549</v>
      </c>
      <c r="BA246" s="1">
        <v>300000</v>
      </c>
      <c r="BC246" t="s">
        <v>546</v>
      </c>
      <c r="BE246" t="s">
        <v>616</v>
      </c>
      <c r="BH246" s="1">
        <v>300000</v>
      </c>
      <c r="BI246" t="s">
        <v>550</v>
      </c>
      <c r="BJ246" t="s">
        <v>551</v>
      </c>
      <c r="BK246" t="s">
        <v>552</v>
      </c>
      <c r="BL246" t="s">
        <v>552</v>
      </c>
      <c r="BM246" t="s">
        <v>1503</v>
      </c>
      <c r="BN246" t="s">
        <v>1757</v>
      </c>
      <c r="BO246" t="s">
        <v>1758</v>
      </c>
      <c r="BR246" t="s">
        <v>546</v>
      </c>
      <c r="BS246" s="1">
        <v>300000</v>
      </c>
      <c r="BW246" t="s">
        <v>536</v>
      </c>
      <c r="BZ246" t="s">
        <v>535</v>
      </c>
      <c r="CA246" t="s">
        <v>546</v>
      </c>
      <c r="CB246" t="s">
        <v>1503</v>
      </c>
      <c r="CC246" t="s">
        <v>556</v>
      </c>
      <c r="CH246" t="s">
        <v>546</v>
      </c>
      <c r="CK246" t="s">
        <v>1759</v>
      </c>
      <c r="CN246" t="s">
        <v>535</v>
      </c>
      <c r="CO246" t="s">
        <v>539</v>
      </c>
      <c r="CT246" t="s">
        <v>651</v>
      </c>
      <c r="CW246" t="s">
        <v>546</v>
      </c>
      <c r="DD246" t="s">
        <v>561</v>
      </c>
    </row>
    <row r="247" ht="15" customHeight="1" spans="1:122">
      <c r="A247" t="s">
        <v>530</v>
      </c>
      <c r="B247" t="s">
        <v>1760</v>
      </c>
      <c r="C247" t="s">
        <v>532</v>
      </c>
      <c r="D247" t="s">
        <v>1503</v>
      </c>
      <c r="E247" t="s">
        <v>534</v>
      </c>
      <c r="F247" t="s">
        <v>534</v>
      </c>
      <c r="G247" t="s">
        <v>535</v>
      </c>
      <c r="H247" s="1">
        <v>1621</v>
      </c>
      <c r="I247" s="1">
        <v>1621</v>
      </c>
      <c r="J247" t="s">
        <v>536</v>
      </c>
      <c r="L247" t="s">
        <v>536</v>
      </c>
      <c r="M247" t="s">
        <v>380</v>
      </c>
      <c r="N247" t="s">
        <v>537</v>
      </c>
      <c r="P247" s="1">
        <v>1621</v>
      </c>
      <c r="Q247" t="s">
        <v>970</v>
      </c>
      <c r="R247" t="s">
        <v>535</v>
      </c>
      <c r="S247" t="s">
        <v>539</v>
      </c>
      <c r="T247" s="2">
        <v>1</v>
      </c>
      <c r="U247" s="1">
        <v>1621</v>
      </c>
      <c r="V247" s="1">
        <v>1621</v>
      </c>
      <c r="X247" t="s">
        <v>540</v>
      </c>
      <c r="Z247" t="s">
        <v>541</v>
      </c>
      <c r="AA247" t="s">
        <v>542</v>
      </c>
      <c r="AB247" t="s">
        <v>543</v>
      </c>
      <c r="AC247" t="s">
        <v>544</v>
      </c>
      <c r="AD247" t="s">
        <v>545</v>
      </c>
      <c r="AE247" s="3">
        <v>1</v>
      </c>
      <c r="AF247" t="s">
        <v>117</v>
      </c>
      <c r="AG247" s="1">
        <v>1621</v>
      </c>
      <c r="AI247" s="1">
        <v>1621</v>
      </c>
      <c r="AJ247" s="1">
        <v>1621</v>
      </c>
      <c r="AM247" s="1">
        <v>1621</v>
      </c>
      <c r="AN247" t="s">
        <v>536</v>
      </c>
      <c r="AO247" t="s">
        <v>546</v>
      </c>
      <c r="AP247" t="s">
        <v>547</v>
      </c>
      <c r="AQ247" t="s">
        <v>548</v>
      </c>
      <c r="AS247" t="s">
        <v>380</v>
      </c>
      <c r="AX247" s="1">
        <v>1621</v>
      </c>
      <c r="AY247" t="s">
        <v>546</v>
      </c>
      <c r="AZ247" t="s">
        <v>549</v>
      </c>
      <c r="BA247" s="1">
        <v>1621</v>
      </c>
      <c r="BC247" t="s">
        <v>546</v>
      </c>
      <c r="BD247" s="1">
        <v>1621</v>
      </c>
      <c r="BE247" t="s">
        <v>540</v>
      </c>
      <c r="BF247" s="1">
        <v>1621</v>
      </c>
      <c r="BH247" s="1">
        <v>1621</v>
      </c>
      <c r="BI247" t="s">
        <v>550</v>
      </c>
      <c r="BJ247" t="s">
        <v>551</v>
      </c>
      <c r="BK247" t="s">
        <v>551</v>
      </c>
      <c r="BL247" t="s">
        <v>552</v>
      </c>
      <c r="BM247" t="s">
        <v>1503</v>
      </c>
      <c r="BN247" t="s">
        <v>1761</v>
      </c>
      <c r="BO247" t="s">
        <v>1762</v>
      </c>
      <c r="BR247" t="s">
        <v>546</v>
      </c>
      <c r="BS247" s="1">
        <v>1621</v>
      </c>
      <c r="BW247" t="s">
        <v>536</v>
      </c>
      <c r="BX247" s="1">
        <v>1621</v>
      </c>
      <c r="BZ247" t="s">
        <v>535</v>
      </c>
      <c r="CA247" t="s">
        <v>546</v>
      </c>
      <c r="CB247" t="s">
        <v>1503</v>
      </c>
      <c r="CC247" t="s">
        <v>556</v>
      </c>
      <c r="CD247" t="s">
        <v>1763</v>
      </c>
      <c r="CE247" t="s">
        <v>1764</v>
      </c>
      <c r="CF247" t="s">
        <v>117</v>
      </c>
      <c r="CG247" s="4">
        <v>1</v>
      </c>
      <c r="CH247" t="s">
        <v>546</v>
      </c>
      <c r="CK247" t="s">
        <v>1765</v>
      </c>
      <c r="CL247" s="1">
        <v>1621</v>
      </c>
      <c r="CN247" t="s">
        <v>535</v>
      </c>
      <c r="CO247" t="s">
        <v>539</v>
      </c>
      <c r="CT247" t="s">
        <v>576</v>
      </c>
      <c r="CW247" t="s">
        <v>546</v>
      </c>
      <c r="DD247" t="s">
        <v>561</v>
      </c>
      <c r="DK247" t="s">
        <v>1639</v>
      </c>
      <c r="DL247" t="s">
        <v>1766</v>
      </c>
    </row>
    <row r="248" ht="15" customHeight="1" spans="1:122">
      <c r="A248" t="s">
        <v>530</v>
      </c>
      <c r="B248" t="s">
        <v>1767</v>
      </c>
      <c r="C248" t="s">
        <v>532</v>
      </c>
      <c r="D248" t="s">
        <v>1503</v>
      </c>
      <c r="E248" t="s">
        <v>534</v>
      </c>
      <c r="F248" t="s">
        <v>534</v>
      </c>
      <c r="G248" t="s">
        <v>535</v>
      </c>
      <c r="H248" s="1">
        <v>4078.4</v>
      </c>
      <c r="I248" s="1">
        <v>4078.4</v>
      </c>
      <c r="J248" t="s">
        <v>536</v>
      </c>
      <c r="L248" t="s">
        <v>536</v>
      </c>
      <c r="M248" t="s">
        <v>377</v>
      </c>
      <c r="N248" t="s">
        <v>537</v>
      </c>
      <c r="P248" s="1">
        <v>4078.4</v>
      </c>
      <c r="Q248" t="s">
        <v>538</v>
      </c>
      <c r="R248" t="s">
        <v>535</v>
      </c>
      <c r="S248" t="s">
        <v>539</v>
      </c>
      <c r="T248" s="2">
        <v>1</v>
      </c>
      <c r="U248" s="1">
        <v>4078.4</v>
      </c>
      <c r="V248" s="1">
        <v>4078.4</v>
      </c>
      <c r="X248" t="s">
        <v>540</v>
      </c>
      <c r="Z248" t="s">
        <v>541</v>
      </c>
      <c r="AA248" t="s">
        <v>542</v>
      </c>
      <c r="AB248" t="s">
        <v>543</v>
      </c>
      <c r="AC248" t="s">
        <v>544</v>
      </c>
      <c r="AD248" t="s">
        <v>545</v>
      </c>
      <c r="AE248" s="3">
        <v>1</v>
      </c>
      <c r="AF248" t="s">
        <v>11</v>
      </c>
      <c r="AG248" s="1">
        <v>4078.4</v>
      </c>
      <c r="AI248" s="1">
        <v>4078.4</v>
      </c>
      <c r="AJ248" s="1">
        <v>4078.4</v>
      </c>
      <c r="AM248" s="1">
        <v>4078.4</v>
      </c>
      <c r="AN248" t="s">
        <v>1316</v>
      </c>
      <c r="AO248" t="s">
        <v>546</v>
      </c>
      <c r="AP248" t="s">
        <v>1317</v>
      </c>
      <c r="AQ248" t="s">
        <v>548</v>
      </c>
      <c r="AS248" t="s">
        <v>377</v>
      </c>
      <c r="AX248" s="1">
        <v>4078.4</v>
      </c>
      <c r="AY248" t="s">
        <v>546</v>
      </c>
      <c r="AZ248" t="s">
        <v>1318</v>
      </c>
      <c r="BA248" s="1">
        <v>4078.4</v>
      </c>
      <c r="BC248" t="s">
        <v>546</v>
      </c>
      <c r="BD248" s="1">
        <v>4078.4</v>
      </c>
      <c r="BE248" t="s">
        <v>540</v>
      </c>
      <c r="BF248" s="1">
        <v>4078.4</v>
      </c>
      <c r="BH248" s="1">
        <v>4078.4</v>
      </c>
      <c r="BI248" t="s">
        <v>550</v>
      </c>
      <c r="BJ248" t="s">
        <v>551</v>
      </c>
      <c r="BK248" t="s">
        <v>551</v>
      </c>
      <c r="BL248" t="s">
        <v>552</v>
      </c>
      <c r="BM248" t="s">
        <v>1503</v>
      </c>
      <c r="BN248" t="s">
        <v>1768</v>
      </c>
      <c r="BO248" t="s">
        <v>1769</v>
      </c>
      <c r="BR248" t="s">
        <v>546</v>
      </c>
      <c r="BS248" s="1">
        <v>4078.4</v>
      </c>
      <c r="BW248" t="s">
        <v>536</v>
      </c>
      <c r="BX248" s="1">
        <v>4078.4</v>
      </c>
      <c r="BZ248" t="s">
        <v>535</v>
      </c>
      <c r="CA248" t="s">
        <v>546</v>
      </c>
      <c r="CB248" t="s">
        <v>1503</v>
      </c>
      <c r="CC248" t="s">
        <v>556</v>
      </c>
      <c r="CD248" t="s">
        <v>1668</v>
      </c>
      <c r="CE248" t="s">
        <v>1669</v>
      </c>
      <c r="CF248" t="s">
        <v>11</v>
      </c>
      <c r="CG248" s="4">
        <v>1</v>
      </c>
      <c r="CH248" t="s">
        <v>546</v>
      </c>
      <c r="CK248" t="s">
        <v>1770</v>
      </c>
      <c r="CL248" s="1">
        <v>4078.4</v>
      </c>
      <c r="CN248" t="s">
        <v>535</v>
      </c>
      <c r="CO248" t="s">
        <v>539</v>
      </c>
      <c r="CT248" t="s">
        <v>560</v>
      </c>
      <c r="CW248" t="s">
        <v>546</v>
      </c>
      <c r="DD248" t="s">
        <v>561</v>
      </c>
      <c r="DK248" t="s">
        <v>1397</v>
      </c>
      <c r="DL248" t="s">
        <v>1771</v>
      </c>
    </row>
    <row r="249" ht="15" customHeight="1" spans="1:122">
      <c r="A249" t="s">
        <v>530</v>
      </c>
      <c r="B249" t="s">
        <v>1772</v>
      </c>
      <c r="C249" t="s">
        <v>532</v>
      </c>
      <c r="D249" t="s">
        <v>1503</v>
      </c>
      <c r="E249" t="s">
        <v>534</v>
      </c>
      <c r="F249" t="s">
        <v>534</v>
      </c>
      <c r="G249" t="s">
        <v>535</v>
      </c>
      <c r="H249" s="1">
        <v>1019.6</v>
      </c>
      <c r="I249" s="1">
        <v>1019.6</v>
      </c>
      <c r="J249" t="s">
        <v>536</v>
      </c>
      <c r="L249" t="s">
        <v>536</v>
      </c>
      <c r="M249" t="s">
        <v>377</v>
      </c>
      <c r="N249" t="s">
        <v>537</v>
      </c>
      <c r="P249" s="1">
        <v>1019.6</v>
      </c>
      <c r="Q249" t="s">
        <v>538</v>
      </c>
      <c r="R249" t="s">
        <v>535</v>
      </c>
      <c r="S249" t="s">
        <v>539</v>
      </c>
      <c r="T249" s="2">
        <v>1</v>
      </c>
      <c r="U249" s="1">
        <v>1019.6</v>
      </c>
      <c r="V249" s="1">
        <v>1019.6</v>
      </c>
      <c r="X249" t="s">
        <v>540</v>
      </c>
      <c r="Z249" t="s">
        <v>541</v>
      </c>
      <c r="AA249" t="s">
        <v>542</v>
      </c>
      <c r="AB249" t="s">
        <v>543</v>
      </c>
      <c r="AC249" t="s">
        <v>544</v>
      </c>
      <c r="AD249" t="s">
        <v>545</v>
      </c>
      <c r="AE249" s="3">
        <v>1</v>
      </c>
      <c r="AF249" t="s">
        <v>11</v>
      </c>
      <c r="AG249" s="1">
        <v>1019.6</v>
      </c>
      <c r="AI249" s="1">
        <v>1019.6</v>
      </c>
      <c r="AJ249" s="1">
        <v>1019.6</v>
      </c>
      <c r="AM249" s="1">
        <v>1019.6</v>
      </c>
      <c r="AN249" t="s">
        <v>1316</v>
      </c>
      <c r="AO249" t="s">
        <v>546</v>
      </c>
      <c r="AP249" t="s">
        <v>1317</v>
      </c>
      <c r="AQ249" t="s">
        <v>548</v>
      </c>
      <c r="AS249" t="s">
        <v>377</v>
      </c>
      <c r="AX249" s="1">
        <v>1019.6</v>
      </c>
      <c r="AY249" t="s">
        <v>546</v>
      </c>
      <c r="AZ249" t="s">
        <v>1318</v>
      </c>
      <c r="BA249" s="1">
        <v>1019.6</v>
      </c>
      <c r="BC249" t="s">
        <v>546</v>
      </c>
      <c r="BD249" s="1">
        <v>1019.6</v>
      </c>
      <c r="BE249" t="s">
        <v>540</v>
      </c>
      <c r="BF249" s="1">
        <v>1019.6</v>
      </c>
      <c r="BH249" s="1">
        <v>1019.6</v>
      </c>
      <c r="BI249" t="s">
        <v>550</v>
      </c>
      <c r="BJ249" t="s">
        <v>551</v>
      </c>
      <c r="BK249" t="s">
        <v>551</v>
      </c>
      <c r="BL249" t="s">
        <v>552</v>
      </c>
      <c r="BM249" t="s">
        <v>1503</v>
      </c>
      <c r="BN249" t="s">
        <v>1773</v>
      </c>
      <c r="BO249" t="s">
        <v>1774</v>
      </c>
      <c r="BR249" t="s">
        <v>546</v>
      </c>
      <c r="BS249" s="1">
        <v>1019.6</v>
      </c>
      <c r="BW249" t="s">
        <v>536</v>
      </c>
      <c r="BX249" s="1">
        <v>1019.6</v>
      </c>
      <c r="BZ249" t="s">
        <v>535</v>
      </c>
      <c r="CA249" t="s">
        <v>546</v>
      </c>
      <c r="CB249" t="s">
        <v>1503</v>
      </c>
      <c r="CC249" t="s">
        <v>556</v>
      </c>
      <c r="CD249" t="s">
        <v>1668</v>
      </c>
      <c r="CE249" t="s">
        <v>1669</v>
      </c>
      <c r="CF249" t="s">
        <v>11</v>
      </c>
      <c r="CG249" s="4">
        <v>1</v>
      </c>
      <c r="CH249" t="s">
        <v>546</v>
      </c>
      <c r="CK249" t="s">
        <v>1775</v>
      </c>
      <c r="CL249" s="1">
        <v>1019.6</v>
      </c>
      <c r="CN249" t="s">
        <v>535</v>
      </c>
      <c r="CO249" t="s">
        <v>539</v>
      </c>
      <c r="CT249" t="s">
        <v>560</v>
      </c>
      <c r="CW249" t="s">
        <v>546</v>
      </c>
      <c r="DD249" t="s">
        <v>561</v>
      </c>
      <c r="DK249" t="s">
        <v>1397</v>
      </c>
      <c r="DL249" t="s">
        <v>1771</v>
      </c>
    </row>
    <row r="250" ht="15" customHeight="1" spans="1:122">
      <c r="A250" t="s">
        <v>530</v>
      </c>
      <c r="B250" t="s">
        <v>1776</v>
      </c>
      <c r="C250" t="s">
        <v>532</v>
      </c>
      <c r="D250" t="s">
        <v>1705</v>
      </c>
      <c r="E250" t="s">
        <v>534</v>
      </c>
      <c r="F250" t="s">
        <v>534</v>
      </c>
      <c r="G250" t="s">
        <v>535</v>
      </c>
      <c r="H250" s="1">
        <v>1560</v>
      </c>
      <c r="I250" s="1">
        <v>1550.64</v>
      </c>
      <c r="J250" t="s">
        <v>536</v>
      </c>
      <c r="L250" t="s">
        <v>536</v>
      </c>
      <c r="M250" t="s">
        <v>404</v>
      </c>
      <c r="N250" t="s">
        <v>537</v>
      </c>
      <c r="P250" s="1">
        <v>1560</v>
      </c>
      <c r="Q250" t="s">
        <v>642</v>
      </c>
      <c r="R250" t="s">
        <v>535</v>
      </c>
      <c r="S250" t="s">
        <v>539</v>
      </c>
      <c r="T250" s="2">
        <v>1</v>
      </c>
      <c r="U250" s="1">
        <v>1560</v>
      </c>
      <c r="V250" s="1">
        <v>1550.64</v>
      </c>
      <c r="X250" t="s">
        <v>540</v>
      </c>
      <c r="Z250" t="s">
        <v>541</v>
      </c>
      <c r="AA250" t="s">
        <v>542</v>
      </c>
      <c r="AB250" t="s">
        <v>543</v>
      </c>
      <c r="AC250" t="s">
        <v>544</v>
      </c>
      <c r="AD250" t="s">
        <v>545</v>
      </c>
      <c r="AE250" s="3">
        <v>1</v>
      </c>
      <c r="AF250" t="s">
        <v>14</v>
      </c>
      <c r="AG250" s="1">
        <v>1560</v>
      </c>
      <c r="AI250" s="1">
        <v>1560</v>
      </c>
      <c r="AJ250" s="1">
        <v>1560</v>
      </c>
      <c r="AK250" s="1">
        <v>9.36</v>
      </c>
      <c r="AM250" s="1">
        <v>1550.64</v>
      </c>
      <c r="AN250" t="s">
        <v>536</v>
      </c>
      <c r="AO250" t="s">
        <v>546</v>
      </c>
      <c r="AP250" t="s">
        <v>547</v>
      </c>
      <c r="AQ250" t="s">
        <v>548</v>
      </c>
      <c r="AS250" t="s">
        <v>404</v>
      </c>
      <c r="AX250" s="1">
        <v>1560</v>
      </c>
      <c r="AY250" t="s">
        <v>546</v>
      </c>
      <c r="AZ250" t="s">
        <v>549</v>
      </c>
      <c r="BA250" s="1">
        <v>1560</v>
      </c>
      <c r="BC250" t="s">
        <v>546</v>
      </c>
      <c r="BD250" s="1">
        <v>1560</v>
      </c>
      <c r="BE250" t="s">
        <v>540</v>
      </c>
      <c r="BF250" s="1">
        <v>1560</v>
      </c>
      <c r="BG250" s="1">
        <v>9.36</v>
      </c>
      <c r="BH250" s="1">
        <v>1550.64</v>
      </c>
      <c r="BI250" t="s">
        <v>550</v>
      </c>
      <c r="BJ250" t="s">
        <v>551</v>
      </c>
      <c r="BK250" t="s">
        <v>552</v>
      </c>
      <c r="BL250" t="s">
        <v>552</v>
      </c>
      <c r="BM250" t="s">
        <v>1705</v>
      </c>
      <c r="BN250" t="s">
        <v>1777</v>
      </c>
      <c r="BO250" t="s">
        <v>1778</v>
      </c>
      <c r="BR250" t="s">
        <v>546</v>
      </c>
      <c r="BS250" s="1">
        <v>1560</v>
      </c>
      <c r="BW250" t="s">
        <v>536</v>
      </c>
      <c r="BX250" s="1">
        <v>1560</v>
      </c>
      <c r="BZ250" t="s">
        <v>535</v>
      </c>
      <c r="CA250" t="s">
        <v>546</v>
      </c>
      <c r="CB250" t="s">
        <v>1705</v>
      </c>
      <c r="CC250" t="s">
        <v>556</v>
      </c>
      <c r="CD250" t="s">
        <v>913</v>
      </c>
      <c r="CE250" t="s">
        <v>914</v>
      </c>
      <c r="CF250" t="s">
        <v>14</v>
      </c>
      <c r="CG250" s="4">
        <v>1</v>
      </c>
      <c r="CH250" t="s">
        <v>546</v>
      </c>
      <c r="CK250" t="s">
        <v>1779</v>
      </c>
      <c r="CL250" s="1">
        <v>1560</v>
      </c>
      <c r="CN250" t="s">
        <v>535</v>
      </c>
      <c r="CO250" t="s">
        <v>539</v>
      </c>
      <c r="CT250" t="s">
        <v>651</v>
      </c>
      <c r="CW250" t="s">
        <v>546</v>
      </c>
      <c r="DD250" t="s">
        <v>561</v>
      </c>
      <c r="DK250" t="s">
        <v>1780</v>
      </c>
      <c r="DL250" t="s">
        <v>1781</v>
      </c>
    </row>
    <row r="251" ht="15" customHeight="1" spans="1:122">
      <c r="A251" t="s">
        <v>530</v>
      </c>
      <c r="B251" t="s">
        <v>1782</v>
      </c>
      <c r="C251" t="s">
        <v>532</v>
      </c>
      <c r="D251" t="s">
        <v>1705</v>
      </c>
      <c r="E251" t="s">
        <v>534</v>
      </c>
      <c r="F251" t="s">
        <v>534</v>
      </c>
      <c r="G251" t="s">
        <v>535</v>
      </c>
      <c r="H251" s="1">
        <v>390</v>
      </c>
      <c r="I251" s="1">
        <v>390</v>
      </c>
      <c r="J251" t="s">
        <v>536</v>
      </c>
      <c r="L251" t="s">
        <v>536</v>
      </c>
      <c r="M251" t="s">
        <v>404</v>
      </c>
      <c r="N251" t="s">
        <v>537</v>
      </c>
      <c r="P251" s="1">
        <v>390</v>
      </c>
      <c r="Q251" t="s">
        <v>642</v>
      </c>
      <c r="R251" t="s">
        <v>535</v>
      </c>
      <c r="S251" t="s">
        <v>539</v>
      </c>
      <c r="T251" s="2">
        <v>1</v>
      </c>
      <c r="U251" s="1">
        <v>390</v>
      </c>
      <c r="V251" s="1">
        <v>390</v>
      </c>
      <c r="X251" t="s">
        <v>540</v>
      </c>
      <c r="Z251" t="s">
        <v>541</v>
      </c>
      <c r="AA251" t="s">
        <v>542</v>
      </c>
      <c r="AB251" t="s">
        <v>543</v>
      </c>
      <c r="AC251" t="s">
        <v>544</v>
      </c>
      <c r="AD251" t="s">
        <v>545</v>
      </c>
      <c r="AE251" s="3">
        <v>1</v>
      </c>
      <c r="AF251" t="s">
        <v>14</v>
      </c>
      <c r="AG251" s="1">
        <v>390</v>
      </c>
      <c r="AI251" s="1">
        <v>390</v>
      </c>
      <c r="AJ251" s="1">
        <v>390</v>
      </c>
      <c r="AM251" s="1">
        <v>390</v>
      </c>
      <c r="AN251" t="s">
        <v>565</v>
      </c>
      <c r="AO251" t="s">
        <v>546</v>
      </c>
      <c r="AP251" t="s">
        <v>565</v>
      </c>
      <c r="AQ251" t="s">
        <v>548</v>
      </c>
      <c r="AS251" t="s">
        <v>404</v>
      </c>
      <c r="AX251" s="1">
        <v>390</v>
      </c>
      <c r="AY251" t="s">
        <v>546</v>
      </c>
      <c r="AZ251" t="s">
        <v>566</v>
      </c>
      <c r="BA251" s="1">
        <v>390</v>
      </c>
      <c r="BC251" t="s">
        <v>546</v>
      </c>
      <c r="BD251" s="1">
        <v>390</v>
      </c>
      <c r="BE251" t="s">
        <v>540</v>
      </c>
      <c r="BF251" s="1">
        <v>390</v>
      </c>
      <c r="BH251" s="1">
        <v>390</v>
      </c>
      <c r="BI251" t="s">
        <v>550</v>
      </c>
      <c r="BJ251" t="s">
        <v>551</v>
      </c>
      <c r="BK251" t="s">
        <v>551</v>
      </c>
      <c r="BL251" t="s">
        <v>552</v>
      </c>
      <c r="BM251" t="s">
        <v>1705</v>
      </c>
      <c r="BN251" t="s">
        <v>1783</v>
      </c>
      <c r="BO251" t="s">
        <v>1784</v>
      </c>
      <c r="BR251" t="s">
        <v>546</v>
      </c>
      <c r="BS251" s="1">
        <v>390</v>
      </c>
      <c r="BW251" t="s">
        <v>536</v>
      </c>
      <c r="BX251" s="1">
        <v>390</v>
      </c>
      <c r="BZ251" t="s">
        <v>535</v>
      </c>
      <c r="CA251" t="s">
        <v>546</v>
      </c>
      <c r="CB251" t="s">
        <v>1705</v>
      </c>
      <c r="CC251" t="s">
        <v>556</v>
      </c>
      <c r="CD251" t="s">
        <v>913</v>
      </c>
      <c r="CE251" t="s">
        <v>914</v>
      </c>
      <c r="CF251" t="s">
        <v>14</v>
      </c>
      <c r="CG251" s="4">
        <v>1</v>
      </c>
      <c r="CH251" t="s">
        <v>546</v>
      </c>
      <c r="CK251" t="s">
        <v>1779</v>
      </c>
      <c r="CL251" s="1">
        <v>390</v>
      </c>
      <c r="CN251" t="s">
        <v>535</v>
      </c>
      <c r="CO251" t="s">
        <v>539</v>
      </c>
      <c r="CT251" t="s">
        <v>651</v>
      </c>
      <c r="CW251" t="s">
        <v>546</v>
      </c>
      <c r="DD251" t="s">
        <v>561</v>
      </c>
      <c r="DK251" t="s">
        <v>1780</v>
      </c>
      <c r="DL251" t="s">
        <v>1781</v>
      </c>
    </row>
    <row r="252" ht="15" customHeight="1" spans="1:122">
      <c r="A252" t="s">
        <v>603</v>
      </c>
      <c r="B252" t="s">
        <v>1785</v>
      </c>
      <c r="D252" t="s">
        <v>1705</v>
      </c>
      <c r="E252" t="s">
        <v>534</v>
      </c>
      <c r="F252" t="s">
        <v>534</v>
      </c>
      <c r="G252" t="s">
        <v>535</v>
      </c>
      <c r="H252" s="1">
        <v>50000</v>
      </c>
      <c r="I252" s="1">
        <v>50000</v>
      </c>
      <c r="J252" t="s">
        <v>536</v>
      </c>
      <c r="L252" t="s">
        <v>536</v>
      </c>
      <c r="M252" t="s">
        <v>402</v>
      </c>
      <c r="N252" t="s">
        <v>369</v>
      </c>
      <c r="P252" s="1">
        <v>50000</v>
      </c>
      <c r="Q252" t="s">
        <v>606</v>
      </c>
      <c r="R252" t="s">
        <v>535</v>
      </c>
      <c r="S252" t="s">
        <v>539</v>
      </c>
      <c r="T252" s="2">
        <v>1</v>
      </c>
      <c r="U252" s="1">
        <v>50000</v>
      </c>
      <c r="V252" s="1">
        <v>50000</v>
      </c>
      <c r="X252" t="s">
        <v>616</v>
      </c>
      <c r="Z252" t="s">
        <v>541</v>
      </c>
      <c r="AA252" t="s">
        <v>542</v>
      </c>
      <c r="AB252" t="s">
        <v>543</v>
      </c>
      <c r="AC252" t="s">
        <v>608</v>
      </c>
      <c r="AE252" s="3">
        <v>1</v>
      </c>
      <c r="AG252" s="1">
        <v>50000</v>
      </c>
      <c r="AI252" s="1">
        <v>50000</v>
      </c>
      <c r="AJ252" s="1">
        <v>50000</v>
      </c>
      <c r="AM252" s="1">
        <v>50000</v>
      </c>
      <c r="AN252" t="s">
        <v>536</v>
      </c>
      <c r="AO252" t="s">
        <v>546</v>
      </c>
      <c r="AP252" t="s">
        <v>547</v>
      </c>
      <c r="AQ252" t="s">
        <v>548</v>
      </c>
      <c r="AS252" t="s">
        <v>402</v>
      </c>
      <c r="AX252" s="1">
        <v>50000</v>
      </c>
      <c r="AY252" t="s">
        <v>546</v>
      </c>
      <c r="AZ252" t="s">
        <v>549</v>
      </c>
      <c r="BA252" s="1">
        <v>50000</v>
      </c>
      <c r="BC252" t="s">
        <v>546</v>
      </c>
      <c r="BE252" t="s">
        <v>616</v>
      </c>
      <c r="BH252" s="1">
        <v>50000</v>
      </c>
      <c r="BI252" t="s">
        <v>550</v>
      </c>
      <c r="BJ252" t="s">
        <v>606</v>
      </c>
      <c r="BK252" t="s">
        <v>606</v>
      </c>
      <c r="BL252" t="s">
        <v>552</v>
      </c>
      <c r="BM252" t="s">
        <v>1705</v>
      </c>
      <c r="BN252" t="s">
        <v>1786</v>
      </c>
      <c r="BO252" t="s">
        <v>1787</v>
      </c>
      <c r="BR252" t="s">
        <v>546</v>
      </c>
      <c r="BS252" s="1">
        <v>50000</v>
      </c>
      <c r="BW252" t="s">
        <v>536</v>
      </c>
      <c r="BZ252" t="s">
        <v>535</v>
      </c>
      <c r="CA252" t="s">
        <v>546</v>
      </c>
      <c r="CB252" t="s">
        <v>1705</v>
      </c>
      <c r="CC252" t="s">
        <v>556</v>
      </c>
      <c r="CH252" t="s">
        <v>546</v>
      </c>
      <c r="CK252" t="s">
        <v>1788</v>
      </c>
      <c r="CN252" t="s">
        <v>535</v>
      </c>
      <c r="CO252" t="s">
        <v>539</v>
      </c>
      <c r="CT252" t="s">
        <v>1789</v>
      </c>
      <c r="CW252" t="s">
        <v>546</v>
      </c>
      <c r="DD252" t="s">
        <v>561</v>
      </c>
    </row>
    <row r="253" ht="15" customHeight="1" spans="1:122">
      <c r="A253" t="s">
        <v>530</v>
      </c>
      <c r="B253" t="s">
        <v>1790</v>
      </c>
      <c r="C253" t="s">
        <v>532</v>
      </c>
      <c r="D253" t="s">
        <v>1503</v>
      </c>
      <c r="E253" t="s">
        <v>534</v>
      </c>
      <c r="F253" t="s">
        <v>534</v>
      </c>
      <c r="G253" t="s">
        <v>535</v>
      </c>
      <c r="H253" s="1">
        <v>2462.2</v>
      </c>
      <c r="I253" s="1">
        <v>2462.2</v>
      </c>
      <c r="J253" t="s">
        <v>536</v>
      </c>
      <c r="L253" t="s">
        <v>536</v>
      </c>
      <c r="M253" t="s">
        <v>380</v>
      </c>
      <c r="N253" t="s">
        <v>369</v>
      </c>
      <c r="P253" s="1">
        <v>2462.2</v>
      </c>
      <c r="Q253" t="s">
        <v>996</v>
      </c>
      <c r="R253" t="s">
        <v>535</v>
      </c>
      <c r="S253" t="s">
        <v>539</v>
      </c>
      <c r="T253" s="2">
        <v>1</v>
      </c>
      <c r="U253" s="1">
        <v>2462.2</v>
      </c>
      <c r="V253" s="1">
        <v>2462.2</v>
      </c>
      <c r="X253" t="s">
        <v>540</v>
      </c>
      <c r="Z253" t="s">
        <v>541</v>
      </c>
      <c r="AA253" t="s">
        <v>542</v>
      </c>
      <c r="AB253" t="s">
        <v>543</v>
      </c>
      <c r="AC253" t="s">
        <v>544</v>
      </c>
      <c r="AD253" t="s">
        <v>545</v>
      </c>
      <c r="AE253" s="3">
        <v>1</v>
      </c>
      <c r="AF253" t="s">
        <v>319</v>
      </c>
      <c r="AG253" s="1">
        <v>2462.2</v>
      </c>
      <c r="AI253" s="1">
        <v>2462.2</v>
      </c>
      <c r="AJ253" s="1">
        <v>2462.2</v>
      </c>
      <c r="AM253" s="1">
        <v>2462.2</v>
      </c>
      <c r="AN253" t="s">
        <v>536</v>
      </c>
      <c r="AO253" t="s">
        <v>546</v>
      </c>
      <c r="AP253" t="s">
        <v>547</v>
      </c>
      <c r="AQ253" t="s">
        <v>548</v>
      </c>
      <c r="AS253" t="s">
        <v>380</v>
      </c>
      <c r="AX253" s="1">
        <v>2462.2</v>
      </c>
      <c r="AY253" t="s">
        <v>546</v>
      </c>
      <c r="AZ253" t="s">
        <v>549</v>
      </c>
      <c r="BA253" s="1">
        <v>2462.2</v>
      </c>
      <c r="BC253" t="s">
        <v>546</v>
      </c>
      <c r="BD253" s="1">
        <v>2462.2</v>
      </c>
      <c r="BE253" t="s">
        <v>540</v>
      </c>
      <c r="BF253" s="1">
        <v>2462.2</v>
      </c>
      <c r="BH253" s="1">
        <v>2462.2</v>
      </c>
      <c r="BI253" t="s">
        <v>550</v>
      </c>
      <c r="BJ253" t="s">
        <v>551</v>
      </c>
      <c r="BK253" t="s">
        <v>551</v>
      </c>
      <c r="BL253" t="s">
        <v>552</v>
      </c>
      <c r="BM253" t="s">
        <v>1705</v>
      </c>
      <c r="BN253" t="s">
        <v>1791</v>
      </c>
      <c r="BO253" t="s">
        <v>1792</v>
      </c>
      <c r="BR253" t="s">
        <v>546</v>
      </c>
      <c r="BS253" s="1">
        <v>2462.2</v>
      </c>
      <c r="BW253" t="s">
        <v>536</v>
      </c>
      <c r="BX253" s="1">
        <v>2462.2</v>
      </c>
      <c r="BZ253" t="s">
        <v>535</v>
      </c>
      <c r="CA253" t="s">
        <v>546</v>
      </c>
      <c r="CB253" t="s">
        <v>1503</v>
      </c>
      <c r="CC253" t="s">
        <v>556</v>
      </c>
      <c r="CD253" t="s">
        <v>1099</v>
      </c>
      <c r="CE253" t="s">
        <v>1100</v>
      </c>
      <c r="CF253" t="s">
        <v>319</v>
      </c>
      <c r="CG253" s="4">
        <v>1</v>
      </c>
      <c r="CH253" t="s">
        <v>546</v>
      </c>
      <c r="CK253" t="s">
        <v>1793</v>
      </c>
      <c r="CL253" s="1">
        <v>2462.2</v>
      </c>
      <c r="CN253" t="s">
        <v>535</v>
      </c>
      <c r="CO253" t="s">
        <v>539</v>
      </c>
      <c r="CT253" t="s">
        <v>576</v>
      </c>
      <c r="CW253" t="s">
        <v>546</v>
      </c>
      <c r="DD253" t="s">
        <v>561</v>
      </c>
      <c r="DK253" t="s">
        <v>1119</v>
      </c>
      <c r="DL253" t="s">
        <v>1794</v>
      </c>
    </row>
    <row r="254" ht="15" customHeight="1" spans="1:122">
      <c r="A254" t="s">
        <v>530</v>
      </c>
      <c r="B254" t="s">
        <v>1795</v>
      </c>
      <c r="C254" t="s">
        <v>532</v>
      </c>
      <c r="D254" t="s">
        <v>1705</v>
      </c>
      <c r="E254" t="s">
        <v>534</v>
      </c>
      <c r="F254" t="s">
        <v>534</v>
      </c>
      <c r="G254" t="s">
        <v>535</v>
      </c>
      <c r="H254" s="1">
        <v>703.8</v>
      </c>
      <c r="I254" s="1">
        <v>699.58</v>
      </c>
      <c r="J254" t="s">
        <v>536</v>
      </c>
      <c r="L254" t="s">
        <v>536</v>
      </c>
      <c r="M254" t="s">
        <v>377</v>
      </c>
      <c r="N254" t="s">
        <v>537</v>
      </c>
      <c r="P254" s="1">
        <v>703.8</v>
      </c>
      <c r="Q254" t="s">
        <v>538</v>
      </c>
      <c r="R254" t="s">
        <v>535</v>
      </c>
      <c r="S254" t="s">
        <v>539</v>
      </c>
      <c r="T254" s="2">
        <v>1</v>
      </c>
      <c r="U254" s="1">
        <v>703.8</v>
      </c>
      <c r="V254" s="1">
        <v>699.58</v>
      </c>
      <c r="X254" t="s">
        <v>540</v>
      </c>
      <c r="Z254" t="s">
        <v>541</v>
      </c>
      <c r="AA254" t="s">
        <v>542</v>
      </c>
      <c r="AB254" t="s">
        <v>543</v>
      </c>
      <c r="AC254" t="s">
        <v>544</v>
      </c>
      <c r="AD254" t="s">
        <v>545</v>
      </c>
      <c r="AE254" s="3">
        <v>1</v>
      </c>
      <c r="AF254" t="s">
        <v>119</v>
      </c>
      <c r="AG254" s="1">
        <v>703.8</v>
      </c>
      <c r="AI254" s="1">
        <v>703.8</v>
      </c>
      <c r="AJ254" s="1">
        <v>703.8</v>
      </c>
      <c r="AK254" s="1">
        <v>4.22</v>
      </c>
      <c r="AM254" s="1">
        <v>699.58</v>
      </c>
      <c r="AN254" t="s">
        <v>536</v>
      </c>
      <c r="AO254" t="s">
        <v>546</v>
      </c>
      <c r="AP254" t="s">
        <v>547</v>
      </c>
      <c r="AQ254" t="s">
        <v>548</v>
      </c>
      <c r="AS254" t="s">
        <v>377</v>
      </c>
      <c r="AX254" s="1">
        <v>703.8</v>
      </c>
      <c r="AY254" t="s">
        <v>546</v>
      </c>
      <c r="AZ254" t="s">
        <v>549</v>
      </c>
      <c r="BA254" s="1">
        <v>703.8</v>
      </c>
      <c r="BC254" t="s">
        <v>546</v>
      </c>
      <c r="BD254" s="1">
        <v>703.8</v>
      </c>
      <c r="BE254" t="s">
        <v>540</v>
      </c>
      <c r="BF254" s="1">
        <v>703.8</v>
      </c>
      <c r="BG254" s="1">
        <v>4.22</v>
      </c>
      <c r="BH254" s="1">
        <v>699.58</v>
      </c>
      <c r="BI254" t="s">
        <v>550</v>
      </c>
      <c r="BJ254" t="s">
        <v>551</v>
      </c>
      <c r="BK254" t="s">
        <v>552</v>
      </c>
      <c r="BL254" t="s">
        <v>552</v>
      </c>
      <c r="BM254" t="s">
        <v>1705</v>
      </c>
      <c r="BN254" t="s">
        <v>1796</v>
      </c>
      <c r="BO254" t="s">
        <v>1796</v>
      </c>
      <c r="BR254" t="s">
        <v>546</v>
      </c>
      <c r="BS254" s="1">
        <v>703.8</v>
      </c>
      <c r="BW254" t="s">
        <v>536</v>
      </c>
      <c r="BX254" s="1">
        <v>703.8</v>
      </c>
      <c r="BZ254" t="s">
        <v>535</v>
      </c>
      <c r="CA254" t="s">
        <v>546</v>
      </c>
      <c r="CB254" t="s">
        <v>1705</v>
      </c>
      <c r="CC254" t="s">
        <v>556</v>
      </c>
      <c r="CD254" t="s">
        <v>891</v>
      </c>
      <c r="CE254" t="s">
        <v>892</v>
      </c>
      <c r="CF254" t="s">
        <v>119</v>
      </c>
      <c r="CG254" s="4">
        <v>1</v>
      </c>
      <c r="CH254" t="s">
        <v>546</v>
      </c>
      <c r="CK254" t="s">
        <v>1797</v>
      </c>
      <c r="CL254" s="1">
        <v>703.8</v>
      </c>
      <c r="CN254" t="s">
        <v>535</v>
      </c>
      <c r="CO254" t="s">
        <v>539</v>
      </c>
      <c r="CT254" t="s">
        <v>560</v>
      </c>
      <c r="CW254" t="s">
        <v>546</v>
      </c>
      <c r="DD254" t="s">
        <v>561</v>
      </c>
      <c r="DK254" t="s">
        <v>1798</v>
      </c>
      <c r="DL254" t="s">
        <v>1799</v>
      </c>
    </row>
    <row r="255" ht="15" customHeight="1" spans="1:122">
      <c r="A255" t="s">
        <v>530</v>
      </c>
      <c r="B255" t="s">
        <v>1800</v>
      </c>
      <c r="C255" t="s">
        <v>532</v>
      </c>
      <c r="D255" t="s">
        <v>1705</v>
      </c>
      <c r="E255" t="s">
        <v>534</v>
      </c>
      <c r="F255" t="s">
        <v>534</v>
      </c>
      <c r="G255" t="s">
        <v>535</v>
      </c>
      <c r="H255" s="1">
        <v>124.2</v>
      </c>
      <c r="I255" s="1">
        <v>124.2</v>
      </c>
      <c r="J255" t="s">
        <v>536</v>
      </c>
      <c r="L255" t="s">
        <v>536</v>
      </c>
      <c r="M255" t="s">
        <v>377</v>
      </c>
      <c r="N255" t="s">
        <v>537</v>
      </c>
      <c r="P255" s="1">
        <v>124.2</v>
      </c>
      <c r="Q255" t="s">
        <v>538</v>
      </c>
      <c r="R255" t="s">
        <v>535</v>
      </c>
      <c r="S255" t="s">
        <v>539</v>
      </c>
      <c r="T255" s="2">
        <v>1</v>
      </c>
      <c r="U255" s="1">
        <v>124.2</v>
      </c>
      <c r="V255" s="1">
        <v>124.2</v>
      </c>
      <c r="X255" t="s">
        <v>540</v>
      </c>
      <c r="Z255" t="s">
        <v>541</v>
      </c>
      <c r="AA255" t="s">
        <v>542</v>
      </c>
      <c r="AB255" t="s">
        <v>543</v>
      </c>
      <c r="AC255" t="s">
        <v>544</v>
      </c>
      <c r="AD255" t="s">
        <v>545</v>
      </c>
      <c r="AE255" s="3">
        <v>1</v>
      </c>
      <c r="AF255" t="s">
        <v>119</v>
      </c>
      <c r="AG255" s="1">
        <v>124.2</v>
      </c>
      <c r="AI255" s="1">
        <v>124.2</v>
      </c>
      <c r="AJ255" s="1">
        <v>124.2</v>
      </c>
      <c r="AM255" s="1">
        <v>124.2</v>
      </c>
      <c r="AN255" t="s">
        <v>565</v>
      </c>
      <c r="AO255" t="s">
        <v>546</v>
      </c>
      <c r="AP255" t="s">
        <v>565</v>
      </c>
      <c r="AQ255" t="s">
        <v>548</v>
      </c>
      <c r="AS255" t="s">
        <v>377</v>
      </c>
      <c r="AX255" s="1">
        <v>124.2</v>
      </c>
      <c r="AY255" t="s">
        <v>546</v>
      </c>
      <c r="AZ255" t="s">
        <v>566</v>
      </c>
      <c r="BA255" s="1">
        <v>124.2</v>
      </c>
      <c r="BC255" t="s">
        <v>546</v>
      </c>
      <c r="BD255" s="1">
        <v>124.2</v>
      </c>
      <c r="BE255" t="s">
        <v>540</v>
      </c>
      <c r="BF255" s="1">
        <v>124.2</v>
      </c>
      <c r="BH255" s="1">
        <v>124.2</v>
      </c>
      <c r="BI255" t="s">
        <v>550</v>
      </c>
      <c r="BJ255" t="s">
        <v>551</v>
      </c>
      <c r="BK255" t="s">
        <v>551</v>
      </c>
      <c r="BL255" t="s">
        <v>552</v>
      </c>
      <c r="BM255" t="s">
        <v>1705</v>
      </c>
      <c r="BN255" t="s">
        <v>1801</v>
      </c>
      <c r="BO255" t="s">
        <v>1802</v>
      </c>
      <c r="BR255" t="s">
        <v>546</v>
      </c>
      <c r="BS255" s="1">
        <v>124.2</v>
      </c>
      <c r="BW255" t="s">
        <v>536</v>
      </c>
      <c r="BX255" s="1">
        <v>124.2</v>
      </c>
      <c r="BZ255" t="s">
        <v>535</v>
      </c>
      <c r="CA255" t="s">
        <v>546</v>
      </c>
      <c r="CB255" t="s">
        <v>1705</v>
      </c>
      <c r="CC255" t="s">
        <v>556</v>
      </c>
      <c r="CD255" t="s">
        <v>891</v>
      </c>
      <c r="CE255" t="s">
        <v>892</v>
      </c>
      <c r="CF255" t="s">
        <v>119</v>
      </c>
      <c r="CG255" s="4">
        <v>1</v>
      </c>
      <c r="CH255" t="s">
        <v>546</v>
      </c>
      <c r="CK255" t="s">
        <v>1797</v>
      </c>
      <c r="CL255" s="1">
        <v>124.2</v>
      </c>
      <c r="CN255" t="s">
        <v>535</v>
      </c>
      <c r="CO255" t="s">
        <v>539</v>
      </c>
      <c r="CT255" t="s">
        <v>560</v>
      </c>
      <c r="CW255" t="s">
        <v>546</v>
      </c>
      <c r="DD255" t="s">
        <v>561</v>
      </c>
      <c r="DK255" t="s">
        <v>1798</v>
      </c>
      <c r="DL255" t="s">
        <v>1799</v>
      </c>
    </row>
    <row r="256" ht="15" customHeight="1" spans="1:122">
      <c r="A256" t="s">
        <v>530</v>
      </c>
      <c r="B256" t="s">
        <v>1803</v>
      </c>
      <c r="C256" t="s">
        <v>532</v>
      </c>
      <c r="D256" t="s">
        <v>1503</v>
      </c>
      <c r="E256" t="s">
        <v>534</v>
      </c>
      <c r="F256" t="s">
        <v>534</v>
      </c>
      <c r="G256" t="s">
        <v>535</v>
      </c>
      <c r="H256" s="1">
        <v>2950</v>
      </c>
      <c r="I256" s="1">
        <v>2950</v>
      </c>
      <c r="J256" t="s">
        <v>536</v>
      </c>
      <c r="L256" t="s">
        <v>536</v>
      </c>
      <c r="M256" t="s">
        <v>371</v>
      </c>
      <c r="N256" t="s">
        <v>537</v>
      </c>
      <c r="P256" s="1">
        <v>2950</v>
      </c>
      <c r="Q256" t="s">
        <v>1060</v>
      </c>
      <c r="R256" t="s">
        <v>535</v>
      </c>
      <c r="S256" t="s">
        <v>539</v>
      </c>
      <c r="T256" s="2">
        <v>1</v>
      </c>
      <c r="U256" s="1">
        <v>2950</v>
      </c>
      <c r="V256" s="1">
        <v>2950</v>
      </c>
      <c r="X256" t="s">
        <v>540</v>
      </c>
      <c r="Z256" t="s">
        <v>541</v>
      </c>
      <c r="AA256" t="s">
        <v>542</v>
      </c>
      <c r="AB256" t="s">
        <v>543</v>
      </c>
      <c r="AC256" t="s">
        <v>544</v>
      </c>
      <c r="AD256" t="s">
        <v>545</v>
      </c>
      <c r="AE256" s="3">
        <v>1</v>
      </c>
      <c r="AF256" t="s">
        <v>2</v>
      </c>
      <c r="AG256" s="1">
        <v>2950</v>
      </c>
      <c r="AI256" s="1">
        <v>2950</v>
      </c>
      <c r="AJ256" s="1">
        <v>2950</v>
      </c>
      <c r="AM256" s="1">
        <v>2950</v>
      </c>
      <c r="AN256" t="s">
        <v>643</v>
      </c>
      <c r="AO256" t="s">
        <v>546</v>
      </c>
      <c r="AP256" t="s">
        <v>643</v>
      </c>
      <c r="AQ256" t="s">
        <v>548</v>
      </c>
      <c r="AS256" t="s">
        <v>371</v>
      </c>
      <c r="AX256" s="1">
        <v>2950</v>
      </c>
      <c r="AY256" t="s">
        <v>546</v>
      </c>
      <c r="AZ256" t="s">
        <v>644</v>
      </c>
      <c r="BA256" s="1">
        <v>2950</v>
      </c>
      <c r="BC256" t="s">
        <v>546</v>
      </c>
      <c r="BD256" s="1">
        <v>2950</v>
      </c>
      <c r="BE256" t="s">
        <v>540</v>
      </c>
      <c r="BF256" s="1">
        <v>2950</v>
      </c>
      <c r="BH256" s="1">
        <v>2950</v>
      </c>
      <c r="BI256" t="s">
        <v>550</v>
      </c>
      <c r="BJ256" t="s">
        <v>551</v>
      </c>
      <c r="BK256" t="s">
        <v>551</v>
      </c>
      <c r="BL256" t="s">
        <v>552</v>
      </c>
      <c r="BM256" t="s">
        <v>1705</v>
      </c>
      <c r="BN256" t="s">
        <v>1804</v>
      </c>
      <c r="BO256" t="s">
        <v>1805</v>
      </c>
      <c r="BR256" t="s">
        <v>546</v>
      </c>
      <c r="BS256" s="1">
        <v>2950</v>
      </c>
      <c r="BW256" t="s">
        <v>536</v>
      </c>
      <c r="BX256" s="1">
        <v>2950</v>
      </c>
      <c r="BZ256" t="s">
        <v>535</v>
      </c>
      <c r="CA256" t="s">
        <v>546</v>
      </c>
      <c r="CB256" t="s">
        <v>1503</v>
      </c>
      <c r="CC256" t="s">
        <v>556</v>
      </c>
      <c r="CD256" t="s">
        <v>1806</v>
      </c>
      <c r="CE256" t="s">
        <v>1807</v>
      </c>
      <c r="CF256" t="s">
        <v>2</v>
      </c>
      <c r="CG256" s="4">
        <v>1</v>
      </c>
      <c r="CH256" t="s">
        <v>546</v>
      </c>
      <c r="CK256" t="s">
        <v>1808</v>
      </c>
      <c r="CL256" s="1">
        <v>2950</v>
      </c>
      <c r="CN256" t="s">
        <v>535</v>
      </c>
      <c r="CO256" t="s">
        <v>539</v>
      </c>
      <c r="CT256" t="s">
        <v>576</v>
      </c>
      <c r="CW256" t="s">
        <v>546</v>
      </c>
      <c r="DD256" t="s">
        <v>561</v>
      </c>
      <c r="DK256" t="s">
        <v>1809</v>
      </c>
      <c r="DL256" t="s">
        <v>1810</v>
      </c>
      <c r="DR256" t="s">
        <v>1811</v>
      </c>
    </row>
    <row r="257" ht="15" customHeight="1" spans="1:122">
      <c r="A257" t="s">
        <v>603</v>
      </c>
      <c r="B257" t="s">
        <v>1812</v>
      </c>
      <c r="C257" t="s">
        <v>532</v>
      </c>
      <c r="D257" t="s">
        <v>1705</v>
      </c>
      <c r="E257" t="s">
        <v>534</v>
      </c>
      <c r="F257" t="s">
        <v>534</v>
      </c>
      <c r="G257" t="s">
        <v>535</v>
      </c>
      <c r="H257" s="1">
        <v>8380</v>
      </c>
      <c r="I257" s="1">
        <v>8380</v>
      </c>
      <c r="J257" t="s">
        <v>536</v>
      </c>
      <c r="L257" t="s">
        <v>536</v>
      </c>
      <c r="M257" t="s">
        <v>385</v>
      </c>
      <c r="N257" t="s">
        <v>537</v>
      </c>
      <c r="P257" s="1">
        <v>8380</v>
      </c>
      <c r="Q257" t="s">
        <v>996</v>
      </c>
      <c r="R257" t="s">
        <v>535</v>
      </c>
      <c r="S257" t="s">
        <v>539</v>
      </c>
      <c r="T257" s="2">
        <v>1</v>
      </c>
      <c r="U257" s="1">
        <v>8380</v>
      </c>
      <c r="V257" s="1">
        <v>8380</v>
      </c>
      <c r="X257" t="s">
        <v>616</v>
      </c>
      <c r="Z257" t="s">
        <v>541</v>
      </c>
      <c r="AA257" t="s">
        <v>542</v>
      </c>
      <c r="AB257" t="s">
        <v>543</v>
      </c>
      <c r="AC257" t="s">
        <v>608</v>
      </c>
      <c r="AE257" s="3">
        <v>1</v>
      </c>
      <c r="AG257" s="1">
        <v>8380</v>
      </c>
      <c r="AI257" s="1">
        <v>8380</v>
      </c>
      <c r="AJ257" s="1">
        <v>8380</v>
      </c>
      <c r="AM257" s="1">
        <v>8380</v>
      </c>
      <c r="AN257" t="s">
        <v>536</v>
      </c>
      <c r="AO257" t="s">
        <v>546</v>
      </c>
      <c r="AP257" t="s">
        <v>547</v>
      </c>
      <c r="AQ257" t="s">
        <v>548</v>
      </c>
      <c r="AS257" t="s">
        <v>385</v>
      </c>
      <c r="AX257" s="1">
        <v>8380</v>
      </c>
      <c r="AY257" t="s">
        <v>546</v>
      </c>
      <c r="AZ257" t="s">
        <v>549</v>
      </c>
      <c r="BA257" s="1">
        <v>8380</v>
      </c>
      <c r="BC257" t="s">
        <v>546</v>
      </c>
      <c r="BE257" t="s">
        <v>616</v>
      </c>
      <c r="BH257" s="1">
        <v>8380</v>
      </c>
      <c r="BI257" t="s">
        <v>550</v>
      </c>
      <c r="BJ257" t="s">
        <v>551</v>
      </c>
      <c r="BK257" t="s">
        <v>551</v>
      </c>
      <c r="BL257" t="s">
        <v>552</v>
      </c>
      <c r="BM257" t="s">
        <v>1705</v>
      </c>
      <c r="BN257" t="s">
        <v>1813</v>
      </c>
      <c r="BO257" t="s">
        <v>1814</v>
      </c>
      <c r="BR257" t="s">
        <v>546</v>
      </c>
      <c r="BS257" s="1">
        <v>8380</v>
      </c>
      <c r="BW257" t="s">
        <v>536</v>
      </c>
      <c r="BZ257" t="s">
        <v>535</v>
      </c>
      <c r="CA257" t="s">
        <v>546</v>
      </c>
      <c r="CB257" t="s">
        <v>1705</v>
      </c>
      <c r="CC257" t="s">
        <v>556</v>
      </c>
      <c r="CH257" t="s">
        <v>546</v>
      </c>
      <c r="CK257" t="s">
        <v>1815</v>
      </c>
      <c r="CN257" t="s">
        <v>535</v>
      </c>
      <c r="CO257" t="s">
        <v>539</v>
      </c>
      <c r="CT257" t="s">
        <v>1816</v>
      </c>
      <c r="CW257" t="s">
        <v>546</v>
      </c>
      <c r="DD257" t="s">
        <v>561</v>
      </c>
      <c r="DK257" t="s">
        <v>385</v>
      </c>
      <c r="DL257" t="s">
        <v>1817</v>
      </c>
    </row>
    <row r="258" ht="15" customHeight="1" spans="1:122">
      <c r="A258" t="s">
        <v>530</v>
      </c>
      <c r="B258" t="s">
        <v>1818</v>
      </c>
      <c r="C258" t="s">
        <v>532</v>
      </c>
      <c r="D258" t="s">
        <v>1396</v>
      </c>
      <c r="E258" t="s">
        <v>534</v>
      </c>
      <c r="F258" t="s">
        <v>534</v>
      </c>
      <c r="G258" t="s">
        <v>535</v>
      </c>
      <c r="H258" s="1">
        <v>5872</v>
      </c>
      <c r="I258" s="1">
        <v>5859.38</v>
      </c>
      <c r="J258" t="s">
        <v>536</v>
      </c>
      <c r="L258" t="s">
        <v>536</v>
      </c>
      <c r="M258" t="s">
        <v>404</v>
      </c>
      <c r="N258" t="s">
        <v>537</v>
      </c>
      <c r="P258" s="1">
        <v>5872</v>
      </c>
      <c r="Q258" t="s">
        <v>642</v>
      </c>
      <c r="R258" t="s">
        <v>535</v>
      </c>
      <c r="S258" t="s">
        <v>539</v>
      </c>
      <c r="T258" s="2">
        <v>1</v>
      </c>
      <c r="U258" s="1">
        <v>5872</v>
      </c>
      <c r="V258" s="1">
        <v>5859.38</v>
      </c>
      <c r="X258" t="s">
        <v>540</v>
      </c>
      <c r="Z258" t="s">
        <v>541</v>
      </c>
      <c r="AA258" t="s">
        <v>542</v>
      </c>
      <c r="AB258" t="s">
        <v>659</v>
      </c>
      <c r="AC258" t="s">
        <v>544</v>
      </c>
      <c r="AD258" t="s">
        <v>545</v>
      </c>
      <c r="AE258" s="3">
        <v>1</v>
      </c>
      <c r="AF258" t="s">
        <v>107</v>
      </c>
      <c r="AG258" s="1">
        <v>5872</v>
      </c>
      <c r="AI258" s="1">
        <v>5872</v>
      </c>
      <c r="AJ258" s="1">
        <v>5872</v>
      </c>
      <c r="AK258" s="1">
        <v>12.62</v>
      </c>
      <c r="AM258" s="1">
        <v>5859.38</v>
      </c>
      <c r="AN258" t="s">
        <v>536</v>
      </c>
      <c r="AO258" t="s">
        <v>546</v>
      </c>
      <c r="AP258" t="s">
        <v>547</v>
      </c>
      <c r="AQ258" t="s">
        <v>548</v>
      </c>
      <c r="AS258" t="s">
        <v>404</v>
      </c>
      <c r="AX258" s="1">
        <v>5872</v>
      </c>
      <c r="AY258" t="s">
        <v>546</v>
      </c>
      <c r="AZ258" t="s">
        <v>549</v>
      </c>
      <c r="BA258" s="1">
        <v>5872</v>
      </c>
      <c r="BC258" t="s">
        <v>546</v>
      </c>
      <c r="BD258" s="1">
        <v>5872</v>
      </c>
      <c r="BE258" t="s">
        <v>540</v>
      </c>
      <c r="BF258" s="1">
        <v>5872</v>
      </c>
      <c r="BG258" s="1">
        <v>12.62</v>
      </c>
      <c r="BH258" s="1">
        <v>5859.38</v>
      </c>
      <c r="BI258" t="s">
        <v>550</v>
      </c>
      <c r="BJ258" t="s">
        <v>642</v>
      </c>
      <c r="BK258" t="s">
        <v>552</v>
      </c>
      <c r="BL258" t="s">
        <v>552</v>
      </c>
      <c r="BM258" t="s">
        <v>1705</v>
      </c>
      <c r="BN258" t="s">
        <v>1819</v>
      </c>
      <c r="BO258" t="s">
        <v>1820</v>
      </c>
      <c r="BR258" t="s">
        <v>546</v>
      </c>
      <c r="BS258" s="1">
        <v>5872</v>
      </c>
      <c r="BW258" t="s">
        <v>536</v>
      </c>
      <c r="BX258" s="1">
        <v>5872</v>
      </c>
      <c r="BZ258" t="s">
        <v>535</v>
      </c>
      <c r="CA258" t="s">
        <v>546</v>
      </c>
      <c r="CB258" t="s">
        <v>1396</v>
      </c>
      <c r="CC258" t="s">
        <v>556</v>
      </c>
      <c r="CD258" t="s">
        <v>1032</v>
      </c>
      <c r="CE258" t="s">
        <v>1033</v>
      </c>
      <c r="CF258" t="s">
        <v>107</v>
      </c>
      <c r="CG258" s="4">
        <v>1</v>
      </c>
      <c r="CH258" t="s">
        <v>546</v>
      </c>
      <c r="CK258" t="s">
        <v>1821</v>
      </c>
      <c r="CL258" s="1">
        <v>5872</v>
      </c>
      <c r="CN258" t="s">
        <v>535</v>
      </c>
      <c r="CO258" t="s">
        <v>539</v>
      </c>
      <c r="CT258" t="s">
        <v>651</v>
      </c>
      <c r="CW258" t="s">
        <v>546</v>
      </c>
      <c r="DD258" t="s">
        <v>561</v>
      </c>
      <c r="DK258" t="s">
        <v>1822</v>
      </c>
      <c r="DL258" t="s">
        <v>1823</v>
      </c>
    </row>
    <row r="259" ht="15" customHeight="1" spans="1:122">
      <c r="A259" t="s">
        <v>530</v>
      </c>
      <c r="B259" t="s">
        <v>1824</v>
      </c>
      <c r="C259" t="s">
        <v>532</v>
      </c>
      <c r="D259" t="s">
        <v>1301</v>
      </c>
      <c r="E259" t="s">
        <v>534</v>
      </c>
      <c r="F259" t="s">
        <v>534</v>
      </c>
      <c r="G259" t="s">
        <v>535</v>
      </c>
      <c r="H259" s="1">
        <v>2620</v>
      </c>
      <c r="I259" s="1">
        <v>2604.28</v>
      </c>
      <c r="J259" t="s">
        <v>536</v>
      </c>
      <c r="L259" t="s">
        <v>536</v>
      </c>
      <c r="M259" t="s">
        <v>375</v>
      </c>
      <c r="N259" t="s">
        <v>537</v>
      </c>
      <c r="P259" s="1">
        <v>2620</v>
      </c>
      <c r="Q259" t="s">
        <v>580</v>
      </c>
      <c r="R259" t="s">
        <v>535</v>
      </c>
      <c r="S259" t="s">
        <v>539</v>
      </c>
      <c r="T259" s="2">
        <v>1</v>
      </c>
      <c r="U259" s="1">
        <v>2620</v>
      </c>
      <c r="V259" s="1">
        <v>2604.28</v>
      </c>
      <c r="X259" t="s">
        <v>540</v>
      </c>
      <c r="Z259" t="s">
        <v>541</v>
      </c>
      <c r="AA259" t="s">
        <v>542</v>
      </c>
      <c r="AB259" t="s">
        <v>543</v>
      </c>
      <c r="AC259" t="s">
        <v>544</v>
      </c>
      <c r="AD259" t="s">
        <v>545</v>
      </c>
      <c r="AE259" s="3">
        <v>1</v>
      </c>
      <c r="AF259" t="s">
        <v>120</v>
      </c>
      <c r="AG259" s="1">
        <v>2620</v>
      </c>
      <c r="AI259" s="1">
        <v>2620</v>
      </c>
      <c r="AJ259" s="1">
        <v>2620</v>
      </c>
      <c r="AK259" s="1">
        <v>15.72</v>
      </c>
      <c r="AM259" s="1">
        <v>2604.28</v>
      </c>
      <c r="AN259" t="s">
        <v>536</v>
      </c>
      <c r="AO259" t="s">
        <v>546</v>
      </c>
      <c r="AP259" t="s">
        <v>547</v>
      </c>
      <c r="AQ259" t="s">
        <v>548</v>
      </c>
      <c r="AS259" t="s">
        <v>375</v>
      </c>
      <c r="AX259" s="1">
        <v>2620</v>
      </c>
      <c r="AY259" t="s">
        <v>546</v>
      </c>
      <c r="AZ259" t="s">
        <v>549</v>
      </c>
      <c r="BA259" s="1">
        <v>2620</v>
      </c>
      <c r="BC259" t="s">
        <v>546</v>
      </c>
      <c r="BD259" s="1">
        <v>2620</v>
      </c>
      <c r="BE259" t="s">
        <v>540</v>
      </c>
      <c r="BF259" s="1">
        <v>2620</v>
      </c>
      <c r="BG259" s="1">
        <v>15.72</v>
      </c>
      <c r="BH259" s="1">
        <v>2604.28</v>
      </c>
      <c r="BI259" t="s">
        <v>550</v>
      </c>
      <c r="BJ259" t="s">
        <v>551</v>
      </c>
      <c r="BK259" t="s">
        <v>552</v>
      </c>
      <c r="BL259" t="s">
        <v>552</v>
      </c>
      <c r="BM259" t="s">
        <v>1705</v>
      </c>
      <c r="BN259" t="s">
        <v>1825</v>
      </c>
      <c r="BO259" t="s">
        <v>1826</v>
      </c>
      <c r="BR259" t="s">
        <v>546</v>
      </c>
      <c r="BS259" s="1">
        <v>2620</v>
      </c>
      <c r="BW259" t="s">
        <v>536</v>
      </c>
      <c r="BX259" s="1">
        <v>2620</v>
      </c>
      <c r="BZ259" t="s">
        <v>535</v>
      </c>
      <c r="CA259" t="s">
        <v>546</v>
      </c>
      <c r="CB259" t="s">
        <v>1301</v>
      </c>
      <c r="CC259" t="s">
        <v>556</v>
      </c>
      <c r="CD259" t="s">
        <v>1071</v>
      </c>
      <c r="CE259" t="s">
        <v>1072</v>
      </c>
      <c r="CF259" t="s">
        <v>120</v>
      </c>
      <c r="CG259" s="4">
        <v>1</v>
      </c>
      <c r="CH259" t="s">
        <v>546</v>
      </c>
      <c r="CK259" t="s">
        <v>1827</v>
      </c>
      <c r="CL259" s="1">
        <v>2620</v>
      </c>
      <c r="CN259" t="s">
        <v>535</v>
      </c>
      <c r="CO259" t="s">
        <v>539</v>
      </c>
      <c r="CT259" t="s">
        <v>576</v>
      </c>
      <c r="CW259" t="s">
        <v>546</v>
      </c>
      <c r="DD259" t="s">
        <v>561</v>
      </c>
      <c r="DK259" t="s">
        <v>1828</v>
      </c>
      <c r="DL259" t="s">
        <v>1829</v>
      </c>
    </row>
    <row r="260" ht="15" customHeight="1" spans="1:122">
      <c r="A260" t="s">
        <v>530</v>
      </c>
      <c r="B260" t="s">
        <v>1830</v>
      </c>
      <c r="C260" t="s">
        <v>532</v>
      </c>
      <c r="D260" t="s">
        <v>1301</v>
      </c>
      <c r="E260" t="s">
        <v>534</v>
      </c>
      <c r="F260" t="s">
        <v>534</v>
      </c>
      <c r="G260" t="s">
        <v>535</v>
      </c>
      <c r="H260" s="1">
        <v>655</v>
      </c>
      <c r="I260" s="1">
        <v>655</v>
      </c>
      <c r="J260" t="s">
        <v>536</v>
      </c>
      <c r="L260" t="s">
        <v>536</v>
      </c>
      <c r="M260" t="s">
        <v>375</v>
      </c>
      <c r="N260" t="s">
        <v>537</v>
      </c>
      <c r="P260" s="1">
        <v>655</v>
      </c>
      <c r="Q260" t="s">
        <v>580</v>
      </c>
      <c r="R260" t="s">
        <v>535</v>
      </c>
      <c r="S260" t="s">
        <v>539</v>
      </c>
      <c r="T260" s="2">
        <v>1</v>
      </c>
      <c r="U260" s="1">
        <v>655</v>
      </c>
      <c r="V260" s="1">
        <v>655</v>
      </c>
      <c r="X260" t="s">
        <v>540</v>
      </c>
      <c r="Z260" t="s">
        <v>541</v>
      </c>
      <c r="AA260" t="s">
        <v>542</v>
      </c>
      <c r="AB260" t="s">
        <v>543</v>
      </c>
      <c r="AC260" t="s">
        <v>544</v>
      </c>
      <c r="AD260" t="s">
        <v>545</v>
      </c>
      <c r="AE260" s="3">
        <v>1</v>
      </c>
      <c r="AF260" t="s">
        <v>120</v>
      </c>
      <c r="AG260" s="1">
        <v>655</v>
      </c>
      <c r="AI260" s="1">
        <v>655</v>
      </c>
      <c r="AJ260" s="1">
        <v>655</v>
      </c>
      <c r="AM260" s="1">
        <v>655</v>
      </c>
      <c r="AN260" t="s">
        <v>565</v>
      </c>
      <c r="AO260" t="s">
        <v>546</v>
      </c>
      <c r="AP260" t="s">
        <v>565</v>
      </c>
      <c r="AQ260" t="s">
        <v>548</v>
      </c>
      <c r="AS260" t="s">
        <v>375</v>
      </c>
      <c r="AX260" s="1">
        <v>655</v>
      </c>
      <c r="AY260" t="s">
        <v>546</v>
      </c>
      <c r="AZ260" t="s">
        <v>566</v>
      </c>
      <c r="BA260" s="1">
        <v>655</v>
      </c>
      <c r="BC260" t="s">
        <v>546</v>
      </c>
      <c r="BD260" s="1">
        <v>655</v>
      </c>
      <c r="BE260" t="s">
        <v>540</v>
      </c>
      <c r="BF260" s="1">
        <v>655</v>
      </c>
      <c r="BH260" s="1">
        <v>655</v>
      </c>
      <c r="BI260" t="s">
        <v>550</v>
      </c>
      <c r="BJ260" t="s">
        <v>551</v>
      </c>
      <c r="BK260" t="s">
        <v>552</v>
      </c>
      <c r="BL260" t="s">
        <v>552</v>
      </c>
      <c r="BM260" t="s">
        <v>1705</v>
      </c>
      <c r="BN260" t="s">
        <v>1831</v>
      </c>
      <c r="BO260" t="s">
        <v>1832</v>
      </c>
      <c r="BR260" t="s">
        <v>546</v>
      </c>
      <c r="BS260" s="1">
        <v>655</v>
      </c>
      <c r="BW260" t="s">
        <v>536</v>
      </c>
      <c r="BX260" s="1">
        <v>655</v>
      </c>
      <c r="BZ260" t="s">
        <v>535</v>
      </c>
      <c r="CA260" t="s">
        <v>546</v>
      </c>
      <c r="CB260" t="s">
        <v>1301</v>
      </c>
      <c r="CC260" t="s">
        <v>556</v>
      </c>
      <c r="CD260" t="s">
        <v>1071</v>
      </c>
      <c r="CE260" t="s">
        <v>1072</v>
      </c>
      <c r="CF260" t="s">
        <v>120</v>
      </c>
      <c r="CG260" s="4">
        <v>1</v>
      </c>
      <c r="CH260" t="s">
        <v>546</v>
      </c>
      <c r="CK260" t="s">
        <v>1827</v>
      </c>
      <c r="CL260" s="1">
        <v>655</v>
      </c>
      <c r="CN260" t="s">
        <v>535</v>
      </c>
      <c r="CO260" t="s">
        <v>539</v>
      </c>
      <c r="CT260" t="s">
        <v>576</v>
      </c>
      <c r="CW260" t="s">
        <v>546</v>
      </c>
      <c r="DD260" t="s">
        <v>561</v>
      </c>
      <c r="DK260" t="s">
        <v>1828</v>
      </c>
      <c r="DL260" t="s">
        <v>1829</v>
      </c>
    </row>
    <row r="261" ht="15" customHeight="1" spans="1:122">
      <c r="A261" t="s">
        <v>530</v>
      </c>
      <c r="B261" t="s">
        <v>1833</v>
      </c>
      <c r="C261" t="s">
        <v>532</v>
      </c>
      <c r="D261" t="s">
        <v>533</v>
      </c>
      <c r="E261" t="s">
        <v>534</v>
      </c>
      <c r="F261" t="s">
        <v>534</v>
      </c>
      <c r="G261" t="s">
        <v>535</v>
      </c>
      <c r="H261" s="1">
        <v>4847.2</v>
      </c>
      <c r="I261" s="1">
        <v>4818.12</v>
      </c>
      <c r="J261" t="s">
        <v>536</v>
      </c>
      <c r="L261" t="s">
        <v>536</v>
      </c>
      <c r="M261" t="s">
        <v>375</v>
      </c>
      <c r="N261" t="s">
        <v>537</v>
      </c>
      <c r="P261" s="1">
        <v>4847.2</v>
      </c>
      <c r="Q261" t="s">
        <v>580</v>
      </c>
      <c r="R261" t="s">
        <v>535</v>
      </c>
      <c r="S261" t="s">
        <v>539</v>
      </c>
      <c r="T261" s="2">
        <v>1</v>
      </c>
      <c r="U261" s="1">
        <v>4847.2</v>
      </c>
      <c r="V261" s="1">
        <v>4818.12</v>
      </c>
      <c r="X261" t="s">
        <v>540</v>
      </c>
      <c r="Z261" t="s">
        <v>541</v>
      </c>
      <c r="AA261" t="s">
        <v>542</v>
      </c>
      <c r="AB261" t="s">
        <v>543</v>
      </c>
      <c r="AC261" t="s">
        <v>544</v>
      </c>
      <c r="AD261" t="s">
        <v>545</v>
      </c>
      <c r="AE261" s="3">
        <v>1</v>
      </c>
      <c r="AF261" t="s">
        <v>78</v>
      </c>
      <c r="AG261" s="1">
        <v>4847.2</v>
      </c>
      <c r="AI261" s="1">
        <v>4847.2</v>
      </c>
      <c r="AJ261" s="1">
        <v>4847.2</v>
      </c>
      <c r="AK261" s="1">
        <v>29.08</v>
      </c>
      <c r="AM261" s="1">
        <v>4818.12</v>
      </c>
      <c r="AN261" t="s">
        <v>536</v>
      </c>
      <c r="AO261" t="s">
        <v>546</v>
      </c>
      <c r="AP261" t="s">
        <v>547</v>
      </c>
      <c r="AQ261" t="s">
        <v>548</v>
      </c>
      <c r="AS261" t="s">
        <v>375</v>
      </c>
      <c r="AX261" s="1">
        <v>4847.2</v>
      </c>
      <c r="AY261" t="s">
        <v>546</v>
      </c>
      <c r="AZ261" t="s">
        <v>549</v>
      </c>
      <c r="BA261" s="1">
        <v>4847.2</v>
      </c>
      <c r="BC261" t="s">
        <v>546</v>
      </c>
      <c r="BD261" s="1">
        <v>4847.2</v>
      </c>
      <c r="BE261" t="s">
        <v>540</v>
      </c>
      <c r="BF261" s="1">
        <v>4847.2</v>
      </c>
      <c r="BG261" s="1">
        <v>29.08</v>
      </c>
      <c r="BH261" s="1">
        <v>4818.12</v>
      </c>
      <c r="BI261" t="s">
        <v>550</v>
      </c>
      <c r="BJ261" t="s">
        <v>551</v>
      </c>
      <c r="BK261" t="s">
        <v>552</v>
      </c>
      <c r="BL261" t="s">
        <v>552</v>
      </c>
      <c r="BM261" t="s">
        <v>1705</v>
      </c>
      <c r="BN261" t="s">
        <v>1834</v>
      </c>
      <c r="BO261" t="s">
        <v>1835</v>
      </c>
      <c r="BR261" t="s">
        <v>546</v>
      </c>
      <c r="BS261" s="1">
        <v>4847.2</v>
      </c>
      <c r="BW261" t="s">
        <v>536</v>
      </c>
      <c r="BX261" s="1">
        <v>4847.2</v>
      </c>
      <c r="BZ261" t="s">
        <v>535</v>
      </c>
      <c r="CA261" t="s">
        <v>546</v>
      </c>
      <c r="CB261" t="s">
        <v>533</v>
      </c>
      <c r="CC261" t="s">
        <v>556</v>
      </c>
      <c r="CD261" t="s">
        <v>1836</v>
      </c>
      <c r="CE261" t="s">
        <v>1837</v>
      </c>
      <c r="CF261" t="s">
        <v>78</v>
      </c>
      <c r="CG261" s="4">
        <v>1</v>
      </c>
      <c r="CH261" t="s">
        <v>546</v>
      </c>
      <c r="CK261" t="s">
        <v>1838</v>
      </c>
      <c r="CL261" s="1">
        <v>4847.2</v>
      </c>
      <c r="CN261" t="s">
        <v>535</v>
      </c>
      <c r="CO261" t="s">
        <v>539</v>
      </c>
      <c r="CT261" t="s">
        <v>576</v>
      </c>
      <c r="CW261" t="s">
        <v>546</v>
      </c>
      <c r="DD261" t="s">
        <v>561</v>
      </c>
      <c r="DK261" t="s">
        <v>1839</v>
      </c>
      <c r="DL261" t="s">
        <v>1840</v>
      </c>
    </row>
    <row r="262" ht="15" customHeight="1" spans="1:122">
      <c r="A262" t="s">
        <v>530</v>
      </c>
      <c r="B262" t="s">
        <v>1841</v>
      </c>
      <c r="C262" t="s">
        <v>532</v>
      </c>
      <c r="D262" t="s">
        <v>533</v>
      </c>
      <c r="E262" t="s">
        <v>534</v>
      </c>
      <c r="F262" t="s">
        <v>534</v>
      </c>
      <c r="G262" t="s">
        <v>535</v>
      </c>
      <c r="H262" s="1">
        <v>1211.8</v>
      </c>
      <c r="I262" s="1">
        <v>1211.8</v>
      </c>
      <c r="J262" t="s">
        <v>536</v>
      </c>
      <c r="L262" t="s">
        <v>536</v>
      </c>
      <c r="M262" t="s">
        <v>375</v>
      </c>
      <c r="N262" t="s">
        <v>537</v>
      </c>
      <c r="P262" s="1">
        <v>1211.8</v>
      </c>
      <c r="Q262" t="s">
        <v>642</v>
      </c>
      <c r="R262" t="s">
        <v>535</v>
      </c>
      <c r="S262" t="s">
        <v>539</v>
      </c>
      <c r="T262" s="2">
        <v>1</v>
      </c>
      <c r="U262" s="1">
        <v>1211.8</v>
      </c>
      <c r="V262" s="1">
        <v>1211.8</v>
      </c>
      <c r="X262" t="s">
        <v>540</v>
      </c>
      <c r="Z262" t="s">
        <v>541</v>
      </c>
      <c r="AA262" t="s">
        <v>542</v>
      </c>
      <c r="AB262" t="s">
        <v>543</v>
      </c>
      <c r="AC262" t="s">
        <v>544</v>
      </c>
      <c r="AD262" t="s">
        <v>545</v>
      </c>
      <c r="AE262" s="3">
        <v>1</v>
      </c>
      <c r="AF262" t="s">
        <v>78</v>
      </c>
      <c r="AG262" s="1">
        <v>1211.8</v>
      </c>
      <c r="AI262" s="1">
        <v>1211.8</v>
      </c>
      <c r="AJ262" s="1">
        <v>1211.8</v>
      </c>
      <c r="AM262" s="1">
        <v>1211.8</v>
      </c>
      <c r="AN262" t="s">
        <v>565</v>
      </c>
      <c r="AO262" t="s">
        <v>546</v>
      </c>
      <c r="AP262" t="s">
        <v>565</v>
      </c>
      <c r="AQ262" t="s">
        <v>548</v>
      </c>
      <c r="AS262" t="s">
        <v>375</v>
      </c>
      <c r="AX262" s="1">
        <v>1211.8</v>
      </c>
      <c r="AY262" t="s">
        <v>546</v>
      </c>
      <c r="AZ262" t="s">
        <v>566</v>
      </c>
      <c r="BA262" s="1">
        <v>1211.8</v>
      </c>
      <c r="BC262" t="s">
        <v>546</v>
      </c>
      <c r="BD262" s="1">
        <v>1211.8</v>
      </c>
      <c r="BE262" t="s">
        <v>540</v>
      </c>
      <c r="BF262" s="1">
        <v>1211.8</v>
      </c>
      <c r="BH262" s="1">
        <v>1211.8</v>
      </c>
      <c r="BI262" t="s">
        <v>550</v>
      </c>
      <c r="BJ262" t="s">
        <v>551</v>
      </c>
      <c r="BK262" t="s">
        <v>552</v>
      </c>
      <c r="BL262" t="s">
        <v>552</v>
      </c>
      <c r="BM262" t="s">
        <v>1705</v>
      </c>
      <c r="BN262" t="s">
        <v>1842</v>
      </c>
      <c r="BO262" t="s">
        <v>1843</v>
      </c>
      <c r="BR262" t="s">
        <v>546</v>
      </c>
      <c r="BS262" s="1">
        <v>1211.8</v>
      </c>
      <c r="BW262" t="s">
        <v>536</v>
      </c>
      <c r="BX262" s="1">
        <v>1211.8</v>
      </c>
      <c r="BZ262" t="s">
        <v>535</v>
      </c>
      <c r="CA262" t="s">
        <v>546</v>
      </c>
      <c r="CB262" t="s">
        <v>533</v>
      </c>
      <c r="CC262" t="s">
        <v>556</v>
      </c>
      <c r="CD262" t="s">
        <v>1836</v>
      </c>
      <c r="CE262" t="s">
        <v>1837</v>
      </c>
      <c r="CF262" t="s">
        <v>78</v>
      </c>
      <c r="CG262" s="4">
        <v>1</v>
      </c>
      <c r="CH262" t="s">
        <v>546</v>
      </c>
      <c r="CK262" t="s">
        <v>1838</v>
      </c>
      <c r="CL262" s="1">
        <v>1211.8</v>
      </c>
      <c r="CN262" t="s">
        <v>535</v>
      </c>
      <c r="CO262" t="s">
        <v>539</v>
      </c>
      <c r="CT262" t="s">
        <v>576</v>
      </c>
      <c r="CW262" t="s">
        <v>546</v>
      </c>
      <c r="DD262" t="s">
        <v>561</v>
      </c>
      <c r="DK262" t="s">
        <v>1839</v>
      </c>
      <c r="DL262" t="s">
        <v>1840</v>
      </c>
    </row>
    <row r="263" ht="15" customHeight="1" spans="1:122">
      <c r="A263" t="s">
        <v>530</v>
      </c>
      <c r="B263" t="s">
        <v>1844</v>
      </c>
      <c r="C263" t="s">
        <v>532</v>
      </c>
      <c r="D263" t="s">
        <v>1705</v>
      </c>
      <c r="E263" t="s">
        <v>534</v>
      </c>
      <c r="F263" t="s">
        <v>534</v>
      </c>
      <c r="G263" t="s">
        <v>535</v>
      </c>
      <c r="H263" s="1">
        <v>10972</v>
      </c>
      <c r="I263" s="1">
        <v>10972</v>
      </c>
      <c r="J263" t="s">
        <v>536</v>
      </c>
      <c r="L263" t="s">
        <v>536</v>
      </c>
      <c r="M263" t="s">
        <v>375</v>
      </c>
      <c r="N263" t="s">
        <v>537</v>
      </c>
      <c r="P263" s="1">
        <v>10972</v>
      </c>
      <c r="Q263" t="s">
        <v>580</v>
      </c>
      <c r="R263" t="s">
        <v>535</v>
      </c>
      <c r="S263" t="s">
        <v>539</v>
      </c>
      <c r="T263" s="2">
        <v>1</v>
      </c>
      <c r="U263" s="1">
        <v>10972</v>
      </c>
      <c r="V263" s="1">
        <v>10972</v>
      </c>
      <c r="X263" t="s">
        <v>540</v>
      </c>
      <c r="Z263" t="s">
        <v>541</v>
      </c>
      <c r="AA263" t="s">
        <v>542</v>
      </c>
      <c r="AB263" t="s">
        <v>543</v>
      </c>
      <c r="AC263" t="s">
        <v>544</v>
      </c>
      <c r="AD263" t="s">
        <v>545</v>
      </c>
      <c r="AE263" s="3">
        <v>1</v>
      </c>
      <c r="AF263" t="s">
        <v>122</v>
      </c>
      <c r="AG263" s="1">
        <v>10972</v>
      </c>
      <c r="AI263" s="1">
        <v>10972</v>
      </c>
      <c r="AJ263" s="1">
        <v>10972</v>
      </c>
      <c r="AM263" s="1">
        <v>10972</v>
      </c>
      <c r="AN263" t="s">
        <v>536</v>
      </c>
      <c r="AO263" t="s">
        <v>546</v>
      </c>
      <c r="AP263" t="s">
        <v>547</v>
      </c>
      <c r="AQ263" t="s">
        <v>548</v>
      </c>
      <c r="AS263" t="s">
        <v>375</v>
      </c>
      <c r="AX263" s="1">
        <v>10972</v>
      </c>
      <c r="AY263" t="s">
        <v>546</v>
      </c>
      <c r="AZ263" t="s">
        <v>549</v>
      </c>
      <c r="BA263" s="1">
        <v>10972</v>
      </c>
      <c r="BC263" t="s">
        <v>546</v>
      </c>
      <c r="BD263" s="1">
        <v>10972</v>
      </c>
      <c r="BE263" t="s">
        <v>540</v>
      </c>
      <c r="BF263" s="1">
        <v>10972</v>
      </c>
      <c r="BH263" s="1">
        <v>10972</v>
      </c>
      <c r="BI263" t="s">
        <v>550</v>
      </c>
      <c r="BJ263" t="s">
        <v>570</v>
      </c>
      <c r="BK263" t="s">
        <v>570</v>
      </c>
      <c r="BL263" t="s">
        <v>552</v>
      </c>
      <c r="BM263" t="s">
        <v>1705</v>
      </c>
      <c r="BN263" t="s">
        <v>1845</v>
      </c>
      <c r="BO263" t="s">
        <v>1846</v>
      </c>
      <c r="BR263" t="s">
        <v>546</v>
      </c>
      <c r="BS263" s="1">
        <v>10972</v>
      </c>
      <c r="BW263" t="s">
        <v>536</v>
      </c>
      <c r="BX263" s="1">
        <v>10972</v>
      </c>
      <c r="BZ263" t="s">
        <v>535</v>
      </c>
      <c r="CA263" t="s">
        <v>546</v>
      </c>
      <c r="CB263" t="s">
        <v>1705</v>
      </c>
      <c r="CC263" t="s">
        <v>556</v>
      </c>
      <c r="CD263" t="s">
        <v>1353</v>
      </c>
      <c r="CE263" t="s">
        <v>1354</v>
      </c>
      <c r="CF263" t="s">
        <v>122</v>
      </c>
      <c r="CG263" s="4">
        <v>1</v>
      </c>
      <c r="CH263" t="s">
        <v>546</v>
      </c>
      <c r="CK263" t="s">
        <v>1847</v>
      </c>
      <c r="CL263" s="1">
        <v>10972</v>
      </c>
      <c r="CN263" t="s">
        <v>535</v>
      </c>
      <c r="CO263" t="s">
        <v>539</v>
      </c>
      <c r="CT263" t="s">
        <v>576</v>
      </c>
      <c r="CW263" t="s">
        <v>546</v>
      </c>
      <c r="DD263" t="s">
        <v>561</v>
      </c>
      <c r="DK263" t="s">
        <v>1848</v>
      </c>
      <c r="DL263" t="s">
        <v>1849</v>
      </c>
    </row>
    <row r="264" ht="15" customHeight="1" spans="1:122">
      <c r="A264" t="s">
        <v>603</v>
      </c>
      <c r="B264" t="s">
        <v>1850</v>
      </c>
      <c r="C264" t="s">
        <v>532</v>
      </c>
      <c r="D264" t="s">
        <v>1705</v>
      </c>
      <c r="E264" t="s">
        <v>534</v>
      </c>
      <c r="F264" t="s">
        <v>534</v>
      </c>
      <c r="G264" t="s">
        <v>535</v>
      </c>
      <c r="H264" s="1">
        <v>12178</v>
      </c>
      <c r="I264" s="1">
        <v>12104.94</v>
      </c>
      <c r="J264" t="s">
        <v>536</v>
      </c>
      <c r="L264" t="s">
        <v>536</v>
      </c>
      <c r="M264" t="s">
        <v>411</v>
      </c>
      <c r="N264" t="s">
        <v>369</v>
      </c>
      <c r="P264" s="1">
        <v>12178</v>
      </c>
      <c r="Q264" t="s">
        <v>606</v>
      </c>
      <c r="R264" t="s">
        <v>535</v>
      </c>
      <c r="S264" t="s">
        <v>539</v>
      </c>
      <c r="T264" s="2">
        <v>1</v>
      </c>
      <c r="U264" s="1">
        <v>12178</v>
      </c>
      <c r="V264" s="1">
        <v>12104.94</v>
      </c>
      <c r="X264" t="s">
        <v>616</v>
      </c>
      <c r="Z264" t="s">
        <v>541</v>
      </c>
      <c r="AA264" t="s">
        <v>542</v>
      </c>
      <c r="AB264" t="s">
        <v>543</v>
      </c>
      <c r="AC264" t="s">
        <v>608</v>
      </c>
      <c r="AE264" s="3">
        <v>1</v>
      </c>
      <c r="AG264" s="1">
        <v>2574</v>
      </c>
      <c r="AI264" s="1">
        <v>12178</v>
      </c>
      <c r="AJ264" s="1">
        <v>2574</v>
      </c>
      <c r="AK264" s="1">
        <v>15.44</v>
      </c>
      <c r="AM264" s="1">
        <v>2558.56</v>
      </c>
      <c r="AN264" t="s">
        <v>536</v>
      </c>
      <c r="AO264" t="s">
        <v>546</v>
      </c>
      <c r="AP264" t="s">
        <v>547</v>
      </c>
      <c r="AQ264" t="s">
        <v>548</v>
      </c>
      <c r="AS264" t="s">
        <v>411</v>
      </c>
      <c r="AX264" s="1">
        <v>2574</v>
      </c>
      <c r="AY264" t="s">
        <v>546</v>
      </c>
      <c r="AZ264" t="s">
        <v>549</v>
      </c>
      <c r="BA264" s="1">
        <v>2574</v>
      </c>
      <c r="BB264" t="s">
        <v>1851</v>
      </c>
      <c r="BC264" t="s">
        <v>546</v>
      </c>
      <c r="BE264" t="s">
        <v>616</v>
      </c>
      <c r="BG264" s="1">
        <v>15.44</v>
      </c>
      <c r="BH264" s="1">
        <v>2558.56</v>
      </c>
      <c r="BI264" t="s">
        <v>550</v>
      </c>
      <c r="BJ264" t="s">
        <v>610</v>
      </c>
      <c r="BK264" t="s">
        <v>552</v>
      </c>
      <c r="BL264" t="s">
        <v>552</v>
      </c>
      <c r="BM264" t="s">
        <v>1852</v>
      </c>
      <c r="BN264" t="s">
        <v>1853</v>
      </c>
      <c r="BO264" t="s">
        <v>1854</v>
      </c>
      <c r="BR264" t="s">
        <v>546</v>
      </c>
      <c r="BS264" s="1">
        <v>2574</v>
      </c>
      <c r="BW264" t="s">
        <v>536</v>
      </c>
      <c r="BZ264" t="s">
        <v>535</v>
      </c>
      <c r="CA264" t="s">
        <v>546</v>
      </c>
      <c r="CB264" t="s">
        <v>1705</v>
      </c>
      <c r="CC264" t="s">
        <v>556</v>
      </c>
      <c r="CH264" t="s">
        <v>546</v>
      </c>
      <c r="CK264" t="s">
        <v>1855</v>
      </c>
      <c r="CN264" t="s">
        <v>535</v>
      </c>
      <c r="CO264" t="s">
        <v>539</v>
      </c>
      <c r="CT264" t="s">
        <v>576</v>
      </c>
      <c r="CW264" t="s">
        <v>546</v>
      </c>
      <c r="DD264" t="s">
        <v>561</v>
      </c>
      <c r="DK264" t="s">
        <v>1856</v>
      </c>
      <c r="DR264" t="s">
        <v>1856</v>
      </c>
    </row>
    <row r="265" ht="15" customHeight="1" spans="1:122">
      <c r="AB265" t="s">
        <v>543</v>
      </c>
      <c r="AC265" t="s">
        <v>608</v>
      </c>
      <c r="AG265" s="1">
        <v>2574</v>
      </c>
      <c r="AJ265" s="1">
        <v>2574</v>
      </c>
      <c r="AK265" s="1">
        <v>15.44</v>
      </c>
      <c r="AM265" s="1">
        <v>2558.56</v>
      </c>
      <c r="AN265" t="s">
        <v>536</v>
      </c>
      <c r="AP265" t="s">
        <v>547</v>
      </c>
      <c r="AX265" s="1">
        <v>2574</v>
      </c>
      <c r="AZ265" t="s">
        <v>549</v>
      </c>
      <c r="BA265" s="1">
        <v>2574</v>
      </c>
      <c r="BB265" t="s">
        <v>1857</v>
      </c>
      <c r="BC265" t="s">
        <v>546</v>
      </c>
      <c r="BE265" t="s">
        <v>616</v>
      </c>
      <c r="BG265" s="1">
        <v>15.44</v>
      </c>
      <c r="BH265" s="1">
        <v>2558.56</v>
      </c>
      <c r="BS265" s="1">
        <v>2574</v>
      </c>
      <c r="CB265" t="s">
        <v>1705</v>
      </c>
      <c r="CC265" t="s">
        <v>556</v>
      </c>
      <c r="DD265" t="s">
        <v>561</v>
      </c>
    </row>
    <row r="266" ht="15" customHeight="1" spans="1:122">
      <c r="AB266" t="s">
        <v>543</v>
      </c>
      <c r="AC266" t="s">
        <v>608</v>
      </c>
      <c r="AG266" s="1">
        <v>4344</v>
      </c>
      <c r="AJ266" s="1">
        <v>4344</v>
      </c>
      <c r="AK266" s="1">
        <v>26.06</v>
      </c>
      <c r="AM266" s="1">
        <v>4317.94</v>
      </c>
      <c r="AN266" t="s">
        <v>536</v>
      </c>
      <c r="AP266" t="s">
        <v>547</v>
      </c>
      <c r="AX266" s="1">
        <v>4344</v>
      </c>
      <c r="AZ266" t="s">
        <v>549</v>
      </c>
      <c r="BA266" s="1">
        <v>4344</v>
      </c>
      <c r="BB266" t="s">
        <v>1858</v>
      </c>
      <c r="BC266" t="s">
        <v>546</v>
      </c>
      <c r="BE266" t="s">
        <v>616</v>
      </c>
      <c r="BG266" s="1">
        <v>26.06</v>
      </c>
      <c r="BH266" s="1">
        <v>4317.94</v>
      </c>
      <c r="BS266" s="1">
        <v>4344</v>
      </c>
      <c r="CB266" t="s">
        <v>1705</v>
      </c>
      <c r="CC266" t="s">
        <v>556</v>
      </c>
      <c r="DD266" t="s">
        <v>561</v>
      </c>
    </row>
    <row r="267" ht="15" customHeight="1" spans="1:122">
      <c r="AB267" t="s">
        <v>543</v>
      </c>
      <c r="AC267" t="s">
        <v>608</v>
      </c>
      <c r="AG267" s="1">
        <v>2686</v>
      </c>
      <c r="AJ267" s="1">
        <v>2686</v>
      </c>
      <c r="AK267" s="1">
        <v>16.12</v>
      </c>
      <c r="AM267" s="1">
        <v>2669.88</v>
      </c>
      <c r="AN267" t="s">
        <v>536</v>
      </c>
      <c r="AP267" t="s">
        <v>547</v>
      </c>
      <c r="AX267" s="1">
        <v>2686</v>
      </c>
      <c r="AZ267" t="s">
        <v>549</v>
      </c>
      <c r="BA267" s="1">
        <v>2686</v>
      </c>
      <c r="BB267" t="s">
        <v>1859</v>
      </c>
      <c r="BC267" t="s">
        <v>546</v>
      </c>
      <c r="BE267" t="s">
        <v>616</v>
      </c>
      <c r="BG267" s="1">
        <v>16.12</v>
      </c>
      <c r="BH267" s="1">
        <v>2669.88</v>
      </c>
      <c r="BS267" s="1">
        <v>2686</v>
      </c>
      <c r="CB267" t="s">
        <v>1705</v>
      </c>
      <c r="CC267" t="s">
        <v>556</v>
      </c>
      <c r="DD267" t="s">
        <v>561</v>
      </c>
    </row>
    <row r="268" ht="15" customHeight="1" spans="1:122">
      <c r="A268" t="s">
        <v>603</v>
      </c>
      <c r="B268" t="s">
        <v>1860</v>
      </c>
      <c r="C268" t="s">
        <v>532</v>
      </c>
      <c r="D268" t="s">
        <v>1852</v>
      </c>
      <c r="E268" t="s">
        <v>534</v>
      </c>
      <c r="F268" t="s">
        <v>534</v>
      </c>
      <c r="G268" t="s">
        <v>535</v>
      </c>
      <c r="H268" s="1">
        <v>3460</v>
      </c>
      <c r="I268" s="1">
        <v>3439.24</v>
      </c>
      <c r="J268" t="s">
        <v>536</v>
      </c>
      <c r="L268" t="s">
        <v>536</v>
      </c>
      <c r="M268" t="s">
        <v>411</v>
      </c>
      <c r="N268" t="s">
        <v>369</v>
      </c>
      <c r="P268" s="1">
        <v>3460</v>
      </c>
      <c r="Q268" t="s">
        <v>606</v>
      </c>
      <c r="R268" t="s">
        <v>535</v>
      </c>
      <c r="S268" t="s">
        <v>539</v>
      </c>
      <c r="T268" s="2">
        <v>1</v>
      </c>
      <c r="U268" s="1">
        <v>3460</v>
      </c>
      <c r="V268" s="1">
        <v>3439.24</v>
      </c>
      <c r="X268" t="s">
        <v>616</v>
      </c>
      <c r="Z268" t="s">
        <v>541</v>
      </c>
      <c r="AA268" t="s">
        <v>542</v>
      </c>
      <c r="AB268" t="s">
        <v>543</v>
      </c>
      <c r="AC268" t="s">
        <v>608</v>
      </c>
      <c r="AE268" s="3">
        <v>1</v>
      </c>
      <c r="AG268" s="1">
        <v>3460</v>
      </c>
      <c r="AI268" s="1">
        <v>3460</v>
      </c>
      <c r="AJ268" s="1">
        <v>3460</v>
      </c>
      <c r="AK268" s="1">
        <v>20.76</v>
      </c>
      <c r="AM268" s="1">
        <v>3439.24</v>
      </c>
      <c r="AN268" t="s">
        <v>536</v>
      </c>
      <c r="AO268" t="s">
        <v>546</v>
      </c>
      <c r="AP268" t="s">
        <v>547</v>
      </c>
      <c r="AQ268" t="s">
        <v>548</v>
      </c>
      <c r="AS268" t="s">
        <v>411</v>
      </c>
      <c r="AX268" s="1">
        <v>3460</v>
      </c>
      <c r="AY268" t="s">
        <v>546</v>
      </c>
      <c r="AZ268" t="s">
        <v>549</v>
      </c>
      <c r="BA268" s="1">
        <v>3460</v>
      </c>
      <c r="BB268" t="s">
        <v>1861</v>
      </c>
      <c r="BC268" t="s">
        <v>546</v>
      </c>
      <c r="BE268" t="s">
        <v>616</v>
      </c>
      <c r="BG268" s="1">
        <v>20.76</v>
      </c>
      <c r="BH268" s="1">
        <v>3439.24</v>
      </c>
      <c r="BI268" t="s">
        <v>550</v>
      </c>
      <c r="BJ268" t="s">
        <v>610</v>
      </c>
      <c r="BK268" t="s">
        <v>552</v>
      </c>
      <c r="BL268" t="s">
        <v>552</v>
      </c>
      <c r="BM268" t="s">
        <v>1852</v>
      </c>
      <c r="BN268" t="s">
        <v>1862</v>
      </c>
      <c r="BO268" t="s">
        <v>1863</v>
      </c>
      <c r="BR268" t="s">
        <v>546</v>
      </c>
      <c r="BS268" s="1">
        <v>3460</v>
      </c>
      <c r="BW268" t="s">
        <v>536</v>
      </c>
      <c r="BZ268" t="s">
        <v>535</v>
      </c>
      <c r="CA268" t="s">
        <v>546</v>
      </c>
      <c r="CB268" t="s">
        <v>1852</v>
      </c>
      <c r="CC268" t="s">
        <v>556</v>
      </c>
      <c r="CH268" t="s">
        <v>546</v>
      </c>
      <c r="CK268" t="s">
        <v>1864</v>
      </c>
      <c r="CN268" t="s">
        <v>535</v>
      </c>
      <c r="CO268" t="s">
        <v>539</v>
      </c>
      <c r="CT268" t="s">
        <v>576</v>
      </c>
      <c r="CW268" t="s">
        <v>546</v>
      </c>
      <c r="DD268" t="s">
        <v>561</v>
      </c>
      <c r="DK268" t="s">
        <v>1861</v>
      </c>
      <c r="DR268" t="s">
        <v>1861</v>
      </c>
    </row>
    <row r="269" ht="15" customHeight="1" spans="1:122">
      <c r="A269" t="s">
        <v>603</v>
      </c>
      <c r="B269" t="s">
        <v>1865</v>
      </c>
      <c r="C269" t="s">
        <v>532</v>
      </c>
      <c r="D269" t="s">
        <v>1866</v>
      </c>
      <c r="E269" t="s">
        <v>534</v>
      </c>
      <c r="F269" t="s">
        <v>534</v>
      </c>
      <c r="G269" t="s">
        <v>535</v>
      </c>
      <c r="H269" s="1">
        <v>31288</v>
      </c>
      <c r="I269" s="1">
        <v>31100.26</v>
      </c>
      <c r="J269" t="s">
        <v>536</v>
      </c>
      <c r="L269" t="s">
        <v>536</v>
      </c>
      <c r="M269" t="s">
        <v>411</v>
      </c>
      <c r="N269" t="s">
        <v>369</v>
      </c>
      <c r="P269" s="1">
        <v>31288</v>
      </c>
      <c r="Q269" t="s">
        <v>606</v>
      </c>
      <c r="R269" t="s">
        <v>535</v>
      </c>
      <c r="S269" t="s">
        <v>539</v>
      </c>
      <c r="T269" s="2">
        <v>1</v>
      </c>
      <c r="U269" s="1">
        <v>31288</v>
      </c>
      <c r="V269" s="1">
        <v>31100.26</v>
      </c>
      <c r="X269" t="s">
        <v>616</v>
      </c>
      <c r="Z269" t="s">
        <v>541</v>
      </c>
      <c r="AA269" t="s">
        <v>542</v>
      </c>
      <c r="AB269" t="s">
        <v>543</v>
      </c>
      <c r="AC269" t="s">
        <v>608</v>
      </c>
      <c r="AE269" s="3">
        <v>1</v>
      </c>
      <c r="AG269" s="1">
        <v>4455</v>
      </c>
      <c r="AI269" s="1">
        <v>31288</v>
      </c>
      <c r="AJ269" s="1">
        <v>4455</v>
      </c>
      <c r="AK269" s="1">
        <v>26.73</v>
      </c>
      <c r="AM269" s="1">
        <v>4428.27</v>
      </c>
      <c r="AN269" t="s">
        <v>536</v>
      </c>
      <c r="AO269" t="s">
        <v>546</v>
      </c>
      <c r="AP269" t="s">
        <v>547</v>
      </c>
      <c r="AQ269" t="s">
        <v>548</v>
      </c>
      <c r="AS269" t="s">
        <v>411</v>
      </c>
      <c r="AX269" s="1">
        <v>4455</v>
      </c>
      <c r="AY269" t="s">
        <v>546</v>
      </c>
      <c r="AZ269" t="s">
        <v>549</v>
      </c>
      <c r="BA269" s="1">
        <v>4455</v>
      </c>
      <c r="BB269" t="s">
        <v>1867</v>
      </c>
      <c r="BC269" t="s">
        <v>546</v>
      </c>
      <c r="BE269" t="s">
        <v>616</v>
      </c>
      <c r="BG269" s="1">
        <v>26.73</v>
      </c>
      <c r="BH269" s="1">
        <v>4428.27</v>
      </c>
      <c r="BI269" t="s">
        <v>550</v>
      </c>
      <c r="BJ269" t="s">
        <v>610</v>
      </c>
      <c r="BK269" t="s">
        <v>552</v>
      </c>
      <c r="BL269" t="s">
        <v>552</v>
      </c>
      <c r="BM269" t="s">
        <v>1852</v>
      </c>
      <c r="BN269" t="s">
        <v>1868</v>
      </c>
      <c r="BO269" t="s">
        <v>1869</v>
      </c>
      <c r="BR269" t="s">
        <v>546</v>
      </c>
      <c r="BS269" s="1">
        <v>4455</v>
      </c>
      <c r="BW269" t="s">
        <v>536</v>
      </c>
      <c r="BZ269" t="s">
        <v>535</v>
      </c>
      <c r="CA269" t="s">
        <v>546</v>
      </c>
      <c r="CB269" t="s">
        <v>1866</v>
      </c>
      <c r="CC269" t="s">
        <v>556</v>
      </c>
      <c r="CH269" t="s">
        <v>546</v>
      </c>
      <c r="CK269" t="s">
        <v>1870</v>
      </c>
      <c r="CN269" t="s">
        <v>535</v>
      </c>
      <c r="CO269" t="s">
        <v>539</v>
      </c>
      <c r="CT269" t="s">
        <v>576</v>
      </c>
      <c r="CW269" t="s">
        <v>546</v>
      </c>
      <c r="DD269" t="s">
        <v>561</v>
      </c>
      <c r="DK269" t="s">
        <v>1871</v>
      </c>
      <c r="DR269" t="s">
        <v>1871</v>
      </c>
    </row>
    <row r="270" ht="15" customHeight="1" spans="1:122">
      <c r="AB270" t="s">
        <v>543</v>
      </c>
      <c r="AC270" t="s">
        <v>608</v>
      </c>
      <c r="AG270" s="1">
        <v>2764</v>
      </c>
      <c r="AJ270" s="1">
        <v>2764</v>
      </c>
      <c r="AK270" s="1">
        <v>16.58</v>
      </c>
      <c r="AM270" s="1">
        <v>2747.42</v>
      </c>
      <c r="AN270" t="s">
        <v>536</v>
      </c>
      <c r="AP270" t="s">
        <v>547</v>
      </c>
      <c r="AX270" s="1">
        <v>2764</v>
      </c>
      <c r="AZ270" t="s">
        <v>549</v>
      </c>
      <c r="BA270" s="1">
        <v>2764</v>
      </c>
      <c r="BB270" t="s">
        <v>1872</v>
      </c>
      <c r="BC270" t="s">
        <v>546</v>
      </c>
      <c r="BE270" t="s">
        <v>616</v>
      </c>
      <c r="BG270" s="1">
        <v>16.58</v>
      </c>
      <c r="BH270" s="1">
        <v>2747.42</v>
      </c>
      <c r="BS270" s="1">
        <v>2764</v>
      </c>
      <c r="CB270" t="s">
        <v>1866</v>
      </c>
      <c r="CC270" t="s">
        <v>556</v>
      </c>
      <c r="DD270" t="s">
        <v>561</v>
      </c>
    </row>
    <row r="271" ht="15" customHeight="1" spans="1:122">
      <c r="AB271" t="s">
        <v>543</v>
      </c>
      <c r="AC271" t="s">
        <v>608</v>
      </c>
      <c r="AG271" s="1">
        <v>2686</v>
      </c>
      <c r="AJ271" s="1">
        <v>2686</v>
      </c>
      <c r="AK271" s="1">
        <v>16.12</v>
      </c>
      <c r="AM271" s="1">
        <v>2669.88</v>
      </c>
      <c r="AN271" t="s">
        <v>536</v>
      </c>
      <c r="AP271" t="s">
        <v>547</v>
      </c>
      <c r="AX271" s="1">
        <v>2686</v>
      </c>
      <c r="AZ271" t="s">
        <v>549</v>
      </c>
      <c r="BA271" s="1">
        <v>2686</v>
      </c>
      <c r="BB271" t="s">
        <v>1873</v>
      </c>
      <c r="BC271" t="s">
        <v>546</v>
      </c>
      <c r="BE271" t="s">
        <v>616</v>
      </c>
      <c r="BG271" s="1">
        <v>16.12</v>
      </c>
      <c r="BH271" s="1">
        <v>2669.88</v>
      </c>
      <c r="BS271" s="1">
        <v>2686</v>
      </c>
      <c r="CB271" t="s">
        <v>1866</v>
      </c>
      <c r="CC271" t="s">
        <v>556</v>
      </c>
      <c r="DD271" t="s">
        <v>561</v>
      </c>
    </row>
    <row r="272" ht="15" customHeight="1" spans="1:122">
      <c r="AB272" t="s">
        <v>543</v>
      </c>
      <c r="AC272" t="s">
        <v>608</v>
      </c>
      <c r="AG272" s="1">
        <v>3590</v>
      </c>
      <c r="AJ272" s="1">
        <v>3590</v>
      </c>
      <c r="AK272" s="1">
        <v>21.54</v>
      </c>
      <c r="AM272" s="1">
        <v>3568.46</v>
      </c>
      <c r="AN272" t="s">
        <v>536</v>
      </c>
      <c r="AP272" t="s">
        <v>547</v>
      </c>
      <c r="AX272" s="1">
        <v>3590</v>
      </c>
      <c r="AZ272" t="s">
        <v>549</v>
      </c>
      <c r="BA272" s="1">
        <v>3590</v>
      </c>
      <c r="BB272" t="s">
        <v>1874</v>
      </c>
      <c r="BC272" t="s">
        <v>546</v>
      </c>
      <c r="BE272" t="s">
        <v>616</v>
      </c>
      <c r="BG272" s="1">
        <v>21.54</v>
      </c>
      <c r="BH272" s="1">
        <v>3568.46</v>
      </c>
      <c r="BS272" s="1">
        <v>3590</v>
      </c>
      <c r="CB272" t="s">
        <v>1866</v>
      </c>
      <c r="CC272" t="s">
        <v>556</v>
      </c>
      <c r="DD272" t="s">
        <v>561</v>
      </c>
    </row>
    <row r="273" ht="15" customHeight="1" spans="1:122">
      <c r="AB273" t="s">
        <v>543</v>
      </c>
      <c r="AC273" t="s">
        <v>608</v>
      </c>
      <c r="AG273" s="1">
        <v>2686</v>
      </c>
      <c r="AJ273" s="1">
        <v>2686</v>
      </c>
      <c r="AK273" s="1">
        <v>16.12</v>
      </c>
      <c r="AM273" s="1">
        <v>2669.88</v>
      </c>
      <c r="AN273" t="s">
        <v>536</v>
      </c>
      <c r="AP273" t="s">
        <v>547</v>
      </c>
      <c r="AX273" s="1">
        <v>2686</v>
      </c>
      <c r="AZ273" t="s">
        <v>549</v>
      </c>
      <c r="BA273" s="1">
        <v>2686</v>
      </c>
      <c r="BB273" t="s">
        <v>1875</v>
      </c>
      <c r="BC273" t="s">
        <v>546</v>
      </c>
      <c r="BE273" t="s">
        <v>616</v>
      </c>
      <c r="BG273" s="1">
        <v>16.12</v>
      </c>
      <c r="BH273" s="1">
        <v>2669.88</v>
      </c>
      <c r="BS273" s="1">
        <v>2686</v>
      </c>
      <c r="CB273" t="s">
        <v>1866</v>
      </c>
      <c r="CC273" t="s">
        <v>556</v>
      </c>
      <c r="DD273" t="s">
        <v>561</v>
      </c>
    </row>
    <row r="274" ht="15" customHeight="1" spans="1:122">
      <c r="AB274" t="s">
        <v>543</v>
      </c>
      <c r="AC274" t="s">
        <v>608</v>
      </c>
      <c r="AG274" s="1">
        <v>2686</v>
      </c>
      <c r="AJ274" s="1">
        <v>2686</v>
      </c>
      <c r="AK274" s="1">
        <v>16.12</v>
      </c>
      <c r="AM274" s="1">
        <v>2669.88</v>
      </c>
      <c r="AN274" t="s">
        <v>536</v>
      </c>
      <c r="AP274" t="s">
        <v>547</v>
      </c>
      <c r="AX274" s="1">
        <v>2686</v>
      </c>
      <c r="AZ274" t="s">
        <v>549</v>
      </c>
      <c r="BA274" s="1">
        <v>2686</v>
      </c>
      <c r="BB274" t="s">
        <v>1876</v>
      </c>
      <c r="BC274" t="s">
        <v>546</v>
      </c>
      <c r="BE274" t="s">
        <v>616</v>
      </c>
      <c r="BG274" s="1">
        <v>16.12</v>
      </c>
      <c r="BH274" s="1">
        <v>2669.88</v>
      </c>
      <c r="BS274" s="1">
        <v>2686</v>
      </c>
      <c r="CB274" t="s">
        <v>1866</v>
      </c>
      <c r="CC274" t="s">
        <v>556</v>
      </c>
      <c r="DD274" t="s">
        <v>561</v>
      </c>
    </row>
    <row r="275" ht="15" customHeight="1" spans="1:122">
      <c r="AB275" t="s">
        <v>543</v>
      </c>
      <c r="AC275" t="s">
        <v>608</v>
      </c>
      <c r="AG275" s="1">
        <v>2574</v>
      </c>
      <c r="AJ275" s="1">
        <v>2574</v>
      </c>
      <c r="AK275" s="1">
        <v>15.44</v>
      </c>
      <c r="AM275" s="1">
        <v>2558.56</v>
      </c>
      <c r="AN275" t="s">
        <v>536</v>
      </c>
      <c r="AP275" t="s">
        <v>547</v>
      </c>
      <c r="AX275" s="1">
        <v>2574</v>
      </c>
      <c r="AZ275" t="s">
        <v>549</v>
      </c>
      <c r="BA275" s="1">
        <v>2574</v>
      </c>
      <c r="BB275" t="s">
        <v>1877</v>
      </c>
      <c r="BC275" t="s">
        <v>546</v>
      </c>
      <c r="BE275" t="s">
        <v>616</v>
      </c>
      <c r="BG275" s="1">
        <v>15.44</v>
      </c>
      <c r="BH275" s="1">
        <v>2558.56</v>
      </c>
      <c r="BS275" s="1">
        <v>2574</v>
      </c>
      <c r="CB275" t="s">
        <v>1866</v>
      </c>
      <c r="CC275" t="s">
        <v>556</v>
      </c>
      <c r="DD275" t="s">
        <v>561</v>
      </c>
    </row>
    <row r="276" ht="15" customHeight="1" spans="1:122">
      <c r="AB276" t="s">
        <v>543</v>
      </c>
      <c r="AC276" t="s">
        <v>608</v>
      </c>
      <c r="AG276" s="1">
        <v>3701</v>
      </c>
      <c r="AJ276" s="1">
        <v>3701</v>
      </c>
      <c r="AK276" s="1">
        <v>22.21</v>
      </c>
      <c r="AM276" s="1">
        <v>3678.79</v>
      </c>
      <c r="AN276" t="s">
        <v>536</v>
      </c>
      <c r="AP276" t="s">
        <v>547</v>
      </c>
      <c r="AX276" s="1">
        <v>3701</v>
      </c>
      <c r="AZ276" t="s">
        <v>549</v>
      </c>
      <c r="BA276" s="1">
        <v>3701</v>
      </c>
      <c r="BB276" t="s">
        <v>1878</v>
      </c>
      <c r="BC276" t="s">
        <v>546</v>
      </c>
      <c r="BE276" t="s">
        <v>616</v>
      </c>
      <c r="BG276" s="1">
        <v>22.21</v>
      </c>
      <c r="BH276" s="1">
        <v>3678.79</v>
      </c>
      <c r="BS276" s="1">
        <v>3701</v>
      </c>
      <c r="CB276" t="s">
        <v>1866</v>
      </c>
      <c r="CC276" t="s">
        <v>556</v>
      </c>
      <c r="DD276" t="s">
        <v>561</v>
      </c>
    </row>
    <row r="277" ht="15" customHeight="1" spans="1:122">
      <c r="AB277" t="s">
        <v>543</v>
      </c>
      <c r="AC277" t="s">
        <v>608</v>
      </c>
      <c r="AG277" s="1">
        <v>2686</v>
      </c>
      <c r="AJ277" s="1">
        <v>2686</v>
      </c>
      <c r="AK277" s="1">
        <v>16.12</v>
      </c>
      <c r="AM277" s="1">
        <v>2669.88</v>
      </c>
      <c r="AN277" t="s">
        <v>536</v>
      </c>
      <c r="AP277" t="s">
        <v>547</v>
      </c>
      <c r="AX277" s="1">
        <v>2686</v>
      </c>
      <c r="AZ277" t="s">
        <v>549</v>
      </c>
      <c r="BA277" s="1">
        <v>2686</v>
      </c>
      <c r="BB277" t="s">
        <v>1879</v>
      </c>
      <c r="BC277" t="s">
        <v>546</v>
      </c>
      <c r="BE277" t="s">
        <v>616</v>
      </c>
      <c r="BG277" s="1">
        <v>16.12</v>
      </c>
      <c r="BH277" s="1">
        <v>2669.88</v>
      </c>
      <c r="BS277" s="1">
        <v>2686</v>
      </c>
      <c r="CB277" t="s">
        <v>1866</v>
      </c>
      <c r="CC277" t="s">
        <v>556</v>
      </c>
      <c r="DD277" t="s">
        <v>561</v>
      </c>
    </row>
    <row r="278" ht="15" customHeight="1" spans="1:122">
      <c r="AB278" t="s">
        <v>543</v>
      </c>
      <c r="AC278" t="s">
        <v>608</v>
      </c>
      <c r="AG278" s="1">
        <v>3460</v>
      </c>
      <c r="AJ278" s="1">
        <v>3460</v>
      </c>
      <c r="AK278" s="1">
        <v>20.76</v>
      </c>
      <c r="AM278" s="1">
        <v>3439.24</v>
      </c>
      <c r="AN278" t="s">
        <v>536</v>
      </c>
      <c r="AP278" t="s">
        <v>547</v>
      </c>
      <c r="AX278" s="1">
        <v>3460</v>
      </c>
      <c r="AZ278" t="s">
        <v>549</v>
      </c>
      <c r="BA278" s="1">
        <v>3460</v>
      </c>
      <c r="BB278" t="s">
        <v>1880</v>
      </c>
      <c r="BC278" t="s">
        <v>546</v>
      </c>
      <c r="BE278" t="s">
        <v>616</v>
      </c>
      <c r="BG278" s="1">
        <v>20.76</v>
      </c>
      <c r="BH278" s="1">
        <v>3439.24</v>
      </c>
      <c r="BS278" s="1">
        <v>3460</v>
      </c>
      <c r="CB278" t="s">
        <v>1866</v>
      </c>
      <c r="CC278" t="s">
        <v>556</v>
      </c>
      <c r="DD278" t="s">
        <v>561</v>
      </c>
    </row>
    <row r="279" ht="15" customHeight="1" spans="1:122">
      <c r="A279" t="s">
        <v>530</v>
      </c>
      <c r="B279" t="s">
        <v>1881</v>
      </c>
      <c r="C279" t="s">
        <v>532</v>
      </c>
      <c r="D279" t="s">
        <v>1852</v>
      </c>
      <c r="E279" t="s">
        <v>534</v>
      </c>
      <c r="F279" t="s">
        <v>534</v>
      </c>
      <c r="G279" t="s">
        <v>535</v>
      </c>
      <c r="H279" s="1">
        <v>800</v>
      </c>
      <c r="I279" s="1">
        <v>798.28</v>
      </c>
      <c r="J279" t="s">
        <v>536</v>
      </c>
      <c r="L279" t="s">
        <v>536</v>
      </c>
      <c r="M279" t="s">
        <v>375</v>
      </c>
      <c r="N279" t="s">
        <v>537</v>
      </c>
      <c r="P279" s="1">
        <v>800</v>
      </c>
      <c r="Q279" t="s">
        <v>580</v>
      </c>
      <c r="R279" t="s">
        <v>535</v>
      </c>
      <c r="S279" t="s">
        <v>539</v>
      </c>
      <c r="T279" s="2">
        <v>1</v>
      </c>
      <c r="U279" s="1">
        <v>800</v>
      </c>
      <c r="V279" s="1">
        <v>798.28</v>
      </c>
      <c r="X279" t="s">
        <v>540</v>
      </c>
      <c r="Z279" t="s">
        <v>541</v>
      </c>
      <c r="AA279" t="s">
        <v>542</v>
      </c>
      <c r="AB279" t="s">
        <v>659</v>
      </c>
      <c r="AC279" t="s">
        <v>544</v>
      </c>
      <c r="AD279" t="s">
        <v>545</v>
      </c>
      <c r="AE279" s="3">
        <v>1</v>
      </c>
      <c r="AF279" t="s">
        <v>124</v>
      </c>
      <c r="AG279" s="1">
        <v>800</v>
      </c>
      <c r="AI279" s="1">
        <v>800</v>
      </c>
      <c r="AJ279" s="1">
        <v>800</v>
      </c>
      <c r="AK279" s="1">
        <v>1.72</v>
      </c>
      <c r="AM279" s="1">
        <v>798.28</v>
      </c>
      <c r="AN279" t="s">
        <v>536</v>
      </c>
      <c r="AO279" t="s">
        <v>546</v>
      </c>
      <c r="AP279" t="s">
        <v>547</v>
      </c>
      <c r="AQ279" t="s">
        <v>548</v>
      </c>
      <c r="AS279" t="s">
        <v>375</v>
      </c>
      <c r="AX279" s="1">
        <v>800</v>
      </c>
      <c r="AY279" t="s">
        <v>546</v>
      </c>
      <c r="AZ279" t="s">
        <v>549</v>
      </c>
      <c r="BA279" s="1">
        <v>800</v>
      </c>
      <c r="BC279" t="s">
        <v>546</v>
      </c>
      <c r="BD279" s="1">
        <v>800</v>
      </c>
      <c r="BE279" t="s">
        <v>540</v>
      </c>
      <c r="BF279" s="1">
        <v>800</v>
      </c>
      <c r="BG279" s="1">
        <v>1.72</v>
      </c>
      <c r="BH279" s="1">
        <v>798.28</v>
      </c>
      <c r="BI279" t="s">
        <v>550</v>
      </c>
      <c r="BJ279" t="s">
        <v>570</v>
      </c>
      <c r="BK279" t="s">
        <v>552</v>
      </c>
      <c r="BL279" t="s">
        <v>552</v>
      </c>
      <c r="BM279" t="s">
        <v>1852</v>
      </c>
      <c r="BN279" t="s">
        <v>1882</v>
      </c>
      <c r="BO279" t="s">
        <v>1883</v>
      </c>
      <c r="BR279" t="s">
        <v>546</v>
      </c>
      <c r="BS279" s="1">
        <v>800</v>
      </c>
      <c r="BW279" t="s">
        <v>536</v>
      </c>
      <c r="BX279" s="1">
        <v>800</v>
      </c>
      <c r="BZ279" t="s">
        <v>535</v>
      </c>
      <c r="CA279" t="s">
        <v>546</v>
      </c>
      <c r="CB279" t="s">
        <v>1852</v>
      </c>
      <c r="CC279" t="s">
        <v>556</v>
      </c>
      <c r="CD279" t="s">
        <v>1108</v>
      </c>
      <c r="CE279" t="s">
        <v>1109</v>
      </c>
      <c r="CF279" t="s">
        <v>124</v>
      </c>
      <c r="CG279" s="4">
        <v>1</v>
      </c>
      <c r="CH279" t="s">
        <v>546</v>
      </c>
      <c r="CK279" t="s">
        <v>1884</v>
      </c>
      <c r="CL279" s="1">
        <v>800</v>
      </c>
      <c r="CN279" t="s">
        <v>535</v>
      </c>
      <c r="CO279" t="s">
        <v>539</v>
      </c>
      <c r="CT279" t="s">
        <v>576</v>
      </c>
      <c r="CW279" t="s">
        <v>546</v>
      </c>
      <c r="DD279" t="s">
        <v>561</v>
      </c>
      <c r="DK279" t="s">
        <v>1885</v>
      </c>
      <c r="DL279" t="s">
        <v>1886</v>
      </c>
      <c r="DR279" t="s">
        <v>1887</v>
      </c>
    </row>
    <row r="280" ht="15" customHeight="1" spans="1:122">
      <c r="A280" t="s">
        <v>530</v>
      </c>
      <c r="B280" t="s">
        <v>1888</v>
      </c>
      <c r="C280" t="s">
        <v>752</v>
      </c>
      <c r="D280" t="s">
        <v>1705</v>
      </c>
      <c r="E280" t="s">
        <v>534</v>
      </c>
      <c r="F280" t="s">
        <v>534</v>
      </c>
      <c r="G280" t="s">
        <v>535</v>
      </c>
      <c r="H280" s="1">
        <v>3180</v>
      </c>
      <c r="I280" s="1">
        <v>3180</v>
      </c>
      <c r="J280" t="s">
        <v>536</v>
      </c>
      <c r="L280" t="s">
        <v>536</v>
      </c>
      <c r="M280" t="s">
        <v>389</v>
      </c>
      <c r="N280" t="s">
        <v>753</v>
      </c>
      <c r="P280" s="1">
        <v>3180</v>
      </c>
      <c r="Q280" t="s">
        <v>754</v>
      </c>
      <c r="R280" t="s">
        <v>535</v>
      </c>
      <c r="S280" t="s">
        <v>539</v>
      </c>
      <c r="T280" s="2">
        <v>1</v>
      </c>
      <c r="U280" s="1">
        <v>3180</v>
      </c>
      <c r="V280" s="1">
        <v>3180</v>
      </c>
      <c r="X280" t="s">
        <v>540</v>
      </c>
      <c r="Z280" t="s">
        <v>541</v>
      </c>
      <c r="AA280" t="s">
        <v>542</v>
      </c>
      <c r="AB280" t="s">
        <v>543</v>
      </c>
      <c r="AC280" t="s">
        <v>544</v>
      </c>
      <c r="AD280" t="s">
        <v>545</v>
      </c>
      <c r="AE280" s="3">
        <v>1</v>
      </c>
      <c r="AF280" t="s">
        <v>320</v>
      </c>
      <c r="AG280" s="1">
        <v>3180</v>
      </c>
      <c r="AI280" s="1">
        <v>3180</v>
      </c>
      <c r="AJ280" s="1">
        <v>3180</v>
      </c>
      <c r="AM280" s="1">
        <v>3180</v>
      </c>
      <c r="AN280" t="s">
        <v>536</v>
      </c>
      <c r="AO280" t="s">
        <v>546</v>
      </c>
      <c r="AP280" t="s">
        <v>547</v>
      </c>
      <c r="AQ280" t="s">
        <v>548</v>
      </c>
      <c r="AS280" t="s">
        <v>389</v>
      </c>
      <c r="AX280" s="1">
        <v>3180</v>
      </c>
      <c r="AY280" t="s">
        <v>546</v>
      </c>
      <c r="AZ280" t="s">
        <v>549</v>
      </c>
      <c r="BA280" s="1">
        <v>3180</v>
      </c>
      <c r="BC280" t="s">
        <v>546</v>
      </c>
      <c r="BD280" s="1">
        <v>3180</v>
      </c>
      <c r="BE280" t="s">
        <v>540</v>
      </c>
      <c r="BF280" s="1">
        <v>3180</v>
      </c>
      <c r="BH280" s="1">
        <v>3180</v>
      </c>
      <c r="BI280" t="s">
        <v>550</v>
      </c>
      <c r="BJ280" t="s">
        <v>551</v>
      </c>
      <c r="BK280" t="s">
        <v>551</v>
      </c>
      <c r="BL280" t="s">
        <v>552</v>
      </c>
      <c r="BM280" t="s">
        <v>1852</v>
      </c>
      <c r="BN280" t="s">
        <v>1889</v>
      </c>
      <c r="BO280" t="s">
        <v>1890</v>
      </c>
      <c r="BR280" t="s">
        <v>546</v>
      </c>
      <c r="BS280" s="1">
        <v>3180</v>
      </c>
      <c r="BW280" t="s">
        <v>536</v>
      </c>
      <c r="BX280" s="1">
        <v>3180</v>
      </c>
      <c r="BZ280" t="s">
        <v>535</v>
      </c>
      <c r="CA280" t="s">
        <v>546</v>
      </c>
      <c r="CB280" t="s">
        <v>1705</v>
      </c>
      <c r="CC280" t="s">
        <v>556</v>
      </c>
      <c r="CD280" t="s">
        <v>1891</v>
      </c>
      <c r="CE280" t="s">
        <v>1892</v>
      </c>
      <c r="CF280" t="s">
        <v>320</v>
      </c>
      <c r="CG280" s="4">
        <v>1</v>
      </c>
      <c r="CH280" t="s">
        <v>546</v>
      </c>
      <c r="CK280" t="s">
        <v>1893</v>
      </c>
      <c r="CL280" s="1">
        <v>3180</v>
      </c>
      <c r="CN280" t="s">
        <v>535</v>
      </c>
      <c r="CO280" t="s">
        <v>539</v>
      </c>
      <c r="CT280" t="s">
        <v>760</v>
      </c>
      <c r="CW280" t="s">
        <v>546</v>
      </c>
      <c r="DD280" t="s">
        <v>561</v>
      </c>
      <c r="DK280" t="s">
        <v>761</v>
      </c>
      <c r="DL280" t="s">
        <v>1894</v>
      </c>
    </row>
    <row r="281" ht="15" customHeight="1" spans="1:122">
      <c r="A281" t="s">
        <v>530</v>
      </c>
      <c r="B281" t="s">
        <v>1895</v>
      </c>
      <c r="C281" t="s">
        <v>532</v>
      </c>
      <c r="D281" t="s">
        <v>1705</v>
      </c>
      <c r="E281" t="s">
        <v>534</v>
      </c>
      <c r="F281" t="s">
        <v>534</v>
      </c>
      <c r="G281" t="s">
        <v>535</v>
      </c>
      <c r="H281" s="1">
        <v>10124</v>
      </c>
      <c r="I281" s="1">
        <v>10124</v>
      </c>
      <c r="J281" t="s">
        <v>536</v>
      </c>
      <c r="L281" t="s">
        <v>536</v>
      </c>
      <c r="M281" t="s">
        <v>375</v>
      </c>
      <c r="N281" t="s">
        <v>537</v>
      </c>
      <c r="P281" s="1">
        <v>10124</v>
      </c>
      <c r="Q281" t="s">
        <v>580</v>
      </c>
      <c r="R281" t="s">
        <v>535</v>
      </c>
      <c r="S281" t="s">
        <v>539</v>
      </c>
      <c r="T281" s="2">
        <v>1</v>
      </c>
      <c r="U281" s="1">
        <v>10124</v>
      </c>
      <c r="V281" s="1">
        <v>10124</v>
      </c>
      <c r="X281" t="s">
        <v>540</v>
      </c>
      <c r="Z281" t="s">
        <v>541</v>
      </c>
      <c r="AA281" t="s">
        <v>542</v>
      </c>
      <c r="AB281" t="s">
        <v>543</v>
      </c>
      <c r="AC281" t="s">
        <v>544</v>
      </c>
      <c r="AD281" t="s">
        <v>545</v>
      </c>
      <c r="AE281" s="3">
        <v>1</v>
      </c>
      <c r="AF281" t="s">
        <v>121</v>
      </c>
      <c r="AG281" s="1">
        <v>10124</v>
      </c>
      <c r="AI281" s="1">
        <v>10124</v>
      </c>
      <c r="AJ281" s="1">
        <v>10124</v>
      </c>
      <c r="AM281" s="1">
        <v>10124</v>
      </c>
      <c r="AN281" t="s">
        <v>643</v>
      </c>
      <c r="AO281" t="s">
        <v>546</v>
      </c>
      <c r="AP281" t="s">
        <v>643</v>
      </c>
      <c r="AQ281" t="s">
        <v>548</v>
      </c>
      <c r="AS281" t="s">
        <v>375</v>
      </c>
      <c r="AX281" s="1">
        <v>10124</v>
      </c>
      <c r="AY281" t="s">
        <v>546</v>
      </c>
      <c r="AZ281" t="s">
        <v>644</v>
      </c>
      <c r="BA281" s="1">
        <v>10124</v>
      </c>
      <c r="BC281" t="s">
        <v>546</v>
      </c>
      <c r="BD281" s="1">
        <v>10124</v>
      </c>
      <c r="BE281" t="s">
        <v>540</v>
      </c>
      <c r="BF281" s="1">
        <v>10124</v>
      </c>
      <c r="BH281" s="1">
        <v>10124</v>
      </c>
      <c r="BI281" t="s">
        <v>550</v>
      </c>
      <c r="BJ281" t="s">
        <v>570</v>
      </c>
      <c r="BK281" t="s">
        <v>552</v>
      </c>
      <c r="BL281" t="s">
        <v>552</v>
      </c>
      <c r="BM281" t="s">
        <v>1852</v>
      </c>
      <c r="BN281" t="s">
        <v>1896</v>
      </c>
      <c r="BO281" t="s">
        <v>1897</v>
      </c>
      <c r="BR281" t="s">
        <v>546</v>
      </c>
      <c r="BS281" s="1">
        <v>10124</v>
      </c>
      <c r="BW281" t="s">
        <v>536</v>
      </c>
      <c r="BX281" s="1">
        <v>10124</v>
      </c>
      <c r="BZ281" t="s">
        <v>535</v>
      </c>
      <c r="CA281" t="s">
        <v>546</v>
      </c>
      <c r="CB281" t="s">
        <v>1705</v>
      </c>
      <c r="CC281" t="s">
        <v>556</v>
      </c>
      <c r="CD281" t="s">
        <v>1898</v>
      </c>
      <c r="CE281" t="s">
        <v>1899</v>
      </c>
      <c r="CF281" t="s">
        <v>121</v>
      </c>
      <c r="CG281" s="4">
        <v>1</v>
      </c>
      <c r="CH281" t="s">
        <v>546</v>
      </c>
      <c r="CK281" t="s">
        <v>1900</v>
      </c>
      <c r="CL281" s="1">
        <v>10124</v>
      </c>
      <c r="CN281" t="s">
        <v>535</v>
      </c>
      <c r="CO281" t="s">
        <v>539</v>
      </c>
      <c r="CT281" t="s">
        <v>576</v>
      </c>
      <c r="CW281" t="s">
        <v>546</v>
      </c>
      <c r="DD281" t="s">
        <v>561</v>
      </c>
      <c r="DK281" t="s">
        <v>1901</v>
      </c>
      <c r="DL281" t="s">
        <v>1902</v>
      </c>
      <c r="DR281" t="s">
        <v>1903</v>
      </c>
    </row>
    <row r="282" ht="15" customHeight="1" spans="1:122">
      <c r="A282" t="s">
        <v>603</v>
      </c>
      <c r="B282" t="s">
        <v>1904</v>
      </c>
      <c r="C282" t="s">
        <v>656</v>
      </c>
      <c r="D282" t="s">
        <v>1852</v>
      </c>
      <c r="E282" t="s">
        <v>534</v>
      </c>
      <c r="F282" t="s">
        <v>534</v>
      </c>
      <c r="G282" t="s">
        <v>535</v>
      </c>
      <c r="H282" s="1">
        <v>4277</v>
      </c>
      <c r="I282" s="1">
        <v>4277</v>
      </c>
      <c r="J282" t="s">
        <v>536</v>
      </c>
      <c r="L282" t="s">
        <v>536</v>
      </c>
      <c r="M282" t="s">
        <v>396</v>
      </c>
      <c r="N282" t="s">
        <v>657</v>
      </c>
      <c r="P282" s="1">
        <v>4277</v>
      </c>
      <c r="Q282" t="s">
        <v>658</v>
      </c>
      <c r="R282" t="s">
        <v>535</v>
      </c>
      <c r="S282" t="s">
        <v>539</v>
      </c>
      <c r="T282" s="2">
        <v>1</v>
      </c>
      <c r="U282" s="1">
        <v>4277</v>
      </c>
      <c r="V282" s="1">
        <v>4277</v>
      </c>
      <c r="X282" t="s">
        <v>616</v>
      </c>
      <c r="Z282" t="s">
        <v>541</v>
      </c>
      <c r="AA282" t="s">
        <v>542</v>
      </c>
      <c r="AB282" t="s">
        <v>543</v>
      </c>
      <c r="AC282" t="s">
        <v>608</v>
      </c>
      <c r="AE282" s="3">
        <v>1</v>
      </c>
      <c r="AG282" s="1">
        <v>4277</v>
      </c>
      <c r="AI282" s="1">
        <v>4277</v>
      </c>
      <c r="AJ282" s="1">
        <v>4277</v>
      </c>
      <c r="AM282" s="1">
        <v>4277</v>
      </c>
      <c r="AN282" t="s">
        <v>680</v>
      </c>
      <c r="AO282" t="s">
        <v>546</v>
      </c>
      <c r="AP282" t="s">
        <v>681</v>
      </c>
      <c r="AQ282" t="s">
        <v>548</v>
      </c>
      <c r="AS282" t="s">
        <v>396</v>
      </c>
      <c r="AX282" s="1">
        <v>4277</v>
      </c>
      <c r="AY282" t="s">
        <v>546</v>
      </c>
      <c r="AZ282" t="s">
        <v>682</v>
      </c>
      <c r="BA282" s="1">
        <v>4277</v>
      </c>
      <c r="BC282" t="s">
        <v>546</v>
      </c>
      <c r="BE282" t="s">
        <v>616</v>
      </c>
      <c r="BH282" s="1">
        <v>4277</v>
      </c>
      <c r="BI282" t="s">
        <v>550</v>
      </c>
      <c r="BJ282" t="s">
        <v>683</v>
      </c>
      <c r="BK282" t="s">
        <v>683</v>
      </c>
      <c r="BL282" t="s">
        <v>1905</v>
      </c>
      <c r="BM282" t="s">
        <v>1852</v>
      </c>
      <c r="BN282" t="s">
        <v>1906</v>
      </c>
      <c r="BO282" t="s">
        <v>1907</v>
      </c>
      <c r="BR282" t="s">
        <v>546</v>
      </c>
      <c r="BS282" s="1">
        <v>4277</v>
      </c>
      <c r="BW282" t="s">
        <v>536</v>
      </c>
      <c r="BZ282" t="s">
        <v>535</v>
      </c>
      <c r="CA282" t="s">
        <v>546</v>
      </c>
      <c r="CB282" t="s">
        <v>1852</v>
      </c>
      <c r="CC282" t="s">
        <v>556</v>
      </c>
      <c r="CH282" t="s">
        <v>546</v>
      </c>
      <c r="CK282" t="s">
        <v>1908</v>
      </c>
      <c r="CN282" t="s">
        <v>535</v>
      </c>
      <c r="CO282" t="s">
        <v>539</v>
      </c>
      <c r="CT282" t="s">
        <v>1444</v>
      </c>
      <c r="CW282" t="s">
        <v>546</v>
      </c>
      <c r="DD282" t="s">
        <v>561</v>
      </c>
      <c r="DK282" t="s">
        <v>1445</v>
      </c>
    </row>
    <row r="283" ht="15" customHeight="1" spans="1:122">
      <c r="A283" t="s">
        <v>530</v>
      </c>
      <c r="B283" t="s">
        <v>1909</v>
      </c>
      <c r="C283" t="s">
        <v>532</v>
      </c>
      <c r="D283" t="s">
        <v>1852</v>
      </c>
      <c r="E283" t="s">
        <v>534</v>
      </c>
      <c r="F283" t="s">
        <v>534</v>
      </c>
      <c r="G283" t="s">
        <v>535</v>
      </c>
      <c r="H283" s="1">
        <v>6917.96</v>
      </c>
      <c r="I283" s="1">
        <v>6917.96</v>
      </c>
      <c r="J283" t="s">
        <v>536</v>
      </c>
      <c r="L283" t="s">
        <v>536</v>
      </c>
      <c r="M283" t="s">
        <v>380</v>
      </c>
      <c r="N283" t="s">
        <v>369</v>
      </c>
      <c r="P283" s="1">
        <v>6917.96</v>
      </c>
      <c r="Q283" t="s">
        <v>996</v>
      </c>
      <c r="R283" t="s">
        <v>535</v>
      </c>
      <c r="S283" t="s">
        <v>539</v>
      </c>
      <c r="T283" s="2">
        <v>1</v>
      </c>
      <c r="U283" s="1">
        <v>6917.96</v>
      </c>
      <c r="V283" s="1">
        <v>6917.96</v>
      </c>
      <c r="X283" t="s">
        <v>540</v>
      </c>
      <c r="Z283" t="s">
        <v>541</v>
      </c>
      <c r="AA283" t="s">
        <v>542</v>
      </c>
      <c r="AB283" t="s">
        <v>543</v>
      </c>
      <c r="AC283" t="s">
        <v>544</v>
      </c>
      <c r="AD283" t="s">
        <v>545</v>
      </c>
      <c r="AE283" s="3">
        <v>1</v>
      </c>
      <c r="AF283" t="s">
        <v>322</v>
      </c>
      <c r="AG283" s="1">
        <v>6917.96</v>
      </c>
      <c r="AI283" s="1">
        <v>6917.96</v>
      </c>
      <c r="AJ283" s="1">
        <v>6917.96</v>
      </c>
      <c r="AM283" s="1">
        <v>6917.96</v>
      </c>
      <c r="AN283" t="s">
        <v>536</v>
      </c>
      <c r="AO283" t="s">
        <v>546</v>
      </c>
      <c r="AP283" t="s">
        <v>547</v>
      </c>
      <c r="AQ283" t="s">
        <v>548</v>
      </c>
      <c r="AS283" t="s">
        <v>380</v>
      </c>
      <c r="AX283" s="1">
        <v>6917.96</v>
      </c>
      <c r="AY283" t="s">
        <v>546</v>
      </c>
      <c r="AZ283" t="s">
        <v>549</v>
      </c>
      <c r="BA283" s="1">
        <v>6917.96</v>
      </c>
      <c r="BC283" t="s">
        <v>546</v>
      </c>
      <c r="BD283" s="1">
        <v>6917.96</v>
      </c>
      <c r="BE283" t="s">
        <v>540</v>
      </c>
      <c r="BF283" s="1">
        <v>6917.96</v>
      </c>
      <c r="BH283" s="1">
        <v>6917.96</v>
      </c>
      <c r="BI283" t="s">
        <v>550</v>
      </c>
      <c r="BJ283" t="s">
        <v>551</v>
      </c>
      <c r="BK283" t="s">
        <v>551</v>
      </c>
      <c r="BL283" t="s">
        <v>1905</v>
      </c>
      <c r="BM283" t="s">
        <v>1852</v>
      </c>
      <c r="BN283" t="s">
        <v>1910</v>
      </c>
      <c r="BO283" t="s">
        <v>1911</v>
      </c>
      <c r="BR283" t="s">
        <v>546</v>
      </c>
      <c r="BS283" s="1">
        <v>6917.96</v>
      </c>
      <c r="BW283" t="s">
        <v>536</v>
      </c>
      <c r="BX283" s="1">
        <v>6917.96</v>
      </c>
      <c r="BZ283" t="s">
        <v>535</v>
      </c>
      <c r="CA283" t="s">
        <v>546</v>
      </c>
      <c r="CB283" t="s">
        <v>1852</v>
      </c>
      <c r="CC283" t="s">
        <v>556</v>
      </c>
      <c r="CD283" t="s">
        <v>1912</v>
      </c>
      <c r="CE283" t="s">
        <v>1913</v>
      </c>
      <c r="CF283" t="s">
        <v>322</v>
      </c>
      <c r="CG283" s="4">
        <v>1</v>
      </c>
      <c r="CH283" t="s">
        <v>546</v>
      </c>
      <c r="CK283" t="s">
        <v>1914</v>
      </c>
      <c r="CL283" s="1">
        <v>6917.96</v>
      </c>
      <c r="CN283" t="s">
        <v>535</v>
      </c>
      <c r="CO283" t="s">
        <v>539</v>
      </c>
      <c r="CT283" t="s">
        <v>576</v>
      </c>
      <c r="CW283" t="s">
        <v>546</v>
      </c>
      <c r="DD283" t="s">
        <v>561</v>
      </c>
      <c r="DK283" t="s">
        <v>1119</v>
      </c>
      <c r="DL283" t="s">
        <v>1915</v>
      </c>
    </row>
    <row r="284" ht="15" customHeight="1" spans="1:122">
      <c r="A284" t="s">
        <v>530</v>
      </c>
      <c r="B284" t="s">
        <v>1916</v>
      </c>
      <c r="C284" t="s">
        <v>532</v>
      </c>
      <c r="D284" t="s">
        <v>1852</v>
      </c>
      <c r="E284" t="s">
        <v>534</v>
      </c>
      <c r="F284" t="s">
        <v>534</v>
      </c>
      <c r="G284" t="s">
        <v>535</v>
      </c>
      <c r="H284" s="1">
        <v>3679</v>
      </c>
      <c r="I284" s="1">
        <v>3679</v>
      </c>
      <c r="J284" t="s">
        <v>536</v>
      </c>
      <c r="L284" t="s">
        <v>536</v>
      </c>
      <c r="M284" t="s">
        <v>380</v>
      </c>
      <c r="N284" t="s">
        <v>537</v>
      </c>
      <c r="P284" s="1">
        <v>3679</v>
      </c>
      <c r="Q284" t="s">
        <v>970</v>
      </c>
      <c r="R284" t="s">
        <v>535</v>
      </c>
      <c r="S284" t="s">
        <v>539</v>
      </c>
      <c r="T284" s="2">
        <v>1</v>
      </c>
      <c r="U284" s="1">
        <v>3679</v>
      </c>
      <c r="V284" s="1">
        <v>3679</v>
      </c>
      <c r="X284" t="s">
        <v>540</v>
      </c>
      <c r="Z284" t="s">
        <v>541</v>
      </c>
      <c r="AA284" t="s">
        <v>542</v>
      </c>
      <c r="AB284" t="s">
        <v>543</v>
      </c>
      <c r="AC284" t="s">
        <v>544</v>
      </c>
      <c r="AD284" t="s">
        <v>545</v>
      </c>
      <c r="AE284" s="3">
        <v>1</v>
      </c>
      <c r="AF284" t="s">
        <v>125</v>
      </c>
      <c r="AG284" s="1">
        <v>3679</v>
      </c>
      <c r="AI284" s="1">
        <v>3679</v>
      </c>
      <c r="AJ284" s="1">
        <v>3679</v>
      </c>
      <c r="AM284" s="1">
        <v>3679</v>
      </c>
      <c r="AN284" t="s">
        <v>643</v>
      </c>
      <c r="AO284" t="s">
        <v>546</v>
      </c>
      <c r="AP284" t="s">
        <v>643</v>
      </c>
      <c r="AQ284" t="s">
        <v>548</v>
      </c>
      <c r="AS284" t="s">
        <v>380</v>
      </c>
      <c r="AX284" s="1">
        <v>3679</v>
      </c>
      <c r="AY284" t="s">
        <v>546</v>
      </c>
      <c r="AZ284" t="s">
        <v>644</v>
      </c>
      <c r="BA284" s="1">
        <v>3679</v>
      </c>
      <c r="BC284" t="s">
        <v>546</v>
      </c>
      <c r="BD284" s="1">
        <v>3679</v>
      </c>
      <c r="BE284" t="s">
        <v>540</v>
      </c>
      <c r="BF284" s="1">
        <v>3679</v>
      </c>
      <c r="BH284" s="1">
        <v>3679</v>
      </c>
      <c r="BI284" t="s">
        <v>550</v>
      </c>
      <c r="BJ284" t="s">
        <v>551</v>
      </c>
      <c r="BK284" t="s">
        <v>551</v>
      </c>
      <c r="BL284" t="s">
        <v>552</v>
      </c>
      <c r="BM284" t="s">
        <v>1852</v>
      </c>
      <c r="BN284" t="s">
        <v>1917</v>
      </c>
      <c r="BO284" t="s">
        <v>1918</v>
      </c>
      <c r="BR284" t="s">
        <v>546</v>
      </c>
      <c r="BS284" s="1">
        <v>3679</v>
      </c>
      <c r="BW284" t="s">
        <v>536</v>
      </c>
      <c r="BX284" s="1">
        <v>3679</v>
      </c>
      <c r="BZ284" t="s">
        <v>535</v>
      </c>
      <c r="CA284" t="s">
        <v>546</v>
      </c>
      <c r="CB284" t="s">
        <v>1852</v>
      </c>
      <c r="CC284" t="s">
        <v>556</v>
      </c>
      <c r="CD284" t="s">
        <v>944</v>
      </c>
      <c r="CE284" t="s">
        <v>945</v>
      </c>
      <c r="CF284" t="s">
        <v>125</v>
      </c>
      <c r="CG284" s="4">
        <v>1</v>
      </c>
      <c r="CH284" t="s">
        <v>546</v>
      </c>
      <c r="CK284" t="s">
        <v>1919</v>
      </c>
      <c r="CL284" s="1">
        <v>3679</v>
      </c>
      <c r="CN284" t="s">
        <v>535</v>
      </c>
      <c r="CO284" t="s">
        <v>539</v>
      </c>
      <c r="CT284" t="s">
        <v>576</v>
      </c>
      <c r="CW284" t="s">
        <v>546</v>
      </c>
      <c r="DD284" t="s">
        <v>561</v>
      </c>
      <c r="DK284" t="s">
        <v>1920</v>
      </c>
      <c r="DL284" t="s">
        <v>1921</v>
      </c>
      <c r="DR284" t="s">
        <v>1922</v>
      </c>
    </row>
    <row r="285" ht="15" customHeight="1" spans="1:122">
      <c r="A285" t="s">
        <v>530</v>
      </c>
      <c r="B285" t="s">
        <v>1923</v>
      </c>
      <c r="C285" t="s">
        <v>532</v>
      </c>
      <c r="D285" t="s">
        <v>1866</v>
      </c>
      <c r="E285" t="s">
        <v>534</v>
      </c>
      <c r="F285" t="s">
        <v>534</v>
      </c>
      <c r="G285" t="s">
        <v>535</v>
      </c>
      <c r="H285" s="1">
        <v>2908.8</v>
      </c>
      <c r="I285" s="1">
        <v>2891.35</v>
      </c>
      <c r="J285" t="s">
        <v>536</v>
      </c>
      <c r="L285" t="s">
        <v>536</v>
      </c>
      <c r="M285" t="s">
        <v>377</v>
      </c>
      <c r="N285" t="s">
        <v>537</v>
      </c>
      <c r="P285" s="1">
        <v>2908.8</v>
      </c>
      <c r="Q285" t="s">
        <v>538</v>
      </c>
      <c r="R285" t="s">
        <v>535</v>
      </c>
      <c r="S285" t="s">
        <v>539</v>
      </c>
      <c r="T285" s="2">
        <v>1</v>
      </c>
      <c r="U285" s="1">
        <v>2908.8</v>
      </c>
      <c r="V285" s="1">
        <v>2891.35</v>
      </c>
      <c r="X285" t="s">
        <v>540</v>
      </c>
      <c r="Z285" t="s">
        <v>541</v>
      </c>
      <c r="AA285" t="s">
        <v>542</v>
      </c>
      <c r="AB285" t="s">
        <v>543</v>
      </c>
      <c r="AC285" t="s">
        <v>544</v>
      </c>
      <c r="AD285" t="s">
        <v>545</v>
      </c>
      <c r="AE285" s="3">
        <v>1</v>
      </c>
      <c r="AF285" t="s">
        <v>127</v>
      </c>
      <c r="AG285" s="1">
        <v>2908.8</v>
      </c>
      <c r="AI285" s="1">
        <v>2908.8</v>
      </c>
      <c r="AJ285" s="1">
        <v>2908.8</v>
      </c>
      <c r="AK285" s="1">
        <v>17.45</v>
      </c>
      <c r="AM285" s="1">
        <v>2891.35</v>
      </c>
      <c r="AN285" t="s">
        <v>536</v>
      </c>
      <c r="AO285" t="s">
        <v>546</v>
      </c>
      <c r="AP285" t="s">
        <v>547</v>
      </c>
      <c r="AQ285" t="s">
        <v>548</v>
      </c>
      <c r="AS285" t="s">
        <v>377</v>
      </c>
      <c r="AX285" s="1">
        <v>2908.8</v>
      </c>
      <c r="AY285" t="s">
        <v>546</v>
      </c>
      <c r="AZ285" t="s">
        <v>549</v>
      </c>
      <c r="BA285" s="1">
        <v>2908.8</v>
      </c>
      <c r="BC285" t="s">
        <v>546</v>
      </c>
      <c r="BD285" s="1">
        <v>2908.8</v>
      </c>
      <c r="BE285" t="s">
        <v>540</v>
      </c>
      <c r="BF285" s="1">
        <v>2908.8</v>
      </c>
      <c r="BG285" s="1">
        <v>17.45</v>
      </c>
      <c r="BH285" s="1">
        <v>2891.35</v>
      </c>
      <c r="BI285" t="s">
        <v>550</v>
      </c>
      <c r="BJ285" t="s">
        <v>551</v>
      </c>
      <c r="BK285" t="s">
        <v>552</v>
      </c>
      <c r="BL285" t="s">
        <v>552</v>
      </c>
      <c r="BM285" t="s">
        <v>1852</v>
      </c>
      <c r="BN285" t="s">
        <v>1924</v>
      </c>
      <c r="BO285" t="s">
        <v>1925</v>
      </c>
      <c r="BR285" t="s">
        <v>546</v>
      </c>
      <c r="BS285" s="1">
        <v>2908.8</v>
      </c>
      <c r="BW285" t="s">
        <v>536</v>
      </c>
      <c r="BX285" s="1">
        <v>2908.8</v>
      </c>
      <c r="BZ285" t="s">
        <v>535</v>
      </c>
      <c r="CA285" t="s">
        <v>546</v>
      </c>
      <c r="CB285" t="s">
        <v>1866</v>
      </c>
      <c r="CC285" t="s">
        <v>556</v>
      </c>
      <c r="CD285" t="s">
        <v>745</v>
      </c>
      <c r="CE285" t="s">
        <v>746</v>
      </c>
      <c r="CF285" t="s">
        <v>127</v>
      </c>
      <c r="CG285" s="4">
        <v>1</v>
      </c>
      <c r="CH285" t="s">
        <v>546</v>
      </c>
      <c r="CK285" t="s">
        <v>1926</v>
      </c>
      <c r="CL285" s="1">
        <v>2908.8</v>
      </c>
      <c r="CN285" t="s">
        <v>535</v>
      </c>
      <c r="CO285" t="s">
        <v>539</v>
      </c>
      <c r="CT285" t="s">
        <v>560</v>
      </c>
      <c r="CW285" t="s">
        <v>546</v>
      </c>
      <c r="DD285" t="s">
        <v>561</v>
      </c>
      <c r="DK285" t="s">
        <v>1927</v>
      </c>
      <c r="DL285" t="s">
        <v>1928</v>
      </c>
    </row>
    <row r="286" ht="15" customHeight="1" spans="1:122">
      <c r="A286" t="s">
        <v>530</v>
      </c>
      <c r="B286" t="s">
        <v>1929</v>
      </c>
      <c r="C286" t="s">
        <v>532</v>
      </c>
      <c r="D286" t="s">
        <v>1866</v>
      </c>
      <c r="E286" t="s">
        <v>534</v>
      </c>
      <c r="F286" t="s">
        <v>534</v>
      </c>
      <c r="G286" t="s">
        <v>535</v>
      </c>
      <c r="H286" s="1">
        <v>727.2</v>
      </c>
      <c r="I286" s="1">
        <v>727.2</v>
      </c>
      <c r="J286" t="s">
        <v>536</v>
      </c>
      <c r="L286" t="s">
        <v>536</v>
      </c>
      <c r="M286" t="s">
        <v>377</v>
      </c>
      <c r="N286" t="s">
        <v>537</v>
      </c>
      <c r="P286" s="1">
        <v>727.2</v>
      </c>
      <c r="Q286" t="s">
        <v>538</v>
      </c>
      <c r="R286" t="s">
        <v>535</v>
      </c>
      <c r="S286" t="s">
        <v>539</v>
      </c>
      <c r="T286" s="2">
        <v>1</v>
      </c>
      <c r="U286" s="1">
        <v>727.2</v>
      </c>
      <c r="V286" s="1">
        <v>727.2</v>
      </c>
      <c r="X286" t="s">
        <v>540</v>
      </c>
      <c r="Z286" t="s">
        <v>541</v>
      </c>
      <c r="AA286" t="s">
        <v>542</v>
      </c>
      <c r="AB286" t="s">
        <v>543</v>
      </c>
      <c r="AC286" t="s">
        <v>544</v>
      </c>
      <c r="AD286" t="s">
        <v>545</v>
      </c>
      <c r="AE286" s="3">
        <v>1</v>
      </c>
      <c r="AF286" t="s">
        <v>127</v>
      </c>
      <c r="AG286" s="1">
        <v>727.2</v>
      </c>
      <c r="AI286" s="1">
        <v>727.2</v>
      </c>
      <c r="AJ286" s="1">
        <v>727.2</v>
      </c>
      <c r="AM286" s="1">
        <v>727.2</v>
      </c>
      <c r="AN286" t="s">
        <v>565</v>
      </c>
      <c r="AO286" t="s">
        <v>546</v>
      </c>
      <c r="AP286" t="s">
        <v>565</v>
      </c>
      <c r="AQ286" t="s">
        <v>548</v>
      </c>
      <c r="AS286" t="s">
        <v>377</v>
      </c>
      <c r="AX286" s="1">
        <v>727.2</v>
      </c>
      <c r="AY286" t="s">
        <v>546</v>
      </c>
      <c r="AZ286" t="s">
        <v>566</v>
      </c>
      <c r="BA286" s="1">
        <v>727.2</v>
      </c>
      <c r="BC286" t="s">
        <v>546</v>
      </c>
      <c r="BD286" s="1">
        <v>727.2</v>
      </c>
      <c r="BE286" t="s">
        <v>540</v>
      </c>
      <c r="BF286" s="1">
        <v>727.2</v>
      </c>
      <c r="BH286" s="1">
        <v>727.2</v>
      </c>
      <c r="BI286" t="s">
        <v>550</v>
      </c>
      <c r="BJ286" t="s">
        <v>551</v>
      </c>
      <c r="BK286" t="s">
        <v>551</v>
      </c>
      <c r="BL286" t="s">
        <v>552</v>
      </c>
      <c r="BM286" t="s">
        <v>1852</v>
      </c>
      <c r="BN286" t="s">
        <v>1930</v>
      </c>
      <c r="BO286" t="s">
        <v>1931</v>
      </c>
      <c r="BR286" t="s">
        <v>546</v>
      </c>
      <c r="BS286" s="1">
        <v>727.2</v>
      </c>
      <c r="BW286" t="s">
        <v>536</v>
      </c>
      <c r="BX286" s="1">
        <v>727.2</v>
      </c>
      <c r="BZ286" t="s">
        <v>535</v>
      </c>
      <c r="CA286" t="s">
        <v>546</v>
      </c>
      <c r="CB286" t="s">
        <v>1866</v>
      </c>
      <c r="CC286" t="s">
        <v>556</v>
      </c>
      <c r="CD286" t="s">
        <v>745</v>
      </c>
      <c r="CE286" t="s">
        <v>746</v>
      </c>
      <c r="CF286" t="s">
        <v>127</v>
      </c>
      <c r="CG286" s="4">
        <v>1</v>
      </c>
      <c r="CH286" t="s">
        <v>546</v>
      </c>
      <c r="CK286" t="s">
        <v>1926</v>
      </c>
      <c r="CL286" s="1">
        <v>727.2</v>
      </c>
      <c r="CN286" t="s">
        <v>535</v>
      </c>
      <c r="CO286" t="s">
        <v>539</v>
      </c>
      <c r="CT286" t="s">
        <v>560</v>
      </c>
      <c r="CW286" t="s">
        <v>546</v>
      </c>
      <c r="DD286" t="s">
        <v>561</v>
      </c>
      <c r="DK286" t="s">
        <v>1927</v>
      </c>
      <c r="DL286" t="s">
        <v>1928</v>
      </c>
    </row>
    <row r="287" ht="15" customHeight="1" spans="1:122">
      <c r="A287" t="s">
        <v>530</v>
      </c>
      <c r="B287" t="s">
        <v>1932</v>
      </c>
      <c r="C287" t="s">
        <v>532</v>
      </c>
      <c r="D287" t="s">
        <v>1852</v>
      </c>
      <c r="E287" t="s">
        <v>534</v>
      </c>
      <c r="F287" t="s">
        <v>534</v>
      </c>
      <c r="G287" t="s">
        <v>535</v>
      </c>
      <c r="H287" s="1">
        <v>1960</v>
      </c>
      <c r="I287" s="1">
        <v>1948.24</v>
      </c>
      <c r="J287" t="s">
        <v>536</v>
      </c>
      <c r="L287" t="s">
        <v>536</v>
      </c>
      <c r="M287" t="s">
        <v>404</v>
      </c>
      <c r="N287" t="s">
        <v>537</v>
      </c>
      <c r="P287" s="1">
        <v>1960</v>
      </c>
      <c r="Q287" t="s">
        <v>642</v>
      </c>
      <c r="R287" t="s">
        <v>535</v>
      </c>
      <c r="S287" t="s">
        <v>539</v>
      </c>
      <c r="T287" s="2">
        <v>1</v>
      </c>
      <c r="U287" s="1">
        <v>1960</v>
      </c>
      <c r="V287" s="1">
        <v>1948.24</v>
      </c>
      <c r="X287" t="s">
        <v>540</v>
      </c>
      <c r="Z287" t="s">
        <v>541</v>
      </c>
      <c r="AA287" t="s">
        <v>542</v>
      </c>
      <c r="AB287" t="s">
        <v>543</v>
      </c>
      <c r="AC287" t="s">
        <v>544</v>
      </c>
      <c r="AD287" t="s">
        <v>545</v>
      </c>
      <c r="AE287" s="3">
        <v>1</v>
      </c>
      <c r="AF287" t="s">
        <v>7</v>
      </c>
      <c r="AG287" s="1">
        <v>1960</v>
      </c>
      <c r="AI287" s="1">
        <v>1960</v>
      </c>
      <c r="AJ287" s="1">
        <v>1960</v>
      </c>
      <c r="AK287" s="1">
        <v>11.76</v>
      </c>
      <c r="AM287" s="1">
        <v>1948.24</v>
      </c>
      <c r="AN287" t="s">
        <v>536</v>
      </c>
      <c r="AO287" t="s">
        <v>546</v>
      </c>
      <c r="AP287" t="s">
        <v>547</v>
      </c>
      <c r="AQ287" t="s">
        <v>548</v>
      </c>
      <c r="AS287" t="s">
        <v>404</v>
      </c>
      <c r="AX287" s="1">
        <v>1960</v>
      </c>
      <c r="AY287" t="s">
        <v>546</v>
      </c>
      <c r="AZ287" t="s">
        <v>549</v>
      </c>
      <c r="BA287" s="1">
        <v>1960</v>
      </c>
      <c r="BC287" t="s">
        <v>546</v>
      </c>
      <c r="BD287" s="1">
        <v>1960</v>
      </c>
      <c r="BE287" t="s">
        <v>540</v>
      </c>
      <c r="BF287" s="1">
        <v>1960</v>
      </c>
      <c r="BG287" s="1">
        <v>11.76</v>
      </c>
      <c r="BH287" s="1">
        <v>1948.24</v>
      </c>
      <c r="BI287" t="s">
        <v>550</v>
      </c>
      <c r="BJ287" t="s">
        <v>551</v>
      </c>
      <c r="BK287" t="s">
        <v>552</v>
      </c>
      <c r="BL287" t="s">
        <v>552</v>
      </c>
      <c r="BM287" t="s">
        <v>1852</v>
      </c>
      <c r="BN287" t="s">
        <v>1933</v>
      </c>
      <c r="BO287" t="s">
        <v>1934</v>
      </c>
      <c r="BR287" t="s">
        <v>546</v>
      </c>
      <c r="BS287" s="1">
        <v>1960</v>
      </c>
      <c r="BW287" t="s">
        <v>536</v>
      </c>
      <c r="BX287" s="1">
        <v>1960</v>
      </c>
      <c r="BZ287" t="s">
        <v>535</v>
      </c>
      <c r="CA287" t="s">
        <v>546</v>
      </c>
      <c r="CB287" t="s">
        <v>1852</v>
      </c>
      <c r="CC287" t="s">
        <v>556</v>
      </c>
      <c r="CD287" t="s">
        <v>1935</v>
      </c>
      <c r="CE287" t="s">
        <v>1936</v>
      </c>
      <c r="CF287" t="s">
        <v>7</v>
      </c>
      <c r="CG287" s="4">
        <v>1</v>
      </c>
      <c r="CH287" t="s">
        <v>546</v>
      </c>
      <c r="CK287" t="s">
        <v>1937</v>
      </c>
      <c r="CL287" s="1">
        <v>1960</v>
      </c>
      <c r="CN287" t="s">
        <v>535</v>
      </c>
      <c r="CO287" t="s">
        <v>539</v>
      </c>
      <c r="CT287" t="s">
        <v>651</v>
      </c>
      <c r="CW287" t="s">
        <v>546</v>
      </c>
      <c r="DD287" t="s">
        <v>561</v>
      </c>
      <c r="DK287" t="s">
        <v>1938</v>
      </c>
      <c r="DL287" t="s">
        <v>1939</v>
      </c>
    </row>
    <row r="288" ht="15" customHeight="1" spans="1:122">
      <c r="A288" t="s">
        <v>530</v>
      </c>
      <c r="B288" t="s">
        <v>1940</v>
      </c>
      <c r="C288" t="s">
        <v>532</v>
      </c>
      <c r="D288" t="s">
        <v>1852</v>
      </c>
      <c r="E288" t="s">
        <v>534</v>
      </c>
      <c r="F288" t="s">
        <v>534</v>
      </c>
      <c r="G288" t="s">
        <v>535</v>
      </c>
      <c r="H288" s="1">
        <v>490</v>
      </c>
      <c r="I288" s="1">
        <v>490</v>
      </c>
      <c r="J288" t="s">
        <v>536</v>
      </c>
      <c r="L288" t="s">
        <v>536</v>
      </c>
      <c r="M288" t="s">
        <v>404</v>
      </c>
      <c r="N288" t="s">
        <v>537</v>
      </c>
      <c r="P288" s="1">
        <v>490</v>
      </c>
      <c r="Q288" t="s">
        <v>642</v>
      </c>
      <c r="R288" t="s">
        <v>535</v>
      </c>
      <c r="S288" t="s">
        <v>539</v>
      </c>
      <c r="T288" s="2">
        <v>1</v>
      </c>
      <c r="U288" s="1">
        <v>490</v>
      </c>
      <c r="V288" s="1">
        <v>490</v>
      </c>
      <c r="X288" t="s">
        <v>540</v>
      </c>
      <c r="Z288" t="s">
        <v>541</v>
      </c>
      <c r="AA288" t="s">
        <v>542</v>
      </c>
      <c r="AB288" t="s">
        <v>543</v>
      </c>
      <c r="AC288" t="s">
        <v>544</v>
      </c>
      <c r="AD288" t="s">
        <v>545</v>
      </c>
      <c r="AE288" s="3">
        <v>1</v>
      </c>
      <c r="AF288" t="s">
        <v>7</v>
      </c>
      <c r="AG288" s="1">
        <v>490</v>
      </c>
      <c r="AI288" s="1">
        <v>490</v>
      </c>
      <c r="AJ288" s="1">
        <v>490</v>
      </c>
      <c r="AM288" s="1">
        <v>490</v>
      </c>
      <c r="AN288" t="s">
        <v>565</v>
      </c>
      <c r="AO288" t="s">
        <v>546</v>
      </c>
      <c r="AP288" t="s">
        <v>565</v>
      </c>
      <c r="AQ288" t="s">
        <v>548</v>
      </c>
      <c r="AS288" t="s">
        <v>404</v>
      </c>
      <c r="AX288" s="1">
        <v>490</v>
      </c>
      <c r="AY288" t="s">
        <v>546</v>
      </c>
      <c r="AZ288" t="s">
        <v>566</v>
      </c>
      <c r="BA288" s="1">
        <v>490</v>
      </c>
      <c r="BC288" t="s">
        <v>546</v>
      </c>
      <c r="BD288" s="1">
        <v>490</v>
      </c>
      <c r="BE288" t="s">
        <v>540</v>
      </c>
      <c r="BF288" s="1">
        <v>490</v>
      </c>
      <c r="BH288" s="1">
        <v>490</v>
      </c>
      <c r="BI288" t="s">
        <v>550</v>
      </c>
      <c r="BJ288" t="s">
        <v>551</v>
      </c>
      <c r="BK288" t="s">
        <v>551</v>
      </c>
      <c r="BL288" t="s">
        <v>552</v>
      </c>
      <c r="BM288" t="s">
        <v>1852</v>
      </c>
      <c r="BN288" t="s">
        <v>1941</v>
      </c>
      <c r="BO288" t="s">
        <v>1942</v>
      </c>
      <c r="BR288" t="s">
        <v>546</v>
      </c>
      <c r="BS288" s="1">
        <v>490</v>
      </c>
      <c r="BW288" t="s">
        <v>536</v>
      </c>
      <c r="BX288" s="1">
        <v>490</v>
      </c>
      <c r="BZ288" t="s">
        <v>535</v>
      </c>
      <c r="CA288" t="s">
        <v>546</v>
      </c>
      <c r="CB288" t="s">
        <v>1852</v>
      </c>
      <c r="CC288" t="s">
        <v>556</v>
      </c>
      <c r="CD288" t="s">
        <v>1935</v>
      </c>
      <c r="CE288" t="s">
        <v>1936</v>
      </c>
      <c r="CF288" t="s">
        <v>7</v>
      </c>
      <c r="CG288" s="4">
        <v>1</v>
      </c>
      <c r="CH288" t="s">
        <v>546</v>
      </c>
      <c r="CK288" t="s">
        <v>1937</v>
      </c>
      <c r="CL288" s="1">
        <v>490</v>
      </c>
      <c r="CN288" t="s">
        <v>535</v>
      </c>
      <c r="CO288" t="s">
        <v>539</v>
      </c>
      <c r="CT288" t="s">
        <v>651</v>
      </c>
      <c r="CW288" t="s">
        <v>546</v>
      </c>
      <c r="DD288" t="s">
        <v>561</v>
      </c>
      <c r="DK288" t="s">
        <v>1938</v>
      </c>
      <c r="DL288" t="s">
        <v>1939</v>
      </c>
    </row>
    <row r="289" ht="15" customHeight="1" spans="1:122">
      <c r="A289" t="s">
        <v>530</v>
      </c>
      <c r="B289" t="s">
        <v>1943</v>
      </c>
      <c r="C289" t="s">
        <v>532</v>
      </c>
      <c r="D289" t="s">
        <v>1866</v>
      </c>
      <c r="E289" t="s">
        <v>534</v>
      </c>
      <c r="F289" t="s">
        <v>534</v>
      </c>
      <c r="G289" t="s">
        <v>535</v>
      </c>
      <c r="H289" s="1">
        <v>2715.2</v>
      </c>
      <c r="I289" s="1">
        <v>2698.91</v>
      </c>
      <c r="J289" t="s">
        <v>536</v>
      </c>
      <c r="L289" t="s">
        <v>536</v>
      </c>
      <c r="M289" t="s">
        <v>377</v>
      </c>
      <c r="N289" t="s">
        <v>537</v>
      </c>
      <c r="P289" s="1">
        <v>2715.2</v>
      </c>
      <c r="Q289" t="s">
        <v>538</v>
      </c>
      <c r="R289" t="s">
        <v>535</v>
      </c>
      <c r="S289" t="s">
        <v>539</v>
      </c>
      <c r="T289" s="2">
        <v>1</v>
      </c>
      <c r="U289" s="1">
        <v>2715.2</v>
      </c>
      <c r="V289" s="1">
        <v>2698.91</v>
      </c>
      <c r="X289" t="s">
        <v>540</v>
      </c>
      <c r="Z289" t="s">
        <v>541</v>
      </c>
      <c r="AA289" t="s">
        <v>542</v>
      </c>
      <c r="AB289" t="s">
        <v>543</v>
      </c>
      <c r="AC289" t="s">
        <v>544</v>
      </c>
      <c r="AD289" t="s">
        <v>545</v>
      </c>
      <c r="AE289" s="3">
        <v>1</v>
      </c>
      <c r="AF289" t="s">
        <v>126</v>
      </c>
      <c r="AG289" s="1">
        <v>2715.2</v>
      </c>
      <c r="AI289" s="1">
        <v>2715.2</v>
      </c>
      <c r="AJ289" s="1">
        <v>2715.2</v>
      </c>
      <c r="AK289" s="1">
        <v>16.29</v>
      </c>
      <c r="AM289" s="1">
        <v>2698.91</v>
      </c>
      <c r="AN289" t="s">
        <v>536</v>
      </c>
      <c r="AO289" t="s">
        <v>546</v>
      </c>
      <c r="AP289" t="s">
        <v>547</v>
      </c>
      <c r="AQ289" t="s">
        <v>548</v>
      </c>
      <c r="AS289" t="s">
        <v>377</v>
      </c>
      <c r="AX289" s="1">
        <v>2715.2</v>
      </c>
      <c r="AY289" t="s">
        <v>546</v>
      </c>
      <c r="AZ289" t="s">
        <v>549</v>
      </c>
      <c r="BA289" s="1">
        <v>2715.2</v>
      </c>
      <c r="BC289" t="s">
        <v>546</v>
      </c>
      <c r="BD289" s="1">
        <v>2715.2</v>
      </c>
      <c r="BE289" t="s">
        <v>540</v>
      </c>
      <c r="BF289" s="1">
        <v>2715.2</v>
      </c>
      <c r="BG289" s="1">
        <v>16.29</v>
      </c>
      <c r="BH289" s="1">
        <v>2698.91</v>
      </c>
      <c r="BI289" t="s">
        <v>550</v>
      </c>
      <c r="BJ289" t="s">
        <v>551</v>
      </c>
      <c r="BK289" t="s">
        <v>552</v>
      </c>
      <c r="BL289" t="s">
        <v>552</v>
      </c>
      <c r="BM289" t="s">
        <v>1852</v>
      </c>
      <c r="BN289" t="s">
        <v>1944</v>
      </c>
      <c r="BO289" t="s">
        <v>1945</v>
      </c>
      <c r="BR289" t="s">
        <v>546</v>
      </c>
      <c r="BS289" s="1">
        <v>2715.2</v>
      </c>
      <c r="BW289" t="s">
        <v>536</v>
      </c>
      <c r="BX289" s="1">
        <v>2715.2</v>
      </c>
      <c r="BZ289" t="s">
        <v>535</v>
      </c>
      <c r="CA289" t="s">
        <v>546</v>
      </c>
      <c r="CB289" t="s">
        <v>1866</v>
      </c>
      <c r="CC289" t="s">
        <v>556</v>
      </c>
      <c r="CD289" t="s">
        <v>745</v>
      </c>
      <c r="CE289" t="s">
        <v>746</v>
      </c>
      <c r="CF289" t="s">
        <v>126</v>
      </c>
      <c r="CG289" s="4">
        <v>1</v>
      </c>
      <c r="CH289" t="s">
        <v>546</v>
      </c>
      <c r="CK289" t="s">
        <v>1946</v>
      </c>
      <c r="CL289" s="1">
        <v>2715.2</v>
      </c>
      <c r="CN289" t="s">
        <v>535</v>
      </c>
      <c r="CO289" t="s">
        <v>539</v>
      </c>
      <c r="CT289" t="s">
        <v>560</v>
      </c>
      <c r="CW289" t="s">
        <v>546</v>
      </c>
      <c r="DD289" t="s">
        <v>561</v>
      </c>
      <c r="DK289" t="s">
        <v>1947</v>
      </c>
      <c r="DL289" t="s">
        <v>1948</v>
      </c>
    </row>
    <row r="290" ht="15" customHeight="1" spans="1:122">
      <c r="A290" t="s">
        <v>530</v>
      </c>
      <c r="B290" t="s">
        <v>1949</v>
      </c>
      <c r="C290" t="s">
        <v>532</v>
      </c>
      <c r="D290" t="s">
        <v>1866</v>
      </c>
      <c r="E290" t="s">
        <v>534</v>
      </c>
      <c r="F290" t="s">
        <v>534</v>
      </c>
      <c r="G290" t="s">
        <v>535</v>
      </c>
      <c r="H290" s="1">
        <v>678.8</v>
      </c>
      <c r="I290" s="1">
        <v>678.8</v>
      </c>
      <c r="J290" t="s">
        <v>536</v>
      </c>
      <c r="L290" t="s">
        <v>536</v>
      </c>
      <c r="M290" t="s">
        <v>377</v>
      </c>
      <c r="N290" t="s">
        <v>537</v>
      </c>
      <c r="P290" s="1">
        <v>678.8</v>
      </c>
      <c r="Q290" t="s">
        <v>538</v>
      </c>
      <c r="R290" t="s">
        <v>535</v>
      </c>
      <c r="S290" t="s">
        <v>539</v>
      </c>
      <c r="T290" s="2">
        <v>1</v>
      </c>
      <c r="U290" s="1">
        <v>678.8</v>
      </c>
      <c r="V290" s="1">
        <v>678.8</v>
      </c>
      <c r="X290" t="s">
        <v>540</v>
      </c>
      <c r="Z290" t="s">
        <v>541</v>
      </c>
      <c r="AA290" t="s">
        <v>542</v>
      </c>
      <c r="AB290" t="s">
        <v>543</v>
      </c>
      <c r="AC290" t="s">
        <v>544</v>
      </c>
      <c r="AD290" t="s">
        <v>545</v>
      </c>
      <c r="AE290" s="3">
        <v>1</v>
      </c>
      <c r="AF290" t="s">
        <v>126</v>
      </c>
      <c r="AG290" s="1">
        <v>678.8</v>
      </c>
      <c r="AI290" s="1">
        <v>678.8</v>
      </c>
      <c r="AJ290" s="1">
        <v>678.8</v>
      </c>
      <c r="AM290" s="1">
        <v>678.8</v>
      </c>
      <c r="AN290" t="s">
        <v>565</v>
      </c>
      <c r="AO290" t="s">
        <v>546</v>
      </c>
      <c r="AP290" t="s">
        <v>565</v>
      </c>
      <c r="AQ290" t="s">
        <v>548</v>
      </c>
      <c r="AS290" t="s">
        <v>377</v>
      </c>
      <c r="AX290" s="1">
        <v>678.8</v>
      </c>
      <c r="AY290" t="s">
        <v>546</v>
      </c>
      <c r="AZ290" t="s">
        <v>566</v>
      </c>
      <c r="BA290" s="1">
        <v>678.8</v>
      </c>
      <c r="BC290" t="s">
        <v>546</v>
      </c>
      <c r="BD290" s="1">
        <v>678.8</v>
      </c>
      <c r="BE290" t="s">
        <v>540</v>
      </c>
      <c r="BF290" s="1">
        <v>678.8</v>
      </c>
      <c r="BH290" s="1">
        <v>678.8</v>
      </c>
      <c r="BI290" t="s">
        <v>550</v>
      </c>
      <c r="BJ290" t="s">
        <v>551</v>
      </c>
      <c r="BK290" t="s">
        <v>551</v>
      </c>
      <c r="BL290" t="s">
        <v>552</v>
      </c>
      <c r="BM290" t="s">
        <v>1852</v>
      </c>
      <c r="BN290" t="s">
        <v>1950</v>
      </c>
      <c r="BO290" t="s">
        <v>1951</v>
      </c>
      <c r="BR290" t="s">
        <v>546</v>
      </c>
      <c r="BS290" s="1">
        <v>678.8</v>
      </c>
      <c r="BW290" t="s">
        <v>536</v>
      </c>
      <c r="BX290" s="1">
        <v>678.8</v>
      </c>
      <c r="BZ290" t="s">
        <v>535</v>
      </c>
      <c r="CA290" t="s">
        <v>546</v>
      </c>
      <c r="CB290" t="s">
        <v>1866</v>
      </c>
      <c r="CC290" t="s">
        <v>556</v>
      </c>
      <c r="CD290" t="s">
        <v>745</v>
      </c>
      <c r="CE290" t="s">
        <v>746</v>
      </c>
      <c r="CF290" t="s">
        <v>126</v>
      </c>
      <c r="CG290" s="4">
        <v>1</v>
      </c>
      <c r="CH290" t="s">
        <v>546</v>
      </c>
      <c r="CK290" t="s">
        <v>1946</v>
      </c>
      <c r="CL290" s="1">
        <v>678.8</v>
      </c>
      <c r="CN290" t="s">
        <v>535</v>
      </c>
      <c r="CO290" t="s">
        <v>539</v>
      </c>
      <c r="CT290" t="s">
        <v>560</v>
      </c>
      <c r="CW290" t="s">
        <v>546</v>
      </c>
      <c r="DD290" t="s">
        <v>561</v>
      </c>
      <c r="DK290" t="s">
        <v>1947</v>
      </c>
      <c r="DL290" t="s">
        <v>1948</v>
      </c>
    </row>
    <row r="291" ht="15" customHeight="1" spans="1:122">
      <c r="A291" t="s">
        <v>530</v>
      </c>
      <c r="B291" t="s">
        <v>1952</v>
      </c>
      <c r="C291" t="s">
        <v>532</v>
      </c>
      <c r="D291" t="s">
        <v>1852</v>
      </c>
      <c r="E291" t="s">
        <v>534</v>
      </c>
      <c r="F291" t="s">
        <v>534</v>
      </c>
      <c r="G291" t="s">
        <v>535</v>
      </c>
      <c r="H291" s="1">
        <v>242</v>
      </c>
      <c r="I291" s="1">
        <v>242</v>
      </c>
      <c r="J291" t="s">
        <v>536</v>
      </c>
      <c r="L291" t="s">
        <v>536</v>
      </c>
      <c r="M291" t="s">
        <v>377</v>
      </c>
      <c r="N291" t="s">
        <v>537</v>
      </c>
      <c r="P291" s="1">
        <v>242</v>
      </c>
      <c r="Q291" t="s">
        <v>538</v>
      </c>
      <c r="R291" t="s">
        <v>535</v>
      </c>
      <c r="S291" t="s">
        <v>539</v>
      </c>
      <c r="T291" s="2">
        <v>1</v>
      </c>
      <c r="U291" s="1">
        <v>242</v>
      </c>
      <c r="V291" s="1">
        <v>242</v>
      </c>
      <c r="X291" t="s">
        <v>616</v>
      </c>
      <c r="Z291" t="s">
        <v>541</v>
      </c>
      <c r="AA291" t="s">
        <v>542</v>
      </c>
      <c r="AB291" t="s">
        <v>543</v>
      </c>
      <c r="AC291" t="s">
        <v>544</v>
      </c>
      <c r="AD291" t="s">
        <v>545</v>
      </c>
      <c r="AE291" s="3">
        <v>1</v>
      </c>
      <c r="AF291" t="s">
        <v>321</v>
      </c>
      <c r="AG291" s="1">
        <v>242</v>
      </c>
      <c r="AI291" s="1">
        <v>242</v>
      </c>
      <c r="AJ291" s="1">
        <v>242</v>
      </c>
      <c r="AM291" s="1">
        <v>242</v>
      </c>
      <c r="AN291" t="s">
        <v>643</v>
      </c>
      <c r="AO291" t="s">
        <v>546</v>
      </c>
      <c r="AP291" t="s">
        <v>643</v>
      </c>
      <c r="AQ291" t="s">
        <v>548</v>
      </c>
      <c r="AS291" t="s">
        <v>377</v>
      </c>
      <c r="AX291" s="1">
        <v>242</v>
      </c>
      <c r="AY291" t="s">
        <v>546</v>
      </c>
      <c r="AZ291" t="s">
        <v>644</v>
      </c>
      <c r="BA291" s="1">
        <v>242</v>
      </c>
      <c r="BC291" t="s">
        <v>546</v>
      </c>
      <c r="BD291" s="1">
        <v>242</v>
      </c>
      <c r="BE291" t="s">
        <v>616</v>
      </c>
      <c r="BH291" s="1">
        <v>242</v>
      </c>
      <c r="BI291" t="s">
        <v>550</v>
      </c>
      <c r="BJ291" t="s">
        <v>551</v>
      </c>
      <c r="BK291" t="s">
        <v>551</v>
      </c>
      <c r="BL291" t="s">
        <v>552</v>
      </c>
      <c r="BM291" t="s">
        <v>1852</v>
      </c>
      <c r="BN291" t="s">
        <v>1953</v>
      </c>
      <c r="BO291" t="s">
        <v>1954</v>
      </c>
      <c r="BR291" t="s">
        <v>546</v>
      </c>
      <c r="BS291" s="1">
        <v>242</v>
      </c>
      <c r="BW291" t="s">
        <v>536</v>
      </c>
      <c r="BZ291" t="s">
        <v>535</v>
      </c>
      <c r="CA291" t="s">
        <v>546</v>
      </c>
      <c r="CB291" t="s">
        <v>1852</v>
      </c>
      <c r="CC291" t="s">
        <v>556</v>
      </c>
      <c r="CD291" t="s">
        <v>1411</v>
      </c>
      <c r="CE291" t="s">
        <v>1412</v>
      </c>
      <c r="CF291" t="s">
        <v>321</v>
      </c>
      <c r="CG291" s="4">
        <v>1</v>
      </c>
      <c r="CH291" t="s">
        <v>546</v>
      </c>
      <c r="CK291" t="s">
        <v>1955</v>
      </c>
      <c r="CN291" t="s">
        <v>535</v>
      </c>
      <c r="CO291" t="s">
        <v>539</v>
      </c>
      <c r="CT291" t="s">
        <v>560</v>
      </c>
      <c r="CW291" t="s">
        <v>546</v>
      </c>
      <c r="DD291" t="s">
        <v>561</v>
      </c>
      <c r="DK291" t="s">
        <v>1947</v>
      </c>
      <c r="DL291" t="s">
        <v>1948</v>
      </c>
      <c r="DR291" t="s">
        <v>1956</v>
      </c>
    </row>
    <row r="292" ht="15" customHeight="1" spans="1:122">
      <c r="A292" t="s">
        <v>530</v>
      </c>
      <c r="B292" t="s">
        <v>1957</v>
      </c>
      <c r="C292" t="s">
        <v>532</v>
      </c>
      <c r="D292" t="s">
        <v>1852</v>
      </c>
      <c r="E292" t="s">
        <v>534</v>
      </c>
      <c r="F292" t="s">
        <v>534</v>
      </c>
      <c r="G292" t="s">
        <v>535</v>
      </c>
      <c r="H292" s="1">
        <v>890</v>
      </c>
      <c r="I292" s="1">
        <v>890</v>
      </c>
      <c r="J292" t="s">
        <v>536</v>
      </c>
      <c r="L292" t="s">
        <v>536</v>
      </c>
      <c r="M292" t="s">
        <v>371</v>
      </c>
      <c r="N292" t="s">
        <v>537</v>
      </c>
      <c r="P292" s="1">
        <v>890</v>
      </c>
      <c r="Q292" t="s">
        <v>1060</v>
      </c>
      <c r="R292" t="s">
        <v>535</v>
      </c>
      <c r="S292" t="s">
        <v>539</v>
      </c>
      <c r="T292" s="2">
        <v>1</v>
      </c>
      <c r="U292" s="1">
        <v>890</v>
      </c>
      <c r="V292" s="1">
        <v>890</v>
      </c>
      <c r="X292" t="s">
        <v>540</v>
      </c>
      <c r="Z292" t="s">
        <v>541</v>
      </c>
      <c r="AA292" t="s">
        <v>542</v>
      </c>
      <c r="AB292" t="s">
        <v>543</v>
      </c>
      <c r="AC292" t="s">
        <v>544</v>
      </c>
      <c r="AD292" t="s">
        <v>545</v>
      </c>
      <c r="AE292" s="3">
        <v>1</v>
      </c>
      <c r="AF292" t="s">
        <v>128</v>
      </c>
      <c r="AG292" s="1">
        <v>890</v>
      </c>
      <c r="AI292" s="1">
        <v>890</v>
      </c>
      <c r="AJ292" s="1">
        <v>890</v>
      </c>
      <c r="AM292" s="1">
        <v>890</v>
      </c>
      <c r="AN292" t="s">
        <v>643</v>
      </c>
      <c r="AO292" t="s">
        <v>546</v>
      </c>
      <c r="AP292" t="s">
        <v>643</v>
      </c>
      <c r="AQ292" t="s">
        <v>548</v>
      </c>
      <c r="AS292" t="s">
        <v>371</v>
      </c>
      <c r="AX292" s="1">
        <v>890</v>
      </c>
      <c r="AY292" t="s">
        <v>546</v>
      </c>
      <c r="AZ292" t="s">
        <v>644</v>
      </c>
      <c r="BA292" s="1">
        <v>890</v>
      </c>
      <c r="BC292" t="s">
        <v>546</v>
      </c>
      <c r="BD292" s="1">
        <v>890</v>
      </c>
      <c r="BE292" t="s">
        <v>540</v>
      </c>
      <c r="BF292" s="1">
        <v>890</v>
      </c>
      <c r="BH292" s="1">
        <v>890</v>
      </c>
      <c r="BI292" t="s">
        <v>550</v>
      </c>
      <c r="BJ292" t="s">
        <v>1060</v>
      </c>
      <c r="BK292" t="s">
        <v>1060</v>
      </c>
      <c r="BL292" t="s">
        <v>552</v>
      </c>
      <c r="BM292" t="s">
        <v>1852</v>
      </c>
      <c r="BN292" t="s">
        <v>1958</v>
      </c>
      <c r="BO292" t="s">
        <v>1959</v>
      </c>
      <c r="BR292" t="s">
        <v>546</v>
      </c>
      <c r="BS292" s="1">
        <v>890</v>
      </c>
      <c r="BW292" t="s">
        <v>536</v>
      </c>
      <c r="BX292" s="1">
        <v>890</v>
      </c>
      <c r="BZ292" t="s">
        <v>535</v>
      </c>
      <c r="CA292" t="s">
        <v>546</v>
      </c>
      <c r="CB292" t="s">
        <v>1852</v>
      </c>
      <c r="CC292" t="s">
        <v>556</v>
      </c>
      <c r="CD292" t="s">
        <v>1108</v>
      </c>
      <c r="CE292" t="s">
        <v>1109</v>
      </c>
      <c r="CF292" t="s">
        <v>128</v>
      </c>
      <c r="CG292" s="4">
        <v>1</v>
      </c>
      <c r="CH292" t="s">
        <v>546</v>
      </c>
      <c r="CK292" t="s">
        <v>1960</v>
      </c>
      <c r="CL292" s="1">
        <v>890</v>
      </c>
      <c r="CN292" t="s">
        <v>535</v>
      </c>
      <c r="CO292" t="s">
        <v>539</v>
      </c>
      <c r="CT292" t="s">
        <v>576</v>
      </c>
      <c r="CW292" t="s">
        <v>546</v>
      </c>
      <c r="DD292" t="s">
        <v>561</v>
      </c>
      <c r="DK292" t="s">
        <v>1961</v>
      </c>
      <c r="DL292" t="s">
        <v>1962</v>
      </c>
      <c r="DR292" t="s">
        <v>1963</v>
      </c>
    </row>
    <row r="293" ht="15" customHeight="1" spans="1:122">
      <c r="A293" t="s">
        <v>530</v>
      </c>
      <c r="B293" t="s">
        <v>1964</v>
      </c>
      <c r="C293" t="s">
        <v>532</v>
      </c>
      <c r="D293" t="s">
        <v>1705</v>
      </c>
      <c r="E293" t="s">
        <v>534</v>
      </c>
      <c r="F293" t="s">
        <v>534</v>
      </c>
      <c r="G293" t="s">
        <v>535</v>
      </c>
      <c r="H293" s="1">
        <v>890</v>
      </c>
      <c r="I293" s="1">
        <v>890</v>
      </c>
      <c r="J293" t="s">
        <v>536</v>
      </c>
      <c r="L293" t="s">
        <v>536</v>
      </c>
      <c r="M293" t="s">
        <v>371</v>
      </c>
      <c r="N293" t="s">
        <v>537</v>
      </c>
      <c r="P293" s="1">
        <v>890</v>
      </c>
      <c r="Q293" t="s">
        <v>1060</v>
      </c>
      <c r="R293" t="s">
        <v>535</v>
      </c>
      <c r="S293" t="s">
        <v>539</v>
      </c>
      <c r="T293" s="2">
        <v>1</v>
      </c>
      <c r="U293" s="1">
        <v>890</v>
      </c>
      <c r="V293" s="1">
        <v>890</v>
      </c>
      <c r="X293" t="s">
        <v>540</v>
      </c>
      <c r="Z293" t="s">
        <v>541</v>
      </c>
      <c r="AA293" t="s">
        <v>542</v>
      </c>
      <c r="AB293" t="s">
        <v>934</v>
      </c>
      <c r="AC293" t="s">
        <v>544</v>
      </c>
      <c r="AD293" t="s">
        <v>545</v>
      </c>
      <c r="AE293" s="3">
        <v>1</v>
      </c>
      <c r="AF293" t="s">
        <v>123</v>
      </c>
      <c r="AG293" s="1">
        <v>890</v>
      </c>
      <c r="AI293" s="1">
        <v>890</v>
      </c>
      <c r="AJ293" s="1">
        <v>890</v>
      </c>
      <c r="AM293" s="1">
        <v>890</v>
      </c>
      <c r="AN293" t="s">
        <v>643</v>
      </c>
      <c r="AO293" t="s">
        <v>546</v>
      </c>
      <c r="AP293" t="s">
        <v>643</v>
      </c>
      <c r="AQ293" t="s">
        <v>548</v>
      </c>
      <c r="AS293" t="s">
        <v>371</v>
      </c>
      <c r="AX293" s="1">
        <v>890</v>
      </c>
      <c r="AY293" t="s">
        <v>546</v>
      </c>
      <c r="AZ293" t="s">
        <v>644</v>
      </c>
      <c r="BA293" s="1">
        <v>890</v>
      </c>
      <c r="BC293" t="s">
        <v>546</v>
      </c>
      <c r="BD293" s="1">
        <v>890</v>
      </c>
      <c r="BE293" t="s">
        <v>540</v>
      </c>
      <c r="BF293" s="1">
        <v>890</v>
      </c>
      <c r="BH293" s="1">
        <v>890</v>
      </c>
      <c r="BI293" t="s">
        <v>550</v>
      </c>
      <c r="BJ293" t="s">
        <v>551</v>
      </c>
      <c r="BK293" t="s">
        <v>551</v>
      </c>
      <c r="BL293" t="s">
        <v>552</v>
      </c>
      <c r="BM293" t="s">
        <v>1852</v>
      </c>
      <c r="BN293" t="s">
        <v>1965</v>
      </c>
      <c r="BO293" t="s">
        <v>1966</v>
      </c>
      <c r="BR293" t="s">
        <v>546</v>
      </c>
      <c r="BS293" s="1">
        <v>890</v>
      </c>
      <c r="BW293" t="s">
        <v>536</v>
      </c>
      <c r="BX293" s="1">
        <v>890</v>
      </c>
      <c r="BZ293" t="s">
        <v>535</v>
      </c>
      <c r="CA293" t="s">
        <v>546</v>
      </c>
      <c r="CB293" t="s">
        <v>1705</v>
      </c>
      <c r="CC293" t="s">
        <v>556</v>
      </c>
      <c r="CD293" t="s">
        <v>1108</v>
      </c>
      <c r="CE293" t="s">
        <v>1109</v>
      </c>
      <c r="CF293" t="s">
        <v>123</v>
      </c>
      <c r="CG293" s="4">
        <v>1</v>
      </c>
      <c r="CH293" t="s">
        <v>546</v>
      </c>
      <c r="CK293" t="s">
        <v>1967</v>
      </c>
      <c r="CL293" s="1">
        <v>890</v>
      </c>
      <c r="CN293" t="s">
        <v>535</v>
      </c>
      <c r="CO293" t="s">
        <v>539</v>
      </c>
      <c r="CT293" t="s">
        <v>576</v>
      </c>
      <c r="CW293" t="s">
        <v>546</v>
      </c>
      <c r="DD293" t="s">
        <v>561</v>
      </c>
      <c r="DK293" t="s">
        <v>1968</v>
      </c>
      <c r="DL293" t="s">
        <v>1969</v>
      </c>
      <c r="DR293" t="s">
        <v>1970</v>
      </c>
    </row>
    <row r="294" ht="15" customHeight="1" spans="1:122">
      <c r="A294" t="s">
        <v>530</v>
      </c>
      <c r="B294" t="s">
        <v>1971</v>
      </c>
      <c r="C294" t="s">
        <v>532</v>
      </c>
      <c r="D294" t="s">
        <v>1852</v>
      </c>
      <c r="E294" t="s">
        <v>534</v>
      </c>
      <c r="F294" t="s">
        <v>534</v>
      </c>
      <c r="G294" t="s">
        <v>535</v>
      </c>
      <c r="H294" s="1">
        <v>3439</v>
      </c>
      <c r="I294" s="1">
        <v>3439</v>
      </c>
      <c r="J294" t="s">
        <v>536</v>
      </c>
      <c r="L294" t="s">
        <v>536</v>
      </c>
      <c r="M294" t="s">
        <v>371</v>
      </c>
      <c r="N294" t="s">
        <v>537</v>
      </c>
      <c r="P294" s="1">
        <v>3439</v>
      </c>
      <c r="Q294" t="s">
        <v>1060</v>
      </c>
      <c r="R294" t="s">
        <v>535</v>
      </c>
      <c r="S294" t="s">
        <v>539</v>
      </c>
      <c r="T294" s="2">
        <v>1</v>
      </c>
      <c r="U294" s="1">
        <v>3439</v>
      </c>
      <c r="V294" s="1">
        <v>3439</v>
      </c>
      <c r="X294" t="s">
        <v>540</v>
      </c>
      <c r="Z294" t="s">
        <v>541</v>
      </c>
      <c r="AA294" t="s">
        <v>542</v>
      </c>
      <c r="AB294" t="s">
        <v>543</v>
      </c>
      <c r="AC294" t="s">
        <v>544</v>
      </c>
      <c r="AD294" t="s">
        <v>545</v>
      </c>
      <c r="AE294" s="3">
        <v>1</v>
      </c>
      <c r="AF294" t="s">
        <v>129</v>
      </c>
      <c r="AG294" s="1">
        <v>3439</v>
      </c>
      <c r="AI294" s="1">
        <v>3439</v>
      </c>
      <c r="AJ294" s="1">
        <v>3439</v>
      </c>
      <c r="AM294" s="1">
        <v>3439</v>
      </c>
      <c r="AN294" t="s">
        <v>643</v>
      </c>
      <c r="AO294" t="s">
        <v>546</v>
      </c>
      <c r="AP294" t="s">
        <v>643</v>
      </c>
      <c r="AQ294" t="s">
        <v>548</v>
      </c>
      <c r="AS294" t="s">
        <v>371</v>
      </c>
      <c r="AX294" s="1">
        <v>3439</v>
      </c>
      <c r="AY294" t="s">
        <v>546</v>
      </c>
      <c r="AZ294" t="s">
        <v>644</v>
      </c>
      <c r="BA294" s="1">
        <v>3439</v>
      </c>
      <c r="BC294" t="s">
        <v>546</v>
      </c>
      <c r="BD294" s="1">
        <v>3439</v>
      </c>
      <c r="BE294" t="s">
        <v>540</v>
      </c>
      <c r="BF294" s="1">
        <v>3439</v>
      </c>
      <c r="BH294" s="1">
        <v>3439</v>
      </c>
      <c r="BI294" t="s">
        <v>550</v>
      </c>
      <c r="BJ294" t="s">
        <v>1060</v>
      </c>
      <c r="BK294" t="s">
        <v>1060</v>
      </c>
      <c r="BL294" t="s">
        <v>552</v>
      </c>
      <c r="BM294" t="s">
        <v>1852</v>
      </c>
      <c r="BN294" t="s">
        <v>1972</v>
      </c>
      <c r="BO294" t="s">
        <v>1973</v>
      </c>
      <c r="BR294" t="s">
        <v>546</v>
      </c>
      <c r="BS294" s="1">
        <v>3439</v>
      </c>
      <c r="BW294" t="s">
        <v>536</v>
      </c>
      <c r="BX294" s="1">
        <v>3439</v>
      </c>
      <c r="BZ294" t="s">
        <v>535</v>
      </c>
      <c r="CA294" t="s">
        <v>546</v>
      </c>
      <c r="CB294" t="s">
        <v>1852</v>
      </c>
      <c r="CC294" t="s">
        <v>556</v>
      </c>
      <c r="CD294" t="s">
        <v>622</v>
      </c>
      <c r="CE294" t="s">
        <v>623</v>
      </c>
      <c r="CF294" t="s">
        <v>129</v>
      </c>
      <c r="CG294" s="4">
        <v>1</v>
      </c>
      <c r="CH294" t="s">
        <v>546</v>
      </c>
      <c r="CK294" t="s">
        <v>1974</v>
      </c>
      <c r="CL294" s="1">
        <v>3439</v>
      </c>
      <c r="CN294" t="s">
        <v>535</v>
      </c>
      <c r="CO294" t="s">
        <v>539</v>
      </c>
      <c r="CT294" t="s">
        <v>576</v>
      </c>
      <c r="CW294" t="s">
        <v>546</v>
      </c>
      <c r="DD294" t="s">
        <v>561</v>
      </c>
      <c r="DK294" t="s">
        <v>1975</v>
      </c>
      <c r="DL294" t="s">
        <v>1976</v>
      </c>
      <c r="DR294" t="s">
        <v>1977</v>
      </c>
    </row>
    <row r="295" ht="15" customHeight="1" spans="1:122">
      <c r="A295" t="s">
        <v>603</v>
      </c>
      <c r="B295" t="s">
        <v>1978</v>
      </c>
      <c r="C295" t="s">
        <v>532</v>
      </c>
      <c r="D295" t="s">
        <v>1852</v>
      </c>
      <c r="E295" t="s">
        <v>534</v>
      </c>
      <c r="F295" t="s">
        <v>534</v>
      </c>
      <c r="G295" t="s">
        <v>535</v>
      </c>
      <c r="H295" s="1">
        <v>8148</v>
      </c>
      <c r="I295" s="1">
        <v>8148</v>
      </c>
      <c r="J295" t="s">
        <v>536</v>
      </c>
      <c r="L295" t="s">
        <v>536</v>
      </c>
      <c r="M295" t="s">
        <v>386</v>
      </c>
      <c r="N295" t="s">
        <v>657</v>
      </c>
      <c r="P295" s="1">
        <v>8148</v>
      </c>
      <c r="Q295" t="s">
        <v>658</v>
      </c>
      <c r="R295" t="s">
        <v>535</v>
      </c>
      <c r="S295" t="s">
        <v>539</v>
      </c>
      <c r="T295" s="2">
        <v>1</v>
      </c>
      <c r="U295" s="1">
        <v>8148</v>
      </c>
      <c r="V295" s="1">
        <v>8148</v>
      </c>
      <c r="X295" t="s">
        <v>616</v>
      </c>
      <c r="Z295" t="s">
        <v>541</v>
      </c>
      <c r="AA295" t="s">
        <v>542</v>
      </c>
      <c r="AB295" t="s">
        <v>543</v>
      </c>
      <c r="AC295" t="s">
        <v>608</v>
      </c>
      <c r="AE295" s="3">
        <v>1</v>
      </c>
      <c r="AG295" s="1">
        <v>8148</v>
      </c>
      <c r="AI295" s="1">
        <v>8148</v>
      </c>
      <c r="AJ295" s="1">
        <v>8148</v>
      </c>
      <c r="AM295" s="1">
        <v>8148</v>
      </c>
      <c r="AN295" t="s">
        <v>536</v>
      </c>
      <c r="AO295" t="s">
        <v>546</v>
      </c>
      <c r="AP295" t="s">
        <v>547</v>
      </c>
      <c r="AQ295" t="s">
        <v>548</v>
      </c>
      <c r="AS295" t="s">
        <v>386</v>
      </c>
      <c r="AX295" s="1">
        <v>8148</v>
      </c>
      <c r="AY295" t="s">
        <v>546</v>
      </c>
      <c r="AZ295" t="s">
        <v>549</v>
      </c>
      <c r="BA295" s="1">
        <v>8148</v>
      </c>
      <c r="BB295" t="s">
        <v>1979</v>
      </c>
      <c r="BC295" t="s">
        <v>546</v>
      </c>
      <c r="BE295" t="s">
        <v>616</v>
      </c>
      <c r="BH295" s="1">
        <v>8148</v>
      </c>
      <c r="BI295" t="s">
        <v>550</v>
      </c>
      <c r="BJ295" t="s">
        <v>610</v>
      </c>
      <c r="BK295" t="s">
        <v>610</v>
      </c>
      <c r="BL295" t="s">
        <v>552</v>
      </c>
      <c r="BM295" t="s">
        <v>1852</v>
      </c>
      <c r="BN295" t="s">
        <v>1980</v>
      </c>
      <c r="BO295" t="s">
        <v>1981</v>
      </c>
      <c r="BR295" t="s">
        <v>546</v>
      </c>
      <c r="BS295" s="1">
        <v>8148</v>
      </c>
      <c r="BW295" t="s">
        <v>536</v>
      </c>
      <c r="BZ295" t="s">
        <v>535</v>
      </c>
      <c r="CA295" t="s">
        <v>546</v>
      </c>
      <c r="CB295" t="s">
        <v>1852</v>
      </c>
      <c r="CC295" t="s">
        <v>556</v>
      </c>
      <c r="CH295" t="s">
        <v>546</v>
      </c>
      <c r="CK295" t="s">
        <v>1982</v>
      </c>
      <c r="CN295" t="s">
        <v>535</v>
      </c>
      <c r="CO295" t="s">
        <v>539</v>
      </c>
      <c r="CT295" t="s">
        <v>576</v>
      </c>
      <c r="CW295" t="s">
        <v>546</v>
      </c>
      <c r="DD295" t="s">
        <v>561</v>
      </c>
      <c r="DK295" t="s">
        <v>386</v>
      </c>
      <c r="DR295" t="s">
        <v>1983</v>
      </c>
    </row>
    <row r="296" ht="15" customHeight="1" spans="1:122">
      <c r="A296" t="s">
        <v>603</v>
      </c>
      <c r="B296" t="s">
        <v>1984</v>
      </c>
      <c r="C296" t="s">
        <v>532</v>
      </c>
      <c r="D296" t="s">
        <v>1852</v>
      </c>
      <c r="E296" t="s">
        <v>534</v>
      </c>
      <c r="F296" t="s">
        <v>534</v>
      </c>
      <c r="G296" t="s">
        <v>535</v>
      </c>
      <c r="H296" s="1">
        <v>3504</v>
      </c>
      <c r="I296" s="1">
        <v>3504</v>
      </c>
      <c r="J296" t="s">
        <v>536</v>
      </c>
      <c r="L296" t="s">
        <v>536</v>
      </c>
      <c r="M296" t="s">
        <v>386</v>
      </c>
      <c r="N296" t="s">
        <v>657</v>
      </c>
      <c r="P296" s="1">
        <v>3504</v>
      </c>
      <c r="Q296" t="s">
        <v>658</v>
      </c>
      <c r="R296" t="s">
        <v>535</v>
      </c>
      <c r="S296" t="s">
        <v>539</v>
      </c>
      <c r="T296" s="2">
        <v>1</v>
      </c>
      <c r="U296" s="1">
        <v>3504</v>
      </c>
      <c r="V296" s="1">
        <v>3504</v>
      </c>
      <c r="X296" t="s">
        <v>616</v>
      </c>
      <c r="Z296" t="s">
        <v>541</v>
      </c>
      <c r="AA296" t="s">
        <v>542</v>
      </c>
      <c r="AB296" t="s">
        <v>543</v>
      </c>
      <c r="AC296" t="s">
        <v>608</v>
      </c>
      <c r="AE296" s="3">
        <v>1</v>
      </c>
      <c r="AG296" s="1">
        <v>3504</v>
      </c>
      <c r="AI296" s="1">
        <v>3504</v>
      </c>
      <c r="AJ296" s="1">
        <v>3504</v>
      </c>
      <c r="AM296" s="1">
        <v>3504</v>
      </c>
      <c r="AN296" t="s">
        <v>536</v>
      </c>
      <c r="AO296" t="s">
        <v>546</v>
      </c>
      <c r="AP296" t="s">
        <v>547</v>
      </c>
      <c r="AQ296" t="s">
        <v>548</v>
      </c>
      <c r="AS296" t="s">
        <v>386</v>
      </c>
      <c r="AX296" s="1">
        <v>3504</v>
      </c>
      <c r="AY296" t="s">
        <v>546</v>
      </c>
      <c r="AZ296" t="s">
        <v>549</v>
      </c>
      <c r="BA296" s="1">
        <v>3504</v>
      </c>
      <c r="BB296" t="s">
        <v>1979</v>
      </c>
      <c r="BC296" t="s">
        <v>546</v>
      </c>
      <c r="BE296" t="s">
        <v>616</v>
      </c>
      <c r="BH296" s="1">
        <v>3504</v>
      </c>
      <c r="BI296" t="s">
        <v>550</v>
      </c>
      <c r="BJ296" t="s">
        <v>610</v>
      </c>
      <c r="BK296" t="s">
        <v>610</v>
      </c>
      <c r="BL296" t="s">
        <v>552</v>
      </c>
      <c r="BM296" t="s">
        <v>1852</v>
      </c>
      <c r="BN296" t="s">
        <v>1985</v>
      </c>
      <c r="BO296" t="s">
        <v>1986</v>
      </c>
      <c r="BR296" t="s">
        <v>546</v>
      </c>
      <c r="BS296" s="1">
        <v>3504</v>
      </c>
      <c r="BW296" t="s">
        <v>536</v>
      </c>
      <c r="BZ296" t="s">
        <v>535</v>
      </c>
      <c r="CA296" t="s">
        <v>546</v>
      </c>
      <c r="CB296" t="s">
        <v>1852</v>
      </c>
      <c r="CC296" t="s">
        <v>556</v>
      </c>
      <c r="CH296" t="s">
        <v>546</v>
      </c>
      <c r="CK296" t="s">
        <v>1982</v>
      </c>
      <c r="CN296" t="s">
        <v>535</v>
      </c>
      <c r="CO296" t="s">
        <v>539</v>
      </c>
      <c r="CT296" t="s">
        <v>576</v>
      </c>
      <c r="CW296" t="s">
        <v>546</v>
      </c>
      <c r="DD296" t="s">
        <v>561</v>
      </c>
      <c r="DK296" t="s">
        <v>386</v>
      </c>
      <c r="DR296" t="s">
        <v>1987</v>
      </c>
    </row>
    <row r="297" ht="15" customHeight="1" spans="1:122">
      <c r="A297" t="s">
        <v>530</v>
      </c>
      <c r="B297" t="s">
        <v>1988</v>
      </c>
      <c r="C297" t="s">
        <v>532</v>
      </c>
      <c r="D297" t="s">
        <v>1866</v>
      </c>
      <c r="E297" t="s">
        <v>534</v>
      </c>
      <c r="F297" t="s">
        <v>534</v>
      </c>
      <c r="G297" t="s">
        <v>535</v>
      </c>
      <c r="H297" s="1">
        <v>4798</v>
      </c>
      <c r="I297" s="1">
        <v>4787.68</v>
      </c>
      <c r="J297" t="s">
        <v>536</v>
      </c>
      <c r="L297" t="s">
        <v>536</v>
      </c>
      <c r="M297" t="s">
        <v>377</v>
      </c>
      <c r="N297" t="s">
        <v>537</v>
      </c>
      <c r="P297" s="1">
        <v>4798</v>
      </c>
      <c r="Q297" t="s">
        <v>538</v>
      </c>
      <c r="R297" t="s">
        <v>535</v>
      </c>
      <c r="S297" t="s">
        <v>539</v>
      </c>
      <c r="T297" s="2">
        <v>1</v>
      </c>
      <c r="U297" s="1">
        <v>4798</v>
      </c>
      <c r="V297" s="1">
        <v>4787.68</v>
      </c>
      <c r="X297" t="s">
        <v>540</v>
      </c>
      <c r="Z297" t="s">
        <v>541</v>
      </c>
      <c r="AA297" t="s">
        <v>542</v>
      </c>
      <c r="AB297" t="s">
        <v>659</v>
      </c>
      <c r="AC297" t="s">
        <v>544</v>
      </c>
      <c r="AD297" t="s">
        <v>545</v>
      </c>
      <c r="AE297" s="3">
        <v>1</v>
      </c>
      <c r="AF297" t="s">
        <v>130</v>
      </c>
      <c r="AG297" s="1">
        <v>4798</v>
      </c>
      <c r="AI297" s="1">
        <v>4798</v>
      </c>
      <c r="AJ297" s="1">
        <v>4798</v>
      </c>
      <c r="AK297" s="1">
        <v>10.32</v>
      </c>
      <c r="AM297" s="1">
        <v>4787.68</v>
      </c>
      <c r="AN297" t="s">
        <v>536</v>
      </c>
      <c r="AO297" t="s">
        <v>546</v>
      </c>
      <c r="AP297" t="s">
        <v>547</v>
      </c>
      <c r="AQ297" t="s">
        <v>548</v>
      </c>
      <c r="AS297" t="s">
        <v>377</v>
      </c>
      <c r="AX297" s="1">
        <v>4798</v>
      </c>
      <c r="AY297" t="s">
        <v>546</v>
      </c>
      <c r="AZ297" t="s">
        <v>549</v>
      </c>
      <c r="BA297" s="1">
        <v>4798</v>
      </c>
      <c r="BC297" t="s">
        <v>546</v>
      </c>
      <c r="BD297" s="1">
        <v>4798</v>
      </c>
      <c r="BE297" t="s">
        <v>540</v>
      </c>
      <c r="BF297" s="1">
        <v>4798</v>
      </c>
      <c r="BG297" s="1">
        <v>10.32</v>
      </c>
      <c r="BH297" s="1">
        <v>4787.68</v>
      </c>
      <c r="BI297" t="s">
        <v>550</v>
      </c>
      <c r="BJ297" t="s">
        <v>551</v>
      </c>
      <c r="BK297" t="s">
        <v>552</v>
      </c>
      <c r="BL297" t="s">
        <v>552</v>
      </c>
      <c r="BM297" t="s">
        <v>1866</v>
      </c>
      <c r="BN297" t="s">
        <v>1989</v>
      </c>
      <c r="BO297" t="s">
        <v>1990</v>
      </c>
      <c r="BR297" t="s">
        <v>546</v>
      </c>
      <c r="BS297" s="1">
        <v>4798</v>
      </c>
      <c r="BW297" t="s">
        <v>536</v>
      </c>
      <c r="BX297" s="1">
        <v>4798</v>
      </c>
      <c r="BZ297" t="s">
        <v>535</v>
      </c>
      <c r="CA297" t="s">
        <v>546</v>
      </c>
      <c r="CB297" t="s">
        <v>1866</v>
      </c>
      <c r="CC297" t="s">
        <v>556</v>
      </c>
      <c r="CD297" t="s">
        <v>663</v>
      </c>
      <c r="CE297" t="s">
        <v>664</v>
      </c>
      <c r="CF297" t="s">
        <v>130</v>
      </c>
      <c r="CG297" s="4">
        <v>1</v>
      </c>
      <c r="CH297" t="s">
        <v>546</v>
      </c>
      <c r="CK297" t="s">
        <v>1991</v>
      </c>
      <c r="CL297" s="1">
        <v>4798</v>
      </c>
      <c r="CN297" t="s">
        <v>535</v>
      </c>
      <c r="CO297" t="s">
        <v>539</v>
      </c>
      <c r="CT297" t="s">
        <v>560</v>
      </c>
      <c r="CW297" t="s">
        <v>546</v>
      </c>
      <c r="DD297" t="s">
        <v>561</v>
      </c>
      <c r="DK297" t="s">
        <v>1992</v>
      </c>
      <c r="DL297" t="s">
        <v>1993</v>
      </c>
      <c r="DM297" t="s">
        <v>1994</v>
      </c>
    </row>
    <row r="298" ht="15" customHeight="1" spans="1:122">
      <c r="A298" t="s">
        <v>603</v>
      </c>
      <c r="B298" t="s">
        <v>1995</v>
      </c>
      <c r="C298" t="s">
        <v>532</v>
      </c>
      <c r="D298" t="s">
        <v>1852</v>
      </c>
      <c r="E298" t="s">
        <v>534</v>
      </c>
      <c r="F298" t="s">
        <v>534</v>
      </c>
      <c r="G298" t="s">
        <v>535</v>
      </c>
      <c r="H298" s="1">
        <v>36202</v>
      </c>
      <c r="I298" s="1">
        <v>36202</v>
      </c>
      <c r="J298" t="s">
        <v>536</v>
      </c>
      <c r="L298" t="s">
        <v>536</v>
      </c>
      <c r="M298" t="s">
        <v>374</v>
      </c>
      <c r="N298" t="s">
        <v>537</v>
      </c>
      <c r="P298" s="1">
        <v>36202</v>
      </c>
      <c r="Q298" t="s">
        <v>970</v>
      </c>
      <c r="R298" t="s">
        <v>535</v>
      </c>
      <c r="S298" t="s">
        <v>539</v>
      </c>
      <c r="T298" s="2">
        <v>1</v>
      </c>
      <c r="U298" s="1">
        <v>36202</v>
      </c>
      <c r="V298" s="1">
        <v>36202</v>
      </c>
      <c r="X298" t="s">
        <v>616</v>
      </c>
      <c r="Z298" t="s">
        <v>541</v>
      </c>
      <c r="AA298" t="s">
        <v>542</v>
      </c>
      <c r="AB298" t="s">
        <v>543</v>
      </c>
      <c r="AC298" t="s">
        <v>608</v>
      </c>
      <c r="AE298" s="3">
        <v>1</v>
      </c>
      <c r="AG298" s="1">
        <v>36202</v>
      </c>
      <c r="AI298" s="1">
        <v>36202</v>
      </c>
      <c r="AJ298" s="1">
        <v>36202</v>
      </c>
      <c r="AM298" s="1">
        <v>36202</v>
      </c>
      <c r="AN298" t="s">
        <v>536</v>
      </c>
      <c r="AO298" t="s">
        <v>546</v>
      </c>
      <c r="AP298" t="s">
        <v>547</v>
      </c>
      <c r="AQ298" t="s">
        <v>548</v>
      </c>
      <c r="AS298" t="s">
        <v>374</v>
      </c>
      <c r="AX298" s="1">
        <v>36202</v>
      </c>
      <c r="AY298" t="s">
        <v>546</v>
      </c>
      <c r="AZ298" t="s">
        <v>549</v>
      </c>
      <c r="BA298" s="1">
        <v>36202</v>
      </c>
      <c r="BB298" t="s">
        <v>1996</v>
      </c>
      <c r="BC298" t="s">
        <v>546</v>
      </c>
      <c r="BE298" t="s">
        <v>616</v>
      </c>
      <c r="BH298" s="1">
        <v>36202</v>
      </c>
      <c r="BI298" t="s">
        <v>550</v>
      </c>
      <c r="BJ298" t="s">
        <v>551</v>
      </c>
      <c r="BK298" t="s">
        <v>610</v>
      </c>
      <c r="BL298" t="s">
        <v>552</v>
      </c>
      <c r="BM298" t="s">
        <v>1866</v>
      </c>
      <c r="BN298" t="s">
        <v>1997</v>
      </c>
      <c r="BO298" t="s">
        <v>1998</v>
      </c>
      <c r="BR298" t="s">
        <v>546</v>
      </c>
      <c r="BS298" s="1">
        <v>36202</v>
      </c>
      <c r="BW298" t="s">
        <v>536</v>
      </c>
      <c r="BZ298" t="s">
        <v>535</v>
      </c>
      <c r="CA298" t="s">
        <v>546</v>
      </c>
      <c r="CB298" t="s">
        <v>1852</v>
      </c>
      <c r="CC298" t="s">
        <v>556</v>
      </c>
      <c r="CH298" t="s">
        <v>546</v>
      </c>
      <c r="CK298" t="s">
        <v>1999</v>
      </c>
      <c r="CN298" t="s">
        <v>535</v>
      </c>
      <c r="CO298" t="s">
        <v>539</v>
      </c>
      <c r="CT298" t="s">
        <v>560</v>
      </c>
      <c r="CW298" t="s">
        <v>546</v>
      </c>
      <c r="DD298" t="s">
        <v>561</v>
      </c>
      <c r="DK298" t="s">
        <v>374</v>
      </c>
      <c r="DR298" t="s">
        <v>2000</v>
      </c>
    </row>
    <row r="299" ht="15" customHeight="1" spans="1:122">
      <c r="A299" t="s">
        <v>603</v>
      </c>
      <c r="B299" t="s">
        <v>2001</v>
      </c>
      <c r="C299" t="s">
        <v>656</v>
      </c>
      <c r="D299" t="s">
        <v>1866</v>
      </c>
      <c r="E299" t="s">
        <v>534</v>
      </c>
      <c r="F299" t="s">
        <v>534</v>
      </c>
      <c r="G299" t="s">
        <v>535</v>
      </c>
      <c r="H299" s="1">
        <v>3120</v>
      </c>
      <c r="I299" s="1">
        <v>3120</v>
      </c>
      <c r="J299" t="s">
        <v>536</v>
      </c>
      <c r="L299" t="s">
        <v>536</v>
      </c>
      <c r="M299" t="s">
        <v>397</v>
      </c>
      <c r="N299" t="s">
        <v>657</v>
      </c>
      <c r="P299" s="1">
        <v>3120</v>
      </c>
      <c r="Q299" t="s">
        <v>679</v>
      </c>
      <c r="R299" t="s">
        <v>535</v>
      </c>
      <c r="S299" t="s">
        <v>539</v>
      </c>
      <c r="T299" s="2">
        <v>1</v>
      </c>
      <c r="U299" s="1">
        <v>3120</v>
      </c>
      <c r="V299" s="1">
        <v>3120</v>
      </c>
      <c r="X299" t="s">
        <v>616</v>
      </c>
      <c r="Z299" t="s">
        <v>541</v>
      </c>
      <c r="AA299" t="s">
        <v>542</v>
      </c>
      <c r="AB299" t="s">
        <v>543</v>
      </c>
      <c r="AC299" t="s">
        <v>608</v>
      </c>
      <c r="AE299" s="3">
        <v>1</v>
      </c>
      <c r="AG299" s="1">
        <v>3120</v>
      </c>
      <c r="AI299" s="1">
        <v>3120</v>
      </c>
      <c r="AJ299" s="1">
        <v>3120</v>
      </c>
      <c r="AM299" s="1">
        <v>3120</v>
      </c>
      <c r="AN299" t="s">
        <v>680</v>
      </c>
      <c r="AO299" t="s">
        <v>546</v>
      </c>
      <c r="AP299" t="s">
        <v>681</v>
      </c>
      <c r="AQ299" t="s">
        <v>548</v>
      </c>
      <c r="AS299" t="s">
        <v>397</v>
      </c>
      <c r="AX299" s="1">
        <v>3120</v>
      </c>
      <c r="AY299" t="s">
        <v>546</v>
      </c>
      <c r="AZ299" t="s">
        <v>682</v>
      </c>
      <c r="BA299" s="1">
        <v>3120</v>
      </c>
      <c r="BC299" t="s">
        <v>546</v>
      </c>
      <c r="BE299" t="s">
        <v>616</v>
      </c>
      <c r="BH299" s="1">
        <v>3120</v>
      </c>
      <c r="BI299" t="s">
        <v>550</v>
      </c>
      <c r="BJ299" t="s">
        <v>551</v>
      </c>
      <c r="BK299" t="s">
        <v>551</v>
      </c>
      <c r="BL299" t="s">
        <v>552</v>
      </c>
      <c r="BM299" t="s">
        <v>1866</v>
      </c>
      <c r="BN299" t="s">
        <v>2002</v>
      </c>
      <c r="BO299" t="s">
        <v>2003</v>
      </c>
      <c r="BR299" t="s">
        <v>546</v>
      </c>
      <c r="BS299" s="1">
        <v>3120</v>
      </c>
      <c r="BW299" t="s">
        <v>536</v>
      </c>
      <c r="BZ299" t="s">
        <v>535</v>
      </c>
      <c r="CA299" t="s">
        <v>546</v>
      </c>
      <c r="CB299" t="s">
        <v>1866</v>
      </c>
      <c r="CC299" t="s">
        <v>556</v>
      </c>
      <c r="CH299" t="s">
        <v>546</v>
      </c>
      <c r="CK299" t="s">
        <v>2004</v>
      </c>
      <c r="CN299" t="s">
        <v>535</v>
      </c>
      <c r="CO299" t="s">
        <v>539</v>
      </c>
      <c r="CT299" t="s">
        <v>687</v>
      </c>
      <c r="CW299" t="s">
        <v>546</v>
      </c>
      <c r="DD299" t="s">
        <v>561</v>
      </c>
      <c r="DK299" t="s">
        <v>688</v>
      </c>
    </row>
    <row r="300" ht="15" customHeight="1" spans="1:122">
      <c r="A300" t="s">
        <v>603</v>
      </c>
      <c r="B300" t="s">
        <v>2005</v>
      </c>
      <c r="C300" t="s">
        <v>532</v>
      </c>
      <c r="D300" t="s">
        <v>1866</v>
      </c>
      <c r="E300" t="s">
        <v>534</v>
      </c>
      <c r="F300" t="s">
        <v>534</v>
      </c>
      <c r="G300" t="s">
        <v>535</v>
      </c>
      <c r="H300" s="1">
        <v>113351.28</v>
      </c>
      <c r="I300" s="1">
        <v>113351.28</v>
      </c>
      <c r="J300" t="s">
        <v>536</v>
      </c>
      <c r="L300" t="s">
        <v>536</v>
      </c>
      <c r="M300" t="s">
        <v>386</v>
      </c>
      <c r="N300" t="s">
        <v>537</v>
      </c>
      <c r="P300" s="1">
        <v>113351.28</v>
      </c>
      <c r="Q300" t="s">
        <v>970</v>
      </c>
      <c r="R300" t="s">
        <v>535</v>
      </c>
      <c r="S300" t="s">
        <v>539</v>
      </c>
      <c r="T300" s="2">
        <v>1</v>
      </c>
      <c r="U300" s="1">
        <v>113351.28</v>
      </c>
      <c r="V300" s="1">
        <v>113351.28</v>
      </c>
      <c r="X300" t="s">
        <v>616</v>
      </c>
      <c r="Z300" t="s">
        <v>541</v>
      </c>
      <c r="AA300" t="s">
        <v>542</v>
      </c>
      <c r="AB300" t="s">
        <v>543</v>
      </c>
      <c r="AC300" t="s">
        <v>608</v>
      </c>
      <c r="AE300" s="3">
        <v>1</v>
      </c>
      <c r="AG300" s="1">
        <v>113351.28</v>
      </c>
      <c r="AI300" s="1">
        <v>113351.28</v>
      </c>
      <c r="AJ300" s="1">
        <v>113351.28</v>
      </c>
      <c r="AM300" s="1">
        <v>113351.28</v>
      </c>
      <c r="AN300" t="s">
        <v>536</v>
      </c>
      <c r="AO300" t="s">
        <v>546</v>
      </c>
      <c r="AP300" t="s">
        <v>547</v>
      </c>
      <c r="AQ300" t="s">
        <v>548</v>
      </c>
      <c r="AS300" t="s">
        <v>386</v>
      </c>
      <c r="AX300" s="1">
        <v>113351.28</v>
      </c>
      <c r="AY300" t="s">
        <v>546</v>
      </c>
      <c r="AZ300" t="s">
        <v>549</v>
      </c>
      <c r="BA300" s="1">
        <v>113351.28</v>
      </c>
      <c r="BB300" t="s">
        <v>2006</v>
      </c>
      <c r="BC300" t="s">
        <v>546</v>
      </c>
      <c r="BE300" t="s">
        <v>616</v>
      </c>
      <c r="BH300" s="1">
        <v>113351.28</v>
      </c>
      <c r="BI300" t="s">
        <v>550</v>
      </c>
      <c r="BJ300" t="s">
        <v>551</v>
      </c>
      <c r="BK300" t="s">
        <v>552</v>
      </c>
      <c r="BL300" t="s">
        <v>552</v>
      </c>
      <c r="BM300" t="s">
        <v>1866</v>
      </c>
      <c r="BN300" t="s">
        <v>2007</v>
      </c>
      <c r="BO300" t="s">
        <v>2008</v>
      </c>
      <c r="BR300" t="s">
        <v>546</v>
      </c>
      <c r="BS300" s="1">
        <v>113351.28</v>
      </c>
      <c r="BW300" t="s">
        <v>536</v>
      </c>
      <c r="BZ300" t="s">
        <v>535</v>
      </c>
      <c r="CA300" t="s">
        <v>546</v>
      </c>
      <c r="CB300" t="s">
        <v>1866</v>
      </c>
      <c r="CC300" t="s">
        <v>556</v>
      </c>
      <c r="CH300" t="s">
        <v>546</v>
      </c>
      <c r="CK300" t="s">
        <v>2009</v>
      </c>
      <c r="CN300" t="s">
        <v>535</v>
      </c>
      <c r="CO300" t="s">
        <v>539</v>
      </c>
      <c r="CT300" t="s">
        <v>576</v>
      </c>
      <c r="CW300" t="s">
        <v>546</v>
      </c>
      <c r="DD300" t="s">
        <v>561</v>
      </c>
      <c r="DK300" t="s">
        <v>386</v>
      </c>
      <c r="DR300" t="s">
        <v>2010</v>
      </c>
    </row>
    <row r="301" ht="15" customHeight="1" spans="1:122">
      <c r="A301" t="s">
        <v>603</v>
      </c>
      <c r="B301" t="s">
        <v>2011</v>
      </c>
      <c r="C301" t="s">
        <v>532</v>
      </c>
      <c r="D301" t="s">
        <v>1866</v>
      </c>
      <c r="E301" t="s">
        <v>534</v>
      </c>
      <c r="F301" t="s">
        <v>534</v>
      </c>
      <c r="G301" t="s">
        <v>535</v>
      </c>
      <c r="H301" s="1">
        <v>1488</v>
      </c>
      <c r="I301" s="1">
        <v>1479.07</v>
      </c>
      <c r="J301" t="s">
        <v>536</v>
      </c>
      <c r="L301" t="s">
        <v>536</v>
      </c>
      <c r="M301" t="s">
        <v>375</v>
      </c>
      <c r="N301" t="s">
        <v>537</v>
      </c>
      <c r="P301" s="1">
        <v>1488</v>
      </c>
      <c r="Q301" t="s">
        <v>580</v>
      </c>
      <c r="R301" t="s">
        <v>535</v>
      </c>
      <c r="S301" t="s">
        <v>539</v>
      </c>
      <c r="T301" s="2">
        <v>1</v>
      </c>
      <c r="U301" s="1">
        <v>1488</v>
      </c>
      <c r="V301" s="1">
        <v>1479.07</v>
      </c>
      <c r="X301" t="s">
        <v>540</v>
      </c>
      <c r="Z301" t="s">
        <v>541</v>
      </c>
      <c r="AA301" t="s">
        <v>542</v>
      </c>
      <c r="AB301" t="s">
        <v>543</v>
      </c>
      <c r="AC301" t="s">
        <v>608</v>
      </c>
      <c r="AE301" s="3">
        <v>1</v>
      </c>
      <c r="AG301" s="1">
        <v>1488</v>
      </c>
      <c r="AI301" s="1">
        <v>1488</v>
      </c>
      <c r="AJ301" s="1">
        <v>1488</v>
      </c>
      <c r="AK301" s="1">
        <v>8.93</v>
      </c>
      <c r="AM301" s="1">
        <v>1479.07</v>
      </c>
      <c r="AN301" t="s">
        <v>536</v>
      </c>
      <c r="AO301" t="s">
        <v>546</v>
      </c>
      <c r="AP301" t="s">
        <v>547</v>
      </c>
      <c r="AQ301" t="s">
        <v>548</v>
      </c>
      <c r="AS301" t="s">
        <v>375</v>
      </c>
      <c r="AX301" s="1">
        <v>1488</v>
      </c>
      <c r="AY301" t="s">
        <v>546</v>
      </c>
      <c r="AZ301" t="s">
        <v>549</v>
      </c>
      <c r="BA301" s="1">
        <v>1488</v>
      </c>
      <c r="BC301" t="s">
        <v>546</v>
      </c>
      <c r="BE301" t="s">
        <v>540</v>
      </c>
      <c r="BF301" s="1">
        <v>1488</v>
      </c>
      <c r="BG301" s="1">
        <v>8.93</v>
      </c>
      <c r="BH301" s="1">
        <v>1479.07</v>
      </c>
      <c r="BI301" t="s">
        <v>550</v>
      </c>
      <c r="BJ301" t="s">
        <v>570</v>
      </c>
      <c r="BK301" t="s">
        <v>552</v>
      </c>
      <c r="BL301" t="s">
        <v>552</v>
      </c>
      <c r="BM301" t="s">
        <v>1866</v>
      </c>
      <c r="BN301" t="s">
        <v>2012</v>
      </c>
      <c r="BO301" t="s">
        <v>2013</v>
      </c>
      <c r="BR301" t="s">
        <v>546</v>
      </c>
      <c r="BS301" s="1">
        <v>1488</v>
      </c>
      <c r="BW301" t="s">
        <v>536</v>
      </c>
      <c r="BX301" s="1">
        <v>1488</v>
      </c>
      <c r="BZ301" t="s">
        <v>535</v>
      </c>
      <c r="CA301" t="s">
        <v>546</v>
      </c>
      <c r="CB301" t="s">
        <v>1866</v>
      </c>
      <c r="CC301" t="s">
        <v>556</v>
      </c>
      <c r="CH301" t="s">
        <v>546</v>
      </c>
      <c r="CK301" t="s">
        <v>2014</v>
      </c>
      <c r="CL301" s="1">
        <v>1488</v>
      </c>
      <c r="CN301" t="s">
        <v>535</v>
      </c>
      <c r="CO301" t="s">
        <v>539</v>
      </c>
      <c r="CT301" t="s">
        <v>576</v>
      </c>
      <c r="CW301" t="s">
        <v>546</v>
      </c>
      <c r="DD301" t="s">
        <v>561</v>
      </c>
      <c r="DK301" t="s">
        <v>1839</v>
      </c>
    </row>
    <row r="302" ht="15" customHeight="1" spans="1:122">
      <c r="A302" t="s">
        <v>603</v>
      </c>
      <c r="B302" t="s">
        <v>2015</v>
      </c>
      <c r="C302" t="s">
        <v>532</v>
      </c>
      <c r="D302" t="s">
        <v>1705</v>
      </c>
      <c r="E302" t="s">
        <v>534</v>
      </c>
      <c r="F302" t="s">
        <v>534</v>
      </c>
      <c r="G302" t="s">
        <v>535</v>
      </c>
      <c r="H302" s="1">
        <v>1984</v>
      </c>
      <c r="I302" s="1">
        <v>1972.1</v>
      </c>
      <c r="J302" t="s">
        <v>536</v>
      </c>
      <c r="L302" t="s">
        <v>536</v>
      </c>
      <c r="M302" t="s">
        <v>375</v>
      </c>
      <c r="N302" t="s">
        <v>537</v>
      </c>
      <c r="P302" s="1">
        <v>1984</v>
      </c>
      <c r="Q302" t="s">
        <v>580</v>
      </c>
      <c r="R302" t="s">
        <v>535</v>
      </c>
      <c r="S302" t="s">
        <v>539</v>
      </c>
      <c r="T302" s="2">
        <v>1</v>
      </c>
      <c r="U302" s="1">
        <v>1984</v>
      </c>
      <c r="V302" s="1">
        <v>1972.1</v>
      </c>
      <c r="X302" t="s">
        <v>540</v>
      </c>
      <c r="Z302" t="s">
        <v>541</v>
      </c>
      <c r="AA302" t="s">
        <v>542</v>
      </c>
      <c r="AB302" t="s">
        <v>543</v>
      </c>
      <c r="AC302" t="s">
        <v>608</v>
      </c>
      <c r="AE302" s="3">
        <v>1</v>
      </c>
      <c r="AG302" s="1">
        <v>1984</v>
      </c>
      <c r="AI302" s="1">
        <v>1984</v>
      </c>
      <c r="AJ302" s="1">
        <v>1984</v>
      </c>
      <c r="AK302" s="1">
        <v>11.9</v>
      </c>
      <c r="AM302" s="1">
        <v>1972.1</v>
      </c>
      <c r="AN302" t="s">
        <v>536</v>
      </c>
      <c r="AO302" t="s">
        <v>546</v>
      </c>
      <c r="AP302" t="s">
        <v>547</v>
      </c>
      <c r="AQ302" t="s">
        <v>548</v>
      </c>
      <c r="AS302" t="s">
        <v>375</v>
      </c>
      <c r="AX302" s="1">
        <v>1984</v>
      </c>
      <c r="AY302" t="s">
        <v>546</v>
      </c>
      <c r="AZ302" t="s">
        <v>549</v>
      </c>
      <c r="BA302" s="1">
        <v>1984</v>
      </c>
      <c r="BC302" t="s">
        <v>546</v>
      </c>
      <c r="BE302" t="s">
        <v>540</v>
      </c>
      <c r="BF302" s="1">
        <v>1984</v>
      </c>
      <c r="BG302" s="1">
        <v>11.9</v>
      </c>
      <c r="BH302" s="1">
        <v>1972.1</v>
      </c>
      <c r="BI302" t="s">
        <v>550</v>
      </c>
      <c r="BJ302" t="s">
        <v>570</v>
      </c>
      <c r="BK302" t="s">
        <v>552</v>
      </c>
      <c r="BL302" t="s">
        <v>552</v>
      </c>
      <c r="BM302" t="s">
        <v>1866</v>
      </c>
      <c r="BN302" t="s">
        <v>2016</v>
      </c>
      <c r="BO302" t="s">
        <v>2017</v>
      </c>
      <c r="BR302" t="s">
        <v>546</v>
      </c>
      <c r="BS302" s="1">
        <v>1984</v>
      </c>
      <c r="BW302" t="s">
        <v>536</v>
      </c>
      <c r="BX302" s="1">
        <v>1984</v>
      </c>
      <c r="BZ302" t="s">
        <v>535</v>
      </c>
      <c r="CA302" t="s">
        <v>546</v>
      </c>
      <c r="CB302" t="s">
        <v>1705</v>
      </c>
      <c r="CC302" t="s">
        <v>556</v>
      </c>
      <c r="CH302" t="s">
        <v>546</v>
      </c>
      <c r="CK302" t="s">
        <v>2018</v>
      </c>
      <c r="CL302" s="1">
        <v>1984</v>
      </c>
      <c r="CN302" t="s">
        <v>535</v>
      </c>
      <c r="CO302" t="s">
        <v>539</v>
      </c>
      <c r="CT302" t="s">
        <v>576</v>
      </c>
      <c r="CW302" t="s">
        <v>546</v>
      </c>
      <c r="DD302" t="s">
        <v>561</v>
      </c>
      <c r="DK302" t="s">
        <v>580</v>
      </c>
    </row>
    <row r="303" ht="15" customHeight="1" spans="1:122">
      <c r="A303" t="s">
        <v>603</v>
      </c>
      <c r="B303" t="s">
        <v>2019</v>
      </c>
      <c r="C303" t="s">
        <v>532</v>
      </c>
      <c r="D303" t="s">
        <v>1866</v>
      </c>
      <c r="E303" t="s">
        <v>534</v>
      </c>
      <c r="F303" t="s">
        <v>534</v>
      </c>
      <c r="G303" t="s">
        <v>535</v>
      </c>
      <c r="H303" s="1">
        <v>372</v>
      </c>
      <c r="I303" s="1">
        <v>372</v>
      </c>
      <c r="J303" t="s">
        <v>536</v>
      </c>
      <c r="L303" t="s">
        <v>536</v>
      </c>
      <c r="M303" t="s">
        <v>375</v>
      </c>
      <c r="N303" t="s">
        <v>537</v>
      </c>
      <c r="P303" s="1">
        <v>372</v>
      </c>
      <c r="Q303" t="s">
        <v>580</v>
      </c>
      <c r="R303" t="s">
        <v>535</v>
      </c>
      <c r="S303" t="s">
        <v>539</v>
      </c>
      <c r="T303" s="2">
        <v>1</v>
      </c>
      <c r="U303" s="1">
        <v>372</v>
      </c>
      <c r="V303" s="1">
        <v>372</v>
      </c>
      <c r="X303" t="s">
        <v>540</v>
      </c>
      <c r="Z303" t="s">
        <v>541</v>
      </c>
      <c r="AA303" t="s">
        <v>542</v>
      </c>
      <c r="AB303" t="s">
        <v>543</v>
      </c>
      <c r="AC303" t="s">
        <v>608</v>
      </c>
      <c r="AE303" s="3">
        <v>1</v>
      </c>
      <c r="AG303" s="1">
        <v>372</v>
      </c>
      <c r="AI303" s="1">
        <v>372</v>
      </c>
      <c r="AJ303" s="1">
        <v>372</v>
      </c>
      <c r="AM303" s="1">
        <v>372</v>
      </c>
      <c r="AN303" t="s">
        <v>565</v>
      </c>
      <c r="AO303" t="s">
        <v>546</v>
      </c>
      <c r="AP303" t="s">
        <v>565</v>
      </c>
      <c r="AQ303" t="s">
        <v>548</v>
      </c>
      <c r="AS303" t="s">
        <v>375</v>
      </c>
      <c r="AX303" s="1">
        <v>372</v>
      </c>
      <c r="AY303" t="s">
        <v>546</v>
      </c>
      <c r="AZ303" t="s">
        <v>566</v>
      </c>
      <c r="BA303" s="1">
        <v>372</v>
      </c>
      <c r="BC303" t="s">
        <v>546</v>
      </c>
      <c r="BE303" t="s">
        <v>540</v>
      </c>
      <c r="BF303" s="1">
        <v>372</v>
      </c>
      <c r="BH303" s="1">
        <v>372</v>
      </c>
      <c r="BI303" t="s">
        <v>550</v>
      </c>
      <c r="BJ303" t="s">
        <v>551</v>
      </c>
      <c r="BK303" t="s">
        <v>552</v>
      </c>
      <c r="BL303" t="s">
        <v>552</v>
      </c>
      <c r="BM303" t="s">
        <v>1866</v>
      </c>
      <c r="BN303" t="s">
        <v>2020</v>
      </c>
      <c r="BO303" t="s">
        <v>2021</v>
      </c>
      <c r="BR303" t="s">
        <v>546</v>
      </c>
      <c r="BS303" s="1">
        <v>372</v>
      </c>
      <c r="BW303" t="s">
        <v>536</v>
      </c>
      <c r="BX303" s="1">
        <v>372</v>
      </c>
      <c r="BZ303" t="s">
        <v>535</v>
      </c>
      <c r="CA303" t="s">
        <v>546</v>
      </c>
      <c r="CB303" t="s">
        <v>1866</v>
      </c>
      <c r="CC303" t="s">
        <v>556</v>
      </c>
      <c r="CH303" t="s">
        <v>546</v>
      </c>
      <c r="CK303" t="s">
        <v>2014</v>
      </c>
      <c r="CL303" s="1">
        <v>372</v>
      </c>
      <c r="CN303" t="s">
        <v>535</v>
      </c>
      <c r="CO303" t="s">
        <v>539</v>
      </c>
      <c r="CT303" t="s">
        <v>576</v>
      </c>
      <c r="CW303" t="s">
        <v>546</v>
      </c>
      <c r="DD303" t="s">
        <v>561</v>
      </c>
      <c r="DK303" t="s">
        <v>1839</v>
      </c>
    </row>
    <row r="304" ht="15" customHeight="1" spans="1:122">
      <c r="A304" t="s">
        <v>603</v>
      </c>
      <c r="B304" t="s">
        <v>2022</v>
      </c>
      <c r="C304" t="s">
        <v>532</v>
      </c>
      <c r="D304" t="s">
        <v>1705</v>
      </c>
      <c r="E304" t="s">
        <v>534</v>
      </c>
      <c r="F304" t="s">
        <v>534</v>
      </c>
      <c r="G304" t="s">
        <v>535</v>
      </c>
      <c r="H304" s="1">
        <v>496</v>
      </c>
      <c r="I304" s="1">
        <v>496</v>
      </c>
      <c r="J304" t="s">
        <v>536</v>
      </c>
      <c r="L304" t="s">
        <v>536</v>
      </c>
      <c r="M304" t="s">
        <v>375</v>
      </c>
      <c r="N304" t="s">
        <v>537</v>
      </c>
      <c r="P304" s="1">
        <v>496</v>
      </c>
      <c r="Q304" t="s">
        <v>580</v>
      </c>
      <c r="R304" t="s">
        <v>535</v>
      </c>
      <c r="S304" t="s">
        <v>539</v>
      </c>
      <c r="T304" s="2">
        <v>1</v>
      </c>
      <c r="U304" s="1">
        <v>496</v>
      </c>
      <c r="V304" s="1">
        <v>496</v>
      </c>
      <c r="X304" t="s">
        <v>540</v>
      </c>
      <c r="Z304" t="s">
        <v>541</v>
      </c>
      <c r="AA304" t="s">
        <v>542</v>
      </c>
      <c r="AB304" t="s">
        <v>543</v>
      </c>
      <c r="AC304" t="s">
        <v>608</v>
      </c>
      <c r="AE304" s="3">
        <v>1</v>
      </c>
      <c r="AG304" s="1">
        <v>496</v>
      </c>
      <c r="AI304" s="1">
        <v>496</v>
      </c>
      <c r="AJ304" s="1">
        <v>496</v>
      </c>
      <c r="AM304" s="1">
        <v>496</v>
      </c>
      <c r="AN304" t="s">
        <v>565</v>
      </c>
      <c r="AO304" t="s">
        <v>546</v>
      </c>
      <c r="AP304" t="s">
        <v>565</v>
      </c>
      <c r="AQ304" t="s">
        <v>548</v>
      </c>
      <c r="AS304" t="s">
        <v>375</v>
      </c>
      <c r="AX304" s="1">
        <v>496</v>
      </c>
      <c r="AY304" t="s">
        <v>546</v>
      </c>
      <c r="AZ304" t="s">
        <v>566</v>
      </c>
      <c r="BA304" s="1">
        <v>496</v>
      </c>
      <c r="BC304" t="s">
        <v>546</v>
      </c>
      <c r="BE304" t="s">
        <v>540</v>
      </c>
      <c r="BF304" s="1">
        <v>496</v>
      </c>
      <c r="BH304" s="1">
        <v>496</v>
      </c>
      <c r="BI304" t="s">
        <v>550</v>
      </c>
      <c r="BJ304" t="s">
        <v>551</v>
      </c>
      <c r="BK304" t="s">
        <v>552</v>
      </c>
      <c r="BL304" t="s">
        <v>552</v>
      </c>
      <c r="BM304" t="s">
        <v>1866</v>
      </c>
      <c r="BN304" t="s">
        <v>2023</v>
      </c>
      <c r="BO304" t="s">
        <v>2024</v>
      </c>
      <c r="BR304" t="s">
        <v>546</v>
      </c>
      <c r="BS304" s="1">
        <v>496</v>
      </c>
      <c r="BW304" t="s">
        <v>536</v>
      </c>
      <c r="BX304" s="1">
        <v>496</v>
      </c>
      <c r="BZ304" t="s">
        <v>535</v>
      </c>
      <c r="CA304" t="s">
        <v>546</v>
      </c>
      <c r="CB304" t="s">
        <v>1705</v>
      </c>
      <c r="CC304" t="s">
        <v>556</v>
      </c>
      <c r="CH304" t="s">
        <v>546</v>
      </c>
      <c r="CK304" t="s">
        <v>2018</v>
      </c>
      <c r="CL304" s="1">
        <v>496</v>
      </c>
      <c r="CN304" t="s">
        <v>535</v>
      </c>
      <c r="CO304" t="s">
        <v>539</v>
      </c>
      <c r="CT304" t="s">
        <v>576</v>
      </c>
      <c r="CW304" t="s">
        <v>546</v>
      </c>
      <c r="DD304" t="s">
        <v>561</v>
      </c>
      <c r="DK304" t="s">
        <v>580</v>
      </c>
    </row>
    <row r="305" ht="15" customHeight="1" spans="1:122">
      <c r="A305" t="s">
        <v>530</v>
      </c>
      <c r="B305" t="s">
        <v>2025</v>
      </c>
      <c r="C305" t="s">
        <v>532</v>
      </c>
      <c r="D305" t="s">
        <v>1866</v>
      </c>
      <c r="E305" t="s">
        <v>534</v>
      </c>
      <c r="F305" t="s">
        <v>534</v>
      </c>
      <c r="G305" t="s">
        <v>535</v>
      </c>
      <c r="H305" s="1">
        <v>799</v>
      </c>
      <c r="I305" s="1">
        <v>799</v>
      </c>
      <c r="J305" t="s">
        <v>536</v>
      </c>
      <c r="L305" t="s">
        <v>536</v>
      </c>
      <c r="M305" t="s">
        <v>377</v>
      </c>
      <c r="N305" t="s">
        <v>537</v>
      </c>
      <c r="P305" s="1">
        <v>799</v>
      </c>
      <c r="Q305" t="s">
        <v>538</v>
      </c>
      <c r="R305" t="s">
        <v>535</v>
      </c>
      <c r="S305" t="s">
        <v>539</v>
      </c>
      <c r="T305" s="2">
        <v>1</v>
      </c>
      <c r="U305" s="1">
        <v>799</v>
      </c>
      <c r="V305" s="1">
        <v>799</v>
      </c>
      <c r="X305" t="s">
        <v>540</v>
      </c>
      <c r="Z305" t="s">
        <v>541</v>
      </c>
      <c r="AA305" t="s">
        <v>542</v>
      </c>
      <c r="AB305" t="s">
        <v>543</v>
      </c>
      <c r="AC305" t="s">
        <v>544</v>
      </c>
      <c r="AD305" t="s">
        <v>545</v>
      </c>
      <c r="AE305" s="3">
        <v>1</v>
      </c>
      <c r="AF305" t="s">
        <v>133</v>
      </c>
      <c r="AG305" s="1">
        <v>799</v>
      </c>
      <c r="AI305" s="1">
        <v>799</v>
      </c>
      <c r="AJ305" s="1">
        <v>799</v>
      </c>
      <c r="AM305" s="1">
        <v>799</v>
      </c>
      <c r="AN305" t="s">
        <v>643</v>
      </c>
      <c r="AO305" t="s">
        <v>546</v>
      </c>
      <c r="AP305" t="s">
        <v>643</v>
      </c>
      <c r="AQ305" t="s">
        <v>548</v>
      </c>
      <c r="AS305" t="s">
        <v>377</v>
      </c>
      <c r="AX305" s="1">
        <v>799</v>
      </c>
      <c r="AY305" t="s">
        <v>546</v>
      </c>
      <c r="AZ305" t="s">
        <v>644</v>
      </c>
      <c r="BA305" s="1">
        <v>799</v>
      </c>
      <c r="BC305" t="s">
        <v>546</v>
      </c>
      <c r="BD305" s="1">
        <v>799</v>
      </c>
      <c r="BE305" t="s">
        <v>540</v>
      </c>
      <c r="BF305" s="1">
        <v>799</v>
      </c>
      <c r="BH305" s="1">
        <v>799</v>
      </c>
      <c r="BI305" t="s">
        <v>550</v>
      </c>
      <c r="BJ305" t="s">
        <v>551</v>
      </c>
      <c r="BK305" t="s">
        <v>551</v>
      </c>
      <c r="BL305" t="s">
        <v>552</v>
      </c>
      <c r="BM305" t="s">
        <v>1866</v>
      </c>
      <c r="BN305" t="s">
        <v>2026</v>
      </c>
      <c r="BO305" t="s">
        <v>2027</v>
      </c>
      <c r="BR305" t="s">
        <v>546</v>
      </c>
      <c r="BS305" s="1">
        <v>799</v>
      </c>
      <c r="BW305" t="s">
        <v>536</v>
      </c>
      <c r="BX305" s="1">
        <v>799</v>
      </c>
      <c r="BZ305" t="s">
        <v>535</v>
      </c>
      <c r="CA305" t="s">
        <v>546</v>
      </c>
      <c r="CB305" t="s">
        <v>1866</v>
      </c>
      <c r="CC305" t="s">
        <v>556</v>
      </c>
      <c r="CD305" t="s">
        <v>1108</v>
      </c>
      <c r="CE305" t="s">
        <v>1109</v>
      </c>
      <c r="CF305" t="s">
        <v>133</v>
      </c>
      <c r="CG305" s="4">
        <v>1</v>
      </c>
      <c r="CH305" t="s">
        <v>546</v>
      </c>
      <c r="CK305" t="s">
        <v>2028</v>
      </c>
      <c r="CL305" s="1">
        <v>799</v>
      </c>
      <c r="CN305" t="s">
        <v>535</v>
      </c>
      <c r="CO305" t="s">
        <v>539</v>
      </c>
      <c r="CT305" t="s">
        <v>560</v>
      </c>
      <c r="CW305" t="s">
        <v>546</v>
      </c>
      <c r="DD305" t="s">
        <v>561</v>
      </c>
      <c r="DK305" t="s">
        <v>2029</v>
      </c>
      <c r="DL305" t="s">
        <v>2030</v>
      </c>
      <c r="DR305" t="s">
        <v>2031</v>
      </c>
    </row>
    <row r="306" ht="15" customHeight="1" spans="1:122">
      <c r="A306" t="s">
        <v>530</v>
      </c>
      <c r="B306" t="s">
        <v>2032</v>
      </c>
      <c r="C306" t="s">
        <v>532</v>
      </c>
      <c r="D306" t="s">
        <v>2033</v>
      </c>
      <c r="E306" t="s">
        <v>534</v>
      </c>
      <c r="F306" t="s">
        <v>534</v>
      </c>
      <c r="G306" t="s">
        <v>535</v>
      </c>
      <c r="H306" s="1">
        <v>619.65</v>
      </c>
      <c r="I306" s="1">
        <v>615.93</v>
      </c>
      <c r="J306" t="s">
        <v>536</v>
      </c>
      <c r="L306" t="s">
        <v>536</v>
      </c>
      <c r="M306" t="s">
        <v>377</v>
      </c>
      <c r="N306" t="s">
        <v>537</v>
      </c>
      <c r="P306" s="1">
        <v>619.65</v>
      </c>
      <c r="Q306" t="s">
        <v>538</v>
      </c>
      <c r="R306" t="s">
        <v>535</v>
      </c>
      <c r="S306" t="s">
        <v>539</v>
      </c>
      <c r="T306" s="2">
        <v>1</v>
      </c>
      <c r="U306" s="1">
        <v>619.65</v>
      </c>
      <c r="V306" s="1">
        <v>615.93</v>
      </c>
      <c r="X306" t="s">
        <v>540</v>
      </c>
      <c r="Z306" t="s">
        <v>541</v>
      </c>
      <c r="AA306" t="s">
        <v>542</v>
      </c>
      <c r="AB306" t="s">
        <v>543</v>
      </c>
      <c r="AC306" t="s">
        <v>544</v>
      </c>
      <c r="AD306" t="s">
        <v>545</v>
      </c>
      <c r="AE306" s="3">
        <v>1</v>
      </c>
      <c r="AF306" t="s">
        <v>131</v>
      </c>
      <c r="AG306" s="1">
        <v>619.65</v>
      </c>
      <c r="AI306" s="1">
        <v>619.65</v>
      </c>
      <c r="AJ306" s="1">
        <v>619.65</v>
      </c>
      <c r="AK306" s="1">
        <v>3.72</v>
      </c>
      <c r="AM306" s="1">
        <v>615.93</v>
      </c>
      <c r="AN306" t="s">
        <v>536</v>
      </c>
      <c r="AO306" t="s">
        <v>546</v>
      </c>
      <c r="AP306" t="s">
        <v>547</v>
      </c>
      <c r="AQ306" t="s">
        <v>548</v>
      </c>
      <c r="AS306" t="s">
        <v>377</v>
      </c>
      <c r="AX306" s="1">
        <v>619.65</v>
      </c>
      <c r="AY306" t="s">
        <v>546</v>
      </c>
      <c r="AZ306" t="s">
        <v>549</v>
      </c>
      <c r="BA306" s="1">
        <v>619.65</v>
      </c>
      <c r="BC306" t="s">
        <v>546</v>
      </c>
      <c r="BD306" s="1">
        <v>619.65</v>
      </c>
      <c r="BE306" t="s">
        <v>540</v>
      </c>
      <c r="BF306" s="1">
        <v>619.65</v>
      </c>
      <c r="BG306" s="1">
        <v>3.72</v>
      </c>
      <c r="BH306" s="1">
        <v>615.93</v>
      </c>
      <c r="BI306" t="s">
        <v>550</v>
      </c>
      <c r="BJ306" t="s">
        <v>551</v>
      </c>
      <c r="BK306" t="s">
        <v>552</v>
      </c>
      <c r="BL306" t="s">
        <v>552</v>
      </c>
      <c r="BM306" t="s">
        <v>1866</v>
      </c>
      <c r="BN306" t="s">
        <v>2034</v>
      </c>
      <c r="BO306" t="s">
        <v>2035</v>
      </c>
      <c r="BR306" t="s">
        <v>546</v>
      </c>
      <c r="BS306" s="1">
        <v>619.65</v>
      </c>
      <c r="BW306" t="s">
        <v>536</v>
      </c>
      <c r="BX306" s="1">
        <v>619.65</v>
      </c>
      <c r="BZ306" t="s">
        <v>535</v>
      </c>
      <c r="CA306" t="s">
        <v>546</v>
      </c>
      <c r="CB306" t="s">
        <v>2033</v>
      </c>
      <c r="CC306" t="s">
        <v>556</v>
      </c>
      <c r="CD306" t="s">
        <v>891</v>
      </c>
      <c r="CE306" t="s">
        <v>892</v>
      </c>
      <c r="CF306" t="s">
        <v>131</v>
      </c>
      <c r="CG306" s="4">
        <v>1</v>
      </c>
      <c r="CH306" t="s">
        <v>546</v>
      </c>
      <c r="CK306" t="s">
        <v>2036</v>
      </c>
      <c r="CL306" s="1">
        <v>619.65</v>
      </c>
      <c r="CN306" t="s">
        <v>535</v>
      </c>
      <c r="CO306" t="s">
        <v>539</v>
      </c>
      <c r="CT306" t="s">
        <v>560</v>
      </c>
      <c r="CW306" t="s">
        <v>546</v>
      </c>
      <c r="DD306" t="s">
        <v>561</v>
      </c>
      <c r="DK306" t="s">
        <v>2037</v>
      </c>
      <c r="DL306" t="s">
        <v>2038</v>
      </c>
    </row>
    <row r="307" ht="15" customHeight="1" spans="1:122">
      <c r="A307" t="s">
        <v>530</v>
      </c>
      <c r="B307" t="s">
        <v>2039</v>
      </c>
      <c r="C307" t="s">
        <v>532</v>
      </c>
      <c r="D307" t="s">
        <v>2033</v>
      </c>
      <c r="E307" t="s">
        <v>534</v>
      </c>
      <c r="F307" t="s">
        <v>534</v>
      </c>
      <c r="G307" t="s">
        <v>535</v>
      </c>
      <c r="H307" s="1">
        <v>109.35</v>
      </c>
      <c r="I307" s="1">
        <v>109.35</v>
      </c>
      <c r="J307" t="s">
        <v>536</v>
      </c>
      <c r="L307" t="s">
        <v>536</v>
      </c>
      <c r="M307" t="s">
        <v>377</v>
      </c>
      <c r="N307" t="s">
        <v>537</v>
      </c>
      <c r="P307" s="1">
        <v>109.35</v>
      </c>
      <c r="Q307" t="s">
        <v>538</v>
      </c>
      <c r="R307" t="s">
        <v>535</v>
      </c>
      <c r="S307" t="s">
        <v>539</v>
      </c>
      <c r="T307" s="2">
        <v>1</v>
      </c>
      <c r="U307" s="1">
        <v>109.35</v>
      </c>
      <c r="V307" s="1">
        <v>109.35</v>
      </c>
      <c r="X307" t="s">
        <v>540</v>
      </c>
      <c r="Z307" t="s">
        <v>541</v>
      </c>
      <c r="AA307" t="s">
        <v>542</v>
      </c>
      <c r="AB307" t="s">
        <v>543</v>
      </c>
      <c r="AC307" t="s">
        <v>544</v>
      </c>
      <c r="AD307" t="s">
        <v>545</v>
      </c>
      <c r="AE307" s="3">
        <v>1</v>
      </c>
      <c r="AF307" t="s">
        <v>131</v>
      </c>
      <c r="AG307" s="1">
        <v>109.35</v>
      </c>
      <c r="AI307" s="1">
        <v>109.35</v>
      </c>
      <c r="AJ307" s="1">
        <v>109.35</v>
      </c>
      <c r="AM307" s="1">
        <v>109.35</v>
      </c>
      <c r="AN307" t="s">
        <v>565</v>
      </c>
      <c r="AO307" t="s">
        <v>546</v>
      </c>
      <c r="AP307" t="s">
        <v>565</v>
      </c>
      <c r="AQ307" t="s">
        <v>548</v>
      </c>
      <c r="AS307" t="s">
        <v>377</v>
      </c>
      <c r="AX307" s="1">
        <v>109.35</v>
      </c>
      <c r="AY307" t="s">
        <v>546</v>
      </c>
      <c r="AZ307" t="s">
        <v>566</v>
      </c>
      <c r="BA307" s="1">
        <v>109.35</v>
      </c>
      <c r="BC307" t="s">
        <v>546</v>
      </c>
      <c r="BD307" s="1">
        <v>109.35</v>
      </c>
      <c r="BE307" t="s">
        <v>540</v>
      </c>
      <c r="BF307" s="1">
        <v>109.35</v>
      </c>
      <c r="BH307" s="1">
        <v>109.35</v>
      </c>
      <c r="BI307" t="s">
        <v>550</v>
      </c>
      <c r="BJ307" t="s">
        <v>551</v>
      </c>
      <c r="BK307" t="s">
        <v>551</v>
      </c>
      <c r="BL307" t="s">
        <v>552</v>
      </c>
      <c r="BM307" t="s">
        <v>1866</v>
      </c>
      <c r="BN307" t="s">
        <v>2040</v>
      </c>
      <c r="BO307" t="s">
        <v>2041</v>
      </c>
      <c r="BR307" t="s">
        <v>546</v>
      </c>
      <c r="BS307" s="1">
        <v>109.35</v>
      </c>
      <c r="BW307" t="s">
        <v>536</v>
      </c>
      <c r="BX307" s="1">
        <v>109.35</v>
      </c>
      <c r="BZ307" t="s">
        <v>535</v>
      </c>
      <c r="CA307" t="s">
        <v>546</v>
      </c>
      <c r="CB307" t="s">
        <v>2033</v>
      </c>
      <c r="CC307" t="s">
        <v>556</v>
      </c>
      <c r="CD307" t="s">
        <v>891</v>
      </c>
      <c r="CE307" t="s">
        <v>892</v>
      </c>
      <c r="CF307" t="s">
        <v>131</v>
      </c>
      <c r="CG307" s="4">
        <v>1</v>
      </c>
      <c r="CH307" t="s">
        <v>546</v>
      </c>
      <c r="CK307" t="s">
        <v>2036</v>
      </c>
      <c r="CL307" s="1">
        <v>109.35</v>
      </c>
      <c r="CN307" t="s">
        <v>535</v>
      </c>
      <c r="CO307" t="s">
        <v>539</v>
      </c>
      <c r="CT307" t="s">
        <v>560</v>
      </c>
      <c r="CW307" t="s">
        <v>546</v>
      </c>
      <c r="DD307" t="s">
        <v>561</v>
      </c>
      <c r="DK307" t="s">
        <v>2037</v>
      </c>
      <c r="DL307" t="s">
        <v>2038</v>
      </c>
    </row>
    <row r="308" ht="15" customHeight="1" spans="1:122">
      <c r="A308" t="s">
        <v>530</v>
      </c>
      <c r="B308" t="s">
        <v>2042</v>
      </c>
      <c r="C308" t="s">
        <v>532</v>
      </c>
      <c r="D308" t="s">
        <v>1866</v>
      </c>
      <c r="E308" t="s">
        <v>534</v>
      </c>
      <c r="F308" t="s">
        <v>534</v>
      </c>
      <c r="G308" t="s">
        <v>535</v>
      </c>
      <c r="H308" s="1">
        <v>7351</v>
      </c>
      <c r="I308" s="1">
        <v>7351</v>
      </c>
      <c r="J308" t="s">
        <v>536</v>
      </c>
      <c r="L308" t="s">
        <v>536</v>
      </c>
      <c r="M308" t="s">
        <v>377</v>
      </c>
      <c r="N308" t="s">
        <v>537</v>
      </c>
      <c r="P308" s="1">
        <v>7351</v>
      </c>
      <c r="Q308" t="s">
        <v>538</v>
      </c>
      <c r="R308" t="s">
        <v>535</v>
      </c>
      <c r="S308" t="s">
        <v>539</v>
      </c>
      <c r="T308" s="2">
        <v>1</v>
      </c>
      <c r="U308" s="1">
        <v>7351</v>
      </c>
      <c r="V308" s="1">
        <v>7351</v>
      </c>
      <c r="X308" t="s">
        <v>540</v>
      </c>
      <c r="Z308" t="s">
        <v>541</v>
      </c>
      <c r="AA308" t="s">
        <v>542</v>
      </c>
      <c r="AB308" t="s">
        <v>934</v>
      </c>
      <c r="AC308" t="s">
        <v>544</v>
      </c>
      <c r="AD308" t="s">
        <v>545</v>
      </c>
      <c r="AE308" s="3">
        <v>1</v>
      </c>
      <c r="AF308" t="s">
        <v>134</v>
      </c>
      <c r="AG308" s="1">
        <v>7351</v>
      </c>
      <c r="AI308" s="1">
        <v>7351</v>
      </c>
      <c r="AJ308" s="1">
        <v>7351</v>
      </c>
      <c r="AM308" s="1">
        <v>7351</v>
      </c>
      <c r="AN308" t="s">
        <v>643</v>
      </c>
      <c r="AO308" t="s">
        <v>546</v>
      </c>
      <c r="AP308" t="s">
        <v>643</v>
      </c>
      <c r="AQ308" t="s">
        <v>548</v>
      </c>
      <c r="AS308" t="s">
        <v>377</v>
      </c>
      <c r="AX308" s="1">
        <v>7351</v>
      </c>
      <c r="AY308" t="s">
        <v>546</v>
      </c>
      <c r="AZ308" t="s">
        <v>644</v>
      </c>
      <c r="BA308" s="1">
        <v>7351</v>
      </c>
      <c r="BC308" t="s">
        <v>546</v>
      </c>
      <c r="BD308" s="1">
        <v>7351</v>
      </c>
      <c r="BE308" t="s">
        <v>540</v>
      </c>
      <c r="BF308" s="1">
        <v>7351</v>
      </c>
      <c r="BH308" s="1">
        <v>7351</v>
      </c>
      <c r="BI308" t="s">
        <v>550</v>
      </c>
      <c r="BJ308" t="s">
        <v>551</v>
      </c>
      <c r="BK308" t="s">
        <v>551</v>
      </c>
      <c r="BL308" t="s">
        <v>552</v>
      </c>
      <c r="BM308" t="s">
        <v>1866</v>
      </c>
      <c r="BN308" t="s">
        <v>2043</v>
      </c>
      <c r="BO308" t="s">
        <v>2044</v>
      </c>
      <c r="BR308" t="s">
        <v>546</v>
      </c>
      <c r="BS308" s="1">
        <v>7351</v>
      </c>
      <c r="BW308" t="s">
        <v>536</v>
      </c>
      <c r="BX308" s="1">
        <v>7351</v>
      </c>
      <c r="BZ308" t="s">
        <v>535</v>
      </c>
      <c r="CA308" t="s">
        <v>546</v>
      </c>
      <c r="CB308" t="s">
        <v>1866</v>
      </c>
      <c r="CC308" t="s">
        <v>556</v>
      </c>
      <c r="CD308" t="s">
        <v>1223</v>
      </c>
      <c r="CE308" t="s">
        <v>1224</v>
      </c>
      <c r="CF308" t="s">
        <v>134</v>
      </c>
      <c r="CG308" s="4">
        <v>1</v>
      </c>
      <c r="CH308" t="s">
        <v>546</v>
      </c>
      <c r="CK308" t="s">
        <v>2045</v>
      </c>
      <c r="CL308" s="1">
        <v>7351</v>
      </c>
      <c r="CN308" t="s">
        <v>535</v>
      </c>
      <c r="CO308" t="s">
        <v>539</v>
      </c>
      <c r="CT308" t="s">
        <v>560</v>
      </c>
      <c r="CW308" t="s">
        <v>546</v>
      </c>
      <c r="DD308" t="s">
        <v>561</v>
      </c>
      <c r="DK308" t="s">
        <v>2046</v>
      </c>
      <c r="DL308" t="s">
        <v>2047</v>
      </c>
      <c r="DR308" t="s">
        <v>2048</v>
      </c>
    </row>
    <row r="309" ht="15" customHeight="1" spans="1:122">
      <c r="A309" t="s">
        <v>530</v>
      </c>
      <c r="B309" t="s">
        <v>2049</v>
      </c>
      <c r="C309" t="s">
        <v>532</v>
      </c>
      <c r="D309" t="s">
        <v>1866</v>
      </c>
      <c r="E309" t="s">
        <v>534</v>
      </c>
      <c r="F309" t="s">
        <v>534</v>
      </c>
      <c r="G309" t="s">
        <v>535</v>
      </c>
      <c r="H309" s="1">
        <v>850</v>
      </c>
      <c r="I309" s="1">
        <v>850</v>
      </c>
      <c r="J309" t="s">
        <v>536</v>
      </c>
      <c r="L309" t="s">
        <v>536</v>
      </c>
      <c r="M309" t="s">
        <v>375</v>
      </c>
      <c r="N309" t="s">
        <v>537</v>
      </c>
      <c r="P309" s="1">
        <v>850</v>
      </c>
      <c r="Q309" t="s">
        <v>580</v>
      </c>
      <c r="R309" t="s">
        <v>535</v>
      </c>
      <c r="S309" t="s">
        <v>539</v>
      </c>
      <c r="T309" s="2">
        <v>1</v>
      </c>
      <c r="U309" s="1">
        <v>850</v>
      </c>
      <c r="V309" s="1">
        <v>850</v>
      </c>
      <c r="X309" t="s">
        <v>540</v>
      </c>
      <c r="Z309" t="s">
        <v>541</v>
      </c>
      <c r="AA309" t="s">
        <v>542</v>
      </c>
      <c r="AB309" t="s">
        <v>934</v>
      </c>
      <c r="AC309" t="s">
        <v>544</v>
      </c>
      <c r="AD309" t="s">
        <v>545</v>
      </c>
      <c r="AE309" s="3">
        <v>1</v>
      </c>
      <c r="AF309" t="s">
        <v>132</v>
      </c>
      <c r="AG309" s="1">
        <v>850</v>
      </c>
      <c r="AI309" s="1">
        <v>850</v>
      </c>
      <c r="AJ309" s="1">
        <v>850</v>
      </c>
      <c r="AM309" s="1">
        <v>850</v>
      </c>
      <c r="AN309" t="s">
        <v>643</v>
      </c>
      <c r="AO309" t="s">
        <v>546</v>
      </c>
      <c r="AP309" t="s">
        <v>643</v>
      </c>
      <c r="AQ309" t="s">
        <v>548</v>
      </c>
      <c r="AS309" t="s">
        <v>375</v>
      </c>
      <c r="AX309" s="1">
        <v>850</v>
      </c>
      <c r="AY309" t="s">
        <v>546</v>
      </c>
      <c r="AZ309" t="s">
        <v>644</v>
      </c>
      <c r="BA309" s="1">
        <v>850</v>
      </c>
      <c r="BC309" t="s">
        <v>546</v>
      </c>
      <c r="BD309" s="1">
        <v>850</v>
      </c>
      <c r="BE309" t="s">
        <v>540</v>
      </c>
      <c r="BF309" s="1">
        <v>850</v>
      </c>
      <c r="BH309" s="1">
        <v>850</v>
      </c>
      <c r="BI309" t="s">
        <v>550</v>
      </c>
      <c r="BJ309" t="s">
        <v>570</v>
      </c>
      <c r="BK309" t="s">
        <v>552</v>
      </c>
      <c r="BL309" t="s">
        <v>552</v>
      </c>
      <c r="BM309" t="s">
        <v>1866</v>
      </c>
      <c r="BN309" t="s">
        <v>2050</v>
      </c>
      <c r="BO309" t="s">
        <v>2051</v>
      </c>
      <c r="BR309" t="s">
        <v>546</v>
      </c>
      <c r="BS309" s="1">
        <v>850</v>
      </c>
      <c r="BW309" t="s">
        <v>536</v>
      </c>
      <c r="BX309" s="1">
        <v>850</v>
      </c>
      <c r="BZ309" t="s">
        <v>535</v>
      </c>
      <c r="CA309" t="s">
        <v>546</v>
      </c>
      <c r="CB309" t="s">
        <v>1866</v>
      </c>
      <c r="CC309" t="s">
        <v>556</v>
      </c>
      <c r="CD309" t="s">
        <v>1108</v>
      </c>
      <c r="CE309" t="s">
        <v>1109</v>
      </c>
      <c r="CF309" t="s">
        <v>132</v>
      </c>
      <c r="CG309" s="4">
        <v>1</v>
      </c>
      <c r="CH309" t="s">
        <v>546</v>
      </c>
      <c r="CK309" t="s">
        <v>2052</v>
      </c>
      <c r="CL309" s="1">
        <v>850</v>
      </c>
      <c r="CN309" t="s">
        <v>535</v>
      </c>
      <c r="CO309" t="s">
        <v>539</v>
      </c>
      <c r="CT309" t="s">
        <v>576</v>
      </c>
      <c r="CW309" t="s">
        <v>546</v>
      </c>
      <c r="DD309" t="s">
        <v>561</v>
      </c>
      <c r="DK309" t="s">
        <v>2053</v>
      </c>
      <c r="DL309" t="s">
        <v>2054</v>
      </c>
      <c r="DR309" t="s">
        <v>2055</v>
      </c>
    </row>
    <row r="310" ht="15" customHeight="1" spans="1:122">
      <c r="A310" t="s">
        <v>530</v>
      </c>
      <c r="B310" t="s">
        <v>2056</v>
      </c>
      <c r="C310" t="s">
        <v>532</v>
      </c>
      <c r="D310" t="s">
        <v>1866</v>
      </c>
      <c r="E310" t="s">
        <v>534</v>
      </c>
      <c r="F310" t="s">
        <v>534</v>
      </c>
      <c r="G310" t="s">
        <v>535</v>
      </c>
      <c r="H310" s="1">
        <v>3400</v>
      </c>
      <c r="I310" s="1">
        <v>3379.6</v>
      </c>
      <c r="J310" t="s">
        <v>536</v>
      </c>
      <c r="L310" t="s">
        <v>536</v>
      </c>
      <c r="M310" t="s">
        <v>375</v>
      </c>
      <c r="N310" t="s">
        <v>537</v>
      </c>
      <c r="P310" s="1">
        <v>3400</v>
      </c>
      <c r="Q310" t="s">
        <v>580</v>
      </c>
      <c r="R310" t="s">
        <v>535</v>
      </c>
      <c r="S310" t="s">
        <v>539</v>
      </c>
      <c r="T310" s="2">
        <v>1</v>
      </c>
      <c r="U310" s="1">
        <v>3400</v>
      </c>
      <c r="V310" s="1">
        <v>3379.6</v>
      </c>
      <c r="X310" t="s">
        <v>540</v>
      </c>
      <c r="Z310" t="s">
        <v>541</v>
      </c>
      <c r="AA310" t="s">
        <v>542</v>
      </c>
      <c r="AB310" t="s">
        <v>543</v>
      </c>
      <c r="AC310" t="s">
        <v>544</v>
      </c>
      <c r="AD310" t="s">
        <v>545</v>
      </c>
      <c r="AE310" s="3">
        <v>1</v>
      </c>
      <c r="AF310" t="s">
        <v>301</v>
      </c>
      <c r="AG310" s="1">
        <v>3400</v>
      </c>
      <c r="AI310" s="1">
        <v>3400</v>
      </c>
      <c r="AJ310" s="1">
        <v>3400</v>
      </c>
      <c r="AK310" s="1">
        <v>20.4</v>
      </c>
      <c r="AM310" s="1">
        <v>3379.6</v>
      </c>
      <c r="AN310" t="s">
        <v>536</v>
      </c>
      <c r="AO310" t="s">
        <v>546</v>
      </c>
      <c r="AP310" t="s">
        <v>547</v>
      </c>
      <c r="AQ310" t="s">
        <v>548</v>
      </c>
      <c r="AS310" t="s">
        <v>375</v>
      </c>
      <c r="AX310" s="1">
        <v>3400</v>
      </c>
      <c r="AY310" t="s">
        <v>546</v>
      </c>
      <c r="AZ310" t="s">
        <v>549</v>
      </c>
      <c r="BA310" s="1">
        <v>3400</v>
      </c>
      <c r="BC310" t="s">
        <v>546</v>
      </c>
      <c r="BD310" s="1">
        <v>3400</v>
      </c>
      <c r="BE310" t="s">
        <v>540</v>
      </c>
      <c r="BF310" s="1">
        <v>3400</v>
      </c>
      <c r="BG310" s="1">
        <v>20.4</v>
      </c>
      <c r="BH310" s="1">
        <v>3379.6</v>
      </c>
      <c r="BI310" t="s">
        <v>550</v>
      </c>
      <c r="BJ310" t="s">
        <v>551</v>
      </c>
      <c r="BK310" t="s">
        <v>552</v>
      </c>
      <c r="BL310" t="s">
        <v>552</v>
      </c>
      <c r="BM310" t="s">
        <v>1866</v>
      </c>
      <c r="BN310" t="s">
        <v>2057</v>
      </c>
      <c r="BO310" t="s">
        <v>2058</v>
      </c>
      <c r="BR310" t="s">
        <v>546</v>
      </c>
      <c r="BS310" s="1">
        <v>3400</v>
      </c>
      <c r="BW310" t="s">
        <v>536</v>
      </c>
      <c r="BX310" s="1">
        <v>3400</v>
      </c>
      <c r="BZ310" t="s">
        <v>535</v>
      </c>
      <c r="CA310" t="s">
        <v>546</v>
      </c>
      <c r="CB310" t="s">
        <v>1866</v>
      </c>
      <c r="CC310" t="s">
        <v>556</v>
      </c>
      <c r="CD310" t="s">
        <v>2059</v>
      </c>
      <c r="CE310" t="s">
        <v>2060</v>
      </c>
      <c r="CF310" t="s">
        <v>301</v>
      </c>
      <c r="CG310" s="4">
        <v>1</v>
      </c>
      <c r="CH310" t="s">
        <v>546</v>
      </c>
      <c r="CK310" t="s">
        <v>2061</v>
      </c>
      <c r="CL310" s="1">
        <v>3400</v>
      </c>
      <c r="CN310" t="s">
        <v>535</v>
      </c>
      <c r="CO310" t="s">
        <v>539</v>
      </c>
      <c r="CT310" t="s">
        <v>576</v>
      </c>
      <c r="CW310" t="s">
        <v>546</v>
      </c>
      <c r="DD310" t="s">
        <v>561</v>
      </c>
      <c r="DK310" t="s">
        <v>2062</v>
      </c>
      <c r="DL310" t="s">
        <v>2063</v>
      </c>
    </row>
    <row r="311" ht="15" customHeight="1" spans="1:122">
      <c r="A311" t="s">
        <v>530</v>
      </c>
      <c r="B311" t="s">
        <v>2064</v>
      </c>
      <c r="C311" t="s">
        <v>532</v>
      </c>
      <c r="D311" t="s">
        <v>1866</v>
      </c>
      <c r="E311" t="s">
        <v>534</v>
      </c>
      <c r="F311" t="s">
        <v>534</v>
      </c>
      <c r="G311" t="s">
        <v>535</v>
      </c>
      <c r="H311" s="1">
        <v>600</v>
      </c>
      <c r="I311" s="1">
        <v>600</v>
      </c>
      <c r="J311" t="s">
        <v>536</v>
      </c>
      <c r="L311" t="s">
        <v>536</v>
      </c>
      <c r="M311" t="s">
        <v>375</v>
      </c>
      <c r="N311" t="s">
        <v>537</v>
      </c>
      <c r="P311" s="1">
        <v>600</v>
      </c>
      <c r="Q311" t="s">
        <v>580</v>
      </c>
      <c r="R311" t="s">
        <v>535</v>
      </c>
      <c r="S311" t="s">
        <v>539</v>
      </c>
      <c r="T311" s="2">
        <v>1</v>
      </c>
      <c r="U311" s="1">
        <v>600</v>
      </c>
      <c r="V311" s="1">
        <v>600</v>
      </c>
      <c r="X311" t="s">
        <v>540</v>
      </c>
      <c r="Z311" t="s">
        <v>541</v>
      </c>
      <c r="AA311" t="s">
        <v>542</v>
      </c>
      <c r="AB311" t="s">
        <v>543</v>
      </c>
      <c r="AC311" t="s">
        <v>544</v>
      </c>
      <c r="AD311" t="s">
        <v>545</v>
      </c>
      <c r="AE311" s="3">
        <v>1</v>
      </c>
      <c r="AF311" t="s">
        <v>301</v>
      </c>
      <c r="AG311" s="1">
        <v>600</v>
      </c>
      <c r="AI311" s="1">
        <v>600</v>
      </c>
      <c r="AJ311" s="1">
        <v>600</v>
      </c>
      <c r="AM311" s="1">
        <v>600</v>
      </c>
      <c r="AN311" t="s">
        <v>565</v>
      </c>
      <c r="AO311" t="s">
        <v>546</v>
      </c>
      <c r="AP311" t="s">
        <v>565</v>
      </c>
      <c r="AQ311" t="s">
        <v>548</v>
      </c>
      <c r="AS311" t="s">
        <v>375</v>
      </c>
      <c r="AX311" s="1">
        <v>600</v>
      </c>
      <c r="AY311" t="s">
        <v>546</v>
      </c>
      <c r="AZ311" t="s">
        <v>566</v>
      </c>
      <c r="BA311" s="1">
        <v>600</v>
      </c>
      <c r="BC311" t="s">
        <v>546</v>
      </c>
      <c r="BD311" s="1">
        <v>600</v>
      </c>
      <c r="BE311" t="s">
        <v>540</v>
      </c>
      <c r="BF311" s="1">
        <v>600</v>
      </c>
      <c r="BH311" s="1">
        <v>600</v>
      </c>
      <c r="BI311" t="s">
        <v>550</v>
      </c>
      <c r="BJ311" t="s">
        <v>551</v>
      </c>
      <c r="BK311" t="s">
        <v>551</v>
      </c>
      <c r="BL311" t="s">
        <v>552</v>
      </c>
      <c r="BM311" t="s">
        <v>1866</v>
      </c>
      <c r="BN311" t="s">
        <v>2065</v>
      </c>
      <c r="BO311" t="s">
        <v>2066</v>
      </c>
      <c r="BR311" t="s">
        <v>546</v>
      </c>
      <c r="BS311" s="1">
        <v>600</v>
      </c>
      <c r="BW311" t="s">
        <v>536</v>
      </c>
      <c r="BX311" s="1">
        <v>600</v>
      </c>
      <c r="BZ311" t="s">
        <v>535</v>
      </c>
      <c r="CA311" t="s">
        <v>546</v>
      </c>
      <c r="CB311" t="s">
        <v>1866</v>
      </c>
      <c r="CC311" t="s">
        <v>556</v>
      </c>
      <c r="CD311" t="s">
        <v>2059</v>
      </c>
      <c r="CE311" t="s">
        <v>2060</v>
      </c>
      <c r="CF311" t="s">
        <v>301</v>
      </c>
      <c r="CG311" s="4">
        <v>1</v>
      </c>
      <c r="CH311" t="s">
        <v>546</v>
      </c>
      <c r="CK311" t="s">
        <v>2061</v>
      </c>
      <c r="CL311" s="1">
        <v>600</v>
      </c>
      <c r="CN311" t="s">
        <v>535</v>
      </c>
      <c r="CO311" t="s">
        <v>539</v>
      </c>
      <c r="CT311" t="s">
        <v>576</v>
      </c>
      <c r="CW311" t="s">
        <v>546</v>
      </c>
      <c r="DD311" t="s">
        <v>561</v>
      </c>
      <c r="DK311" t="s">
        <v>2062</v>
      </c>
      <c r="DL311" t="s">
        <v>2063</v>
      </c>
    </row>
    <row r="312" ht="15" customHeight="1" spans="1:122">
      <c r="A312" t="s">
        <v>530</v>
      </c>
      <c r="B312" t="s">
        <v>2067</v>
      </c>
      <c r="C312" t="s">
        <v>532</v>
      </c>
      <c r="D312" t="s">
        <v>1852</v>
      </c>
      <c r="E312" t="s">
        <v>534</v>
      </c>
      <c r="F312" t="s">
        <v>534</v>
      </c>
      <c r="G312" t="s">
        <v>535</v>
      </c>
      <c r="H312" s="1">
        <v>400</v>
      </c>
      <c r="I312" s="1">
        <v>400</v>
      </c>
      <c r="J312" t="s">
        <v>536</v>
      </c>
      <c r="L312" t="s">
        <v>536</v>
      </c>
      <c r="M312" t="s">
        <v>375</v>
      </c>
      <c r="N312" t="s">
        <v>537</v>
      </c>
      <c r="P312" s="1">
        <v>400</v>
      </c>
      <c r="Q312" t="s">
        <v>580</v>
      </c>
      <c r="R312" t="s">
        <v>535</v>
      </c>
      <c r="S312" t="s">
        <v>539</v>
      </c>
      <c r="T312" s="2">
        <v>1</v>
      </c>
      <c r="U312" s="1">
        <v>400</v>
      </c>
      <c r="V312" s="1">
        <v>400</v>
      </c>
      <c r="X312" t="s">
        <v>540</v>
      </c>
      <c r="Z312" t="s">
        <v>541</v>
      </c>
      <c r="AA312" t="s">
        <v>542</v>
      </c>
      <c r="AB312" t="s">
        <v>543</v>
      </c>
      <c r="AC312" t="s">
        <v>544</v>
      </c>
      <c r="AD312" t="s">
        <v>545</v>
      </c>
      <c r="AE312" s="3">
        <v>1</v>
      </c>
      <c r="AF312" t="s">
        <v>302</v>
      </c>
      <c r="AG312" s="1">
        <v>400</v>
      </c>
      <c r="AI312" s="1">
        <v>400</v>
      </c>
      <c r="AJ312" s="1">
        <v>400</v>
      </c>
      <c r="AM312" s="1">
        <v>400</v>
      </c>
      <c r="AN312" t="s">
        <v>643</v>
      </c>
      <c r="AO312" t="s">
        <v>546</v>
      </c>
      <c r="AP312" t="s">
        <v>643</v>
      </c>
      <c r="AQ312" t="s">
        <v>548</v>
      </c>
      <c r="AS312" t="s">
        <v>375</v>
      </c>
      <c r="AX312" s="1">
        <v>400</v>
      </c>
      <c r="AY312" t="s">
        <v>546</v>
      </c>
      <c r="AZ312" t="s">
        <v>644</v>
      </c>
      <c r="BA312" s="1">
        <v>400</v>
      </c>
      <c r="BC312" t="s">
        <v>546</v>
      </c>
      <c r="BD312" s="1">
        <v>400</v>
      </c>
      <c r="BE312" t="s">
        <v>540</v>
      </c>
      <c r="BF312" s="1">
        <v>400</v>
      </c>
      <c r="BH312" s="1">
        <v>400</v>
      </c>
      <c r="BI312" t="s">
        <v>550</v>
      </c>
      <c r="BJ312" t="s">
        <v>551</v>
      </c>
      <c r="BK312" t="s">
        <v>551</v>
      </c>
      <c r="BL312" t="s">
        <v>552</v>
      </c>
      <c r="BM312" t="s">
        <v>1866</v>
      </c>
      <c r="BN312" t="s">
        <v>2068</v>
      </c>
      <c r="BO312" t="s">
        <v>2069</v>
      </c>
      <c r="BR312" t="s">
        <v>546</v>
      </c>
      <c r="BS312" s="1">
        <v>400</v>
      </c>
      <c r="BW312" t="s">
        <v>536</v>
      </c>
      <c r="BX312" s="1">
        <v>400</v>
      </c>
      <c r="BZ312" t="s">
        <v>535</v>
      </c>
      <c r="CA312" t="s">
        <v>546</v>
      </c>
      <c r="CB312" t="s">
        <v>1852</v>
      </c>
      <c r="CC312" t="s">
        <v>556</v>
      </c>
      <c r="CD312" t="s">
        <v>1411</v>
      </c>
      <c r="CE312" t="s">
        <v>1412</v>
      </c>
      <c r="CF312" t="s">
        <v>302</v>
      </c>
      <c r="CG312" s="4">
        <v>1</v>
      </c>
      <c r="CH312" t="s">
        <v>546</v>
      </c>
      <c r="CK312" t="s">
        <v>2070</v>
      </c>
      <c r="CL312" s="1">
        <v>400</v>
      </c>
      <c r="CN312" t="s">
        <v>535</v>
      </c>
      <c r="CO312" t="s">
        <v>539</v>
      </c>
      <c r="CT312" t="s">
        <v>576</v>
      </c>
      <c r="CW312" t="s">
        <v>546</v>
      </c>
      <c r="DD312" t="s">
        <v>561</v>
      </c>
      <c r="DK312" t="s">
        <v>2062</v>
      </c>
      <c r="DL312" t="s">
        <v>2063</v>
      </c>
      <c r="DR312" t="s">
        <v>2071</v>
      </c>
    </row>
    <row r="313" ht="15" customHeight="1" spans="1:122">
      <c r="A313" t="s">
        <v>603</v>
      </c>
      <c r="B313" t="s">
        <v>2072</v>
      </c>
      <c r="C313" t="s">
        <v>532</v>
      </c>
      <c r="D313" t="s">
        <v>1396</v>
      </c>
      <c r="E313" t="s">
        <v>534</v>
      </c>
      <c r="F313" t="s">
        <v>534</v>
      </c>
      <c r="G313" t="s">
        <v>535</v>
      </c>
      <c r="H313" s="1">
        <v>32</v>
      </c>
      <c r="I313" s="1">
        <v>31.81</v>
      </c>
      <c r="J313" t="s">
        <v>536</v>
      </c>
      <c r="L313" t="s">
        <v>536</v>
      </c>
      <c r="M313" t="s">
        <v>377</v>
      </c>
      <c r="N313" t="s">
        <v>537</v>
      </c>
      <c r="P313" s="1">
        <v>32</v>
      </c>
      <c r="Q313" t="s">
        <v>538</v>
      </c>
      <c r="R313" t="s">
        <v>535</v>
      </c>
      <c r="S313" t="s">
        <v>539</v>
      </c>
      <c r="T313" s="2">
        <v>1</v>
      </c>
      <c r="U313" s="1">
        <v>32</v>
      </c>
      <c r="V313" s="1">
        <v>31.81</v>
      </c>
      <c r="X313" t="s">
        <v>540</v>
      </c>
      <c r="Z313" t="s">
        <v>541</v>
      </c>
      <c r="AA313" t="s">
        <v>542</v>
      </c>
      <c r="AB313" t="s">
        <v>543</v>
      </c>
      <c r="AC313" t="s">
        <v>608</v>
      </c>
      <c r="AE313" s="3">
        <v>1</v>
      </c>
      <c r="AG313" s="1">
        <v>32</v>
      </c>
      <c r="AI313" s="1">
        <v>32</v>
      </c>
      <c r="AJ313" s="1">
        <v>32</v>
      </c>
      <c r="AK313" s="1">
        <v>0.19</v>
      </c>
      <c r="AM313" s="1">
        <v>31.81</v>
      </c>
      <c r="AN313" t="s">
        <v>536</v>
      </c>
      <c r="AO313" t="s">
        <v>546</v>
      </c>
      <c r="AP313" t="s">
        <v>547</v>
      </c>
      <c r="AQ313" t="s">
        <v>548</v>
      </c>
      <c r="AS313" t="s">
        <v>377</v>
      </c>
      <c r="AX313" s="1">
        <v>32</v>
      </c>
      <c r="AY313" t="s">
        <v>546</v>
      </c>
      <c r="AZ313" t="s">
        <v>549</v>
      </c>
      <c r="BA313" s="1">
        <v>32</v>
      </c>
      <c r="BC313" t="s">
        <v>546</v>
      </c>
      <c r="BE313" t="s">
        <v>540</v>
      </c>
      <c r="BF313" s="1">
        <v>32</v>
      </c>
      <c r="BG313" s="1">
        <v>0.19</v>
      </c>
      <c r="BH313" s="1">
        <v>31.81</v>
      </c>
      <c r="BI313" t="s">
        <v>550</v>
      </c>
      <c r="BJ313" t="s">
        <v>551</v>
      </c>
      <c r="BK313" t="s">
        <v>552</v>
      </c>
      <c r="BL313" t="s">
        <v>552</v>
      </c>
      <c r="BM313" t="s">
        <v>1866</v>
      </c>
      <c r="BN313" t="s">
        <v>2073</v>
      </c>
      <c r="BO313" t="s">
        <v>2074</v>
      </c>
      <c r="BR313" t="s">
        <v>546</v>
      </c>
      <c r="BS313" s="1">
        <v>32</v>
      </c>
      <c r="BW313" t="s">
        <v>536</v>
      </c>
      <c r="BX313" s="1">
        <v>32</v>
      </c>
      <c r="BZ313" t="s">
        <v>535</v>
      </c>
      <c r="CA313" t="s">
        <v>546</v>
      </c>
      <c r="CB313" t="s">
        <v>1396</v>
      </c>
      <c r="CC313" t="s">
        <v>556</v>
      </c>
      <c r="CH313" t="s">
        <v>546</v>
      </c>
      <c r="CK313" t="s">
        <v>2075</v>
      </c>
      <c r="CL313" s="1">
        <v>32</v>
      </c>
      <c r="CN313" t="s">
        <v>535</v>
      </c>
      <c r="CO313" t="s">
        <v>539</v>
      </c>
      <c r="CT313" t="s">
        <v>560</v>
      </c>
      <c r="CW313" t="s">
        <v>546</v>
      </c>
      <c r="DD313" t="s">
        <v>561</v>
      </c>
      <c r="DK313" t="s">
        <v>1397</v>
      </c>
    </row>
    <row r="314" ht="15" customHeight="1" spans="1:122">
      <c r="A314" t="s">
        <v>530</v>
      </c>
      <c r="B314" t="s">
        <v>2076</v>
      </c>
      <c r="C314" t="s">
        <v>532</v>
      </c>
      <c r="D314" t="s">
        <v>1866</v>
      </c>
      <c r="E314" t="s">
        <v>534</v>
      </c>
      <c r="F314" t="s">
        <v>534</v>
      </c>
      <c r="G314" t="s">
        <v>535</v>
      </c>
      <c r="H314" s="1">
        <v>1700</v>
      </c>
      <c r="I314" s="1">
        <v>1700</v>
      </c>
      <c r="J314" t="s">
        <v>536</v>
      </c>
      <c r="L314" t="s">
        <v>536</v>
      </c>
      <c r="M314" t="s">
        <v>377</v>
      </c>
      <c r="N314" t="s">
        <v>537</v>
      </c>
      <c r="P314" s="1">
        <v>1700</v>
      </c>
      <c r="Q314" t="s">
        <v>538</v>
      </c>
      <c r="R314" t="s">
        <v>535</v>
      </c>
      <c r="S314" t="s">
        <v>539</v>
      </c>
      <c r="T314" s="2">
        <v>1</v>
      </c>
      <c r="U314" s="1">
        <v>1700</v>
      </c>
      <c r="V314" s="1">
        <v>1700</v>
      </c>
      <c r="X314" t="s">
        <v>540</v>
      </c>
      <c r="Z314" t="s">
        <v>541</v>
      </c>
      <c r="AA314" t="s">
        <v>542</v>
      </c>
      <c r="AB314" t="s">
        <v>543</v>
      </c>
      <c r="AC314" t="s">
        <v>544</v>
      </c>
      <c r="AD314" t="s">
        <v>545</v>
      </c>
      <c r="AE314" s="3">
        <v>1</v>
      </c>
      <c r="AF314" t="s">
        <v>135</v>
      </c>
      <c r="AG314" s="1">
        <v>1700</v>
      </c>
      <c r="AI314" s="1">
        <v>1700</v>
      </c>
      <c r="AJ314" s="1">
        <v>1700</v>
      </c>
      <c r="AM314" s="1">
        <v>1700</v>
      </c>
      <c r="AN314" t="s">
        <v>643</v>
      </c>
      <c r="AO314" t="s">
        <v>546</v>
      </c>
      <c r="AP314" t="s">
        <v>643</v>
      </c>
      <c r="AQ314" t="s">
        <v>548</v>
      </c>
      <c r="AS314" t="s">
        <v>377</v>
      </c>
      <c r="AX314" s="1">
        <v>1700</v>
      </c>
      <c r="AY314" t="s">
        <v>546</v>
      </c>
      <c r="AZ314" t="s">
        <v>644</v>
      </c>
      <c r="BA314" s="1">
        <v>1700</v>
      </c>
      <c r="BC314" t="s">
        <v>546</v>
      </c>
      <c r="BD314" s="1">
        <v>1700</v>
      </c>
      <c r="BE314" t="s">
        <v>540</v>
      </c>
      <c r="BF314" s="1">
        <v>1700</v>
      </c>
      <c r="BH314" s="1">
        <v>1700</v>
      </c>
      <c r="BI314" t="s">
        <v>550</v>
      </c>
      <c r="BJ314" t="s">
        <v>551</v>
      </c>
      <c r="BK314" t="s">
        <v>551</v>
      </c>
      <c r="BL314" t="s">
        <v>552</v>
      </c>
      <c r="BM314" t="s">
        <v>1866</v>
      </c>
      <c r="BN314" t="s">
        <v>2077</v>
      </c>
      <c r="BO314" t="s">
        <v>2078</v>
      </c>
      <c r="BR314" t="s">
        <v>546</v>
      </c>
      <c r="BS314" s="1">
        <v>1700</v>
      </c>
      <c r="BW314" t="s">
        <v>536</v>
      </c>
      <c r="BX314" s="1">
        <v>1700</v>
      </c>
      <c r="BZ314" t="s">
        <v>535</v>
      </c>
      <c r="CA314" t="s">
        <v>546</v>
      </c>
      <c r="CB314" t="s">
        <v>1866</v>
      </c>
      <c r="CC314" t="s">
        <v>556</v>
      </c>
      <c r="CD314" t="s">
        <v>1079</v>
      </c>
      <c r="CE314" t="s">
        <v>1080</v>
      </c>
      <c r="CF314" t="s">
        <v>135</v>
      </c>
      <c r="CG314" s="4">
        <v>1</v>
      </c>
      <c r="CH314" t="s">
        <v>546</v>
      </c>
      <c r="CK314" t="s">
        <v>2079</v>
      </c>
      <c r="CL314" s="1">
        <v>1700</v>
      </c>
      <c r="CN314" t="s">
        <v>535</v>
      </c>
      <c r="CO314" t="s">
        <v>539</v>
      </c>
      <c r="CT314" t="s">
        <v>560</v>
      </c>
      <c r="CW314" t="s">
        <v>546</v>
      </c>
      <c r="DD314" t="s">
        <v>561</v>
      </c>
      <c r="DK314" t="s">
        <v>2080</v>
      </c>
      <c r="DL314" t="s">
        <v>2081</v>
      </c>
      <c r="DR314" t="s">
        <v>2082</v>
      </c>
    </row>
    <row r="315" ht="15" customHeight="1" spans="1:122">
      <c r="A315" t="s">
        <v>530</v>
      </c>
      <c r="B315" t="s">
        <v>2083</v>
      </c>
      <c r="C315" t="s">
        <v>532</v>
      </c>
      <c r="D315" t="s">
        <v>1866</v>
      </c>
      <c r="E315" t="s">
        <v>534</v>
      </c>
      <c r="F315" t="s">
        <v>534</v>
      </c>
      <c r="G315" t="s">
        <v>535</v>
      </c>
      <c r="H315" s="1">
        <v>1700</v>
      </c>
      <c r="I315" s="1">
        <v>1700</v>
      </c>
      <c r="J315" t="s">
        <v>536</v>
      </c>
      <c r="L315" t="s">
        <v>536</v>
      </c>
      <c r="M315" t="s">
        <v>380</v>
      </c>
      <c r="N315" t="s">
        <v>369</v>
      </c>
      <c r="P315" s="1">
        <v>1700</v>
      </c>
      <c r="Q315" t="s">
        <v>996</v>
      </c>
      <c r="R315" t="s">
        <v>535</v>
      </c>
      <c r="S315" t="s">
        <v>539</v>
      </c>
      <c r="T315" s="2">
        <v>1</v>
      </c>
      <c r="U315" s="1">
        <v>1700</v>
      </c>
      <c r="V315" s="1">
        <v>1700</v>
      </c>
      <c r="X315" t="s">
        <v>540</v>
      </c>
      <c r="Z315" t="s">
        <v>541</v>
      </c>
      <c r="AA315" t="s">
        <v>542</v>
      </c>
      <c r="AB315" t="s">
        <v>543</v>
      </c>
      <c r="AC315" t="s">
        <v>544</v>
      </c>
      <c r="AD315" t="s">
        <v>545</v>
      </c>
      <c r="AE315" s="3">
        <v>1</v>
      </c>
      <c r="AF315" t="s">
        <v>323</v>
      </c>
      <c r="AG315" s="1">
        <v>1700</v>
      </c>
      <c r="AI315" s="1">
        <v>1700</v>
      </c>
      <c r="AJ315" s="1">
        <v>1700</v>
      </c>
      <c r="AM315" s="1">
        <v>1700</v>
      </c>
      <c r="AN315" t="s">
        <v>2084</v>
      </c>
      <c r="AO315" t="s">
        <v>546</v>
      </c>
      <c r="AP315" t="s">
        <v>2085</v>
      </c>
      <c r="AQ315" t="s">
        <v>548</v>
      </c>
      <c r="AS315" t="s">
        <v>380</v>
      </c>
      <c r="AX315" s="1">
        <v>1700</v>
      </c>
      <c r="AY315" t="s">
        <v>546</v>
      </c>
      <c r="AZ315" t="s">
        <v>2086</v>
      </c>
      <c r="BA315" s="1">
        <v>1700</v>
      </c>
      <c r="BC315" t="s">
        <v>546</v>
      </c>
      <c r="BD315" s="1">
        <v>1700</v>
      </c>
      <c r="BE315" t="s">
        <v>540</v>
      </c>
      <c r="BF315" s="1">
        <v>1700</v>
      </c>
      <c r="BH315" s="1">
        <v>1700</v>
      </c>
      <c r="BI315" t="s">
        <v>550</v>
      </c>
      <c r="BJ315" t="s">
        <v>551</v>
      </c>
      <c r="BK315" t="s">
        <v>551</v>
      </c>
      <c r="BL315" t="s">
        <v>552</v>
      </c>
      <c r="BM315" t="s">
        <v>1866</v>
      </c>
      <c r="BN315" t="s">
        <v>2087</v>
      </c>
      <c r="BO315" t="s">
        <v>2088</v>
      </c>
      <c r="BR315" t="s">
        <v>546</v>
      </c>
      <c r="BS315" s="1">
        <v>1700</v>
      </c>
      <c r="BW315" t="s">
        <v>536</v>
      </c>
      <c r="BX315" s="1">
        <v>1700</v>
      </c>
      <c r="BZ315" t="s">
        <v>535</v>
      </c>
      <c r="CA315" t="s">
        <v>546</v>
      </c>
      <c r="CB315" t="s">
        <v>1866</v>
      </c>
      <c r="CC315" t="s">
        <v>556</v>
      </c>
      <c r="CD315" t="s">
        <v>2089</v>
      </c>
      <c r="CE315" t="s">
        <v>2090</v>
      </c>
      <c r="CF315" t="s">
        <v>323</v>
      </c>
      <c r="CG315" s="4">
        <v>1</v>
      </c>
      <c r="CH315" t="s">
        <v>546</v>
      </c>
      <c r="CK315" t="s">
        <v>2091</v>
      </c>
      <c r="CL315" s="1">
        <v>1700</v>
      </c>
      <c r="CN315" t="s">
        <v>535</v>
      </c>
      <c r="CO315" t="s">
        <v>539</v>
      </c>
      <c r="CT315" t="s">
        <v>576</v>
      </c>
      <c r="CW315" t="s">
        <v>546</v>
      </c>
      <c r="DD315" t="s">
        <v>561</v>
      </c>
      <c r="DK315" t="s">
        <v>2092</v>
      </c>
      <c r="DL315" t="s">
        <v>2093</v>
      </c>
      <c r="DM315" t="s">
        <v>2094</v>
      </c>
    </row>
    <row r="316" ht="15" customHeight="1" spans="1:122">
      <c r="A316" t="s">
        <v>603</v>
      </c>
      <c r="B316" t="s">
        <v>2095</v>
      </c>
      <c r="C316" t="s">
        <v>532</v>
      </c>
      <c r="D316" t="s">
        <v>1866</v>
      </c>
      <c r="E316" t="s">
        <v>534</v>
      </c>
      <c r="F316" t="s">
        <v>534</v>
      </c>
      <c r="G316" t="s">
        <v>535</v>
      </c>
      <c r="H316" s="1">
        <v>1000</v>
      </c>
      <c r="I316" s="1">
        <v>994</v>
      </c>
      <c r="J316" t="s">
        <v>536</v>
      </c>
      <c r="L316" t="s">
        <v>536</v>
      </c>
      <c r="M316" t="s">
        <v>370</v>
      </c>
      <c r="N316" t="s">
        <v>537</v>
      </c>
      <c r="P316" s="1">
        <v>1000</v>
      </c>
      <c r="Q316" t="s">
        <v>970</v>
      </c>
      <c r="R316" t="s">
        <v>535</v>
      </c>
      <c r="S316" t="s">
        <v>539</v>
      </c>
      <c r="T316" s="2">
        <v>1</v>
      </c>
      <c r="U316" s="1">
        <v>1000</v>
      </c>
      <c r="V316" s="1">
        <v>994</v>
      </c>
      <c r="X316" t="s">
        <v>540</v>
      </c>
      <c r="Z316" t="s">
        <v>541</v>
      </c>
      <c r="AA316" t="s">
        <v>542</v>
      </c>
      <c r="AB316" t="s">
        <v>543</v>
      </c>
      <c r="AC316" t="s">
        <v>608</v>
      </c>
      <c r="AE316" s="3">
        <v>1</v>
      </c>
      <c r="AG316" s="1">
        <v>1000</v>
      </c>
      <c r="AI316" s="1">
        <v>1000</v>
      </c>
      <c r="AJ316" s="1">
        <v>1000</v>
      </c>
      <c r="AK316" s="1">
        <v>6</v>
      </c>
      <c r="AM316" s="1">
        <v>994</v>
      </c>
      <c r="AN316" t="s">
        <v>536</v>
      </c>
      <c r="AO316" t="s">
        <v>546</v>
      </c>
      <c r="AP316" t="s">
        <v>547</v>
      </c>
      <c r="AQ316" t="s">
        <v>548</v>
      </c>
      <c r="AS316" t="s">
        <v>370</v>
      </c>
      <c r="AX316" s="1">
        <v>1000</v>
      </c>
      <c r="AY316" t="s">
        <v>546</v>
      </c>
      <c r="AZ316" t="s">
        <v>549</v>
      </c>
      <c r="BA316" s="1">
        <v>1000</v>
      </c>
      <c r="BC316" t="s">
        <v>546</v>
      </c>
      <c r="BE316" t="s">
        <v>540</v>
      </c>
      <c r="BF316" s="1">
        <v>1000</v>
      </c>
      <c r="BG316" s="1">
        <v>6</v>
      </c>
      <c r="BH316" s="1">
        <v>994</v>
      </c>
      <c r="BI316" t="s">
        <v>550</v>
      </c>
      <c r="BJ316" t="s">
        <v>551</v>
      </c>
      <c r="BK316" t="s">
        <v>552</v>
      </c>
      <c r="BL316" t="s">
        <v>552</v>
      </c>
      <c r="BM316" t="s">
        <v>1866</v>
      </c>
      <c r="BN316" t="s">
        <v>2096</v>
      </c>
      <c r="BO316" t="s">
        <v>2097</v>
      </c>
      <c r="BR316" t="s">
        <v>546</v>
      </c>
      <c r="BS316" s="1">
        <v>1000</v>
      </c>
      <c r="BW316" t="s">
        <v>536</v>
      </c>
      <c r="BX316" s="1">
        <v>1000</v>
      </c>
      <c r="BZ316" t="s">
        <v>535</v>
      </c>
      <c r="CA316" t="s">
        <v>546</v>
      </c>
      <c r="CB316" t="s">
        <v>1866</v>
      </c>
      <c r="CC316" t="s">
        <v>556</v>
      </c>
      <c r="CH316" t="s">
        <v>546</v>
      </c>
      <c r="CK316" t="s">
        <v>2098</v>
      </c>
      <c r="CL316" s="1">
        <v>1000</v>
      </c>
      <c r="CN316" t="s">
        <v>535</v>
      </c>
      <c r="CO316" t="s">
        <v>539</v>
      </c>
      <c r="CT316" t="s">
        <v>560</v>
      </c>
      <c r="CW316" t="s">
        <v>546</v>
      </c>
      <c r="DD316" t="s">
        <v>561</v>
      </c>
      <c r="DK316" t="s">
        <v>2099</v>
      </c>
      <c r="DR316" t="s">
        <v>2100</v>
      </c>
    </row>
    <row r="317" ht="15" customHeight="1" spans="1:122">
      <c r="A317" t="s">
        <v>530</v>
      </c>
      <c r="B317" t="s">
        <v>2101</v>
      </c>
      <c r="C317" t="s">
        <v>532</v>
      </c>
      <c r="D317" t="s">
        <v>1866</v>
      </c>
      <c r="E317" t="s">
        <v>534</v>
      </c>
      <c r="F317" t="s">
        <v>534</v>
      </c>
      <c r="G317" t="s">
        <v>535</v>
      </c>
      <c r="H317" s="1">
        <v>7438.76</v>
      </c>
      <c r="I317" s="1">
        <v>7438.76</v>
      </c>
      <c r="J317" t="s">
        <v>536</v>
      </c>
      <c r="L317" t="s">
        <v>536</v>
      </c>
      <c r="M317" t="s">
        <v>380</v>
      </c>
      <c r="N317" t="s">
        <v>369</v>
      </c>
      <c r="P317" s="1">
        <v>7438.76</v>
      </c>
      <c r="Q317" t="s">
        <v>996</v>
      </c>
      <c r="R317" t="s">
        <v>535</v>
      </c>
      <c r="S317" t="s">
        <v>539</v>
      </c>
      <c r="T317" s="2">
        <v>1</v>
      </c>
      <c r="U317" s="1">
        <v>7438.76</v>
      </c>
      <c r="V317" s="1">
        <v>7438.76</v>
      </c>
      <c r="X317" t="s">
        <v>540</v>
      </c>
      <c r="Z317" t="s">
        <v>541</v>
      </c>
      <c r="AA317" t="s">
        <v>542</v>
      </c>
      <c r="AB317" t="s">
        <v>543</v>
      </c>
      <c r="AC317" t="s">
        <v>544</v>
      </c>
      <c r="AD317" t="s">
        <v>545</v>
      </c>
      <c r="AE317" s="3">
        <v>1</v>
      </c>
      <c r="AF317" t="s">
        <v>325</v>
      </c>
      <c r="AG317" s="1">
        <v>7438.76</v>
      </c>
      <c r="AI317" s="1">
        <v>7438.76</v>
      </c>
      <c r="AJ317" s="1">
        <v>7438.76</v>
      </c>
      <c r="AM317" s="1">
        <v>7438.76</v>
      </c>
      <c r="AN317" t="s">
        <v>536</v>
      </c>
      <c r="AO317" t="s">
        <v>546</v>
      </c>
      <c r="AP317" t="s">
        <v>547</v>
      </c>
      <c r="AQ317" t="s">
        <v>548</v>
      </c>
      <c r="AS317" t="s">
        <v>380</v>
      </c>
      <c r="AX317" s="1">
        <v>7438.76</v>
      </c>
      <c r="AY317" t="s">
        <v>546</v>
      </c>
      <c r="AZ317" t="s">
        <v>549</v>
      </c>
      <c r="BA317" s="1">
        <v>7438.76</v>
      </c>
      <c r="BC317" t="s">
        <v>546</v>
      </c>
      <c r="BD317" s="1">
        <v>7438.76</v>
      </c>
      <c r="BE317" t="s">
        <v>540</v>
      </c>
      <c r="BF317" s="1">
        <v>7438.76</v>
      </c>
      <c r="BH317" s="1">
        <v>7438.76</v>
      </c>
      <c r="BI317" t="s">
        <v>550</v>
      </c>
      <c r="BJ317" t="s">
        <v>551</v>
      </c>
      <c r="BK317" t="s">
        <v>683</v>
      </c>
      <c r="BL317" t="s">
        <v>1905</v>
      </c>
      <c r="BM317" t="s">
        <v>1866</v>
      </c>
      <c r="BN317" t="s">
        <v>2102</v>
      </c>
      <c r="BO317" t="s">
        <v>2103</v>
      </c>
      <c r="BR317" t="s">
        <v>546</v>
      </c>
      <c r="BS317" s="1">
        <v>7438.76</v>
      </c>
      <c r="BW317" t="s">
        <v>536</v>
      </c>
      <c r="BX317" s="1">
        <v>7438.76</v>
      </c>
      <c r="BZ317" t="s">
        <v>535</v>
      </c>
      <c r="CA317" t="s">
        <v>546</v>
      </c>
      <c r="CB317" t="s">
        <v>1866</v>
      </c>
      <c r="CC317" t="s">
        <v>556</v>
      </c>
      <c r="CD317" t="s">
        <v>1898</v>
      </c>
      <c r="CE317" t="s">
        <v>1899</v>
      </c>
      <c r="CF317" t="s">
        <v>325</v>
      </c>
      <c r="CG317" s="4">
        <v>1</v>
      </c>
      <c r="CH317" t="s">
        <v>546</v>
      </c>
      <c r="CK317" t="s">
        <v>2104</v>
      </c>
      <c r="CL317" s="1">
        <v>7438.76</v>
      </c>
      <c r="CN317" t="s">
        <v>535</v>
      </c>
      <c r="CO317" t="s">
        <v>539</v>
      </c>
      <c r="CT317" t="s">
        <v>576</v>
      </c>
      <c r="CW317" t="s">
        <v>546</v>
      </c>
      <c r="DD317" t="s">
        <v>561</v>
      </c>
      <c r="DK317" t="s">
        <v>1119</v>
      </c>
      <c r="DL317" t="s">
        <v>2105</v>
      </c>
    </row>
    <row r="318" ht="15" customHeight="1" spans="1:122">
      <c r="A318" t="s">
        <v>530</v>
      </c>
      <c r="B318" t="s">
        <v>2106</v>
      </c>
      <c r="C318" t="s">
        <v>532</v>
      </c>
      <c r="D318" t="s">
        <v>1866</v>
      </c>
      <c r="E318" t="s">
        <v>534</v>
      </c>
      <c r="F318" t="s">
        <v>534</v>
      </c>
      <c r="G318" t="s">
        <v>535</v>
      </c>
      <c r="H318" s="1">
        <v>700</v>
      </c>
      <c r="I318" s="1">
        <v>700</v>
      </c>
      <c r="J318" t="s">
        <v>536</v>
      </c>
      <c r="L318" t="s">
        <v>536</v>
      </c>
      <c r="M318" t="s">
        <v>375</v>
      </c>
      <c r="N318" t="s">
        <v>537</v>
      </c>
      <c r="P318" s="1">
        <v>700</v>
      </c>
      <c r="Q318" t="s">
        <v>580</v>
      </c>
      <c r="R318" t="s">
        <v>535</v>
      </c>
      <c r="S318" t="s">
        <v>539</v>
      </c>
      <c r="T318" s="2">
        <v>1</v>
      </c>
      <c r="U318" s="1">
        <v>700</v>
      </c>
      <c r="V318" s="1">
        <v>700</v>
      </c>
      <c r="X318" t="s">
        <v>540</v>
      </c>
      <c r="Z318" t="s">
        <v>541</v>
      </c>
      <c r="AA318" t="s">
        <v>542</v>
      </c>
      <c r="AB318" t="s">
        <v>934</v>
      </c>
      <c r="AC318" t="s">
        <v>544</v>
      </c>
      <c r="AD318" t="s">
        <v>545</v>
      </c>
      <c r="AE318" s="3">
        <v>1</v>
      </c>
      <c r="AF318" t="s">
        <v>324</v>
      </c>
      <c r="AG318" s="1">
        <v>700</v>
      </c>
      <c r="AI318" s="1">
        <v>700</v>
      </c>
      <c r="AJ318" s="1">
        <v>700</v>
      </c>
      <c r="AM318" s="1">
        <v>700</v>
      </c>
      <c r="AN318" t="s">
        <v>643</v>
      </c>
      <c r="AO318" t="s">
        <v>546</v>
      </c>
      <c r="AP318" t="s">
        <v>643</v>
      </c>
      <c r="AQ318" t="s">
        <v>548</v>
      </c>
      <c r="AS318" t="s">
        <v>375</v>
      </c>
      <c r="AX318" s="1">
        <v>700</v>
      </c>
      <c r="AY318" t="s">
        <v>546</v>
      </c>
      <c r="AZ318" t="s">
        <v>644</v>
      </c>
      <c r="BA318" s="1">
        <v>700</v>
      </c>
      <c r="BC318" t="s">
        <v>546</v>
      </c>
      <c r="BD318" s="1">
        <v>700</v>
      </c>
      <c r="BE318" t="s">
        <v>540</v>
      </c>
      <c r="BF318" s="1">
        <v>700</v>
      </c>
      <c r="BH318" s="1">
        <v>700</v>
      </c>
      <c r="BI318" t="s">
        <v>550</v>
      </c>
      <c r="BJ318" t="s">
        <v>570</v>
      </c>
      <c r="BK318" t="s">
        <v>570</v>
      </c>
      <c r="BL318" t="s">
        <v>1905</v>
      </c>
      <c r="BM318" t="s">
        <v>1866</v>
      </c>
      <c r="BN318" t="s">
        <v>2107</v>
      </c>
      <c r="BO318" t="s">
        <v>2108</v>
      </c>
      <c r="BR318" t="s">
        <v>546</v>
      </c>
      <c r="BS318" s="1">
        <v>700</v>
      </c>
      <c r="BW318" t="s">
        <v>536</v>
      </c>
      <c r="BX318" s="1">
        <v>700</v>
      </c>
      <c r="BZ318" t="s">
        <v>535</v>
      </c>
      <c r="CA318" t="s">
        <v>546</v>
      </c>
      <c r="CB318" t="s">
        <v>1866</v>
      </c>
      <c r="CC318" t="s">
        <v>556</v>
      </c>
      <c r="CD318" t="s">
        <v>1411</v>
      </c>
      <c r="CE318" t="s">
        <v>1412</v>
      </c>
      <c r="CF318" t="s">
        <v>324</v>
      </c>
      <c r="CG318" s="4">
        <v>1</v>
      </c>
      <c r="CH318" t="s">
        <v>546</v>
      </c>
      <c r="CK318" t="s">
        <v>2109</v>
      </c>
      <c r="CL318" s="1">
        <v>700</v>
      </c>
      <c r="CN318" t="s">
        <v>535</v>
      </c>
      <c r="CO318" t="s">
        <v>539</v>
      </c>
      <c r="CT318" t="s">
        <v>576</v>
      </c>
      <c r="CW318" t="s">
        <v>546</v>
      </c>
      <c r="DD318" t="s">
        <v>561</v>
      </c>
      <c r="DK318" t="s">
        <v>2110</v>
      </c>
      <c r="DL318" t="s">
        <v>2111</v>
      </c>
      <c r="DR318" t="s">
        <v>2112</v>
      </c>
    </row>
    <row r="319" ht="15" customHeight="1" spans="1:122">
      <c r="A319" t="s">
        <v>530</v>
      </c>
      <c r="B319" t="s">
        <v>2113</v>
      </c>
      <c r="C319" t="s">
        <v>532</v>
      </c>
      <c r="D319" t="s">
        <v>2033</v>
      </c>
      <c r="E319" t="s">
        <v>534</v>
      </c>
      <c r="F319" t="s">
        <v>534</v>
      </c>
      <c r="G319" t="s">
        <v>535</v>
      </c>
      <c r="H319" s="1">
        <v>2400</v>
      </c>
      <c r="I319" s="1">
        <v>2385.6</v>
      </c>
      <c r="J319" t="s">
        <v>536</v>
      </c>
      <c r="L319" t="s">
        <v>536</v>
      </c>
      <c r="M319" t="s">
        <v>375</v>
      </c>
      <c r="N319" t="s">
        <v>537</v>
      </c>
      <c r="P319" s="1">
        <v>2400</v>
      </c>
      <c r="Q319" t="s">
        <v>580</v>
      </c>
      <c r="R319" t="s">
        <v>535</v>
      </c>
      <c r="S319" t="s">
        <v>539</v>
      </c>
      <c r="T319" s="2">
        <v>1</v>
      </c>
      <c r="U319" s="1">
        <v>2400</v>
      </c>
      <c r="V319" s="1">
        <v>2385.6</v>
      </c>
      <c r="X319" t="s">
        <v>540</v>
      </c>
      <c r="Z319" t="s">
        <v>541</v>
      </c>
      <c r="AA319" t="s">
        <v>542</v>
      </c>
      <c r="AB319" t="s">
        <v>543</v>
      </c>
      <c r="AC319" t="s">
        <v>544</v>
      </c>
      <c r="AD319" t="s">
        <v>545</v>
      </c>
      <c r="AE319" s="3">
        <v>1</v>
      </c>
      <c r="AF319" t="s">
        <v>136</v>
      </c>
      <c r="AG319" s="1">
        <v>2400</v>
      </c>
      <c r="AI319" s="1">
        <v>2400</v>
      </c>
      <c r="AJ319" s="1">
        <v>2400</v>
      </c>
      <c r="AK319" s="1">
        <v>14.4</v>
      </c>
      <c r="AM319" s="1">
        <v>2385.6</v>
      </c>
      <c r="AN319" t="s">
        <v>536</v>
      </c>
      <c r="AO319" t="s">
        <v>546</v>
      </c>
      <c r="AP319" t="s">
        <v>547</v>
      </c>
      <c r="AQ319" t="s">
        <v>548</v>
      </c>
      <c r="AS319" t="s">
        <v>375</v>
      </c>
      <c r="AX319" s="1">
        <v>2400</v>
      </c>
      <c r="AY319" t="s">
        <v>546</v>
      </c>
      <c r="AZ319" t="s">
        <v>549</v>
      </c>
      <c r="BA319" s="1">
        <v>2400</v>
      </c>
      <c r="BC319" t="s">
        <v>546</v>
      </c>
      <c r="BD319" s="1">
        <v>2400</v>
      </c>
      <c r="BE319" t="s">
        <v>540</v>
      </c>
      <c r="BF319" s="1">
        <v>2400</v>
      </c>
      <c r="BG319" s="1">
        <v>14.4</v>
      </c>
      <c r="BH319" s="1">
        <v>2385.6</v>
      </c>
      <c r="BI319" t="s">
        <v>550</v>
      </c>
      <c r="BJ319" t="s">
        <v>570</v>
      </c>
      <c r="BK319" t="s">
        <v>552</v>
      </c>
      <c r="BL319" t="s">
        <v>1905</v>
      </c>
      <c r="BM319" t="s">
        <v>1866</v>
      </c>
      <c r="BN319" t="s">
        <v>2114</v>
      </c>
      <c r="BO319" t="s">
        <v>2115</v>
      </c>
      <c r="BR319" t="s">
        <v>546</v>
      </c>
      <c r="BS319" s="1">
        <v>2400</v>
      </c>
      <c r="BW319" t="s">
        <v>536</v>
      </c>
      <c r="BX319" s="1">
        <v>2400</v>
      </c>
      <c r="BZ319" t="s">
        <v>535</v>
      </c>
      <c r="CA319" t="s">
        <v>546</v>
      </c>
      <c r="CB319" t="s">
        <v>2033</v>
      </c>
      <c r="CC319" t="s">
        <v>556</v>
      </c>
      <c r="CD319" t="s">
        <v>622</v>
      </c>
      <c r="CE319" t="s">
        <v>623</v>
      </c>
      <c r="CF319" t="s">
        <v>136</v>
      </c>
      <c r="CG319" s="4">
        <v>1</v>
      </c>
      <c r="CH319" t="s">
        <v>546</v>
      </c>
      <c r="CK319" t="s">
        <v>2116</v>
      </c>
      <c r="CL319" s="1">
        <v>2400</v>
      </c>
      <c r="CN319" t="s">
        <v>535</v>
      </c>
      <c r="CO319" t="s">
        <v>539</v>
      </c>
      <c r="CT319" t="s">
        <v>576</v>
      </c>
      <c r="CW319" t="s">
        <v>546</v>
      </c>
      <c r="DD319" t="s">
        <v>561</v>
      </c>
      <c r="DK319" t="s">
        <v>2110</v>
      </c>
      <c r="DL319" t="s">
        <v>2111</v>
      </c>
    </row>
    <row r="320" ht="15" customHeight="1" spans="1:122">
      <c r="A320" t="s">
        <v>530</v>
      </c>
      <c r="B320" t="s">
        <v>2117</v>
      </c>
      <c r="C320" t="s">
        <v>532</v>
      </c>
      <c r="D320" t="s">
        <v>2033</v>
      </c>
      <c r="E320" t="s">
        <v>534</v>
      </c>
      <c r="F320" t="s">
        <v>534</v>
      </c>
      <c r="G320" t="s">
        <v>535</v>
      </c>
      <c r="H320" s="1">
        <v>600</v>
      </c>
      <c r="I320" s="1">
        <v>600</v>
      </c>
      <c r="J320" t="s">
        <v>536</v>
      </c>
      <c r="L320" t="s">
        <v>536</v>
      </c>
      <c r="M320" t="s">
        <v>375</v>
      </c>
      <c r="N320" t="s">
        <v>537</v>
      </c>
      <c r="P320" s="1">
        <v>600</v>
      </c>
      <c r="Q320" t="s">
        <v>580</v>
      </c>
      <c r="R320" t="s">
        <v>535</v>
      </c>
      <c r="S320" t="s">
        <v>539</v>
      </c>
      <c r="T320" s="2">
        <v>1</v>
      </c>
      <c r="U320" s="1">
        <v>600</v>
      </c>
      <c r="V320" s="1">
        <v>600</v>
      </c>
      <c r="X320" t="s">
        <v>540</v>
      </c>
      <c r="Z320" t="s">
        <v>541</v>
      </c>
      <c r="AA320" t="s">
        <v>542</v>
      </c>
      <c r="AB320" t="s">
        <v>543</v>
      </c>
      <c r="AC320" t="s">
        <v>544</v>
      </c>
      <c r="AD320" t="s">
        <v>545</v>
      </c>
      <c r="AE320" s="3">
        <v>1</v>
      </c>
      <c r="AF320" t="s">
        <v>136</v>
      </c>
      <c r="AG320" s="1">
        <v>600</v>
      </c>
      <c r="AI320" s="1">
        <v>600</v>
      </c>
      <c r="AJ320" s="1">
        <v>600</v>
      </c>
      <c r="AM320" s="1">
        <v>600</v>
      </c>
      <c r="AN320" t="s">
        <v>565</v>
      </c>
      <c r="AO320" t="s">
        <v>546</v>
      </c>
      <c r="AP320" t="s">
        <v>565</v>
      </c>
      <c r="AQ320" t="s">
        <v>548</v>
      </c>
      <c r="AS320" t="s">
        <v>375</v>
      </c>
      <c r="AX320" s="1">
        <v>600</v>
      </c>
      <c r="AY320" t="s">
        <v>546</v>
      </c>
      <c r="AZ320" t="s">
        <v>566</v>
      </c>
      <c r="BA320" s="1">
        <v>600</v>
      </c>
      <c r="BC320" t="s">
        <v>546</v>
      </c>
      <c r="BD320" s="1">
        <v>600</v>
      </c>
      <c r="BE320" t="s">
        <v>540</v>
      </c>
      <c r="BF320" s="1">
        <v>600</v>
      </c>
      <c r="BH320" s="1">
        <v>600</v>
      </c>
      <c r="BI320" t="s">
        <v>550</v>
      </c>
      <c r="BJ320" t="s">
        <v>570</v>
      </c>
      <c r="BK320" t="s">
        <v>570</v>
      </c>
      <c r="BL320" t="s">
        <v>1905</v>
      </c>
      <c r="BM320" t="s">
        <v>1866</v>
      </c>
      <c r="BN320" t="s">
        <v>2118</v>
      </c>
      <c r="BO320" t="s">
        <v>2119</v>
      </c>
      <c r="BR320" t="s">
        <v>546</v>
      </c>
      <c r="BS320" s="1">
        <v>600</v>
      </c>
      <c r="BW320" t="s">
        <v>536</v>
      </c>
      <c r="BX320" s="1">
        <v>600</v>
      </c>
      <c r="BZ320" t="s">
        <v>535</v>
      </c>
      <c r="CA320" t="s">
        <v>546</v>
      </c>
      <c r="CB320" t="s">
        <v>2033</v>
      </c>
      <c r="CC320" t="s">
        <v>556</v>
      </c>
      <c r="CD320" t="s">
        <v>622</v>
      </c>
      <c r="CE320" t="s">
        <v>623</v>
      </c>
      <c r="CF320" t="s">
        <v>136</v>
      </c>
      <c r="CG320" s="4">
        <v>1</v>
      </c>
      <c r="CH320" t="s">
        <v>546</v>
      </c>
      <c r="CK320" t="s">
        <v>2116</v>
      </c>
      <c r="CL320" s="1">
        <v>600</v>
      </c>
      <c r="CN320" t="s">
        <v>535</v>
      </c>
      <c r="CO320" t="s">
        <v>539</v>
      </c>
      <c r="CT320" t="s">
        <v>576</v>
      </c>
      <c r="CW320" t="s">
        <v>546</v>
      </c>
      <c r="DD320" t="s">
        <v>561</v>
      </c>
      <c r="DK320" t="s">
        <v>2110</v>
      </c>
      <c r="DL320" t="s">
        <v>2111</v>
      </c>
    </row>
    <row r="321" ht="15" customHeight="1" spans="1:122">
      <c r="A321" t="s">
        <v>530</v>
      </c>
      <c r="B321" t="s">
        <v>2120</v>
      </c>
      <c r="C321" t="s">
        <v>532</v>
      </c>
      <c r="D321" t="s">
        <v>1866</v>
      </c>
      <c r="E321" t="s">
        <v>534</v>
      </c>
      <c r="F321" t="s">
        <v>534</v>
      </c>
      <c r="G321" t="s">
        <v>535</v>
      </c>
      <c r="H321" s="1">
        <v>2380</v>
      </c>
      <c r="I321" s="1">
        <v>2365.72</v>
      </c>
      <c r="J321" t="s">
        <v>536</v>
      </c>
      <c r="L321" t="s">
        <v>536</v>
      </c>
      <c r="M321" t="s">
        <v>404</v>
      </c>
      <c r="N321" t="s">
        <v>537</v>
      </c>
      <c r="P321" s="1">
        <v>2380</v>
      </c>
      <c r="Q321" t="s">
        <v>642</v>
      </c>
      <c r="R321" t="s">
        <v>535</v>
      </c>
      <c r="S321" t="s">
        <v>539</v>
      </c>
      <c r="T321" s="2">
        <v>1</v>
      </c>
      <c r="U321" s="1">
        <v>2380</v>
      </c>
      <c r="V321" s="1">
        <v>2365.72</v>
      </c>
      <c r="X321" t="s">
        <v>540</v>
      </c>
      <c r="Z321" t="s">
        <v>541</v>
      </c>
      <c r="AA321" t="s">
        <v>542</v>
      </c>
      <c r="AB321" t="s">
        <v>543</v>
      </c>
      <c r="AC321" t="s">
        <v>544</v>
      </c>
      <c r="AD321" t="s">
        <v>545</v>
      </c>
      <c r="AE321" s="3">
        <v>1</v>
      </c>
      <c r="AF321" t="s">
        <v>10</v>
      </c>
      <c r="AG321" s="1">
        <v>2380</v>
      </c>
      <c r="AI321" s="1">
        <v>2380</v>
      </c>
      <c r="AJ321" s="1">
        <v>2380</v>
      </c>
      <c r="AK321" s="1">
        <v>14.28</v>
      </c>
      <c r="AM321" s="1">
        <v>2365.72</v>
      </c>
      <c r="AN321" t="s">
        <v>536</v>
      </c>
      <c r="AO321" t="s">
        <v>546</v>
      </c>
      <c r="AP321" t="s">
        <v>547</v>
      </c>
      <c r="AQ321" t="s">
        <v>548</v>
      </c>
      <c r="AS321" t="s">
        <v>404</v>
      </c>
      <c r="AX321" s="1">
        <v>2380</v>
      </c>
      <c r="AY321" t="s">
        <v>546</v>
      </c>
      <c r="AZ321" t="s">
        <v>549</v>
      </c>
      <c r="BA321" s="1">
        <v>2380</v>
      </c>
      <c r="BC321" t="s">
        <v>546</v>
      </c>
      <c r="BD321" s="1">
        <v>2380</v>
      </c>
      <c r="BE321" t="s">
        <v>540</v>
      </c>
      <c r="BF321" s="1">
        <v>2380</v>
      </c>
      <c r="BG321" s="1">
        <v>14.28</v>
      </c>
      <c r="BH321" s="1">
        <v>2365.72</v>
      </c>
      <c r="BI321" t="s">
        <v>550</v>
      </c>
      <c r="BJ321" t="s">
        <v>642</v>
      </c>
      <c r="BK321" t="s">
        <v>552</v>
      </c>
      <c r="BL321" t="s">
        <v>1905</v>
      </c>
      <c r="BM321" t="s">
        <v>1866</v>
      </c>
      <c r="BN321" t="s">
        <v>2121</v>
      </c>
      <c r="BO321" t="s">
        <v>2122</v>
      </c>
      <c r="BR321" t="s">
        <v>546</v>
      </c>
      <c r="BS321" s="1">
        <v>2380</v>
      </c>
      <c r="BW321" t="s">
        <v>536</v>
      </c>
      <c r="BX321" s="1">
        <v>2380</v>
      </c>
      <c r="BZ321" t="s">
        <v>535</v>
      </c>
      <c r="CA321" t="s">
        <v>546</v>
      </c>
      <c r="CB321" t="s">
        <v>1866</v>
      </c>
      <c r="CC321" t="s">
        <v>556</v>
      </c>
      <c r="CD321" t="s">
        <v>1071</v>
      </c>
      <c r="CE321" t="s">
        <v>1072</v>
      </c>
      <c r="CF321" t="s">
        <v>10</v>
      </c>
      <c r="CG321" s="4">
        <v>1</v>
      </c>
      <c r="CH321" t="s">
        <v>546</v>
      </c>
      <c r="CK321" t="s">
        <v>2123</v>
      </c>
      <c r="CL321" s="1">
        <v>2380</v>
      </c>
      <c r="CN321" t="s">
        <v>535</v>
      </c>
      <c r="CO321" t="s">
        <v>539</v>
      </c>
      <c r="CT321" t="s">
        <v>651</v>
      </c>
      <c r="CW321" t="s">
        <v>546</v>
      </c>
      <c r="DD321" t="s">
        <v>561</v>
      </c>
      <c r="DK321" t="s">
        <v>2124</v>
      </c>
      <c r="DL321" t="s">
        <v>2125</v>
      </c>
    </row>
    <row r="322" ht="15" customHeight="1" spans="1:122">
      <c r="A322" t="s">
        <v>530</v>
      </c>
      <c r="B322" t="s">
        <v>2126</v>
      </c>
      <c r="C322" t="s">
        <v>532</v>
      </c>
      <c r="D322" t="s">
        <v>1866</v>
      </c>
      <c r="E322" t="s">
        <v>534</v>
      </c>
      <c r="F322" t="s">
        <v>534</v>
      </c>
      <c r="G322" t="s">
        <v>535</v>
      </c>
      <c r="H322" s="1">
        <v>595</v>
      </c>
      <c r="I322" s="1">
        <v>595</v>
      </c>
      <c r="J322" t="s">
        <v>536</v>
      </c>
      <c r="L322" t="s">
        <v>536</v>
      </c>
      <c r="M322" t="s">
        <v>404</v>
      </c>
      <c r="N322" t="s">
        <v>537</v>
      </c>
      <c r="P322" s="1">
        <v>595</v>
      </c>
      <c r="Q322" t="s">
        <v>642</v>
      </c>
      <c r="R322" t="s">
        <v>535</v>
      </c>
      <c r="S322" t="s">
        <v>539</v>
      </c>
      <c r="T322" s="2">
        <v>1</v>
      </c>
      <c r="U322" s="1">
        <v>595</v>
      </c>
      <c r="V322" s="1">
        <v>595</v>
      </c>
      <c r="X322" t="s">
        <v>540</v>
      </c>
      <c r="Z322" t="s">
        <v>541</v>
      </c>
      <c r="AA322" t="s">
        <v>542</v>
      </c>
      <c r="AB322" t="s">
        <v>543</v>
      </c>
      <c r="AC322" t="s">
        <v>544</v>
      </c>
      <c r="AD322" t="s">
        <v>545</v>
      </c>
      <c r="AE322" s="3">
        <v>1</v>
      </c>
      <c r="AF322" t="s">
        <v>10</v>
      </c>
      <c r="AG322" s="1">
        <v>595</v>
      </c>
      <c r="AI322" s="1">
        <v>595</v>
      </c>
      <c r="AJ322" s="1">
        <v>595</v>
      </c>
      <c r="AM322" s="1">
        <v>595</v>
      </c>
      <c r="AN322" t="s">
        <v>565</v>
      </c>
      <c r="AO322" t="s">
        <v>546</v>
      </c>
      <c r="AP322" t="s">
        <v>565</v>
      </c>
      <c r="AQ322" t="s">
        <v>548</v>
      </c>
      <c r="AS322" t="s">
        <v>404</v>
      </c>
      <c r="AX322" s="1">
        <v>595</v>
      </c>
      <c r="AY322" t="s">
        <v>546</v>
      </c>
      <c r="AZ322" t="s">
        <v>566</v>
      </c>
      <c r="BA322" s="1">
        <v>595</v>
      </c>
      <c r="BC322" t="s">
        <v>546</v>
      </c>
      <c r="BD322" s="1">
        <v>595</v>
      </c>
      <c r="BE322" t="s">
        <v>540</v>
      </c>
      <c r="BF322" s="1">
        <v>595</v>
      </c>
      <c r="BH322" s="1">
        <v>595</v>
      </c>
      <c r="BI322" t="s">
        <v>550</v>
      </c>
      <c r="BJ322" t="s">
        <v>642</v>
      </c>
      <c r="BK322" t="s">
        <v>642</v>
      </c>
      <c r="BL322" t="s">
        <v>1905</v>
      </c>
      <c r="BM322" t="s">
        <v>1866</v>
      </c>
      <c r="BN322" t="s">
        <v>2127</v>
      </c>
      <c r="BO322" t="s">
        <v>2128</v>
      </c>
      <c r="BR322" t="s">
        <v>546</v>
      </c>
      <c r="BS322" s="1">
        <v>595</v>
      </c>
      <c r="BW322" t="s">
        <v>536</v>
      </c>
      <c r="BX322" s="1">
        <v>595</v>
      </c>
      <c r="BZ322" t="s">
        <v>535</v>
      </c>
      <c r="CA322" t="s">
        <v>546</v>
      </c>
      <c r="CB322" t="s">
        <v>1866</v>
      </c>
      <c r="CC322" t="s">
        <v>556</v>
      </c>
      <c r="CD322" t="s">
        <v>1071</v>
      </c>
      <c r="CE322" t="s">
        <v>1072</v>
      </c>
      <c r="CF322" t="s">
        <v>10</v>
      </c>
      <c r="CG322" s="4">
        <v>1</v>
      </c>
      <c r="CH322" t="s">
        <v>546</v>
      </c>
      <c r="CK322" t="s">
        <v>2123</v>
      </c>
      <c r="CL322" s="1">
        <v>595</v>
      </c>
      <c r="CN322" t="s">
        <v>535</v>
      </c>
      <c r="CO322" t="s">
        <v>539</v>
      </c>
      <c r="CT322" t="s">
        <v>651</v>
      </c>
      <c r="CW322" t="s">
        <v>546</v>
      </c>
      <c r="DD322" t="s">
        <v>561</v>
      </c>
      <c r="DK322" t="s">
        <v>2124</v>
      </c>
      <c r="DL322" t="s">
        <v>2125</v>
      </c>
    </row>
    <row r="323" ht="15" customHeight="1" spans="1:122">
      <c r="A323" t="s">
        <v>530</v>
      </c>
      <c r="B323" t="s">
        <v>2129</v>
      </c>
      <c r="C323" t="s">
        <v>532</v>
      </c>
      <c r="D323" t="s">
        <v>1866</v>
      </c>
      <c r="E323" t="s">
        <v>534</v>
      </c>
      <c r="F323" t="s">
        <v>534</v>
      </c>
      <c r="G323" t="s">
        <v>535</v>
      </c>
      <c r="H323" s="1">
        <v>2578</v>
      </c>
      <c r="I323" s="1">
        <v>2578</v>
      </c>
      <c r="J323" t="s">
        <v>536</v>
      </c>
      <c r="L323" t="s">
        <v>536</v>
      </c>
      <c r="M323" t="s">
        <v>377</v>
      </c>
      <c r="N323" t="s">
        <v>537</v>
      </c>
      <c r="P323" s="1">
        <v>2578</v>
      </c>
      <c r="Q323" t="s">
        <v>538</v>
      </c>
      <c r="R323" t="s">
        <v>535</v>
      </c>
      <c r="S323" t="s">
        <v>539</v>
      </c>
      <c r="T323" s="2">
        <v>1</v>
      </c>
      <c r="U323" s="1">
        <v>2578</v>
      </c>
      <c r="V323" s="1">
        <v>2578</v>
      </c>
      <c r="X323" t="s">
        <v>540</v>
      </c>
      <c r="Z323" t="s">
        <v>541</v>
      </c>
      <c r="AA323" t="s">
        <v>542</v>
      </c>
      <c r="AB323" t="s">
        <v>543</v>
      </c>
      <c r="AC323" t="s">
        <v>544</v>
      </c>
      <c r="AD323" t="s">
        <v>545</v>
      </c>
      <c r="AE323" s="3">
        <v>1</v>
      </c>
      <c r="AF323" t="s">
        <v>137</v>
      </c>
      <c r="AG323" s="1">
        <v>2578</v>
      </c>
      <c r="AI323" s="1">
        <v>2578</v>
      </c>
      <c r="AJ323" s="1">
        <v>2578</v>
      </c>
      <c r="AM323" s="1">
        <v>2578</v>
      </c>
      <c r="AN323" t="s">
        <v>643</v>
      </c>
      <c r="AO323" t="s">
        <v>546</v>
      </c>
      <c r="AP323" t="s">
        <v>643</v>
      </c>
      <c r="AQ323" t="s">
        <v>548</v>
      </c>
      <c r="AS323" t="s">
        <v>377</v>
      </c>
      <c r="AX323" s="1">
        <v>2578</v>
      </c>
      <c r="AY323" t="s">
        <v>546</v>
      </c>
      <c r="AZ323" t="s">
        <v>644</v>
      </c>
      <c r="BA323" s="1">
        <v>2578</v>
      </c>
      <c r="BC323" t="s">
        <v>546</v>
      </c>
      <c r="BD323" s="1">
        <v>2578</v>
      </c>
      <c r="BE323" t="s">
        <v>540</v>
      </c>
      <c r="BF323" s="1">
        <v>2578</v>
      </c>
      <c r="BH323" s="1">
        <v>2578</v>
      </c>
      <c r="BI323" t="s">
        <v>550</v>
      </c>
      <c r="BJ323" t="s">
        <v>551</v>
      </c>
      <c r="BK323" t="s">
        <v>551</v>
      </c>
      <c r="BL323" t="s">
        <v>1905</v>
      </c>
      <c r="BM323" t="s">
        <v>2130</v>
      </c>
      <c r="BN323" t="s">
        <v>2131</v>
      </c>
      <c r="BO323" t="s">
        <v>2132</v>
      </c>
      <c r="BR323" t="s">
        <v>546</v>
      </c>
      <c r="BS323" s="1">
        <v>2578</v>
      </c>
      <c r="BW323" t="s">
        <v>536</v>
      </c>
      <c r="BX323" s="1">
        <v>2578</v>
      </c>
      <c r="BZ323" t="s">
        <v>535</v>
      </c>
      <c r="CA323" t="s">
        <v>546</v>
      </c>
      <c r="CB323" t="s">
        <v>1866</v>
      </c>
      <c r="CC323" t="s">
        <v>556</v>
      </c>
      <c r="CD323" t="s">
        <v>1382</v>
      </c>
      <c r="CE323" t="s">
        <v>1383</v>
      </c>
      <c r="CF323" t="s">
        <v>137</v>
      </c>
      <c r="CG323" s="4">
        <v>1</v>
      </c>
      <c r="CH323" t="s">
        <v>546</v>
      </c>
      <c r="CK323" t="s">
        <v>2133</v>
      </c>
      <c r="CL323" s="1">
        <v>2578</v>
      </c>
      <c r="CN323" t="s">
        <v>535</v>
      </c>
      <c r="CO323" t="s">
        <v>539</v>
      </c>
      <c r="CT323" t="s">
        <v>560</v>
      </c>
      <c r="CW323" t="s">
        <v>546</v>
      </c>
      <c r="DD323" t="s">
        <v>561</v>
      </c>
      <c r="DK323" t="s">
        <v>2134</v>
      </c>
      <c r="DL323" t="s">
        <v>2135</v>
      </c>
      <c r="DR323" t="s">
        <v>2136</v>
      </c>
    </row>
    <row r="324" ht="15" customHeight="1" spans="1:122">
      <c r="A324" t="s">
        <v>603</v>
      </c>
      <c r="B324" t="s">
        <v>2137</v>
      </c>
      <c r="C324" t="s">
        <v>656</v>
      </c>
      <c r="D324" t="s">
        <v>2130</v>
      </c>
      <c r="E324" t="s">
        <v>534</v>
      </c>
      <c r="F324" t="s">
        <v>534</v>
      </c>
      <c r="G324" t="s">
        <v>535</v>
      </c>
      <c r="H324" s="1">
        <v>5999</v>
      </c>
      <c r="I324" s="1">
        <v>5999</v>
      </c>
      <c r="J324" t="s">
        <v>536</v>
      </c>
      <c r="L324" t="s">
        <v>536</v>
      </c>
      <c r="M324" t="s">
        <v>396</v>
      </c>
      <c r="N324" t="s">
        <v>657</v>
      </c>
      <c r="P324" s="1">
        <v>5999</v>
      </c>
      <c r="Q324" t="s">
        <v>658</v>
      </c>
      <c r="R324" t="s">
        <v>535</v>
      </c>
      <c r="S324" t="s">
        <v>539</v>
      </c>
      <c r="T324" s="2">
        <v>1</v>
      </c>
      <c r="U324" s="1">
        <v>5999</v>
      </c>
      <c r="V324" s="1">
        <v>5999</v>
      </c>
      <c r="X324" t="s">
        <v>616</v>
      </c>
      <c r="Z324" t="s">
        <v>541</v>
      </c>
      <c r="AA324" t="s">
        <v>542</v>
      </c>
      <c r="AB324" t="s">
        <v>543</v>
      </c>
      <c r="AC324" t="s">
        <v>608</v>
      </c>
      <c r="AE324" s="3">
        <v>1</v>
      </c>
      <c r="AG324" s="1">
        <v>5999</v>
      </c>
      <c r="AI324" s="1">
        <v>5999</v>
      </c>
      <c r="AJ324" s="1">
        <v>5999</v>
      </c>
      <c r="AM324" s="1">
        <v>5999</v>
      </c>
      <c r="AN324" t="s">
        <v>680</v>
      </c>
      <c r="AO324" t="s">
        <v>546</v>
      </c>
      <c r="AP324" t="s">
        <v>681</v>
      </c>
      <c r="AQ324" t="s">
        <v>548</v>
      </c>
      <c r="AS324" t="s">
        <v>396</v>
      </c>
      <c r="AX324" s="1">
        <v>5999</v>
      </c>
      <c r="AY324" t="s">
        <v>546</v>
      </c>
      <c r="AZ324" t="s">
        <v>682</v>
      </c>
      <c r="BA324" s="1">
        <v>5999</v>
      </c>
      <c r="BC324" t="s">
        <v>546</v>
      </c>
      <c r="BE324" t="s">
        <v>616</v>
      </c>
      <c r="BH324" s="1">
        <v>5999</v>
      </c>
      <c r="BI324" t="s">
        <v>550</v>
      </c>
      <c r="BJ324" t="s">
        <v>683</v>
      </c>
      <c r="BK324" t="s">
        <v>683</v>
      </c>
      <c r="BL324" t="s">
        <v>1905</v>
      </c>
      <c r="BM324" t="s">
        <v>2130</v>
      </c>
      <c r="BN324" t="s">
        <v>2138</v>
      </c>
      <c r="BO324" t="s">
        <v>2139</v>
      </c>
      <c r="BR324" t="s">
        <v>546</v>
      </c>
      <c r="BS324" s="1">
        <v>5999</v>
      </c>
      <c r="BW324" t="s">
        <v>536</v>
      </c>
      <c r="BZ324" t="s">
        <v>535</v>
      </c>
      <c r="CA324" t="s">
        <v>546</v>
      </c>
      <c r="CB324" t="s">
        <v>2130</v>
      </c>
      <c r="CC324" t="s">
        <v>556</v>
      </c>
      <c r="CH324" t="s">
        <v>546</v>
      </c>
      <c r="CK324" t="s">
        <v>2140</v>
      </c>
      <c r="CN324" t="s">
        <v>535</v>
      </c>
      <c r="CO324" t="s">
        <v>539</v>
      </c>
      <c r="CT324" t="s">
        <v>1444</v>
      </c>
      <c r="CW324" t="s">
        <v>546</v>
      </c>
      <c r="DD324" t="s">
        <v>561</v>
      </c>
      <c r="DK324" t="s">
        <v>1445</v>
      </c>
    </row>
    <row r="325" ht="15" customHeight="1" spans="1:122">
      <c r="A325" t="s">
        <v>530</v>
      </c>
      <c r="B325" t="s">
        <v>2141</v>
      </c>
      <c r="C325" t="s">
        <v>532</v>
      </c>
      <c r="D325" t="s">
        <v>2130</v>
      </c>
      <c r="E325" t="s">
        <v>534</v>
      </c>
      <c r="F325" t="s">
        <v>534</v>
      </c>
      <c r="G325" t="s">
        <v>535</v>
      </c>
      <c r="H325" s="1">
        <v>2741</v>
      </c>
      <c r="I325" s="1">
        <v>2741</v>
      </c>
      <c r="J325" t="s">
        <v>536</v>
      </c>
      <c r="L325" t="s">
        <v>536</v>
      </c>
      <c r="M325" t="s">
        <v>375</v>
      </c>
      <c r="N325" t="s">
        <v>537</v>
      </c>
      <c r="P325" s="1">
        <v>2741</v>
      </c>
      <c r="Q325" t="s">
        <v>580</v>
      </c>
      <c r="R325" t="s">
        <v>535</v>
      </c>
      <c r="S325" t="s">
        <v>539</v>
      </c>
      <c r="T325" s="2">
        <v>1</v>
      </c>
      <c r="U325" s="1">
        <v>2741</v>
      </c>
      <c r="V325" s="1">
        <v>2741</v>
      </c>
      <c r="X325" t="s">
        <v>540</v>
      </c>
      <c r="Z325" t="s">
        <v>541</v>
      </c>
      <c r="AA325" t="s">
        <v>542</v>
      </c>
      <c r="AB325" t="s">
        <v>543</v>
      </c>
      <c r="AC325" t="s">
        <v>544</v>
      </c>
      <c r="AD325" t="s">
        <v>545</v>
      </c>
      <c r="AE325" s="3">
        <v>1</v>
      </c>
      <c r="AF325" t="s">
        <v>139</v>
      </c>
      <c r="AG325" s="1">
        <v>2741</v>
      </c>
      <c r="AI325" s="1">
        <v>2741</v>
      </c>
      <c r="AJ325" s="1">
        <v>2741</v>
      </c>
      <c r="AM325" s="1">
        <v>2741</v>
      </c>
      <c r="AN325" t="s">
        <v>643</v>
      </c>
      <c r="AO325" t="s">
        <v>546</v>
      </c>
      <c r="AP325" t="s">
        <v>643</v>
      </c>
      <c r="AQ325" t="s">
        <v>548</v>
      </c>
      <c r="AS325" t="s">
        <v>375</v>
      </c>
      <c r="AX325" s="1">
        <v>2741</v>
      </c>
      <c r="AY325" t="s">
        <v>546</v>
      </c>
      <c r="AZ325" t="s">
        <v>644</v>
      </c>
      <c r="BA325" s="1">
        <v>2741</v>
      </c>
      <c r="BC325" t="s">
        <v>546</v>
      </c>
      <c r="BD325" s="1">
        <v>2741</v>
      </c>
      <c r="BE325" t="s">
        <v>540</v>
      </c>
      <c r="BF325" s="1">
        <v>2741</v>
      </c>
      <c r="BH325" s="1">
        <v>2741</v>
      </c>
      <c r="BI325" t="s">
        <v>550</v>
      </c>
      <c r="BJ325" t="s">
        <v>570</v>
      </c>
      <c r="BK325" t="s">
        <v>552</v>
      </c>
      <c r="BL325" t="s">
        <v>552</v>
      </c>
      <c r="BM325" t="s">
        <v>2130</v>
      </c>
      <c r="BN325" t="s">
        <v>2142</v>
      </c>
      <c r="BO325" t="s">
        <v>2143</v>
      </c>
      <c r="BR325" t="s">
        <v>546</v>
      </c>
      <c r="BS325" s="1">
        <v>2741</v>
      </c>
      <c r="BW325" t="s">
        <v>536</v>
      </c>
      <c r="BX325" s="1">
        <v>2741</v>
      </c>
      <c r="BZ325" t="s">
        <v>535</v>
      </c>
      <c r="CA325" t="s">
        <v>546</v>
      </c>
      <c r="CB325" t="s">
        <v>2130</v>
      </c>
      <c r="CC325" t="s">
        <v>556</v>
      </c>
      <c r="CD325" t="s">
        <v>633</v>
      </c>
      <c r="CE325" t="s">
        <v>634</v>
      </c>
      <c r="CF325" t="s">
        <v>139</v>
      </c>
      <c r="CG325" s="4">
        <v>1</v>
      </c>
      <c r="CH325" t="s">
        <v>546</v>
      </c>
      <c r="CK325" t="s">
        <v>2144</v>
      </c>
      <c r="CL325" s="1">
        <v>2741</v>
      </c>
      <c r="CN325" t="s">
        <v>535</v>
      </c>
      <c r="CO325" t="s">
        <v>539</v>
      </c>
      <c r="CT325" t="s">
        <v>576</v>
      </c>
      <c r="CW325" t="s">
        <v>546</v>
      </c>
      <c r="DD325" t="s">
        <v>561</v>
      </c>
      <c r="DK325" t="s">
        <v>2145</v>
      </c>
      <c r="DL325" t="s">
        <v>2146</v>
      </c>
      <c r="DR325" t="s">
        <v>2147</v>
      </c>
    </row>
    <row r="326" ht="15" customHeight="1" spans="1:122">
      <c r="A326" t="s">
        <v>530</v>
      </c>
      <c r="B326" t="s">
        <v>2148</v>
      </c>
      <c r="C326" t="s">
        <v>532</v>
      </c>
      <c r="D326" t="s">
        <v>2130</v>
      </c>
      <c r="E326" t="s">
        <v>534</v>
      </c>
      <c r="F326" t="s">
        <v>534</v>
      </c>
      <c r="G326" t="s">
        <v>535</v>
      </c>
      <c r="H326" s="1">
        <v>3500</v>
      </c>
      <c r="I326" s="1">
        <v>3500</v>
      </c>
      <c r="J326" t="s">
        <v>536</v>
      </c>
      <c r="L326" t="s">
        <v>536</v>
      </c>
      <c r="M326" t="s">
        <v>376</v>
      </c>
      <c r="N326" t="s">
        <v>537</v>
      </c>
      <c r="P326" s="1">
        <v>3500</v>
      </c>
      <c r="Q326" t="s">
        <v>1105</v>
      </c>
      <c r="R326" t="s">
        <v>535</v>
      </c>
      <c r="S326" t="s">
        <v>539</v>
      </c>
      <c r="T326" s="2">
        <v>1</v>
      </c>
      <c r="U326" s="1">
        <v>3500</v>
      </c>
      <c r="V326" s="1">
        <v>3500</v>
      </c>
      <c r="X326" t="s">
        <v>540</v>
      </c>
      <c r="Z326" t="s">
        <v>541</v>
      </c>
      <c r="AA326" t="s">
        <v>542</v>
      </c>
      <c r="AB326" t="s">
        <v>543</v>
      </c>
      <c r="AC326" t="s">
        <v>544</v>
      </c>
      <c r="AD326" t="s">
        <v>545</v>
      </c>
      <c r="AE326" s="3">
        <v>1</v>
      </c>
      <c r="AF326" t="s">
        <v>141</v>
      </c>
      <c r="AG326" s="1">
        <v>3500</v>
      </c>
      <c r="AI326" s="1">
        <v>3500</v>
      </c>
      <c r="AJ326" s="1">
        <v>3500</v>
      </c>
      <c r="AM326" s="1">
        <v>3500</v>
      </c>
      <c r="AN326" t="s">
        <v>643</v>
      </c>
      <c r="AO326" t="s">
        <v>546</v>
      </c>
      <c r="AP326" t="s">
        <v>643</v>
      </c>
      <c r="AQ326" t="s">
        <v>548</v>
      </c>
      <c r="AS326" t="s">
        <v>376</v>
      </c>
      <c r="AX326" s="1">
        <v>3500</v>
      </c>
      <c r="AY326" t="s">
        <v>546</v>
      </c>
      <c r="AZ326" t="s">
        <v>644</v>
      </c>
      <c r="BA326" s="1">
        <v>3500</v>
      </c>
      <c r="BC326" t="s">
        <v>546</v>
      </c>
      <c r="BD326" s="1">
        <v>3500</v>
      </c>
      <c r="BE326" t="s">
        <v>540</v>
      </c>
      <c r="BF326" s="1">
        <v>3500</v>
      </c>
      <c r="BH326" s="1">
        <v>3500</v>
      </c>
      <c r="BI326" t="s">
        <v>550</v>
      </c>
      <c r="BJ326" t="s">
        <v>1105</v>
      </c>
      <c r="BK326" t="s">
        <v>1105</v>
      </c>
      <c r="BL326" t="s">
        <v>1905</v>
      </c>
      <c r="BM326" t="s">
        <v>2130</v>
      </c>
      <c r="BN326" t="s">
        <v>2149</v>
      </c>
      <c r="BO326" t="s">
        <v>2150</v>
      </c>
      <c r="BR326" t="s">
        <v>546</v>
      </c>
      <c r="BS326" s="1">
        <v>3500</v>
      </c>
      <c r="BW326" t="s">
        <v>536</v>
      </c>
      <c r="BX326" s="1">
        <v>3500</v>
      </c>
      <c r="BZ326" t="s">
        <v>535</v>
      </c>
      <c r="CA326" t="s">
        <v>546</v>
      </c>
      <c r="CB326" t="s">
        <v>2130</v>
      </c>
      <c r="CC326" t="s">
        <v>556</v>
      </c>
      <c r="CD326" t="s">
        <v>557</v>
      </c>
      <c r="CE326" t="s">
        <v>558</v>
      </c>
      <c r="CF326" t="s">
        <v>141</v>
      </c>
      <c r="CG326" s="4">
        <v>1</v>
      </c>
      <c r="CH326" t="s">
        <v>546</v>
      </c>
      <c r="CK326" t="s">
        <v>2151</v>
      </c>
      <c r="CL326" s="1">
        <v>3500</v>
      </c>
      <c r="CN326" t="s">
        <v>535</v>
      </c>
      <c r="CO326" t="s">
        <v>539</v>
      </c>
      <c r="CT326" t="s">
        <v>576</v>
      </c>
      <c r="CW326" t="s">
        <v>546</v>
      </c>
      <c r="DD326" t="s">
        <v>561</v>
      </c>
      <c r="DK326" t="s">
        <v>2152</v>
      </c>
      <c r="DL326" t="s">
        <v>2153</v>
      </c>
      <c r="DR326" t="s">
        <v>2154</v>
      </c>
    </row>
    <row r="327" ht="15" customHeight="1" spans="1:122">
      <c r="A327" t="s">
        <v>530</v>
      </c>
      <c r="B327" t="s">
        <v>2155</v>
      </c>
      <c r="C327" t="s">
        <v>532</v>
      </c>
      <c r="D327" t="s">
        <v>2156</v>
      </c>
      <c r="E327" t="s">
        <v>534</v>
      </c>
      <c r="F327" t="s">
        <v>534</v>
      </c>
      <c r="G327" t="s">
        <v>535</v>
      </c>
      <c r="H327" s="1">
        <v>750</v>
      </c>
      <c r="I327" s="1">
        <v>748.39</v>
      </c>
      <c r="J327" t="s">
        <v>536</v>
      </c>
      <c r="L327" t="s">
        <v>536</v>
      </c>
      <c r="M327" t="s">
        <v>375</v>
      </c>
      <c r="N327" t="s">
        <v>537</v>
      </c>
      <c r="P327" s="1">
        <v>750</v>
      </c>
      <c r="Q327" t="s">
        <v>580</v>
      </c>
      <c r="R327" t="s">
        <v>535</v>
      </c>
      <c r="S327" t="s">
        <v>539</v>
      </c>
      <c r="T327" s="2">
        <v>1</v>
      </c>
      <c r="U327" s="1">
        <v>750</v>
      </c>
      <c r="V327" s="1">
        <v>748.39</v>
      </c>
      <c r="X327" t="s">
        <v>540</v>
      </c>
      <c r="Z327" t="s">
        <v>541</v>
      </c>
      <c r="AA327" t="s">
        <v>542</v>
      </c>
      <c r="AB327" t="s">
        <v>659</v>
      </c>
      <c r="AC327" t="s">
        <v>544</v>
      </c>
      <c r="AD327" t="s">
        <v>545</v>
      </c>
      <c r="AE327" s="3">
        <v>1</v>
      </c>
      <c r="AF327" t="s">
        <v>140</v>
      </c>
      <c r="AG327" s="1">
        <v>750</v>
      </c>
      <c r="AI327" s="1">
        <v>750</v>
      </c>
      <c r="AJ327" s="1">
        <v>750</v>
      </c>
      <c r="AK327" s="1">
        <v>1.61</v>
      </c>
      <c r="AM327" s="1">
        <v>748.39</v>
      </c>
      <c r="AN327" t="s">
        <v>536</v>
      </c>
      <c r="AO327" t="s">
        <v>546</v>
      </c>
      <c r="AP327" t="s">
        <v>547</v>
      </c>
      <c r="AQ327" t="s">
        <v>548</v>
      </c>
      <c r="AS327" t="s">
        <v>375</v>
      </c>
      <c r="AX327" s="1">
        <v>750</v>
      </c>
      <c r="AY327" t="s">
        <v>546</v>
      </c>
      <c r="AZ327" t="s">
        <v>549</v>
      </c>
      <c r="BA327" s="1">
        <v>750</v>
      </c>
      <c r="BC327" t="s">
        <v>546</v>
      </c>
      <c r="BD327" s="1">
        <v>750</v>
      </c>
      <c r="BE327" t="s">
        <v>540</v>
      </c>
      <c r="BF327" s="1">
        <v>750</v>
      </c>
      <c r="BG327" s="1">
        <v>1.61</v>
      </c>
      <c r="BH327" s="1">
        <v>748.39</v>
      </c>
      <c r="BI327" t="s">
        <v>550</v>
      </c>
      <c r="BJ327" t="s">
        <v>570</v>
      </c>
      <c r="BK327" t="s">
        <v>552</v>
      </c>
      <c r="BL327" t="s">
        <v>552</v>
      </c>
      <c r="BM327" t="s">
        <v>2130</v>
      </c>
      <c r="BN327" t="s">
        <v>2157</v>
      </c>
      <c r="BO327" t="s">
        <v>2158</v>
      </c>
      <c r="BR327" t="s">
        <v>546</v>
      </c>
      <c r="BS327" s="1">
        <v>750</v>
      </c>
      <c r="BW327" t="s">
        <v>536</v>
      </c>
      <c r="BX327" s="1">
        <v>750</v>
      </c>
      <c r="BZ327" t="s">
        <v>535</v>
      </c>
      <c r="CA327" t="s">
        <v>546</v>
      </c>
      <c r="CB327" t="s">
        <v>2156</v>
      </c>
      <c r="CC327" t="s">
        <v>556</v>
      </c>
      <c r="CD327" t="s">
        <v>891</v>
      </c>
      <c r="CE327" t="s">
        <v>892</v>
      </c>
      <c r="CF327" t="s">
        <v>140</v>
      </c>
      <c r="CG327" s="4">
        <v>1</v>
      </c>
      <c r="CH327" t="s">
        <v>546</v>
      </c>
      <c r="CK327" t="s">
        <v>2159</v>
      </c>
      <c r="CL327" s="1">
        <v>750</v>
      </c>
      <c r="CN327" t="s">
        <v>535</v>
      </c>
      <c r="CO327" t="s">
        <v>539</v>
      </c>
      <c r="CT327" t="s">
        <v>576</v>
      </c>
      <c r="CW327" t="s">
        <v>546</v>
      </c>
      <c r="DD327" t="s">
        <v>561</v>
      </c>
      <c r="DK327" t="s">
        <v>1885</v>
      </c>
      <c r="DL327" t="s">
        <v>1886</v>
      </c>
      <c r="DR327" t="s">
        <v>2160</v>
      </c>
    </row>
    <row r="328" ht="15" customHeight="1" spans="1:122">
      <c r="A328" t="s">
        <v>530</v>
      </c>
      <c r="B328" t="s">
        <v>2161</v>
      </c>
      <c r="C328" t="s">
        <v>532</v>
      </c>
      <c r="D328" t="s">
        <v>2130</v>
      </c>
      <c r="E328" t="s">
        <v>534</v>
      </c>
      <c r="F328" t="s">
        <v>534</v>
      </c>
      <c r="G328" t="s">
        <v>535</v>
      </c>
      <c r="H328" s="1">
        <v>2698</v>
      </c>
      <c r="I328" s="1">
        <v>2698</v>
      </c>
      <c r="J328" t="s">
        <v>536</v>
      </c>
      <c r="L328" t="s">
        <v>536</v>
      </c>
      <c r="M328" t="s">
        <v>377</v>
      </c>
      <c r="N328" t="s">
        <v>537</v>
      </c>
      <c r="P328" s="1">
        <v>2698</v>
      </c>
      <c r="Q328" t="s">
        <v>1397</v>
      </c>
      <c r="R328" t="s">
        <v>535</v>
      </c>
      <c r="S328" t="s">
        <v>539</v>
      </c>
      <c r="T328" s="2">
        <v>1</v>
      </c>
      <c r="U328" s="1">
        <v>2698</v>
      </c>
      <c r="V328" s="1">
        <v>2698</v>
      </c>
      <c r="X328" t="s">
        <v>540</v>
      </c>
      <c r="Z328" t="s">
        <v>541</v>
      </c>
      <c r="AA328" t="s">
        <v>542</v>
      </c>
      <c r="AB328" t="s">
        <v>543</v>
      </c>
      <c r="AC328" t="s">
        <v>544</v>
      </c>
      <c r="AD328" t="s">
        <v>545</v>
      </c>
      <c r="AE328" s="3">
        <v>1</v>
      </c>
      <c r="AF328" t="s">
        <v>142</v>
      </c>
      <c r="AG328" s="1">
        <v>2698</v>
      </c>
      <c r="AI328" s="1">
        <v>2698</v>
      </c>
      <c r="AJ328" s="1">
        <v>2698</v>
      </c>
      <c r="AM328" s="1">
        <v>2698</v>
      </c>
      <c r="AN328" t="s">
        <v>643</v>
      </c>
      <c r="AO328" t="s">
        <v>546</v>
      </c>
      <c r="AP328" t="s">
        <v>643</v>
      </c>
      <c r="AQ328" t="s">
        <v>548</v>
      </c>
      <c r="AS328" t="s">
        <v>377</v>
      </c>
      <c r="AX328" s="1">
        <v>2698</v>
      </c>
      <c r="AY328" t="s">
        <v>546</v>
      </c>
      <c r="AZ328" t="s">
        <v>644</v>
      </c>
      <c r="BA328" s="1">
        <v>2698</v>
      </c>
      <c r="BC328" t="s">
        <v>546</v>
      </c>
      <c r="BD328" s="1">
        <v>2698</v>
      </c>
      <c r="BE328" t="s">
        <v>540</v>
      </c>
      <c r="BF328" s="1">
        <v>2698</v>
      </c>
      <c r="BH328" s="1">
        <v>2698</v>
      </c>
      <c r="BI328" t="s">
        <v>550</v>
      </c>
      <c r="BJ328" t="s">
        <v>683</v>
      </c>
      <c r="BK328" t="s">
        <v>683</v>
      </c>
      <c r="BL328" t="s">
        <v>1905</v>
      </c>
      <c r="BM328" t="s">
        <v>2130</v>
      </c>
      <c r="BN328" t="s">
        <v>2162</v>
      </c>
      <c r="BO328" t="s">
        <v>2163</v>
      </c>
      <c r="BR328" t="s">
        <v>546</v>
      </c>
      <c r="BS328" s="1">
        <v>2698</v>
      </c>
      <c r="BW328" t="s">
        <v>536</v>
      </c>
      <c r="BX328" s="1">
        <v>2698</v>
      </c>
      <c r="BZ328" t="s">
        <v>535</v>
      </c>
      <c r="CA328" t="s">
        <v>546</v>
      </c>
      <c r="CB328" t="s">
        <v>2130</v>
      </c>
      <c r="CC328" t="s">
        <v>556</v>
      </c>
      <c r="CD328" t="s">
        <v>2164</v>
      </c>
      <c r="CE328" t="s">
        <v>2165</v>
      </c>
      <c r="CF328" t="s">
        <v>142</v>
      </c>
      <c r="CG328" s="4">
        <v>1</v>
      </c>
      <c r="CH328" t="s">
        <v>546</v>
      </c>
      <c r="CK328" t="s">
        <v>2166</v>
      </c>
      <c r="CL328" s="1">
        <v>2698</v>
      </c>
      <c r="CN328" t="s">
        <v>535</v>
      </c>
      <c r="CO328" t="s">
        <v>539</v>
      </c>
      <c r="CT328" t="s">
        <v>560</v>
      </c>
      <c r="CW328" t="s">
        <v>546</v>
      </c>
      <c r="DD328" t="s">
        <v>561</v>
      </c>
      <c r="DK328" t="s">
        <v>2167</v>
      </c>
      <c r="DL328" t="s">
        <v>2168</v>
      </c>
      <c r="DR328" t="s">
        <v>2169</v>
      </c>
    </row>
    <row r="329" ht="15" customHeight="1" spans="1:122">
      <c r="A329" t="s">
        <v>603</v>
      </c>
      <c r="B329" t="s">
        <v>2170</v>
      </c>
      <c r="C329" t="s">
        <v>532</v>
      </c>
      <c r="D329" t="s">
        <v>2130</v>
      </c>
      <c r="E329" t="s">
        <v>534</v>
      </c>
      <c r="F329" t="s">
        <v>534</v>
      </c>
      <c r="G329" t="s">
        <v>535</v>
      </c>
      <c r="H329" s="1">
        <v>8000</v>
      </c>
      <c r="I329" s="1">
        <v>8000</v>
      </c>
      <c r="J329" t="s">
        <v>536</v>
      </c>
      <c r="L329" t="s">
        <v>536</v>
      </c>
      <c r="M329" t="s">
        <v>378</v>
      </c>
      <c r="N329" t="s">
        <v>537</v>
      </c>
      <c r="P329" s="1">
        <v>8000</v>
      </c>
      <c r="Q329" t="s">
        <v>905</v>
      </c>
      <c r="R329" t="s">
        <v>535</v>
      </c>
      <c r="S329" t="s">
        <v>539</v>
      </c>
      <c r="T329" s="2">
        <v>1</v>
      </c>
      <c r="U329" s="1">
        <v>8000</v>
      </c>
      <c r="V329" s="1">
        <v>8000</v>
      </c>
      <c r="X329" t="s">
        <v>616</v>
      </c>
      <c r="Z329" t="s">
        <v>541</v>
      </c>
      <c r="AA329" t="s">
        <v>542</v>
      </c>
      <c r="AB329" t="s">
        <v>543</v>
      </c>
      <c r="AC329" t="s">
        <v>608</v>
      </c>
      <c r="AE329" s="3">
        <v>1</v>
      </c>
      <c r="AG329" s="1">
        <v>8000</v>
      </c>
      <c r="AI329" s="1">
        <v>8000</v>
      </c>
      <c r="AJ329" s="1">
        <v>8000</v>
      </c>
      <c r="AM329" s="1">
        <v>8000</v>
      </c>
      <c r="AN329" t="s">
        <v>536</v>
      </c>
      <c r="AO329" t="s">
        <v>546</v>
      </c>
      <c r="AP329" t="s">
        <v>547</v>
      </c>
      <c r="AQ329" t="s">
        <v>548</v>
      </c>
      <c r="AS329" t="s">
        <v>378</v>
      </c>
      <c r="AX329" s="1">
        <v>8000</v>
      </c>
      <c r="AY329" t="s">
        <v>546</v>
      </c>
      <c r="AZ329" t="s">
        <v>549</v>
      </c>
      <c r="BA329" s="1">
        <v>8000</v>
      </c>
      <c r="BC329" t="s">
        <v>546</v>
      </c>
      <c r="BE329" t="s">
        <v>616</v>
      </c>
      <c r="BH329" s="1">
        <v>8000</v>
      </c>
      <c r="BI329" t="s">
        <v>550</v>
      </c>
      <c r="BJ329" t="s">
        <v>551</v>
      </c>
      <c r="BK329" t="s">
        <v>551</v>
      </c>
      <c r="BL329" t="s">
        <v>1905</v>
      </c>
      <c r="BM329" t="s">
        <v>2130</v>
      </c>
      <c r="BN329" t="s">
        <v>2171</v>
      </c>
      <c r="BO329" t="s">
        <v>2172</v>
      </c>
      <c r="BR329" t="s">
        <v>546</v>
      </c>
      <c r="BS329" s="1">
        <v>8000</v>
      </c>
      <c r="BW329" t="s">
        <v>536</v>
      </c>
      <c r="BZ329" t="s">
        <v>535</v>
      </c>
      <c r="CA329" t="s">
        <v>546</v>
      </c>
      <c r="CB329" t="s">
        <v>2130</v>
      </c>
      <c r="CC329" t="s">
        <v>556</v>
      </c>
      <c r="CH329" t="s">
        <v>546</v>
      </c>
      <c r="CK329" t="s">
        <v>2173</v>
      </c>
      <c r="CN329" t="s">
        <v>535</v>
      </c>
      <c r="CO329" t="s">
        <v>539</v>
      </c>
      <c r="CT329" t="s">
        <v>1125</v>
      </c>
      <c r="CW329" t="s">
        <v>546</v>
      </c>
      <c r="DD329" t="s">
        <v>561</v>
      </c>
    </row>
    <row r="330" ht="15" customHeight="1" spans="1:122">
      <c r="A330" t="s">
        <v>530</v>
      </c>
      <c r="B330" t="s">
        <v>2174</v>
      </c>
      <c r="C330" t="s">
        <v>532</v>
      </c>
      <c r="D330" t="s">
        <v>2130</v>
      </c>
      <c r="E330" t="s">
        <v>534</v>
      </c>
      <c r="F330" t="s">
        <v>534</v>
      </c>
      <c r="G330" t="s">
        <v>535</v>
      </c>
      <c r="H330" s="1">
        <v>2800</v>
      </c>
      <c r="I330" s="1">
        <v>2800</v>
      </c>
      <c r="J330" t="s">
        <v>536</v>
      </c>
      <c r="L330" t="s">
        <v>536</v>
      </c>
      <c r="M330" t="s">
        <v>375</v>
      </c>
      <c r="N330" t="s">
        <v>537</v>
      </c>
      <c r="P330" s="1">
        <v>2800</v>
      </c>
      <c r="Q330" t="s">
        <v>580</v>
      </c>
      <c r="R330" t="s">
        <v>535</v>
      </c>
      <c r="S330" t="s">
        <v>539</v>
      </c>
      <c r="T330" s="2">
        <v>1</v>
      </c>
      <c r="U330" s="1">
        <v>2800</v>
      </c>
      <c r="V330" s="1">
        <v>2800</v>
      </c>
      <c r="X330" t="s">
        <v>540</v>
      </c>
      <c r="Z330" t="s">
        <v>541</v>
      </c>
      <c r="AA330" t="s">
        <v>542</v>
      </c>
      <c r="AB330" t="s">
        <v>543</v>
      </c>
      <c r="AC330" t="s">
        <v>544</v>
      </c>
      <c r="AD330" t="s">
        <v>545</v>
      </c>
      <c r="AE330" s="3">
        <v>1</v>
      </c>
      <c r="AF330" t="s">
        <v>143</v>
      </c>
      <c r="AG330" s="1">
        <v>2800</v>
      </c>
      <c r="AI330" s="1">
        <v>2800</v>
      </c>
      <c r="AJ330" s="1">
        <v>2800</v>
      </c>
      <c r="AM330" s="1">
        <v>2800</v>
      </c>
      <c r="AN330" t="s">
        <v>643</v>
      </c>
      <c r="AO330" t="s">
        <v>546</v>
      </c>
      <c r="AP330" t="s">
        <v>643</v>
      </c>
      <c r="AQ330" t="s">
        <v>548</v>
      </c>
      <c r="AS330" t="s">
        <v>375</v>
      </c>
      <c r="AX330" s="1">
        <v>2800</v>
      </c>
      <c r="AY330" t="s">
        <v>546</v>
      </c>
      <c r="AZ330" t="s">
        <v>644</v>
      </c>
      <c r="BA330" s="1">
        <v>2800</v>
      </c>
      <c r="BC330" t="s">
        <v>546</v>
      </c>
      <c r="BD330" s="1">
        <v>2800</v>
      </c>
      <c r="BE330" t="s">
        <v>540</v>
      </c>
      <c r="BF330" s="1">
        <v>2800</v>
      </c>
      <c r="BH330" s="1">
        <v>2800</v>
      </c>
      <c r="BI330" t="s">
        <v>550</v>
      </c>
      <c r="BJ330" t="s">
        <v>570</v>
      </c>
      <c r="BK330" t="s">
        <v>552</v>
      </c>
      <c r="BL330" t="s">
        <v>552</v>
      </c>
      <c r="BM330" t="s">
        <v>2130</v>
      </c>
      <c r="BN330" t="s">
        <v>2175</v>
      </c>
      <c r="BO330" t="s">
        <v>2176</v>
      </c>
      <c r="BR330" t="s">
        <v>546</v>
      </c>
      <c r="BS330" s="1">
        <v>2800</v>
      </c>
      <c r="BW330" t="s">
        <v>536</v>
      </c>
      <c r="BX330" s="1">
        <v>2800</v>
      </c>
      <c r="BZ330" t="s">
        <v>535</v>
      </c>
      <c r="CA330" t="s">
        <v>546</v>
      </c>
      <c r="CB330" t="s">
        <v>2130</v>
      </c>
      <c r="CC330" t="s">
        <v>556</v>
      </c>
      <c r="CD330" t="s">
        <v>1935</v>
      </c>
      <c r="CE330" t="s">
        <v>1936</v>
      </c>
      <c r="CF330" t="s">
        <v>143</v>
      </c>
      <c r="CG330" s="4">
        <v>1</v>
      </c>
      <c r="CH330" t="s">
        <v>546</v>
      </c>
      <c r="CK330" t="s">
        <v>2177</v>
      </c>
      <c r="CL330" s="1">
        <v>2800</v>
      </c>
      <c r="CN330" t="s">
        <v>535</v>
      </c>
      <c r="CO330" t="s">
        <v>539</v>
      </c>
      <c r="CT330" t="s">
        <v>576</v>
      </c>
      <c r="CW330" t="s">
        <v>546</v>
      </c>
      <c r="DD330" t="s">
        <v>561</v>
      </c>
      <c r="DK330" t="s">
        <v>2178</v>
      </c>
      <c r="DL330" t="s">
        <v>2179</v>
      </c>
      <c r="DR330" t="s">
        <v>2180</v>
      </c>
    </row>
    <row r="331" ht="15" customHeight="1" spans="1:122">
      <c r="A331" t="s">
        <v>530</v>
      </c>
      <c r="B331" t="s">
        <v>2181</v>
      </c>
      <c r="C331" t="s">
        <v>532</v>
      </c>
      <c r="D331" t="s">
        <v>2130</v>
      </c>
      <c r="E331" t="s">
        <v>534</v>
      </c>
      <c r="F331" t="s">
        <v>534</v>
      </c>
      <c r="G331" t="s">
        <v>535</v>
      </c>
      <c r="H331" s="1">
        <v>3636</v>
      </c>
      <c r="I331" s="1">
        <v>3636</v>
      </c>
      <c r="J331" t="s">
        <v>536</v>
      </c>
      <c r="L331" t="s">
        <v>536</v>
      </c>
      <c r="M331" t="s">
        <v>375</v>
      </c>
      <c r="N331" t="s">
        <v>537</v>
      </c>
      <c r="P331" s="1">
        <v>3636</v>
      </c>
      <c r="Q331" t="s">
        <v>580</v>
      </c>
      <c r="R331" t="s">
        <v>535</v>
      </c>
      <c r="S331" t="s">
        <v>539</v>
      </c>
      <c r="T331" s="2">
        <v>1</v>
      </c>
      <c r="U331" s="1">
        <v>3636</v>
      </c>
      <c r="V331" s="1">
        <v>3636</v>
      </c>
      <c r="X331" t="s">
        <v>540</v>
      </c>
      <c r="Z331" t="s">
        <v>541</v>
      </c>
      <c r="AA331" t="s">
        <v>542</v>
      </c>
      <c r="AB331" t="s">
        <v>543</v>
      </c>
      <c r="AC331" t="s">
        <v>544</v>
      </c>
      <c r="AD331" t="s">
        <v>545</v>
      </c>
      <c r="AE331" s="3">
        <v>1</v>
      </c>
      <c r="AF331" t="s">
        <v>144</v>
      </c>
      <c r="AG331" s="1">
        <v>3636</v>
      </c>
      <c r="AI331" s="1">
        <v>3636</v>
      </c>
      <c r="AJ331" s="1">
        <v>3636</v>
      </c>
      <c r="AM331" s="1">
        <v>3636</v>
      </c>
      <c r="AN331" t="s">
        <v>643</v>
      </c>
      <c r="AO331" t="s">
        <v>546</v>
      </c>
      <c r="AP331" t="s">
        <v>643</v>
      </c>
      <c r="AQ331" t="s">
        <v>548</v>
      </c>
      <c r="AS331" t="s">
        <v>375</v>
      </c>
      <c r="AX331" s="1">
        <v>3636</v>
      </c>
      <c r="AY331" t="s">
        <v>546</v>
      </c>
      <c r="AZ331" t="s">
        <v>644</v>
      </c>
      <c r="BA331" s="1">
        <v>3636</v>
      </c>
      <c r="BC331" t="s">
        <v>546</v>
      </c>
      <c r="BD331" s="1">
        <v>3636</v>
      </c>
      <c r="BE331" t="s">
        <v>540</v>
      </c>
      <c r="BF331" s="1">
        <v>3636</v>
      </c>
      <c r="BH331" s="1">
        <v>3636</v>
      </c>
      <c r="BI331" t="s">
        <v>550</v>
      </c>
      <c r="BJ331" t="s">
        <v>570</v>
      </c>
      <c r="BK331" t="s">
        <v>570</v>
      </c>
      <c r="BL331" t="s">
        <v>1905</v>
      </c>
      <c r="BM331" t="s">
        <v>2130</v>
      </c>
      <c r="BN331" t="s">
        <v>2182</v>
      </c>
      <c r="BO331" t="s">
        <v>2183</v>
      </c>
      <c r="BR331" t="s">
        <v>546</v>
      </c>
      <c r="BS331" s="1">
        <v>3636</v>
      </c>
      <c r="BW331" t="s">
        <v>536</v>
      </c>
      <c r="BX331" s="1">
        <v>3636</v>
      </c>
      <c r="BZ331" t="s">
        <v>535</v>
      </c>
      <c r="CA331" t="s">
        <v>546</v>
      </c>
      <c r="CB331" t="s">
        <v>2130</v>
      </c>
      <c r="CC331" t="s">
        <v>556</v>
      </c>
      <c r="CD331" t="s">
        <v>745</v>
      </c>
      <c r="CE331" t="s">
        <v>746</v>
      </c>
      <c r="CF331" t="s">
        <v>144</v>
      </c>
      <c r="CG331" s="4">
        <v>1</v>
      </c>
      <c r="CH331" t="s">
        <v>546</v>
      </c>
      <c r="CK331" t="s">
        <v>2184</v>
      </c>
      <c r="CL331" s="1">
        <v>3636</v>
      </c>
      <c r="CN331" t="s">
        <v>535</v>
      </c>
      <c r="CO331" t="s">
        <v>539</v>
      </c>
      <c r="CT331" t="s">
        <v>576</v>
      </c>
      <c r="CW331" t="s">
        <v>546</v>
      </c>
      <c r="DD331" t="s">
        <v>561</v>
      </c>
      <c r="DK331" t="s">
        <v>2185</v>
      </c>
      <c r="DL331" t="s">
        <v>2186</v>
      </c>
      <c r="DR331" t="s">
        <v>2187</v>
      </c>
    </row>
    <row r="332" ht="15" customHeight="1" spans="1:122">
      <c r="A332" t="s">
        <v>530</v>
      </c>
      <c r="B332" t="s">
        <v>2188</v>
      </c>
      <c r="C332" t="s">
        <v>532</v>
      </c>
      <c r="D332" t="s">
        <v>2130</v>
      </c>
      <c r="E332" t="s">
        <v>534</v>
      </c>
      <c r="F332" t="s">
        <v>534</v>
      </c>
      <c r="G332" t="s">
        <v>535</v>
      </c>
      <c r="H332" s="1">
        <v>2558</v>
      </c>
      <c r="I332" s="1">
        <v>2558</v>
      </c>
      <c r="J332" t="s">
        <v>536</v>
      </c>
      <c r="L332" t="s">
        <v>536</v>
      </c>
      <c r="M332" t="s">
        <v>377</v>
      </c>
      <c r="N332" t="s">
        <v>537</v>
      </c>
      <c r="P332" s="1">
        <v>2558</v>
      </c>
      <c r="Q332" t="s">
        <v>538</v>
      </c>
      <c r="R332" t="s">
        <v>535</v>
      </c>
      <c r="S332" t="s">
        <v>539</v>
      </c>
      <c r="T332" s="2">
        <v>1</v>
      </c>
      <c r="U332" s="1">
        <v>2558</v>
      </c>
      <c r="V332" s="1">
        <v>2558</v>
      </c>
      <c r="X332" t="s">
        <v>540</v>
      </c>
      <c r="Z332" t="s">
        <v>541</v>
      </c>
      <c r="AA332" t="s">
        <v>542</v>
      </c>
      <c r="AB332" t="s">
        <v>543</v>
      </c>
      <c r="AC332" t="s">
        <v>544</v>
      </c>
      <c r="AD332" t="s">
        <v>545</v>
      </c>
      <c r="AE332" s="3">
        <v>1</v>
      </c>
      <c r="AF332" t="s">
        <v>145</v>
      </c>
      <c r="AG332" s="1">
        <v>2558</v>
      </c>
      <c r="AI332" s="1">
        <v>2558</v>
      </c>
      <c r="AJ332" s="1">
        <v>2558</v>
      </c>
      <c r="AM332" s="1">
        <v>2558</v>
      </c>
      <c r="AN332" t="s">
        <v>643</v>
      </c>
      <c r="AO332" t="s">
        <v>546</v>
      </c>
      <c r="AP332" t="s">
        <v>643</v>
      </c>
      <c r="AQ332" t="s">
        <v>548</v>
      </c>
      <c r="AS332" t="s">
        <v>377</v>
      </c>
      <c r="AX332" s="1">
        <v>2558</v>
      </c>
      <c r="AY332" t="s">
        <v>546</v>
      </c>
      <c r="AZ332" t="s">
        <v>644</v>
      </c>
      <c r="BA332" s="1">
        <v>2558</v>
      </c>
      <c r="BC332" t="s">
        <v>546</v>
      </c>
      <c r="BD332" s="1">
        <v>2558</v>
      </c>
      <c r="BE332" t="s">
        <v>540</v>
      </c>
      <c r="BF332" s="1">
        <v>2558</v>
      </c>
      <c r="BH332" s="1">
        <v>2558</v>
      </c>
      <c r="BI332" t="s">
        <v>550</v>
      </c>
      <c r="BJ332" t="s">
        <v>551</v>
      </c>
      <c r="BK332" t="s">
        <v>551</v>
      </c>
      <c r="BL332" t="s">
        <v>552</v>
      </c>
      <c r="BM332" t="s">
        <v>2130</v>
      </c>
      <c r="BN332" t="s">
        <v>2189</v>
      </c>
      <c r="BO332" t="s">
        <v>2190</v>
      </c>
      <c r="BR332" t="s">
        <v>546</v>
      </c>
      <c r="BS332" s="1">
        <v>2558</v>
      </c>
      <c r="BW332" t="s">
        <v>536</v>
      </c>
      <c r="BX332" s="1">
        <v>2558</v>
      </c>
      <c r="BZ332" t="s">
        <v>535</v>
      </c>
      <c r="CA332" t="s">
        <v>546</v>
      </c>
      <c r="CB332" t="s">
        <v>2130</v>
      </c>
      <c r="CC332" t="s">
        <v>556</v>
      </c>
      <c r="CD332" t="s">
        <v>2191</v>
      </c>
      <c r="CE332" t="s">
        <v>2192</v>
      </c>
      <c r="CF332" t="s">
        <v>145</v>
      </c>
      <c r="CG332" s="4">
        <v>1</v>
      </c>
      <c r="CH332" t="s">
        <v>546</v>
      </c>
      <c r="CK332" t="s">
        <v>2193</v>
      </c>
      <c r="CL332" s="1">
        <v>2558</v>
      </c>
      <c r="CN332" t="s">
        <v>535</v>
      </c>
      <c r="CO332" t="s">
        <v>539</v>
      </c>
      <c r="CT332" t="s">
        <v>560</v>
      </c>
      <c r="CW332" t="s">
        <v>546</v>
      </c>
      <c r="DD332" t="s">
        <v>561</v>
      </c>
      <c r="DK332" t="s">
        <v>2194</v>
      </c>
      <c r="DL332" t="s">
        <v>2195</v>
      </c>
      <c r="DR332" t="s">
        <v>2196</v>
      </c>
    </row>
    <row r="333" ht="15" customHeight="1" spans="1:122">
      <c r="A333" t="s">
        <v>530</v>
      </c>
      <c r="B333" t="s">
        <v>2197</v>
      </c>
      <c r="C333" t="s">
        <v>532</v>
      </c>
      <c r="D333" t="s">
        <v>2033</v>
      </c>
      <c r="E333" t="s">
        <v>534</v>
      </c>
      <c r="F333" t="s">
        <v>534</v>
      </c>
      <c r="G333" t="s">
        <v>535</v>
      </c>
      <c r="H333" s="1">
        <v>3519.2</v>
      </c>
      <c r="I333" s="1">
        <v>3498.08</v>
      </c>
      <c r="J333" t="s">
        <v>536</v>
      </c>
      <c r="L333" t="s">
        <v>536</v>
      </c>
      <c r="M333" t="s">
        <v>377</v>
      </c>
      <c r="N333" t="s">
        <v>537</v>
      </c>
      <c r="P333" s="1">
        <v>3519.2</v>
      </c>
      <c r="Q333" t="s">
        <v>538</v>
      </c>
      <c r="R333" t="s">
        <v>535</v>
      </c>
      <c r="S333" t="s">
        <v>539</v>
      </c>
      <c r="T333" s="2">
        <v>1</v>
      </c>
      <c r="U333" s="1">
        <v>3519.2</v>
      </c>
      <c r="V333" s="1">
        <v>3498.08</v>
      </c>
      <c r="X333" t="s">
        <v>540</v>
      </c>
      <c r="Z333" t="s">
        <v>541</v>
      </c>
      <c r="AA333" t="s">
        <v>542</v>
      </c>
      <c r="AB333" t="s">
        <v>543</v>
      </c>
      <c r="AC333" t="s">
        <v>544</v>
      </c>
      <c r="AD333" t="s">
        <v>545</v>
      </c>
      <c r="AE333" s="3">
        <v>1</v>
      </c>
      <c r="AF333" t="s">
        <v>146</v>
      </c>
      <c r="AG333" s="1">
        <v>3519.2</v>
      </c>
      <c r="AI333" s="1">
        <v>3519.2</v>
      </c>
      <c r="AJ333" s="1">
        <v>3519.2</v>
      </c>
      <c r="AK333" s="1">
        <v>21.12</v>
      </c>
      <c r="AM333" s="1">
        <v>3498.08</v>
      </c>
      <c r="AN333" t="s">
        <v>536</v>
      </c>
      <c r="AO333" t="s">
        <v>546</v>
      </c>
      <c r="AP333" t="s">
        <v>547</v>
      </c>
      <c r="AQ333" t="s">
        <v>548</v>
      </c>
      <c r="AS333" t="s">
        <v>377</v>
      </c>
      <c r="AX333" s="1">
        <v>3519.2</v>
      </c>
      <c r="AY333" t="s">
        <v>546</v>
      </c>
      <c r="AZ333" t="s">
        <v>549</v>
      </c>
      <c r="BA333" s="1">
        <v>3519.2</v>
      </c>
      <c r="BC333" t="s">
        <v>546</v>
      </c>
      <c r="BD333" s="1">
        <v>3519.2</v>
      </c>
      <c r="BE333" t="s">
        <v>540</v>
      </c>
      <c r="BF333" s="1">
        <v>3519.2</v>
      </c>
      <c r="BG333" s="1">
        <v>21.12</v>
      </c>
      <c r="BH333" s="1">
        <v>3498.08</v>
      </c>
      <c r="BI333" t="s">
        <v>550</v>
      </c>
      <c r="BJ333" t="s">
        <v>551</v>
      </c>
      <c r="BK333" t="s">
        <v>552</v>
      </c>
      <c r="BL333" t="s">
        <v>552</v>
      </c>
      <c r="BM333" t="s">
        <v>2130</v>
      </c>
      <c r="BN333" t="s">
        <v>2198</v>
      </c>
      <c r="BO333" t="s">
        <v>2199</v>
      </c>
      <c r="BR333" t="s">
        <v>546</v>
      </c>
      <c r="BS333" s="1">
        <v>3519.2</v>
      </c>
      <c r="BW333" t="s">
        <v>536</v>
      </c>
      <c r="BX333" s="1">
        <v>3519.2</v>
      </c>
      <c r="BZ333" t="s">
        <v>535</v>
      </c>
      <c r="CA333" t="s">
        <v>546</v>
      </c>
      <c r="CB333" t="s">
        <v>2033</v>
      </c>
      <c r="CC333" t="s">
        <v>556</v>
      </c>
      <c r="CD333" t="s">
        <v>648</v>
      </c>
      <c r="CE333" t="s">
        <v>649</v>
      </c>
      <c r="CF333" t="s">
        <v>146</v>
      </c>
      <c r="CG333" s="4">
        <v>1</v>
      </c>
      <c r="CH333" t="s">
        <v>546</v>
      </c>
      <c r="CK333" t="s">
        <v>2200</v>
      </c>
      <c r="CL333" s="1">
        <v>3519.2</v>
      </c>
      <c r="CN333" t="s">
        <v>535</v>
      </c>
      <c r="CO333" t="s">
        <v>539</v>
      </c>
      <c r="CT333" t="s">
        <v>560</v>
      </c>
      <c r="CW333" t="s">
        <v>546</v>
      </c>
      <c r="DD333" t="s">
        <v>561</v>
      </c>
      <c r="DK333" t="s">
        <v>2201</v>
      </c>
      <c r="DL333" t="s">
        <v>2202</v>
      </c>
    </row>
    <row r="334" ht="15" customHeight="1" spans="1:122">
      <c r="A334" t="s">
        <v>530</v>
      </c>
      <c r="B334" t="s">
        <v>2203</v>
      </c>
      <c r="C334" t="s">
        <v>532</v>
      </c>
      <c r="D334" t="s">
        <v>2033</v>
      </c>
      <c r="E334" t="s">
        <v>534</v>
      </c>
      <c r="F334" t="s">
        <v>534</v>
      </c>
      <c r="G334" t="s">
        <v>535</v>
      </c>
      <c r="H334" s="1">
        <v>879.8</v>
      </c>
      <c r="I334" s="1">
        <v>879.8</v>
      </c>
      <c r="J334" t="s">
        <v>536</v>
      </c>
      <c r="L334" t="s">
        <v>536</v>
      </c>
      <c r="M334" t="s">
        <v>377</v>
      </c>
      <c r="N334" t="s">
        <v>537</v>
      </c>
      <c r="P334" s="1">
        <v>879.8</v>
      </c>
      <c r="Q334" t="s">
        <v>538</v>
      </c>
      <c r="R334" t="s">
        <v>535</v>
      </c>
      <c r="S334" t="s">
        <v>539</v>
      </c>
      <c r="T334" s="2">
        <v>1</v>
      </c>
      <c r="U334" s="1">
        <v>879.8</v>
      </c>
      <c r="V334" s="1">
        <v>879.8</v>
      </c>
      <c r="X334" t="s">
        <v>540</v>
      </c>
      <c r="Z334" t="s">
        <v>541</v>
      </c>
      <c r="AA334" t="s">
        <v>542</v>
      </c>
      <c r="AB334" t="s">
        <v>543</v>
      </c>
      <c r="AC334" t="s">
        <v>544</v>
      </c>
      <c r="AD334" t="s">
        <v>545</v>
      </c>
      <c r="AE334" s="3">
        <v>1</v>
      </c>
      <c r="AF334" t="s">
        <v>146</v>
      </c>
      <c r="AG334" s="1">
        <v>879.8</v>
      </c>
      <c r="AI334" s="1">
        <v>879.8</v>
      </c>
      <c r="AJ334" s="1">
        <v>879.8</v>
      </c>
      <c r="AM334" s="1">
        <v>879.8</v>
      </c>
      <c r="AN334" t="s">
        <v>565</v>
      </c>
      <c r="AO334" t="s">
        <v>546</v>
      </c>
      <c r="AP334" t="s">
        <v>565</v>
      </c>
      <c r="AQ334" t="s">
        <v>548</v>
      </c>
      <c r="AS334" t="s">
        <v>377</v>
      </c>
      <c r="AX334" s="1">
        <v>879.8</v>
      </c>
      <c r="AY334" t="s">
        <v>546</v>
      </c>
      <c r="AZ334" t="s">
        <v>566</v>
      </c>
      <c r="BA334" s="1">
        <v>879.8</v>
      </c>
      <c r="BC334" t="s">
        <v>546</v>
      </c>
      <c r="BD334" s="1">
        <v>879.8</v>
      </c>
      <c r="BE334" t="s">
        <v>540</v>
      </c>
      <c r="BF334" s="1">
        <v>879.8</v>
      </c>
      <c r="BH334" s="1">
        <v>879.8</v>
      </c>
      <c r="BI334" t="s">
        <v>550</v>
      </c>
      <c r="BJ334" t="s">
        <v>551</v>
      </c>
      <c r="BK334" t="s">
        <v>551</v>
      </c>
      <c r="BL334" t="s">
        <v>552</v>
      </c>
      <c r="BM334" t="s">
        <v>2130</v>
      </c>
      <c r="BN334" t="s">
        <v>2204</v>
      </c>
      <c r="BO334" t="s">
        <v>2205</v>
      </c>
      <c r="BR334" t="s">
        <v>546</v>
      </c>
      <c r="BS334" s="1">
        <v>879.8</v>
      </c>
      <c r="BW334" t="s">
        <v>536</v>
      </c>
      <c r="BX334" s="1">
        <v>879.8</v>
      </c>
      <c r="BZ334" t="s">
        <v>535</v>
      </c>
      <c r="CA334" t="s">
        <v>546</v>
      </c>
      <c r="CB334" t="s">
        <v>2033</v>
      </c>
      <c r="CC334" t="s">
        <v>556</v>
      </c>
      <c r="CD334" t="s">
        <v>648</v>
      </c>
      <c r="CE334" t="s">
        <v>649</v>
      </c>
      <c r="CF334" t="s">
        <v>146</v>
      </c>
      <c r="CG334" s="4">
        <v>1</v>
      </c>
      <c r="CH334" t="s">
        <v>546</v>
      </c>
      <c r="CK334" t="s">
        <v>2200</v>
      </c>
      <c r="CL334" s="1">
        <v>879.8</v>
      </c>
      <c r="CN334" t="s">
        <v>535</v>
      </c>
      <c r="CO334" t="s">
        <v>539</v>
      </c>
      <c r="CT334" t="s">
        <v>560</v>
      </c>
      <c r="CW334" t="s">
        <v>546</v>
      </c>
      <c r="DD334" t="s">
        <v>561</v>
      </c>
      <c r="DK334" t="s">
        <v>2201</v>
      </c>
      <c r="DL334" t="s">
        <v>2202</v>
      </c>
    </row>
    <row r="335" ht="15" customHeight="1" spans="1:122">
      <c r="A335" t="s">
        <v>530</v>
      </c>
      <c r="B335" t="s">
        <v>2206</v>
      </c>
      <c r="C335" t="s">
        <v>532</v>
      </c>
      <c r="D335" t="s">
        <v>2033</v>
      </c>
      <c r="E335" t="s">
        <v>534</v>
      </c>
      <c r="F335" t="s">
        <v>534</v>
      </c>
      <c r="G335" t="s">
        <v>535</v>
      </c>
      <c r="H335" s="1">
        <v>2908.8</v>
      </c>
      <c r="I335" s="1">
        <v>2891.35</v>
      </c>
      <c r="J335" t="s">
        <v>536</v>
      </c>
      <c r="L335" t="s">
        <v>536</v>
      </c>
      <c r="M335" t="s">
        <v>377</v>
      </c>
      <c r="N335" t="s">
        <v>537</v>
      </c>
      <c r="P335" s="1">
        <v>2908.8</v>
      </c>
      <c r="Q335" t="s">
        <v>538</v>
      </c>
      <c r="R335" t="s">
        <v>535</v>
      </c>
      <c r="S335" t="s">
        <v>539</v>
      </c>
      <c r="T335" s="2">
        <v>1</v>
      </c>
      <c r="U335" s="1">
        <v>2908.8</v>
      </c>
      <c r="V335" s="1">
        <v>2891.35</v>
      </c>
      <c r="X335" t="s">
        <v>540</v>
      </c>
      <c r="Z335" t="s">
        <v>541</v>
      </c>
      <c r="AA335" t="s">
        <v>542</v>
      </c>
      <c r="AB335" t="s">
        <v>543</v>
      </c>
      <c r="AC335" t="s">
        <v>544</v>
      </c>
      <c r="AD335" t="s">
        <v>545</v>
      </c>
      <c r="AE335" s="3">
        <v>1</v>
      </c>
      <c r="AF335" t="s">
        <v>147</v>
      </c>
      <c r="AG335" s="1">
        <v>2908.8</v>
      </c>
      <c r="AI335" s="1">
        <v>2908.8</v>
      </c>
      <c r="AJ335" s="1">
        <v>2908.8</v>
      </c>
      <c r="AK335" s="1">
        <v>17.45</v>
      </c>
      <c r="AM335" s="1">
        <v>2891.35</v>
      </c>
      <c r="AN335" t="s">
        <v>536</v>
      </c>
      <c r="AO335" t="s">
        <v>546</v>
      </c>
      <c r="AP335" t="s">
        <v>547</v>
      </c>
      <c r="AQ335" t="s">
        <v>548</v>
      </c>
      <c r="AS335" t="s">
        <v>377</v>
      </c>
      <c r="AX335" s="1">
        <v>2908.8</v>
      </c>
      <c r="AY335" t="s">
        <v>546</v>
      </c>
      <c r="AZ335" t="s">
        <v>549</v>
      </c>
      <c r="BA335" s="1">
        <v>2908.8</v>
      </c>
      <c r="BC335" t="s">
        <v>546</v>
      </c>
      <c r="BD335" s="1">
        <v>2908.8</v>
      </c>
      <c r="BE335" t="s">
        <v>540</v>
      </c>
      <c r="BF335" s="1">
        <v>2908.8</v>
      </c>
      <c r="BG335" s="1">
        <v>17.45</v>
      </c>
      <c r="BH335" s="1">
        <v>2891.35</v>
      </c>
      <c r="BI335" t="s">
        <v>550</v>
      </c>
      <c r="BJ335" t="s">
        <v>551</v>
      </c>
      <c r="BK335" t="s">
        <v>552</v>
      </c>
      <c r="BL335" t="s">
        <v>1905</v>
      </c>
      <c r="BM335" t="s">
        <v>2130</v>
      </c>
      <c r="BN335" t="s">
        <v>2207</v>
      </c>
      <c r="BO335" t="s">
        <v>2208</v>
      </c>
      <c r="BR335" t="s">
        <v>546</v>
      </c>
      <c r="BS335" s="1">
        <v>2908.8</v>
      </c>
      <c r="BW335" t="s">
        <v>536</v>
      </c>
      <c r="BX335" s="1">
        <v>2908.8</v>
      </c>
      <c r="BZ335" t="s">
        <v>535</v>
      </c>
      <c r="CA335" t="s">
        <v>546</v>
      </c>
      <c r="CB335" t="s">
        <v>2033</v>
      </c>
      <c r="CC335" t="s">
        <v>556</v>
      </c>
      <c r="CD335" t="s">
        <v>745</v>
      </c>
      <c r="CE335" t="s">
        <v>746</v>
      </c>
      <c r="CF335" t="s">
        <v>147</v>
      </c>
      <c r="CG335" s="4">
        <v>1</v>
      </c>
      <c r="CH335" t="s">
        <v>546</v>
      </c>
      <c r="CK335" t="s">
        <v>2209</v>
      </c>
      <c r="CL335" s="1">
        <v>2908.8</v>
      </c>
      <c r="CN335" t="s">
        <v>535</v>
      </c>
      <c r="CO335" t="s">
        <v>539</v>
      </c>
      <c r="CT335" t="s">
        <v>560</v>
      </c>
      <c r="CW335" t="s">
        <v>546</v>
      </c>
      <c r="DD335" t="s">
        <v>561</v>
      </c>
      <c r="DK335" t="s">
        <v>2210</v>
      </c>
      <c r="DL335" t="s">
        <v>2211</v>
      </c>
    </row>
    <row r="336" ht="15" customHeight="1" spans="1:122">
      <c r="A336" t="s">
        <v>530</v>
      </c>
      <c r="B336" t="s">
        <v>2212</v>
      </c>
      <c r="C336" t="s">
        <v>532</v>
      </c>
      <c r="D336" t="s">
        <v>2033</v>
      </c>
      <c r="E336" t="s">
        <v>534</v>
      </c>
      <c r="F336" t="s">
        <v>534</v>
      </c>
      <c r="G336" t="s">
        <v>535</v>
      </c>
      <c r="H336" s="1">
        <v>727.2</v>
      </c>
      <c r="I336" s="1">
        <v>727.2</v>
      </c>
      <c r="J336" t="s">
        <v>536</v>
      </c>
      <c r="L336" t="s">
        <v>536</v>
      </c>
      <c r="M336" t="s">
        <v>377</v>
      </c>
      <c r="N336" t="s">
        <v>537</v>
      </c>
      <c r="P336" s="1">
        <v>727.2</v>
      </c>
      <c r="Q336" t="s">
        <v>538</v>
      </c>
      <c r="R336" t="s">
        <v>535</v>
      </c>
      <c r="S336" t="s">
        <v>539</v>
      </c>
      <c r="T336" s="2">
        <v>1</v>
      </c>
      <c r="U336" s="1">
        <v>727.2</v>
      </c>
      <c r="V336" s="1">
        <v>727.2</v>
      </c>
      <c r="X336" t="s">
        <v>540</v>
      </c>
      <c r="Z336" t="s">
        <v>541</v>
      </c>
      <c r="AA336" t="s">
        <v>542</v>
      </c>
      <c r="AB336" t="s">
        <v>543</v>
      </c>
      <c r="AC336" t="s">
        <v>544</v>
      </c>
      <c r="AD336" t="s">
        <v>545</v>
      </c>
      <c r="AE336" s="3">
        <v>1</v>
      </c>
      <c r="AF336" t="s">
        <v>147</v>
      </c>
      <c r="AG336" s="1">
        <v>727.2</v>
      </c>
      <c r="AI336" s="1">
        <v>727.2</v>
      </c>
      <c r="AJ336" s="1">
        <v>727.2</v>
      </c>
      <c r="AM336" s="1">
        <v>727.2</v>
      </c>
      <c r="AN336" t="s">
        <v>565</v>
      </c>
      <c r="AO336" t="s">
        <v>546</v>
      </c>
      <c r="AP336" t="s">
        <v>565</v>
      </c>
      <c r="AQ336" t="s">
        <v>548</v>
      </c>
      <c r="AS336" t="s">
        <v>377</v>
      </c>
      <c r="AX336" s="1">
        <v>727.2</v>
      </c>
      <c r="AY336" t="s">
        <v>546</v>
      </c>
      <c r="AZ336" t="s">
        <v>566</v>
      </c>
      <c r="BA336" s="1">
        <v>727.2</v>
      </c>
      <c r="BC336" t="s">
        <v>546</v>
      </c>
      <c r="BD336" s="1">
        <v>727.2</v>
      </c>
      <c r="BE336" t="s">
        <v>540</v>
      </c>
      <c r="BF336" s="1">
        <v>727.2</v>
      </c>
      <c r="BH336" s="1">
        <v>727.2</v>
      </c>
      <c r="BI336" t="s">
        <v>550</v>
      </c>
      <c r="BJ336" t="s">
        <v>551</v>
      </c>
      <c r="BK336" t="s">
        <v>551</v>
      </c>
      <c r="BL336" t="s">
        <v>1905</v>
      </c>
      <c r="BM336" t="s">
        <v>2130</v>
      </c>
      <c r="BN336" t="s">
        <v>2213</v>
      </c>
      <c r="BO336" t="s">
        <v>2214</v>
      </c>
      <c r="BR336" t="s">
        <v>546</v>
      </c>
      <c r="BS336" s="1">
        <v>727.2</v>
      </c>
      <c r="BW336" t="s">
        <v>536</v>
      </c>
      <c r="BX336" s="1">
        <v>727.2</v>
      </c>
      <c r="BZ336" t="s">
        <v>535</v>
      </c>
      <c r="CA336" t="s">
        <v>546</v>
      </c>
      <c r="CB336" t="s">
        <v>2033</v>
      </c>
      <c r="CC336" t="s">
        <v>556</v>
      </c>
      <c r="CD336" t="s">
        <v>745</v>
      </c>
      <c r="CE336" t="s">
        <v>746</v>
      </c>
      <c r="CF336" t="s">
        <v>147</v>
      </c>
      <c r="CG336" s="4">
        <v>1</v>
      </c>
      <c r="CH336" t="s">
        <v>546</v>
      </c>
      <c r="CK336" t="s">
        <v>2209</v>
      </c>
      <c r="CL336" s="1">
        <v>727.2</v>
      </c>
      <c r="CN336" t="s">
        <v>535</v>
      </c>
      <c r="CO336" t="s">
        <v>539</v>
      </c>
      <c r="CT336" t="s">
        <v>560</v>
      </c>
      <c r="CW336" t="s">
        <v>546</v>
      </c>
      <c r="DD336" t="s">
        <v>561</v>
      </c>
      <c r="DK336" t="s">
        <v>2210</v>
      </c>
      <c r="DL336" t="s">
        <v>2211</v>
      </c>
    </row>
    <row r="337" ht="15" customHeight="1" spans="1:122">
      <c r="A337" t="s">
        <v>603</v>
      </c>
      <c r="B337" t="s">
        <v>2215</v>
      </c>
      <c r="C337" t="s">
        <v>532</v>
      </c>
      <c r="D337" t="s">
        <v>2130</v>
      </c>
      <c r="E337" t="s">
        <v>534</v>
      </c>
      <c r="F337" t="s">
        <v>534</v>
      </c>
      <c r="G337" t="s">
        <v>535</v>
      </c>
      <c r="H337" s="1">
        <v>22438</v>
      </c>
      <c r="I337" s="1">
        <v>22292.14</v>
      </c>
      <c r="J337" t="s">
        <v>536</v>
      </c>
      <c r="L337" t="s">
        <v>536</v>
      </c>
      <c r="M337" t="s">
        <v>411</v>
      </c>
      <c r="N337" t="s">
        <v>369</v>
      </c>
      <c r="P337" s="1">
        <v>22438</v>
      </c>
      <c r="Q337" t="s">
        <v>606</v>
      </c>
      <c r="R337" t="s">
        <v>535</v>
      </c>
      <c r="S337" t="s">
        <v>539</v>
      </c>
      <c r="T337" s="2">
        <v>1</v>
      </c>
      <c r="U337" s="1">
        <v>22438</v>
      </c>
      <c r="V337" s="1">
        <v>22292.14</v>
      </c>
      <c r="X337" t="s">
        <v>616</v>
      </c>
      <c r="Z337" t="s">
        <v>541</v>
      </c>
      <c r="AA337" t="s">
        <v>542</v>
      </c>
      <c r="AB337" t="s">
        <v>543</v>
      </c>
      <c r="AC337" t="s">
        <v>608</v>
      </c>
      <c r="AE337" s="3">
        <v>1</v>
      </c>
      <c r="AG337" s="1">
        <v>3701</v>
      </c>
      <c r="AI337" s="1">
        <v>22438</v>
      </c>
      <c r="AJ337" s="1">
        <v>3701</v>
      </c>
      <c r="AK337" s="1">
        <v>24.06</v>
      </c>
      <c r="AM337" s="1">
        <v>3676.94</v>
      </c>
      <c r="AN337" t="s">
        <v>536</v>
      </c>
      <c r="AO337" t="s">
        <v>546</v>
      </c>
      <c r="AP337" t="s">
        <v>547</v>
      </c>
      <c r="AQ337" t="s">
        <v>548</v>
      </c>
      <c r="AS337" t="s">
        <v>411</v>
      </c>
      <c r="AX337" s="1">
        <v>3701</v>
      </c>
      <c r="AY337" t="s">
        <v>546</v>
      </c>
      <c r="AZ337" t="s">
        <v>549</v>
      </c>
      <c r="BA337" s="1">
        <v>3701</v>
      </c>
      <c r="BB337" t="s">
        <v>2216</v>
      </c>
      <c r="BC337" t="s">
        <v>546</v>
      </c>
      <c r="BE337" t="s">
        <v>616</v>
      </c>
      <c r="BG337" s="1">
        <v>24.06</v>
      </c>
      <c r="BH337" s="1">
        <v>3676.94</v>
      </c>
      <c r="BI337" t="s">
        <v>550</v>
      </c>
      <c r="BJ337" t="s">
        <v>610</v>
      </c>
      <c r="BK337" t="s">
        <v>552</v>
      </c>
      <c r="BL337" t="s">
        <v>552</v>
      </c>
      <c r="BM337" t="s">
        <v>2130</v>
      </c>
      <c r="BN337" t="s">
        <v>2217</v>
      </c>
      <c r="BO337" t="s">
        <v>2218</v>
      </c>
      <c r="BR337" t="s">
        <v>546</v>
      </c>
      <c r="BS337" s="1">
        <v>3701</v>
      </c>
      <c r="BW337" t="s">
        <v>536</v>
      </c>
      <c r="BZ337" t="s">
        <v>535</v>
      </c>
      <c r="CA337" t="s">
        <v>546</v>
      </c>
      <c r="CB337" t="s">
        <v>2130</v>
      </c>
      <c r="CC337" t="s">
        <v>556</v>
      </c>
      <c r="CH337" t="s">
        <v>546</v>
      </c>
      <c r="CK337" t="s">
        <v>2219</v>
      </c>
      <c r="CN337" t="s">
        <v>535</v>
      </c>
      <c r="CO337" t="s">
        <v>539</v>
      </c>
      <c r="CT337" t="s">
        <v>576</v>
      </c>
      <c r="CW337" t="s">
        <v>546</v>
      </c>
      <c r="DD337" t="s">
        <v>561</v>
      </c>
      <c r="DK337" t="s">
        <v>2220</v>
      </c>
      <c r="DR337" t="s">
        <v>2220</v>
      </c>
    </row>
    <row r="338" ht="15" customHeight="1" spans="1:122">
      <c r="AB338" t="s">
        <v>543</v>
      </c>
      <c r="AC338" t="s">
        <v>608</v>
      </c>
      <c r="AG338" s="1">
        <v>2686</v>
      </c>
      <c r="AJ338" s="1">
        <v>2686</v>
      </c>
      <c r="AK338" s="1">
        <v>17.46</v>
      </c>
      <c r="AM338" s="1">
        <v>2668.54</v>
      </c>
      <c r="AN338" t="s">
        <v>536</v>
      </c>
      <c r="AP338" t="s">
        <v>547</v>
      </c>
      <c r="AX338" s="1">
        <v>2686</v>
      </c>
      <c r="AZ338" t="s">
        <v>549</v>
      </c>
      <c r="BA338" s="1">
        <v>2686</v>
      </c>
      <c r="BB338" t="s">
        <v>2221</v>
      </c>
      <c r="BC338" t="s">
        <v>546</v>
      </c>
      <c r="BE338" t="s">
        <v>616</v>
      </c>
      <c r="BG338" s="1">
        <v>17.46</v>
      </c>
      <c r="BH338" s="1">
        <v>2668.54</v>
      </c>
      <c r="BS338" s="1">
        <v>2686</v>
      </c>
      <c r="CB338" t="s">
        <v>2130</v>
      </c>
      <c r="CC338" t="s">
        <v>556</v>
      </c>
      <c r="DD338" t="s">
        <v>561</v>
      </c>
    </row>
    <row r="339" ht="15" customHeight="1" spans="1:122">
      <c r="AB339" t="s">
        <v>543</v>
      </c>
      <c r="AC339" t="s">
        <v>608</v>
      </c>
      <c r="AG339" s="1">
        <v>2686</v>
      </c>
      <c r="AJ339" s="1">
        <v>2686</v>
      </c>
      <c r="AK339" s="1">
        <v>17.46</v>
      </c>
      <c r="AM339" s="1">
        <v>2668.54</v>
      </c>
      <c r="AN339" t="s">
        <v>536</v>
      </c>
      <c r="AP339" t="s">
        <v>547</v>
      </c>
      <c r="AX339" s="1">
        <v>2686</v>
      </c>
      <c r="AZ339" t="s">
        <v>549</v>
      </c>
      <c r="BA339" s="1">
        <v>2686</v>
      </c>
      <c r="BB339" t="s">
        <v>2222</v>
      </c>
      <c r="BC339" t="s">
        <v>546</v>
      </c>
      <c r="BE339" t="s">
        <v>616</v>
      </c>
      <c r="BG339" s="1">
        <v>17.46</v>
      </c>
      <c r="BH339" s="1">
        <v>2668.54</v>
      </c>
      <c r="BS339" s="1">
        <v>2686</v>
      </c>
      <c r="CB339" t="s">
        <v>2130</v>
      </c>
      <c r="CC339" t="s">
        <v>556</v>
      </c>
      <c r="DD339" t="s">
        <v>561</v>
      </c>
    </row>
    <row r="340" ht="15" customHeight="1" spans="1:122">
      <c r="AB340" t="s">
        <v>543</v>
      </c>
      <c r="AC340" t="s">
        <v>608</v>
      </c>
      <c r="AG340" s="1">
        <v>2614</v>
      </c>
      <c r="AJ340" s="1">
        <v>2614</v>
      </c>
      <c r="AK340" s="1">
        <v>16.99</v>
      </c>
      <c r="AM340" s="1">
        <v>2597.01</v>
      </c>
      <c r="AN340" t="s">
        <v>536</v>
      </c>
      <c r="AP340" t="s">
        <v>547</v>
      </c>
      <c r="AX340" s="1">
        <v>2614</v>
      </c>
      <c r="AZ340" t="s">
        <v>549</v>
      </c>
      <c r="BA340" s="1">
        <v>2614</v>
      </c>
      <c r="BB340" t="s">
        <v>2223</v>
      </c>
      <c r="BC340" t="s">
        <v>546</v>
      </c>
      <c r="BE340" t="s">
        <v>616</v>
      </c>
      <c r="BG340" s="1">
        <v>16.99</v>
      </c>
      <c r="BH340" s="1">
        <v>2597.01</v>
      </c>
      <c r="BS340" s="1">
        <v>2614</v>
      </c>
      <c r="CB340" t="s">
        <v>2130</v>
      </c>
      <c r="CC340" t="s">
        <v>556</v>
      </c>
      <c r="DD340" t="s">
        <v>561</v>
      </c>
    </row>
    <row r="341" ht="15" customHeight="1" spans="1:122">
      <c r="AB341" t="s">
        <v>543</v>
      </c>
      <c r="AC341" t="s">
        <v>608</v>
      </c>
      <c r="AG341" s="1">
        <v>3701</v>
      </c>
      <c r="AJ341" s="1">
        <v>3701</v>
      </c>
      <c r="AK341" s="1">
        <v>24.06</v>
      </c>
      <c r="AM341" s="1">
        <v>3676.94</v>
      </c>
      <c r="AN341" t="s">
        <v>536</v>
      </c>
      <c r="AP341" t="s">
        <v>547</v>
      </c>
      <c r="AX341" s="1">
        <v>3701</v>
      </c>
      <c r="AZ341" t="s">
        <v>549</v>
      </c>
      <c r="BA341" s="1">
        <v>3701</v>
      </c>
      <c r="BB341" t="s">
        <v>2224</v>
      </c>
      <c r="BC341" t="s">
        <v>546</v>
      </c>
      <c r="BE341" t="s">
        <v>616</v>
      </c>
      <c r="BG341" s="1">
        <v>24.06</v>
      </c>
      <c r="BH341" s="1">
        <v>3676.94</v>
      </c>
      <c r="BS341" s="1">
        <v>3701</v>
      </c>
      <c r="CB341" t="s">
        <v>2130</v>
      </c>
      <c r="CC341" t="s">
        <v>556</v>
      </c>
      <c r="DD341" t="s">
        <v>561</v>
      </c>
    </row>
    <row r="342" ht="15" customHeight="1" spans="1:122">
      <c r="AB342" t="s">
        <v>543</v>
      </c>
      <c r="AC342" t="s">
        <v>608</v>
      </c>
      <c r="AG342" s="1">
        <v>3460</v>
      </c>
      <c r="AJ342" s="1">
        <v>3460</v>
      </c>
      <c r="AK342" s="1">
        <v>22.49</v>
      </c>
      <c r="AM342" s="1">
        <v>3437.51</v>
      </c>
      <c r="AN342" t="s">
        <v>536</v>
      </c>
      <c r="AP342" t="s">
        <v>547</v>
      </c>
      <c r="AX342" s="1">
        <v>3460</v>
      </c>
      <c r="AZ342" t="s">
        <v>549</v>
      </c>
      <c r="BA342" s="1">
        <v>3460</v>
      </c>
      <c r="BB342" t="s">
        <v>2225</v>
      </c>
      <c r="BC342" t="s">
        <v>546</v>
      </c>
      <c r="BE342" t="s">
        <v>616</v>
      </c>
      <c r="BG342" s="1">
        <v>22.49</v>
      </c>
      <c r="BH342" s="1">
        <v>3437.51</v>
      </c>
      <c r="BS342" s="1">
        <v>3460</v>
      </c>
      <c r="CB342" t="s">
        <v>2130</v>
      </c>
      <c r="CC342" t="s">
        <v>556</v>
      </c>
      <c r="DD342" t="s">
        <v>561</v>
      </c>
    </row>
    <row r="343" ht="15" customHeight="1" spans="1:122">
      <c r="AB343" t="s">
        <v>543</v>
      </c>
      <c r="AC343" t="s">
        <v>608</v>
      </c>
      <c r="AG343" s="1">
        <v>3590</v>
      </c>
      <c r="AJ343" s="1">
        <v>3590</v>
      </c>
      <c r="AK343" s="1">
        <v>23.34</v>
      </c>
      <c r="AM343" s="1">
        <v>3566.66</v>
      </c>
      <c r="AN343" t="s">
        <v>536</v>
      </c>
      <c r="AP343" t="s">
        <v>547</v>
      </c>
      <c r="AX343" s="1">
        <v>3590</v>
      </c>
      <c r="AZ343" t="s">
        <v>549</v>
      </c>
      <c r="BA343" s="1">
        <v>3590</v>
      </c>
      <c r="BB343" t="s">
        <v>2226</v>
      </c>
      <c r="BC343" t="s">
        <v>546</v>
      </c>
      <c r="BE343" t="s">
        <v>616</v>
      </c>
      <c r="BG343" s="1">
        <v>23.34</v>
      </c>
      <c r="BH343" s="1">
        <v>3566.66</v>
      </c>
      <c r="BS343" s="1">
        <v>3590</v>
      </c>
      <c r="CB343" t="s">
        <v>2130</v>
      </c>
      <c r="CC343" t="s">
        <v>556</v>
      </c>
      <c r="DD343" t="s">
        <v>561</v>
      </c>
    </row>
    <row r="344" ht="15" customHeight="1" spans="1:122">
      <c r="A344" t="s">
        <v>603</v>
      </c>
      <c r="B344" t="s">
        <v>2227</v>
      </c>
      <c r="C344" t="s">
        <v>532</v>
      </c>
      <c r="D344" t="s">
        <v>2156</v>
      </c>
      <c r="E344" t="s">
        <v>534</v>
      </c>
      <c r="F344" t="s">
        <v>534</v>
      </c>
      <c r="G344" t="s">
        <v>535</v>
      </c>
      <c r="H344" s="1">
        <v>17440</v>
      </c>
      <c r="I344" s="1">
        <v>17326.64</v>
      </c>
      <c r="J344" t="s">
        <v>536</v>
      </c>
      <c r="L344" t="s">
        <v>536</v>
      </c>
      <c r="M344" t="s">
        <v>411</v>
      </c>
      <c r="N344" t="s">
        <v>369</v>
      </c>
      <c r="P344" s="1">
        <v>17440</v>
      </c>
      <c r="Q344" t="s">
        <v>606</v>
      </c>
      <c r="R344" t="s">
        <v>535</v>
      </c>
      <c r="S344" t="s">
        <v>539</v>
      </c>
      <c r="T344" s="2">
        <v>1</v>
      </c>
      <c r="U344" s="1">
        <v>17440</v>
      </c>
      <c r="V344" s="1">
        <v>17326.64</v>
      </c>
      <c r="X344" t="s">
        <v>616</v>
      </c>
      <c r="Z344" t="s">
        <v>541</v>
      </c>
      <c r="AA344" t="s">
        <v>542</v>
      </c>
      <c r="AB344" t="s">
        <v>543</v>
      </c>
      <c r="AC344" t="s">
        <v>608</v>
      </c>
      <c r="AE344" s="3">
        <v>1</v>
      </c>
      <c r="AG344" s="1">
        <v>2574</v>
      </c>
      <c r="AI344" s="1">
        <v>17440</v>
      </c>
      <c r="AJ344" s="1">
        <v>2574</v>
      </c>
      <c r="AK344" s="1">
        <v>16.73</v>
      </c>
      <c r="AM344" s="1">
        <v>2557.27</v>
      </c>
      <c r="AN344" t="s">
        <v>536</v>
      </c>
      <c r="AO344" t="s">
        <v>546</v>
      </c>
      <c r="AP344" t="s">
        <v>547</v>
      </c>
      <c r="AQ344" t="s">
        <v>548</v>
      </c>
      <c r="AS344" t="s">
        <v>411</v>
      </c>
      <c r="AX344" s="1">
        <v>2574</v>
      </c>
      <c r="AY344" t="s">
        <v>546</v>
      </c>
      <c r="AZ344" t="s">
        <v>549</v>
      </c>
      <c r="BA344" s="1">
        <v>2574</v>
      </c>
      <c r="BB344" t="s">
        <v>2228</v>
      </c>
      <c r="BC344" t="s">
        <v>546</v>
      </c>
      <c r="BE344" t="s">
        <v>616</v>
      </c>
      <c r="BG344" s="1">
        <v>16.73</v>
      </c>
      <c r="BH344" s="1">
        <v>2557.27</v>
      </c>
      <c r="BI344" t="s">
        <v>550</v>
      </c>
      <c r="BJ344" t="s">
        <v>610</v>
      </c>
      <c r="BK344" t="s">
        <v>552</v>
      </c>
      <c r="BL344" t="s">
        <v>552</v>
      </c>
      <c r="BM344" t="s">
        <v>2130</v>
      </c>
      <c r="BN344" t="s">
        <v>2229</v>
      </c>
      <c r="BO344" t="s">
        <v>2230</v>
      </c>
      <c r="BR344" t="s">
        <v>546</v>
      </c>
      <c r="BS344" s="1">
        <v>2574</v>
      </c>
      <c r="BW344" t="s">
        <v>536</v>
      </c>
      <c r="BZ344" t="s">
        <v>535</v>
      </c>
      <c r="CA344" t="s">
        <v>546</v>
      </c>
      <c r="CB344" t="s">
        <v>2156</v>
      </c>
      <c r="CC344" t="s">
        <v>556</v>
      </c>
      <c r="CH344" t="s">
        <v>546</v>
      </c>
      <c r="CK344" t="s">
        <v>2231</v>
      </c>
      <c r="CN344" t="s">
        <v>535</v>
      </c>
      <c r="CO344" t="s">
        <v>539</v>
      </c>
      <c r="CT344" t="s">
        <v>576</v>
      </c>
      <c r="CW344" t="s">
        <v>546</v>
      </c>
      <c r="DD344" t="s">
        <v>561</v>
      </c>
      <c r="DK344" t="s">
        <v>2232</v>
      </c>
      <c r="DR344" t="s">
        <v>2232</v>
      </c>
    </row>
    <row r="345" ht="15" customHeight="1" spans="1:122">
      <c r="AB345" t="s">
        <v>543</v>
      </c>
      <c r="AC345" t="s">
        <v>608</v>
      </c>
      <c r="AG345" s="1">
        <v>2574</v>
      </c>
      <c r="AJ345" s="1">
        <v>2574</v>
      </c>
      <c r="AK345" s="1">
        <v>16.73</v>
      </c>
      <c r="AM345" s="1">
        <v>2557.27</v>
      </c>
      <c r="AN345" t="s">
        <v>536</v>
      </c>
      <c r="AP345" t="s">
        <v>547</v>
      </c>
      <c r="AX345" s="1">
        <v>2574</v>
      </c>
      <c r="AZ345" t="s">
        <v>549</v>
      </c>
      <c r="BA345" s="1">
        <v>2574</v>
      </c>
      <c r="BB345" t="s">
        <v>2233</v>
      </c>
      <c r="BC345" t="s">
        <v>546</v>
      </c>
      <c r="BE345" t="s">
        <v>616</v>
      </c>
      <c r="BG345" s="1">
        <v>16.73</v>
      </c>
      <c r="BH345" s="1">
        <v>2557.27</v>
      </c>
      <c r="BS345" s="1">
        <v>2574</v>
      </c>
      <c r="CB345" t="s">
        <v>2156</v>
      </c>
      <c r="CC345" t="s">
        <v>556</v>
      </c>
      <c r="DD345" t="s">
        <v>561</v>
      </c>
    </row>
    <row r="346" ht="15" customHeight="1" spans="1:122">
      <c r="AB346" t="s">
        <v>543</v>
      </c>
      <c r="AC346" t="s">
        <v>608</v>
      </c>
      <c r="AG346" s="1">
        <v>3460</v>
      </c>
      <c r="AJ346" s="1">
        <v>3460</v>
      </c>
      <c r="AK346" s="1">
        <v>22.49</v>
      </c>
      <c r="AM346" s="1">
        <v>3437.51</v>
      </c>
      <c r="AN346" t="s">
        <v>536</v>
      </c>
      <c r="AP346" t="s">
        <v>547</v>
      </c>
      <c r="AX346" s="1">
        <v>3460</v>
      </c>
      <c r="AZ346" t="s">
        <v>549</v>
      </c>
      <c r="BA346" s="1">
        <v>3460</v>
      </c>
      <c r="BB346" t="s">
        <v>2234</v>
      </c>
      <c r="BC346" t="s">
        <v>546</v>
      </c>
      <c r="BE346" t="s">
        <v>616</v>
      </c>
      <c r="BG346" s="1">
        <v>22.49</v>
      </c>
      <c r="BH346" s="1">
        <v>3437.51</v>
      </c>
      <c r="BS346" s="1">
        <v>3460</v>
      </c>
      <c r="CB346" t="s">
        <v>2156</v>
      </c>
      <c r="CC346" t="s">
        <v>556</v>
      </c>
      <c r="DD346" t="s">
        <v>561</v>
      </c>
    </row>
    <row r="347" ht="15" customHeight="1" spans="1:122">
      <c r="AB347" t="s">
        <v>543</v>
      </c>
      <c r="AC347" t="s">
        <v>608</v>
      </c>
      <c r="AG347" s="1">
        <v>2686</v>
      </c>
      <c r="AJ347" s="1">
        <v>2686</v>
      </c>
      <c r="AK347" s="1">
        <v>17.46</v>
      </c>
      <c r="AM347" s="1">
        <v>2668.54</v>
      </c>
      <c r="AN347" t="s">
        <v>536</v>
      </c>
      <c r="AP347" t="s">
        <v>547</v>
      </c>
      <c r="AX347" s="1">
        <v>2686</v>
      </c>
      <c r="AZ347" t="s">
        <v>549</v>
      </c>
      <c r="BA347" s="1">
        <v>2686</v>
      </c>
      <c r="BB347" t="s">
        <v>2235</v>
      </c>
      <c r="BC347" t="s">
        <v>546</v>
      </c>
      <c r="BE347" t="s">
        <v>616</v>
      </c>
      <c r="BG347" s="1">
        <v>17.46</v>
      </c>
      <c r="BH347" s="1">
        <v>2668.54</v>
      </c>
      <c r="BS347" s="1">
        <v>2686</v>
      </c>
      <c r="CB347" t="s">
        <v>2156</v>
      </c>
      <c r="CC347" t="s">
        <v>556</v>
      </c>
      <c r="DD347" t="s">
        <v>561</v>
      </c>
    </row>
    <row r="348" ht="15" customHeight="1" spans="1:122">
      <c r="AB348" t="s">
        <v>543</v>
      </c>
      <c r="AC348" t="s">
        <v>608</v>
      </c>
      <c r="AG348" s="1">
        <v>3460</v>
      </c>
      <c r="AJ348" s="1">
        <v>3460</v>
      </c>
      <c r="AK348" s="1">
        <v>22.49</v>
      </c>
      <c r="AM348" s="1">
        <v>3437.51</v>
      </c>
      <c r="AN348" t="s">
        <v>536</v>
      </c>
      <c r="AP348" t="s">
        <v>547</v>
      </c>
      <c r="AX348" s="1">
        <v>3460</v>
      </c>
      <c r="AZ348" t="s">
        <v>549</v>
      </c>
      <c r="BA348" s="1">
        <v>3460</v>
      </c>
      <c r="BB348" t="s">
        <v>2236</v>
      </c>
      <c r="BC348" t="s">
        <v>546</v>
      </c>
      <c r="BE348" t="s">
        <v>616</v>
      </c>
      <c r="BG348" s="1">
        <v>22.49</v>
      </c>
      <c r="BH348" s="1">
        <v>3437.51</v>
      </c>
      <c r="BS348" s="1">
        <v>3460</v>
      </c>
      <c r="CB348" t="s">
        <v>2156</v>
      </c>
      <c r="CC348" t="s">
        <v>556</v>
      </c>
      <c r="DD348" t="s">
        <v>561</v>
      </c>
    </row>
    <row r="349" ht="15" customHeight="1" spans="1:122">
      <c r="AB349" t="s">
        <v>543</v>
      </c>
      <c r="AC349" t="s">
        <v>608</v>
      </c>
      <c r="AG349" s="1">
        <v>2686</v>
      </c>
      <c r="AJ349" s="1">
        <v>2686</v>
      </c>
      <c r="AK349" s="1">
        <v>17.46</v>
      </c>
      <c r="AM349" s="1">
        <v>2668.54</v>
      </c>
      <c r="AN349" t="s">
        <v>536</v>
      </c>
      <c r="AP349" t="s">
        <v>547</v>
      </c>
      <c r="AX349" s="1">
        <v>2686</v>
      </c>
      <c r="AZ349" t="s">
        <v>549</v>
      </c>
      <c r="BA349" s="1">
        <v>2686</v>
      </c>
      <c r="BB349" t="s">
        <v>2237</v>
      </c>
      <c r="BC349" t="s">
        <v>546</v>
      </c>
      <c r="BE349" t="s">
        <v>616</v>
      </c>
      <c r="BG349" s="1">
        <v>17.46</v>
      </c>
      <c r="BH349" s="1">
        <v>2668.54</v>
      </c>
      <c r="BS349" s="1">
        <v>2686</v>
      </c>
      <c r="CB349" t="s">
        <v>2156</v>
      </c>
      <c r="CC349" t="s">
        <v>556</v>
      </c>
      <c r="DD349" t="s">
        <v>561</v>
      </c>
    </row>
    <row r="350" ht="15" customHeight="1" spans="1:122">
      <c r="A350" t="s">
        <v>530</v>
      </c>
      <c r="B350" t="s">
        <v>2238</v>
      </c>
      <c r="C350" t="s">
        <v>532</v>
      </c>
      <c r="D350" t="s">
        <v>2033</v>
      </c>
      <c r="E350" t="s">
        <v>534</v>
      </c>
      <c r="F350" t="s">
        <v>534</v>
      </c>
      <c r="G350" t="s">
        <v>535</v>
      </c>
      <c r="H350" s="1">
        <v>1760</v>
      </c>
      <c r="I350" s="1">
        <v>1749.44</v>
      </c>
      <c r="J350" t="s">
        <v>536</v>
      </c>
      <c r="L350" t="s">
        <v>536</v>
      </c>
      <c r="M350" t="s">
        <v>375</v>
      </c>
      <c r="N350" t="s">
        <v>537</v>
      </c>
      <c r="P350" s="1">
        <v>1760</v>
      </c>
      <c r="Q350" t="s">
        <v>580</v>
      </c>
      <c r="R350" t="s">
        <v>535</v>
      </c>
      <c r="S350" t="s">
        <v>539</v>
      </c>
      <c r="T350" s="2">
        <v>1</v>
      </c>
      <c r="U350" s="1">
        <v>1760</v>
      </c>
      <c r="V350" s="1">
        <v>1749.44</v>
      </c>
      <c r="X350" t="s">
        <v>540</v>
      </c>
      <c r="Z350" t="s">
        <v>541</v>
      </c>
      <c r="AA350" t="s">
        <v>542</v>
      </c>
      <c r="AB350" t="s">
        <v>543</v>
      </c>
      <c r="AC350" t="s">
        <v>544</v>
      </c>
      <c r="AD350" t="s">
        <v>545</v>
      </c>
      <c r="AE350" s="3">
        <v>1</v>
      </c>
      <c r="AF350" t="s">
        <v>149</v>
      </c>
      <c r="AG350" s="1">
        <v>1760</v>
      </c>
      <c r="AI350" s="1">
        <v>1760</v>
      </c>
      <c r="AJ350" s="1">
        <v>1760</v>
      </c>
      <c r="AK350" s="1">
        <v>10.56</v>
      </c>
      <c r="AM350" s="1">
        <v>1749.44</v>
      </c>
      <c r="AN350" t="s">
        <v>536</v>
      </c>
      <c r="AO350" t="s">
        <v>546</v>
      </c>
      <c r="AP350" t="s">
        <v>547</v>
      </c>
      <c r="AQ350" t="s">
        <v>548</v>
      </c>
      <c r="AS350" t="s">
        <v>375</v>
      </c>
      <c r="AX350" s="1">
        <v>1760</v>
      </c>
      <c r="AY350" t="s">
        <v>546</v>
      </c>
      <c r="AZ350" t="s">
        <v>549</v>
      </c>
      <c r="BA350" s="1">
        <v>1760</v>
      </c>
      <c r="BC350" t="s">
        <v>546</v>
      </c>
      <c r="BD350" s="1">
        <v>1760</v>
      </c>
      <c r="BE350" t="s">
        <v>540</v>
      </c>
      <c r="BF350" s="1">
        <v>1760</v>
      </c>
      <c r="BG350" s="1">
        <v>10.56</v>
      </c>
      <c r="BH350" s="1">
        <v>1749.44</v>
      </c>
      <c r="BI350" t="s">
        <v>550</v>
      </c>
      <c r="BJ350" t="s">
        <v>570</v>
      </c>
      <c r="BK350" t="s">
        <v>552</v>
      </c>
      <c r="BL350" t="s">
        <v>552</v>
      </c>
      <c r="BM350" t="s">
        <v>2156</v>
      </c>
      <c r="BN350" t="s">
        <v>2239</v>
      </c>
      <c r="BO350" t="s">
        <v>2240</v>
      </c>
      <c r="BR350" t="s">
        <v>546</v>
      </c>
      <c r="BS350" s="1">
        <v>1760</v>
      </c>
      <c r="BW350" t="s">
        <v>536</v>
      </c>
      <c r="BX350" s="1">
        <v>1760</v>
      </c>
      <c r="BZ350" t="s">
        <v>535</v>
      </c>
      <c r="CA350" t="s">
        <v>546</v>
      </c>
      <c r="CB350" t="s">
        <v>2033</v>
      </c>
      <c r="CC350" t="s">
        <v>556</v>
      </c>
      <c r="CD350" t="s">
        <v>2241</v>
      </c>
      <c r="CE350" t="s">
        <v>2242</v>
      </c>
      <c r="CF350" t="s">
        <v>149</v>
      </c>
      <c r="CG350" s="4">
        <v>1</v>
      </c>
      <c r="CH350" t="s">
        <v>546</v>
      </c>
      <c r="CK350" t="s">
        <v>2243</v>
      </c>
      <c r="CL350" s="1">
        <v>1760</v>
      </c>
      <c r="CN350" t="s">
        <v>535</v>
      </c>
      <c r="CO350" t="s">
        <v>539</v>
      </c>
      <c r="CT350" t="s">
        <v>576</v>
      </c>
      <c r="CW350" t="s">
        <v>546</v>
      </c>
      <c r="DD350" t="s">
        <v>561</v>
      </c>
      <c r="DK350" t="s">
        <v>2244</v>
      </c>
      <c r="DL350" t="s">
        <v>2245</v>
      </c>
    </row>
    <row r="351" ht="15" customHeight="1" spans="1:122">
      <c r="A351" t="s">
        <v>530</v>
      </c>
      <c r="B351" t="s">
        <v>2246</v>
      </c>
      <c r="C351" t="s">
        <v>532</v>
      </c>
      <c r="D351" t="s">
        <v>2033</v>
      </c>
      <c r="E351" t="s">
        <v>534</v>
      </c>
      <c r="F351" t="s">
        <v>534</v>
      </c>
      <c r="G351" t="s">
        <v>535</v>
      </c>
      <c r="H351" s="1">
        <v>440</v>
      </c>
      <c r="I351" s="1">
        <v>440</v>
      </c>
      <c r="J351" t="s">
        <v>536</v>
      </c>
      <c r="L351" t="s">
        <v>536</v>
      </c>
      <c r="M351" t="s">
        <v>375</v>
      </c>
      <c r="N351" t="s">
        <v>537</v>
      </c>
      <c r="P351" s="1">
        <v>440</v>
      </c>
      <c r="Q351" t="s">
        <v>580</v>
      </c>
      <c r="R351" t="s">
        <v>535</v>
      </c>
      <c r="S351" t="s">
        <v>539</v>
      </c>
      <c r="T351" s="2">
        <v>1</v>
      </c>
      <c r="U351" s="1">
        <v>440</v>
      </c>
      <c r="V351" s="1">
        <v>440</v>
      </c>
      <c r="X351" t="s">
        <v>540</v>
      </c>
      <c r="Z351" t="s">
        <v>541</v>
      </c>
      <c r="AA351" t="s">
        <v>542</v>
      </c>
      <c r="AB351" t="s">
        <v>543</v>
      </c>
      <c r="AC351" t="s">
        <v>544</v>
      </c>
      <c r="AD351" t="s">
        <v>545</v>
      </c>
      <c r="AE351" s="3">
        <v>1</v>
      </c>
      <c r="AF351" t="s">
        <v>149</v>
      </c>
      <c r="AG351" s="1">
        <v>440</v>
      </c>
      <c r="AI351" s="1">
        <v>440</v>
      </c>
      <c r="AJ351" s="1">
        <v>440</v>
      </c>
      <c r="AM351" s="1">
        <v>440</v>
      </c>
      <c r="AN351" t="s">
        <v>565</v>
      </c>
      <c r="AO351" t="s">
        <v>546</v>
      </c>
      <c r="AP351" t="s">
        <v>565</v>
      </c>
      <c r="AQ351" t="s">
        <v>548</v>
      </c>
      <c r="AS351" t="s">
        <v>375</v>
      </c>
      <c r="AX351" s="1">
        <v>440</v>
      </c>
      <c r="AY351" t="s">
        <v>546</v>
      </c>
      <c r="AZ351" t="s">
        <v>566</v>
      </c>
      <c r="BA351" s="1">
        <v>440</v>
      </c>
      <c r="BC351" t="s">
        <v>546</v>
      </c>
      <c r="BD351" s="1">
        <v>440</v>
      </c>
      <c r="BE351" t="s">
        <v>540</v>
      </c>
      <c r="BF351" s="1">
        <v>440</v>
      </c>
      <c r="BH351" s="1">
        <v>440</v>
      </c>
      <c r="BI351" t="s">
        <v>550</v>
      </c>
      <c r="BJ351" t="s">
        <v>570</v>
      </c>
      <c r="BK351" t="s">
        <v>570</v>
      </c>
      <c r="BL351" t="s">
        <v>552</v>
      </c>
      <c r="BM351" t="s">
        <v>2156</v>
      </c>
      <c r="BN351" t="s">
        <v>2247</v>
      </c>
      <c r="BO351" t="s">
        <v>2248</v>
      </c>
      <c r="BR351" t="s">
        <v>546</v>
      </c>
      <c r="BS351" s="1">
        <v>440</v>
      </c>
      <c r="BW351" t="s">
        <v>536</v>
      </c>
      <c r="BX351" s="1">
        <v>440</v>
      </c>
      <c r="BZ351" t="s">
        <v>535</v>
      </c>
      <c r="CA351" t="s">
        <v>546</v>
      </c>
      <c r="CB351" t="s">
        <v>2033</v>
      </c>
      <c r="CC351" t="s">
        <v>556</v>
      </c>
      <c r="CD351" t="s">
        <v>2241</v>
      </c>
      <c r="CE351" t="s">
        <v>2242</v>
      </c>
      <c r="CF351" t="s">
        <v>149</v>
      </c>
      <c r="CG351" s="4">
        <v>1</v>
      </c>
      <c r="CH351" t="s">
        <v>546</v>
      </c>
      <c r="CK351" t="s">
        <v>2243</v>
      </c>
      <c r="CL351" s="1">
        <v>440</v>
      </c>
      <c r="CN351" t="s">
        <v>535</v>
      </c>
      <c r="CO351" t="s">
        <v>539</v>
      </c>
      <c r="CT351" t="s">
        <v>576</v>
      </c>
      <c r="CW351" t="s">
        <v>546</v>
      </c>
      <c r="DD351" t="s">
        <v>561</v>
      </c>
      <c r="DK351" t="s">
        <v>2244</v>
      </c>
      <c r="DL351" t="s">
        <v>2245</v>
      </c>
    </row>
    <row r="352" ht="15" customHeight="1" spans="1:122">
      <c r="A352" t="s">
        <v>530</v>
      </c>
      <c r="B352" t="s">
        <v>2249</v>
      </c>
      <c r="C352" t="s">
        <v>532</v>
      </c>
      <c r="D352" t="s">
        <v>2156</v>
      </c>
      <c r="E352" t="s">
        <v>534</v>
      </c>
      <c r="F352" t="s">
        <v>534</v>
      </c>
      <c r="G352" t="s">
        <v>535</v>
      </c>
      <c r="H352" s="1">
        <v>2855.15</v>
      </c>
      <c r="I352" s="1">
        <v>2855.15</v>
      </c>
      <c r="J352" t="s">
        <v>536</v>
      </c>
      <c r="L352" t="s">
        <v>536</v>
      </c>
      <c r="M352" t="s">
        <v>377</v>
      </c>
      <c r="N352" t="s">
        <v>537</v>
      </c>
      <c r="P352" s="1">
        <v>2855.15</v>
      </c>
      <c r="Q352" t="s">
        <v>538</v>
      </c>
      <c r="R352" t="s">
        <v>535</v>
      </c>
      <c r="S352" t="s">
        <v>539</v>
      </c>
      <c r="T352" s="2">
        <v>1</v>
      </c>
      <c r="U352" s="1">
        <v>2855.15</v>
      </c>
      <c r="V352" s="1">
        <v>2855.15</v>
      </c>
      <c r="X352" t="s">
        <v>540</v>
      </c>
      <c r="Z352" t="s">
        <v>541</v>
      </c>
      <c r="AA352" t="s">
        <v>542</v>
      </c>
      <c r="AB352" t="s">
        <v>543</v>
      </c>
      <c r="AC352" t="s">
        <v>544</v>
      </c>
      <c r="AD352" t="s">
        <v>545</v>
      </c>
      <c r="AE352" s="3">
        <v>1</v>
      </c>
      <c r="AF352" t="s">
        <v>16</v>
      </c>
      <c r="AG352" s="1">
        <v>2855.15</v>
      </c>
      <c r="AI352" s="1">
        <v>2855.15</v>
      </c>
      <c r="AJ352" s="1">
        <v>2855.15</v>
      </c>
      <c r="AM352" s="1">
        <v>2855.15</v>
      </c>
      <c r="AN352" t="s">
        <v>1316</v>
      </c>
      <c r="AO352" t="s">
        <v>546</v>
      </c>
      <c r="AP352" t="s">
        <v>1317</v>
      </c>
      <c r="AQ352" t="s">
        <v>548</v>
      </c>
      <c r="AS352" t="s">
        <v>377</v>
      </c>
      <c r="AX352" s="1">
        <v>2855.15</v>
      </c>
      <c r="AY352" t="s">
        <v>546</v>
      </c>
      <c r="AZ352" t="s">
        <v>1318</v>
      </c>
      <c r="BA352" s="1">
        <v>2855.15</v>
      </c>
      <c r="BC352" t="s">
        <v>546</v>
      </c>
      <c r="BD352" s="1">
        <v>2855.15</v>
      </c>
      <c r="BE352" t="s">
        <v>540</v>
      </c>
      <c r="BF352" s="1">
        <v>2855.15</v>
      </c>
      <c r="BH352" s="1">
        <v>2855.15</v>
      </c>
      <c r="BI352" t="s">
        <v>550</v>
      </c>
      <c r="BJ352" t="s">
        <v>551</v>
      </c>
      <c r="BK352" t="s">
        <v>551</v>
      </c>
      <c r="BL352" t="s">
        <v>552</v>
      </c>
      <c r="BM352" t="s">
        <v>2156</v>
      </c>
      <c r="BN352" t="s">
        <v>2250</v>
      </c>
      <c r="BO352" t="s">
        <v>2251</v>
      </c>
      <c r="BR352" t="s">
        <v>546</v>
      </c>
      <c r="BS352" s="1">
        <v>2855.15</v>
      </c>
      <c r="BW352" t="s">
        <v>536</v>
      </c>
      <c r="BX352" s="1">
        <v>2855.15</v>
      </c>
      <c r="BZ352" t="s">
        <v>535</v>
      </c>
      <c r="CA352" t="s">
        <v>546</v>
      </c>
      <c r="CB352" t="s">
        <v>2156</v>
      </c>
      <c r="CC352" t="s">
        <v>556</v>
      </c>
      <c r="CD352" t="s">
        <v>557</v>
      </c>
      <c r="CE352" t="s">
        <v>558</v>
      </c>
      <c r="CF352" t="s">
        <v>16</v>
      </c>
      <c r="CG352" s="4">
        <v>1</v>
      </c>
      <c r="CH352" t="s">
        <v>546</v>
      </c>
      <c r="CK352" t="s">
        <v>2252</v>
      </c>
      <c r="CL352" s="1">
        <v>2855.15</v>
      </c>
      <c r="CN352" t="s">
        <v>535</v>
      </c>
      <c r="CO352" t="s">
        <v>539</v>
      </c>
      <c r="CT352" t="s">
        <v>560</v>
      </c>
      <c r="CW352" t="s">
        <v>546</v>
      </c>
      <c r="DD352" t="s">
        <v>561</v>
      </c>
      <c r="DK352" t="s">
        <v>2253</v>
      </c>
      <c r="DL352" t="s">
        <v>2254</v>
      </c>
    </row>
    <row r="353" ht="15" customHeight="1" spans="1:122">
      <c r="A353" t="s">
        <v>530</v>
      </c>
      <c r="B353" t="s">
        <v>2255</v>
      </c>
      <c r="C353" t="s">
        <v>532</v>
      </c>
      <c r="D353" t="s">
        <v>2156</v>
      </c>
      <c r="E353" t="s">
        <v>534</v>
      </c>
      <c r="F353" t="s">
        <v>534</v>
      </c>
      <c r="G353" t="s">
        <v>535</v>
      </c>
      <c r="H353" s="1">
        <v>503.85</v>
      </c>
      <c r="I353" s="1">
        <v>503.85</v>
      </c>
      <c r="J353" t="s">
        <v>536</v>
      </c>
      <c r="L353" t="s">
        <v>536</v>
      </c>
      <c r="M353" t="s">
        <v>377</v>
      </c>
      <c r="N353" t="s">
        <v>537</v>
      </c>
      <c r="P353" s="1">
        <v>503.85</v>
      </c>
      <c r="Q353" t="s">
        <v>538</v>
      </c>
      <c r="R353" t="s">
        <v>535</v>
      </c>
      <c r="S353" t="s">
        <v>539</v>
      </c>
      <c r="T353" s="2">
        <v>1</v>
      </c>
      <c r="U353" s="1">
        <v>503.85</v>
      </c>
      <c r="V353" s="1">
        <v>503.85</v>
      </c>
      <c r="X353" t="s">
        <v>540</v>
      </c>
      <c r="Z353" t="s">
        <v>541</v>
      </c>
      <c r="AA353" t="s">
        <v>542</v>
      </c>
      <c r="AB353" t="s">
        <v>543</v>
      </c>
      <c r="AC353" t="s">
        <v>544</v>
      </c>
      <c r="AD353" t="s">
        <v>545</v>
      </c>
      <c r="AE353" s="3">
        <v>1</v>
      </c>
      <c r="AF353" t="s">
        <v>16</v>
      </c>
      <c r="AG353" s="1">
        <v>503.85</v>
      </c>
      <c r="AI353" s="1">
        <v>503.85</v>
      </c>
      <c r="AJ353" s="1">
        <v>503.85</v>
      </c>
      <c r="AM353" s="1">
        <v>503.85</v>
      </c>
      <c r="AN353" t="s">
        <v>1316</v>
      </c>
      <c r="AO353" t="s">
        <v>546</v>
      </c>
      <c r="AP353" t="s">
        <v>1317</v>
      </c>
      <c r="AQ353" t="s">
        <v>548</v>
      </c>
      <c r="AS353" t="s">
        <v>377</v>
      </c>
      <c r="AX353" s="1">
        <v>503.85</v>
      </c>
      <c r="AY353" t="s">
        <v>546</v>
      </c>
      <c r="AZ353" t="s">
        <v>1318</v>
      </c>
      <c r="BA353" s="1">
        <v>503.85</v>
      </c>
      <c r="BC353" t="s">
        <v>546</v>
      </c>
      <c r="BD353" s="1">
        <v>503.85</v>
      </c>
      <c r="BE353" t="s">
        <v>540</v>
      </c>
      <c r="BF353" s="1">
        <v>503.85</v>
      </c>
      <c r="BH353" s="1">
        <v>503.85</v>
      </c>
      <c r="BI353" t="s">
        <v>550</v>
      </c>
      <c r="BJ353" t="s">
        <v>551</v>
      </c>
      <c r="BK353" t="s">
        <v>551</v>
      </c>
      <c r="BL353" t="s">
        <v>552</v>
      </c>
      <c r="BM353" t="s">
        <v>2156</v>
      </c>
      <c r="BN353" t="s">
        <v>2256</v>
      </c>
      <c r="BO353" t="s">
        <v>2257</v>
      </c>
      <c r="BR353" t="s">
        <v>546</v>
      </c>
      <c r="BS353" s="1">
        <v>503.85</v>
      </c>
      <c r="BW353" t="s">
        <v>536</v>
      </c>
      <c r="BX353" s="1">
        <v>503.85</v>
      </c>
      <c r="BZ353" t="s">
        <v>535</v>
      </c>
      <c r="CA353" t="s">
        <v>546</v>
      </c>
      <c r="CB353" t="s">
        <v>2156</v>
      </c>
      <c r="CC353" t="s">
        <v>556</v>
      </c>
      <c r="CD353" t="s">
        <v>557</v>
      </c>
      <c r="CE353" t="s">
        <v>558</v>
      </c>
      <c r="CF353" t="s">
        <v>16</v>
      </c>
      <c r="CG353" s="4">
        <v>1</v>
      </c>
      <c r="CH353" t="s">
        <v>546</v>
      </c>
      <c r="CK353" t="s">
        <v>2258</v>
      </c>
      <c r="CL353" s="1">
        <v>503.85</v>
      </c>
      <c r="CN353" t="s">
        <v>535</v>
      </c>
      <c r="CO353" t="s">
        <v>539</v>
      </c>
      <c r="CT353" t="s">
        <v>560</v>
      </c>
      <c r="CW353" t="s">
        <v>546</v>
      </c>
      <c r="DD353" t="s">
        <v>561</v>
      </c>
      <c r="DK353" t="s">
        <v>2253</v>
      </c>
      <c r="DL353" t="s">
        <v>2254</v>
      </c>
    </row>
    <row r="354" ht="15" customHeight="1" spans="1:122">
      <c r="A354" t="s">
        <v>530</v>
      </c>
      <c r="B354" t="s">
        <v>2259</v>
      </c>
      <c r="C354" t="s">
        <v>532</v>
      </c>
      <c r="D354" t="s">
        <v>2156</v>
      </c>
      <c r="E354" t="s">
        <v>534</v>
      </c>
      <c r="F354" t="s">
        <v>534</v>
      </c>
      <c r="G354" t="s">
        <v>535</v>
      </c>
      <c r="H354" s="1">
        <v>750</v>
      </c>
      <c r="I354" s="1">
        <v>750</v>
      </c>
      <c r="J354" t="s">
        <v>536</v>
      </c>
      <c r="L354" t="s">
        <v>536</v>
      </c>
      <c r="M354" t="s">
        <v>382</v>
      </c>
      <c r="N354" t="s">
        <v>537</v>
      </c>
      <c r="P354" s="1">
        <v>750</v>
      </c>
      <c r="Q354" t="s">
        <v>785</v>
      </c>
      <c r="R354" t="s">
        <v>535</v>
      </c>
      <c r="S354" t="s">
        <v>539</v>
      </c>
      <c r="T354" s="2">
        <v>1</v>
      </c>
      <c r="U354" s="1">
        <v>750</v>
      </c>
      <c r="V354" s="1">
        <v>750</v>
      </c>
      <c r="X354" t="s">
        <v>540</v>
      </c>
      <c r="Z354" t="s">
        <v>541</v>
      </c>
      <c r="AA354" t="s">
        <v>542</v>
      </c>
      <c r="AB354" t="s">
        <v>543</v>
      </c>
      <c r="AC354" t="s">
        <v>544</v>
      </c>
      <c r="AD354" t="s">
        <v>545</v>
      </c>
      <c r="AE354" s="3">
        <v>1</v>
      </c>
      <c r="AF354" t="s">
        <v>151</v>
      </c>
      <c r="AG354" s="1">
        <v>750</v>
      </c>
      <c r="AI354" s="1">
        <v>750</v>
      </c>
      <c r="AJ354" s="1">
        <v>750</v>
      </c>
      <c r="AM354" s="1">
        <v>750</v>
      </c>
      <c r="AN354" t="s">
        <v>643</v>
      </c>
      <c r="AO354" t="s">
        <v>546</v>
      </c>
      <c r="AP354" t="s">
        <v>643</v>
      </c>
      <c r="AQ354" t="s">
        <v>548</v>
      </c>
      <c r="AS354" t="s">
        <v>382</v>
      </c>
      <c r="AX354" s="1">
        <v>750</v>
      </c>
      <c r="AY354" t="s">
        <v>546</v>
      </c>
      <c r="AZ354" t="s">
        <v>644</v>
      </c>
      <c r="BA354" s="1">
        <v>750</v>
      </c>
      <c r="BC354" t="s">
        <v>546</v>
      </c>
      <c r="BD354" s="1">
        <v>750</v>
      </c>
      <c r="BE354" t="s">
        <v>540</v>
      </c>
      <c r="BF354" s="1">
        <v>750</v>
      </c>
      <c r="BH354" s="1">
        <v>750</v>
      </c>
      <c r="BI354" t="s">
        <v>550</v>
      </c>
      <c r="BJ354" t="s">
        <v>785</v>
      </c>
      <c r="BK354" t="s">
        <v>785</v>
      </c>
      <c r="BL354" t="s">
        <v>1905</v>
      </c>
      <c r="BM354" t="s">
        <v>2156</v>
      </c>
      <c r="BN354" t="s">
        <v>2260</v>
      </c>
      <c r="BO354" t="s">
        <v>2261</v>
      </c>
      <c r="BR354" t="s">
        <v>546</v>
      </c>
      <c r="BS354" s="1">
        <v>750</v>
      </c>
      <c r="BW354" t="s">
        <v>536</v>
      </c>
      <c r="BX354" s="1">
        <v>750</v>
      </c>
      <c r="BZ354" t="s">
        <v>535</v>
      </c>
      <c r="CA354" t="s">
        <v>546</v>
      </c>
      <c r="CB354" t="s">
        <v>2156</v>
      </c>
      <c r="CC354" t="s">
        <v>556</v>
      </c>
      <c r="CD354" t="s">
        <v>891</v>
      </c>
      <c r="CE354" t="s">
        <v>892</v>
      </c>
      <c r="CF354" t="s">
        <v>151</v>
      </c>
      <c r="CG354" s="4">
        <v>1</v>
      </c>
      <c r="CH354" t="s">
        <v>546</v>
      </c>
      <c r="CK354" t="s">
        <v>2262</v>
      </c>
      <c r="CL354" s="1">
        <v>750</v>
      </c>
      <c r="CN354" t="s">
        <v>535</v>
      </c>
      <c r="CO354" t="s">
        <v>539</v>
      </c>
      <c r="CT354" t="s">
        <v>791</v>
      </c>
      <c r="CW354" t="s">
        <v>546</v>
      </c>
      <c r="DD354" t="s">
        <v>561</v>
      </c>
      <c r="DK354" t="s">
        <v>2263</v>
      </c>
      <c r="DL354" t="s">
        <v>2264</v>
      </c>
      <c r="DR354" t="s">
        <v>2265</v>
      </c>
    </row>
    <row r="355" ht="15" customHeight="1" spans="1:122">
      <c r="A355" t="s">
        <v>603</v>
      </c>
      <c r="B355" t="s">
        <v>2266</v>
      </c>
      <c r="C355" t="s">
        <v>532</v>
      </c>
      <c r="D355" t="s">
        <v>2156</v>
      </c>
      <c r="E355" t="s">
        <v>534</v>
      </c>
      <c r="F355" t="s">
        <v>534</v>
      </c>
      <c r="G355" t="s">
        <v>535</v>
      </c>
      <c r="H355" s="1">
        <v>20000</v>
      </c>
      <c r="I355" s="1">
        <v>20000</v>
      </c>
      <c r="J355" t="s">
        <v>536</v>
      </c>
      <c r="L355" t="s">
        <v>536</v>
      </c>
      <c r="M355" t="s">
        <v>401</v>
      </c>
      <c r="N355" t="s">
        <v>537</v>
      </c>
      <c r="P355" s="1">
        <v>20000</v>
      </c>
      <c r="Q355" t="s">
        <v>905</v>
      </c>
      <c r="R355" t="s">
        <v>535</v>
      </c>
      <c r="S355" t="s">
        <v>539</v>
      </c>
      <c r="T355" s="2">
        <v>1</v>
      </c>
      <c r="U355" s="1">
        <v>20000</v>
      </c>
      <c r="V355" s="1">
        <v>20000</v>
      </c>
      <c r="X355" t="s">
        <v>616</v>
      </c>
      <c r="Z355" t="s">
        <v>541</v>
      </c>
      <c r="AA355" t="s">
        <v>542</v>
      </c>
      <c r="AB355" t="s">
        <v>543</v>
      </c>
      <c r="AC355" t="s">
        <v>608</v>
      </c>
      <c r="AE355" s="3">
        <v>1</v>
      </c>
      <c r="AG355" s="1">
        <v>20000</v>
      </c>
      <c r="AI355" s="1">
        <v>20000</v>
      </c>
      <c r="AJ355" s="1">
        <v>20000</v>
      </c>
      <c r="AM355" s="1">
        <v>20000</v>
      </c>
      <c r="AN355" t="s">
        <v>536</v>
      </c>
      <c r="AO355" t="s">
        <v>546</v>
      </c>
      <c r="AP355" t="s">
        <v>547</v>
      </c>
      <c r="AQ355" t="s">
        <v>548</v>
      </c>
      <c r="AS355" t="s">
        <v>401</v>
      </c>
      <c r="AX355" s="1">
        <v>20000</v>
      </c>
      <c r="AY355" t="s">
        <v>546</v>
      </c>
      <c r="AZ355" t="s">
        <v>549</v>
      </c>
      <c r="BA355" s="1">
        <v>20000</v>
      </c>
      <c r="BC355" t="s">
        <v>546</v>
      </c>
      <c r="BE355" t="s">
        <v>616</v>
      </c>
      <c r="BH355" s="1">
        <v>20000</v>
      </c>
      <c r="BI355" t="s">
        <v>550</v>
      </c>
      <c r="BJ355" t="s">
        <v>551</v>
      </c>
      <c r="BK355" t="s">
        <v>551</v>
      </c>
      <c r="BL355" t="s">
        <v>552</v>
      </c>
      <c r="BM355" t="s">
        <v>2156</v>
      </c>
      <c r="BN355" t="s">
        <v>2267</v>
      </c>
      <c r="BO355" t="s">
        <v>2268</v>
      </c>
      <c r="BR355" t="s">
        <v>546</v>
      </c>
      <c r="BS355" s="1">
        <v>20000</v>
      </c>
      <c r="BW355" t="s">
        <v>536</v>
      </c>
      <c r="BZ355" t="s">
        <v>535</v>
      </c>
      <c r="CA355" t="s">
        <v>546</v>
      </c>
      <c r="CB355" t="s">
        <v>2156</v>
      </c>
      <c r="CC355" t="s">
        <v>556</v>
      </c>
      <c r="CH355" t="s">
        <v>546</v>
      </c>
      <c r="CK355" t="s">
        <v>2269</v>
      </c>
      <c r="CN355" t="s">
        <v>535</v>
      </c>
      <c r="CO355" t="s">
        <v>539</v>
      </c>
      <c r="CT355" t="s">
        <v>909</v>
      </c>
      <c r="CW355" t="s">
        <v>546</v>
      </c>
      <c r="DD355" t="s">
        <v>561</v>
      </c>
    </row>
    <row r="356" ht="15" customHeight="1" spans="1:122">
      <c r="A356" t="s">
        <v>530</v>
      </c>
      <c r="B356" t="s">
        <v>2270</v>
      </c>
      <c r="C356" t="s">
        <v>532</v>
      </c>
      <c r="D356" t="s">
        <v>2033</v>
      </c>
      <c r="E356" t="s">
        <v>534</v>
      </c>
      <c r="F356" t="s">
        <v>534</v>
      </c>
      <c r="G356" t="s">
        <v>535</v>
      </c>
      <c r="H356" s="1">
        <v>4638</v>
      </c>
      <c r="I356" s="1">
        <v>4628.03</v>
      </c>
      <c r="J356" t="s">
        <v>536</v>
      </c>
      <c r="L356" t="s">
        <v>536</v>
      </c>
      <c r="M356" t="s">
        <v>371</v>
      </c>
      <c r="N356" t="s">
        <v>537</v>
      </c>
      <c r="P356" s="1">
        <v>4638</v>
      </c>
      <c r="Q356" t="s">
        <v>1060</v>
      </c>
      <c r="R356" t="s">
        <v>535</v>
      </c>
      <c r="S356" t="s">
        <v>539</v>
      </c>
      <c r="T356" s="2">
        <v>1</v>
      </c>
      <c r="U356" s="1">
        <v>4638</v>
      </c>
      <c r="V356" s="1">
        <v>4628.03</v>
      </c>
      <c r="X356" t="s">
        <v>540</v>
      </c>
      <c r="Z356" t="s">
        <v>541</v>
      </c>
      <c r="AA356" t="s">
        <v>542</v>
      </c>
      <c r="AB356" t="s">
        <v>543</v>
      </c>
      <c r="AC356" t="s">
        <v>544</v>
      </c>
      <c r="AD356" t="s">
        <v>545</v>
      </c>
      <c r="AE356" s="3">
        <v>1</v>
      </c>
      <c r="AF356" t="s">
        <v>150</v>
      </c>
      <c r="AG356" s="1">
        <v>4638</v>
      </c>
      <c r="AI356" s="1">
        <v>4638</v>
      </c>
      <c r="AJ356" s="1">
        <v>4638</v>
      </c>
      <c r="AK356" s="1">
        <v>9.97</v>
      </c>
      <c r="AM356" s="1">
        <v>4628.03</v>
      </c>
      <c r="AN356" t="s">
        <v>536</v>
      </c>
      <c r="AO356" t="s">
        <v>546</v>
      </c>
      <c r="AP356" t="s">
        <v>547</v>
      </c>
      <c r="AQ356" t="s">
        <v>548</v>
      </c>
      <c r="AS356" t="s">
        <v>371</v>
      </c>
      <c r="AX356" s="1">
        <v>4638</v>
      </c>
      <c r="AY356" t="s">
        <v>546</v>
      </c>
      <c r="AZ356" t="s">
        <v>549</v>
      </c>
      <c r="BA356" s="1">
        <v>4638</v>
      </c>
      <c r="BC356" t="s">
        <v>546</v>
      </c>
      <c r="BD356" s="1">
        <v>4638</v>
      </c>
      <c r="BE356" t="s">
        <v>540</v>
      </c>
      <c r="BF356" s="1">
        <v>4638</v>
      </c>
      <c r="BG356" s="1">
        <v>9.97</v>
      </c>
      <c r="BH356" s="1">
        <v>4628.03</v>
      </c>
      <c r="BI356" t="s">
        <v>550</v>
      </c>
      <c r="BJ356" t="s">
        <v>1060</v>
      </c>
      <c r="BK356" t="s">
        <v>552</v>
      </c>
      <c r="BL356" t="s">
        <v>552</v>
      </c>
      <c r="BM356" t="s">
        <v>2156</v>
      </c>
      <c r="BN356" t="s">
        <v>2271</v>
      </c>
      <c r="BO356" t="s">
        <v>2272</v>
      </c>
      <c r="BR356" t="s">
        <v>546</v>
      </c>
      <c r="BS356" s="1">
        <v>4638</v>
      </c>
      <c r="BW356" t="s">
        <v>536</v>
      </c>
      <c r="BX356" s="1">
        <v>4638</v>
      </c>
      <c r="BZ356" t="s">
        <v>535</v>
      </c>
      <c r="CA356" t="s">
        <v>546</v>
      </c>
      <c r="CB356" t="s">
        <v>2033</v>
      </c>
      <c r="CC356" t="s">
        <v>556</v>
      </c>
      <c r="CD356" t="s">
        <v>663</v>
      </c>
      <c r="CE356" t="s">
        <v>664</v>
      </c>
      <c r="CF356" t="s">
        <v>150</v>
      </c>
      <c r="CG356" s="4">
        <v>1</v>
      </c>
      <c r="CH356" t="s">
        <v>546</v>
      </c>
      <c r="CK356" t="s">
        <v>2273</v>
      </c>
      <c r="CL356" s="1">
        <v>4638</v>
      </c>
      <c r="CN356" t="s">
        <v>535</v>
      </c>
      <c r="CO356" t="s">
        <v>539</v>
      </c>
      <c r="CT356" t="s">
        <v>576</v>
      </c>
      <c r="CW356" t="s">
        <v>546</v>
      </c>
      <c r="DD356" t="s">
        <v>561</v>
      </c>
      <c r="DK356" t="s">
        <v>2274</v>
      </c>
      <c r="DL356" t="s">
        <v>2275</v>
      </c>
    </row>
    <row r="357" ht="15" customHeight="1" spans="1:122">
      <c r="A357" t="s">
        <v>530</v>
      </c>
      <c r="B357" t="s">
        <v>2276</v>
      </c>
      <c r="C357" t="s">
        <v>532</v>
      </c>
      <c r="D357" t="s">
        <v>2130</v>
      </c>
      <c r="E357" t="s">
        <v>534</v>
      </c>
      <c r="F357" t="s">
        <v>534</v>
      </c>
      <c r="G357" t="s">
        <v>535</v>
      </c>
      <c r="H357" s="1">
        <v>3439</v>
      </c>
      <c r="I357" s="1">
        <v>3439</v>
      </c>
      <c r="J357" t="s">
        <v>536</v>
      </c>
      <c r="L357" t="s">
        <v>536</v>
      </c>
      <c r="M357" t="s">
        <v>380</v>
      </c>
      <c r="N357" t="s">
        <v>537</v>
      </c>
      <c r="P357" s="1">
        <v>3439</v>
      </c>
      <c r="Q357" t="s">
        <v>970</v>
      </c>
      <c r="R357" t="s">
        <v>535</v>
      </c>
      <c r="S357" t="s">
        <v>539</v>
      </c>
      <c r="T357" s="2">
        <v>1</v>
      </c>
      <c r="U357" s="1">
        <v>3439</v>
      </c>
      <c r="V357" s="1">
        <v>3439</v>
      </c>
      <c r="X357" t="s">
        <v>540</v>
      </c>
      <c r="Z357" t="s">
        <v>541</v>
      </c>
      <c r="AA357" t="s">
        <v>542</v>
      </c>
      <c r="AB357" t="s">
        <v>543</v>
      </c>
      <c r="AC357" t="s">
        <v>544</v>
      </c>
      <c r="AD357" t="s">
        <v>545</v>
      </c>
      <c r="AE357" s="3">
        <v>1</v>
      </c>
      <c r="AF357" t="s">
        <v>148</v>
      </c>
      <c r="AG357" s="1">
        <v>3439</v>
      </c>
      <c r="AI357" s="1">
        <v>3439</v>
      </c>
      <c r="AJ357" s="1">
        <v>3439</v>
      </c>
      <c r="AM357" s="1">
        <v>3439</v>
      </c>
      <c r="AN357" t="s">
        <v>643</v>
      </c>
      <c r="AO357" t="s">
        <v>546</v>
      </c>
      <c r="AP357" t="s">
        <v>643</v>
      </c>
      <c r="AQ357" t="s">
        <v>548</v>
      </c>
      <c r="AS357" t="s">
        <v>380</v>
      </c>
      <c r="AX357" s="1">
        <v>3439</v>
      </c>
      <c r="AY357" t="s">
        <v>546</v>
      </c>
      <c r="AZ357" t="s">
        <v>644</v>
      </c>
      <c r="BA357" s="1">
        <v>3439</v>
      </c>
      <c r="BC357" t="s">
        <v>546</v>
      </c>
      <c r="BD357" s="1">
        <v>3439</v>
      </c>
      <c r="BE357" t="s">
        <v>540</v>
      </c>
      <c r="BF357" s="1">
        <v>3439</v>
      </c>
      <c r="BH357" s="1">
        <v>3439</v>
      </c>
      <c r="BI357" t="s">
        <v>550</v>
      </c>
      <c r="BJ357" t="s">
        <v>551</v>
      </c>
      <c r="BK357" t="s">
        <v>551</v>
      </c>
      <c r="BL357" t="s">
        <v>552</v>
      </c>
      <c r="BM357" t="s">
        <v>2156</v>
      </c>
      <c r="BN357" t="s">
        <v>2277</v>
      </c>
      <c r="BO357" t="s">
        <v>2278</v>
      </c>
      <c r="BR357" t="s">
        <v>546</v>
      </c>
      <c r="BS357" s="1">
        <v>3439</v>
      </c>
      <c r="BW357" t="s">
        <v>536</v>
      </c>
      <c r="BX357" s="1">
        <v>3439</v>
      </c>
      <c r="BZ357" t="s">
        <v>535</v>
      </c>
      <c r="CA357" t="s">
        <v>546</v>
      </c>
      <c r="CB357" t="s">
        <v>2130</v>
      </c>
      <c r="CC357" t="s">
        <v>556</v>
      </c>
      <c r="CD357" t="s">
        <v>622</v>
      </c>
      <c r="CE357" t="s">
        <v>623</v>
      </c>
      <c r="CF357" t="s">
        <v>148</v>
      </c>
      <c r="CG357" s="4">
        <v>1</v>
      </c>
      <c r="CH357" t="s">
        <v>546</v>
      </c>
      <c r="CK357" t="s">
        <v>2279</v>
      </c>
      <c r="CL357" s="1">
        <v>3439</v>
      </c>
      <c r="CN357" t="s">
        <v>535</v>
      </c>
      <c r="CO357" t="s">
        <v>539</v>
      </c>
      <c r="CT357" t="s">
        <v>576</v>
      </c>
      <c r="CW357" t="s">
        <v>546</v>
      </c>
      <c r="DD357" t="s">
        <v>561</v>
      </c>
      <c r="DK357" t="s">
        <v>2280</v>
      </c>
      <c r="DL357" t="s">
        <v>2281</v>
      </c>
      <c r="DR357" t="s">
        <v>2282</v>
      </c>
    </row>
    <row r="358" ht="15" customHeight="1" spans="1:122">
      <c r="A358" t="s">
        <v>530</v>
      </c>
      <c r="B358" t="s">
        <v>2283</v>
      </c>
      <c r="C358" t="s">
        <v>532</v>
      </c>
      <c r="D358" t="s">
        <v>2156</v>
      </c>
      <c r="E358" t="s">
        <v>534</v>
      </c>
      <c r="F358" t="s">
        <v>534</v>
      </c>
      <c r="G358" t="s">
        <v>535</v>
      </c>
      <c r="H358" s="1">
        <v>4399</v>
      </c>
      <c r="I358" s="1">
        <v>4399</v>
      </c>
      <c r="J358" t="s">
        <v>536</v>
      </c>
      <c r="L358" t="s">
        <v>536</v>
      </c>
      <c r="M358" t="s">
        <v>377</v>
      </c>
      <c r="N358" t="s">
        <v>537</v>
      </c>
      <c r="P358" s="1">
        <v>4399</v>
      </c>
      <c r="Q358" t="s">
        <v>538</v>
      </c>
      <c r="R358" t="s">
        <v>535</v>
      </c>
      <c r="S358" t="s">
        <v>539</v>
      </c>
      <c r="T358" s="2">
        <v>1</v>
      </c>
      <c r="U358" s="1">
        <v>4399</v>
      </c>
      <c r="V358" s="1">
        <v>4399</v>
      </c>
      <c r="X358" t="s">
        <v>540</v>
      </c>
      <c r="Z358" t="s">
        <v>541</v>
      </c>
      <c r="AA358" t="s">
        <v>542</v>
      </c>
      <c r="AB358" t="s">
        <v>934</v>
      </c>
      <c r="AC358" t="s">
        <v>544</v>
      </c>
      <c r="AD358" t="s">
        <v>545</v>
      </c>
      <c r="AE358" s="3">
        <v>1</v>
      </c>
      <c r="AF358" t="s">
        <v>152</v>
      </c>
      <c r="AG358" s="1">
        <v>4399</v>
      </c>
      <c r="AI358" s="1">
        <v>4399</v>
      </c>
      <c r="AJ358" s="1">
        <v>4399</v>
      </c>
      <c r="AM358" s="1">
        <v>4399</v>
      </c>
      <c r="AN358" t="s">
        <v>643</v>
      </c>
      <c r="AO358" t="s">
        <v>546</v>
      </c>
      <c r="AP358" t="s">
        <v>643</v>
      </c>
      <c r="AQ358" t="s">
        <v>548</v>
      </c>
      <c r="AS358" t="s">
        <v>377</v>
      </c>
      <c r="AX358" s="1">
        <v>4399</v>
      </c>
      <c r="AY358" t="s">
        <v>546</v>
      </c>
      <c r="AZ358" t="s">
        <v>644</v>
      </c>
      <c r="BA358" s="1">
        <v>4399</v>
      </c>
      <c r="BC358" t="s">
        <v>546</v>
      </c>
      <c r="BD358" s="1">
        <v>4399</v>
      </c>
      <c r="BE358" t="s">
        <v>540</v>
      </c>
      <c r="BF358" s="1">
        <v>4399</v>
      </c>
      <c r="BH358" s="1">
        <v>4399</v>
      </c>
      <c r="BI358" t="s">
        <v>550</v>
      </c>
      <c r="BJ358" t="s">
        <v>551</v>
      </c>
      <c r="BK358" t="s">
        <v>551</v>
      </c>
      <c r="BL358" t="s">
        <v>1905</v>
      </c>
      <c r="BM358" t="s">
        <v>2156</v>
      </c>
      <c r="BN358" t="s">
        <v>2284</v>
      </c>
      <c r="BO358" t="s">
        <v>2285</v>
      </c>
      <c r="BR358" t="s">
        <v>546</v>
      </c>
      <c r="BS358" s="1">
        <v>4399</v>
      </c>
      <c r="BW358" t="s">
        <v>536</v>
      </c>
      <c r="BX358" s="1">
        <v>4399</v>
      </c>
      <c r="BZ358" t="s">
        <v>535</v>
      </c>
      <c r="CA358" t="s">
        <v>546</v>
      </c>
      <c r="CB358" t="s">
        <v>2156</v>
      </c>
      <c r="CC358" t="s">
        <v>556</v>
      </c>
      <c r="CD358" t="s">
        <v>648</v>
      </c>
      <c r="CE358" t="s">
        <v>649</v>
      </c>
      <c r="CF358" t="s">
        <v>152</v>
      </c>
      <c r="CG358" s="4">
        <v>1</v>
      </c>
      <c r="CH358" t="s">
        <v>546</v>
      </c>
      <c r="CK358" t="s">
        <v>2286</v>
      </c>
      <c r="CL358" s="1">
        <v>4399</v>
      </c>
      <c r="CN358" t="s">
        <v>535</v>
      </c>
      <c r="CO358" t="s">
        <v>539</v>
      </c>
      <c r="CT358" t="s">
        <v>560</v>
      </c>
      <c r="CW358" t="s">
        <v>546</v>
      </c>
      <c r="DD358" t="s">
        <v>561</v>
      </c>
      <c r="DK358" t="s">
        <v>2134</v>
      </c>
      <c r="DL358" t="s">
        <v>2135</v>
      </c>
      <c r="DR358" t="s">
        <v>2287</v>
      </c>
    </row>
    <row r="359" ht="15" customHeight="1" spans="1:122">
      <c r="A359" t="s">
        <v>530</v>
      </c>
      <c r="B359" t="s">
        <v>2288</v>
      </c>
      <c r="C359" t="s">
        <v>532</v>
      </c>
      <c r="D359" t="s">
        <v>2033</v>
      </c>
      <c r="E359" t="s">
        <v>534</v>
      </c>
      <c r="F359" t="s">
        <v>534</v>
      </c>
      <c r="G359" t="s">
        <v>535</v>
      </c>
      <c r="H359" s="1">
        <v>5100</v>
      </c>
      <c r="I359" s="1">
        <v>5100</v>
      </c>
      <c r="J359" t="s">
        <v>536</v>
      </c>
      <c r="L359" t="s">
        <v>536</v>
      </c>
      <c r="M359" t="s">
        <v>382</v>
      </c>
      <c r="N359" t="s">
        <v>537</v>
      </c>
      <c r="P359" s="1">
        <v>5100</v>
      </c>
      <c r="Q359" t="s">
        <v>785</v>
      </c>
      <c r="R359" t="s">
        <v>535</v>
      </c>
      <c r="S359" t="s">
        <v>539</v>
      </c>
      <c r="T359" s="2">
        <v>1</v>
      </c>
      <c r="U359" s="1">
        <v>5100</v>
      </c>
      <c r="V359" s="1">
        <v>5100</v>
      </c>
      <c r="X359" t="s">
        <v>540</v>
      </c>
      <c r="Z359" t="s">
        <v>541</v>
      </c>
      <c r="AA359" t="s">
        <v>542</v>
      </c>
      <c r="AB359" t="s">
        <v>543</v>
      </c>
      <c r="AC359" t="s">
        <v>544</v>
      </c>
      <c r="AD359" t="s">
        <v>545</v>
      </c>
      <c r="AE359" s="3">
        <v>1</v>
      </c>
      <c r="AF359" t="s">
        <v>156</v>
      </c>
      <c r="AG359" s="1">
        <v>5100</v>
      </c>
      <c r="AI359" s="1">
        <v>5100</v>
      </c>
      <c r="AJ359" s="1">
        <v>5100</v>
      </c>
      <c r="AM359" s="1">
        <v>5100</v>
      </c>
      <c r="AN359" t="s">
        <v>643</v>
      </c>
      <c r="AO359" t="s">
        <v>546</v>
      </c>
      <c r="AP359" t="s">
        <v>643</v>
      </c>
      <c r="AQ359" t="s">
        <v>548</v>
      </c>
      <c r="AS359" t="s">
        <v>382</v>
      </c>
      <c r="AX359" s="1">
        <v>5100</v>
      </c>
      <c r="AY359" t="s">
        <v>546</v>
      </c>
      <c r="AZ359" t="s">
        <v>644</v>
      </c>
      <c r="BA359" s="1">
        <v>5100</v>
      </c>
      <c r="BC359" t="s">
        <v>546</v>
      </c>
      <c r="BD359" s="1">
        <v>5100</v>
      </c>
      <c r="BE359" t="s">
        <v>540</v>
      </c>
      <c r="BF359" s="1">
        <v>5100</v>
      </c>
      <c r="BH359" s="1">
        <v>5100</v>
      </c>
      <c r="BI359" t="s">
        <v>550</v>
      </c>
      <c r="BJ359" t="s">
        <v>785</v>
      </c>
      <c r="BK359" t="s">
        <v>785</v>
      </c>
      <c r="BL359" t="s">
        <v>1905</v>
      </c>
      <c r="BM359" t="s">
        <v>2033</v>
      </c>
      <c r="BN359" t="s">
        <v>2289</v>
      </c>
      <c r="BO359" t="s">
        <v>2290</v>
      </c>
      <c r="BR359" t="s">
        <v>546</v>
      </c>
      <c r="BS359" s="1">
        <v>5100</v>
      </c>
      <c r="BW359" t="s">
        <v>536</v>
      </c>
      <c r="BX359" s="1">
        <v>5100</v>
      </c>
      <c r="BZ359" t="s">
        <v>535</v>
      </c>
      <c r="CA359" t="s">
        <v>546</v>
      </c>
      <c r="CB359" t="s">
        <v>2033</v>
      </c>
      <c r="CC359" t="s">
        <v>556</v>
      </c>
      <c r="CD359" t="s">
        <v>1668</v>
      </c>
      <c r="CE359" t="s">
        <v>1669</v>
      </c>
      <c r="CF359" t="s">
        <v>156</v>
      </c>
      <c r="CG359" s="4">
        <v>1</v>
      </c>
      <c r="CH359" t="s">
        <v>546</v>
      </c>
      <c r="CK359" t="s">
        <v>2291</v>
      </c>
      <c r="CL359" s="1">
        <v>5100</v>
      </c>
      <c r="CN359" t="s">
        <v>535</v>
      </c>
      <c r="CO359" t="s">
        <v>539</v>
      </c>
      <c r="CT359" t="s">
        <v>791</v>
      </c>
      <c r="CW359" t="s">
        <v>546</v>
      </c>
      <c r="DD359" t="s">
        <v>561</v>
      </c>
      <c r="DK359" t="s">
        <v>2292</v>
      </c>
      <c r="DL359" t="s">
        <v>2293</v>
      </c>
      <c r="DR359" t="s">
        <v>2294</v>
      </c>
    </row>
    <row r="360" ht="15" customHeight="1" spans="1:122">
      <c r="A360" t="s">
        <v>530</v>
      </c>
      <c r="B360" t="s">
        <v>2295</v>
      </c>
      <c r="C360" t="s">
        <v>656</v>
      </c>
      <c r="D360" t="s">
        <v>2156</v>
      </c>
      <c r="E360" t="s">
        <v>534</v>
      </c>
      <c r="F360" t="s">
        <v>534</v>
      </c>
      <c r="G360" t="s">
        <v>535</v>
      </c>
      <c r="H360" s="1">
        <v>3636</v>
      </c>
      <c r="I360" s="1">
        <v>3628.18</v>
      </c>
      <c r="J360" t="s">
        <v>536</v>
      </c>
      <c r="L360" t="s">
        <v>536</v>
      </c>
      <c r="M360" t="s">
        <v>393</v>
      </c>
      <c r="N360" t="s">
        <v>657</v>
      </c>
      <c r="P360" s="1">
        <v>3636</v>
      </c>
      <c r="Q360" t="s">
        <v>658</v>
      </c>
      <c r="R360" t="s">
        <v>535</v>
      </c>
      <c r="S360" t="s">
        <v>539</v>
      </c>
      <c r="T360" s="2">
        <v>1</v>
      </c>
      <c r="U360" s="1">
        <v>3636</v>
      </c>
      <c r="V360" s="1">
        <v>3628.18</v>
      </c>
      <c r="X360" t="s">
        <v>540</v>
      </c>
      <c r="Z360" t="s">
        <v>541</v>
      </c>
      <c r="AA360" t="s">
        <v>542</v>
      </c>
      <c r="AB360" t="s">
        <v>659</v>
      </c>
      <c r="AC360" t="s">
        <v>544</v>
      </c>
      <c r="AD360" t="s">
        <v>545</v>
      </c>
      <c r="AE360" s="3">
        <v>1</v>
      </c>
      <c r="AF360" t="s">
        <v>138</v>
      </c>
      <c r="AG360" s="1">
        <v>3636</v>
      </c>
      <c r="AI360" s="1">
        <v>3636</v>
      </c>
      <c r="AJ360" s="1">
        <v>3636</v>
      </c>
      <c r="AK360" s="1">
        <v>7.82</v>
      </c>
      <c r="AM360" s="1">
        <v>3628.18</v>
      </c>
      <c r="AN360" t="s">
        <v>536</v>
      </c>
      <c r="AO360" t="s">
        <v>546</v>
      </c>
      <c r="AP360" t="s">
        <v>547</v>
      </c>
      <c r="AQ360" t="s">
        <v>548</v>
      </c>
      <c r="AS360" t="s">
        <v>393</v>
      </c>
      <c r="AX360" s="1">
        <v>3636</v>
      </c>
      <c r="AY360" t="s">
        <v>546</v>
      </c>
      <c r="AZ360" t="s">
        <v>549</v>
      </c>
      <c r="BA360" s="1">
        <v>3636</v>
      </c>
      <c r="BC360" t="s">
        <v>546</v>
      </c>
      <c r="BD360" s="1">
        <v>3636</v>
      </c>
      <c r="BE360" t="s">
        <v>540</v>
      </c>
      <c r="BF360" s="1">
        <v>3636</v>
      </c>
      <c r="BG360" s="1">
        <v>7.82</v>
      </c>
      <c r="BH360" s="1">
        <v>3628.18</v>
      </c>
      <c r="BI360" t="s">
        <v>550</v>
      </c>
      <c r="BJ360" t="s">
        <v>660</v>
      </c>
      <c r="BK360" t="s">
        <v>552</v>
      </c>
      <c r="BL360" t="s">
        <v>552</v>
      </c>
      <c r="BM360" t="s">
        <v>2033</v>
      </c>
      <c r="BN360" t="s">
        <v>2296</v>
      </c>
      <c r="BO360" t="s">
        <v>2297</v>
      </c>
      <c r="BR360" t="s">
        <v>546</v>
      </c>
      <c r="BS360" s="1">
        <v>3636</v>
      </c>
      <c r="BW360" t="s">
        <v>536</v>
      </c>
      <c r="BX360" s="1">
        <v>3636</v>
      </c>
      <c r="BZ360" t="s">
        <v>535</v>
      </c>
      <c r="CA360" t="s">
        <v>546</v>
      </c>
      <c r="CB360" t="s">
        <v>2156</v>
      </c>
      <c r="CC360" t="s">
        <v>556</v>
      </c>
      <c r="CD360" t="s">
        <v>745</v>
      </c>
      <c r="CE360" t="s">
        <v>746</v>
      </c>
      <c r="CF360" t="s">
        <v>138</v>
      </c>
      <c r="CG360" s="4">
        <v>1</v>
      </c>
      <c r="CH360" t="s">
        <v>546</v>
      </c>
      <c r="CK360" t="s">
        <v>2298</v>
      </c>
      <c r="CL360" s="1">
        <v>3636</v>
      </c>
      <c r="CN360" t="s">
        <v>535</v>
      </c>
      <c r="CO360" t="s">
        <v>539</v>
      </c>
      <c r="CT360" t="s">
        <v>666</v>
      </c>
      <c r="CW360" t="s">
        <v>546</v>
      </c>
      <c r="DD360" t="s">
        <v>561</v>
      </c>
      <c r="DK360" t="s">
        <v>2299</v>
      </c>
      <c r="DL360" t="s">
        <v>2300</v>
      </c>
    </row>
    <row r="361" ht="15" customHeight="1" spans="1:122">
      <c r="A361" t="s">
        <v>530</v>
      </c>
      <c r="B361" t="s">
        <v>2301</v>
      </c>
      <c r="C361" t="s">
        <v>656</v>
      </c>
      <c r="D361" t="s">
        <v>1396</v>
      </c>
      <c r="E361" t="s">
        <v>534</v>
      </c>
      <c r="F361" t="s">
        <v>534</v>
      </c>
      <c r="G361" t="s">
        <v>535</v>
      </c>
      <c r="H361" s="1">
        <v>4289</v>
      </c>
      <c r="I361" s="1">
        <v>4279.78</v>
      </c>
      <c r="J361" t="s">
        <v>536</v>
      </c>
      <c r="L361" t="s">
        <v>536</v>
      </c>
      <c r="M361" t="s">
        <v>393</v>
      </c>
      <c r="N361" t="s">
        <v>657</v>
      </c>
      <c r="P361" s="1">
        <v>4289</v>
      </c>
      <c r="Q361" t="s">
        <v>658</v>
      </c>
      <c r="R361" t="s">
        <v>535</v>
      </c>
      <c r="S361" t="s">
        <v>539</v>
      </c>
      <c r="T361" s="2">
        <v>1</v>
      </c>
      <c r="U361" s="1">
        <v>4289</v>
      </c>
      <c r="V361" s="1">
        <v>4279.78</v>
      </c>
      <c r="X361" t="s">
        <v>616</v>
      </c>
      <c r="Z361" t="s">
        <v>541</v>
      </c>
      <c r="AA361" t="s">
        <v>542</v>
      </c>
      <c r="AB361" t="s">
        <v>659</v>
      </c>
      <c r="AC361" t="s">
        <v>544</v>
      </c>
      <c r="AD361" t="s">
        <v>545</v>
      </c>
      <c r="AE361" s="3">
        <v>1</v>
      </c>
      <c r="AF361" t="s">
        <v>101</v>
      </c>
      <c r="AG361" s="1">
        <v>4289</v>
      </c>
      <c r="AI361" s="1">
        <v>4289</v>
      </c>
      <c r="AJ361" s="1">
        <v>4289</v>
      </c>
      <c r="AK361" s="1">
        <v>9.22</v>
      </c>
      <c r="AM361" s="1">
        <v>4279.78</v>
      </c>
      <c r="AN361" t="s">
        <v>536</v>
      </c>
      <c r="AO361" t="s">
        <v>546</v>
      </c>
      <c r="AP361" t="s">
        <v>547</v>
      </c>
      <c r="AQ361" t="s">
        <v>548</v>
      </c>
      <c r="AS361" t="s">
        <v>393</v>
      </c>
      <c r="AX361" s="1">
        <v>4289</v>
      </c>
      <c r="AY361" t="s">
        <v>546</v>
      </c>
      <c r="AZ361" t="s">
        <v>549</v>
      </c>
      <c r="BA361" s="1">
        <v>4289</v>
      </c>
      <c r="BC361" t="s">
        <v>546</v>
      </c>
      <c r="BD361" s="1">
        <v>4289</v>
      </c>
      <c r="BE361" t="s">
        <v>616</v>
      </c>
      <c r="BG361" s="1">
        <v>9.22</v>
      </c>
      <c r="BH361" s="1">
        <v>4279.78</v>
      </c>
      <c r="BI361" t="s">
        <v>550</v>
      </c>
      <c r="BJ361" t="s">
        <v>660</v>
      </c>
      <c r="BK361" t="s">
        <v>1905</v>
      </c>
      <c r="BL361" t="s">
        <v>1905</v>
      </c>
      <c r="BM361" t="s">
        <v>2033</v>
      </c>
      <c r="BN361" t="s">
        <v>2302</v>
      </c>
      <c r="BO361" t="s">
        <v>2303</v>
      </c>
      <c r="BR361" t="s">
        <v>546</v>
      </c>
      <c r="BS361" s="1">
        <v>4289</v>
      </c>
      <c r="BW361" t="s">
        <v>536</v>
      </c>
      <c r="BZ361" t="s">
        <v>535</v>
      </c>
      <c r="CA361" t="s">
        <v>546</v>
      </c>
      <c r="CB361" t="s">
        <v>1396</v>
      </c>
      <c r="CC361" t="s">
        <v>556</v>
      </c>
      <c r="CD361" t="s">
        <v>757</v>
      </c>
      <c r="CE361" t="s">
        <v>758</v>
      </c>
      <c r="CF361" t="s">
        <v>101</v>
      </c>
      <c r="CG361" s="4">
        <v>1</v>
      </c>
      <c r="CH361" t="s">
        <v>546</v>
      </c>
      <c r="CK361" t="s">
        <v>2304</v>
      </c>
      <c r="CN361" t="s">
        <v>535</v>
      </c>
      <c r="CO361" t="s">
        <v>539</v>
      </c>
      <c r="CT361" t="s">
        <v>666</v>
      </c>
      <c r="CW361" t="s">
        <v>546</v>
      </c>
      <c r="DD361" t="s">
        <v>561</v>
      </c>
      <c r="DK361" t="s">
        <v>2305</v>
      </c>
      <c r="DL361" t="s">
        <v>2306</v>
      </c>
    </row>
    <row r="362" ht="15" customHeight="1" spans="1:122">
      <c r="A362" t="s">
        <v>530</v>
      </c>
      <c r="B362" t="s">
        <v>2307</v>
      </c>
      <c r="C362" t="s">
        <v>532</v>
      </c>
      <c r="D362" t="s">
        <v>2156</v>
      </c>
      <c r="E362" t="s">
        <v>534</v>
      </c>
      <c r="F362" t="s">
        <v>534</v>
      </c>
      <c r="G362" t="s">
        <v>535</v>
      </c>
      <c r="H362" s="1">
        <v>2778</v>
      </c>
      <c r="I362" s="1">
        <v>2778</v>
      </c>
      <c r="J362" t="s">
        <v>536</v>
      </c>
      <c r="L362" t="s">
        <v>536</v>
      </c>
      <c r="M362" t="s">
        <v>377</v>
      </c>
      <c r="N362" t="s">
        <v>537</v>
      </c>
      <c r="P362" s="1">
        <v>2778</v>
      </c>
      <c r="Q362" t="s">
        <v>538</v>
      </c>
      <c r="R362" t="s">
        <v>535</v>
      </c>
      <c r="S362" t="s">
        <v>539</v>
      </c>
      <c r="T362" s="2">
        <v>1</v>
      </c>
      <c r="U362" s="1">
        <v>2778</v>
      </c>
      <c r="V362" s="1">
        <v>2778</v>
      </c>
      <c r="X362" t="s">
        <v>540</v>
      </c>
      <c r="Z362" t="s">
        <v>541</v>
      </c>
      <c r="AA362" t="s">
        <v>542</v>
      </c>
      <c r="AB362" t="s">
        <v>543</v>
      </c>
      <c r="AC362" t="s">
        <v>544</v>
      </c>
      <c r="AD362" t="s">
        <v>545</v>
      </c>
      <c r="AE362" s="3">
        <v>1</v>
      </c>
      <c r="AF362" t="s">
        <v>153</v>
      </c>
      <c r="AG362" s="1">
        <v>2778</v>
      </c>
      <c r="AI362" s="1">
        <v>2778</v>
      </c>
      <c r="AJ362" s="1">
        <v>2778</v>
      </c>
      <c r="AM362" s="1">
        <v>2778</v>
      </c>
      <c r="AN362" t="s">
        <v>643</v>
      </c>
      <c r="AO362" t="s">
        <v>546</v>
      </c>
      <c r="AP362" t="s">
        <v>643</v>
      </c>
      <c r="AQ362" t="s">
        <v>548</v>
      </c>
      <c r="AS362" t="s">
        <v>377</v>
      </c>
      <c r="AX362" s="1">
        <v>2778</v>
      </c>
      <c r="AY362" t="s">
        <v>546</v>
      </c>
      <c r="AZ362" t="s">
        <v>644</v>
      </c>
      <c r="BA362" s="1">
        <v>2778</v>
      </c>
      <c r="BC362" t="s">
        <v>546</v>
      </c>
      <c r="BD362" s="1">
        <v>2778</v>
      </c>
      <c r="BE362" t="s">
        <v>540</v>
      </c>
      <c r="BF362" s="1">
        <v>2778</v>
      </c>
      <c r="BH362" s="1">
        <v>2778</v>
      </c>
      <c r="BI362" t="s">
        <v>550</v>
      </c>
      <c r="BJ362" t="s">
        <v>551</v>
      </c>
      <c r="BK362" t="s">
        <v>551</v>
      </c>
      <c r="BL362" t="s">
        <v>1905</v>
      </c>
      <c r="BM362" t="s">
        <v>2033</v>
      </c>
      <c r="BN362" t="s">
        <v>2308</v>
      </c>
      <c r="BO362" t="s">
        <v>2309</v>
      </c>
      <c r="BR362" t="s">
        <v>546</v>
      </c>
      <c r="BS362" s="1">
        <v>2778</v>
      </c>
      <c r="BW362" t="s">
        <v>536</v>
      </c>
      <c r="BX362" s="1">
        <v>2778</v>
      </c>
      <c r="BZ362" t="s">
        <v>535</v>
      </c>
      <c r="CA362" t="s">
        <v>546</v>
      </c>
      <c r="CB362" t="s">
        <v>2156</v>
      </c>
      <c r="CC362" t="s">
        <v>556</v>
      </c>
      <c r="CD362" t="s">
        <v>1382</v>
      </c>
      <c r="CE362" t="s">
        <v>1383</v>
      </c>
      <c r="CF362" t="s">
        <v>153</v>
      </c>
      <c r="CG362" s="4">
        <v>1</v>
      </c>
      <c r="CH362" t="s">
        <v>546</v>
      </c>
      <c r="CK362" t="s">
        <v>2310</v>
      </c>
      <c r="CL362" s="1">
        <v>2778</v>
      </c>
      <c r="CN362" t="s">
        <v>535</v>
      </c>
      <c r="CO362" t="s">
        <v>539</v>
      </c>
      <c r="CT362" t="s">
        <v>560</v>
      </c>
      <c r="CW362" t="s">
        <v>546</v>
      </c>
      <c r="DD362" t="s">
        <v>561</v>
      </c>
      <c r="DK362" t="s">
        <v>2311</v>
      </c>
      <c r="DL362" t="s">
        <v>2312</v>
      </c>
      <c r="DR362" t="s">
        <v>2313</v>
      </c>
    </row>
    <row r="363" ht="15" customHeight="1" spans="1:122">
      <c r="A363" t="s">
        <v>530</v>
      </c>
      <c r="B363" t="s">
        <v>2314</v>
      </c>
      <c r="C363" t="s">
        <v>532</v>
      </c>
      <c r="D363" t="s">
        <v>2156</v>
      </c>
      <c r="E363" t="s">
        <v>534</v>
      </c>
      <c r="F363" t="s">
        <v>534</v>
      </c>
      <c r="G363" t="s">
        <v>535</v>
      </c>
      <c r="H363" s="1">
        <v>4458</v>
      </c>
      <c r="I363" s="1">
        <v>4458</v>
      </c>
      <c r="J363" t="s">
        <v>536</v>
      </c>
      <c r="L363" t="s">
        <v>536</v>
      </c>
      <c r="M363" t="s">
        <v>377</v>
      </c>
      <c r="N363" t="s">
        <v>537</v>
      </c>
      <c r="P363" s="1">
        <v>4458</v>
      </c>
      <c r="Q363" t="s">
        <v>538</v>
      </c>
      <c r="R363" t="s">
        <v>535</v>
      </c>
      <c r="S363" t="s">
        <v>539</v>
      </c>
      <c r="T363" s="2">
        <v>1</v>
      </c>
      <c r="U363" s="1">
        <v>4458</v>
      </c>
      <c r="V363" s="1">
        <v>4458</v>
      </c>
      <c r="X363" t="s">
        <v>540</v>
      </c>
      <c r="Z363" t="s">
        <v>541</v>
      </c>
      <c r="AA363" t="s">
        <v>542</v>
      </c>
      <c r="AB363" t="s">
        <v>543</v>
      </c>
      <c r="AC363" t="s">
        <v>544</v>
      </c>
      <c r="AD363" t="s">
        <v>545</v>
      </c>
      <c r="AE363" s="3">
        <v>1</v>
      </c>
      <c r="AF363" t="s">
        <v>157</v>
      </c>
      <c r="AG363" s="1">
        <v>4458</v>
      </c>
      <c r="AI363" s="1">
        <v>4458</v>
      </c>
      <c r="AJ363" s="1">
        <v>4458</v>
      </c>
      <c r="AM363" s="1">
        <v>4458</v>
      </c>
      <c r="AN363" t="s">
        <v>643</v>
      </c>
      <c r="AO363" t="s">
        <v>546</v>
      </c>
      <c r="AP363" t="s">
        <v>643</v>
      </c>
      <c r="AQ363" t="s">
        <v>548</v>
      </c>
      <c r="AS363" t="s">
        <v>377</v>
      </c>
      <c r="AX363" s="1">
        <v>4458</v>
      </c>
      <c r="AY363" t="s">
        <v>546</v>
      </c>
      <c r="AZ363" t="s">
        <v>644</v>
      </c>
      <c r="BA363" s="1">
        <v>4458</v>
      </c>
      <c r="BC363" t="s">
        <v>546</v>
      </c>
      <c r="BD363" s="1">
        <v>4458</v>
      </c>
      <c r="BE363" t="s">
        <v>540</v>
      </c>
      <c r="BF363" s="1">
        <v>4458</v>
      </c>
      <c r="BH363" s="1">
        <v>4458</v>
      </c>
      <c r="BI363" t="s">
        <v>550</v>
      </c>
      <c r="BJ363" t="s">
        <v>551</v>
      </c>
      <c r="BK363" t="s">
        <v>551</v>
      </c>
      <c r="BL363" t="s">
        <v>1905</v>
      </c>
      <c r="BM363" t="s">
        <v>2033</v>
      </c>
      <c r="BN363" t="s">
        <v>2315</v>
      </c>
      <c r="BO363" t="s">
        <v>2316</v>
      </c>
      <c r="BR363" t="s">
        <v>546</v>
      </c>
      <c r="BS363" s="1">
        <v>4458</v>
      </c>
      <c r="BW363" t="s">
        <v>536</v>
      </c>
      <c r="BX363" s="1">
        <v>4458</v>
      </c>
      <c r="BZ363" t="s">
        <v>535</v>
      </c>
      <c r="CA363" t="s">
        <v>546</v>
      </c>
      <c r="CB363" t="s">
        <v>2156</v>
      </c>
      <c r="CC363" t="s">
        <v>556</v>
      </c>
      <c r="CD363" t="s">
        <v>673</v>
      </c>
      <c r="CE363" t="s">
        <v>674</v>
      </c>
      <c r="CF363" t="s">
        <v>157</v>
      </c>
      <c r="CG363" s="4">
        <v>1</v>
      </c>
      <c r="CH363" t="s">
        <v>546</v>
      </c>
      <c r="CK363" t="s">
        <v>2317</v>
      </c>
      <c r="CL363" s="1">
        <v>4458</v>
      </c>
      <c r="CN363" t="s">
        <v>535</v>
      </c>
      <c r="CO363" t="s">
        <v>539</v>
      </c>
      <c r="CT363" t="s">
        <v>560</v>
      </c>
      <c r="CW363" t="s">
        <v>546</v>
      </c>
      <c r="DD363" t="s">
        <v>561</v>
      </c>
      <c r="DK363" t="s">
        <v>2318</v>
      </c>
      <c r="DL363" t="s">
        <v>2319</v>
      </c>
      <c r="DR363" t="s">
        <v>2320</v>
      </c>
    </row>
    <row r="364" ht="15" customHeight="1" spans="1:122">
      <c r="A364" t="s">
        <v>530</v>
      </c>
      <c r="B364" t="s">
        <v>2321</v>
      </c>
      <c r="C364" t="s">
        <v>532</v>
      </c>
      <c r="D364" t="s">
        <v>2156</v>
      </c>
      <c r="E364" t="s">
        <v>534</v>
      </c>
      <c r="F364" t="s">
        <v>534</v>
      </c>
      <c r="G364" t="s">
        <v>535</v>
      </c>
      <c r="H364" s="1">
        <v>6981</v>
      </c>
      <c r="I364" s="1">
        <v>6981</v>
      </c>
      <c r="J364" t="s">
        <v>536</v>
      </c>
      <c r="L364" t="s">
        <v>536</v>
      </c>
      <c r="M364" t="s">
        <v>371</v>
      </c>
      <c r="N364" t="s">
        <v>537</v>
      </c>
      <c r="P364" s="1">
        <v>6981</v>
      </c>
      <c r="Q364" t="s">
        <v>1060</v>
      </c>
      <c r="R364" t="s">
        <v>535</v>
      </c>
      <c r="S364" t="s">
        <v>539</v>
      </c>
      <c r="T364" s="2">
        <v>1</v>
      </c>
      <c r="U364" s="1">
        <v>6981</v>
      </c>
      <c r="V364" s="1">
        <v>6981</v>
      </c>
      <c r="X364" t="s">
        <v>540</v>
      </c>
      <c r="Z364" t="s">
        <v>541</v>
      </c>
      <c r="AA364" t="s">
        <v>542</v>
      </c>
      <c r="AB364" t="s">
        <v>543</v>
      </c>
      <c r="AC364" t="s">
        <v>544</v>
      </c>
      <c r="AD364" t="s">
        <v>545</v>
      </c>
      <c r="AE364" s="3">
        <v>1</v>
      </c>
      <c r="AF364" t="s">
        <v>154</v>
      </c>
      <c r="AG364" s="1">
        <v>6981</v>
      </c>
      <c r="AI364" s="1">
        <v>6981</v>
      </c>
      <c r="AJ364" s="1">
        <v>6981</v>
      </c>
      <c r="AM364" s="1">
        <v>6981</v>
      </c>
      <c r="AN364" t="s">
        <v>643</v>
      </c>
      <c r="AO364" t="s">
        <v>546</v>
      </c>
      <c r="AP364" t="s">
        <v>643</v>
      </c>
      <c r="AQ364" t="s">
        <v>548</v>
      </c>
      <c r="AS364" t="s">
        <v>371</v>
      </c>
      <c r="AX364" s="1">
        <v>6981</v>
      </c>
      <c r="AY364" t="s">
        <v>546</v>
      </c>
      <c r="AZ364" t="s">
        <v>644</v>
      </c>
      <c r="BA364" s="1">
        <v>6981</v>
      </c>
      <c r="BC364" t="s">
        <v>546</v>
      </c>
      <c r="BD364" s="1">
        <v>6981</v>
      </c>
      <c r="BE364" t="s">
        <v>540</v>
      </c>
      <c r="BF364" s="1">
        <v>6981</v>
      </c>
      <c r="BH364" s="1">
        <v>6981</v>
      </c>
      <c r="BI364" t="s">
        <v>550</v>
      </c>
      <c r="BJ364" t="s">
        <v>551</v>
      </c>
      <c r="BK364" t="s">
        <v>551</v>
      </c>
      <c r="BL364" t="s">
        <v>1905</v>
      </c>
      <c r="BM364" t="s">
        <v>2033</v>
      </c>
      <c r="BN364" t="s">
        <v>2322</v>
      </c>
      <c r="BO364" t="s">
        <v>2323</v>
      </c>
      <c r="BR364" t="s">
        <v>546</v>
      </c>
      <c r="BS364" s="1">
        <v>6981</v>
      </c>
      <c r="BW364" t="s">
        <v>536</v>
      </c>
      <c r="BX364" s="1">
        <v>6981</v>
      </c>
      <c r="BZ364" t="s">
        <v>535</v>
      </c>
      <c r="CA364" t="s">
        <v>546</v>
      </c>
      <c r="CB364" t="s">
        <v>2156</v>
      </c>
      <c r="CC364" t="s">
        <v>556</v>
      </c>
      <c r="CD364" t="s">
        <v>2324</v>
      </c>
      <c r="CE364" t="s">
        <v>2325</v>
      </c>
      <c r="CF364" t="s">
        <v>154</v>
      </c>
      <c r="CG364" s="4">
        <v>1</v>
      </c>
      <c r="CH364" t="s">
        <v>546</v>
      </c>
      <c r="CK364" t="s">
        <v>2326</v>
      </c>
      <c r="CL364" s="1">
        <v>6981</v>
      </c>
      <c r="CN364" t="s">
        <v>535</v>
      </c>
      <c r="CO364" t="s">
        <v>539</v>
      </c>
      <c r="CT364" t="s">
        <v>576</v>
      </c>
      <c r="CW364" t="s">
        <v>546</v>
      </c>
      <c r="DD364" t="s">
        <v>561</v>
      </c>
      <c r="DK364" t="s">
        <v>2327</v>
      </c>
      <c r="DL364" t="s">
        <v>2328</v>
      </c>
      <c r="DR364" t="s">
        <v>2329</v>
      </c>
    </row>
    <row r="365" ht="15" customHeight="1" spans="1:122">
      <c r="A365" t="s">
        <v>530</v>
      </c>
      <c r="B365" t="s">
        <v>2330</v>
      </c>
      <c r="C365" t="s">
        <v>532</v>
      </c>
      <c r="D365" t="s">
        <v>2033</v>
      </c>
      <c r="E365" t="s">
        <v>534</v>
      </c>
      <c r="F365" t="s">
        <v>534</v>
      </c>
      <c r="G365" t="s">
        <v>535</v>
      </c>
      <c r="H365" s="1">
        <v>1618</v>
      </c>
      <c r="I365" s="1">
        <v>1618</v>
      </c>
      <c r="J365" t="s">
        <v>536</v>
      </c>
      <c r="L365" t="s">
        <v>536</v>
      </c>
      <c r="M365" t="s">
        <v>380</v>
      </c>
      <c r="N365" t="s">
        <v>369</v>
      </c>
      <c r="P365" s="1">
        <v>1618</v>
      </c>
      <c r="Q365" t="s">
        <v>996</v>
      </c>
      <c r="R365" t="s">
        <v>535</v>
      </c>
      <c r="S365" t="s">
        <v>539</v>
      </c>
      <c r="T365" s="2">
        <v>1</v>
      </c>
      <c r="U365" s="1">
        <v>1618</v>
      </c>
      <c r="V365" s="1">
        <v>1618</v>
      </c>
      <c r="X365" t="s">
        <v>540</v>
      </c>
      <c r="Z365" t="s">
        <v>541</v>
      </c>
      <c r="AA365" t="s">
        <v>542</v>
      </c>
      <c r="AB365" t="s">
        <v>543</v>
      </c>
      <c r="AC365" t="s">
        <v>544</v>
      </c>
      <c r="AD365" t="s">
        <v>545</v>
      </c>
      <c r="AE365" s="3">
        <v>1</v>
      </c>
      <c r="AF365" t="s">
        <v>326</v>
      </c>
      <c r="AG365" s="1">
        <v>1618</v>
      </c>
      <c r="AI365" s="1">
        <v>1618</v>
      </c>
      <c r="AJ365" s="1">
        <v>1618</v>
      </c>
      <c r="AM365" s="1">
        <v>1618</v>
      </c>
      <c r="AN365" t="s">
        <v>536</v>
      </c>
      <c r="AO365" t="s">
        <v>546</v>
      </c>
      <c r="AP365" t="s">
        <v>547</v>
      </c>
      <c r="AQ365" t="s">
        <v>548</v>
      </c>
      <c r="AS365" t="s">
        <v>380</v>
      </c>
      <c r="AX365" s="1">
        <v>1618</v>
      </c>
      <c r="AY365" t="s">
        <v>546</v>
      </c>
      <c r="AZ365" t="s">
        <v>549</v>
      </c>
      <c r="BA365" s="1">
        <v>1618</v>
      </c>
      <c r="BC365" t="s">
        <v>546</v>
      </c>
      <c r="BD365" s="1">
        <v>1618</v>
      </c>
      <c r="BE365" t="s">
        <v>540</v>
      </c>
      <c r="BF365" s="1">
        <v>1618</v>
      </c>
      <c r="BH365" s="1">
        <v>1618</v>
      </c>
      <c r="BI365" t="s">
        <v>550</v>
      </c>
      <c r="BJ365" t="s">
        <v>551</v>
      </c>
      <c r="BK365" t="s">
        <v>551</v>
      </c>
      <c r="BL365" t="s">
        <v>1905</v>
      </c>
      <c r="BM365" t="s">
        <v>2033</v>
      </c>
      <c r="BN365" t="s">
        <v>2331</v>
      </c>
      <c r="BO365" t="s">
        <v>2332</v>
      </c>
      <c r="BR365" t="s">
        <v>546</v>
      </c>
      <c r="BS365" s="1">
        <v>1618</v>
      </c>
      <c r="BW365" t="s">
        <v>536</v>
      </c>
      <c r="BX365" s="1">
        <v>1618</v>
      </c>
      <c r="BZ365" t="s">
        <v>535</v>
      </c>
      <c r="CA365" t="s">
        <v>546</v>
      </c>
      <c r="CB365" t="s">
        <v>2033</v>
      </c>
      <c r="CC365" t="s">
        <v>556</v>
      </c>
      <c r="CD365" t="s">
        <v>2333</v>
      </c>
      <c r="CE365" t="s">
        <v>2334</v>
      </c>
      <c r="CF365" t="s">
        <v>326</v>
      </c>
      <c r="CG365" s="4">
        <v>1</v>
      </c>
      <c r="CH365" t="s">
        <v>546</v>
      </c>
      <c r="CK365" t="s">
        <v>2335</v>
      </c>
      <c r="CL365" s="1">
        <v>1618</v>
      </c>
      <c r="CN365" t="s">
        <v>535</v>
      </c>
      <c r="CO365" t="s">
        <v>539</v>
      </c>
      <c r="CT365" t="s">
        <v>576</v>
      </c>
      <c r="CW365" t="s">
        <v>546</v>
      </c>
      <c r="DD365" t="s">
        <v>561</v>
      </c>
      <c r="DK365" t="s">
        <v>1421</v>
      </c>
      <c r="DL365" t="s">
        <v>2336</v>
      </c>
    </row>
    <row r="366" ht="15" customHeight="1" spans="1:122">
      <c r="A366" t="s">
        <v>530</v>
      </c>
      <c r="B366" t="s">
        <v>2337</v>
      </c>
      <c r="C366" t="s">
        <v>532</v>
      </c>
      <c r="D366" t="s">
        <v>2033</v>
      </c>
      <c r="E366" t="s">
        <v>534</v>
      </c>
      <c r="F366" t="s">
        <v>534</v>
      </c>
      <c r="G366" t="s">
        <v>535</v>
      </c>
      <c r="H366" s="1">
        <v>730</v>
      </c>
      <c r="I366" s="1">
        <v>730</v>
      </c>
      <c r="J366" t="s">
        <v>536</v>
      </c>
      <c r="L366" t="s">
        <v>536</v>
      </c>
      <c r="M366" t="s">
        <v>375</v>
      </c>
      <c r="N366" t="s">
        <v>537</v>
      </c>
      <c r="P366" s="1">
        <v>730</v>
      </c>
      <c r="Q366" t="s">
        <v>580</v>
      </c>
      <c r="R366" t="s">
        <v>535</v>
      </c>
      <c r="S366" t="s">
        <v>539</v>
      </c>
      <c r="T366" s="2">
        <v>1</v>
      </c>
      <c r="U366" s="1">
        <v>730</v>
      </c>
      <c r="V366" s="1">
        <v>730</v>
      </c>
      <c r="X366" t="s">
        <v>540</v>
      </c>
      <c r="Z366" t="s">
        <v>541</v>
      </c>
      <c r="AA366" t="s">
        <v>542</v>
      </c>
      <c r="AB366" t="s">
        <v>934</v>
      </c>
      <c r="AC366" t="s">
        <v>544</v>
      </c>
      <c r="AD366" t="s">
        <v>545</v>
      </c>
      <c r="AE366" s="3">
        <v>1</v>
      </c>
      <c r="AF366" t="s">
        <v>155</v>
      </c>
      <c r="AG366" s="1">
        <v>730</v>
      </c>
      <c r="AI366" s="1">
        <v>730</v>
      </c>
      <c r="AJ366" s="1">
        <v>730</v>
      </c>
      <c r="AM366" s="1">
        <v>730</v>
      </c>
      <c r="AN366" t="s">
        <v>643</v>
      </c>
      <c r="AO366" t="s">
        <v>546</v>
      </c>
      <c r="AP366" t="s">
        <v>643</v>
      </c>
      <c r="AQ366" t="s">
        <v>548</v>
      </c>
      <c r="AS366" t="s">
        <v>375</v>
      </c>
      <c r="AX366" s="1">
        <v>730</v>
      </c>
      <c r="AY366" t="s">
        <v>546</v>
      </c>
      <c r="AZ366" t="s">
        <v>644</v>
      </c>
      <c r="BA366" s="1">
        <v>730</v>
      </c>
      <c r="BC366" t="s">
        <v>546</v>
      </c>
      <c r="BD366" s="1">
        <v>730</v>
      </c>
      <c r="BE366" t="s">
        <v>540</v>
      </c>
      <c r="BF366" s="1">
        <v>730</v>
      </c>
      <c r="BH366" s="1">
        <v>730</v>
      </c>
      <c r="BI366" t="s">
        <v>550</v>
      </c>
      <c r="BJ366" t="s">
        <v>570</v>
      </c>
      <c r="BK366" t="s">
        <v>570</v>
      </c>
      <c r="BL366" t="s">
        <v>1905</v>
      </c>
      <c r="BM366" t="s">
        <v>2033</v>
      </c>
      <c r="BN366" t="s">
        <v>2338</v>
      </c>
      <c r="BO366" t="s">
        <v>2339</v>
      </c>
      <c r="BR366" t="s">
        <v>546</v>
      </c>
      <c r="BS366" s="1">
        <v>730</v>
      </c>
      <c r="BW366" t="s">
        <v>536</v>
      </c>
      <c r="BX366" s="1">
        <v>730</v>
      </c>
      <c r="BZ366" t="s">
        <v>535</v>
      </c>
      <c r="CA366" t="s">
        <v>546</v>
      </c>
      <c r="CB366" t="s">
        <v>2033</v>
      </c>
      <c r="CC366" t="s">
        <v>556</v>
      </c>
      <c r="CD366" t="s">
        <v>891</v>
      </c>
      <c r="CE366" t="s">
        <v>892</v>
      </c>
      <c r="CF366" t="s">
        <v>155</v>
      </c>
      <c r="CG366" s="4">
        <v>1</v>
      </c>
      <c r="CH366" t="s">
        <v>546</v>
      </c>
      <c r="CK366" t="s">
        <v>2340</v>
      </c>
      <c r="CL366" s="1">
        <v>730</v>
      </c>
      <c r="CN366" t="s">
        <v>535</v>
      </c>
      <c r="CO366" t="s">
        <v>539</v>
      </c>
      <c r="CT366" t="s">
        <v>576</v>
      </c>
      <c r="CW366" t="s">
        <v>546</v>
      </c>
      <c r="DD366" t="s">
        <v>561</v>
      </c>
      <c r="DK366" t="s">
        <v>2341</v>
      </c>
      <c r="DL366" t="s">
        <v>2342</v>
      </c>
      <c r="DR366" t="s">
        <v>2343</v>
      </c>
    </row>
    <row r="367" ht="15" customHeight="1" spans="1:122">
      <c r="A367" t="s">
        <v>530</v>
      </c>
      <c r="B367" t="s">
        <v>2344</v>
      </c>
      <c r="C367" t="s">
        <v>532</v>
      </c>
      <c r="D367" t="s">
        <v>2033</v>
      </c>
      <c r="E367" t="s">
        <v>534</v>
      </c>
      <c r="F367" t="s">
        <v>534</v>
      </c>
      <c r="G367" t="s">
        <v>535</v>
      </c>
      <c r="H367" s="1">
        <v>2745</v>
      </c>
      <c r="I367" s="1">
        <v>2745</v>
      </c>
      <c r="J367" t="s">
        <v>536</v>
      </c>
      <c r="L367" t="s">
        <v>536</v>
      </c>
      <c r="M367" t="s">
        <v>404</v>
      </c>
      <c r="N367" t="s">
        <v>537</v>
      </c>
      <c r="P367" s="1">
        <v>2745</v>
      </c>
      <c r="Q367" t="s">
        <v>642</v>
      </c>
      <c r="R367" t="s">
        <v>535</v>
      </c>
      <c r="S367" t="s">
        <v>539</v>
      </c>
      <c r="T367" s="2">
        <v>1</v>
      </c>
      <c r="U367" s="1">
        <v>2745</v>
      </c>
      <c r="V367" s="1">
        <v>2745</v>
      </c>
      <c r="X367" t="s">
        <v>540</v>
      </c>
      <c r="Z367" t="s">
        <v>541</v>
      </c>
      <c r="AA367" t="s">
        <v>542</v>
      </c>
      <c r="AB367" t="s">
        <v>543</v>
      </c>
      <c r="AC367" t="s">
        <v>544</v>
      </c>
      <c r="AD367" t="s">
        <v>545</v>
      </c>
      <c r="AE367" s="3">
        <v>1</v>
      </c>
      <c r="AF367" t="s">
        <v>159</v>
      </c>
      <c r="AG367" s="1">
        <v>2745</v>
      </c>
      <c r="AI367" s="1">
        <v>2745</v>
      </c>
      <c r="AJ367" s="1">
        <v>2745</v>
      </c>
      <c r="AM367" s="1">
        <v>2745</v>
      </c>
      <c r="AN367" t="s">
        <v>643</v>
      </c>
      <c r="AO367" t="s">
        <v>546</v>
      </c>
      <c r="AP367" t="s">
        <v>643</v>
      </c>
      <c r="AQ367" t="s">
        <v>548</v>
      </c>
      <c r="AS367" t="s">
        <v>404</v>
      </c>
      <c r="AX367" s="1">
        <v>2745</v>
      </c>
      <c r="AY367" t="s">
        <v>546</v>
      </c>
      <c r="AZ367" t="s">
        <v>644</v>
      </c>
      <c r="BA367" s="1">
        <v>2745</v>
      </c>
      <c r="BC367" t="s">
        <v>546</v>
      </c>
      <c r="BD367" s="1">
        <v>2745</v>
      </c>
      <c r="BE367" t="s">
        <v>540</v>
      </c>
      <c r="BF367" s="1">
        <v>2745</v>
      </c>
      <c r="BH367" s="1">
        <v>2745</v>
      </c>
      <c r="BI367" t="s">
        <v>550</v>
      </c>
      <c r="BJ367" t="s">
        <v>642</v>
      </c>
      <c r="BK367" t="s">
        <v>642</v>
      </c>
      <c r="BL367" t="s">
        <v>1905</v>
      </c>
      <c r="BM367" t="s">
        <v>2033</v>
      </c>
      <c r="BN367" t="s">
        <v>2345</v>
      </c>
      <c r="BO367" t="s">
        <v>2346</v>
      </c>
      <c r="BR367" t="s">
        <v>546</v>
      </c>
      <c r="BS367" s="1">
        <v>2745</v>
      </c>
      <c r="BW367" t="s">
        <v>536</v>
      </c>
      <c r="BX367" s="1">
        <v>2745</v>
      </c>
      <c r="BZ367" t="s">
        <v>535</v>
      </c>
      <c r="CA367" t="s">
        <v>546</v>
      </c>
      <c r="CB367" t="s">
        <v>2033</v>
      </c>
      <c r="CC367" t="s">
        <v>556</v>
      </c>
      <c r="CD367" t="s">
        <v>1353</v>
      </c>
      <c r="CE367" t="s">
        <v>1354</v>
      </c>
      <c r="CF367" t="s">
        <v>159</v>
      </c>
      <c r="CG367" s="4">
        <v>1</v>
      </c>
      <c r="CH367" t="s">
        <v>546</v>
      </c>
      <c r="CK367" t="s">
        <v>2347</v>
      </c>
      <c r="CL367" s="1">
        <v>2745</v>
      </c>
      <c r="CN367" t="s">
        <v>535</v>
      </c>
      <c r="CO367" t="s">
        <v>539</v>
      </c>
      <c r="CT367" t="s">
        <v>651</v>
      </c>
      <c r="CW367" t="s">
        <v>546</v>
      </c>
      <c r="DD367" t="s">
        <v>561</v>
      </c>
      <c r="DK367" t="s">
        <v>2348</v>
      </c>
      <c r="DL367" t="s">
        <v>2349</v>
      </c>
      <c r="DR367" t="s">
        <v>2350</v>
      </c>
    </row>
    <row r="368" ht="15" customHeight="1" spans="1:122">
      <c r="A368" t="s">
        <v>603</v>
      </c>
      <c r="B368" t="s">
        <v>2351</v>
      </c>
      <c r="C368" t="s">
        <v>532</v>
      </c>
      <c r="D368" t="s">
        <v>2033</v>
      </c>
      <c r="E368" t="s">
        <v>534</v>
      </c>
      <c r="F368" t="s">
        <v>534</v>
      </c>
      <c r="G368" t="s">
        <v>535</v>
      </c>
      <c r="H368" s="1">
        <v>3000</v>
      </c>
      <c r="I368" s="1">
        <v>3000</v>
      </c>
      <c r="J368" t="s">
        <v>536</v>
      </c>
      <c r="L368" t="s">
        <v>536</v>
      </c>
      <c r="M368" t="s">
        <v>378</v>
      </c>
      <c r="N368" t="s">
        <v>537</v>
      </c>
      <c r="P368" s="1">
        <v>3000</v>
      </c>
      <c r="Q368" t="s">
        <v>905</v>
      </c>
      <c r="R368" t="s">
        <v>535</v>
      </c>
      <c r="S368" t="s">
        <v>539</v>
      </c>
      <c r="T368" s="2">
        <v>1</v>
      </c>
      <c r="U368" s="1">
        <v>3000</v>
      </c>
      <c r="V368" s="1">
        <v>3000</v>
      </c>
      <c r="X368" t="s">
        <v>616</v>
      </c>
      <c r="Z368" t="s">
        <v>541</v>
      </c>
      <c r="AA368" t="s">
        <v>542</v>
      </c>
      <c r="AB368" t="s">
        <v>543</v>
      </c>
      <c r="AC368" t="s">
        <v>608</v>
      </c>
      <c r="AE368" s="3">
        <v>1</v>
      </c>
      <c r="AG368" s="1">
        <v>3000</v>
      </c>
      <c r="AI368" s="1">
        <v>3000</v>
      </c>
      <c r="AJ368" s="1">
        <v>3000</v>
      </c>
      <c r="AM368" s="1">
        <v>3000</v>
      </c>
      <c r="AN368" t="s">
        <v>536</v>
      </c>
      <c r="AO368" t="s">
        <v>546</v>
      </c>
      <c r="AP368" t="s">
        <v>547</v>
      </c>
      <c r="AQ368" t="s">
        <v>548</v>
      </c>
      <c r="AS368" t="s">
        <v>378</v>
      </c>
      <c r="AX368" s="1">
        <v>3000</v>
      </c>
      <c r="AY368" t="s">
        <v>546</v>
      </c>
      <c r="AZ368" t="s">
        <v>549</v>
      </c>
      <c r="BA368" s="1">
        <v>3000</v>
      </c>
      <c r="BC368" t="s">
        <v>546</v>
      </c>
      <c r="BE368" t="s">
        <v>616</v>
      </c>
      <c r="BH368" s="1">
        <v>3000</v>
      </c>
      <c r="BI368" t="s">
        <v>550</v>
      </c>
      <c r="BJ368" t="s">
        <v>551</v>
      </c>
      <c r="BK368" t="s">
        <v>551</v>
      </c>
      <c r="BL368" t="s">
        <v>1905</v>
      </c>
      <c r="BM368" t="s">
        <v>2033</v>
      </c>
      <c r="BN368" t="s">
        <v>2352</v>
      </c>
      <c r="BO368" t="s">
        <v>2353</v>
      </c>
      <c r="BR368" t="s">
        <v>546</v>
      </c>
      <c r="BS368" s="1">
        <v>3000</v>
      </c>
      <c r="BW368" t="s">
        <v>536</v>
      </c>
      <c r="BZ368" t="s">
        <v>535</v>
      </c>
      <c r="CA368" t="s">
        <v>546</v>
      </c>
      <c r="CB368" t="s">
        <v>2033</v>
      </c>
      <c r="CC368" t="s">
        <v>556</v>
      </c>
      <c r="CH368" t="s">
        <v>546</v>
      </c>
      <c r="CK368" t="s">
        <v>2354</v>
      </c>
      <c r="CN368" t="s">
        <v>535</v>
      </c>
      <c r="CO368" t="s">
        <v>539</v>
      </c>
      <c r="CT368" t="s">
        <v>1125</v>
      </c>
      <c r="CW368" t="s">
        <v>546</v>
      </c>
      <c r="DD368" t="s">
        <v>561</v>
      </c>
    </row>
    <row r="369" ht="15" customHeight="1" spans="1:122">
      <c r="A369" t="s">
        <v>530</v>
      </c>
      <c r="B369" t="s">
        <v>2355</v>
      </c>
      <c r="C369" t="s">
        <v>656</v>
      </c>
      <c r="D369" t="s">
        <v>2033</v>
      </c>
      <c r="E369" t="s">
        <v>534</v>
      </c>
      <c r="F369" t="s">
        <v>534</v>
      </c>
      <c r="G369" t="s">
        <v>535</v>
      </c>
      <c r="H369" s="1">
        <v>3299.2</v>
      </c>
      <c r="I369" s="1">
        <v>3299.2</v>
      </c>
      <c r="J369" t="s">
        <v>536</v>
      </c>
      <c r="L369" t="s">
        <v>536</v>
      </c>
      <c r="M369" t="s">
        <v>393</v>
      </c>
      <c r="N369" t="s">
        <v>657</v>
      </c>
      <c r="P369" s="1">
        <v>3299.2</v>
      </c>
      <c r="Q369" t="s">
        <v>658</v>
      </c>
      <c r="R369" t="s">
        <v>535</v>
      </c>
      <c r="S369" t="s">
        <v>539</v>
      </c>
      <c r="T369" s="2">
        <v>1</v>
      </c>
      <c r="U369" s="1">
        <v>3299.2</v>
      </c>
      <c r="V369" s="1">
        <v>3299.2</v>
      </c>
      <c r="X369" t="s">
        <v>616</v>
      </c>
      <c r="Z369" t="s">
        <v>541</v>
      </c>
      <c r="AA369" t="s">
        <v>542</v>
      </c>
      <c r="AB369" t="s">
        <v>1050</v>
      </c>
      <c r="AC369" t="s">
        <v>544</v>
      </c>
      <c r="AD369" t="s">
        <v>545</v>
      </c>
      <c r="AE369" s="3">
        <v>1</v>
      </c>
      <c r="AF369" t="s">
        <v>12</v>
      </c>
      <c r="AG369" s="1">
        <v>3299.2</v>
      </c>
      <c r="AI369" s="1">
        <v>3299.2</v>
      </c>
      <c r="AJ369" s="1">
        <v>3299.2</v>
      </c>
      <c r="AM369" s="1">
        <v>3299.2</v>
      </c>
      <c r="AN369" t="s">
        <v>1316</v>
      </c>
      <c r="AO369" t="s">
        <v>546</v>
      </c>
      <c r="AP369" t="s">
        <v>1317</v>
      </c>
      <c r="AQ369" t="s">
        <v>548</v>
      </c>
      <c r="AS369" t="s">
        <v>393</v>
      </c>
      <c r="AX369" s="1">
        <v>3299.2</v>
      </c>
      <c r="AY369" t="s">
        <v>546</v>
      </c>
      <c r="AZ369" t="s">
        <v>1318</v>
      </c>
      <c r="BA369" s="1">
        <v>3299.2</v>
      </c>
      <c r="BC369" t="s">
        <v>546</v>
      </c>
      <c r="BD369" s="1">
        <v>3299.2</v>
      </c>
      <c r="BE369" t="s">
        <v>616</v>
      </c>
      <c r="BH369" s="1">
        <v>3299.2</v>
      </c>
      <c r="BI369" t="s">
        <v>550</v>
      </c>
      <c r="BJ369" t="s">
        <v>683</v>
      </c>
      <c r="BK369" t="s">
        <v>683</v>
      </c>
      <c r="BL369" t="s">
        <v>1905</v>
      </c>
      <c r="BM369" t="s">
        <v>2033</v>
      </c>
      <c r="BN369" t="s">
        <v>2356</v>
      </c>
      <c r="BO369" t="s">
        <v>2357</v>
      </c>
      <c r="BR369" t="s">
        <v>546</v>
      </c>
      <c r="BS369" s="1">
        <v>3299.2</v>
      </c>
      <c r="BW369" t="s">
        <v>536</v>
      </c>
      <c r="BZ369" t="s">
        <v>535</v>
      </c>
      <c r="CA369" t="s">
        <v>546</v>
      </c>
      <c r="CB369" t="s">
        <v>2033</v>
      </c>
      <c r="CC369" t="s">
        <v>556</v>
      </c>
      <c r="CD369" t="s">
        <v>648</v>
      </c>
      <c r="CE369" t="s">
        <v>649</v>
      </c>
      <c r="CF369" t="s">
        <v>12</v>
      </c>
      <c r="CG369" s="4">
        <v>1</v>
      </c>
      <c r="CH369" t="s">
        <v>546</v>
      </c>
      <c r="CK369" t="s">
        <v>2358</v>
      </c>
      <c r="CN369" t="s">
        <v>535</v>
      </c>
      <c r="CO369" t="s">
        <v>539</v>
      </c>
      <c r="CT369" t="s">
        <v>666</v>
      </c>
      <c r="CW369" t="s">
        <v>546</v>
      </c>
      <c r="DD369" t="s">
        <v>561</v>
      </c>
      <c r="DK369" t="s">
        <v>2305</v>
      </c>
      <c r="DL369" t="s">
        <v>2306</v>
      </c>
      <c r="DM369" t="s">
        <v>2359</v>
      </c>
      <c r="DR369" t="s">
        <v>2360</v>
      </c>
    </row>
    <row r="370" ht="15" customHeight="1" spans="1:122">
      <c r="A370" t="s">
        <v>530</v>
      </c>
      <c r="B370" t="s">
        <v>2361</v>
      </c>
      <c r="C370" t="s">
        <v>656</v>
      </c>
      <c r="D370" t="s">
        <v>2033</v>
      </c>
      <c r="E370" t="s">
        <v>534</v>
      </c>
      <c r="F370" t="s">
        <v>534</v>
      </c>
      <c r="G370" t="s">
        <v>535</v>
      </c>
      <c r="H370" s="1">
        <v>824.8</v>
      </c>
      <c r="I370" s="1">
        <v>824.8</v>
      </c>
      <c r="J370" t="s">
        <v>536</v>
      </c>
      <c r="L370" t="s">
        <v>536</v>
      </c>
      <c r="M370" t="s">
        <v>393</v>
      </c>
      <c r="N370" t="s">
        <v>657</v>
      </c>
      <c r="P370" s="1">
        <v>824.8</v>
      </c>
      <c r="Q370" t="s">
        <v>658</v>
      </c>
      <c r="R370" t="s">
        <v>535</v>
      </c>
      <c r="S370" t="s">
        <v>539</v>
      </c>
      <c r="T370" s="2">
        <v>1</v>
      </c>
      <c r="U370" s="1">
        <v>824.8</v>
      </c>
      <c r="V370" s="1">
        <v>824.8</v>
      </c>
      <c r="X370" t="s">
        <v>616</v>
      </c>
      <c r="Z370" t="s">
        <v>541</v>
      </c>
      <c r="AA370" t="s">
        <v>542</v>
      </c>
      <c r="AB370" t="s">
        <v>543</v>
      </c>
      <c r="AC370" t="s">
        <v>544</v>
      </c>
      <c r="AD370" t="s">
        <v>545</v>
      </c>
      <c r="AE370" s="3">
        <v>1</v>
      </c>
      <c r="AF370" t="s">
        <v>12</v>
      </c>
      <c r="AG370" s="1">
        <v>824.8</v>
      </c>
      <c r="AI370" s="1">
        <v>824.8</v>
      </c>
      <c r="AJ370" s="1">
        <v>824.8</v>
      </c>
      <c r="AM370" s="1">
        <v>824.8</v>
      </c>
      <c r="AN370" t="s">
        <v>1316</v>
      </c>
      <c r="AO370" t="s">
        <v>546</v>
      </c>
      <c r="AP370" t="s">
        <v>1317</v>
      </c>
      <c r="AQ370" t="s">
        <v>548</v>
      </c>
      <c r="AS370" t="s">
        <v>393</v>
      </c>
      <c r="AX370" s="1">
        <v>824.8</v>
      </c>
      <c r="AY370" t="s">
        <v>546</v>
      </c>
      <c r="AZ370" t="s">
        <v>1318</v>
      </c>
      <c r="BA370" s="1">
        <v>824.8</v>
      </c>
      <c r="BC370" t="s">
        <v>546</v>
      </c>
      <c r="BD370" s="1">
        <v>824.8</v>
      </c>
      <c r="BE370" t="s">
        <v>616</v>
      </c>
      <c r="BH370" s="1">
        <v>824.8</v>
      </c>
      <c r="BI370" t="s">
        <v>550</v>
      </c>
      <c r="BJ370" t="s">
        <v>683</v>
      </c>
      <c r="BK370" t="s">
        <v>683</v>
      </c>
      <c r="BL370" t="s">
        <v>1905</v>
      </c>
      <c r="BM370" t="s">
        <v>2033</v>
      </c>
      <c r="BN370" t="s">
        <v>2362</v>
      </c>
      <c r="BO370" t="s">
        <v>2363</v>
      </c>
      <c r="BR370" t="s">
        <v>546</v>
      </c>
      <c r="BS370" s="1">
        <v>824.8</v>
      </c>
      <c r="BW370" t="s">
        <v>536</v>
      </c>
      <c r="BZ370" t="s">
        <v>535</v>
      </c>
      <c r="CA370" t="s">
        <v>546</v>
      </c>
      <c r="CB370" t="s">
        <v>2033</v>
      </c>
      <c r="CC370" t="s">
        <v>556</v>
      </c>
      <c r="CD370" t="s">
        <v>648</v>
      </c>
      <c r="CE370" t="s">
        <v>649</v>
      </c>
      <c r="CF370" t="s">
        <v>12</v>
      </c>
      <c r="CG370" s="4">
        <v>1</v>
      </c>
      <c r="CH370" t="s">
        <v>546</v>
      </c>
      <c r="CK370" t="s">
        <v>2364</v>
      </c>
      <c r="CN370" t="s">
        <v>535</v>
      </c>
      <c r="CO370" t="s">
        <v>539</v>
      </c>
      <c r="CT370" t="s">
        <v>666</v>
      </c>
      <c r="CW370" t="s">
        <v>546</v>
      </c>
      <c r="DD370" t="s">
        <v>561</v>
      </c>
      <c r="DK370" t="s">
        <v>2305</v>
      </c>
      <c r="DL370" t="s">
        <v>2306</v>
      </c>
      <c r="DM370" t="s">
        <v>2359</v>
      </c>
      <c r="DR370" t="s">
        <v>2360</v>
      </c>
    </row>
    <row r="371" ht="15" customHeight="1" spans="1:122">
      <c r="A371" t="s">
        <v>530</v>
      </c>
      <c r="B371" t="s">
        <v>2365</v>
      </c>
      <c r="C371" t="s">
        <v>656</v>
      </c>
      <c r="D371" t="s">
        <v>2033</v>
      </c>
      <c r="E371" t="s">
        <v>534</v>
      </c>
      <c r="F371" t="s">
        <v>534</v>
      </c>
      <c r="G371" t="s">
        <v>535</v>
      </c>
      <c r="H371" s="1">
        <v>9100</v>
      </c>
      <c r="I371" s="1">
        <v>9100</v>
      </c>
      <c r="J371" t="s">
        <v>536</v>
      </c>
      <c r="L371" t="s">
        <v>536</v>
      </c>
      <c r="M371" t="s">
        <v>393</v>
      </c>
      <c r="N371" t="s">
        <v>657</v>
      </c>
      <c r="P371" s="1">
        <v>9100</v>
      </c>
      <c r="Q371" t="s">
        <v>658</v>
      </c>
      <c r="R371" t="s">
        <v>535</v>
      </c>
      <c r="S371" t="s">
        <v>539</v>
      </c>
      <c r="T371" s="2">
        <v>1</v>
      </c>
      <c r="U371" s="1">
        <v>9100</v>
      </c>
      <c r="V371" s="1">
        <v>9100</v>
      </c>
      <c r="X371" t="s">
        <v>540</v>
      </c>
      <c r="Z371" t="s">
        <v>541</v>
      </c>
      <c r="AA371" t="s">
        <v>542</v>
      </c>
      <c r="AB371" t="s">
        <v>543</v>
      </c>
      <c r="AC371" t="s">
        <v>544</v>
      </c>
      <c r="AD371" t="s">
        <v>545</v>
      </c>
      <c r="AE371" s="3">
        <v>1</v>
      </c>
      <c r="AF371" t="s">
        <v>158</v>
      </c>
      <c r="AG371" s="1">
        <v>9100</v>
      </c>
      <c r="AI371" s="1">
        <v>9100</v>
      </c>
      <c r="AJ371" s="1">
        <v>9100</v>
      </c>
      <c r="AM371" s="1">
        <v>9100</v>
      </c>
      <c r="AN371" t="s">
        <v>536</v>
      </c>
      <c r="AO371" t="s">
        <v>546</v>
      </c>
      <c r="AP371" t="s">
        <v>547</v>
      </c>
      <c r="AQ371" t="s">
        <v>548</v>
      </c>
      <c r="AS371" t="s">
        <v>393</v>
      </c>
      <c r="AX371" s="1">
        <v>9100</v>
      </c>
      <c r="AY371" t="s">
        <v>546</v>
      </c>
      <c r="AZ371" t="s">
        <v>549</v>
      </c>
      <c r="BA371" s="1">
        <v>9100</v>
      </c>
      <c r="BC371" t="s">
        <v>546</v>
      </c>
      <c r="BD371" s="1">
        <v>9100</v>
      </c>
      <c r="BE371" t="s">
        <v>540</v>
      </c>
      <c r="BF371" s="1">
        <v>9100</v>
      </c>
      <c r="BH371" s="1">
        <v>9100</v>
      </c>
      <c r="BI371" t="s">
        <v>550</v>
      </c>
      <c r="BJ371" t="s">
        <v>660</v>
      </c>
      <c r="BK371" t="s">
        <v>552</v>
      </c>
      <c r="BL371" t="s">
        <v>552</v>
      </c>
      <c r="BM371" t="s">
        <v>2033</v>
      </c>
      <c r="BN371" t="s">
        <v>2366</v>
      </c>
      <c r="BO371" t="s">
        <v>2367</v>
      </c>
      <c r="BR371" t="s">
        <v>546</v>
      </c>
      <c r="BS371" s="1">
        <v>9100</v>
      </c>
      <c r="BW371" t="s">
        <v>536</v>
      </c>
      <c r="BX371" s="1">
        <v>9100</v>
      </c>
      <c r="BZ371" t="s">
        <v>535</v>
      </c>
      <c r="CA371" t="s">
        <v>546</v>
      </c>
      <c r="CB371" t="s">
        <v>2033</v>
      </c>
      <c r="CC371" t="s">
        <v>556</v>
      </c>
      <c r="CD371" t="s">
        <v>2368</v>
      </c>
      <c r="CE371" t="s">
        <v>2369</v>
      </c>
      <c r="CF371" t="s">
        <v>158</v>
      </c>
      <c r="CG371" s="4">
        <v>1</v>
      </c>
      <c r="CH371" t="s">
        <v>546</v>
      </c>
      <c r="CK371" t="s">
        <v>2370</v>
      </c>
      <c r="CL371" s="1">
        <v>9100</v>
      </c>
      <c r="CN371" t="s">
        <v>535</v>
      </c>
      <c r="CO371" t="s">
        <v>539</v>
      </c>
      <c r="CT371" t="s">
        <v>666</v>
      </c>
      <c r="CW371" t="s">
        <v>546</v>
      </c>
      <c r="DD371" t="s">
        <v>561</v>
      </c>
      <c r="DK371" t="s">
        <v>2371</v>
      </c>
      <c r="DL371" t="s">
        <v>2372</v>
      </c>
    </row>
    <row r="372" ht="15" customHeight="1" spans="1:122">
      <c r="A372" t="s">
        <v>530</v>
      </c>
      <c r="B372" t="s">
        <v>2373</v>
      </c>
      <c r="C372" t="s">
        <v>532</v>
      </c>
      <c r="D372" t="s">
        <v>2033</v>
      </c>
      <c r="E372" t="s">
        <v>534</v>
      </c>
      <c r="F372" t="s">
        <v>534</v>
      </c>
      <c r="G372" t="s">
        <v>535</v>
      </c>
      <c r="H372" s="1">
        <v>4249</v>
      </c>
      <c r="I372" s="1">
        <v>4249</v>
      </c>
      <c r="J372" t="s">
        <v>536</v>
      </c>
      <c r="L372" t="s">
        <v>536</v>
      </c>
      <c r="M372" t="s">
        <v>377</v>
      </c>
      <c r="N372" t="s">
        <v>537</v>
      </c>
      <c r="P372" s="1">
        <v>4249</v>
      </c>
      <c r="Q372" t="s">
        <v>538</v>
      </c>
      <c r="R372" t="s">
        <v>535</v>
      </c>
      <c r="S372" t="s">
        <v>539</v>
      </c>
      <c r="T372" s="2">
        <v>1</v>
      </c>
      <c r="U372" s="1">
        <v>4249</v>
      </c>
      <c r="V372" s="1">
        <v>4249</v>
      </c>
      <c r="X372" t="s">
        <v>540</v>
      </c>
      <c r="Z372" t="s">
        <v>541</v>
      </c>
      <c r="AA372" t="s">
        <v>542</v>
      </c>
      <c r="AB372" t="s">
        <v>543</v>
      </c>
      <c r="AC372" t="s">
        <v>544</v>
      </c>
      <c r="AD372" t="s">
        <v>545</v>
      </c>
      <c r="AE372" s="3">
        <v>1</v>
      </c>
      <c r="AF372" t="s">
        <v>160</v>
      </c>
      <c r="AG372" s="1">
        <v>4249</v>
      </c>
      <c r="AI372" s="1">
        <v>4249</v>
      </c>
      <c r="AJ372" s="1">
        <v>4249</v>
      </c>
      <c r="AM372" s="1">
        <v>4249</v>
      </c>
      <c r="AN372" t="s">
        <v>643</v>
      </c>
      <c r="AO372" t="s">
        <v>546</v>
      </c>
      <c r="AP372" t="s">
        <v>643</v>
      </c>
      <c r="AQ372" t="s">
        <v>548</v>
      </c>
      <c r="AS372" t="s">
        <v>377</v>
      </c>
      <c r="AX372" s="1">
        <v>4249</v>
      </c>
      <c r="AY372" t="s">
        <v>546</v>
      </c>
      <c r="AZ372" t="s">
        <v>644</v>
      </c>
      <c r="BA372" s="1">
        <v>4249</v>
      </c>
      <c r="BC372" t="s">
        <v>546</v>
      </c>
      <c r="BD372" s="1">
        <v>4249</v>
      </c>
      <c r="BE372" t="s">
        <v>540</v>
      </c>
      <c r="BF372" s="1">
        <v>4249</v>
      </c>
      <c r="BH372" s="1">
        <v>4249</v>
      </c>
      <c r="BI372" t="s">
        <v>550</v>
      </c>
      <c r="BJ372" t="s">
        <v>551</v>
      </c>
      <c r="BK372" t="s">
        <v>551</v>
      </c>
      <c r="BL372" t="s">
        <v>1905</v>
      </c>
      <c r="BM372" t="s">
        <v>2033</v>
      </c>
      <c r="BN372" t="s">
        <v>2374</v>
      </c>
      <c r="BO372" t="s">
        <v>2375</v>
      </c>
      <c r="BR372" t="s">
        <v>546</v>
      </c>
      <c r="BS372" s="1">
        <v>4249</v>
      </c>
      <c r="BW372" t="s">
        <v>536</v>
      </c>
      <c r="BX372" s="1">
        <v>4249</v>
      </c>
      <c r="BZ372" t="s">
        <v>535</v>
      </c>
      <c r="CA372" t="s">
        <v>546</v>
      </c>
      <c r="CB372" t="s">
        <v>2033</v>
      </c>
      <c r="CC372" t="s">
        <v>556</v>
      </c>
      <c r="CD372" t="s">
        <v>944</v>
      </c>
      <c r="CE372" t="s">
        <v>945</v>
      </c>
      <c r="CF372" t="s">
        <v>160</v>
      </c>
      <c r="CG372" s="4">
        <v>1</v>
      </c>
      <c r="CH372" t="s">
        <v>546</v>
      </c>
      <c r="CK372" t="s">
        <v>2376</v>
      </c>
      <c r="CL372" s="1">
        <v>4249</v>
      </c>
      <c r="CN372" t="s">
        <v>535</v>
      </c>
      <c r="CO372" t="s">
        <v>539</v>
      </c>
      <c r="CT372" t="s">
        <v>560</v>
      </c>
      <c r="CW372" t="s">
        <v>546</v>
      </c>
      <c r="DD372" t="s">
        <v>561</v>
      </c>
      <c r="DK372" t="s">
        <v>2377</v>
      </c>
      <c r="DL372" t="s">
        <v>2378</v>
      </c>
      <c r="DR372" t="s">
        <v>2379</v>
      </c>
    </row>
    <row r="373" ht="15" customHeight="1" spans="1:122">
      <c r="A373" t="s">
        <v>530</v>
      </c>
      <c r="B373" t="s">
        <v>2380</v>
      </c>
      <c r="C373" t="s">
        <v>532</v>
      </c>
      <c r="D373" t="s">
        <v>2033</v>
      </c>
      <c r="E373" t="s">
        <v>534</v>
      </c>
      <c r="F373" t="s">
        <v>534</v>
      </c>
      <c r="G373" t="s">
        <v>535</v>
      </c>
      <c r="H373" s="1">
        <v>4400</v>
      </c>
      <c r="I373" s="1">
        <v>4400</v>
      </c>
      <c r="J373" t="s">
        <v>536</v>
      </c>
      <c r="L373" t="s">
        <v>536</v>
      </c>
      <c r="M373" t="s">
        <v>382</v>
      </c>
      <c r="N373" t="s">
        <v>537</v>
      </c>
      <c r="P373" s="1">
        <v>4400</v>
      </c>
      <c r="Q373" t="s">
        <v>785</v>
      </c>
      <c r="R373" t="s">
        <v>535</v>
      </c>
      <c r="S373" t="s">
        <v>539</v>
      </c>
      <c r="T373" s="2">
        <v>1</v>
      </c>
      <c r="U373" s="1">
        <v>4400</v>
      </c>
      <c r="V373" s="1">
        <v>4400</v>
      </c>
      <c r="X373" t="s">
        <v>540</v>
      </c>
      <c r="Z373" t="s">
        <v>541</v>
      </c>
      <c r="AA373" t="s">
        <v>542</v>
      </c>
      <c r="AB373" t="s">
        <v>543</v>
      </c>
      <c r="AC373" t="s">
        <v>544</v>
      </c>
      <c r="AD373" t="s">
        <v>545</v>
      </c>
      <c r="AE373" s="3">
        <v>1</v>
      </c>
      <c r="AF373" t="s">
        <v>161</v>
      </c>
      <c r="AG373" s="1">
        <v>4400</v>
      </c>
      <c r="AI373" s="1">
        <v>4400</v>
      </c>
      <c r="AJ373" s="1">
        <v>4400</v>
      </c>
      <c r="AM373" s="1">
        <v>4400</v>
      </c>
      <c r="AN373" t="s">
        <v>643</v>
      </c>
      <c r="AO373" t="s">
        <v>546</v>
      </c>
      <c r="AP373" t="s">
        <v>643</v>
      </c>
      <c r="AQ373" t="s">
        <v>548</v>
      </c>
      <c r="AS373" t="s">
        <v>382</v>
      </c>
      <c r="AX373" s="1">
        <v>4400</v>
      </c>
      <c r="AY373" t="s">
        <v>546</v>
      </c>
      <c r="AZ373" t="s">
        <v>644</v>
      </c>
      <c r="BA373" s="1">
        <v>4400</v>
      </c>
      <c r="BC373" t="s">
        <v>546</v>
      </c>
      <c r="BD373" s="1">
        <v>4400</v>
      </c>
      <c r="BE373" t="s">
        <v>540</v>
      </c>
      <c r="BF373" s="1">
        <v>4400</v>
      </c>
      <c r="BH373" s="1">
        <v>4400</v>
      </c>
      <c r="BI373" t="s">
        <v>550</v>
      </c>
      <c r="BJ373" t="s">
        <v>785</v>
      </c>
      <c r="BK373" t="s">
        <v>785</v>
      </c>
      <c r="BL373" t="s">
        <v>1905</v>
      </c>
      <c r="BM373" t="s">
        <v>2033</v>
      </c>
      <c r="BN373" t="s">
        <v>2381</v>
      </c>
      <c r="BO373" t="s">
        <v>2382</v>
      </c>
      <c r="BR373" t="s">
        <v>546</v>
      </c>
      <c r="BS373" s="1">
        <v>4400</v>
      </c>
      <c r="BW373" t="s">
        <v>536</v>
      </c>
      <c r="BX373" s="1">
        <v>4400</v>
      </c>
      <c r="BZ373" t="s">
        <v>535</v>
      </c>
      <c r="CA373" t="s">
        <v>546</v>
      </c>
      <c r="CB373" t="s">
        <v>2033</v>
      </c>
      <c r="CC373" t="s">
        <v>556</v>
      </c>
      <c r="CD373" t="s">
        <v>648</v>
      </c>
      <c r="CE373" t="s">
        <v>649</v>
      </c>
      <c r="CF373" t="s">
        <v>161</v>
      </c>
      <c r="CG373" s="4">
        <v>1</v>
      </c>
      <c r="CH373" t="s">
        <v>546</v>
      </c>
      <c r="CK373" t="s">
        <v>2383</v>
      </c>
      <c r="CL373" s="1">
        <v>4400</v>
      </c>
      <c r="CN373" t="s">
        <v>535</v>
      </c>
      <c r="CO373" t="s">
        <v>539</v>
      </c>
      <c r="CT373" t="s">
        <v>791</v>
      </c>
      <c r="CW373" t="s">
        <v>546</v>
      </c>
      <c r="DD373" t="s">
        <v>561</v>
      </c>
      <c r="DK373" t="s">
        <v>2384</v>
      </c>
      <c r="DL373" t="s">
        <v>2385</v>
      </c>
      <c r="DR373" t="s">
        <v>2386</v>
      </c>
    </row>
    <row r="374" ht="15" customHeight="1" spans="1:122">
      <c r="A374" t="s">
        <v>603</v>
      </c>
      <c r="B374" t="s">
        <v>2387</v>
      </c>
      <c r="C374" t="s">
        <v>532</v>
      </c>
      <c r="D374" t="s">
        <v>2388</v>
      </c>
      <c r="E374" t="s">
        <v>534</v>
      </c>
      <c r="F374" t="s">
        <v>534</v>
      </c>
      <c r="G374" t="s">
        <v>535</v>
      </c>
      <c r="H374" s="1">
        <v>28656</v>
      </c>
      <c r="I374" s="1">
        <v>28484.05</v>
      </c>
      <c r="J374" t="s">
        <v>536</v>
      </c>
      <c r="L374" t="s">
        <v>536</v>
      </c>
      <c r="M374" t="s">
        <v>411</v>
      </c>
      <c r="N374" t="s">
        <v>369</v>
      </c>
      <c r="P374" s="1">
        <v>28656</v>
      </c>
      <c r="Q374" t="s">
        <v>606</v>
      </c>
      <c r="R374" t="s">
        <v>535</v>
      </c>
      <c r="S374" t="s">
        <v>539</v>
      </c>
      <c r="T374" s="2">
        <v>1</v>
      </c>
      <c r="U374" s="1">
        <v>28656</v>
      </c>
      <c r="V374" s="1">
        <v>28484.05</v>
      </c>
      <c r="X374" t="s">
        <v>616</v>
      </c>
      <c r="Z374" t="s">
        <v>541</v>
      </c>
      <c r="AA374" t="s">
        <v>542</v>
      </c>
      <c r="AB374" t="s">
        <v>543</v>
      </c>
      <c r="AC374" t="s">
        <v>608</v>
      </c>
      <c r="AE374" s="3">
        <v>1</v>
      </c>
      <c r="AG374" s="1">
        <v>2686</v>
      </c>
      <c r="AI374" s="1">
        <v>28656</v>
      </c>
      <c r="AJ374" s="1">
        <v>2686</v>
      </c>
      <c r="AK374" s="1">
        <v>16.12</v>
      </c>
      <c r="AM374" s="1">
        <v>2669.88</v>
      </c>
      <c r="AN374" t="s">
        <v>536</v>
      </c>
      <c r="AO374" t="s">
        <v>546</v>
      </c>
      <c r="AP374" t="s">
        <v>547</v>
      </c>
      <c r="AQ374" t="s">
        <v>548</v>
      </c>
      <c r="AS374" t="s">
        <v>411</v>
      </c>
      <c r="AX374" s="1">
        <v>2686</v>
      </c>
      <c r="AY374" t="s">
        <v>546</v>
      </c>
      <c r="AZ374" t="s">
        <v>549</v>
      </c>
      <c r="BA374" s="1">
        <v>2686</v>
      </c>
      <c r="BB374" t="s">
        <v>2389</v>
      </c>
      <c r="BC374" t="s">
        <v>546</v>
      </c>
      <c r="BE374" t="s">
        <v>616</v>
      </c>
      <c r="BG374" s="1">
        <v>16.12</v>
      </c>
      <c r="BH374" s="1">
        <v>2669.88</v>
      </c>
      <c r="BI374" t="s">
        <v>550</v>
      </c>
      <c r="BJ374" t="s">
        <v>610</v>
      </c>
      <c r="BK374" t="s">
        <v>552</v>
      </c>
      <c r="BL374" t="s">
        <v>552</v>
      </c>
      <c r="BM374" t="s">
        <v>2033</v>
      </c>
      <c r="BN374" t="s">
        <v>2390</v>
      </c>
      <c r="BO374" t="s">
        <v>2391</v>
      </c>
      <c r="BR374" t="s">
        <v>546</v>
      </c>
      <c r="BS374" s="1">
        <v>2686</v>
      </c>
      <c r="BW374" t="s">
        <v>536</v>
      </c>
      <c r="BZ374" t="s">
        <v>535</v>
      </c>
      <c r="CA374" t="s">
        <v>546</v>
      </c>
      <c r="CB374" t="s">
        <v>2388</v>
      </c>
      <c r="CC374" t="s">
        <v>556</v>
      </c>
      <c r="CH374" t="s">
        <v>546</v>
      </c>
      <c r="CK374" t="s">
        <v>2392</v>
      </c>
      <c r="CN374" t="s">
        <v>535</v>
      </c>
      <c r="CO374" t="s">
        <v>539</v>
      </c>
      <c r="CT374" t="s">
        <v>576</v>
      </c>
      <c r="CW374" t="s">
        <v>546</v>
      </c>
      <c r="DD374" t="s">
        <v>561</v>
      </c>
      <c r="DK374" t="s">
        <v>2393</v>
      </c>
      <c r="DR374" t="s">
        <v>2393</v>
      </c>
    </row>
    <row r="375" ht="15" customHeight="1" spans="1:122">
      <c r="AB375" t="s">
        <v>543</v>
      </c>
      <c r="AC375" t="s">
        <v>608</v>
      </c>
      <c r="AG375" s="1">
        <v>2686</v>
      </c>
      <c r="AJ375" s="1">
        <v>2686</v>
      </c>
      <c r="AK375" s="1">
        <v>16.12</v>
      </c>
      <c r="AM375" s="1">
        <v>2669.88</v>
      </c>
      <c r="AN375" t="s">
        <v>536</v>
      </c>
      <c r="AP375" t="s">
        <v>547</v>
      </c>
      <c r="AX375" s="1">
        <v>2686</v>
      </c>
      <c r="AZ375" t="s">
        <v>549</v>
      </c>
      <c r="BA375" s="1">
        <v>2686</v>
      </c>
      <c r="BB375" t="s">
        <v>2394</v>
      </c>
      <c r="BC375" t="s">
        <v>546</v>
      </c>
      <c r="BE375" t="s">
        <v>616</v>
      </c>
      <c r="BG375" s="1">
        <v>16.12</v>
      </c>
      <c r="BH375" s="1">
        <v>2669.88</v>
      </c>
      <c r="BS375" s="1">
        <v>2686</v>
      </c>
      <c r="CB375" t="s">
        <v>2388</v>
      </c>
      <c r="CC375" t="s">
        <v>556</v>
      </c>
      <c r="DD375" t="s">
        <v>561</v>
      </c>
    </row>
    <row r="376" ht="15" customHeight="1" spans="1:122">
      <c r="AB376" t="s">
        <v>543</v>
      </c>
      <c r="AC376" t="s">
        <v>608</v>
      </c>
      <c r="AG376" s="1">
        <v>2686</v>
      </c>
      <c r="AJ376" s="1">
        <v>2686</v>
      </c>
      <c r="AK376" s="1">
        <v>16.12</v>
      </c>
      <c r="AM376" s="1">
        <v>2669.88</v>
      </c>
      <c r="AN376" t="s">
        <v>536</v>
      </c>
      <c r="AP376" t="s">
        <v>547</v>
      </c>
      <c r="AX376" s="1">
        <v>2686</v>
      </c>
      <c r="AZ376" t="s">
        <v>549</v>
      </c>
      <c r="BA376" s="1">
        <v>2686</v>
      </c>
      <c r="BB376" t="s">
        <v>2395</v>
      </c>
      <c r="BC376" t="s">
        <v>546</v>
      </c>
      <c r="BE376" t="s">
        <v>616</v>
      </c>
      <c r="BG376" s="1">
        <v>16.12</v>
      </c>
      <c r="BH376" s="1">
        <v>2669.88</v>
      </c>
      <c r="BS376" s="1">
        <v>2686</v>
      </c>
      <c r="CB376" t="s">
        <v>2388</v>
      </c>
      <c r="CC376" t="s">
        <v>556</v>
      </c>
      <c r="DD376" t="s">
        <v>561</v>
      </c>
    </row>
    <row r="377" ht="15" customHeight="1" spans="1:122">
      <c r="AB377" t="s">
        <v>543</v>
      </c>
      <c r="AC377" t="s">
        <v>608</v>
      </c>
      <c r="AG377" s="1">
        <v>2574</v>
      </c>
      <c r="AJ377" s="1">
        <v>2574</v>
      </c>
      <c r="AK377" s="1">
        <v>15.44</v>
      </c>
      <c r="AM377" s="1">
        <v>2558.56</v>
      </c>
      <c r="AN377" t="s">
        <v>536</v>
      </c>
      <c r="AP377" t="s">
        <v>547</v>
      </c>
      <c r="AX377" s="1">
        <v>2574</v>
      </c>
      <c r="AZ377" t="s">
        <v>549</v>
      </c>
      <c r="BA377" s="1">
        <v>2574</v>
      </c>
      <c r="BB377" t="s">
        <v>2396</v>
      </c>
      <c r="BC377" t="s">
        <v>546</v>
      </c>
      <c r="BE377" t="s">
        <v>616</v>
      </c>
      <c r="BG377" s="1">
        <v>15.44</v>
      </c>
      <c r="BH377" s="1">
        <v>2558.56</v>
      </c>
      <c r="BS377" s="1">
        <v>2574</v>
      </c>
      <c r="CB377" t="s">
        <v>2388</v>
      </c>
      <c r="CC377" t="s">
        <v>556</v>
      </c>
      <c r="DD377" t="s">
        <v>561</v>
      </c>
    </row>
    <row r="378" ht="15" customHeight="1" spans="1:122">
      <c r="AB378" t="s">
        <v>543</v>
      </c>
      <c r="AC378" t="s">
        <v>608</v>
      </c>
      <c r="AG378" s="1">
        <v>3932</v>
      </c>
      <c r="AJ378" s="1">
        <v>3932</v>
      </c>
      <c r="AK378" s="1">
        <v>23.59</v>
      </c>
      <c r="AM378" s="1">
        <v>3908.41</v>
      </c>
      <c r="AN378" t="s">
        <v>536</v>
      </c>
      <c r="AP378" t="s">
        <v>547</v>
      </c>
      <c r="AX378" s="1">
        <v>3932</v>
      </c>
      <c r="AZ378" t="s">
        <v>549</v>
      </c>
      <c r="BA378" s="1">
        <v>3932</v>
      </c>
      <c r="BB378" t="s">
        <v>2397</v>
      </c>
      <c r="BC378" t="s">
        <v>546</v>
      </c>
      <c r="BE378" t="s">
        <v>616</v>
      </c>
      <c r="BG378" s="1">
        <v>23.59</v>
      </c>
      <c r="BH378" s="1">
        <v>3908.41</v>
      </c>
      <c r="BS378" s="1">
        <v>3932</v>
      </c>
      <c r="CB378" t="s">
        <v>2388</v>
      </c>
      <c r="CC378" t="s">
        <v>556</v>
      </c>
      <c r="DD378" t="s">
        <v>561</v>
      </c>
    </row>
    <row r="379" ht="15" customHeight="1" spans="1:122">
      <c r="AB379" t="s">
        <v>543</v>
      </c>
      <c r="AC379" t="s">
        <v>608</v>
      </c>
      <c r="AG379" s="1">
        <v>3460</v>
      </c>
      <c r="AJ379" s="1">
        <v>3460</v>
      </c>
      <c r="AK379" s="1">
        <v>20.76</v>
      </c>
      <c r="AM379" s="1">
        <v>3439.24</v>
      </c>
      <c r="AN379" t="s">
        <v>536</v>
      </c>
      <c r="AP379" t="s">
        <v>547</v>
      </c>
      <c r="AX379" s="1">
        <v>3460</v>
      </c>
      <c r="AZ379" t="s">
        <v>549</v>
      </c>
      <c r="BA379" s="1">
        <v>3460</v>
      </c>
      <c r="BB379" t="s">
        <v>2398</v>
      </c>
      <c r="BC379" t="s">
        <v>546</v>
      </c>
      <c r="BE379" t="s">
        <v>616</v>
      </c>
      <c r="BG379" s="1">
        <v>20.76</v>
      </c>
      <c r="BH379" s="1">
        <v>3439.24</v>
      </c>
      <c r="BS379" s="1">
        <v>3460</v>
      </c>
      <c r="CB379" t="s">
        <v>2388</v>
      </c>
      <c r="CC379" t="s">
        <v>556</v>
      </c>
      <c r="DD379" t="s">
        <v>561</v>
      </c>
    </row>
    <row r="380" ht="15" customHeight="1" spans="1:122">
      <c r="AB380" t="s">
        <v>543</v>
      </c>
      <c r="AC380" t="s">
        <v>608</v>
      </c>
      <c r="AG380" s="1">
        <v>2574</v>
      </c>
      <c r="AJ380" s="1">
        <v>2574</v>
      </c>
      <c r="AK380" s="1">
        <v>15.44</v>
      </c>
      <c r="AM380" s="1">
        <v>2558.56</v>
      </c>
      <c r="AN380" t="s">
        <v>536</v>
      </c>
      <c r="AP380" t="s">
        <v>547</v>
      </c>
      <c r="AX380" s="1">
        <v>2574</v>
      </c>
      <c r="AZ380" t="s">
        <v>549</v>
      </c>
      <c r="BA380" s="1">
        <v>2574</v>
      </c>
      <c r="BB380" t="s">
        <v>2399</v>
      </c>
      <c r="BC380" t="s">
        <v>546</v>
      </c>
      <c r="BE380" t="s">
        <v>616</v>
      </c>
      <c r="BG380" s="1">
        <v>15.44</v>
      </c>
      <c r="BH380" s="1">
        <v>2558.56</v>
      </c>
      <c r="BS380" s="1">
        <v>2574</v>
      </c>
      <c r="CB380" t="s">
        <v>2388</v>
      </c>
      <c r="CC380" t="s">
        <v>556</v>
      </c>
      <c r="DD380" t="s">
        <v>561</v>
      </c>
    </row>
    <row r="381" ht="15" customHeight="1" spans="1:122">
      <c r="AB381" t="s">
        <v>543</v>
      </c>
      <c r="AC381" t="s">
        <v>608</v>
      </c>
      <c r="AG381" s="1">
        <v>2686</v>
      </c>
      <c r="AJ381" s="1">
        <v>2686</v>
      </c>
      <c r="AK381" s="1">
        <v>16.12</v>
      </c>
      <c r="AM381" s="1">
        <v>2669.88</v>
      </c>
      <c r="AN381" t="s">
        <v>536</v>
      </c>
      <c r="AP381" t="s">
        <v>547</v>
      </c>
      <c r="AX381" s="1">
        <v>2686</v>
      </c>
      <c r="AZ381" t="s">
        <v>549</v>
      </c>
      <c r="BA381" s="1">
        <v>2686</v>
      </c>
      <c r="BB381" t="s">
        <v>2400</v>
      </c>
      <c r="BC381" t="s">
        <v>546</v>
      </c>
      <c r="BE381" t="s">
        <v>616</v>
      </c>
      <c r="BG381" s="1">
        <v>16.12</v>
      </c>
      <c r="BH381" s="1">
        <v>2669.88</v>
      </c>
      <c r="BS381" s="1">
        <v>2686</v>
      </c>
      <c r="CB381" t="s">
        <v>2388</v>
      </c>
      <c r="CC381" t="s">
        <v>556</v>
      </c>
      <c r="DD381" t="s">
        <v>561</v>
      </c>
    </row>
    <row r="382" ht="15" customHeight="1" spans="1:122">
      <c r="AB382" t="s">
        <v>543</v>
      </c>
      <c r="AC382" t="s">
        <v>608</v>
      </c>
      <c r="AG382" s="1">
        <v>2686</v>
      </c>
      <c r="AJ382" s="1">
        <v>2686</v>
      </c>
      <c r="AK382" s="1">
        <v>16.12</v>
      </c>
      <c r="AM382" s="1">
        <v>2669.88</v>
      </c>
      <c r="AN382" t="s">
        <v>536</v>
      </c>
      <c r="AP382" t="s">
        <v>547</v>
      </c>
      <c r="AX382" s="1">
        <v>2686</v>
      </c>
      <c r="AZ382" t="s">
        <v>549</v>
      </c>
      <c r="BA382" s="1">
        <v>2686</v>
      </c>
      <c r="BB382" t="s">
        <v>2401</v>
      </c>
      <c r="BC382" t="s">
        <v>546</v>
      </c>
      <c r="BE382" t="s">
        <v>616</v>
      </c>
      <c r="BG382" s="1">
        <v>16.12</v>
      </c>
      <c r="BH382" s="1">
        <v>2669.88</v>
      </c>
      <c r="BS382" s="1">
        <v>2686</v>
      </c>
      <c r="CB382" t="s">
        <v>2388</v>
      </c>
      <c r="CC382" t="s">
        <v>556</v>
      </c>
      <c r="DD382" t="s">
        <v>561</v>
      </c>
    </row>
    <row r="383" ht="15" customHeight="1" spans="1:122">
      <c r="AB383" t="s">
        <v>543</v>
      </c>
      <c r="AC383" t="s">
        <v>608</v>
      </c>
      <c r="AG383" s="1">
        <v>2686</v>
      </c>
      <c r="AJ383" s="1">
        <v>2686</v>
      </c>
      <c r="AK383" s="1">
        <v>16.12</v>
      </c>
      <c r="AM383" s="1">
        <v>2669.88</v>
      </c>
      <c r="AN383" t="s">
        <v>536</v>
      </c>
      <c r="AP383" t="s">
        <v>547</v>
      </c>
      <c r="AX383" s="1">
        <v>2686</v>
      </c>
      <c r="AZ383" t="s">
        <v>549</v>
      </c>
      <c r="BA383" s="1">
        <v>2686</v>
      </c>
      <c r="BB383" t="s">
        <v>2402</v>
      </c>
      <c r="BC383" t="s">
        <v>546</v>
      </c>
      <c r="BE383" t="s">
        <v>616</v>
      </c>
      <c r="BG383" s="1">
        <v>16.12</v>
      </c>
      <c r="BH383" s="1">
        <v>2669.88</v>
      </c>
      <c r="BS383" s="1">
        <v>2686</v>
      </c>
      <c r="CB383" t="s">
        <v>2388</v>
      </c>
      <c r="CC383" t="s">
        <v>556</v>
      </c>
      <c r="DD383" t="s">
        <v>561</v>
      </c>
    </row>
    <row r="384" ht="15" customHeight="1" spans="1:122">
      <c r="A384" t="s">
        <v>603</v>
      </c>
      <c r="B384" t="s">
        <v>2403</v>
      </c>
      <c r="C384" t="s">
        <v>532</v>
      </c>
      <c r="D384" t="s">
        <v>2033</v>
      </c>
      <c r="E384" t="s">
        <v>534</v>
      </c>
      <c r="F384" t="s">
        <v>534</v>
      </c>
      <c r="G384" t="s">
        <v>535</v>
      </c>
      <c r="H384" s="1">
        <v>14204</v>
      </c>
      <c r="I384" s="1">
        <v>14118.76</v>
      </c>
      <c r="J384" t="s">
        <v>536</v>
      </c>
      <c r="L384" t="s">
        <v>536</v>
      </c>
      <c r="M384" t="s">
        <v>411</v>
      </c>
      <c r="N384" t="s">
        <v>369</v>
      </c>
      <c r="P384" s="1">
        <v>14204</v>
      </c>
      <c r="Q384" t="s">
        <v>606</v>
      </c>
      <c r="R384" t="s">
        <v>535</v>
      </c>
      <c r="S384" t="s">
        <v>539</v>
      </c>
      <c r="T384" s="2">
        <v>1</v>
      </c>
      <c r="U384" s="1">
        <v>14204</v>
      </c>
      <c r="V384" s="1">
        <v>14118.76</v>
      </c>
      <c r="X384" t="s">
        <v>616</v>
      </c>
      <c r="Z384" t="s">
        <v>541</v>
      </c>
      <c r="AA384" t="s">
        <v>542</v>
      </c>
      <c r="AB384" t="s">
        <v>543</v>
      </c>
      <c r="AC384" t="s">
        <v>608</v>
      </c>
      <c r="AE384" s="3">
        <v>1</v>
      </c>
      <c r="AG384" s="1">
        <v>2686</v>
      </c>
      <c r="AJ384" s="1">
        <v>2686</v>
      </c>
      <c r="AK384" s="1">
        <v>16.12</v>
      </c>
      <c r="AM384" s="1">
        <v>2669.88</v>
      </c>
      <c r="AN384" t="s">
        <v>536</v>
      </c>
      <c r="AO384" t="s">
        <v>546</v>
      </c>
      <c r="AP384" t="s">
        <v>547</v>
      </c>
      <c r="AQ384" t="s">
        <v>548</v>
      </c>
      <c r="AS384" t="s">
        <v>411</v>
      </c>
      <c r="AX384" s="1">
        <v>2686</v>
      </c>
      <c r="AY384" t="s">
        <v>546</v>
      </c>
      <c r="AZ384" t="s">
        <v>549</v>
      </c>
      <c r="BA384" s="1">
        <v>2686</v>
      </c>
      <c r="BB384" t="s">
        <v>2404</v>
      </c>
      <c r="BC384" t="s">
        <v>546</v>
      </c>
      <c r="BE384" t="s">
        <v>616</v>
      </c>
      <c r="BG384" s="1">
        <v>16.12</v>
      </c>
      <c r="BH384" s="1">
        <v>2669.88</v>
      </c>
      <c r="BI384" t="s">
        <v>550</v>
      </c>
      <c r="BJ384" t="s">
        <v>610</v>
      </c>
      <c r="BK384" t="s">
        <v>552</v>
      </c>
      <c r="BL384" t="s">
        <v>552</v>
      </c>
      <c r="BM384" t="s">
        <v>2033</v>
      </c>
      <c r="BN384" t="s">
        <v>2405</v>
      </c>
      <c r="BO384" t="s">
        <v>2406</v>
      </c>
      <c r="BR384" t="s">
        <v>546</v>
      </c>
      <c r="BS384" s="1">
        <v>2686</v>
      </c>
      <c r="BW384" t="s">
        <v>536</v>
      </c>
      <c r="BZ384" t="s">
        <v>535</v>
      </c>
      <c r="CA384" t="s">
        <v>546</v>
      </c>
      <c r="CB384" t="s">
        <v>2033</v>
      </c>
      <c r="CC384" t="s">
        <v>556</v>
      </c>
      <c r="CH384" t="s">
        <v>546</v>
      </c>
      <c r="CK384" t="s">
        <v>2407</v>
      </c>
      <c r="CN384" t="s">
        <v>535</v>
      </c>
      <c r="CO384" t="s">
        <v>539</v>
      </c>
      <c r="CT384" t="s">
        <v>576</v>
      </c>
      <c r="CW384" t="s">
        <v>546</v>
      </c>
      <c r="DD384" t="s">
        <v>561</v>
      </c>
      <c r="DK384" t="s">
        <v>2408</v>
      </c>
      <c r="DR384" t="s">
        <v>2408</v>
      </c>
    </row>
    <row r="385" ht="15" customHeight="1" spans="1:122">
      <c r="AB385" t="s">
        <v>543</v>
      </c>
      <c r="AC385" t="s">
        <v>608</v>
      </c>
      <c r="AG385" s="1">
        <v>2686</v>
      </c>
      <c r="AJ385" s="1">
        <v>2686</v>
      </c>
      <c r="AK385" s="1">
        <v>16.12</v>
      </c>
      <c r="AM385" s="1">
        <v>2669.88</v>
      </c>
      <c r="AN385" t="s">
        <v>536</v>
      </c>
      <c r="AP385" t="s">
        <v>547</v>
      </c>
      <c r="AX385" s="1">
        <v>2686</v>
      </c>
      <c r="AZ385" t="s">
        <v>549</v>
      </c>
      <c r="BA385" s="1">
        <v>2686</v>
      </c>
      <c r="BB385" t="s">
        <v>2409</v>
      </c>
      <c r="BC385" t="s">
        <v>546</v>
      </c>
      <c r="BE385" t="s">
        <v>616</v>
      </c>
      <c r="BG385" s="1">
        <v>16.12</v>
      </c>
      <c r="BH385" s="1">
        <v>2669.88</v>
      </c>
      <c r="BS385" s="1">
        <v>2686</v>
      </c>
      <c r="CB385" t="s">
        <v>2033</v>
      </c>
      <c r="CC385" t="s">
        <v>556</v>
      </c>
      <c r="DD385" t="s">
        <v>561</v>
      </c>
    </row>
    <row r="386" ht="15" customHeight="1" spans="1:122">
      <c r="AB386" t="s">
        <v>543</v>
      </c>
      <c r="AC386" t="s">
        <v>608</v>
      </c>
      <c r="AG386" s="1">
        <v>2686</v>
      </c>
      <c r="AJ386" s="1">
        <v>2686</v>
      </c>
      <c r="AK386" s="1">
        <v>16.12</v>
      </c>
      <c r="AM386" s="1">
        <v>2669.88</v>
      </c>
      <c r="AN386" t="s">
        <v>536</v>
      </c>
      <c r="AP386" t="s">
        <v>547</v>
      </c>
      <c r="AX386" s="1">
        <v>2686</v>
      </c>
      <c r="AZ386" t="s">
        <v>549</v>
      </c>
      <c r="BA386" s="1">
        <v>2686</v>
      </c>
      <c r="BB386" t="s">
        <v>2410</v>
      </c>
      <c r="BC386" t="s">
        <v>546</v>
      </c>
      <c r="BE386" t="s">
        <v>616</v>
      </c>
      <c r="BG386" s="1">
        <v>16.12</v>
      </c>
      <c r="BH386" s="1">
        <v>2669.88</v>
      </c>
      <c r="BS386" s="1">
        <v>2686</v>
      </c>
      <c r="CB386" t="s">
        <v>2033</v>
      </c>
      <c r="CC386" t="s">
        <v>556</v>
      </c>
      <c r="DD386" t="s">
        <v>561</v>
      </c>
    </row>
    <row r="387" ht="15" customHeight="1" spans="1:122">
      <c r="AB387" t="s">
        <v>543</v>
      </c>
      <c r="AC387" t="s">
        <v>608</v>
      </c>
      <c r="AG387" s="1">
        <v>3460</v>
      </c>
      <c r="AJ387" s="1">
        <v>3460</v>
      </c>
      <c r="AK387" s="1">
        <v>20.76</v>
      </c>
      <c r="AM387" s="1">
        <v>3439.24</v>
      </c>
      <c r="AN387" t="s">
        <v>536</v>
      </c>
      <c r="AP387" t="s">
        <v>547</v>
      </c>
      <c r="AX387" s="1">
        <v>3460</v>
      </c>
      <c r="AZ387" t="s">
        <v>549</v>
      </c>
      <c r="BA387" s="1">
        <v>3460</v>
      </c>
      <c r="BB387" t="s">
        <v>2411</v>
      </c>
      <c r="BC387" t="s">
        <v>546</v>
      </c>
      <c r="BE387" t="s">
        <v>616</v>
      </c>
      <c r="BG387" s="1">
        <v>20.76</v>
      </c>
      <c r="BH387" s="1">
        <v>3439.24</v>
      </c>
      <c r="BS387" s="1">
        <v>3460</v>
      </c>
      <c r="CB387" t="s">
        <v>2033</v>
      </c>
      <c r="CC387" t="s">
        <v>556</v>
      </c>
      <c r="DD387" t="s">
        <v>561</v>
      </c>
    </row>
    <row r="388" ht="15" customHeight="1" spans="1:122">
      <c r="AB388" t="s">
        <v>543</v>
      </c>
      <c r="AC388" t="s">
        <v>608</v>
      </c>
      <c r="AG388" s="1">
        <v>2686</v>
      </c>
      <c r="AJ388" s="1">
        <v>2686</v>
      </c>
      <c r="AK388" s="1">
        <v>16.12</v>
      </c>
      <c r="AM388" s="1">
        <v>2669.88</v>
      </c>
      <c r="AN388" t="s">
        <v>536</v>
      </c>
      <c r="AP388" t="s">
        <v>547</v>
      </c>
      <c r="AX388" s="1">
        <v>2686</v>
      </c>
      <c r="AZ388" t="s">
        <v>549</v>
      </c>
      <c r="BA388" s="1">
        <v>2686</v>
      </c>
      <c r="BB388" t="s">
        <v>2412</v>
      </c>
      <c r="BC388" t="s">
        <v>546</v>
      </c>
      <c r="BE388" t="s">
        <v>616</v>
      </c>
      <c r="BG388" s="1">
        <v>16.12</v>
      </c>
      <c r="BH388" s="1">
        <v>2669.88</v>
      </c>
      <c r="BS388" s="1">
        <v>2686</v>
      </c>
      <c r="CB388" t="s">
        <v>2033</v>
      </c>
      <c r="CC388" t="s">
        <v>556</v>
      </c>
      <c r="DD388" t="s">
        <v>561</v>
      </c>
    </row>
    <row r="389" ht="15" customHeight="1" spans="1:122">
      <c r="A389" t="s">
        <v>530</v>
      </c>
      <c r="B389" t="s">
        <v>2413</v>
      </c>
      <c r="C389" t="s">
        <v>532</v>
      </c>
      <c r="D389" t="s">
        <v>2033</v>
      </c>
      <c r="E389" t="s">
        <v>534</v>
      </c>
      <c r="F389" t="s">
        <v>534</v>
      </c>
      <c r="G389" t="s">
        <v>535</v>
      </c>
      <c r="H389" s="1">
        <v>6000</v>
      </c>
      <c r="I389" s="1">
        <v>6000</v>
      </c>
      <c r="J389" t="s">
        <v>536</v>
      </c>
      <c r="L389" t="s">
        <v>536</v>
      </c>
      <c r="M389" t="s">
        <v>380</v>
      </c>
      <c r="N389" t="s">
        <v>537</v>
      </c>
      <c r="P389" s="1">
        <v>6000</v>
      </c>
      <c r="Q389" t="s">
        <v>2414</v>
      </c>
      <c r="R389" t="s">
        <v>535</v>
      </c>
      <c r="S389" t="s">
        <v>539</v>
      </c>
      <c r="T389" s="2">
        <v>1</v>
      </c>
      <c r="U389" s="1">
        <v>6000</v>
      </c>
      <c r="V389" s="1">
        <v>6000</v>
      </c>
      <c r="X389" t="s">
        <v>540</v>
      </c>
      <c r="Z389" t="s">
        <v>541</v>
      </c>
      <c r="AA389" t="s">
        <v>542</v>
      </c>
      <c r="AB389" t="s">
        <v>543</v>
      </c>
      <c r="AC389" t="s">
        <v>544</v>
      </c>
      <c r="AD389" t="s">
        <v>545</v>
      </c>
      <c r="AE389" s="3">
        <v>1</v>
      </c>
      <c r="AF389" t="s">
        <v>327</v>
      </c>
      <c r="AG389" s="1">
        <v>6000</v>
      </c>
      <c r="AI389" s="1">
        <v>6000</v>
      </c>
      <c r="AJ389" s="1">
        <v>6000</v>
      </c>
      <c r="AM389" s="1">
        <v>6000</v>
      </c>
      <c r="AN389" t="s">
        <v>2415</v>
      </c>
      <c r="AO389" t="s">
        <v>546</v>
      </c>
      <c r="AP389" t="s">
        <v>2416</v>
      </c>
      <c r="AQ389" t="s">
        <v>548</v>
      </c>
      <c r="AS389" t="s">
        <v>380</v>
      </c>
      <c r="AX389" s="1">
        <v>6000</v>
      </c>
      <c r="AY389" t="s">
        <v>546</v>
      </c>
      <c r="AZ389" t="s">
        <v>2417</v>
      </c>
      <c r="BA389" s="1">
        <v>6000</v>
      </c>
      <c r="BC389" t="s">
        <v>546</v>
      </c>
      <c r="BD389" s="1">
        <v>6000</v>
      </c>
      <c r="BE389" t="s">
        <v>540</v>
      </c>
      <c r="BF389" s="1">
        <v>6000</v>
      </c>
      <c r="BH389" s="1">
        <v>6000</v>
      </c>
      <c r="BI389" t="s">
        <v>550</v>
      </c>
      <c r="BJ389" t="s">
        <v>551</v>
      </c>
      <c r="BK389" t="s">
        <v>551</v>
      </c>
      <c r="BL389" t="s">
        <v>1905</v>
      </c>
      <c r="BM389" t="s">
        <v>2033</v>
      </c>
      <c r="BN389" t="s">
        <v>2418</v>
      </c>
      <c r="BO389" t="s">
        <v>2419</v>
      </c>
      <c r="BR389" t="s">
        <v>546</v>
      </c>
      <c r="BS389" s="1">
        <v>6000</v>
      </c>
      <c r="BW389" t="s">
        <v>536</v>
      </c>
      <c r="BX389" s="1">
        <v>6000</v>
      </c>
      <c r="BZ389" t="s">
        <v>535</v>
      </c>
      <c r="CA389" t="s">
        <v>546</v>
      </c>
      <c r="CB389" t="s">
        <v>2033</v>
      </c>
      <c r="CC389" t="s">
        <v>556</v>
      </c>
      <c r="CD389" t="s">
        <v>2420</v>
      </c>
      <c r="CE389" t="s">
        <v>2421</v>
      </c>
      <c r="CF389" t="s">
        <v>327</v>
      </c>
      <c r="CG389" s="4">
        <v>1</v>
      </c>
      <c r="CH389" t="s">
        <v>546</v>
      </c>
      <c r="CK389" t="s">
        <v>2422</v>
      </c>
      <c r="CL389" s="1">
        <v>6000</v>
      </c>
      <c r="CN389" t="s">
        <v>535</v>
      </c>
      <c r="CO389" t="s">
        <v>539</v>
      </c>
      <c r="CT389" t="s">
        <v>576</v>
      </c>
      <c r="CW389" t="s">
        <v>546</v>
      </c>
      <c r="DD389" t="s">
        <v>561</v>
      </c>
      <c r="DK389" t="s">
        <v>2423</v>
      </c>
      <c r="DL389" t="s">
        <v>2424</v>
      </c>
    </row>
    <row r="390" ht="15" customHeight="1" spans="1:122">
      <c r="A390" t="s">
        <v>530</v>
      </c>
      <c r="B390" t="s">
        <v>2425</v>
      </c>
      <c r="C390" t="s">
        <v>532</v>
      </c>
      <c r="D390" t="s">
        <v>2388</v>
      </c>
      <c r="E390" t="s">
        <v>534</v>
      </c>
      <c r="F390" t="s">
        <v>534</v>
      </c>
      <c r="G390" t="s">
        <v>535</v>
      </c>
      <c r="H390" s="1">
        <v>3200</v>
      </c>
      <c r="I390" s="1">
        <v>3180.8</v>
      </c>
      <c r="J390" t="s">
        <v>536</v>
      </c>
      <c r="L390" t="s">
        <v>536</v>
      </c>
      <c r="M390" t="s">
        <v>375</v>
      </c>
      <c r="N390" t="s">
        <v>537</v>
      </c>
      <c r="P390" s="1">
        <v>3200</v>
      </c>
      <c r="Q390" t="s">
        <v>580</v>
      </c>
      <c r="R390" t="s">
        <v>535</v>
      </c>
      <c r="S390" t="s">
        <v>539</v>
      </c>
      <c r="T390" s="2">
        <v>1</v>
      </c>
      <c r="U390" s="1">
        <v>3200</v>
      </c>
      <c r="V390" s="1">
        <v>3180.8</v>
      </c>
      <c r="X390" t="s">
        <v>540</v>
      </c>
      <c r="Z390" t="s">
        <v>541</v>
      </c>
      <c r="AA390" t="s">
        <v>542</v>
      </c>
      <c r="AB390" t="s">
        <v>543</v>
      </c>
      <c r="AC390" t="s">
        <v>544</v>
      </c>
      <c r="AD390" t="s">
        <v>545</v>
      </c>
      <c r="AE390" s="3">
        <v>1</v>
      </c>
      <c r="AF390" t="s">
        <v>162</v>
      </c>
      <c r="AG390" s="1">
        <v>3200</v>
      </c>
      <c r="AI390" s="1">
        <v>3200</v>
      </c>
      <c r="AJ390" s="1">
        <v>3200</v>
      </c>
      <c r="AK390" s="1">
        <v>19.2</v>
      </c>
      <c r="AM390" s="1">
        <v>3180.8</v>
      </c>
      <c r="AN390" t="s">
        <v>536</v>
      </c>
      <c r="AO390" t="s">
        <v>546</v>
      </c>
      <c r="AP390" t="s">
        <v>547</v>
      </c>
      <c r="AQ390" t="s">
        <v>548</v>
      </c>
      <c r="AS390" t="s">
        <v>375</v>
      </c>
      <c r="AX390" s="1">
        <v>3200</v>
      </c>
      <c r="AY390" t="s">
        <v>546</v>
      </c>
      <c r="AZ390" t="s">
        <v>549</v>
      </c>
      <c r="BA390" s="1">
        <v>3200</v>
      </c>
      <c r="BC390" t="s">
        <v>546</v>
      </c>
      <c r="BD390" s="1">
        <v>3200</v>
      </c>
      <c r="BE390" t="s">
        <v>540</v>
      </c>
      <c r="BF390" s="1">
        <v>3200</v>
      </c>
      <c r="BG390" s="1">
        <v>19.2</v>
      </c>
      <c r="BH390" s="1">
        <v>3180.8</v>
      </c>
      <c r="BI390" t="s">
        <v>550</v>
      </c>
      <c r="BJ390" t="s">
        <v>570</v>
      </c>
      <c r="BK390" t="s">
        <v>552</v>
      </c>
      <c r="BL390" t="s">
        <v>1905</v>
      </c>
      <c r="BM390" t="s">
        <v>2033</v>
      </c>
      <c r="BN390" t="s">
        <v>2426</v>
      </c>
      <c r="BO390" t="s">
        <v>2427</v>
      </c>
      <c r="BR390" t="s">
        <v>546</v>
      </c>
      <c r="BS390" s="1">
        <v>3200</v>
      </c>
      <c r="BW390" t="s">
        <v>536</v>
      </c>
      <c r="BX390" s="1">
        <v>3200</v>
      </c>
      <c r="BZ390" t="s">
        <v>535</v>
      </c>
      <c r="CA390" t="s">
        <v>546</v>
      </c>
      <c r="CB390" t="s">
        <v>2388</v>
      </c>
      <c r="CC390" t="s">
        <v>556</v>
      </c>
      <c r="CD390" t="s">
        <v>2428</v>
      </c>
      <c r="CE390" t="s">
        <v>2429</v>
      </c>
      <c r="CF390" t="s">
        <v>162</v>
      </c>
      <c r="CG390" s="4">
        <v>1</v>
      </c>
      <c r="CH390" t="s">
        <v>546</v>
      </c>
      <c r="CK390" t="s">
        <v>2430</v>
      </c>
      <c r="CL390" s="1">
        <v>3200</v>
      </c>
      <c r="CN390" t="s">
        <v>535</v>
      </c>
      <c r="CO390" t="s">
        <v>539</v>
      </c>
      <c r="CT390" t="s">
        <v>576</v>
      </c>
      <c r="CW390" t="s">
        <v>546</v>
      </c>
      <c r="DD390" t="s">
        <v>561</v>
      </c>
      <c r="DK390" t="s">
        <v>2431</v>
      </c>
      <c r="DL390" t="s">
        <v>2432</v>
      </c>
    </row>
    <row r="391" ht="15" customHeight="1" spans="1:122">
      <c r="A391" t="s">
        <v>530</v>
      </c>
      <c r="B391" t="s">
        <v>2433</v>
      </c>
      <c r="C391" t="s">
        <v>532</v>
      </c>
      <c r="D391" t="s">
        <v>2388</v>
      </c>
      <c r="E391" t="s">
        <v>534</v>
      </c>
      <c r="F391" t="s">
        <v>534</v>
      </c>
      <c r="G391" t="s">
        <v>535</v>
      </c>
      <c r="H391" s="1">
        <v>800</v>
      </c>
      <c r="I391" s="1">
        <v>800</v>
      </c>
      <c r="J391" t="s">
        <v>536</v>
      </c>
      <c r="L391" t="s">
        <v>536</v>
      </c>
      <c r="M391" t="s">
        <v>375</v>
      </c>
      <c r="N391" t="s">
        <v>537</v>
      </c>
      <c r="P391" s="1">
        <v>800</v>
      </c>
      <c r="Q391" t="s">
        <v>580</v>
      </c>
      <c r="R391" t="s">
        <v>535</v>
      </c>
      <c r="S391" t="s">
        <v>539</v>
      </c>
      <c r="T391" s="2">
        <v>1</v>
      </c>
      <c r="U391" s="1">
        <v>800</v>
      </c>
      <c r="V391" s="1">
        <v>800</v>
      </c>
      <c r="X391" t="s">
        <v>540</v>
      </c>
      <c r="Z391" t="s">
        <v>541</v>
      </c>
      <c r="AA391" t="s">
        <v>542</v>
      </c>
      <c r="AB391" t="s">
        <v>543</v>
      </c>
      <c r="AC391" t="s">
        <v>544</v>
      </c>
      <c r="AD391" t="s">
        <v>545</v>
      </c>
      <c r="AE391" s="3">
        <v>1</v>
      </c>
      <c r="AF391" t="s">
        <v>162</v>
      </c>
      <c r="AG391" s="1">
        <v>800</v>
      </c>
      <c r="AI391" s="1">
        <v>800</v>
      </c>
      <c r="AJ391" s="1">
        <v>800</v>
      </c>
      <c r="AM391" s="1">
        <v>800</v>
      </c>
      <c r="AN391" t="s">
        <v>565</v>
      </c>
      <c r="AO391" t="s">
        <v>546</v>
      </c>
      <c r="AP391" t="s">
        <v>565</v>
      </c>
      <c r="AQ391" t="s">
        <v>548</v>
      </c>
      <c r="AS391" t="s">
        <v>375</v>
      </c>
      <c r="AX391" s="1">
        <v>800</v>
      </c>
      <c r="AY391" t="s">
        <v>546</v>
      </c>
      <c r="AZ391" t="s">
        <v>566</v>
      </c>
      <c r="BA391" s="1">
        <v>800</v>
      </c>
      <c r="BC391" t="s">
        <v>546</v>
      </c>
      <c r="BD391" s="1">
        <v>800</v>
      </c>
      <c r="BE391" t="s">
        <v>540</v>
      </c>
      <c r="BF391" s="1">
        <v>800</v>
      </c>
      <c r="BH391" s="1">
        <v>800</v>
      </c>
      <c r="BI391" t="s">
        <v>550</v>
      </c>
      <c r="BJ391" t="s">
        <v>570</v>
      </c>
      <c r="BK391" t="s">
        <v>570</v>
      </c>
      <c r="BL391" t="s">
        <v>1905</v>
      </c>
      <c r="BM391" t="s">
        <v>2033</v>
      </c>
      <c r="BN391" t="s">
        <v>2434</v>
      </c>
      <c r="BO391" t="s">
        <v>2435</v>
      </c>
      <c r="BR391" t="s">
        <v>546</v>
      </c>
      <c r="BS391" s="1">
        <v>800</v>
      </c>
      <c r="BW391" t="s">
        <v>536</v>
      </c>
      <c r="BX391" s="1">
        <v>800</v>
      </c>
      <c r="BZ391" t="s">
        <v>535</v>
      </c>
      <c r="CA391" t="s">
        <v>546</v>
      </c>
      <c r="CB391" t="s">
        <v>2388</v>
      </c>
      <c r="CC391" t="s">
        <v>556</v>
      </c>
      <c r="CD391" t="s">
        <v>2428</v>
      </c>
      <c r="CE391" t="s">
        <v>2429</v>
      </c>
      <c r="CF391" t="s">
        <v>162</v>
      </c>
      <c r="CG391" s="4">
        <v>1</v>
      </c>
      <c r="CH391" t="s">
        <v>546</v>
      </c>
      <c r="CK391" t="s">
        <v>2430</v>
      </c>
      <c r="CL391" s="1">
        <v>800</v>
      </c>
      <c r="CN391" t="s">
        <v>535</v>
      </c>
      <c r="CO391" t="s">
        <v>539</v>
      </c>
      <c r="CT391" t="s">
        <v>576</v>
      </c>
      <c r="CW391" t="s">
        <v>546</v>
      </c>
      <c r="DD391" t="s">
        <v>561</v>
      </c>
      <c r="DK391" t="s">
        <v>2431</v>
      </c>
      <c r="DL391" t="s">
        <v>2432</v>
      </c>
    </row>
    <row r="392" ht="15" customHeight="1" spans="1:122">
      <c r="A392" t="s">
        <v>530</v>
      </c>
      <c r="B392" t="s">
        <v>2436</v>
      </c>
      <c r="C392" t="s">
        <v>532</v>
      </c>
      <c r="D392" t="s">
        <v>2033</v>
      </c>
      <c r="E392" t="s">
        <v>534</v>
      </c>
      <c r="F392" t="s">
        <v>534</v>
      </c>
      <c r="G392" t="s">
        <v>535</v>
      </c>
      <c r="H392" s="1">
        <v>295</v>
      </c>
      <c r="I392" s="1">
        <v>295</v>
      </c>
      <c r="J392" t="s">
        <v>536</v>
      </c>
      <c r="L392" t="s">
        <v>536</v>
      </c>
      <c r="M392" t="s">
        <v>375</v>
      </c>
      <c r="N392" t="s">
        <v>537</v>
      </c>
      <c r="P392" s="1">
        <v>295</v>
      </c>
      <c r="Q392" t="s">
        <v>580</v>
      </c>
      <c r="R392" t="s">
        <v>535</v>
      </c>
      <c r="S392" t="s">
        <v>539</v>
      </c>
      <c r="T392" s="2">
        <v>1</v>
      </c>
      <c r="U392" s="1">
        <v>295</v>
      </c>
      <c r="V392" s="1">
        <v>295</v>
      </c>
      <c r="X392" t="s">
        <v>540</v>
      </c>
      <c r="Z392" t="s">
        <v>541</v>
      </c>
      <c r="AA392" t="s">
        <v>542</v>
      </c>
      <c r="AB392" t="s">
        <v>543</v>
      </c>
      <c r="AC392" t="s">
        <v>544</v>
      </c>
      <c r="AD392" t="s">
        <v>545</v>
      </c>
      <c r="AE392" s="3">
        <v>1</v>
      </c>
      <c r="AF392" t="s">
        <v>328</v>
      </c>
      <c r="AG392" s="1">
        <v>295</v>
      </c>
      <c r="AI392" s="1">
        <v>295</v>
      </c>
      <c r="AJ392" s="1">
        <v>295</v>
      </c>
      <c r="AM392" s="1">
        <v>295</v>
      </c>
      <c r="AN392" t="s">
        <v>643</v>
      </c>
      <c r="AO392" t="s">
        <v>546</v>
      </c>
      <c r="AP392" t="s">
        <v>643</v>
      </c>
      <c r="AQ392" t="s">
        <v>548</v>
      </c>
      <c r="AS392" t="s">
        <v>375</v>
      </c>
      <c r="AX392" s="1">
        <v>295</v>
      </c>
      <c r="AY392" t="s">
        <v>546</v>
      </c>
      <c r="AZ392" t="s">
        <v>644</v>
      </c>
      <c r="BA392" s="1">
        <v>295</v>
      </c>
      <c r="BC392" t="s">
        <v>546</v>
      </c>
      <c r="BD392" s="1">
        <v>295</v>
      </c>
      <c r="BE392" t="s">
        <v>540</v>
      </c>
      <c r="BF392" s="1">
        <v>295</v>
      </c>
      <c r="BH392" s="1">
        <v>295</v>
      </c>
      <c r="BI392" t="s">
        <v>550</v>
      </c>
      <c r="BJ392" t="s">
        <v>570</v>
      </c>
      <c r="BK392" t="s">
        <v>570</v>
      </c>
      <c r="BL392" t="s">
        <v>1905</v>
      </c>
      <c r="BM392" t="s">
        <v>2033</v>
      </c>
      <c r="BN392" t="s">
        <v>2437</v>
      </c>
      <c r="BO392" t="s">
        <v>2438</v>
      </c>
      <c r="BR392" t="s">
        <v>546</v>
      </c>
      <c r="BS392" s="1">
        <v>295</v>
      </c>
      <c r="BW392" t="s">
        <v>536</v>
      </c>
      <c r="BX392" s="1">
        <v>295</v>
      </c>
      <c r="BZ392" t="s">
        <v>535</v>
      </c>
      <c r="CA392" t="s">
        <v>546</v>
      </c>
      <c r="CB392" t="s">
        <v>2033</v>
      </c>
      <c r="CC392" t="s">
        <v>556</v>
      </c>
      <c r="CD392" t="s">
        <v>1411</v>
      </c>
      <c r="CE392" t="s">
        <v>1412</v>
      </c>
      <c r="CF392" t="s">
        <v>328</v>
      </c>
      <c r="CG392" s="4">
        <v>1</v>
      </c>
      <c r="CH392" t="s">
        <v>546</v>
      </c>
      <c r="CK392" t="s">
        <v>2439</v>
      </c>
      <c r="CL392" s="1">
        <v>295</v>
      </c>
      <c r="CN392" t="s">
        <v>535</v>
      </c>
      <c r="CO392" t="s">
        <v>539</v>
      </c>
      <c r="CT392" t="s">
        <v>576</v>
      </c>
      <c r="CW392" t="s">
        <v>546</v>
      </c>
      <c r="DD392" t="s">
        <v>561</v>
      </c>
      <c r="DK392" t="s">
        <v>2431</v>
      </c>
      <c r="DL392" t="s">
        <v>2432</v>
      </c>
      <c r="DR392" t="s">
        <v>2440</v>
      </c>
    </row>
    <row r="393" ht="15" customHeight="1" spans="1:122">
      <c r="A393" t="s">
        <v>530</v>
      </c>
      <c r="B393" t="s">
        <v>2441</v>
      </c>
      <c r="C393" t="s">
        <v>532</v>
      </c>
      <c r="D393" t="s">
        <v>2388</v>
      </c>
      <c r="E393" t="s">
        <v>534</v>
      </c>
      <c r="F393" t="s">
        <v>534</v>
      </c>
      <c r="G393" t="s">
        <v>535</v>
      </c>
      <c r="H393" s="1">
        <v>3060</v>
      </c>
      <c r="I393" s="1">
        <v>3053.42</v>
      </c>
      <c r="J393" t="s">
        <v>536</v>
      </c>
      <c r="L393" t="s">
        <v>536</v>
      </c>
      <c r="M393" t="s">
        <v>375</v>
      </c>
      <c r="N393" t="s">
        <v>537</v>
      </c>
      <c r="P393" s="1">
        <v>3060</v>
      </c>
      <c r="Q393" t="s">
        <v>580</v>
      </c>
      <c r="R393" t="s">
        <v>535</v>
      </c>
      <c r="S393" t="s">
        <v>539</v>
      </c>
      <c r="T393" s="2">
        <v>1</v>
      </c>
      <c r="U393" s="1">
        <v>3060</v>
      </c>
      <c r="V393" s="1">
        <v>3053.42</v>
      </c>
      <c r="X393" t="s">
        <v>540</v>
      </c>
      <c r="Z393" t="s">
        <v>541</v>
      </c>
      <c r="AA393" t="s">
        <v>542</v>
      </c>
      <c r="AB393" t="s">
        <v>543</v>
      </c>
      <c r="AC393" t="s">
        <v>544</v>
      </c>
      <c r="AD393" t="s">
        <v>545</v>
      </c>
      <c r="AE393" s="3">
        <v>1</v>
      </c>
      <c r="AF393" t="s">
        <v>163</v>
      </c>
      <c r="AG393" s="1">
        <v>1600</v>
      </c>
      <c r="AI393" s="1">
        <v>3060</v>
      </c>
      <c r="AJ393" s="1">
        <v>1600</v>
      </c>
      <c r="AK393" s="1">
        <v>3.44</v>
      </c>
      <c r="AM393" s="1">
        <v>1596.56</v>
      </c>
      <c r="AN393" t="s">
        <v>536</v>
      </c>
      <c r="AO393" t="s">
        <v>546</v>
      </c>
      <c r="AP393" t="s">
        <v>547</v>
      </c>
      <c r="AQ393" t="s">
        <v>548</v>
      </c>
      <c r="AS393" t="s">
        <v>375</v>
      </c>
      <c r="AX393" s="1">
        <v>1600</v>
      </c>
      <c r="AY393" t="s">
        <v>546</v>
      </c>
      <c r="AZ393" t="s">
        <v>549</v>
      </c>
      <c r="BA393" s="1">
        <v>1600</v>
      </c>
      <c r="BC393" t="s">
        <v>546</v>
      </c>
      <c r="BD393" s="1">
        <v>1600</v>
      </c>
      <c r="BE393" t="s">
        <v>540</v>
      </c>
      <c r="BF393" s="1">
        <v>1600</v>
      </c>
      <c r="BG393" s="1">
        <v>3.44</v>
      </c>
      <c r="BH393" s="1">
        <v>1596.56</v>
      </c>
      <c r="BI393" t="s">
        <v>550</v>
      </c>
      <c r="BJ393" t="s">
        <v>570</v>
      </c>
      <c r="BK393" t="s">
        <v>552</v>
      </c>
      <c r="BL393" t="s">
        <v>552</v>
      </c>
      <c r="BM393" t="s">
        <v>2033</v>
      </c>
      <c r="BN393" t="s">
        <v>2442</v>
      </c>
      <c r="BO393" t="s">
        <v>2443</v>
      </c>
      <c r="BR393" t="s">
        <v>546</v>
      </c>
      <c r="BS393" s="1">
        <v>1600</v>
      </c>
      <c r="BW393" t="s">
        <v>536</v>
      </c>
      <c r="BX393" s="1">
        <v>1600</v>
      </c>
      <c r="BZ393" t="s">
        <v>535</v>
      </c>
      <c r="CA393" t="s">
        <v>546</v>
      </c>
      <c r="CB393" t="s">
        <v>2388</v>
      </c>
      <c r="CC393" t="s">
        <v>556</v>
      </c>
      <c r="CD393" t="s">
        <v>1108</v>
      </c>
      <c r="CE393" t="s">
        <v>1109</v>
      </c>
      <c r="CF393" t="s">
        <v>163</v>
      </c>
      <c r="CG393" s="4">
        <v>1</v>
      </c>
      <c r="CH393" t="s">
        <v>546</v>
      </c>
      <c r="CK393" t="s">
        <v>2444</v>
      </c>
      <c r="CL393" s="1">
        <v>1600</v>
      </c>
      <c r="CN393" t="s">
        <v>535</v>
      </c>
      <c r="CO393" t="s">
        <v>539</v>
      </c>
      <c r="CT393" t="s">
        <v>576</v>
      </c>
      <c r="CW393" t="s">
        <v>546</v>
      </c>
      <c r="DD393" t="s">
        <v>561</v>
      </c>
      <c r="DK393" t="s">
        <v>2445</v>
      </c>
      <c r="DL393" t="s">
        <v>2446</v>
      </c>
    </row>
    <row r="394" ht="15" customHeight="1" spans="1:122">
      <c r="AB394" t="s">
        <v>543</v>
      </c>
      <c r="AC394" t="s">
        <v>544</v>
      </c>
      <c r="AD394" t="s">
        <v>545</v>
      </c>
      <c r="AF394" t="s">
        <v>164</v>
      </c>
      <c r="AG394" s="1">
        <v>1460</v>
      </c>
      <c r="AJ394" s="1">
        <v>1460</v>
      </c>
      <c r="AK394" s="1">
        <v>3.14</v>
      </c>
      <c r="AM394" s="1">
        <v>1456.86</v>
      </c>
      <c r="AN394" t="s">
        <v>536</v>
      </c>
      <c r="AP394" t="s">
        <v>547</v>
      </c>
      <c r="AX394" s="1">
        <v>1460</v>
      </c>
      <c r="AZ394" t="s">
        <v>549</v>
      </c>
      <c r="BA394" s="1">
        <v>1460</v>
      </c>
      <c r="BC394" t="s">
        <v>546</v>
      </c>
      <c r="BD394" s="1">
        <v>1460</v>
      </c>
      <c r="BE394" t="s">
        <v>540</v>
      </c>
      <c r="BF394" s="1">
        <v>1460</v>
      </c>
      <c r="BG394" s="1">
        <v>3.14</v>
      </c>
      <c r="BH394" s="1">
        <v>1456.86</v>
      </c>
      <c r="BS394" s="1">
        <v>1460</v>
      </c>
      <c r="BX394" s="1">
        <v>1460</v>
      </c>
      <c r="CB394" t="s">
        <v>2388</v>
      </c>
      <c r="CC394" t="s">
        <v>556</v>
      </c>
      <c r="CD394" t="s">
        <v>891</v>
      </c>
      <c r="CE394" t="s">
        <v>892</v>
      </c>
      <c r="CF394" t="s">
        <v>164</v>
      </c>
      <c r="CG394" s="4">
        <v>1</v>
      </c>
      <c r="CL394" s="1">
        <v>1460</v>
      </c>
      <c r="DD394" t="s">
        <v>561</v>
      </c>
    </row>
    <row r="395" ht="15" customHeight="1" spans="1:122">
      <c r="A395" t="s">
        <v>530</v>
      </c>
      <c r="B395" t="s">
        <v>2447</v>
      </c>
      <c r="C395" t="s">
        <v>532</v>
      </c>
      <c r="D395" t="s">
        <v>2388</v>
      </c>
      <c r="E395" t="s">
        <v>534</v>
      </c>
      <c r="F395" t="s">
        <v>534</v>
      </c>
      <c r="G395" t="s">
        <v>535</v>
      </c>
      <c r="H395" s="1">
        <v>3360</v>
      </c>
      <c r="I395" s="1">
        <v>3360</v>
      </c>
      <c r="J395" t="s">
        <v>536</v>
      </c>
      <c r="L395" t="s">
        <v>536</v>
      </c>
      <c r="M395" t="s">
        <v>375</v>
      </c>
      <c r="N395" t="s">
        <v>537</v>
      </c>
      <c r="P395" s="1">
        <v>3360</v>
      </c>
      <c r="Q395" t="s">
        <v>580</v>
      </c>
      <c r="R395" t="s">
        <v>535</v>
      </c>
      <c r="S395" t="s">
        <v>539</v>
      </c>
      <c r="T395" s="2">
        <v>1</v>
      </c>
      <c r="U395" s="1">
        <v>3360</v>
      </c>
      <c r="V395" s="1">
        <v>3360</v>
      </c>
      <c r="X395" t="s">
        <v>540</v>
      </c>
      <c r="Z395" t="s">
        <v>541</v>
      </c>
      <c r="AA395" t="s">
        <v>542</v>
      </c>
      <c r="AB395" t="s">
        <v>543</v>
      </c>
      <c r="AC395" t="s">
        <v>544</v>
      </c>
      <c r="AD395" t="s">
        <v>545</v>
      </c>
      <c r="AE395" s="3">
        <v>1</v>
      </c>
      <c r="AF395" t="s">
        <v>167</v>
      </c>
      <c r="AG395" s="1">
        <v>3360</v>
      </c>
      <c r="AI395" s="1">
        <v>3360</v>
      </c>
      <c r="AJ395" s="1">
        <v>3360</v>
      </c>
      <c r="AM395" s="1">
        <v>3360</v>
      </c>
      <c r="AN395" t="s">
        <v>643</v>
      </c>
      <c r="AO395" t="s">
        <v>546</v>
      </c>
      <c r="AP395" t="s">
        <v>643</v>
      </c>
      <c r="AQ395" t="s">
        <v>548</v>
      </c>
      <c r="AS395" t="s">
        <v>375</v>
      </c>
      <c r="AX395" s="1">
        <v>3360</v>
      </c>
      <c r="AY395" t="s">
        <v>546</v>
      </c>
      <c r="AZ395" t="s">
        <v>644</v>
      </c>
      <c r="BA395" s="1">
        <v>3360</v>
      </c>
      <c r="BC395" t="s">
        <v>546</v>
      </c>
      <c r="BD395" s="1">
        <v>3360</v>
      </c>
      <c r="BE395" t="s">
        <v>540</v>
      </c>
      <c r="BF395" s="1">
        <v>3360</v>
      </c>
      <c r="BH395" s="1">
        <v>3360</v>
      </c>
      <c r="BI395" t="s">
        <v>550</v>
      </c>
      <c r="BJ395" t="s">
        <v>570</v>
      </c>
      <c r="BK395" t="s">
        <v>552</v>
      </c>
      <c r="BL395" t="s">
        <v>552</v>
      </c>
      <c r="BM395" t="s">
        <v>2388</v>
      </c>
      <c r="BN395" t="s">
        <v>2448</v>
      </c>
      <c r="BO395" t="s">
        <v>2449</v>
      </c>
      <c r="BR395" t="s">
        <v>546</v>
      </c>
      <c r="BS395" s="1">
        <v>3360</v>
      </c>
      <c r="BW395" t="s">
        <v>536</v>
      </c>
      <c r="BX395" s="1">
        <v>3360</v>
      </c>
      <c r="BZ395" t="s">
        <v>535</v>
      </c>
      <c r="CA395" t="s">
        <v>546</v>
      </c>
      <c r="CB395" t="s">
        <v>2388</v>
      </c>
      <c r="CC395" t="s">
        <v>556</v>
      </c>
      <c r="CD395" t="s">
        <v>557</v>
      </c>
      <c r="CE395" t="s">
        <v>558</v>
      </c>
      <c r="CF395" t="s">
        <v>167</v>
      </c>
      <c r="CG395" s="4">
        <v>1</v>
      </c>
      <c r="CH395" t="s">
        <v>546</v>
      </c>
      <c r="CK395" t="s">
        <v>2450</v>
      </c>
      <c r="CL395" s="1">
        <v>3360</v>
      </c>
      <c r="CN395" t="s">
        <v>535</v>
      </c>
      <c r="CO395" t="s">
        <v>539</v>
      </c>
      <c r="CT395" t="s">
        <v>576</v>
      </c>
      <c r="CW395" t="s">
        <v>546</v>
      </c>
      <c r="DD395" t="s">
        <v>561</v>
      </c>
      <c r="DK395" t="s">
        <v>2451</v>
      </c>
      <c r="DL395" t="s">
        <v>2452</v>
      </c>
      <c r="DR395" t="s">
        <v>2453</v>
      </c>
    </row>
    <row r="396" ht="15" customHeight="1" spans="1:122">
      <c r="A396" t="s">
        <v>530</v>
      </c>
      <c r="B396" t="s">
        <v>2454</v>
      </c>
      <c r="C396" t="s">
        <v>532</v>
      </c>
      <c r="D396" t="s">
        <v>2388</v>
      </c>
      <c r="E396" t="s">
        <v>534</v>
      </c>
      <c r="F396" t="s">
        <v>534</v>
      </c>
      <c r="G396" t="s">
        <v>535</v>
      </c>
      <c r="H396" s="1">
        <v>791</v>
      </c>
      <c r="I396" s="1">
        <v>791</v>
      </c>
      <c r="J396" t="s">
        <v>536</v>
      </c>
      <c r="L396" t="s">
        <v>536</v>
      </c>
      <c r="M396" t="s">
        <v>377</v>
      </c>
      <c r="N396" t="s">
        <v>537</v>
      </c>
      <c r="P396" s="1">
        <v>791</v>
      </c>
      <c r="Q396" t="s">
        <v>538</v>
      </c>
      <c r="R396" t="s">
        <v>535</v>
      </c>
      <c r="S396" t="s">
        <v>539</v>
      </c>
      <c r="T396" s="2">
        <v>1</v>
      </c>
      <c r="U396" s="1">
        <v>791</v>
      </c>
      <c r="V396" s="1">
        <v>791</v>
      </c>
      <c r="X396" t="s">
        <v>540</v>
      </c>
      <c r="Z396" t="s">
        <v>541</v>
      </c>
      <c r="AA396" t="s">
        <v>542</v>
      </c>
      <c r="AB396" t="s">
        <v>543</v>
      </c>
      <c r="AC396" t="s">
        <v>544</v>
      </c>
      <c r="AD396" t="s">
        <v>545</v>
      </c>
      <c r="AE396" s="3">
        <v>1</v>
      </c>
      <c r="AF396" t="s">
        <v>169</v>
      </c>
      <c r="AG396" s="1">
        <v>791</v>
      </c>
      <c r="AI396" s="1">
        <v>791</v>
      </c>
      <c r="AJ396" s="1">
        <v>791</v>
      </c>
      <c r="AM396" s="1">
        <v>791</v>
      </c>
      <c r="AN396" t="s">
        <v>643</v>
      </c>
      <c r="AO396" t="s">
        <v>546</v>
      </c>
      <c r="AP396" t="s">
        <v>643</v>
      </c>
      <c r="AQ396" t="s">
        <v>548</v>
      </c>
      <c r="AS396" t="s">
        <v>377</v>
      </c>
      <c r="AX396" s="1">
        <v>791</v>
      </c>
      <c r="AY396" t="s">
        <v>546</v>
      </c>
      <c r="AZ396" t="s">
        <v>644</v>
      </c>
      <c r="BA396" s="1">
        <v>791</v>
      </c>
      <c r="BC396" t="s">
        <v>546</v>
      </c>
      <c r="BD396" s="1">
        <v>791</v>
      </c>
      <c r="BE396" t="s">
        <v>540</v>
      </c>
      <c r="BF396" s="1">
        <v>791</v>
      </c>
      <c r="BH396" s="1">
        <v>791</v>
      </c>
      <c r="BI396" t="s">
        <v>550</v>
      </c>
      <c r="BJ396" t="s">
        <v>551</v>
      </c>
      <c r="BK396" t="s">
        <v>551</v>
      </c>
      <c r="BL396" t="s">
        <v>552</v>
      </c>
      <c r="BM396" t="s">
        <v>2388</v>
      </c>
      <c r="BN396" t="s">
        <v>2455</v>
      </c>
      <c r="BO396" t="s">
        <v>2456</v>
      </c>
      <c r="BR396" t="s">
        <v>546</v>
      </c>
      <c r="BS396" s="1">
        <v>791</v>
      </c>
      <c r="BW396" t="s">
        <v>536</v>
      </c>
      <c r="BX396" s="1">
        <v>791</v>
      </c>
      <c r="BZ396" t="s">
        <v>535</v>
      </c>
      <c r="CA396" t="s">
        <v>546</v>
      </c>
      <c r="CB396" t="s">
        <v>2388</v>
      </c>
      <c r="CC396" t="s">
        <v>556</v>
      </c>
      <c r="CD396" t="s">
        <v>1108</v>
      </c>
      <c r="CE396" t="s">
        <v>1109</v>
      </c>
      <c r="CF396" t="s">
        <v>169</v>
      </c>
      <c r="CG396" s="4">
        <v>1</v>
      </c>
      <c r="CH396" t="s">
        <v>546</v>
      </c>
      <c r="CK396" t="s">
        <v>2457</v>
      </c>
      <c r="CL396" s="1">
        <v>791</v>
      </c>
      <c r="CN396" t="s">
        <v>535</v>
      </c>
      <c r="CO396" t="s">
        <v>539</v>
      </c>
      <c r="CT396" t="s">
        <v>560</v>
      </c>
      <c r="CW396" t="s">
        <v>546</v>
      </c>
      <c r="DD396" t="s">
        <v>561</v>
      </c>
      <c r="DK396" t="s">
        <v>2458</v>
      </c>
      <c r="DL396" t="s">
        <v>2459</v>
      </c>
      <c r="DR396" t="s">
        <v>2460</v>
      </c>
    </row>
    <row r="397" ht="15" customHeight="1" spans="1:122">
      <c r="A397" t="s">
        <v>530</v>
      </c>
      <c r="B397" t="s">
        <v>2461</v>
      </c>
      <c r="C397" t="s">
        <v>532</v>
      </c>
      <c r="D397" t="s">
        <v>2462</v>
      </c>
      <c r="E397" t="s">
        <v>534</v>
      </c>
      <c r="F397" t="s">
        <v>534</v>
      </c>
      <c r="G397" t="s">
        <v>535</v>
      </c>
      <c r="H397" s="1">
        <v>1903.2</v>
      </c>
      <c r="I397" s="1">
        <v>1891.78</v>
      </c>
      <c r="J397" t="s">
        <v>536</v>
      </c>
      <c r="L397" t="s">
        <v>536</v>
      </c>
      <c r="M397" t="s">
        <v>375</v>
      </c>
      <c r="N397" t="s">
        <v>537</v>
      </c>
      <c r="P397" s="1">
        <v>1903.2</v>
      </c>
      <c r="Q397" t="s">
        <v>580</v>
      </c>
      <c r="R397" t="s">
        <v>535</v>
      </c>
      <c r="S397" t="s">
        <v>539</v>
      </c>
      <c r="T397" s="2">
        <v>1</v>
      </c>
      <c r="U397" s="1">
        <v>1903.2</v>
      </c>
      <c r="V397" s="1">
        <v>1891.78</v>
      </c>
      <c r="X397" t="s">
        <v>540</v>
      </c>
      <c r="Z397" t="s">
        <v>541</v>
      </c>
      <c r="AA397" t="s">
        <v>542</v>
      </c>
      <c r="AB397" t="s">
        <v>543</v>
      </c>
      <c r="AC397" t="s">
        <v>544</v>
      </c>
      <c r="AD397" t="s">
        <v>545</v>
      </c>
      <c r="AE397" s="3">
        <v>1</v>
      </c>
      <c r="AF397" t="s">
        <v>165</v>
      </c>
      <c r="AG397" s="1">
        <v>1903.2</v>
      </c>
      <c r="AI397" s="1">
        <v>1903.2</v>
      </c>
      <c r="AJ397" s="1">
        <v>1903.2</v>
      </c>
      <c r="AK397" s="1">
        <v>11.42</v>
      </c>
      <c r="AM397" s="1">
        <v>1891.78</v>
      </c>
      <c r="AN397" t="s">
        <v>536</v>
      </c>
      <c r="AO397" t="s">
        <v>546</v>
      </c>
      <c r="AP397" t="s">
        <v>547</v>
      </c>
      <c r="AQ397" t="s">
        <v>548</v>
      </c>
      <c r="AS397" t="s">
        <v>375</v>
      </c>
      <c r="AX397" s="1">
        <v>1903.2</v>
      </c>
      <c r="AY397" t="s">
        <v>546</v>
      </c>
      <c r="AZ397" t="s">
        <v>549</v>
      </c>
      <c r="BA397" s="1">
        <v>1903.2</v>
      </c>
      <c r="BC397" t="s">
        <v>546</v>
      </c>
      <c r="BD397" s="1">
        <v>1903.2</v>
      </c>
      <c r="BE397" t="s">
        <v>540</v>
      </c>
      <c r="BF397" s="1">
        <v>1903.2</v>
      </c>
      <c r="BG397" s="1">
        <v>11.42</v>
      </c>
      <c r="BH397" s="1">
        <v>1891.78</v>
      </c>
      <c r="BI397" t="s">
        <v>550</v>
      </c>
      <c r="BJ397" t="s">
        <v>570</v>
      </c>
      <c r="BK397" t="s">
        <v>552</v>
      </c>
      <c r="BL397" t="s">
        <v>552</v>
      </c>
      <c r="BM397" t="s">
        <v>2388</v>
      </c>
      <c r="BN397" t="s">
        <v>2463</v>
      </c>
      <c r="BO397" t="s">
        <v>2464</v>
      </c>
      <c r="BR397" t="s">
        <v>546</v>
      </c>
      <c r="BS397" s="1">
        <v>1903.2</v>
      </c>
      <c r="BW397" t="s">
        <v>536</v>
      </c>
      <c r="BX397" s="1">
        <v>1903.2</v>
      </c>
      <c r="BZ397" t="s">
        <v>535</v>
      </c>
      <c r="CA397" t="s">
        <v>546</v>
      </c>
      <c r="CB397" t="s">
        <v>2462</v>
      </c>
      <c r="CC397" t="s">
        <v>556</v>
      </c>
      <c r="CD397" t="s">
        <v>2465</v>
      </c>
      <c r="CE397" t="s">
        <v>2466</v>
      </c>
      <c r="CF397" t="s">
        <v>165</v>
      </c>
      <c r="CG397" s="4">
        <v>1</v>
      </c>
      <c r="CH397" t="s">
        <v>546</v>
      </c>
      <c r="CK397" t="s">
        <v>2467</v>
      </c>
      <c r="CL397" s="1">
        <v>1903.2</v>
      </c>
      <c r="CN397" t="s">
        <v>535</v>
      </c>
      <c r="CO397" t="s">
        <v>539</v>
      </c>
      <c r="CT397" t="s">
        <v>576</v>
      </c>
      <c r="CW397" t="s">
        <v>546</v>
      </c>
      <c r="DD397" t="s">
        <v>561</v>
      </c>
      <c r="DK397" t="s">
        <v>2468</v>
      </c>
      <c r="DL397" t="s">
        <v>2469</v>
      </c>
    </row>
    <row r="398" ht="15" customHeight="1" spans="1:122">
      <c r="A398" t="s">
        <v>530</v>
      </c>
      <c r="B398" t="s">
        <v>2470</v>
      </c>
      <c r="C398" t="s">
        <v>532</v>
      </c>
      <c r="D398" t="s">
        <v>2462</v>
      </c>
      <c r="E398" t="s">
        <v>534</v>
      </c>
      <c r="F398" t="s">
        <v>534</v>
      </c>
      <c r="G398" t="s">
        <v>535</v>
      </c>
      <c r="H398" s="1">
        <v>475.8</v>
      </c>
      <c r="I398" s="1">
        <v>475.8</v>
      </c>
      <c r="J398" t="s">
        <v>536</v>
      </c>
      <c r="L398" t="s">
        <v>536</v>
      </c>
      <c r="M398" t="s">
        <v>375</v>
      </c>
      <c r="N398" t="s">
        <v>537</v>
      </c>
      <c r="P398" s="1">
        <v>475.8</v>
      </c>
      <c r="Q398" t="s">
        <v>580</v>
      </c>
      <c r="R398" t="s">
        <v>535</v>
      </c>
      <c r="S398" t="s">
        <v>539</v>
      </c>
      <c r="T398" s="2">
        <v>1</v>
      </c>
      <c r="U398" s="1">
        <v>475.8</v>
      </c>
      <c r="V398" s="1">
        <v>475.8</v>
      </c>
      <c r="X398" t="s">
        <v>540</v>
      </c>
      <c r="Z398" t="s">
        <v>541</v>
      </c>
      <c r="AA398" t="s">
        <v>542</v>
      </c>
      <c r="AB398" t="s">
        <v>543</v>
      </c>
      <c r="AC398" t="s">
        <v>544</v>
      </c>
      <c r="AD398" t="s">
        <v>545</v>
      </c>
      <c r="AE398" s="3">
        <v>1</v>
      </c>
      <c r="AF398" t="s">
        <v>165</v>
      </c>
      <c r="AG398" s="1">
        <v>475.8</v>
      </c>
      <c r="AI398" s="1">
        <v>475.8</v>
      </c>
      <c r="AJ398" s="1">
        <v>475.8</v>
      </c>
      <c r="AM398" s="1">
        <v>475.8</v>
      </c>
      <c r="AN398" t="s">
        <v>565</v>
      </c>
      <c r="AO398" t="s">
        <v>546</v>
      </c>
      <c r="AP398" t="s">
        <v>565</v>
      </c>
      <c r="AQ398" t="s">
        <v>548</v>
      </c>
      <c r="AS398" t="s">
        <v>375</v>
      </c>
      <c r="AX398" s="1">
        <v>475.8</v>
      </c>
      <c r="AY398" t="s">
        <v>546</v>
      </c>
      <c r="AZ398" t="s">
        <v>566</v>
      </c>
      <c r="BA398" s="1">
        <v>475.8</v>
      </c>
      <c r="BC398" t="s">
        <v>546</v>
      </c>
      <c r="BD398" s="1">
        <v>475.8</v>
      </c>
      <c r="BE398" t="s">
        <v>540</v>
      </c>
      <c r="BF398" s="1">
        <v>475.8</v>
      </c>
      <c r="BH398" s="1">
        <v>475.8</v>
      </c>
      <c r="BI398" t="s">
        <v>550</v>
      </c>
      <c r="BJ398" t="s">
        <v>570</v>
      </c>
      <c r="BK398" t="s">
        <v>570</v>
      </c>
      <c r="BL398" t="s">
        <v>552</v>
      </c>
      <c r="BM398" t="s">
        <v>2388</v>
      </c>
      <c r="BN398" t="s">
        <v>2471</v>
      </c>
      <c r="BO398" t="s">
        <v>2472</v>
      </c>
      <c r="BR398" t="s">
        <v>546</v>
      </c>
      <c r="BS398" s="1">
        <v>475.8</v>
      </c>
      <c r="BW398" t="s">
        <v>536</v>
      </c>
      <c r="BX398" s="1">
        <v>475.8</v>
      </c>
      <c r="BZ398" t="s">
        <v>535</v>
      </c>
      <c r="CA398" t="s">
        <v>546</v>
      </c>
      <c r="CB398" t="s">
        <v>2462</v>
      </c>
      <c r="CC398" t="s">
        <v>556</v>
      </c>
      <c r="CD398" t="s">
        <v>2465</v>
      </c>
      <c r="CE398" t="s">
        <v>2466</v>
      </c>
      <c r="CF398" t="s">
        <v>165</v>
      </c>
      <c r="CG398" s="4">
        <v>1</v>
      </c>
      <c r="CH398" t="s">
        <v>546</v>
      </c>
      <c r="CK398" t="s">
        <v>2467</v>
      </c>
      <c r="CL398" s="1">
        <v>475.8</v>
      </c>
      <c r="CN398" t="s">
        <v>535</v>
      </c>
      <c r="CO398" t="s">
        <v>539</v>
      </c>
      <c r="CT398" t="s">
        <v>576</v>
      </c>
      <c r="CW398" t="s">
        <v>546</v>
      </c>
      <c r="DD398" t="s">
        <v>561</v>
      </c>
      <c r="DK398" t="s">
        <v>2468</v>
      </c>
      <c r="DL398" t="s">
        <v>2469</v>
      </c>
    </row>
    <row r="399" ht="15" customHeight="1" spans="1:122">
      <c r="A399" t="s">
        <v>530</v>
      </c>
      <c r="B399" t="s">
        <v>2473</v>
      </c>
      <c r="C399" t="s">
        <v>532</v>
      </c>
      <c r="D399" t="s">
        <v>2388</v>
      </c>
      <c r="E399" t="s">
        <v>534</v>
      </c>
      <c r="F399" t="s">
        <v>534</v>
      </c>
      <c r="G399" t="s">
        <v>535</v>
      </c>
      <c r="H399" s="1">
        <v>790</v>
      </c>
      <c r="I399" s="1">
        <v>790</v>
      </c>
      <c r="J399" t="s">
        <v>536</v>
      </c>
      <c r="L399" t="s">
        <v>536</v>
      </c>
      <c r="M399" t="s">
        <v>380</v>
      </c>
      <c r="N399" t="s">
        <v>537</v>
      </c>
      <c r="P399" s="1">
        <v>790</v>
      </c>
      <c r="Q399" t="s">
        <v>970</v>
      </c>
      <c r="R399" t="s">
        <v>535</v>
      </c>
      <c r="S399" t="s">
        <v>539</v>
      </c>
      <c r="T399" s="2">
        <v>1</v>
      </c>
      <c r="U399" s="1">
        <v>790</v>
      </c>
      <c r="V399" s="1">
        <v>790</v>
      </c>
      <c r="X399" t="s">
        <v>540</v>
      </c>
      <c r="Z399" t="s">
        <v>541</v>
      </c>
      <c r="AA399" t="s">
        <v>542</v>
      </c>
      <c r="AB399" t="s">
        <v>543</v>
      </c>
      <c r="AC399" t="s">
        <v>544</v>
      </c>
      <c r="AD399" t="s">
        <v>545</v>
      </c>
      <c r="AE399" s="3">
        <v>1</v>
      </c>
      <c r="AF399" t="s">
        <v>168</v>
      </c>
      <c r="AG399" s="1">
        <v>790</v>
      </c>
      <c r="AI399" s="1">
        <v>790</v>
      </c>
      <c r="AJ399" s="1">
        <v>790</v>
      </c>
      <c r="AM399" s="1">
        <v>790</v>
      </c>
      <c r="AN399" t="s">
        <v>643</v>
      </c>
      <c r="AO399" t="s">
        <v>546</v>
      </c>
      <c r="AP399" t="s">
        <v>643</v>
      </c>
      <c r="AQ399" t="s">
        <v>548</v>
      </c>
      <c r="AS399" t="s">
        <v>380</v>
      </c>
      <c r="AX399" s="1">
        <v>790</v>
      </c>
      <c r="AY399" t="s">
        <v>546</v>
      </c>
      <c r="AZ399" t="s">
        <v>644</v>
      </c>
      <c r="BA399" s="1">
        <v>790</v>
      </c>
      <c r="BC399" t="s">
        <v>546</v>
      </c>
      <c r="BD399" s="1">
        <v>790</v>
      </c>
      <c r="BE399" t="s">
        <v>540</v>
      </c>
      <c r="BF399" s="1">
        <v>790</v>
      </c>
      <c r="BH399" s="1">
        <v>790</v>
      </c>
      <c r="BI399" t="s">
        <v>550</v>
      </c>
      <c r="BJ399" t="s">
        <v>551</v>
      </c>
      <c r="BK399" t="s">
        <v>552</v>
      </c>
      <c r="BL399" t="s">
        <v>552</v>
      </c>
      <c r="BM399" t="s">
        <v>2388</v>
      </c>
      <c r="BN399" t="s">
        <v>2474</v>
      </c>
      <c r="BO399" t="s">
        <v>2475</v>
      </c>
      <c r="BR399" t="s">
        <v>546</v>
      </c>
      <c r="BS399" s="1">
        <v>790</v>
      </c>
      <c r="BW399" t="s">
        <v>536</v>
      </c>
      <c r="BX399" s="1">
        <v>790</v>
      </c>
      <c r="BZ399" t="s">
        <v>535</v>
      </c>
      <c r="CA399" t="s">
        <v>546</v>
      </c>
      <c r="CB399" t="s">
        <v>2388</v>
      </c>
      <c r="CC399" t="s">
        <v>556</v>
      </c>
      <c r="CD399" t="s">
        <v>1108</v>
      </c>
      <c r="CE399" t="s">
        <v>1109</v>
      </c>
      <c r="CF399" t="s">
        <v>168</v>
      </c>
      <c r="CG399" s="4">
        <v>1</v>
      </c>
      <c r="CH399" t="s">
        <v>546</v>
      </c>
      <c r="CK399" t="s">
        <v>2476</v>
      </c>
      <c r="CL399" s="1">
        <v>790</v>
      </c>
      <c r="CN399" t="s">
        <v>535</v>
      </c>
      <c r="CO399" t="s">
        <v>539</v>
      </c>
      <c r="CT399" t="s">
        <v>576</v>
      </c>
      <c r="CW399" t="s">
        <v>546</v>
      </c>
      <c r="DD399" t="s">
        <v>561</v>
      </c>
      <c r="DK399" t="s">
        <v>2477</v>
      </c>
      <c r="DL399" t="s">
        <v>2478</v>
      </c>
      <c r="DR399" t="s">
        <v>2479</v>
      </c>
    </row>
    <row r="400" ht="15" customHeight="1" spans="1:122">
      <c r="A400" t="s">
        <v>530</v>
      </c>
      <c r="B400" t="s">
        <v>2480</v>
      </c>
      <c r="C400" t="s">
        <v>532</v>
      </c>
      <c r="D400" t="s">
        <v>2388</v>
      </c>
      <c r="E400" t="s">
        <v>534</v>
      </c>
      <c r="F400" t="s">
        <v>534</v>
      </c>
      <c r="G400" t="s">
        <v>535</v>
      </c>
      <c r="H400" s="1">
        <v>2196</v>
      </c>
      <c r="I400" s="1">
        <v>2182.82</v>
      </c>
      <c r="J400" t="s">
        <v>536</v>
      </c>
      <c r="L400" t="s">
        <v>536</v>
      </c>
      <c r="M400" t="s">
        <v>370</v>
      </c>
      <c r="N400" t="s">
        <v>537</v>
      </c>
      <c r="P400" s="1">
        <v>2196</v>
      </c>
      <c r="Q400" t="s">
        <v>642</v>
      </c>
      <c r="R400" t="s">
        <v>535</v>
      </c>
      <c r="S400" t="s">
        <v>539</v>
      </c>
      <c r="T400" s="2">
        <v>1</v>
      </c>
      <c r="U400" s="1">
        <v>2196</v>
      </c>
      <c r="V400" s="1">
        <v>2182.82</v>
      </c>
      <c r="X400" t="s">
        <v>540</v>
      </c>
      <c r="Z400" t="s">
        <v>541</v>
      </c>
      <c r="AA400" t="s">
        <v>542</v>
      </c>
      <c r="AB400" t="s">
        <v>543</v>
      </c>
      <c r="AC400" t="s">
        <v>544</v>
      </c>
      <c r="AD400" t="s">
        <v>545</v>
      </c>
      <c r="AE400" s="3">
        <v>1</v>
      </c>
      <c r="AF400" t="s">
        <v>6</v>
      </c>
      <c r="AG400" s="1">
        <v>2196</v>
      </c>
      <c r="AI400" s="1">
        <v>2196</v>
      </c>
      <c r="AJ400" s="1">
        <v>2196</v>
      </c>
      <c r="AK400" s="1">
        <v>13.18</v>
      </c>
      <c r="AM400" s="1">
        <v>2182.82</v>
      </c>
      <c r="AN400" t="s">
        <v>536</v>
      </c>
      <c r="AO400" t="s">
        <v>546</v>
      </c>
      <c r="AP400" t="s">
        <v>547</v>
      </c>
      <c r="AQ400" t="s">
        <v>548</v>
      </c>
      <c r="AS400" t="s">
        <v>370</v>
      </c>
      <c r="AX400" s="1">
        <v>2196</v>
      </c>
      <c r="AY400" t="s">
        <v>546</v>
      </c>
      <c r="AZ400" t="s">
        <v>549</v>
      </c>
      <c r="BA400" s="1">
        <v>2196</v>
      </c>
      <c r="BC400" t="s">
        <v>546</v>
      </c>
      <c r="BD400" s="1">
        <v>2196</v>
      </c>
      <c r="BE400" t="s">
        <v>540</v>
      </c>
      <c r="BF400" s="1">
        <v>2196</v>
      </c>
      <c r="BG400" s="1">
        <v>13.18</v>
      </c>
      <c r="BH400" s="1">
        <v>2182.82</v>
      </c>
      <c r="BI400" t="s">
        <v>550</v>
      </c>
      <c r="BJ400" t="s">
        <v>551</v>
      </c>
      <c r="BK400" t="s">
        <v>552</v>
      </c>
      <c r="BL400" t="s">
        <v>552</v>
      </c>
      <c r="BM400" t="s">
        <v>2388</v>
      </c>
      <c r="BN400" t="s">
        <v>2481</v>
      </c>
      <c r="BO400" t="s">
        <v>2482</v>
      </c>
      <c r="BR400" t="s">
        <v>546</v>
      </c>
      <c r="BS400" s="1">
        <v>2196</v>
      </c>
      <c r="BW400" t="s">
        <v>536</v>
      </c>
      <c r="BX400" s="1">
        <v>2196</v>
      </c>
      <c r="BZ400" t="s">
        <v>535</v>
      </c>
      <c r="CA400" t="s">
        <v>546</v>
      </c>
      <c r="CB400" t="s">
        <v>2388</v>
      </c>
      <c r="CC400" t="s">
        <v>556</v>
      </c>
      <c r="CD400" t="s">
        <v>1353</v>
      </c>
      <c r="CE400" t="s">
        <v>1354</v>
      </c>
      <c r="CF400" t="s">
        <v>6</v>
      </c>
      <c r="CG400" s="4">
        <v>1</v>
      </c>
      <c r="CH400" t="s">
        <v>546</v>
      </c>
      <c r="CK400" t="s">
        <v>2483</v>
      </c>
      <c r="CL400" s="1">
        <v>2196</v>
      </c>
      <c r="CN400" t="s">
        <v>535</v>
      </c>
      <c r="CO400" t="s">
        <v>539</v>
      </c>
      <c r="CT400" t="s">
        <v>560</v>
      </c>
      <c r="CW400" t="s">
        <v>546</v>
      </c>
      <c r="DD400" t="s">
        <v>561</v>
      </c>
      <c r="DK400" t="s">
        <v>2484</v>
      </c>
      <c r="DL400" t="s">
        <v>2485</v>
      </c>
    </row>
    <row r="401" ht="15" customHeight="1" spans="1:122">
      <c r="A401" t="s">
        <v>530</v>
      </c>
      <c r="B401" t="s">
        <v>2486</v>
      </c>
      <c r="C401" t="s">
        <v>532</v>
      </c>
      <c r="D401" t="s">
        <v>2388</v>
      </c>
      <c r="E401" t="s">
        <v>534</v>
      </c>
      <c r="F401" t="s">
        <v>534</v>
      </c>
      <c r="G401" t="s">
        <v>535</v>
      </c>
      <c r="H401" s="1">
        <v>549</v>
      </c>
      <c r="I401" s="1">
        <v>549</v>
      </c>
      <c r="J401" t="s">
        <v>536</v>
      </c>
      <c r="L401" t="s">
        <v>536</v>
      </c>
      <c r="M401" t="s">
        <v>370</v>
      </c>
      <c r="N401" t="s">
        <v>537</v>
      </c>
      <c r="P401" s="1">
        <v>549</v>
      </c>
      <c r="Q401" t="s">
        <v>642</v>
      </c>
      <c r="R401" t="s">
        <v>535</v>
      </c>
      <c r="S401" t="s">
        <v>539</v>
      </c>
      <c r="T401" s="2">
        <v>1</v>
      </c>
      <c r="U401" s="1">
        <v>549</v>
      </c>
      <c r="V401" s="1">
        <v>549</v>
      </c>
      <c r="X401" t="s">
        <v>540</v>
      </c>
      <c r="Z401" t="s">
        <v>541</v>
      </c>
      <c r="AA401" t="s">
        <v>542</v>
      </c>
      <c r="AB401" t="s">
        <v>543</v>
      </c>
      <c r="AC401" t="s">
        <v>544</v>
      </c>
      <c r="AD401" t="s">
        <v>545</v>
      </c>
      <c r="AE401" s="3">
        <v>1</v>
      </c>
      <c r="AF401" t="s">
        <v>6</v>
      </c>
      <c r="AG401" s="1">
        <v>549</v>
      </c>
      <c r="AI401" s="1">
        <v>549</v>
      </c>
      <c r="AJ401" s="1">
        <v>549</v>
      </c>
      <c r="AM401" s="1">
        <v>549</v>
      </c>
      <c r="AN401" t="s">
        <v>565</v>
      </c>
      <c r="AO401" t="s">
        <v>546</v>
      </c>
      <c r="AP401" t="s">
        <v>565</v>
      </c>
      <c r="AQ401" t="s">
        <v>548</v>
      </c>
      <c r="AS401" t="s">
        <v>370</v>
      </c>
      <c r="AX401" s="1">
        <v>549</v>
      </c>
      <c r="AY401" t="s">
        <v>546</v>
      </c>
      <c r="AZ401" t="s">
        <v>566</v>
      </c>
      <c r="BA401" s="1">
        <v>549</v>
      </c>
      <c r="BC401" t="s">
        <v>546</v>
      </c>
      <c r="BD401" s="1">
        <v>549</v>
      </c>
      <c r="BE401" t="s">
        <v>540</v>
      </c>
      <c r="BF401" s="1">
        <v>549</v>
      </c>
      <c r="BH401" s="1">
        <v>549</v>
      </c>
      <c r="BI401" t="s">
        <v>550</v>
      </c>
      <c r="BJ401" t="s">
        <v>551</v>
      </c>
      <c r="BK401" t="s">
        <v>551</v>
      </c>
      <c r="BL401" t="s">
        <v>552</v>
      </c>
      <c r="BM401" t="s">
        <v>2388</v>
      </c>
      <c r="BN401" t="s">
        <v>2487</v>
      </c>
      <c r="BO401" t="s">
        <v>2488</v>
      </c>
      <c r="BR401" t="s">
        <v>546</v>
      </c>
      <c r="BS401" s="1">
        <v>549</v>
      </c>
      <c r="BW401" t="s">
        <v>536</v>
      </c>
      <c r="BX401" s="1">
        <v>549</v>
      </c>
      <c r="BZ401" t="s">
        <v>535</v>
      </c>
      <c r="CA401" t="s">
        <v>546</v>
      </c>
      <c r="CB401" t="s">
        <v>2388</v>
      </c>
      <c r="CC401" t="s">
        <v>556</v>
      </c>
      <c r="CD401" t="s">
        <v>1353</v>
      </c>
      <c r="CE401" t="s">
        <v>1354</v>
      </c>
      <c r="CF401" t="s">
        <v>6</v>
      </c>
      <c r="CG401" s="4">
        <v>1</v>
      </c>
      <c r="CH401" t="s">
        <v>546</v>
      </c>
      <c r="CK401" t="s">
        <v>2483</v>
      </c>
      <c r="CL401" s="1">
        <v>549</v>
      </c>
      <c r="CN401" t="s">
        <v>535</v>
      </c>
      <c r="CO401" t="s">
        <v>539</v>
      </c>
      <c r="CT401" t="s">
        <v>560</v>
      </c>
      <c r="CW401" t="s">
        <v>546</v>
      </c>
      <c r="DD401" t="s">
        <v>561</v>
      </c>
      <c r="DK401" t="s">
        <v>2484</v>
      </c>
      <c r="DL401" t="s">
        <v>2485</v>
      </c>
    </row>
    <row r="402" ht="15" customHeight="1" spans="1:122">
      <c r="A402" t="s">
        <v>530</v>
      </c>
      <c r="B402" t="s">
        <v>2489</v>
      </c>
      <c r="C402" t="s">
        <v>532</v>
      </c>
      <c r="D402" t="s">
        <v>2462</v>
      </c>
      <c r="E402" t="s">
        <v>534</v>
      </c>
      <c r="F402" t="s">
        <v>534</v>
      </c>
      <c r="G402" t="s">
        <v>535</v>
      </c>
      <c r="H402" s="1">
        <v>3200</v>
      </c>
      <c r="I402" s="1">
        <v>3180.8</v>
      </c>
      <c r="J402" t="s">
        <v>536</v>
      </c>
      <c r="L402" t="s">
        <v>536</v>
      </c>
      <c r="M402" t="s">
        <v>375</v>
      </c>
      <c r="N402" t="s">
        <v>537</v>
      </c>
      <c r="P402" s="1">
        <v>3200</v>
      </c>
      <c r="Q402" t="s">
        <v>580</v>
      </c>
      <c r="R402" t="s">
        <v>535</v>
      </c>
      <c r="S402" t="s">
        <v>539</v>
      </c>
      <c r="T402" s="2">
        <v>1</v>
      </c>
      <c r="U402" s="1">
        <v>3200</v>
      </c>
      <c r="V402" s="1">
        <v>3180.8</v>
      </c>
      <c r="X402" t="s">
        <v>540</v>
      </c>
      <c r="Z402" t="s">
        <v>541</v>
      </c>
      <c r="AA402" t="s">
        <v>542</v>
      </c>
      <c r="AB402" t="s">
        <v>543</v>
      </c>
      <c r="AC402" t="s">
        <v>544</v>
      </c>
      <c r="AD402" t="s">
        <v>545</v>
      </c>
      <c r="AE402" s="3">
        <v>1</v>
      </c>
      <c r="AF402" t="s">
        <v>170</v>
      </c>
      <c r="AG402" s="1">
        <v>3200</v>
      </c>
      <c r="AI402" s="1">
        <v>3200</v>
      </c>
      <c r="AJ402" s="1">
        <v>3200</v>
      </c>
      <c r="AK402" s="1">
        <v>19.2</v>
      </c>
      <c r="AM402" s="1">
        <v>3180.8</v>
      </c>
      <c r="AN402" t="s">
        <v>536</v>
      </c>
      <c r="AO402" t="s">
        <v>546</v>
      </c>
      <c r="AP402" t="s">
        <v>547</v>
      </c>
      <c r="AQ402" t="s">
        <v>548</v>
      </c>
      <c r="AS402" t="s">
        <v>375</v>
      </c>
      <c r="AX402" s="1">
        <v>3200</v>
      </c>
      <c r="AY402" t="s">
        <v>546</v>
      </c>
      <c r="AZ402" t="s">
        <v>549</v>
      </c>
      <c r="BA402" s="1">
        <v>3200</v>
      </c>
      <c r="BC402" t="s">
        <v>546</v>
      </c>
      <c r="BD402" s="1">
        <v>3200</v>
      </c>
      <c r="BE402" t="s">
        <v>540</v>
      </c>
      <c r="BF402" s="1">
        <v>3200</v>
      </c>
      <c r="BG402" s="1">
        <v>19.2</v>
      </c>
      <c r="BH402" s="1">
        <v>3180.8</v>
      </c>
      <c r="BI402" t="s">
        <v>550</v>
      </c>
      <c r="BJ402" t="s">
        <v>570</v>
      </c>
      <c r="BK402" t="s">
        <v>552</v>
      </c>
      <c r="BL402" t="s">
        <v>552</v>
      </c>
      <c r="BM402" t="s">
        <v>2388</v>
      </c>
      <c r="BN402" t="s">
        <v>2490</v>
      </c>
      <c r="BO402" t="s">
        <v>2491</v>
      </c>
      <c r="BR402" t="s">
        <v>546</v>
      </c>
      <c r="BS402" s="1">
        <v>3200</v>
      </c>
      <c r="BW402" t="s">
        <v>536</v>
      </c>
      <c r="BX402" s="1">
        <v>3200</v>
      </c>
      <c r="BZ402" t="s">
        <v>535</v>
      </c>
      <c r="CA402" t="s">
        <v>546</v>
      </c>
      <c r="CB402" t="s">
        <v>2462</v>
      </c>
      <c r="CC402" t="s">
        <v>556</v>
      </c>
      <c r="CD402" t="s">
        <v>2428</v>
      </c>
      <c r="CE402" t="s">
        <v>2429</v>
      </c>
      <c r="CF402" t="s">
        <v>170</v>
      </c>
      <c r="CG402" s="4">
        <v>1</v>
      </c>
      <c r="CH402" t="s">
        <v>546</v>
      </c>
      <c r="CK402" t="s">
        <v>2492</v>
      </c>
      <c r="CL402" s="1">
        <v>3200</v>
      </c>
      <c r="CN402" t="s">
        <v>535</v>
      </c>
      <c r="CO402" t="s">
        <v>539</v>
      </c>
      <c r="CT402" t="s">
        <v>576</v>
      </c>
      <c r="CW402" t="s">
        <v>546</v>
      </c>
      <c r="DD402" t="s">
        <v>561</v>
      </c>
      <c r="DK402" t="s">
        <v>2493</v>
      </c>
      <c r="DL402" t="s">
        <v>2494</v>
      </c>
    </row>
    <row r="403" ht="15" customHeight="1" spans="1:122">
      <c r="A403" t="s">
        <v>530</v>
      </c>
      <c r="B403" t="s">
        <v>2495</v>
      </c>
      <c r="C403" t="s">
        <v>532</v>
      </c>
      <c r="D403" t="s">
        <v>2462</v>
      </c>
      <c r="E403" t="s">
        <v>534</v>
      </c>
      <c r="F403" t="s">
        <v>534</v>
      </c>
      <c r="G403" t="s">
        <v>535</v>
      </c>
      <c r="H403" s="1">
        <v>800</v>
      </c>
      <c r="I403" s="1">
        <v>800</v>
      </c>
      <c r="J403" t="s">
        <v>536</v>
      </c>
      <c r="L403" t="s">
        <v>536</v>
      </c>
      <c r="M403" t="s">
        <v>375</v>
      </c>
      <c r="N403" t="s">
        <v>537</v>
      </c>
      <c r="P403" s="1">
        <v>800</v>
      </c>
      <c r="Q403" t="s">
        <v>580</v>
      </c>
      <c r="R403" t="s">
        <v>535</v>
      </c>
      <c r="S403" t="s">
        <v>539</v>
      </c>
      <c r="T403" s="2">
        <v>1</v>
      </c>
      <c r="U403" s="1">
        <v>800</v>
      </c>
      <c r="V403" s="1">
        <v>800</v>
      </c>
      <c r="X403" t="s">
        <v>540</v>
      </c>
      <c r="Z403" t="s">
        <v>541</v>
      </c>
      <c r="AA403" t="s">
        <v>542</v>
      </c>
      <c r="AB403" t="s">
        <v>543</v>
      </c>
      <c r="AC403" t="s">
        <v>544</v>
      </c>
      <c r="AD403" t="s">
        <v>545</v>
      </c>
      <c r="AE403" s="3">
        <v>1</v>
      </c>
      <c r="AF403" t="s">
        <v>170</v>
      </c>
      <c r="AG403" s="1">
        <v>800</v>
      </c>
      <c r="AI403" s="1">
        <v>800</v>
      </c>
      <c r="AJ403" s="1">
        <v>800</v>
      </c>
      <c r="AM403" s="1">
        <v>800</v>
      </c>
      <c r="AN403" t="s">
        <v>565</v>
      </c>
      <c r="AO403" t="s">
        <v>546</v>
      </c>
      <c r="AP403" t="s">
        <v>565</v>
      </c>
      <c r="AQ403" t="s">
        <v>548</v>
      </c>
      <c r="AS403" t="s">
        <v>375</v>
      </c>
      <c r="AX403" s="1">
        <v>800</v>
      </c>
      <c r="AY403" t="s">
        <v>546</v>
      </c>
      <c r="AZ403" t="s">
        <v>566</v>
      </c>
      <c r="BA403" s="1">
        <v>800</v>
      </c>
      <c r="BC403" t="s">
        <v>546</v>
      </c>
      <c r="BD403" s="1">
        <v>800</v>
      </c>
      <c r="BE403" t="s">
        <v>540</v>
      </c>
      <c r="BF403" s="1">
        <v>800</v>
      </c>
      <c r="BH403" s="1">
        <v>800</v>
      </c>
      <c r="BI403" t="s">
        <v>550</v>
      </c>
      <c r="BJ403" t="s">
        <v>570</v>
      </c>
      <c r="BK403" t="s">
        <v>552</v>
      </c>
      <c r="BL403" t="s">
        <v>552</v>
      </c>
      <c r="BM403" t="s">
        <v>2388</v>
      </c>
      <c r="BN403" t="s">
        <v>2496</v>
      </c>
      <c r="BO403" t="s">
        <v>2497</v>
      </c>
      <c r="BR403" t="s">
        <v>546</v>
      </c>
      <c r="BS403" s="1">
        <v>800</v>
      </c>
      <c r="BW403" t="s">
        <v>536</v>
      </c>
      <c r="BX403" s="1">
        <v>800</v>
      </c>
      <c r="BZ403" t="s">
        <v>535</v>
      </c>
      <c r="CA403" t="s">
        <v>546</v>
      </c>
      <c r="CB403" t="s">
        <v>2462</v>
      </c>
      <c r="CC403" t="s">
        <v>556</v>
      </c>
      <c r="CD403" t="s">
        <v>2428</v>
      </c>
      <c r="CE403" t="s">
        <v>2429</v>
      </c>
      <c r="CF403" t="s">
        <v>170</v>
      </c>
      <c r="CG403" s="4">
        <v>1</v>
      </c>
      <c r="CH403" t="s">
        <v>546</v>
      </c>
      <c r="CK403" t="s">
        <v>2492</v>
      </c>
      <c r="CL403" s="1">
        <v>800</v>
      </c>
      <c r="CN403" t="s">
        <v>535</v>
      </c>
      <c r="CO403" t="s">
        <v>539</v>
      </c>
      <c r="CT403" t="s">
        <v>576</v>
      </c>
      <c r="CW403" t="s">
        <v>546</v>
      </c>
      <c r="DD403" t="s">
        <v>561</v>
      </c>
      <c r="DK403" t="s">
        <v>2493</v>
      </c>
      <c r="DL403" t="s">
        <v>2494</v>
      </c>
    </row>
    <row r="404" ht="15" customHeight="1" spans="1:122">
      <c r="A404" t="s">
        <v>530</v>
      </c>
      <c r="B404" t="s">
        <v>2498</v>
      </c>
      <c r="C404" t="s">
        <v>532</v>
      </c>
      <c r="D404" t="s">
        <v>2388</v>
      </c>
      <c r="E404" t="s">
        <v>534</v>
      </c>
      <c r="F404" t="s">
        <v>534</v>
      </c>
      <c r="G404" t="s">
        <v>535</v>
      </c>
      <c r="H404" s="1">
        <v>295</v>
      </c>
      <c r="I404" s="1">
        <v>295</v>
      </c>
      <c r="J404" t="s">
        <v>536</v>
      </c>
      <c r="L404" t="s">
        <v>536</v>
      </c>
      <c r="M404" t="s">
        <v>375</v>
      </c>
      <c r="N404" t="s">
        <v>537</v>
      </c>
      <c r="P404" s="1">
        <v>295</v>
      </c>
      <c r="Q404" t="s">
        <v>580</v>
      </c>
      <c r="R404" t="s">
        <v>535</v>
      </c>
      <c r="S404" t="s">
        <v>539</v>
      </c>
      <c r="T404" s="2">
        <v>1</v>
      </c>
      <c r="U404" s="1">
        <v>295</v>
      </c>
      <c r="V404" s="1">
        <v>295</v>
      </c>
      <c r="X404" t="s">
        <v>540</v>
      </c>
      <c r="Z404" t="s">
        <v>541</v>
      </c>
      <c r="AA404" t="s">
        <v>542</v>
      </c>
      <c r="AB404" t="s">
        <v>543</v>
      </c>
      <c r="AC404" t="s">
        <v>544</v>
      </c>
      <c r="AD404" t="s">
        <v>545</v>
      </c>
      <c r="AE404" s="3">
        <v>1</v>
      </c>
      <c r="AF404" t="s">
        <v>329</v>
      </c>
      <c r="AG404" s="1">
        <v>295</v>
      </c>
      <c r="AI404" s="1">
        <v>295</v>
      </c>
      <c r="AJ404" s="1">
        <v>295</v>
      </c>
      <c r="AM404" s="1">
        <v>295</v>
      </c>
      <c r="AN404" t="s">
        <v>643</v>
      </c>
      <c r="AO404" t="s">
        <v>546</v>
      </c>
      <c r="AP404" t="s">
        <v>643</v>
      </c>
      <c r="AQ404" t="s">
        <v>548</v>
      </c>
      <c r="AS404" t="s">
        <v>375</v>
      </c>
      <c r="AX404" s="1">
        <v>295</v>
      </c>
      <c r="AY404" t="s">
        <v>546</v>
      </c>
      <c r="AZ404" t="s">
        <v>644</v>
      </c>
      <c r="BA404" s="1">
        <v>295</v>
      </c>
      <c r="BC404" t="s">
        <v>546</v>
      </c>
      <c r="BD404" s="1">
        <v>295</v>
      </c>
      <c r="BE404" t="s">
        <v>540</v>
      </c>
      <c r="BF404" s="1">
        <v>295</v>
      </c>
      <c r="BH404" s="1">
        <v>295</v>
      </c>
      <c r="BI404" t="s">
        <v>550</v>
      </c>
      <c r="BJ404" t="s">
        <v>570</v>
      </c>
      <c r="BK404" t="s">
        <v>552</v>
      </c>
      <c r="BL404" t="s">
        <v>552</v>
      </c>
      <c r="BM404" t="s">
        <v>2388</v>
      </c>
      <c r="BN404" t="s">
        <v>2499</v>
      </c>
      <c r="BO404" t="s">
        <v>2500</v>
      </c>
      <c r="BR404" t="s">
        <v>546</v>
      </c>
      <c r="BS404" s="1">
        <v>295</v>
      </c>
      <c r="BW404" t="s">
        <v>536</v>
      </c>
      <c r="BX404" s="1">
        <v>295</v>
      </c>
      <c r="BZ404" t="s">
        <v>535</v>
      </c>
      <c r="CA404" t="s">
        <v>546</v>
      </c>
      <c r="CB404" t="s">
        <v>2388</v>
      </c>
      <c r="CC404" t="s">
        <v>556</v>
      </c>
      <c r="CD404" t="s">
        <v>1411</v>
      </c>
      <c r="CE404" t="s">
        <v>1412</v>
      </c>
      <c r="CF404" t="s">
        <v>329</v>
      </c>
      <c r="CG404" s="4">
        <v>1</v>
      </c>
      <c r="CH404" t="s">
        <v>546</v>
      </c>
      <c r="CK404" t="s">
        <v>2501</v>
      </c>
      <c r="CL404" s="1">
        <v>295</v>
      </c>
      <c r="CN404" t="s">
        <v>535</v>
      </c>
      <c r="CO404" t="s">
        <v>539</v>
      </c>
      <c r="CT404" t="s">
        <v>576</v>
      </c>
      <c r="CW404" t="s">
        <v>546</v>
      </c>
      <c r="DD404" t="s">
        <v>561</v>
      </c>
      <c r="DK404" t="s">
        <v>2493</v>
      </c>
      <c r="DL404" t="s">
        <v>2494</v>
      </c>
      <c r="DR404" t="s">
        <v>2502</v>
      </c>
    </row>
    <row r="405" ht="15" customHeight="1" spans="1:122">
      <c r="A405" t="s">
        <v>603</v>
      </c>
      <c r="B405" t="s">
        <v>2503</v>
      </c>
      <c r="C405" t="s">
        <v>532</v>
      </c>
      <c r="D405" t="s">
        <v>2462</v>
      </c>
      <c r="E405" t="s">
        <v>534</v>
      </c>
      <c r="F405" t="s">
        <v>534</v>
      </c>
      <c r="G405" t="s">
        <v>535</v>
      </c>
      <c r="H405" s="1">
        <v>17920</v>
      </c>
      <c r="I405" s="1">
        <v>17812.48</v>
      </c>
      <c r="J405" t="s">
        <v>536</v>
      </c>
      <c r="L405" t="s">
        <v>536</v>
      </c>
      <c r="M405" t="s">
        <v>411</v>
      </c>
      <c r="N405" t="s">
        <v>369</v>
      </c>
      <c r="P405" s="1">
        <v>17920</v>
      </c>
      <c r="Q405" t="s">
        <v>606</v>
      </c>
      <c r="R405" t="s">
        <v>535</v>
      </c>
      <c r="S405" t="s">
        <v>539</v>
      </c>
      <c r="T405" s="2">
        <v>1</v>
      </c>
      <c r="U405" s="1">
        <v>17920</v>
      </c>
      <c r="V405" s="1">
        <v>17812.48</v>
      </c>
      <c r="X405" t="s">
        <v>616</v>
      </c>
      <c r="Z405" t="s">
        <v>541</v>
      </c>
      <c r="AA405" t="s">
        <v>542</v>
      </c>
      <c r="AB405" t="s">
        <v>543</v>
      </c>
      <c r="AC405" t="s">
        <v>608</v>
      </c>
      <c r="AE405" s="3">
        <v>1</v>
      </c>
      <c r="AG405" s="1">
        <v>2574</v>
      </c>
      <c r="AI405" s="1">
        <v>17920</v>
      </c>
      <c r="AJ405" s="1">
        <v>2574</v>
      </c>
      <c r="AK405" s="1">
        <v>15.44</v>
      </c>
      <c r="AM405" s="1">
        <v>2558.56</v>
      </c>
      <c r="AN405" t="s">
        <v>536</v>
      </c>
      <c r="AO405" t="s">
        <v>546</v>
      </c>
      <c r="AP405" t="s">
        <v>547</v>
      </c>
      <c r="AQ405" t="s">
        <v>548</v>
      </c>
      <c r="AS405" t="s">
        <v>411</v>
      </c>
      <c r="AX405" s="1">
        <v>2574</v>
      </c>
      <c r="AY405" t="s">
        <v>546</v>
      </c>
      <c r="AZ405" t="s">
        <v>549</v>
      </c>
      <c r="BA405" s="1">
        <v>2574</v>
      </c>
      <c r="BB405" t="s">
        <v>2504</v>
      </c>
      <c r="BC405" t="s">
        <v>546</v>
      </c>
      <c r="BE405" t="s">
        <v>616</v>
      </c>
      <c r="BG405" s="1">
        <v>15.44</v>
      </c>
      <c r="BH405" s="1">
        <v>2558.56</v>
      </c>
      <c r="BI405" t="s">
        <v>550</v>
      </c>
      <c r="BJ405" t="s">
        <v>610</v>
      </c>
      <c r="BK405" t="s">
        <v>552</v>
      </c>
      <c r="BL405" t="s">
        <v>552</v>
      </c>
      <c r="BM405" t="s">
        <v>2388</v>
      </c>
      <c r="BN405" t="s">
        <v>2505</v>
      </c>
      <c r="BO405" t="s">
        <v>2506</v>
      </c>
      <c r="BR405" t="s">
        <v>546</v>
      </c>
      <c r="BS405" s="1">
        <v>2574</v>
      </c>
      <c r="BW405" t="s">
        <v>536</v>
      </c>
      <c r="BZ405" t="s">
        <v>535</v>
      </c>
      <c r="CA405" t="s">
        <v>546</v>
      </c>
      <c r="CB405" t="s">
        <v>2462</v>
      </c>
      <c r="CC405" t="s">
        <v>556</v>
      </c>
      <c r="CH405" t="s">
        <v>546</v>
      </c>
      <c r="CK405" t="s">
        <v>2507</v>
      </c>
      <c r="CN405" t="s">
        <v>535</v>
      </c>
      <c r="CO405" t="s">
        <v>539</v>
      </c>
      <c r="CT405" t="s">
        <v>576</v>
      </c>
      <c r="CW405" t="s">
        <v>546</v>
      </c>
      <c r="DD405" t="s">
        <v>561</v>
      </c>
      <c r="DK405" t="s">
        <v>2508</v>
      </c>
      <c r="DR405" t="s">
        <v>2508</v>
      </c>
    </row>
    <row r="406" ht="15" customHeight="1" spans="1:122">
      <c r="AB406" t="s">
        <v>543</v>
      </c>
      <c r="AC406" t="s">
        <v>608</v>
      </c>
      <c r="AG406" s="1">
        <v>3460</v>
      </c>
      <c r="AJ406" s="1">
        <v>3460</v>
      </c>
      <c r="AK406" s="1">
        <v>20.76</v>
      </c>
      <c r="AM406" s="1">
        <v>3439.24</v>
      </c>
      <c r="AN406" t="s">
        <v>536</v>
      </c>
      <c r="AP406" t="s">
        <v>547</v>
      </c>
      <c r="AX406" s="1">
        <v>3460</v>
      </c>
      <c r="AZ406" t="s">
        <v>549</v>
      </c>
      <c r="BA406" s="1">
        <v>3460</v>
      </c>
      <c r="BB406" t="s">
        <v>2509</v>
      </c>
      <c r="BC406" t="s">
        <v>546</v>
      </c>
      <c r="BE406" t="s">
        <v>616</v>
      </c>
      <c r="BG406" s="1">
        <v>20.76</v>
      </c>
      <c r="BH406" s="1">
        <v>3439.24</v>
      </c>
      <c r="BS406" s="1">
        <v>3460</v>
      </c>
      <c r="CB406" t="s">
        <v>2462</v>
      </c>
      <c r="CC406" t="s">
        <v>556</v>
      </c>
      <c r="DD406" t="s">
        <v>561</v>
      </c>
    </row>
    <row r="407" ht="15" customHeight="1" spans="1:122">
      <c r="AB407" t="s">
        <v>543</v>
      </c>
      <c r="AC407" t="s">
        <v>608</v>
      </c>
      <c r="AG407" s="1">
        <v>2764</v>
      </c>
      <c r="AJ407" s="1">
        <v>2764</v>
      </c>
      <c r="AK407" s="1">
        <v>16.58</v>
      </c>
      <c r="AM407" s="1">
        <v>2747.42</v>
      </c>
      <c r="AN407" t="s">
        <v>536</v>
      </c>
      <c r="AP407" t="s">
        <v>547</v>
      </c>
      <c r="AX407" s="1">
        <v>2764</v>
      </c>
      <c r="AZ407" t="s">
        <v>549</v>
      </c>
      <c r="BA407" s="1">
        <v>2764</v>
      </c>
      <c r="BB407" t="s">
        <v>2510</v>
      </c>
      <c r="BC407" t="s">
        <v>546</v>
      </c>
      <c r="BE407" t="s">
        <v>616</v>
      </c>
      <c r="BG407" s="1">
        <v>16.58</v>
      </c>
      <c r="BH407" s="1">
        <v>2747.42</v>
      </c>
      <c r="BS407" s="1">
        <v>2764</v>
      </c>
      <c r="CB407" t="s">
        <v>2462</v>
      </c>
      <c r="CC407" t="s">
        <v>556</v>
      </c>
      <c r="DD407" t="s">
        <v>561</v>
      </c>
    </row>
    <row r="408" ht="15" customHeight="1" spans="1:122">
      <c r="AB408" t="s">
        <v>543</v>
      </c>
      <c r="AC408" t="s">
        <v>608</v>
      </c>
      <c r="AG408" s="1">
        <v>2686</v>
      </c>
      <c r="AJ408" s="1">
        <v>2686</v>
      </c>
      <c r="AK408" s="1">
        <v>16.12</v>
      </c>
      <c r="AM408" s="1">
        <v>2669.88</v>
      </c>
      <c r="AN408" t="s">
        <v>536</v>
      </c>
      <c r="AP408" t="s">
        <v>547</v>
      </c>
      <c r="AX408" s="1">
        <v>2686</v>
      </c>
      <c r="AZ408" t="s">
        <v>549</v>
      </c>
      <c r="BA408" s="1">
        <v>2686</v>
      </c>
      <c r="BB408" t="s">
        <v>2511</v>
      </c>
      <c r="BC408" t="s">
        <v>546</v>
      </c>
      <c r="BE408" t="s">
        <v>616</v>
      </c>
      <c r="BG408" s="1">
        <v>16.12</v>
      </c>
      <c r="BH408" s="1">
        <v>2669.88</v>
      </c>
      <c r="BS408" s="1">
        <v>2686</v>
      </c>
      <c r="CB408" t="s">
        <v>2462</v>
      </c>
      <c r="CC408" t="s">
        <v>556</v>
      </c>
      <c r="DD408" t="s">
        <v>561</v>
      </c>
    </row>
    <row r="409" ht="15" customHeight="1" spans="1:122">
      <c r="AB409" t="s">
        <v>543</v>
      </c>
      <c r="AC409" t="s">
        <v>608</v>
      </c>
      <c r="AG409" s="1">
        <v>3460</v>
      </c>
      <c r="AJ409" s="1">
        <v>3460</v>
      </c>
      <c r="AK409" s="1">
        <v>20.76</v>
      </c>
      <c r="AM409" s="1">
        <v>3439.24</v>
      </c>
      <c r="AN409" t="s">
        <v>536</v>
      </c>
      <c r="AP409" t="s">
        <v>547</v>
      </c>
      <c r="AX409" s="1">
        <v>3460</v>
      </c>
      <c r="AZ409" t="s">
        <v>549</v>
      </c>
      <c r="BA409" s="1">
        <v>3460</v>
      </c>
      <c r="BB409" t="s">
        <v>2512</v>
      </c>
      <c r="BC409" t="s">
        <v>546</v>
      </c>
      <c r="BE409" t="s">
        <v>616</v>
      </c>
      <c r="BG409" s="1">
        <v>20.76</v>
      </c>
      <c r="BH409" s="1">
        <v>3439.24</v>
      </c>
      <c r="BS409" s="1">
        <v>3460</v>
      </c>
      <c r="CB409" t="s">
        <v>2462</v>
      </c>
      <c r="CC409" t="s">
        <v>556</v>
      </c>
      <c r="DD409" t="s">
        <v>561</v>
      </c>
    </row>
    <row r="410" ht="15" customHeight="1" spans="1:122">
      <c r="AB410" t="s">
        <v>543</v>
      </c>
      <c r="AC410" t="s">
        <v>608</v>
      </c>
      <c r="AG410" s="1">
        <v>2976</v>
      </c>
      <c r="AJ410" s="1">
        <v>2976</v>
      </c>
      <c r="AK410" s="1">
        <v>17.86</v>
      </c>
      <c r="AM410" s="1">
        <v>2958.14</v>
      </c>
      <c r="AN410" t="s">
        <v>536</v>
      </c>
      <c r="AP410" t="s">
        <v>547</v>
      </c>
      <c r="AX410" s="1">
        <v>2976</v>
      </c>
      <c r="AZ410" t="s">
        <v>549</v>
      </c>
      <c r="BA410" s="1">
        <v>2976</v>
      </c>
      <c r="BB410" t="s">
        <v>2513</v>
      </c>
      <c r="BC410" t="s">
        <v>546</v>
      </c>
      <c r="BE410" t="s">
        <v>616</v>
      </c>
      <c r="BG410" s="1">
        <v>17.86</v>
      </c>
      <c r="BH410" s="1">
        <v>2958.14</v>
      </c>
      <c r="BS410" s="1">
        <v>2976</v>
      </c>
      <c r="CB410" t="s">
        <v>2462</v>
      </c>
      <c r="CC410" t="s">
        <v>556</v>
      </c>
      <c r="DD410" t="s">
        <v>561</v>
      </c>
    </row>
    <row r="411" ht="15" customHeight="1" spans="1:122">
      <c r="A411" t="s">
        <v>530</v>
      </c>
      <c r="B411" t="s">
        <v>2514</v>
      </c>
      <c r="C411" t="s">
        <v>656</v>
      </c>
      <c r="D411" t="s">
        <v>2462</v>
      </c>
      <c r="E411" t="s">
        <v>534</v>
      </c>
      <c r="F411" t="s">
        <v>534</v>
      </c>
      <c r="G411" t="s">
        <v>535</v>
      </c>
      <c r="H411" s="1">
        <v>4059</v>
      </c>
      <c r="I411" s="1">
        <v>4050.27</v>
      </c>
      <c r="J411" t="s">
        <v>536</v>
      </c>
      <c r="L411" t="s">
        <v>536</v>
      </c>
      <c r="M411" t="s">
        <v>393</v>
      </c>
      <c r="N411" t="s">
        <v>657</v>
      </c>
      <c r="P411" s="1">
        <v>4059</v>
      </c>
      <c r="Q411" t="s">
        <v>658</v>
      </c>
      <c r="R411" t="s">
        <v>535</v>
      </c>
      <c r="S411" t="s">
        <v>539</v>
      </c>
      <c r="T411" s="2">
        <v>1</v>
      </c>
      <c r="U411" s="1">
        <v>4059</v>
      </c>
      <c r="V411" s="1">
        <v>4050.27</v>
      </c>
      <c r="X411" t="s">
        <v>540</v>
      </c>
      <c r="Z411" t="s">
        <v>541</v>
      </c>
      <c r="AA411" t="s">
        <v>542</v>
      </c>
      <c r="AB411" t="s">
        <v>659</v>
      </c>
      <c r="AC411" t="s">
        <v>544</v>
      </c>
      <c r="AD411" t="s">
        <v>545</v>
      </c>
      <c r="AE411" s="3">
        <v>1</v>
      </c>
      <c r="AF411" t="s">
        <v>166</v>
      </c>
      <c r="AG411" s="1">
        <v>4059</v>
      </c>
      <c r="AI411" s="1">
        <v>4059</v>
      </c>
      <c r="AJ411" s="1">
        <v>4059</v>
      </c>
      <c r="AK411" s="1">
        <v>8.73</v>
      </c>
      <c r="AM411" s="1">
        <v>4050.27</v>
      </c>
      <c r="AN411" t="s">
        <v>536</v>
      </c>
      <c r="AO411" t="s">
        <v>546</v>
      </c>
      <c r="AP411" t="s">
        <v>547</v>
      </c>
      <c r="AQ411" t="s">
        <v>548</v>
      </c>
      <c r="AS411" t="s">
        <v>393</v>
      </c>
      <c r="AX411" s="1">
        <v>4059</v>
      </c>
      <c r="AY411" t="s">
        <v>546</v>
      </c>
      <c r="AZ411" t="s">
        <v>549</v>
      </c>
      <c r="BA411" s="1">
        <v>4059</v>
      </c>
      <c r="BC411" t="s">
        <v>546</v>
      </c>
      <c r="BD411" s="1">
        <v>4059</v>
      </c>
      <c r="BE411" t="s">
        <v>540</v>
      </c>
      <c r="BF411" s="1">
        <v>4059</v>
      </c>
      <c r="BG411" s="1">
        <v>8.73</v>
      </c>
      <c r="BH411" s="1">
        <v>4050.27</v>
      </c>
      <c r="BI411" t="s">
        <v>550</v>
      </c>
      <c r="BJ411" t="s">
        <v>660</v>
      </c>
      <c r="BK411" t="s">
        <v>552</v>
      </c>
      <c r="BL411" t="s">
        <v>552</v>
      </c>
      <c r="BM411" t="s">
        <v>2388</v>
      </c>
      <c r="BN411" t="s">
        <v>2515</v>
      </c>
      <c r="BO411" t="s">
        <v>2516</v>
      </c>
      <c r="BR411" t="s">
        <v>546</v>
      </c>
      <c r="BS411" s="1">
        <v>4059</v>
      </c>
      <c r="BW411" t="s">
        <v>536</v>
      </c>
      <c r="BX411" s="1">
        <v>4059</v>
      </c>
      <c r="BZ411" t="s">
        <v>535</v>
      </c>
      <c r="CA411" t="s">
        <v>546</v>
      </c>
      <c r="CB411" t="s">
        <v>2462</v>
      </c>
      <c r="CC411" t="s">
        <v>556</v>
      </c>
      <c r="CD411" t="s">
        <v>663</v>
      </c>
      <c r="CE411" t="s">
        <v>664</v>
      </c>
      <c r="CF411" t="s">
        <v>166</v>
      </c>
      <c r="CG411" s="4">
        <v>1</v>
      </c>
      <c r="CH411" t="s">
        <v>546</v>
      </c>
      <c r="CK411" t="s">
        <v>2517</v>
      </c>
      <c r="CL411" s="1">
        <v>4059</v>
      </c>
      <c r="CN411" t="s">
        <v>535</v>
      </c>
      <c r="CO411" t="s">
        <v>539</v>
      </c>
      <c r="CT411" t="s">
        <v>666</v>
      </c>
      <c r="CW411" t="s">
        <v>546</v>
      </c>
      <c r="DD411" t="s">
        <v>561</v>
      </c>
      <c r="DK411" t="s">
        <v>2518</v>
      </c>
      <c r="DL411" t="s">
        <v>2519</v>
      </c>
    </row>
    <row r="412" ht="15" customHeight="1" spans="1:122">
      <c r="A412" t="s">
        <v>530</v>
      </c>
      <c r="B412" t="s">
        <v>2520</v>
      </c>
      <c r="C412" t="s">
        <v>532</v>
      </c>
      <c r="D412" t="s">
        <v>2388</v>
      </c>
      <c r="E412" t="s">
        <v>534</v>
      </c>
      <c r="F412" t="s">
        <v>534</v>
      </c>
      <c r="G412" t="s">
        <v>535</v>
      </c>
      <c r="H412" s="1">
        <v>5850</v>
      </c>
      <c r="I412" s="1">
        <v>5850</v>
      </c>
      <c r="J412" t="s">
        <v>536</v>
      </c>
      <c r="L412" t="s">
        <v>536</v>
      </c>
      <c r="M412" t="s">
        <v>375</v>
      </c>
      <c r="N412" t="s">
        <v>537</v>
      </c>
      <c r="P412" s="1">
        <v>5850</v>
      </c>
      <c r="Q412" t="s">
        <v>580</v>
      </c>
      <c r="R412" t="s">
        <v>535</v>
      </c>
      <c r="S412" t="s">
        <v>539</v>
      </c>
      <c r="T412" s="2">
        <v>1</v>
      </c>
      <c r="U412" s="1">
        <v>5850</v>
      </c>
      <c r="V412" s="1">
        <v>5850</v>
      </c>
      <c r="X412" t="s">
        <v>540</v>
      </c>
      <c r="Z412" t="s">
        <v>541</v>
      </c>
      <c r="AA412" t="s">
        <v>542</v>
      </c>
      <c r="AB412" t="s">
        <v>543</v>
      </c>
      <c r="AC412" t="s">
        <v>544</v>
      </c>
      <c r="AD412" t="s">
        <v>545</v>
      </c>
      <c r="AE412" s="3">
        <v>1</v>
      </c>
      <c r="AF412" t="s">
        <v>172</v>
      </c>
      <c r="AG412" s="1">
        <v>5850</v>
      </c>
      <c r="AI412" s="1">
        <v>5850</v>
      </c>
      <c r="AJ412" s="1">
        <v>5850</v>
      </c>
      <c r="AM412" s="1">
        <v>5850</v>
      </c>
      <c r="AN412" t="s">
        <v>536</v>
      </c>
      <c r="AO412" t="s">
        <v>546</v>
      </c>
      <c r="AP412" t="s">
        <v>547</v>
      </c>
      <c r="AQ412" t="s">
        <v>548</v>
      </c>
      <c r="AS412" t="s">
        <v>375</v>
      </c>
      <c r="AX412" s="1">
        <v>5850</v>
      </c>
      <c r="AY412" t="s">
        <v>546</v>
      </c>
      <c r="AZ412" t="s">
        <v>549</v>
      </c>
      <c r="BA412" s="1">
        <v>5850</v>
      </c>
      <c r="BC412" t="s">
        <v>546</v>
      </c>
      <c r="BD412" s="1">
        <v>5850</v>
      </c>
      <c r="BE412" t="s">
        <v>540</v>
      </c>
      <c r="BF412" s="1">
        <v>5850</v>
      </c>
      <c r="BH412" s="1">
        <v>5850</v>
      </c>
      <c r="BI412" t="s">
        <v>550</v>
      </c>
      <c r="BJ412" t="s">
        <v>551</v>
      </c>
      <c r="BK412" t="s">
        <v>551</v>
      </c>
      <c r="BL412" t="s">
        <v>552</v>
      </c>
      <c r="BM412" t="s">
        <v>2462</v>
      </c>
      <c r="BN412" t="s">
        <v>2521</v>
      </c>
      <c r="BO412" t="s">
        <v>2522</v>
      </c>
      <c r="BR412" t="s">
        <v>546</v>
      </c>
      <c r="BS412" s="1">
        <v>5850</v>
      </c>
      <c r="BW412" t="s">
        <v>536</v>
      </c>
      <c r="BX412" s="1">
        <v>5850</v>
      </c>
      <c r="BZ412" t="s">
        <v>535</v>
      </c>
      <c r="CA412" t="s">
        <v>546</v>
      </c>
      <c r="CB412" t="s">
        <v>2388</v>
      </c>
      <c r="CC412" t="s">
        <v>556</v>
      </c>
      <c r="CD412" t="s">
        <v>1238</v>
      </c>
      <c r="CE412" t="s">
        <v>1239</v>
      </c>
      <c r="CF412" t="s">
        <v>172</v>
      </c>
      <c r="CG412" s="4">
        <v>1</v>
      </c>
      <c r="CH412" t="s">
        <v>546</v>
      </c>
      <c r="CK412" t="s">
        <v>2523</v>
      </c>
      <c r="CL412" s="1">
        <v>5850</v>
      </c>
      <c r="CN412" t="s">
        <v>535</v>
      </c>
      <c r="CO412" t="s">
        <v>539</v>
      </c>
      <c r="CT412" t="s">
        <v>576</v>
      </c>
      <c r="CW412" t="s">
        <v>546</v>
      </c>
      <c r="DD412" t="s">
        <v>561</v>
      </c>
      <c r="DK412" t="s">
        <v>1241</v>
      </c>
      <c r="DL412" t="s">
        <v>1242</v>
      </c>
    </row>
    <row r="413" ht="15" customHeight="1" spans="1:122">
      <c r="A413" t="s">
        <v>603</v>
      </c>
      <c r="B413" t="s">
        <v>2524</v>
      </c>
      <c r="D413" t="s">
        <v>1396</v>
      </c>
      <c r="E413" t="s">
        <v>534</v>
      </c>
      <c r="F413" t="s">
        <v>534</v>
      </c>
      <c r="G413" t="s">
        <v>535</v>
      </c>
      <c r="H413" s="1">
        <v>1440.75</v>
      </c>
      <c r="I413" s="1">
        <v>1440.75</v>
      </c>
      <c r="J413" t="s">
        <v>536</v>
      </c>
      <c r="L413" t="s">
        <v>536</v>
      </c>
      <c r="M413" t="s">
        <v>400</v>
      </c>
      <c r="N413" t="s">
        <v>1341</v>
      </c>
      <c r="P413" s="1">
        <v>1440.75</v>
      </c>
      <c r="Q413" t="s">
        <v>1342</v>
      </c>
      <c r="R413" t="s">
        <v>535</v>
      </c>
      <c r="S413" t="s">
        <v>539</v>
      </c>
      <c r="T413" s="2">
        <v>1</v>
      </c>
      <c r="U413" s="1">
        <v>1440.75</v>
      </c>
      <c r="V413" s="1">
        <v>1440.75</v>
      </c>
      <c r="X413" t="s">
        <v>616</v>
      </c>
      <c r="Z413" t="s">
        <v>541</v>
      </c>
      <c r="AA413" t="s">
        <v>542</v>
      </c>
      <c r="AB413" t="s">
        <v>543</v>
      </c>
      <c r="AC413" t="s">
        <v>608</v>
      </c>
      <c r="AE413" s="3">
        <v>1</v>
      </c>
      <c r="AG413" s="1">
        <v>1440.75</v>
      </c>
      <c r="AI413" s="1">
        <v>1440.75</v>
      </c>
      <c r="AJ413" s="1">
        <v>1440.75</v>
      </c>
      <c r="AM413" s="1">
        <v>1440.75</v>
      </c>
      <c r="AN413" t="s">
        <v>536</v>
      </c>
      <c r="AO413" t="s">
        <v>546</v>
      </c>
      <c r="AP413" t="s">
        <v>547</v>
      </c>
      <c r="AQ413" t="s">
        <v>548</v>
      </c>
      <c r="AS413" t="s">
        <v>400</v>
      </c>
      <c r="AX413" s="1">
        <v>1440.75</v>
      </c>
      <c r="AY413" t="s">
        <v>546</v>
      </c>
      <c r="AZ413" t="s">
        <v>549</v>
      </c>
      <c r="BA413" s="1">
        <v>1440.75</v>
      </c>
      <c r="BC413" t="s">
        <v>546</v>
      </c>
      <c r="BE413" t="s">
        <v>616</v>
      </c>
      <c r="BH413" s="1">
        <v>1440.75</v>
      </c>
      <c r="BI413" t="s">
        <v>550</v>
      </c>
      <c r="BJ413" t="s">
        <v>552</v>
      </c>
      <c r="BK413" t="s">
        <v>552</v>
      </c>
      <c r="BL413" t="s">
        <v>552</v>
      </c>
      <c r="BM413" t="s">
        <v>2462</v>
      </c>
      <c r="BN413" t="s">
        <v>2525</v>
      </c>
      <c r="BO413" t="s">
        <v>2526</v>
      </c>
      <c r="BR413" t="s">
        <v>546</v>
      </c>
      <c r="BS413" s="1">
        <v>1440.75</v>
      </c>
      <c r="BW413" t="s">
        <v>536</v>
      </c>
      <c r="BZ413" t="s">
        <v>535</v>
      </c>
      <c r="CA413" t="s">
        <v>546</v>
      </c>
      <c r="CB413" t="s">
        <v>1396</v>
      </c>
      <c r="CC413" t="s">
        <v>556</v>
      </c>
      <c r="CH413" t="s">
        <v>546</v>
      </c>
      <c r="CK413" t="s">
        <v>2527</v>
      </c>
      <c r="CN413" t="s">
        <v>535</v>
      </c>
      <c r="CO413" t="s">
        <v>539</v>
      </c>
      <c r="CT413" t="s">
        <v>1789</v>
      </c>
      <c r="CW413" t="s">
        <v>546</v>
      </c>
      <c r="DD413" t="s">
        <v>561</v>
      </c>
    </row>
    <row r="414" ht="15" customHeight="1" spans="1:122">
      <c r="A414" t="s">
        <v>603</v>
      </c>
      <c r="B414" t="s">
        <v>2528</v>
      </c>
      <c r="D414" t="s">
        <v>1852</v>
      </c>
      <c r="E414" t="s">
        <v>534</v>
      </c>
      <c r="F414" t="s">
        <v>534</v>
      </c>
      <c r="G414" t="s">
        <v>535</v>
      </c>
      <c r="H414" s="1">
        <v>1162.7</v>
      </c>
      <c r="I414" s="1">
        <v>1162.7</v>
      </c>
      <c r="J414" t="s">
        <v>536</v>
      </c>
      <c r="L414" t="s">
        <v>536</v>
      </c>
      <c r="M414" t="s">
        <v>383</v>
      </c>
      <c r="N414" t="s">
        <v>1341</v>
      </c>
      <c r="P414" s="1">
        <v>1162.7</v>
      </c>
      <c r="Q414" t="s">
        <v>1342</v>
      </c>
      <c r="R414" t="s">
        <v>535</v>
      </c>
      <c r="S414" t="s">
        <v>539</v>
      </c>
      <c r="T414" s="2">
        <v>1</v>
      </c>
      <c r="U414" s="1">
        <v>1162.7</v>
      </c>
      <c r="V414" s="1">
        <v>1162.7</v>
      </c>
      <c r="X414" t="s">
        <v>616</v>
      </c>
      <c r="Z414" t="s">
        <v>541</v>
      </c>
      <c r="AA414" t="s">
        <v>542</v>
      </c>
      <c r="AB414" t="s">
        <v>543</v>
      </c>
      <c r="AC414" t="s">
        <v>608</v>
      </c>
      <c r="AE414" s="3">
        <v>1</v>
      </c>
      <c r="AG414" s="1">
        <v>1162.7</v>
      </c>
      <c r="AI414" s="1">
        <v>1162.7</v>
      </c>
      <c r="AJ414" s="1">
        <v>1162.7</v>
      </c>
      <c r="AM414" s="1">
        <v>1162.7</v>
      </c>
      <c r="AN414" t="s">
        <v>536</v>
      </c>
      <c r="AO414" t="s">
        <v>546</v>
      </c>
      <c r="AP414" t="s">
        <v>547</v>
      </c>
      <c r="AQ414" t="s">
        <v>548</v>
      </c>
      <c r="AS414" t="s">
        <v>383</v>
      </c>
      <c r="AX414" s="1">
        <v>1162.7</v>
      </c>
      <c r="AY414" t="s">
        <v>546</v>
      </c>
      <c r="AZ414" t="s">
        <v>549</v>
      </c>
      <c r="BA414" s="1">
        <v>1162.7</v>
      </c>
      <c r="BC414" t="s">
        <v>546</v>
      </c>
      <c r="BE414" t="s">
        <v>616</v>
      </c>
      <c r="BH414" s="1">
        <v>1162.7</v>
      </c>
      <c r="BI414" t="s">
        <v>550</v>
      </c>
      <c r="BJ414" t="s">
        <v>552</v>
      </c>
      <c r="BK414" t="s">
        <v>552</v>
      </c>
      <c r="BL414" t="s">
        <v>552</v>
      </c>
      <c r="BM414" t="s">
        <v>2462</v>
      </c>
      <c r="BN414" t="s">
        <v>2529</v>
      </c>
      <c r="BO414" t="s">
        <v>2530</v>
      </c>
      <c r="BR414" t="s">
        <v>546</v>
      </c>
      <c r="BS414" s="1">
        <v>1162.7</v>
      </c>
      <c r="BW414" t="s">
        <v>536</v>
      </c>
      <c r="BZ414" t="s">
        <v>535</v>
      </c>
      <c r="CA414" t="s">
        <v>546</v>
      </c>
      <c r="CB414" t="s">
        <v>1852</v>
      </c>
      <c r="CC414" t="s">
        <v>556</v>
      </c>
      <c r="CH414" t="s">
        <v>546</v>
      </c>
      <c r="CK414" t="s">
        <v>2531</v>
      </c>
      <c r="CN414" t="s">
        <v>535</v>
      </c>
      <c r="CO414" t="s">
        <v>539</v>
      </c>
      <c r="CT414" t="s">
        <v>1789</v>
      </c>
      <c r="CW414" t="s">
        <v>546</v>
      </c>
      <c r="DD414" t="s">
        <v>561</v>
      </c>
    </row>
    <row r="415" ht="15" customHeight="1" spans="1:122">
      <c r="A415" t="s">
        <v>603</v>
      </c>
      <c r="B415" t="s">
        <v>2532</v>
      </c>
      <c r="D415" t="s">
        <v>1852</v>
      </c>
      <c r="E415" t="s">
        <v>534</v>
      </c>
      <c r="F415" t="s">
        <v>534</v>
      </c>
      <c r="G415" t="s">
        <v>535</v>
      </c>
      <c r="H415" s="1">
        <v>464.65</v>
      </c>
      <c r="I415" s="1">
        <v>464.65</v>
      </c>
      <c r="J415" t="s">
        <v>536</v>
      </c>
      <c r="L415" t="s">
        <v>536</v>
      </c>
      <c r="M415" t="s">
        <v>383</v>
      </c>
      <c r="N415" t="s">
        <v>1341</v>
      </c>
      <c r="P415" s="1">
        <v>464.65</v>
      </c>
      <c r="Q415" t="s">
        <v>1342</v>
      </c>
      <c r="R415" t="s">
        <v>535</v>
      </c>
      <c r="S415" t="s">
        <v>539</v>
      </c>
      <c r="T415" s="2">
        <v>1</v>
      </c>
      <c r="U415" s="1">
        <v>464.65</v>
      </c>
      <c r="V415" s="1">
        <v>464.65</v>
      </c>
      <c r="X415" t="s">
        <v>616</v>
      </c>
      <c r="Z415" t="s">
        <v>541</v>
      </c>
      <c r="AA415" t="s">
        <v>542</v>
      </c>
      <c r="AB415" t="s">
        <v>543</v>
      </c>
      <c r="AC415" t="s">
        <v>608</v>
      </c>
      <c r="AE415" s="3">
        <v>1</v>
      </c>
      <c r="AG415" s="1">
        <v>464.65</v>
      </c>
      <c r="AI415" s="1">
        <v>464.65</v>
      </c>
      <c r="AJ415" s="1">
        <v>464.65</v>
      </c>
      <c r="AM415" s="1">
        <v>464.65</v>
      </c>
      <c r="AN415" t="s">
        <v>536</v>
      </c>
      <c r="AO415" t="s">
        <v>546</v>
      </c>
      <c r="AP415" t="s">
        <v>547</v>
      </c>
      <c r="AQ415" t="s">
        <v>548</v>
      </c>
      <c r="AS415" t="s">
        <v>383</v>
      </c>
      <c r="AX415" s="1">
        <v>464.65</v>
      </c>
      <c r="AY415" t="s">
        <v>546</v>
      </c>
      <c r="AZ415" t="s">
        <v>549</v>
      </c>
      <c r="BA415" s="1">
        <v>464.65</v>
      </c>
      <c r="BC415" t="s">
        <v>546</v>
      </c>
      <c r="BE415" t="s">
        <v>616</v>
      </c>
      <c r="BH415" s="1">
        <v>464.65</v>
      </c>
      <c r="BI415" t="s">
        <v>550</v>
      </c>
      <c r="BJ415" t="s">
        <v>552</v>
      </c>
      <c r="BK415" t="s">
        <v>552</v>
      </c>
      <c r="BL415" t="s">
        <v>552</v>
      </c>
      <c r="BM415" t="s">
        <v>2462</v>
      </c>
      <c r="BN415" t="s">
        <v>2533</v>
      </c>
      <c r="BO415" t="s">
        <v>2534</v>
      </c>
      <c r="BR415" t="s">
        <v>546</v>
      </c>
      <c r="BS415" s="1">
        <v>464.65</v>
      </c>
      <c r="BW415" t="s">
        <v>536</v>
      </c>
      <c r="BZ415" t="s">
        <v>535</v>
      </c>
      <c r="CA415" t="s">
        <v>546</v>
      </c>
      <c r="CB415" t="s">
        <v>1852</v>
      </c>
      <c r="CC415" t="s">
        <v>556</v>
      </c>
      <c r="CH415" t="s">
        <v>546</v>
      </c>
      <c r="CK415" t="s">
        <v>2535</v>
      </c>
      <c r="CN415" t="s">
        <v>535</v>
      </c>
      <c r="CO415" t="s">
        <v>539</v>
      </c>
      <c r="CT415" t="s">
        <v>1789</v>
      </c>
      <c r="CW415" t="s">
        <v>546</v>
      </c>
      <c r="DD415" t="s">
        <v>561</v>
      </c>
    </row>
    <row r="416" ht="15" customHeight="1" spans="1:122">
      <c r="A416" t="s">
        <v>530</v>
      </c>
      <c r="B416" t="s">
        <v>2536</v>
      </c>
      <c r="C416" t="s">
        <v>532</v>
      </c>
      <c r="D416" t="s">
        <v>2388</v>
      </c>
      <c r="E416" t="s">
        <v>534</v>
      </c>
      <c r="F416" t="s">
        <v>534</v>
      </c>
      <c r="G416" t="s">
        <v>535</v>
      </c>
      <c r="H416" s="1">
        <v>898</v>
      </c>
      <c r="I416" s="1">
        <v>898</v>
      </c>
      <c r="J416" t="s">
        <v>536</v>
      </c>
      <c r="L416" t="s">
        <v>536</v>
      </c>
      <c r="M416" t="s">
        <v>377</v>
      </c>
      <c r="N416" t="s">
        <v>537</v>
      </c>
      <c r="P416" s="1">
        <v>898</v>
      </c>
      <c r="Q416" t="s">
        <v>538</v>
      </c>
      <c r="R416" t="s">
        <v>535</v>
      </c>
      <c r="S416" t="s">
        <v>539</v>
      </c>
      <c r="T416" s="2">
        <v>1</v>
      </c>
      <c r="U416" s="1">
        <v>898</v>
      </c>
      <c r="V416" s="1">
        <v>898</v>
      </c>
      <c r="X416" t="s">
        <v>540</v>
      </c>
      <c r="Z416" t="s">
        <v>541</v>
      </c>
      <c r="AA416" t="s">
        <v>542</v>
      </c>
      <c r="AB416" t="s">
        <v>543</v>
      </c>
      <c r="AC416" t="s">
        <v>544</v>
      </c>
      <c r="AD416" t="s">
        <v>545</v>
      </c>
      <c r="AE416" s="3">
        <v>1</v>
      </c>
      <c r="AF416" t="s">
        <v>174</v>
      </c>
      <c r="AG416" s="1">
        <v>898</v>
      </c>
      <c r="AI416" s="1">
        <v>898</v>
      </c>
      <c r="AJ416" s="1">
        <v>898</v>
      </c>
      <c r="AM416" s="1">
        <v>898</v>
      </c>
      <c r="AN416" t="s">
        <v>643</v>
      </c>
      <c r="AO416" t="s">
        <v>546</v>
      </c>
      <c r="AP416" t="s">
        <v>643</v>
      </c>
      <c r="AQ416" t="s">
        <v>548</v>
      </c>
      <c r="AS416" t="s">
        <v>377</v>
      </c>
      <c r="AX416" s="1">
        <v>898</v>
      </c>
      <c r="AY416" t="s">
        <v>546</v>
      </c>
      <c r="AZ416" t="s">
        <v>644</v>
      </c>
      <c r="BA416" s="1">
        <v>898</v>
      </c>
      <c r="BC416" t="s">
        <v>546</v>
      </c>
      <c r="BD416" s="1">
        <v>898</v>
      </c>
      <c r="BE416" t="s">
        <v>540</v>
      </c>
      <c r="BF416" s="1">
        <v>898</v>
      </c>
      <c r="BH416" s="1">
        <v>898</v>
      </c>
      <c r="BI416" t="s">
        <v>550</v>
      </c>
      <c r="BJ416" t="s">
        <v>551</v>
      </c>
      <c r="BK416" t="s">
        <v>551</v>
      </c>
      <c r="BL416" t="s">
        <v>552</v>
      </c>
      <c r="BM416" t="s">
        <v>2462</v>
      </c>
      <c r="BN416" t="s">
        <v>2537</v>
      </c>
      <c r="BO416" t="s">
        <v>2538</v>
      </c>
      <c r="BR416" t="s">
        <v>546</v>
      </c>
      <c r="BS416" s="1">
        <v>898</v>
      </c>
      <c r="BW416" t="s">
        <v>536</v>
      </c>
      <c r="BX416" s="1">
        <v>898</v>
      </c>
      <c r="BZ416" t="s">
        <v>535</v>
      </c>
      <c r="CA416" t="s">
        <v>546</v>
      </c>
      <c r="CB416" t="s">
        <v>2388</v>
      </c>
      <c r="CC416" t="s">
        <v>556</v>
      </c>
      <c r="CD416" t="s">
        <v>1108</v>
      </c>
      <c r="CE416" t="s">
        <v>1109</v>
      </c>
      <c r="CF416" t="s">
        <v>174</v>
      </c>
      <c r="CG416" s="4">
        <v>1</v>
      </c>
      <c r="CH416" t="s">
        <v>546</v>
      </c>
      <c r="CK416" t="s">
        <v>2539</v>
      </c>
      <c r="CL416" s="1">
        <v>898</v>
      </c>
      <c r="CN416" t="s">
        <v>535</v>
      </c>
      <c r="CO416" t="s">
        <v>539</v>
      </c>
      <c r="CT416" t="s">
        <v>560</v>
      </c>
      <c r="CW416" t="s">
        <v>546</v>
      </c>
      <c r="DD416" t="s">
        <v>561</v>
      </c>
      <c r="DK416" t="s">
        <v>2540</v>
      </c>
      <c r="DL416" t="s">
        <v>2541</v>
      </c>
      <c r="DR416" t="s">
        <v>2542</v>
      </c>
    </row>
    <row r="417" ht="15" customHeight="1" spans="1:122">
      <c r="A417" t="s">
        <v>603</v>
      </c>
      <c r="B417" t="s">
        <v>2543</v>
      </c>
      <c r="D417" t="s">
        <v>2388</v>
      </c>
      <c r="E417" t="s">
        <v>534</v>
      </c>
      <c r="F417" t="s">
        <v>534</v>
      </c>
      <c r="G417" t="s">
        <v>535</v>
      </c>
      <c r="H417" s="1">
        <v>773.9</v>
      </c>
      <c r="I417" s="1">
        <v>773.9</v>
      </c>
      <c r="J417" t="s">
        <v>536</v>
      </c>
      <c r="L417" t="s">
        <v>536</v>
      </c>
      <c r="M417" t="s">
        <v>398</v>
      </c>
      <c r="N417" t="s">
        <v>1341</v>
      </c>
      <c r="P417" s="1">
        <v>773.9</v>
      </c>
      <c r="Q417" t="s">
        <v>1342</v>
      </c>
      <c r="R417" t="s">
        <v>535</v>
      </c>
      <c r="S417" t="s">
        <v>539</v>
      </c>
      <c r="T417" s="2">
        <v>1</v>
      </c>
      <c r="U417" s="1">
        <v>773.9</v>
      </c>
      <c r="V417" s="1">
        <v>773.9</v>
      </c>
      <c r="X417" t="s">
        <v>616</v>
      </c>
      <c r="Z417" t="s">
        <v>541</v>
      </c>
      <c r="AA417" t="s">
        <v>542</v>
      </c>
      <c r="AB417" t="s">
        <v>543</v>
      </c>
      <c r="AC417" t="s">
        <v>608</v>
      </c>
      <c r="AE417" s="3">
        <v>1</v>
      </c>
      <c r="AG417" s="1">
        <v>773.9</v>
      </c>
      <c r="AI417" s="1">
        <v>773.9</v>
      </c>
      <c r="AJ417" s="1">
        <v>773.9</v>
      </c>
      <c r="AM417" s="1">
        <v>773.9</v>
      </c>
      <c r="AN417" t="s">
        <v>536</v>
      </c>
      <c r="AO417" t="s">
        <v>546</v>
      </c>
      <c r="AP417" t="s">
        <v>547</v>
      </c>
      <c r="AQ417" t="s">
        <v>548</v>
      </c>
      <c r="AS417" t="s">
        <v>398</v>
      </c>
      <c r="AX417" s="1">
        <v>773.9</v>
      </c>
      <c r="AY417" t="s">
        <v>546</v>
      </c>
      <c r="AZ417" t="s">
        <v>549</v>
      </c>
      <c r="BA417" s="1">
        <v>773.9</v>
      </c>
      <c r="BC417" t="s">
        <v>546</v>
      </c>
      <c r="BE417" t="s">
        <v>616</v>
      </c>
      <c r="BH417" s="1">
        <v>773.9</v>
      </c>
      <c r="BI417" t="s">
        <v>550</v>
      </c>
      <c r="BJ417" t="s">
        <v>552</v>
      </c>
      <c r="BK417" t="s">
        <v>552</v>
      </c>
      <c r="BL417" t="s">
        <v>552</v>
      </c>
      <c r="BM417" t="s">
        <v>2462</v>
      </c>
      <c r="BN417" t="s">
        <v>2544</v>
      </c>
      <c r="BO417" t="s">
        <v>2545</v>
      </c>
      <c r="BR417" t="s">
        <v>546</v>
      </c>
      <c r="BS417" s="1">
        <v>773.9</v>
      </c>
      <c r="BW417" t="s">
        <v>536</v>
      </c>
      <c r="BZ417" t="s">
        <v>535</v>
      </c>
      <c r="CA417" t="s">
        <v>546</v>
      </c>
      <c r="CB417" t="s">
        <v>2388</v>
      </c>
      <c r="CC417" t="s">
        <v>556</v>
      </c>
      <c r="CH417" t="s">
        <v>546</v>
      </c>
      <c r="CK417" t="s">
        <v>2546</v>
      </c>
      <c r="CN417" t="s">
        <v>535</v>
      </c>
      <c r="CO417" t="s">
        <v>539</v>
      </c>
      <c r="CT417" t="s">
        <v>1789</v>
      </c>
      <c r="CW417" t="s">
        <v>546</v>
      </c>
      <c r="DD417" t="s">
        <v>561</v>
      </c>
    </row>
    <row r="418" ht="15" customHeight="1" spans="1:122">
      <c r="A418" t="s">
        <v>603</v>
      </c>
      <c r="B418" t="s">
        <v>2547</v>
      </c>
      <c r="C418" t="s">
        <v>532</v>
      </c>
      <c r="D418" t="s">
        <v>2548</v>
      </c>
      <c r="E418" t="s">
        <v>534</v>
      </c>
      <c r="F418" t="s">
        <v>534</v>
      </c>
      <c r="G418" t="s">
        <v>535</v>
      </c>
      <c r="H418" s="1">
        <v>20479</v>
      </c>
      <c r="I418" s="1">
        <v>20356.11</v>
      </c>
      <c r="J418" t="s">
        <v>536</v>
      </c>
      <c r="L418" t="s">
        <v>536</v>
      </c>
      <c r="M418" t="s">
        <v>411</v>
      </c>
      <c r="N418" t="s">
        <v>369</v>
      </c>
      <c r="P418" s="1">
        <v>20479</v>
      </c>
      <c r="Q418" t="s">
        <v>606</v>
      </c>
      <c r="R418" t="s">
        <v>535</v>
      </c>
      <c r="S418" t="s">
        <v>539</v>
      </c>
      <c r="T418" s="2">
        <v>1</v>
      </c>
      <c r="U418" s="1">
        <v>20479</v>
      </c>
      <c r="V418" s="1">
        <v>20356.11</v>
      </c>
      <c r="X418" t="s">
        <v>616</v>
      </c>
      <c r="Z418" t="s">
        <v>541</v>
      </c>
      <c r="AA418" t="s">
        <v>542</v>
      </c>
      <c r="AB418" t="s">
        <v>543</v>
      </c>
      <c r="AC418" t="s">
        <v>608</v>
      </c>
      <c r="AE418" s="3">
        <v>1</v>
      </c>
      <c r="AG418" s="1">
        <v>2686</v>
      </c>
      <c r="AI418" s="1">
        <v>20479</v>
      </c>
      <c r="AJ418" s="1">
        <v>2686</v>
      </c>
      <c r="AK418" s="1">
        <v>16.12</v>
      </c>
      <c r="AM418" s="1">
        <v>2669.88</v>
      </c>
      <c r="AN418" t="s">
        <v>536</v>
      </c>
      <c r="AO418" t="s">
        <v>546</v>
      </c>
      <c r="AP418" t="s">
        <v>547</v>
      </c>
      <c r="AQ418" t="s">
        <v>548</v>
      </c>
      <c r="AS418" t="s">
        <v>411</v>
      </c>
      <c r="AX418" s="1">
        <v>2686</v>
      </c>
      <c r="AY418" t="s">
        <v>546</v>
      </c>
      <c r="AZ418" t="s">
        <v>549</v>
      </c>
      <c r="BA418" s="1">
        <v>2686</v>
      </c>
      <c r="BB418" t="s">
        <v>2549</v>
      </c>
      <c r="BC418" t="s">
        <v>546</v>
      </c>
      <c r="BE418" t="s">
        <v>616</v>
      </c>
      <c r="BG418" s="1">
        <v>16.12</v>
      </c>
      <c r="BH418" s="1">
        <v>2669.88</v>
      </c>
      <c r="BI418" t="s">
        <v>550</v>
      </c>
      <c r="BJ418" t="s">
        <v>610</v>
      </c>
      <c r="BK418" t="s">
        <v>552</v>
      </c>
      <c r="BL418" t="s">
        <v>552</v>
      </c>
      <c r="BM418" t="s">
        <v>2462</v>
      </c>
      <c r="BN418" t="s">
        <v>2550</v>
      </c>
      <c r="BO418" t="s">
        <v>2551</v>
      </c>
      <c r="BR418" t="s">
        <v>546</v>
      </c>
      <c r="BS418" s="1">
        <v>2686</v>
      </c>
      <c r="BW418" t="s">
        <v>536</v>
      </c>
      <c r="BZ418" t="s">
        <v>535</v>
      </c>
      <c r="CA418" t="s">
        <v>546</v>
      </c>
      <c r="CB418" t="s">
        <v>2548</v>
      </c>
      <c r="CC418" t="s">
        <v>556</v>
      </c>
      <c r="CH418" t="s">
        <v>546</v>
      </c>
      <c r="CK418" t="s">
        <v>2552</v>
      </c>
      <c r="CN418" t="s">
        <v>535</v>
      </c>
      <c r="CO418" t="s">
        <v>539</v>
      </c>
      <c r="CT418" t="s">
        <v>576</v>
      </c>
      <c r="CW418" t="s">
        <v>546</v>
      </c>
      <c r="DD418" t="s">
        <v>561</v>
      </c>
      <c r="DK418" t="s">
        <v>2553</v>
      </c>
      <c r="DR418" t="s">
        <v>2553</v>
      </c>
    </row>
    <row r="419" ht="15" customHeight="1" spans="1:122">
      <c r="AB419" t="s">
        <v>543</v>
      </c>
      <c r="AC419" t="s">
        <v>608</v>
      </c>
      <c r="AG419" s="1">
        <v>3701</v>
      </c>
      <c r="AJ419" s="1">
        <v>3701</v>
      </c>
      <c r="AK419" s="1">
        <v>22.21</v>
      </c>
      <c r="AM419" s="1">
        <v>3678.79</v>
      </c>
      <c r="AN419" t="s">
        <v>536</v>
      </c>
      <c r="AP419" t="s">
        <v>547</v>
      </c>
      <c r="AX419" s="1">
        <v>3701</v>
      </c>
      <c r="AZ419" t="s">
        <v>549</v>
      </c>
      <c r="BA419" s="1">
        <v>3701</v>
      </c>
      <c r="BB419" t="s">
        <v>2554</v>
      </c>
      <c r="BC419" t="s">
        <v>546</v>
      </c>
      <c r="BE419" t="s">
        <v>616</v>
      </c>
      <c r="BG419" s="1">
        <v>22.21</v>
      </c>
      <c r="BH419" s="1">
        <v>3678.79</v>
      </c>
      <c r="BS419" s="1">
        <v>3701</v>
      </c>
      <c r="CB419" t="s">
        <v>2548</v>
      </c>
      <c r="CC419" t="s">
        <v>556</v>
      </c>
      <c r="DD419" t="s">
        <v>561</v>
      </c>
    </row>
    <row r="420" ht="15" customHeight="1" spans="1:122">
      <c r="AB420" t="s">
        <v>543</v>
      </c>
      <c r="AC420" t="s">
        <v>608</v>
      </c>
      <c r="AG420" s="1">
        <v>2686</v>
      </c>
      <c r="AJ420" s="1">
        <v>2686</v>
      </c>
      <c r="AK420" s="1">
        <v>16.12</v>
      </c>
      <c r="AM420" s="1">
        <v>2669.88</v>
      </c>
      <c r="AN420" t="s">
        <v>536</v>
      </c>
      <c r="AP420" t="s">
        <v>547</v>
      </c>
      <c r="AX420" s="1">
        <v>2686</v>
      </c>
      <c r="AZ420" t="s">
        <v>549</v>
      </c>
      <c r="BA420" s="1">
        <v>2686</v>
      </c>
      <c r="BB420" t="s">
        <v>2555</v>
      </c>
      <c r="BC420" t="s">
        <v>546</v>
      </c>
      <c r="BE420" t="s">
        <v>616</v>
      </c>
      <c r="BG420" s="1">
        <v>16.12</v>
      </c>
      <c r="BH420" s="1">
        <v>2669.88</v>
      </c>
      <c r="BS420" s="1">
        <v>2686</v>
      </c>
      <c r="CB420" t="s">
        <v>2548</v>
      </c>
      <c r="CC420" t="s">
        <v>556</v>
      </c>
      <c r="DD420" t="s">
        <v>561</v>
      </c>
    </row>
    <row r="421" ht="15" customHeight="1" spans="1:122">
      <c r="AB421" t="s">
        <v>543</v>
      </c>
      <c r="AC421" t="s">
        <v>608</v>
      </c>
      <c r="AG421" s="1">
        <v>2686</v>
      </c>
      <c r="AJ421" s="1">
        <v>2686</v>
      </c>
      <c r="AK421" s="1">
        <v>16.12</v>
      </c>
      <c r="AM421" s="1">
        <v>2669.88</v>
      </c>
      <c r="AN421" t="s">
        <v>536</v>
      </c>
      <c r="AP421" t="s">
        <v>547</v>
      </c>
      <c r="AX421" s="1">
        <v>2686</v>
      </c>
      <c r="AZ421" t="s">
        <v>549</v>
      </c>
      <c r="BA421" s="1">
        <v>2686</v>
      </c>
      <c r="BB421" t="s">
        <v>2556</v>
      </c>
      <c r="BC421" t="s">
        <v>546</v>
      </c>
      <c r="BE421" t="s">
        <v>616</v>
      </c>
      <c r="BG421" s="1">
        <v>16.12</v>
      </c>
      <c r="BH421" s="1">
        <v>2669.88</v>
      </c>
      <c r="BS421" s="1">
        <v>2686</v>
      </c>
      <c r="CB421" t="s">
        <v>2548</v>
      </c>
      <c r="CC421" t="s">
        <v>556</v>
      </c>
      <c r="DD421" t="s">
        <v>561</v>
      </c>
    </row>
    <row r="422" ht="15" customHeight="1" spans="1:122">
      <c r="AB422" t="s">
        <v>543</v>
      </c>
      <c r="AC422" t="s">
        <v>608</v>
      </c>
      <c r="AG422" s="1">
        <v>2574</v>
      </c>
      <c r="AJ422" s="1">
        <v>2574</v>
      </c>
      <c r="AK422" s="1">
        <v>15.44</v>
      </c>
      <c r="AM422" s="1">
        <v>2558.56</v>
      </c>
      <c r="AN422" t="s">
        <v>536</v>
      </c>
      <c r="AP422" t="s">
        <v>547</v>
      </c>
      <c r="AX422" s="1">
        <v>2574</v>
      </c>
      <c r="AZ422" t="s">
        <v>549</v>
      </c>
      <c r="BA422" s="1">
        <v>2574</v>
      </c>
      <c r="BB422" t="s">
        <v>2557</v>
      </c>
      <c r="BC422" t="s">
        <v>546</v>
      </c>
      <c r="BE422" t="s">
        <v>616</v>
      </c>
      <c r="BG422" s="1">
        <v>15.44</v>
      </c>
      <c r="BH422" s="1">
        <v>2558.56</v>
      </c>
      <c r="BS422" s="1">
        <v>2574</v>
      </c>
      <c r="CB422" t="s">
        <v>2548</v>
      </c>
      <c r="CC422" t="s">
        <v>556</v>
      </c>
      <c r="DD422" t="s">
        <v>561</v>
      </c>
    </row>
    <row r="423" ht="15" customHeight="1" spans="1:122">
      <c r="AB423" t="s">
        <v>543</v>
      </c>
      <c r="AC423" t="s">
        <v>608</v>
      </c>
      <c r="AG423" s="1">
        <v>2686</v>
      </c>
      <c r="AJ423" s="1">
        <v>2686</v>
      </c>
      <c r="AK423" s="1">
        <v>16.12</v>
      </c>
      <c r="AM423" s="1">
        <v>2669.88</v>
      </c>
      <c r="AN423" t="s">
        <v>536</v>
      </c>
      <c r="AP423" t="s">
        <v>547</v>
      </c>
      <c r="AX423" s="1">
        <v>2686</v>
      </c>
      <c r="AZ423" t="s">
        <v>549</v>
      </c>
      <c r="BA423" s="1">
        <v>2686</v>
      </c>
      <c r="BB423" t="s">
        <v>2558</v>
      </c>
      <c r="BC423" t="s">
        <v>546</v>
      </c>
      <c r="BE423" t="s">
        <v>616</v>
      </c>
      <c r="BG423" s="1">
        <v>16.12</v>
      </c>
      <c r="BH423" s="1">
        <v>2669.88</v>
      </c>
      <c r="BS423" s="1">
        <v>2686</v>
      </c>
      <c r="CB423" t="s">
        <v>2548</v>
      </c>
      <c r="CC423" t="s">
        <v>556</v>
      </c>
      <c r="DD423" t="s">
        <v>561</v>
      </c>
    </row>
    <row r="424" ht="15" customHeight="1" spans="1:122">
      <c r="AB424" t="s">
        <v>543</v>
      </c>
      <c r="AC424" t="s">
        <v>608</v>
      </c>
      <c r="AG424" s="1">
        <v>3460</v>
      </c>
      <c r="AJ424" s="1">
        <v>3460</v>
      </c>
      <c r="AK424" s="1">
        <v>20.76</v>
      </c>
      <c r="AM424" s="1">
        <v>3439.24</v>
      </c>
      <c r="AN424" t="s">
        <v>536</v>
      </c>
      <c r="AP424" t="s">
        <v>547</v>
      </c>
      <c r="AX424" s="1">
        <v>3460</v>
      </c>
      <c r="AZ424" t="s">
        <v>549</v>
      </c>
      <c r="BA424" s="1">
        <v>3460</v>
      </c>
      <c r="BB424" t="s">
        <v>2559</v>
      </c>
      <c r="BC424" t="s">
        <v>546</v>
      </c>
      <c r="BE424" t="s">
        <v>616</v>
      </c>
      <c r="BG424" s="1">
        <v>20.76</v>
      </c>
      <c r="BH424" s="1">
        <v>3439.24</v>
      </c>
      <c r="BS424" s="1">
        <v>3460</v>
      </c>
      <c r="CB424" t="s">
        <v>2548</v>
      </c>
      <c r="CC424" t="s">
        <v>556</v>
      </c>
      <c r="DD424" t="s">
        <v>561</v>
      </c>
    </row>
    <row r="425" ht="15" customHeight="1" spans="1:122">
      <c r="A425" t="s">
        <v>530</v>
      </c>
      <c r="B425" t="s">
        <v>2560</v>
      </c>
      <c r="C425" t="s">
        <v>532</v>
      </c>
      <c r="D425" t="s">
        <v>2462</v>
      </c>
      <c r="E425" t="s">
        <v>534</v>
      </c>
      <c r="F425" t="s">
        <v>534</v>
      </c>
      <c r="G425" t="s">
        <v>535</v>
      </c>
      <c r="H425" s="1">
        <v>791</v>
      </c>
      <c r="I425" s="1">
        <v>791</v>
      </c>
      <c r="J425" t="s">
        <v>536</v>
      </c>
      <c r="L425" t="s">
        <v>536</v>
      </c>
      <c r="M425" t="s">
        <v>382</v>
      </c>
      <c r="N425" t="s">
        <v>537</v>
      </c>
      <c r="P425" s="1">
        <v>791</v>
      </c>
      <c r="Q425" t="s">
        <v>785</v>
      </c>
      <c r="R425" t="s">
        <v>535</v>
      </c>
      <c r="S425" t="s">
        <v>539</v>
      </c>
      <c r="T425" s="2">
        <v>1</v>
      </c>
      <c r="U425" s="1">
        <v>791</v>
      </c>
      <c r="V425" s="1">
        <v>791</v>
      </c>
      <c r="X425" t="s">
        <v>540</v>
      </c>
      <c r="Z425" t="s">
        <v>541</v>
      </c>
      <c r="AA425" t="s">
        <v>542</v>
      </c>
      <c r="AB425" t="s">
        <v>543</v>
      </c>
      <c r="AC425" t="s">
        <v>544</v>
      </c>
      <c r="AD425" t="s">
        <v>545</v>
      </c>
      <c r="AE425" s="3">
        <v>1</v>
      </c>
      <c r="AF425" t="s">
        <v>180</v>
      </c>
      <c r="AG425" s="1">
        <v>791</v>
      </c>
      <c r="AI425" s="1">
        <v>791</v>
      </c>
      <c r="AJ425" s="1">
        <v>791</v>
      </c>
      <c r="AM425" s="1">
        <v>791</v>
      </c>
      <c r="AN425" t="s">
        <v>643</v>
      </c>
      <c r="AO425" t="s">
        <v>546</v>
      </c>
      <c r="AP425" t="s">
        <v>643</v>
      </c>
      <c r="AQ425" t="s">
        <v>548</v>
      </c>
      <c r="AS425" t="s">
        <v>382</v>
      </c>
      <c r="AX425" s="1">
        <v>791</v>
      </c>
      <c r="AY425" t="s">
        <v>546</v>
      </c>
      <c r="AZ425" t="s">
        <v>644</v>
      </c>
      <c r="BA425" s="1">
        <v>791</v>
      </c>
      <c r="BC425" t="s">
        <v>546</v>
      </c>
      <c r="BD425" s="1">
        <v>791</v>
      </c>
      <c r="BE425" t="s">
        <v>540</v>
      </c>
      <c r="BF425" s="1">
        <v>791</v>
      </c>
      <c r="BH425" s="1">
        <v>791</v>
      </c>
      <c r="BI425" t="s">
        <v>550</v>
      </c>
      <c r="BJ425" t="s">
        <v>785</v>
      </c>
      <c r="BK425" t="s">
        <v>785</v>
      </c>
      <c r="BL425" t="s">
        <v>552</v>
      </c>
      <c r="BM425" t="s">
        <v>2462</v>
      </c>
      <c r="BN425" t="s">
        <v>2561</v>
      </c>
      <c r="BO425" t="s">
        <v>2562</v>
      </c>
      <c r="BR425" t="s">
        <v>546</v>
      </c>
      <c r="BS425" s="1">
        <v>791</v>
      </c>
      <c r="BW425" t="s">
        <v>536</v>
      </c>
      <c r="BX425" s="1">
        <v>791</v>
      </c>
      <c r="BZ425" t="s">
        <v>535</v>
      </c>
      <c r="CA425" t="s">
        <v>546</v>
      </c>
      <c r="CB425" t="s">
        <v>2462</v>
      </c>
      <c r="CC425" t="s">
        <v>556</v>
      </c>
      <c r="CD425" t="s">
        <v>1108</v>
      </c>
      <c r="CE425" t="s">
        <v>1109</v>
      </c>
      <c r="CF425" t="s">
        <v>180</v>
      </c>
      <c r="CG425" s="4">
        <v>1</v>
      </c>
      <c r="CH425" t="s">
        <v>546</v>
      </c>
      <c r="CK425" t="s">
        <v>2563</v>
      </c>
      <c r="CL425" s="1">
        <v>791</v>
      </c>
      <c r="CN425" t="s">
        <v>535</v>
      </c>
      <c r="CO425" t="s">
        <v>539</v>
      </c>
      <c r="CT425" t="s">
        <v>791</v>
      </c>
      <c r="CW425" t="s">
        <v>546</v>
      </c>
      <c r="DD425" t="s">
        <v>561</v>
      </c>
      <c r="DK425" t="s">
        <v>2564</v>
      </c>
      <c r="DL425" t="s">
        <v>2565</v>
      </c>
      <c r="DR425" t="s">
        <v>2566</v>
      </c>
    </row>
    <row r="426" ht="15" customHeight="1" spans="1:122">
      <c r="A426" t="s">
        <v>530</v>
      </c>
      <c r="B426" t="s">
        <v>2567</v>
      </c>
      <c r="C426" t="s">
        <v>532</v>
      </c>
      <c r="D426" t="s">
        <v>2548</v>
      </c>
      <c r="E426" t="s">
        <v>534</v>
      </c>
      <c r="F426" t="s">
        <v>534</v>
      </c>
      <c r="G426" t="s">
        <v>535</v>
      </c>
      <c r="H426" s="1">
        <v>2863.2</v>
      </c>
      <c r="I426" s="1">
        <v>2846.02</v>
      </c>
      <c r="J426" t="s">
        <v>536</v>
      </c>
      <c r="L426" t="s">
        <v>536</v>
      </c>
      <c r="M426" t="s">
        <v>375</v>
      </c>
      <c r="N426" t="s">
        <v>537</v>
      </c>
      <c r="P426" s="1">
        <v>2863.2</v>
      </c>
      <c r="Q426" t="s">
        <v>580</v>
      </c>
      <c r="R426" t="s">
        <v>535</v>
      </c>
      <c r="S426" t="s">
        <v>539</v>
      </c>
      <c r="T426" s="2">
        <v>1</v>
      </c>
      <c r="U426" s="1">
        <v>2863.2</v>
      </c>
      <c r="V426" s="1">
        <v>2846.02</v>
      </c>
      <c r="X426" t="s">
        <v>540</v>
      </c>
      <c r="Z426" t="s">
        <v>541</v>
      </c>
      <c r="AA426" t="s">
        <v>542</v>
      </c>
      <c r="AB426" t="s">
        <v>543</v>
      </c>
      <c r="AC426" t="s">
        <v>544</v>
      </c>
      <c r="AD426" t="s">
        <v>545</v>
      </c>
      <c r="AE426" s="3">
        <v>1</v>
      </c>
      <c r="AF426" t="s">
        <v>182</v>
      </c>
      <c r="AG426" s="1">
        <v>2863.2</v>
      </c>
      <c r="AI426" s="1">
        <v>2863.2</v>
      </c>
      <c r="AJ426" s="1">
        <v>2863.2</v>
      </c>
      <c r="AK426" s="1">
        <v>17.18</v>
      </c>
      <c r="AM426" s="1">
        <v>2846.02</v>
      </c>
      <c r="AN426" t="s">
        <v>536</v>
      </c>
      <c r="AO426" t="s">
        <v>546</v>
      </c>
      <c r="AP426" t="s">
        <v>547</v>
      </c>
      <c r="AQ426" t="s">
        <v>548</v>
      </c>
      <c r="AS426" t="s">
        <v>375</v>
      </c>
      <c r="AX426" s="1">
        <v>2863.2</v>
      </c>
      <c r="AY426" t="s">
        <v>546</v>
      </c>
      <c r="AZ426" t="s">
        <v>549</v>
      </c>
      <c r="BA426" s="1">
        <v>2863.2</v>
      </c>
      <c r="BC426" t="s">
        <v>546</v>
      </c>
      <c r="BD426" s="1">
        <v>2863.2</v>
      </c>
      <c r="BE426" t="s">
        <v>540</v>
      </c>
      <c r="BF426" s="1">
        <v>2863.2</v>
      </c>
      <c r="BG426" s="1">
        <v>17.18</v>
      </c>
      <c r="BH426" s="1">
        <v>2846.02</v>
      </c>
      <c r="BI426" t="s">
        <v>550</v>
      </c>
      <c r="BJ426" t="s">
        <v>570</v>
      </c>
      <c r="BK426" t="s">
        <v>552</v>
      </c>
      <c r="BL426" t="s">
        <v>552</v>
      </c>
      <c r="BM426" t="s">
        <v>2462</v>
      </c>
      <c r="BN426" t="s">
        <v>2568</v>
      </c>
      <c r="BO426" t="s">
        <v>2569</v>
      </c>
      <c r="BR426" t="s">
        <v>546</v>
      </c>
      <c r="BS426" s="1">
        <v>2863.2</v>
      </c>
      <c r="BW426" t="s">
        <v>536</v>
      </c>
      <c r="BX426" s="1">
        <v>2863.2</v>
      </c>
      <c r="BZ426" t="s">
        <v>535</v>
      </c>
      <c r="CA426" t="s">
        <v>546</v>
      </c>
      <c r="CB426" t="s">
        <v>2548</v>
      </c>
      <c r="CC426" t="s">
        <v>556</v>
      </c>
      <c r="CD426" t="s">
        <v>2570</v>
      </c>
      <c r="CE426" t="s">
        <v>2571</v>
      </c>
      <c r="CF426" t="s">
        <v>182</v>
      </c>
      <c r="CG426" s="4">
        <v>1</v>
      </c>
      <c r="CH426" t="s">
        <v>546</v>
      </c>
      <c r="CK426" t="s">
        <v>2572</v>
      </c>
      <c r="CL426" s="1">
        <v>2863.2</v>
      </c>
      <c r="CN426" t="s">
        <v>535</v>
      </c>
      <c r="CO426" t="s">
        <v>539</v>
      </c>
      <c r="CT426" t="s">
        <v>576</v>
      </c>
      <c r="CW426" t="s">
        <v>546</v>
      </c>
      <c r="DD426" t="s">
        <v>561</v>
      </c>
      <c r="DK426" t="s">
        <v>2573</v>
      </c>
      <c r="DL426" t="s">
        <v>2574</v>
      </c>
    </row>
    <row r="427" ht="15" customHeight="1" spans="1:122">
      <c r="A427" t="s">
        <v>530</v>
      </c>
      <c r="B427" t="s">
        <v>2575</v>
      </c>
      <c r="C427" t="s">
        <v>532</v>
      </c>
      <c r="D427" t="s">
        <v>2548</v>
      </c>
      <c r="E427" t="s">
        <v>534</v>
      </c>
      <c r="F427" t="s">
        <v>534</v>
      </c>
      <c r="G427" t="s">
        <v>535</v>
      </c>
      <c r="H427" s="1">
        <v>715.8</v>
      </c>
      <c r="I427" s="1">
        <v>715.8</v>
      </c>
      <c r="J427" t="s">
        <v>536</v>
      </c>
      <c r="L427" t="s">
        <v>536</v>
      </c>
      <c r="M427" t="s">
        <v>375</v>
      </c>
      <c r="N427" t="s">
        <v>537</v>
      </c>
      <c r="P427" s="1">
        <v>715.8</v>
      </c>
      <c r="Q427" t="s">
        <v>580</v>
      </c>
      <c r="R427" t="s">
        <v>535</v>
      </c>
      <c r="S427" t="s">
        <v>539</v>
      </c>
      <c r="T427" s="2">
        <v>1</v>
      </c>
      <c r="U427" s="1">
        <v>715.8</v>
      </c>
      <c r="V427" s="1">
        <v>715.8</v>
      </c>
      <c r="X427" t="s">
        <v>540</v>
      </c>
      <c r="Z427" t="s">
        <v>541</v>
      </c>
      <c r="AA427" t="s">
        <v>542</v>
      </c>
      <c r="AB427" t="s">
        <v>543</v>
      </c>
      <c r="AC427" t="s">
        <v>544</v>
      </c>
      <c r="AD427" t="s">
        <v>545</v>
      </c>
      <c r="AE427" s="3">
        <v>1</v>
      </c>
      <c r="AF427" t="s">
        <v>182</v>
      </c>
      <c r="AG427" s="1">
        <v>715.8</v>
      </c>
      <c r="AI427" s="1">
        <v>715.8</v>
      </c>
      <c r="AJ427" s="1">
        <v>715.8</v>
      </c>
      <c r="AM427" s="1">
        <v>715.8</v>
      </c>
      <c r="AN427" t="s">
        <v>565</v>
      </c>
      <c r="AO427" t="s">
        <v>546</v>
      </c>
      <c r="AP427" t="s">
        <v>565</v>
      </c>
      <c r="AQ427" t="s">
        <v>548</v>
      </c>
      <c r="AS427" t="s">
        <v>375</v>
      </c>
      <c r="AX427" s="1">
        <v>715.8</v>
      </c>
      <c r="AY427" t="s">
        <v>546</v>
      </c>
      <c r="AZ427" t="s">
        <v>566</v>
      </c>
      <c r="BA427" s="1">
        <v>715.8</v>
      </c>
      <c r="BC427" t="s">
        <v>546</v>
      </c>
      <c r="BD427" s="1">
        <v>715.8</v>
      </c>
      <c r="BE427" t="s">
        <v>540</v>
      </c>
      <c r="BF427" s="1">
        <v>715.8</v>
      </c>
      <c r="BH427" s="1">
        <v>715.8</v>
      </c>
      <c r="BI427" t="s">
        <v>550</v>
      </c>
      <c r="BJ427" t="s">
        <v>570</v>
      </c>
      <c r="BK427" t="s">
        <v>551</v>
      </c>
      <c r="BL427" t="s">
        <v>552</v>
      </c>
      <c r="BM427" t="s">
        <v>2462</v>
      </c>
      <c r="BN427" t="s">
        <v>2576</v>
      </c>
      <c r="BO427" t="s">
        <v>2577</v>
      </c>
      <c r="BR427" t="s">
        <v>546</v>
      </c>
      <c r="BS427" s="1">
        <v>715.8</v>
      </c>
      <c r="BW427" t="s">
        <v>536</v>
      </c>
      <c r="BX427" s="1">
        <v>715.8</v>
      </c>
      <c r="BZ427" t="s">
        <v>535</v>
      </c>
      <c r="CA427" t="s">
        <v>546</v>
      </c>
      <c r="CB427" t="s">
        <v>2548</v>
      </c>
      <c r="CC427" t="s">
        <v>556</v>
      </c>
      <c r="CD427" t="s">
        <v>2570</v>
      </c>
      <c r="CE427" t="s">
        <v>2571</v>
      </c>
      <c r="CF427" t="s">
        <v>182</v>
      </c>
      <c r="CG427" s="4">
        <v>1</v>
      </c>
      <c r="CH427" t="s">
        <v>546</v>
      </c>
      <c r="CK427" t="s">
        <v>2572</v>
      </c>
      <c r="CL427" s="1">
        <v>715.8</v>
      </c>
      <c r="CN427" t="s">
        <v>535</v>
      </c>
      <c r="CO427" t="s">
        <v>539</v>
      </c>
      <c r="CT427" t="s">
        <v>576</v>
      </c>
      <c r="CW427" t="s">
        <v>546</v>
      </c>
      <c r="DD427" t="s">
        <v>561</v>
      </c>
      <c r="DK427" t="s">
        <v>2573</v>
      </c>
      <c r="DL427" t="s">
        <v>2574</v>
      </c>
    </row>
    <row r="428" ht="15" customHeight="1" spans="1:122">
      <c r="A428" t="s">
        <v>603</v>
      </c>
      <c r="B428" t="s">
        <v>2578</v>
      </c>
      <c r="C428" t="s">
        <v>532</v>
      </c>
      <c r="D428" t="s">
        <v>2462</v>
      </c>
      <c r="E428" t="s">
        <v>534</v>
      </c>
      <c r="F428" t="s">
        <v>534</v>
      </c>
      <c r="G428" t="s">
        <v>535</v>
      </c>
      <c r="H428" s="1">
        <v>10000</v>
      </c>
      <c r="I428" s="1">
        <v>10000</v>
      </c>
      <c r="J428" t="s">
        <v>536</v>
      </c>
      <c r="L428" t="s">
        <v>536</v>
      </c>
      <c r="M428" t="s">
        <v>381</v>
      </c>
      <c r="N428" t="s">
        <v>537</v>
      </c>
      <c r="P428" s="1">
        <v>10000</v>
      </c>
      <c r="Q428" t="s">
        <v>905</v>
      </c>
      <c r="R428" t="s">
        <v>535</v>
      </c>
      <c r="S428" t="s">
        <v>539</v>
      </c>
      <c r="T428" s="2">
        <v>1</v>
      </c>
      <c r="U428" s="1">
        <v>10000</v>
      </c>
      <c r="V428" s="1">
        <v>10000</v>
      </c>
      <c r="X428" t="s">
        <v>616</v>
      </c>
      <c r="Z428" t="s">
        <v>541</v>
      </c>
      <c r="AA428" t="s">
        <v>542</v>
      </c>
      <c r="AB428" t="s">
        <v>543</v>
      </c>
      <c r="AC428" t="s">
        <v>608</v>
      </c>
      <c r="AE428" s="3">
        <v>1</v>
      </c>
      <c r="AG428" s="1">
        <v>10000</v>
      </c>
      <c r="AJ428" s="1">
        <v>10000</v>
      </c>
      <c r="AM428" s="1">
        <v>10000</v>
      </c>
      <c r="AN428" t="s">
        <v>536</v>
      </c>
      <c r="AO428" t="s">
        <v>546</v>
      </c>
      <c r="AP428" t="s">
        <v>547</v>
      </c>
      <c r="AQ428" t="s">
        <v>548</v>
      </c>
      <c r="AS428" t="s">
        <v>381</v>
      </c>
      <c r="AX428" s="1">
        <v>10000</v>
      </c>
      <c r="AY428" t="s">
        <v>546</v>
      </c>
      <c r="AZ428" t="s">
        <v>549</v>
      </c>
      <c r="BA428" s="1">
        <v>10000</v>
      </c>
      <c r="BC428" t="s">
        <v>546</v>
      </c>
      <c r="BE428" t="s">
        <v>616</v>
      </c>
      <c r="BH428" s="1">
        <v>10000</v>
      </c>
      <c r="BI428" t="s">
        <v>550</v>
      </c>
      <c r="BJ428" t="s">
        <v>551</v>
      </c>
      <c r="BK428" t="s">
        <v>551</v>
      </c>
      <c r="BL428" t="s">
        <v>552</v>
      </c>
      <c r="BM428" t="s">
        <v>2462</v>
      </c>
      <c r="BN428" t="s">
        <v>2579</v>
      </c>
      <c r="BO428" t="s">
        <v>2580</v>
      </c>
      <c r="BR428" t="s">
        <v>546</v>
      </c>
      <c r="BS428" s="1">
        <v>10000</v>
      </c>
      <c r="BW428" t="s">
        <v>536</v>
      </c>
      <c r="BZ428" t="s">
        <v>535</v>
      </c>
      <c r="CA428" t="s">
        <v>546</v>
      </c>
      <c r="CB428" t="s">
        <v>2462</v>
      </c>
      <c r="CC428" t="s">
        <v>556</v>
      </c>
      <c r="CH428" t="s">
        <v>546</v>
      </c>
      <c r="CK428" t="s">
        <v>2581</v>
      </c>
      <c r="CN428" t="s">
        <v>535</v>
      </c>
      <c r="CO428" t="s">
        <v>539</v>
      </c>
      <c r="CT428" t="s">
        <v>2582</v>
      </c>
      <c r="CW428" t="s">
        <v>546</v>
      </c>
      <c r="DD428" t="s">
        <v>561</v>
      </c>
    </row>
    <row r="429" ht="15" customHeight="1" spans="1:122">
      <c r="A429" t="s">
        <v>530</v>
      </c>
      <c r="B429" t="s">
        <v>2583</v>
      </c>
      <c r="C429" t="s">
        <v>532</v>
      </c>
      <c r="D429" t="s">
        <v>2388</v>
      </c>
      <c r="E429" t="s">
        <v>534</v>
      </c>
      <c r="F429" t="s">
        <v>534</v>
      </c>
      <c r="G429" t="s">
        <v>535</v>
      </c>
      <c r="H429" s="1">
        <v>2100</v>
      </c>
      <c r="I429" s="1">
        <v>2100</v>
      </c>
      <c r="J429" t="s">
        <v>536</v>
      </c>
      <c r="L429" t="s">
        <v>536</v>
      </c>
      <c r="M429" t="s">
        <v>377</v>
      </c>
      <c r="N429" t="s">
        <v>537</v>
      </c>
      <c r="P429" s="1">
        <v>2100</v>
      </c>
      <c r="Q429" t="s">
        <v>538</v>
      </c>
      <c r="R429" t="s">
        <v>535</v>
      </c>
      <c r="S429" t="s">
        <v>539</v>
      </c>
      <c r="T429" s="2">
        <v>1</v>
      </c>
      <c r="U429" s="1">
        <v>2100</v>
      </c>
      <c r="V429" s="1">
        <v>2100</v>
      </c>
      <c r="X429" t="s">
        <v>540</v>
      </c>
      <c r="Z429" t="s">
        <v>541</v>
      </c>
      <c r="AA429" t="s">
        <v>542</v>
      </c>
      <c r="AB429" t="s">
        <v>543</v>
      </c>
      <c r="AC429" t="s">
        <v>544</v>
      </c>
      <c r="AD429" t="s">
        <v>545</v>
      </c>
      <c r="AE429" s="3">
        <v>1</v>
      </c>
      <c r="AF429" t="s">
        <v>173</v>
      </c>
      <c r="AG429" s="1">
        <v>2100</v>
      </c>
      <c r="AI429" s="1">
        <v>2100</v>
      </c>
      <c r="AJ429" s="1">
        <v>2100</v>
      </c>
      <c r="AM429" s="1">
        <v>2100</v>
      </c>
      <c r="AN429" t="s">
        <v>643</v>
      </c>
      <c r="AO429" t="s">
        <v>546</v>
      </c>
      <c r="AP429" t="s">
        <v>643</v>
      </c>
      <c r="AQ429" t="s">
        <v>548</v>
      </c>
      <c r="AS429" t="s">
        <v>377</v>
      </c>
      <c r="AX429" s="1">
        <v>2100</v>
      </c>
      <c r="AY429" t="s">
        <v>546</v>
      </c>
      <c r="AZ429" t="s">
        <v>644</v>
      </c>
      <c r="BA429" s="1">
        <v>2100</v>
      </c>
      <c r="BC429" t="s">
        <v>546</v>
      </c>
      <c r="BD429" s="1">
        <v>2100</v>
      </c>
      <c r="BE429" t="s">
        <v>540</v>
      </c>
      <c r="BF429" s="1">
        <v>2100</v>
      </c>
      <c r="BH429" s="1">
        <v>2100</v>
      </c>
      <c r="BI429" t="s">
        <v>550</v>
      </c>
      <c r="BJ429" t="s">
        <v>551</v>
      </c>
      <c r="BK429" t="s">
        <v>551</v>
      </c>
      <c r="BL429" t="s">
        <v>552</v>
      </c>
      <c r="BM429" t="s">
        <v>2462</v>
      </c>
      <c r="BN429" t="s">
        <v>2584</v>
      </c>
      <c r="BO429" t="s">
        <v>2585</v>
      </c>
      <c r="BR429" t="s">
        <v>546</v>
      </c>
      <c r="BS429" s="1">
        <v>2100</v>
      </c>
      <c r="BW429" t="s">
        <v>536</v>
      </c>
      <c r="BX429" s="1">
        <v>2100</v>
      </c>
      <c r="BZ429" t="s">
        <v>535</v>
      </c>
      <c r="CA429" t="s">
        <v>546</v>
      </c>
      <c r="CB429" t="s">
        <v>2388</v>
      </c>
      <c r="CC429" t="s">
        <v>556</v>
      </c>
      <c r="CD429" t="s">
        <v>1071</v>
      </c>
      <c r="CE429" t="s">
        <v>1072</v>
      </c>
      <c r="CF429" t="s">
        <v>173</v>
      </c>
      <c r="CG429" s="4">
        <v>1</v>
      </c>
      <c r="CH429" t="s">
        <v>546</v>
      </c>
      <c r="CK429" t="s">
        <v>2586</v>
      </c>
      <c r="CL429" s="1">
        <v>2100</v>
      </c>
      <c r="CN429" t="s">
        <v>535</v>
      </c>
      <c r="CO429" t="s">
        <v>539</v>
      </c>
      <c r="CT429" t="s">
        <v>560</v>
      </c>
      <c r="CW429" t="s">
        <v>546</v>
      </c>
      <c r="DD429" t="s">
        <v>561</v>
      </c>
      <c r="DK429" t="s">
        <v>2587</v>
      </c>
      <c r="DL429" t="s">
        <v>2588</v>
      </c>
      <c r="DR429" t="s">
        <v>2589</v>
      </c>
    </row>
    <row r="430" ht="15" customHeight="1" spans="1:122">
      <c r="A430" t="s">
        <v>530</v>
      </c>
      <c r="B430" t="s">
        <v>2590</v>
      </c>
      <c r="C430" t="s">
        <v>532</v>
      </c>
      <c r="D430" t="s">
        <v>2388</v>
      </c>
      <c r="E430" t="s">
        <v>534</v>
      </c>
      <c r="F430" t="s">
        <v>534</v>
      </c>
      <c r="G430" t="s">
        <v>535</v>
      </c>
      <c r="H430" s="1">
        <v>2300</v>
      </c>
      <c r="I430" s="1">
        <v>2300</v>
      </c>
      <c r="J430" t="s">
        <v>536</v>
      </c>
      <c r="L430" t="s">
        <v>536</v>
      </c>
      <c r="M430" t="s">
        <v>404</v>
      </c>
      <c r="N430" t="s">
        <v>537</v>
      </c>
      <c r="P430" s="1">
        <v>2300</v>
      </c>
      <c r="Q430" t="s">
        <v>642</v>
      </c>
      <c r="R430" t="s">
        <v>535</v>
      </c>
      <c r="S430" t="s">
        <v>539</v>
      </c>
      <c r="T430" s="2">
        <v>1</v>
      </c>
      <c r="U430" s="1">
        <v>2300</v>
      </c>
      <c r="V430" s="1">
        <v>2300</v>
      </c>
      <c r="X430" t="s">
        <v>540</v>
      </c>
      <c r="Z430" t="s">
        <v>541</v>
      </c>
      <c r="AA430" t="s">
        <v>542</v>
      </c>
      <c r="AB430" t="s">
        <v>543</v>
      </c>
      <c r="AC430" t="s">
        <v>544</v>
      </c>
      <c r="AD430" t="s">
        <v>545</v>
      </c>
      <c r="AE430" s="3">
        <v>1</v>
      </c>
      <c r="AF430" t="s">
        <v>171</v>
      </c>
      <c r="AG430" s="1">
        <v>2300</v>
      </c>
      <c r="AI430" s="1">
        <v>2300</v>
      </c>
      <c r="AJ430" s="1">
        <v>2300</v>
      </c>
      <c r="AM430" s="1">
        <v>2300</v>
      </c>
      <c r="AN430" t="s">
        <v>643</v>
      </c>
      <c r="AO430" t="s">
        <v>546</v>
      </c>
      <c r="AP430" t="s">
        <v>643</v>
      </c>
      <c r="AQ430" t="s">
        <v>548</v>
      </c>
      <c r="AS430" t="s">
        <v>404</v>
      </c>
      <c r="AX430" s="1">
        <v>2300</v>
      </c>
      <c r="AY430" t="s">
        <v>546</v>
      </c>
      <c r="AZ430" t="s">
        <v>644</v>
      </c>
      <c r="BA430" s="1">
        <v>2300</v>
      </c>
      <c r="BC430" t="s">
        <v>546</v>
      </c>
      <c r="BD430" s="1">
        <v>2300</v>
      </c>
      <c r="BE430" t="s">
        <v>540</v>
      </c>
      <c r="BF430" s="1">
        <v>2300</v>
      </c>
      <c r="BH430" s="1">
        <v>2300</v>
      </c>
      <c r="BI430" t="s">
        <v>550</v>
      </c>
      <c r="BJ430" t="s">
        <v>551</v>
      </c>
      <c r="BK430" t="s">
        <v>551</v>
      </c>
      <c r="BL430" t="s">
        <v>552</v>
      </c>
      <c r="BM430" t="s">
        <v>2462</v>
      </c>
      <c r="BN430" t="s">
        <v>2591</v>
      </c>
      <c r="BO430" t="s">
        <v>2592</v>
      </c>
      <c r="BR430" t="s">
        <v>546</v>
      </c>
      <c r="BS430" s="1">
        <v>2300</v>
      </c>
      <c r="BW430" t="s">
        <v>536</v>
      </c>
      <c r="BX430" s="1">
        <v>2300</v>
      </c>
      <c r="BZ430" t="s">
        <v>535</v>
      </c>
      <c r="CA430" t="s">
        <v>546</v>
      </c>
      <c r="CB430" t="s">
        <v>2388</v>
      </c>
      <c r="CC430" t="s">
        <v>556</v>
      </c>
      <c r="CD430" t="s">
        <v>1806</v>
      </c>
      <c r="CE430" t="s">
        <v>1807</v>
      </c>
      <c r="CF430" t="s">
        <v>171</v>
      </c>
      <c r="CG430" s="4">
        <v>1</v>
      </c>
      <c r="CH430" t="s">
        <v>546</v>
      </c>
      <c r="CK430" t="s">
        <v>2593</v>
      </c>
      <c r="CL430" s="1">
        <v>2300</v>
      </c>
      <c r="CN430" t="s">
        <v>535</v>
      </c>
      <c r="CO430" t="s">
        <v>539</v>
      </c>
      <c r="CT430" t="s">
        <v>651</v>
      </c>
      <c r="CW430" t="s">
        <v>546</v>
      </c>
      <c r="DD430" t="s">
        <v>561</v>
      </c>
      <c r="DK430" t="s">
        <v>2594</v>
      </c>
      <c r="DL430" t="s">
        <v>2595</v>
      </c>
      <c r="DR430" t="s">
        <v>2596</v>
      </c>
    </row>
    <row r="431" ht="15" customHeight="1" spans="1:122">
      <c r="A431" t="s">
        <v>530</v>
      </c>
      <c r="B431" t="s">
        <v>2597</v>
      </c>
      <c r="C431" t="s">
        <v>532</v>
      </c>
      <c r="D431" t="s">
        <v>2462</v>
      </c>
      <c r="E431" t="s">
        <v>534</v>
      </c>
      <c r="F431" t="s">
        <v>534</v>
      </c>
      <c r="G431" t="s">
        <v>535</v>
      </c>
      <c r="H431" s="1">
        <v>6052.76</v>
      </c>
      <c r="I431" s="1">
        <v>6052.76</v>
      </c>
      <c r="J431" t="s">
        <v>536</v>
      </c>
      <c r="L431" t="s">
        <v>536</v>
      </c>
      <c r="M431" t="s">
        <v>380</v>
      </c>
      <c r="N431" t="s">
        <v>369</v>
      </c>
      <c r="P431" s="1">
        <v>6052.76</v>
      </c>
      <c r="Q431" t="s">
        <v>996</v>
      </c>
      <c r="R431" t="s">
        <v>535</v>
      </c>
      <c r="S431" t="s">
        <v>539</v>
      </c>
      <c r="T431" s="2">
        <v>1</v>
      </c>
      <c r="U431" s="1">
        <v>6052.76</v>
      </c>
      <c r="V431" s="1">
        <v>6052.76</v>
      </c>
      <c r="X431" t="s">
        <v>540</v>
      </c>
      <c r="Z431" t="s">
        <v>541</v>
      </c>
      <c r="AA431" t="s">
        <v>542</v>
      </c>
      <c r="AB431" t="s">
        <v>543</v>
      </c>
      <c r="AC431" t="s">
        <v>544</v>
      </c>
      <c r="AD431" t="s">
        <v>545</v>
      </c>
      <c r="AE431" s="3">
        <v>1</v>
      </c>
      <c r="AF431" t="s">
        <v>330</v>
      </c>
      <c r="AG431" s="1">
        <v>6052.76</v>
      </c>
      <c r="AI431" s="1">
        <v>6052.76</v>
      </c>
      <c r="AJ431" s="1">
        <v>6052.76</v>
      </c>
      <c r="AM431" s="1">
        <v>6052.76</v>
      </c>
      <c r="AN431" t="s">
        <v>536</v>
      </c>
      <c r="AO431" t="s">
        <v>546</v>
      </c>
      <c r="AP431" t="s">
        <v>547</v>
      </c>
      <c r="AQ431" t="s">
        <v>548</v>
      </c>
      <c r="AS431" t="s">
        <v>380</v>
      </c>
      <c r="AX431" s="1">
        <v>6052.76</v>
      </c>
      <c r="AY431" t="s">
        <v>546</v>
      </c>
      <c r="AZ431" t="s">
        <v>549</v>
      </c>
      <c r="BA431" s="1">
        <v>6052.76</v>
      </c>
      <c r="BC431" t="s">
        <v>546</v>
      </c>
      <c r="BD431" s="1">
        <v>6052.76</v>
      </c>
      <c r="BE431" t="s">
        <v>540</v>
      </c>
      <c r="BF431" s="1">
        <v>6052.76</v>
      </c>
      <c r="BH431" s="1">
        <v>6052.76</v>
      </c>
      <c r="BI431" t="s">
        <v>550</v>
      </c>
      <c r="BJ431" t="s">
        <v>551</v>
      </c>
      <c r="BK431" t="s">
        <v>551</v>
      </c>
      <c r="BL431" t="s">
        <v>552</v>
      </c>
      <c r="BM431" t="s">
        <v>2462</v>
      </c>
      <c r="BN431" t="s">
        <v>2598</v>
      </c>
      <c r="BO431" t="s">
        <v>2599</v>
      </c>
      <c r="BR431" t="s">
        <v>546</v>
      </c>
      <c r="BS431" s="1">
        <v>6052.76</v>
      </c>
      <c r="BW431" t="s">
        <v>536</v>
      </c>
      <c r="BX431" s="1">
        <v>6052.76</v>
      </c>
      <c r="BZ431" t="s">
        <v>535</v>
      </c>
      <c r="CA431" t="s">
        <v>546</v>
      </c>
      <c r="CB431" t="s">
        <v>2462</v>
      </c>
      <c r="CC431" t="s">
        <v>556</v>
      </c>
      <c r="CD431" t="s">
        <v>1400</v>
      </c>
      <c r="CE431" t="s">
        <v>1401</v>
      </c>
      <c r="CF431" t="s">
        <v>330</v>
      </c>
      <c r="CG431" s="4">
        <v>1</v>
      </c>
      <c r="CH431" t="s">
        <v>546</v>
      </c>
      <c r="CK431" t="s">
        <v>2600</v>
      </c>
      <c r="CL431" s="1">
        <v>6052.76</v>
      </c>
      <c r="CN431" t="s">
        <v>535</v>
      </c>
      <c r="CO431" t="s">
        <v>539</v>
      </c>
      <c r="CT431" t="s">
        <v>576</v>
      </c>
      <c r="CW431" t="s">
        <v>546</v>
      </c>
      <c r="DD431" t="s">
        <v>561</v>
      </c>
      <c r="DK431" t="s">
        <v>2601</v>
      </c>
      <c r="DL431" t="s">
        <v>2602</v>
      </c>
    </row>
    <row r="432" ht="15" customHeight="1" spans="1:122">
      <c r="A432" t="s">
        <v>530</v>
      </c>
      <c r="B432" t="s">
        <v>2603</v>
      </c>
      <c r="C432" t="s">
        <v>752</v>
      </c>
      <c r="D432" t="s">
        <v>2388</v>
      </c>
      <c r="E432" t="s">
        <v>534</v>
      </c>
      <c r="F432" t="s">
        <v>534</v>
      </c>
      <c r="G432" t="s">
        <v>535</v>
      </c>
      <c r="H432" s="1">
        <v>3291</v>
      </c>
      <c r="I432" s="1">
        <v>3291</v>
      </c>
      <c r="J432" t="s">
        <v>536</v>
      </c>
      <c r="L432" t="s">
        <v>536</v>
      </c>
      <c r="M432" t="s">
        <v>389</v>
      </c>
      <c r="N432" t="s">
        <v>753</v>
      </c>
      <c r="P432" s="1">
        <v>3291</v>
      </c>
      <c r="Q432" t="s">
        <v>754</v>
      </c>
      <c r="R432" t="s">
        <v>535</v>
      </c>
      <c r="S432" t="s">
        <v>539</v>
      </c>
      <c r="T432" s="2">
        <v>1</v>
      </c>
      <c r="U432" s="1">
        <v>3291</v>
      </c>
      <c r="V432" s="1">
        <v>3291</v>
      </c>
      <c r="X432" t="s">
        <v>540</v>
      </c>
      <c r="Z432" t="s">
        <v>541</v>
      </c>
      <c r="AA432" t="s">
        <v>542</v>
      </c>
      <c r="AB432" t="s">
        <v>543</v>
      </c>
      <c r="AC432" t="s">
        <v>544</v>
      </c>
      <c r="AD432" t="s">
        <v>545</v>
      </c>
      <c r="AE432" s="3">
        <v>1</v>
      </c>
      <c r="AF432" t="s">
        <v>331</v>
      </c>
      <c r="AG432" s="1">
        <v>3291</v>
      </c>
      <c r="AI432" s="1">
        <v>3291</v>
      </c>
      <c r="AJ432" s="1">
        <v>3291</v>
      </c>
      <c r="AM432" s="1">
        <v>3291</v>
      </c>
      <c r="AN432" t="s">
        <v>536</v>
      </c>
      <c r="AO432" t="s">
        <v>546</v>
      </c>
      <c r="AP432" t="s">
        <v>547</v>
      </c>
      <c r="AQ432" t="s">
        <v>548</v>
      </c>
      <c r="AS432" t="s">
        <v>389</v>
      </c>
      <c r="AX432" s="1">
        <v>3291</v>
      </c>
      <c r="AY432" t="s">
        <v>546</v>
      </c>
      <c r="AZ432" t="s">
        <v>549</v>
      </c>
      <c r="BA432" s="1">
        <v>3291</v>
      </c>
      <c r="BC432" t="s">
        <v>546</v>
      </c>
      <c r="BD432" s="1">
        <v>3291</v>
      </c>
      <c r="BE432" t="s">
        <v>540</v>
      </c>
      <c r="BF432" s="1">
        <v>3291</v>
      </c>
      <c r="BH432" s="1">
        <v>3291</v>
      </c>
      <c r="BI432" t="s">
        <v>550</v>
      </c>
      <c r="BJ432" t="s">
        <v>551</v>
      </c>
      <c r="BK432" t="s">
        <v>551</v>
      </c>
      <c r="BL432" t="s">
        <v>552</v>
      </c>
      <c r="BM432" t="s">
        <v>2462</v>
      </c>
      <c r="BN432" t="s">
        <v>2604</v>
      </c>
      <c r="BO432" t="s">
        <v>2605</v>
      </c>
      <c r="BR432" t="s">
        <v>546</v>
      </c>
      <c r="BS432" s="1">
        <v>3291</v>
      </c>
      <c r="BW432" t="s">
        <v>536</v>
      </c>
      <c r="BX432" s="1">
        <v>3291</v>
      </c>
      <c r="BZ432" t="s">
        <v>535</v>
      </c>
      <c r="CA432" t="s">
        <v>546</v>
      </c>
      <c r="CB432" t="s">
        <v>2388</v>
      </c>
      <c r="CC432" t="s">
        <v>556</v>
      </c>
      <c r="CD432" t="s">
        <v>1715</v>
      </c>
      <c r="CE432" t="s">
        <v>1716</v>
      </c>
      <c r="CF432" t="s">
        <v>331</v>
      </c>
      <c r="CG432" s="4">
        <v>1</v>
      </c>
      <c r="CH432" t="s">
        <v>546</v>
      </c>
      <c r="CK432" t="s">
        <v>2606</v>
      </c>
      <c r="CL432" s="1">
        <v>3291</v>
      </c>
      <c r="CN432" t="s">
        <v>535</v>
      </c>
      <c r="CO432" t="s">
        <v>539</v>
      </c>
      <c r="CT432" t="s">
        <v>760</v>
      </c>
      <c r="CW432" t="s">
        <v>546</v>
      </c>
      <c r="DD432" t="s">
        <v>561</v>
      </c>
      <c r="DK432" t="s">
        <v>761</v>
      </c>
      <c r="DL432" t="s">
        <v>2607</v>
      </c>
    </row>
    <row r="433" ht="15" customHeight="1" spans="1:122">
      <c r="A433" t="s">
        <v>530</v>
      </c>
      <c r="B433" t="s">
        <v>2608</v>
      </c>
      <c r="C433" t="s">
        <v>532</v>
      </c>
      <c r="D433" t="s">
        <v>2462</v>
      </c>
      <c r="E433" t="s">
        <v>534</v>
      </c>
      <c r="F433" t="s">
        <v>534</v>
      </c>
      <c r="G433" t="s">
        <v>535</v>
      </c>
      <c r="H433" s="1">
        <v>3636</v>
      </c>
      <c r="I433" s="1">
        <v>3628.18</v>
      </c>
      <c r="J433" t="s">
        <v>536</v>
      </c>
      <c r="L433" t="s">
        <v>536</v>
      </c>
      <c r="M433" t="s">
        <v>376</v>
      </c>
      <c r="N433" t="s">
        <v>537</v>
      </c>
      <c r="P433" s="1">
        <v>3636</v>
      </c>
      <c r="Q433" t="s">
        <v>1105</v>
      </c>
      <c r="R433" t="s">
        <v>535</v>
      </c>
      <c r="S433" t="s">
        <v>539</v>
      </c>
      <c r="T433" s="2">
        <v>1</v>
      </c>
      <c r="U433" s="1">
        <v>3636</v>
      </c>
      <c r="V433" s="1">
        <v>3628.18</v>
      </c>
      <c r="X433" t="s">
        <v>540</v>
      </c>
      <c r="Z433" t="s">
        <v>541</v>
      </c>
      <c r="AA433" t="s">
        <v>542</v>
      </c>
      <c r="AB433" t="s">
        <v>543</v>
      </c>
      <c r="AC433" t="s">
        <v>544</v>
      </c>
      <c r="AD433" t="s">
        <v>545</v>
      </c>
      <c r="AE433" s="3">
        <v>1</v>
      </c>
      <c r="AF433" t="s">
        <v>176</v>
      </c>
      <c r="AG433" s="1">
        <v>3636</v>
      </c>
      <c r="AI433" s="1">
        <v>3636</v>
      </c>
      <c r="AJ433" s="1">
        <v>3636</v>
      </c>
      <c r="AK433" s="1">
        <v>7.82</v>
      </c>
      <c r="AM433" s="1">
        <v>3628.18</v>
      </c>
      <c r="AN433" t="s">
        <v>536</v>
      </c>
      <c r="AO433" t="s">
        <v>546</v>
      </c>
      <c r="AP433" t="s">
        <v>547</v>
      </c>
      <c r="AQ433" t="s">
        <v>548</v>
      </c>
      <c r="AS433" t="s">
        <v>376</v>
      </c>
      <c r="AX433" s="1">
        <v>3636</v>
      </c>
      <c r="AY433" t="s">
        <v>546</v>
      </c>
      <c r="AZ433" t="s">
        <v>549</v>
      </c>
      <c r="BA433" s="1">
        <v>3636</v>
      </c>
      <c r="BC433" t="s">
        <v>546</v>
      </c>
      <c r="BD433" s="1">
        <v>3636</v>
      </c>
      <c r="BE433" t="s">
        <v>540</v>
      </c>
      <c r="BF433" s="1">
        <v>3636</v>
      </c>
      <c r="BG433" s="1">
        <v>7.82</v>
      </c>
      <c r="BH433" s="1">
        <v>3628.18</v>
      </c>
      <c r="BI433" t="s">
        <v>550</v>
      </c>
      <c r="BJ433" t="s">
        <v>1105</v>
      </c>
      <c r="BK433" t="s">
        <v>552</v>
      </c>
      <c r="BL433" t="s">
        <v>552</v>
      </c>
      <c r="BM433" t="s">
        <v>2462</v>
      </c>
      <c r="BN433" t="s">
        <v>2609</v>
      </c>
      <c r="BO433" t="s">
        <v>2609</v>
      </c>
      <c r="BR433" t="s">
        <v>546</v>
      </c>
      <c r="BS433" s="1">
        <v>3636</v>
      </c>
      <c r="BW433" t="s">
        <v>536</v>
      </c>
      <c r="BX433" s="1">
        <v>3636</v>
      </c>
      <c r="BZ433" t="s">
        <v>535</v>
      </c>
      <c r="CA433" t="s">
        <v>546</v>
      </c>
      <c r="CB433" t="s">
        <v>2462</v>
      </c>
      <c r="CC433" t="s">
        <v>556</v>
      </c>
      <c r="CD433" t="s">
        <v>745</v>
      </c>
      <c r="CE433" t="s">
        <v>746</v>
      </c>
      <c r="CF433" t="s">
        <v>176</v>
      </c>
      <c r="CG433" s="4">
        <v>1</v>
      </c>
      <c r="CH433" t="s">
        <v>546</v>
      </c>
      <c r="CK433" t="s">
        <v>2610</v>
      </c>
      <c r="CL433" s="1">
        <v>3636</v>
      </c>
      <c r="CN433" t="s">
        <v>535</v>
      </c>
      <c r="CO433" t="s">
        <v>539</v>
      </c>
      <c r="CT433" t="s">
        <v>576</v>
      </c>
      <c r="CW433" t="s">
        <v>546</v>
      </c>
      <c r="DD433" t="s">
        <v>561</v>
      </c>
      <c r="DK433" t="s">
        <v>2611</v>
      </c>
      <c r="DL433" t="s">
        <v>2612</v>
      </c>
    </row>
    <row r="434" ht="15" customHeight="1" spans="1:122">
      <c r="A434" t="s">
        <v>530</v>
      </c>
      <c r="B434" t="s">
        <v>2613</v>
      </c>
      <c r="C434" t="s">
        <v>532</v>
      </c>
      <c r="D434" t="s">
        <v>2548</v>
      </c>
      <c r="E434" t="s">
        <v>534</v>
      </c>
      <c r="F434" t="s">
        <v>534</v>
      </c>
      <c r="G434" t="s">
        <v>535</v>
      </c>
      <c r="H434" s="1">
        <v>3244</v>
      </c>
      <c r="I434" s="1">
        <v>3224.54</v>
      </c>
      <c r="J434" t="s">
        <v>536</v>
      </c>
      <c r="L434" t="s">
        <v>536</v>
      </c>
      <c r="M434" t="s">
        <v>377</v>
      </c>
      <c r="N434" t="s">
        <v>537</v>
      </c>
      <c r="P434" s="1">
        <v>3244</v>
      </c>
      <c r="Q434" t="s">
        <v>538</v>
      </c>
      <c r="R434" t="s">
        <v>535</v>
      </c>
      <c r="S434" t="s">
        <v>539</v>
      </c>
      <c r="T434" s="2">
        <v>1</v>
      </c>
      <c r="U434" s="1">
        <v>3244</v>
      </c>
      <c r="V434" s="1">
        <v>3224.54</v>
      </c>
      <c r="X434" t="s">
        <v>540</v>
      </c>
      <c r="Z434" t="s">
        <v>541</v>
      </c>
      <c r="AA434" t="s">
        <v>542</v>
      </c>
      <c r="AB434" t="s">
        <v>543</v>
      </c>
      <c r="AC434" t="s">
        <v>544</v>
      </c>
      <c r="AD434" t="s">
        <v>545</v>
      </c>
      <c r="AE434" s="3">
        <v>1</v>
      </c>
      <c r="AF434" t="s">
        <v>185</v>
      </c>
      <c r="AG434" s="1">
        <v>3244</v>
      </c>
      <c r="AI434" s="1">
        <v>3244</v>
      </c>
      <c r="AJ434" s="1">
        <v>3244</v>
      </c>
      <c r="AK434" s="1">
        <v>19.46</v>
      </c>
      <c r="AM434" s="1">
        <v>3224.54</v>
      </c>
      <c r="AN434" t="s">
        <v>536</v>
      </c>
      <c r="AO434" t="s">
        <v>546</v>
      </c>
      <c r="AP434" t="s">
        <v>547</v>
      </c>
      <c r="AQ434" t="s">
        <v>548</v>
      </c>
      <c r="AS434" t="s">
        <v>377</v>
      </c>
      <c r="AX434" s="1">
        <v>3244</v>
      </c>
      <c r="AY434" t="s">
        <v>546</v>
      </c>
      <c r="AZ434" t="s">
        <v>549</v>
      </c>
      <c r="BA434" s="1">
        <v>3244</v>
      </c>
      <c r="BC434" t="s">
        <v>546</v>
      </c>
      <c r="BD434" s="1">
        <v>3244</v>
      </c>
      <c r="BE434" t="s">
        <v>540</v>
      </c>
      <c r="BF434" s="1">
        <v>3244</v>
      </c>
      <c r="BG434" s="1">
        <v>19.46</v>
      </c>
      <c r="BH434" s="1">
        <v>3224.54</v>
      </c>
      <c r="BI434" t="s">
        <v>550</v>
      </c>
      <c r="BJ434" t="s">
        <v>551</v>
      </c>
      <c r="BK434" t="s">
        <v>552</v>
      </c>
      <c r="BL434" t="s">
        <v>552</v>
      </c>
      <c r="BM434" t="s">
        <v>2462</v>
      </c>
      <c r="BN434" t="s">
        <v>2614</v>
      </c>
      <c r="BO434" t="s">
        <v>2615</v>
      </c>
      <c r="BR434" t="s">
        <v>546</v>
      </c>
      <c r="BS434" s="1">
        <v>3244</v>
      </c>
      <c r="BW434" t="s">
        <v>536</v>
      </c>
      <c r="BX434" s="1">
        <v>3244</v>
      </c>
      <c r="BZ434" t="s">
        <v>535</v>
      </c>
      <c r="CA434" t="s">
        <v>546</v>
      </c>
      <c r="CB434" t="s">
        <v>2548</v>
      </c>
      <c r="CC434" t="s">
        <v>556</v>
      </c>
      <c r="CD434" t="s">
        <v>2616</v>
      </c>
      <c r="CE434" t="s">
        <v>2617</v>
      </c>
      <c r="CF434" t="s">
        <v>185</v>
      </c>
      <c r="CG434" s="4">
        <v>1</v>
      </c>
      <c r="CH434" t="s">
        <v>546</v>
      </c>
      <c r="CK434" t="s">
        <v>2618</v>
      </c>
      <c r="CL434" s="1">
        <v>3244</v>
      </c>
      <c r="CN434" t="s">
        <v>535</v>
      </c>
      <c r="CO434" t="s">
        <v>539</v>
      </c>
      <c r="CT434" t="s">
        <v>560</v>
      </c>
      <c r="CW434" t="s">
        <v>546</v>
      </c>
      <c r="DD434" t="s">
        <v>561</v>
      </c>
      <c r="DK434" t="s">
        <v>2619</v>
      </c>
      <c r="DL434" t="s">
        <v>2620</v>
      </c>
    </row>
    <row r="435" ht="15" customHeight="1" spans="1:122">
      <c r="A435" t="s">
        <v>530</v>
      </c>
      <c r="B435" t="s">
        <v>2621</v>
      </c>
      <c r="C435" t="s">
        <v>532</v>
      </c>
      <c r="D435" t="s">
        <v>2548</v>
      </c>
      <c r="E435" t="s">
        <v>534</v>
      </c>
      <c r="F435" t="s">
        <v>534</v>
      </c>
      <c r="G435" t="s">
        <v>535</v>
      </c>
      <c r="H435" s="1">
        <v>811</v>
      </c>
      <c r="I435" s="1">
        <v>811</v>
      </c>
      <c r="J435" t="s">
        <v>536</v>
      </c>
      <c r="L435" t="s">
        <v>536</v>
      </c>
      <c r="M435" t="s">
        <v>377</v>
      </c>
      <c r="N435" t="s">
        <v>537</v>
      </c>
      <c r="P435" s="1">
        <v>811</v>
      </c>
      <c r="Q435" t="s">
        <v>538</v>
      </c>
      <c r="R435" t="s">
        <v>535</v>
      </c>
      <c r="S435" t="s">
        <v>539</v>
      </c>
      <c r="T435" s="2">
        <v>1</v>
      </c>
      <c r="U435" s="1">
        <v>811</v>
      </c>
      <c r="V435" s="1">
        <v>811</v>
      </c>
      <c r="X435" t="s">
        <v>540</v>
      </c>
      <c r="Z435" t="s">
        <v>541</v>
      </c>
      <c r="AA435" t="s">
        <v>542</v>
      </c>
      <c r="AB435" t="s">
        <v>543</v>
      </c>
      <c r="AC435" t="s">
        <v>544</v>
      </c>
      <c r="AD435" t="s">
        <v>545</v>
      </c>
      <c r="AE435" s="3">
        <v>1</v>
      </c>
      <c r="AF435" t="s">
        <v>185</v>
      </c>
      <c r="AG435" s="1">
        <v>811</v>
      </c>
      <c r="AI435" s="1">
        <v>811</v>
      </c>
      <c r="AJ435" s="1">
        <v>811</v>
      </c>
      <c r="AM435" s="1">
        <v>811</v>
      </c>
      <c r="AN435" t="s">
        <v>565</v>
      </c>
      <c r="AO435" t="s">
        <v>546</v>
      </c>
      <c r="AP435" t="s">
        <v>565</v>
      </c>
      <c r="AQ435" t="s">
        <v>548</v>
      </c>
      <c r="AS435" t="s">
        <v>377</v>
      </c>
      <c r="AX435" s="1">
        <v>811</v>
      </c>
      <c r="AY435" t="s">
        <v>546</v>
      </c>
      <c r="AZ435" t="s">
        <v>566</v>
      </c>
      <c r="BA435" s="1">
        <v>811</v>
      </c>
      <c r="BC435" t="s">
        <v>546</v>
      </c>
      <c r="BD435" s="1">
        <v>811</v>
      </c>
      <c r="BE435" t="s">
        <v>540</v>
      </c>
      <c r="BF435" s="1">
        <v>811</v>
      </c>
      <c r="BH435" s="1">
        <v>811</v>
      </c>
      <c r="BI435" t="s">
        <v>550</v>
      </c>
      <c r="BJ435" t="s">
        <v>551</v>
      </c>
      <c r="BK435" t="s">
        <v>551</v>
      </c>
      <c r="BL435" t="s">
        <v>552</v>
      </c>
      <c r="BM435" t="s">
        <v>2462</v>
      </c>
      <c r="BN435" t="s">
        <v>2622</v>
      </c>
      <c r="BO435" t="s">
        <v>2623</v>
      </c>
      <c r="BR435" t="s">
        <v>546</v>
      </c>
      <c r="BS435" s="1">
        <v>811</v>
      </c>
      <c r="BW435" t="s">
        <v>536</v>
      </c>
      <c r="BX435" s="1">
        <v>811</v>
      </c>
      <c r="BZ435" t="s">
        <v>535</v>
      </c>
      <c r="CA435" t="s">
        <v>546</v>
      </c>
      <c r="CB435" t="s">
        <v>2548</v>
      </c>
      <c r="CC435" t="s">
        <v>556</v>
      </c>
      <c r="CD435" t="s">
        <v>2616</v>
      </c>
      <c r="CE435" t="s">
        <v>2617</v>
      </c>
      <c r="CF435" t="s">
        <v>185</v>
      </c>
      <c r="CG435" s="4">
        <v>1</v>
      </c>
      <c r="CH435" t="s">
        <v>546</v>
      </c>
      <c r="CK435" t="s">
        <v>2618</v>
      </c>
      <c r="CL435" s="1">
        <v>811</v>
      </c>
      <c r="CN435" t="s">
        <v>535</v>
      </c>
      <c r="CO435" t="s">
        <v>539</v>
      </c>
      <c r="CT435" t="s">
        <v>560</v>
      </c>
      <c r="CW435" t="s">
        <v>546</v>
      </c>
      <c r="DD435" t="s">
        <v>561</v>
      </c>
      <c r="DK435" t="s">
        <v>2619</v>
      </c>
      <c r="DL435" t="s">
        <v>2620</v>
      </c>
    </row>
    <row r="436" ht="15" customHeight="1" spans="1:122">
      <c r="A436" t="s">
        <v>530</v>
      </c>
      <c r="B436" t="s">
        <v>2624</v>
      </c>
      <c r="C436" t="s">
        <v>532</v>
      </c>
      <c r="D436" t="s">
        <v>2388</v>
      </c>
      <c r="E436" t="s">
        <v>534</v>
      </c>
      <c r="F436" t="s">
        <v>534</v>
      </c>
      <c r="G436" t="s">
        <v>535</v>
      </c>
      <c r="H436" s="1">
        <v>1621</v>
      </c>
      <c r="I436" s="1">
        <v>1621</v>
      </c>
      <c r="J436" t="s">
        <v>536</v>
      </c>
      <c r="L436" t="s">
        <v>536</v>
      </c>
      <c r="M436" t="s">
        <v>375</v>
      </c>
      <c r="N436" t="s">
        <v>537</v>
      </c>
      <c r="P436" s="1">
        <v>1621</v>
      </c>
      <c r="Q436" t="s">
        <v>580</v>
      </c>
      <c r="R436" t="s">
        <v>535</v>
      </c>
      <c r="S436" t="s">
        <v>539</v>
      </c>
      <c r="T436" s="2">
        <v>1</v>
      </c>
      <c r="U436" s="1">
        <v>1621</v>
      </c>
      <c r="V436" s="1">
        <v>1621</v>
      </c>
      <c r="X436" t="s">
        <v>540</v>
      </c>
      <c r="Z436" t="s">
        <v>541</v>
      </c>
      <c r="AA436" t="s">
        <v>542</v>
      </c>
      <c r="AB436" t="s">
        <v>543</v>
      </c>
      <c r="AC436" t="s">
        <v>544</v>
      </c>
      <c r="AD436" t="s">
        <v>545</v>
      </c>
      <c r="AE436" s="3">
        <v>1</v>
      </c>
      <c r="AF436" t="s">
        <v>177</v>
      </c>
      <c r="AG436" s="1">
        <v>1621</v>
      </c>
      <c r="AI436" s="1">
        <v>1621</v>
      </c>
      <c r="AJ436" s="1">
        <v>1621</v>
      </c>
      <c r="AM436" s="1">
        <v>1621</v>
      </c>
      <c r="AN436" t="s">
        <v>2084</v>
      </c>
      <c r="AO436" t="s">
        <v>546</v>
      </c>
      <c r="AP436" t="s">
        <v>2085</v>
      </c>
      <c r="AQ436" t="s">
        <v>548</v>
      </c>
      <c r="AS436" t="s">
        <v>375</v>
      </c>
      <c r="AX436" s="1">
        <v>1621</v>
      </c>
      <c r="AY436" t="s">
        <v>546</v>
      </c>
      <c r="AZ436" t="s">
        <v>2086</v>
      </c>
      <c r="BA436" s="1">
        <v>1621</v>
      </c>
      <c r="BC436" t="s">
        <v>546</v>
      </c>
      <c r="BD436" s="1">
        <v>1621</v>
      </c>
      <c r="BE436" t="s">
        <v>540</v>
      </c>
      <c r="BF436" s="1">
        <v>1621</v>
      </c>
      <c r="BH436" s="1">
        <v>1621</v>
      </c>
      <c r="BI436" t="s">
        <v>550</v>
      </c>
      <c r="BJ436" t="s">
        <v>570</v>
      </c>
      <c r="BK436" t="s">
        <v>551</v>
      </c>
      <c r="BL436" t="s">
        <v>552</v>
      </c>
      <c r="BM436" t="s">
        <v>2462</v>
      </c>
      <c r="BN436" t="s">
        <v>2625</v>
      </c>
      <c r="BO436" t="s">
        <v>2626</v>
      </c>
      <c r="BR436" t="s">
        <v>546</v>
      </c>
      <c r="BS436" s="1">
        <v>1621</v>
      </c>
      <c r="BW436" t="s">
        <v>536</v>
      </c>
      <c r="BX436" s="1">
        <v>1621</v>
      </c>
      <c r="BZ436" t="s">
        <v>535</v>
      </c>
      <c r="CA436" t="s">
        <v>546</v>
      </c>
      <c r="CB436" t="s">
        <v>2388</v>
      </c>
      <c r="CC436" t="s">
        <v>556</v>
      </c>
      <c r="CD436" t="s">
        <v>1238</v>
      </c>
      <c r="CE436" t="s">
        <v>1239</v>
      </c>
      <c r="CF436" t="s">
        <v>177</v>
      </c>
      <c r="CG436" s="4">
        <v>1</v>
      </c>
      <c r="CH436" t="s">
        <v>546</v>
      </c>
      <c r="CK436" t="s">
        <v>2627</v>
      </c>
      <c r="CL436" s="1">
        <v>1621</v>
      </c>
      <c r="CN436" t="s">
        <v>535</v>
      </c>
      <c r="CO436" t="s">
        <v>539</v>
      </c>
      <c r="CT436" t="s">
        <v>576</v>
      </c>
      <c r="CW436" t="s">
        <v>546</v>
      </c>
      <c r="DD436" t="s">
        <v>561</v>
      </c>
      <c r="DK436" t="s">
        <v>2628</v>
      </c>
      <c r="DL436" t="s">
        <v>2629</v>
      </c>
    </row>
    <row r="437" ht="15" customHeight="1" spans="1:122">
      <c r="A437" t="s">
        <v>530</v>
      </c>
      <c r="B437" t="s">
        <v>2630</v>
      </c>
      <c r="C437" t="s">
        <v>532</v>
      </c>
      <c r="D437" t="s">
        <v>2548</v>
      </c>
      <c r="E437" t="s">
        <v>534</v>
      </c>
      <c r="F437" t="s">
        <v>534</v>
      </c>
      <c r="G437" t="s">
        <v>535</v>
      </c>
      <c r="H437" s="1">
        <v>1760</v>
      </c>
      <c r="I437" s="1">
        <v>1749.44</v>
      </c>
      <c r="J437" t="s">
        <v>536</v>
      </c>
      <c r="L437" t="s">
        <v>536</v>
      </c>
      <c r="M437" t="s">
        <v>375</v>
      </c>
      <c r="N437" t="s">
        <v>537</v>
      </c>
      <c r="P437" s="1">
        <v>1760</v>
      </c>
      <c r="Q437" t="s">
        <v>580</v>
      </c>
      <c r="R437" t="s">
        <v>535</v>
      </c>
      <c r="S437" t="s">
        <v>539</v>
      </c>
      <c r="T437" s="2">
        <v>1</v>
      </c>
      <c r="U437" s="1">
        <v>1760</v>
      </c>
      <c r="V437" s="1">
        <v>1749.44</v>
      </c>
      <c r="X437" t="s">
        <v>540</v>
      </c>
      <c r="Z437" t="s">
        <v>541</v>
      </c>
      <c r="AA437" t="s">
        <v>542</v>
      </c>
      <c r="AB437" t="s">
        <v>543</v>
      </c>
      <c r="AC437" t="s">
        <v>544</v>
      </c>
      <c r="AD437" t="s">
        <v>545</v>
      </c>
      <c r="AE437" s="3">
        <v>1</v>
      </c>
      <c r="AF437" t="s">
        <v>179</v>
      </c>
      <c r="AG437" s="1">
        <v>1760</v>
      </c>
      <c r="AI437" s="1">
        <v>1760</v>
      </c>
      <c r="AJ437" s="1">
        <v>1760</v>
      </c>
      <c r="AK437" s="1">
        <v>10.56</v>
      </c>
      <c r="AM437" s="1">
        <v>1749.44</v>
      </c>
      <c r="AN437" t="s">
        <v>536</v>
      </c>
      <c r="AO437" t="s">
        <v>546</v>
      </c>
      <c r="AP437" t="s">
        <v>547</v>
      </c>
      <c r="AQ437" t="s">
        <v>548</v>
      </c>
      <c r="AS437" t="s">
        <v>375</v>
      </c>
      <c r="AX437" s="1">
        <v>1760</v>
      </c>
      <c r="AY437" t="s">
        <v>546</v>
      </c>
      <c r="AZ437" t="s">
        <v>549</v>
      </c>
      <c r="BA437" s="1">
        <v>1760</v>
      </c>
      <c r="BC437" t="s">
        <v>546</v>
      </c>
      <c r="BD437" s="1">
        <v>1760</v>
      </c>
      <c r="BE437" t="s">
        <v>540</v>
      </c>
      <c r="BF437" s="1">
        <v>1760</v>
      </c>
      <c r="BG437" s="1">
        <v>10.56</v>
      </c>
      <c r="BH437" s="1">
        <v>1749.44</v>
      </c>
      <c r="BI437" t="s">
        <v>550</v>
      </c>
      <c r="BJ437" t="s">
        <v>570</v>
      </c>
      <c r="BK437" t="s">
        <v>552</v>
      </c>
      <c r="BL437" t="s">
        <v>552</v>
      </c>
      <c r="BM437" t="s">
        <v>2462</v>
      </c>
      <c r="BN437" t="s">
        <v>2631</v>
      </c>
      <c r="BO437" t="s">
        <v>2632</v>
      </c>
      <c r="BR437" t="s">
        <v>546</v>
      </c>
      <c r="BS437" s="1">
        <v>1760</v>
      </c>
      <c r="BW437" t="s">
        <v>536</v>
      </c>
      <c r="BX437" s="1">
        <v>1760</v>
      </c>
      <c r="BZ437" t="s">
        <v>535</v>
      </c>
      <c r="CA437" t="s">
        <v>546</v>
      </c>
      <c r="CB437" t="s">
        <v>2548</v>
      </c>
      <c r="CC437" t="s">
        <v>556</v>
      </c>
      <c r="CD437" t="s">
        <v>573</v>
      </c>
      <c r="CE437" t="s">
        <v>574</v>
      </c>
      <c r="CF437" t="s">
        <v>179</v>
      </c>
      <c r="CG437" s="4">
        <v>1</v>
      </c>
      <c r="CH437" t="s">
        <v>546</v>
      </c>
      <c r="CK437" t="s">
        <v>2633</v>
      </c>
      <c r="CL437" s="1">
        <v>1760</v>
      </c>
      <c r="CN437" t="s">
        <v>535</v>
      </c>
      <c r="CO437" t="s">
        <v>539</v>
      </c>
      <c r="CT437" t="s">
        <v>576</v>
      </c>
      <c r="CW437" t="s">
        <v>546</v>
      </c>
      <c r="DD437" t="s">
        <v>561</v>
      </c>
      <c r="DK437" t="s">
        <v>2634</v>
      </c>
      <c r="DL437" t="s">
        <v>2635</v>
      </c>
    </row>
    <row r="438" ht="15" customHeight="1" spans="1:122">
      <c r="A438" t="s">
        <v>530</v>
      </c>
      <c r="B438" t="s">
        <v>2636</v>
      </c>
      <c r="C438" t="s">
        <v>532</v>
      </c>
      <c r="D438" t="s">
        <v>2548</v>
      </c>
      <c r="E438" t="s">
        <v>534</v>
      </c>
      <c r="F438" t="s">
        <v>534</v>
      </c>
      <c r="G438" t="s">
        <v>535</v>
      </c>
      <c r="H438" s="1">
        <v>440</v>
      </c>
      <c r="I438" s="1">
        <v>440</v>
      </c>
      <c r="J438" t="s">
        <v>536</v>
      </c>
      <c r="L438" t="s">
        <v>536</v>
      </c>
      <c r="M438" t="s">
        <v>375</v>
      </c>
      <c r="N438" t="s">
        <v>537</v>
      </c>
      <c r="P438" s="1">
        <v>440</v>
      </c>
      <c r="Q438" t="s">
        <v>580</v>
      </c>
      <c r="R438" t="s">
        <v>535</v>
      </c>
      <c r="S438" t="s">
        <v>539</v>
      </c>
      <c r="T438" s="2">
        <v>1</v>
      </c>
      <c r="U438" s="1">
        <v>440</v>
      </c>
      <c r="V438" s="1">
        <v>440</v>
      </c>
      <c r="X438" t="s">
        <v>540</v>
      </c>
      <c r="Z438" t="s">
        <v>541</v>
      </c>
      <c r="AA438" t="s">
        <v>542</v>
      </c>
      <c r="AB438" t="s">
        <v>543</v>
      </c>
      <c r="AC438" t="s">
        <v>544</v>
      </c>
      <c r="AD438" t="s">
        <v>545</v>
      </c>
      <c r="AE438" s="3">
        <v>1</v>
      </c>
      <c r="AF438" t="s">
        <v>179</v>
      </c>
      <c r="AG438" s="1">
        <v>440</v>
      </c>
      <c r="AI438" s="1">
        <v>440</v>
      </c>
      <c r="AJ438" s="1">
        <v>440</v>
      </c>
      <c r="AM438" s="1">
        <v>440</v>
      </c>
      <c r="AN438" t="s">
        <v>565</v>
      </c>
      <c r="AO438" t="s">
        <v>546</v>
      </c>
      <c r="AP438" t="s">
        <v>565</v>
      </c>
      <c r="AQ438" t="s">
        <v>548</v>
      </c>
      <c r="AS438" t="s">
        <v>375</v>
      </c>
      <c r="AX438" s="1">
        <v>440</v>
      </c>
      <c r="AY438" t="s">
        <v>546</v>
      </c>
      <c r="AZ438" t="s">
        <v>566</v>
      </c>
      <c r="BA438" s="1">
        <v>440</v>
      </c>
      <c r="BC438" t="s">
        <v>546</v>
      </c>
      <c r="BD438" s="1">
        <v>440</v>
      </c>
      <c r="BE438" t="s">
        <v>540</v>
      </c>
      <c r="BF438" s="1">
        <v>440</v>
      </c>
      <c r="BH438" s="1">
        <v>440</v>
      </c>
      <c r="BI438" t="s">
        <v>550</v>
      </c>
      <c r="BJ438" t="s">
        <v>570</v>
      </c>
      <c r="BK438" t="s">
        <v>551</v>
      </c>
      <c r="BL438" t="s">
        <v>552</v>
      </c>
      <c r="BM438" t="s">
        <v>2462</v>
      </c>
      <c r="BN438" t="s">
        <v>2637</v>
      </c>
      <c r="BO438" t="s">
        <v>2638</v>
      </c>
      <c r="BR438" t="s">
        <v>546</v>
      </c>
      <c r="BS438" s="1">
        <v>440</v>
      </c>
      <c r="BW438" t="s">
        <v>536</v>
      </c>
      <c r="BX438" s="1">
        <v>440</v>
      </c>
      <c r="BZ438" t="s">
        <v>535</v>
      </c>
      <c r="CA438" t="s">
        <v>546</v>
      </c>
      <c r="CB438" t="s">
        <v>2548</v>
      </c>
      <c r="CC438" t="s">
        <v>556</v>
      </c>
      <c r="CD438" t="s">
        <v>573</v>
      </c>
      <c r="CE438" t="s">
        <v>574</v>
      </c>
      <c r="CF438" t="s">
        <v>179</v>
      </c>
      <c r="CG438" s="4">
        <v>1</v>
      </c>
      <c r="CH438" t="s">
        <v>546</v>
      </c>
      <c r="CK438" t="s">
        <v>2633</v>
      </c>
      <c r="CL438" s="1">
        <v>440</v>
      </c>
      <c r="CN438" t="s">
        <v>535</v>
      </c>
      <c r="CO438" t="s">
        <v>539</v>
      </c>
      <c r="CT438" t="s">
        <v>576</v>
      </c>
      <c r="CW438" t="s">
        <v>546</v>
      </c>
      <c r="DD438" t="s">
        <v>561</v>
      </c>
      <c r="DK438" t="s">
        <v>2634</v>
      </c>
      <c r="DL438" t="s">
        <v>2635</v>
      </c>
    </row>
    <row r="439" ht="15" customHeight="1" spans="1:122">
      <c r="A439" t="s">
        <v>530</v>
      </c>
      <c r="B439" t="s">
        <v>2639</v>
      </c>
      <c r="C439" t="s">
        <v>532</v>
      </c>
      <c r="D439" t="s">
        <v>2462</v>
      </c>
      <c r="E439" t="s">
        <v>534</v>
      </c>
      <c r="F439" t="s">
        <v>534</v>
      </c>
      <c r="G439" t="s">
        <v>535</v>
      </c>
      <c r="H439" s="1">
        <v>1379</v>
      </c>
      <c r="I439" s="1">
        <v>1379</v>
      </c>
      <c r="J439" t="s">
        <v>536</v>
      </c>
      <c r="L439" t="s">
        <v>536</v>
      </c>
      <c r="M439" t="s">
        <v>375</v>
      </c>
      <c r="N439" t="s">
        <v>537</v>
      </c>
      <c r="P439" s="1">
        <v>1379</v>
      </c>
      <c r="Q439" t="s">
        <v>580</v>
      </c>
      <c r="R439" t="s">
        <v>535</v>
      </c>
      <c r="S439" t="s">
        <v>539</v>
      </c>
      <c r="T439" s="2">
        <v>1</v>
      </c>
      <c r="U439" s="1">
        <v>1379</v>
      </c>
      <c r="V439" s="1">
        <v>1379</v>
      </c>
      <c r="X439" t="s">
        <v>540</v>
      </c>
      <c r="Z439" t="s">
        <v>541</v>
      </c>
      <c r="AA439" t="s">
        <v>542</v>
      </c>
      <c r="AB439" t="s">
        <v>543</v>
      </c>
      <c r="AC439" t="s">
        <v>544</v>
      </c>
      <c r="AD439" t="s">
        <v>545</v>
      </c>
      <c r="AE439" s="3">
        <v>1</v>
      </c>
      <c r="AF439" t="s">
        <v>332</v>
      </c>
      <c r="AG439" s="1">
        <v>1379</v>
      </c>
      <c r="AI439" s="1">
        <v>1379</v>
      </c>
      <c r="AJ439" s="1">
        <v>1379</v>
      </c>
      <c r="AM439" s="1">
        <v>1379</v>
      </c>
      <c r="AN439" t="s">
        <v>643</v>
      </c>
      <c r="AO439" t="s">
        <v>546</v>
      </c>
      <c r="AP439" t="s">
        <v>643</v>
      </c>
      <c r="AQ439" t="s">
        <v>548</v>
      </c>
      <c r="AS439" t="s">
        <v>375</v>
      </c>
      <c r="AX439" s="1">
        <v>1379</v>
      </c>
      <c r="AY439" t="s">
        <v>546</v>
      </c>
      <c r="AZ439" t="s">
        <v>644</v>
      </c>
      <c r="BA439" s="1">
        <v>1379</v>
      </c>
      <c r="BC439" t="s">
        <v>546</v>
      </c>
      <c r="BD439" s="1">
        <v>1379</v>
      </c>
      <c r="BE439" t="s">
        <v>540</v>
      </c>
      <c r="BF439" s="1">
        <v>1379</v>
      </c>
      <c r="BH439" s="1">
        <v>1379</v>
      </c>
      <c r="BI439" t="s">
        <v>550</v>
      </c>
      <c r="BJ439" t="s">
        <v>570</v>
      </c>
      <c r="BK439" t="s">
        <v>552</v>
      </c>
      <c r="BL439" t="s">
        <v>552</v>
      </c>
      <c r="BM439" t="s">
        <v>2462</v>
      </c>
      <c r="BN439" t="s">
        <v>2640</v>
      </c>
      <c r="BO439" t="s">
        <v>2641</v>
      </c>
      <c r="BR439" t="s">
        <v>546</v>
      </c>
      <c r="BS439" s="1">
        <v>1379</v>
      </c>
      <c r="BW439" t="s">
        <v>536</v>
      </c>
      <c r="BX439" s="1">
        <v>1379</v>
      </c>
      <c r="BZ439" t="s">
        <v>535</v>
      </c>
      <c r="CA439" t="s">
        <v>546</v>
      </c>
      <c r="CB439" t="s">
        <v>2462</v>
      </c>
      <c r="CC439" t="s">
        <v>556</v>
      </c>
      <c r="CD439" t="s">
        <v>1411</v>
      </c>
      <c r="CE439" t="s">
        <v>1412</v>
      </c>
      <c r="CF439" t="s">
        <v>332</v>
      </c>
      <c r="CG439" s="4">
        <v>1</v>
      </c>
      <c r="CH439" t="s">
        <v>546</v>
      </c>
      <c r="CK439" t="s">
        <v>2642</v>
      </c>
      <c r="CL439" s="1">
        <v>1379</v>
      </c>
      <c r="CN439" t="s">
        <v>535</v>
      </c>
      <c r="CO439" t="s">
        <v>539</v>
      </c>
      <c r="CT439" t="s">
        <v>576</v>
      </c>
      <c r="CW439" t="s">
        <v>546</v>
      </c>
      <c r="DD439" t="s">
        <v>561</v>
      </c>
      <c r="DK439" t="s">
        <v>2634</v>
      </c>
      <c r="DL439" t="s">
        <v>2635</v>
      </c>
      <c r="DR439" t="s">
        <v>2643</v>
      </c>
    </row>
    <row r="440" ht="15" customHeight="1" spans="1:122">
      <c r="A440" t="s">
        <v>530</v>
      </c>
      <c r="B440" t="s">
        <v>2644</v>
      </c>
      <c r="C440" t="s">
        <v>532</v>
      </c>
      <c r="D440" t="s">
        <v>2462</v>
      </c>
      <c r="E440" t="s">
        <v>534</v>
      </c>
      <c r="F440" t="s">
        <v>534</v>
      </c>
      <c r="G440" t="s">
        <v>535</v>
      </c>
      <c r="H440" s="1">
        <v>6291</v>
      </c>
      <c r="I440" s="1">
        <v>6277.47</v>
      </c>
      <c r="J440" t="s">
        <v>536</v>
      </c>
      <c r="L440" t="s">
        <v>536</v>
      </c>
      <c r="M440" t="s">
        <v>376</v>
      </c>
      <c r="N440" t="s">
        <v>537</v>
      </c>
      <c r="P440" s="1">
        <v>6291</v>
      </c>
      <c r="Q440" t="s">
        <v>1105</v>
      </c>
      <c r="R440" t="s">
        <v>535</v>
      </c>
      <c r="S440" t="s">
        <v>539</v>
      </c>
      <c r="T440" s="2">
        <v>1</v>
      </c>
      <c r="U440" s="1">
        <v>6291</v>
      </c>
      <c r="V440" s="1">
        <v>6277.47</v>
      </c>
      <c r="X440" t="s">
        <v>540</v>
      </c>
      <c r="Z440" t="s">
        <v>541</v>
      </c>
      <c r="AA440" t="s">
        <v>542</v>
      </c>
      <c r="AB440" t="s">
        <v>543</v>
      </c>
      <c r="AC440" t="s">
        <v>544</v>
      </c>
      <c r="AD440" t="s">
        <v>545</v>
      </c>
      <c r="AE440" s="3">
        <v>1</v>
      </c>
      <c r="AF440" t="s">
        <v>175</v>
      </c>
      <c r="AG440" s="1">
        <v>6291</v>
      </c>
      <c r="AI440" s="1">
        <v>6291</v>
      </c>
      <c r="AJ440" s="1">
        <v>6291</v>
      </c>
      <c r="AK440" s="1">
        <v>13.53</v>
      </c>
      <c r="AM440" s="1">
        <v>6277.47</v>
      </c>
      <c r="AN440" t="s">
        <v>536</v>
      </c>
      <c r="AO440" t="s">
        <v>546</v>
      </c>
      <c r="AP440" t="s">
        <v>547</v>
      </c>
      <c r="AQ440" t="s">
        <v>548</v>
      </c>
      <c r="AS440" t="s">
        <v>376</v>
      </c>
      <c r="AX440" s="1">
        <v>6291</v>
      </c>
      <c r="AY440" t="s">
        <v>546</v>
      </c>
      <c r="AZ440" t="s">
        <v>549</v>
      </c>
      <c r="BA440" s="1">
        <v>6291</v>
      </c>
      <c r="BC440" t="s">
        <v>546</v>
      </c>
      <c r="BD440" s="1">
        <v>6291</v>
      </c>
      <c r="BE440" t="s">
        <v>540</v>
      </c>
      <c r="BF440" s="1">
        <v>6291</v>
      </c>
      <c r="BG440" s="1">
        <v>13.53</v>
      </c>
      <c r="BH440" s="1">
        <v>6277.47</v>
      </c>
      <c r="BI440" t="s">
        <v>550</v>
      </c>
      <c r="BJ440" t="s">
        <v>1105</v>
      </c>
      <c r="BK440" t="s">
        <v>552</v>
      </c>
      <c r="BL440" t="s">
        <v>552</v>
      </c>
      <c r="BM440" t="s">
        <v>2462</v>
      </c>
      <c r="BN440" t="s">
        <v>2645</v>
      </c>
      <c r="BO440" t="s">
        <v>2646</v>
      </c>
      <c r="BR440" t="s">
        <v>546</v>
      </c>
      <c r="BS440" s="1">
        <v>6291</v>
      </c>
      <c r="BW440" t="s">
        <v>536</v>
      </c>
      <c r="BX440" s="1">
        <v>6291</v>
      </c>
      <c r="BZ440" t="s">
        <v>535</v>
      </c>
      <c r="CA440" t="s">
        <v>546</v>
      </c>
      <c r="CB440" t="s">
        <v>2462</v>
      </c>
      <c r="CC440" t="s">
        <v>556</v>
      </c>
      <c r="CD440" t="s">
        <v>1032</v>
      </c>
      <c r="CE440" t="s">
        <v>1033</v>
      </c>
      <c r="CF440" t="s">
        <v>175</v>
      </c>
      <c r="CG440" s="4">
        <v>1</v>
      </c>
      <c r="CH440" t="s">
        <v>546</v>
      </c>
      <c r="CK440" t="s">
        <v>2647</v>
      </c>
      <c r="CL440" s="1">
        <v>6291</v>
      </c>
      <c r="CN440" t="s">
        <v>535</v>
      </c>
      <c r="CO440" t="s">
        <v>539</v>
      </c>
      <c r="CT440" t="s">
        <v>576</v>
      </c>
      <c r="CW440" t="s">
        <v>546</v>
      </c>
      <c r="DD440" t="s">
        <v>561</v>
      </c>
      <c r="DK440" t="s">
        <v>2648</v>
      </c>
      <c r="DL440" t="s">
        <v>2649</v>
      </c>
    </row>
    <row r="441" ht="15" customHeight="1" spans="1:122">
      <c r="A441" t="s">
        <v>530</v>
      </c>
      <c r="B441" t="s">
        <v>2650</v>
      </c>
      <c r="C441" t="s">
        <v>532</v>
      </c>
      <c r="D441" t="s">
        <v>2033</v>
      </c>
      <c r="E441" t="s">
        <v>534</v>
      </c>
      <c r="F441" t="s">
        <v>534</v>
      </c>
      <c r="G441" t="s">
        <v>535</v>
      </c>
      <c r="H441" s="1">
        <v>4399</v>
      </c>
      <c r="I441" s="1">
        <v>4399</v>
      </c>
      <c r="J441" t="s">
        <v>536</v>
      </c>
      <c r="L441" t="s">
        <v>536</v>
      </c>
      <c r="M441" t="s">
        <v>404</v>
      </c>
      <c r="N441" t="s">
        <v>537</v>
      </c>
      <c r="P441" s="1">
        <v>4399</v>
      </c>
      <c r="Q441" t="s">
        <v>642</v>
      </c>
      <c r="R441" t="s">
        <v>535</v>
      </c>
      <c r="S441" t="s">
        <v>539</v>
      </c>
      <c r="T441" s="2">
        <v>1</v>
      </c>
      <c r="U441" s="1">
        <v>4399</v>
      </c>
      <c r="V441" s="1">
        <v>4399</v>
      </c>
      <c r="X441" t="s">
        <v>540</v>
      </c>
      <c r="Z441" t="s">
        <v>541</v>
      </c>
      <c r="AA441" t="s">
        <v>542</v>
      </c>
      <c r="AB441" t="s">
        <v>934</v>
      </c>
      <c r="AC441" t="s">
        <v>544</v>
      </c>
      <c r="AD441" t="s">
        <v>545</v>
      </c>
      <c r="AE441" s="3">
        <v>1</v>
      </c>
      <c r="AF441" t="s">
        <v>183</v>
      </c>
      <c r="AG441" s="1">
        <v>4399</v>
      </c>
      <c r="AI441" s="1">
        <v>4399</v>
      </c>
      <c r="AJ441" s="1">
        <v>4399</v>
      </c>
      <c r="AM441" s="1">
        <v>4399</v>
      </c>
      <c r="AN441" t="s">
        <v>643</v>
      </c>
      <c r="AO441" t="s">
        <v>546</v>
      </c>
      <c r="AP441" t="s">
        <v>643</v>
      </c>
      <c r="AQ441" t="s">
        <v>548</v>
      </c>
      <c r="AS441" t="s">
        <v>404</v>
      </c>
      <c r="AX441" s="1">
        <v>4399</v>
      </c>
      <c r="AY441" t="s">
        <v>546</v>
      </c>
      <c r="AZ441" t="s">
        <v>644</v>
      </c>
      <c r="BA441" s="1">
        <v>4399</v>
      </c>
      <c r="BC441" t="s">
        <v>546</v>
      </c>
      <c r="BD441" s="1">
        <v>4399</v>
      </c>
      <c r="BE441" t="s">
        <v>540</v>
      </c>
      <c r="BF441" s="1">
        <v>4399</v>
      </c>
      <c r="BH441" s="1">
        <v>4399</v>
      </c>
      <c r="BI441" t="s">
        <v>550</v>
      </c>
      <c r="BJ441" t="s">
        <v>551</v>
      </c>
      <c r="BK441" t="s">
        <v>551</v>
      </c>
      <c r="BL441" t="s">
        <v>552</v>
      </c>
      <c r="BM441" t="s">
        <v>2462</v>
      </c>
      <c r="BN441" t="s">
        <v>2651</v>
      </c>
      <c r="BO441" t="s">
        <v>2652</v>
      </c>
      <c r="BR441" t="s">
        <v>546</v>
      </c>
      <c r="BS441" s="1">
        <v>4399</v>
      </c>
      <c r="BW441" t="s">
        <v>536</v>
      </c>
      <c r="BX441" s="1">
        <v>4399</v>
      </c>
      <c r="BZ441" t="s">
        <v>535</v>
      </c>
      <c r="CA441" t="s">
        <v>546</v>
      </c>
      <c r="CB441" t="s">
        <v>2033</v>
      </c>
      <c r="CC441" t="s">
        <v>556</v>
      </c>
      <c r="CD441" t="s">
        <v>648</v>
      </c>
      <c r="CE441" t="s">
        <v>649</v>
      </c>
      <c r="CF441" t="s">
        <v>183</v>
      </c>
      <c r="CG441" s="4">
        <v>1</v>
      </c>
      <c r="CH441" t="s">
        <v>546</v>
      </c>
      <c r="CK441" t="s">
        <v>2653</v>
      </c>
      <c r="CL441" s="1">
        <v>4399</v>
      </c>
      <c r="CN441" t="s">
        <v>535</v>
      </c>
      <c r="CO441" t="s">
        <v>539</v>
      </c>
      <c r="CT441" t="s">
        <v>651</v>
      </c>
      <c r="CW441" t="s">
        <v>546</v>
      </c>
      <c r="DD441" t="s">
        <v>561</v>
      </c>
      <c r="DK441" t="s">
        <v>2654</v>
      </c>
      <c r="DL441" t="s">
        <v>2655</v>
      </c>
      <c r="DR441" t="s">
        <v>2656</v>
      </c>
    </row>
    <row r="442" ht="15" customHeight="1" spans="1:122">
      <c r="A442" t="s">
        <v>530</v>
      </c>
      <c r="B442" t="s">
        <v>2657</v>
      </c>
      <c r="C442" t="s">
        <v>532</v>
      </c>
      <c r="D442" t="s">
        <v>2462</v>
      </c>
      <c r="E442" t="s">
        <v>534</v>
      </c>
      <c r="F442" t="s">
        <v>534</v>
      </c>
      <c r="G442" t="s">
        <v>535</v>
      </c>
      <c r="H442" s="1">
        <v>398</v>
      </c>
      <c r="I442" s="1">
        <v>398</v>
      </c>
      <c r="J442" t="s">
        <v>536</v>
      </c>
      <c r="L442" t="s">
        <v>536</v>
      </c>
      <c r="M442" t="s">
        <v>377</v>
      </c>
      <c r="N442" t="s">
        <v>537</v>
      </c>
      <c r="P442" s="1">
        <v>398</v>
      </c>
      <c r="Q442" t="s">
        <v>538</v>
      </c>
      <c r="R442" t="s">
        <v>535</v>
      </c>
      <c r="S442" t="s">
        <v>539</v>
      </c>
      <c r="T442" s="2">
        <v>1</v>
      </c>
      <c r="U442" s="1">
        <v>398</v>
      </c>
      <c r="V442" s="1">
        <v>398</v>
      </c>
      <c r="X442" t="s">
        <v>540</v>
      </c>
      <c r="Z442" t="s">
        <v>541</v>
      </c>
      <c r="AA442" t="s">
        <v>542</v>
      </c>
      <c r="AB442" t="s">
        <v>543</v>
      </c>
      <c r="AC442" t="s">
        <v>544</v>
      </c>
      <c r="AD442" t="s">
        <v>545</v>
      </c>
      <c r="AE442" s="3">
        <v>1</v>
      </c>
      <c r="AF442" t="s">
        <v>186</v>
      </c>
      <c r="AG442" s="1">
        <v>398</v>
      </c>
      <c r="AI442" s="1">
        <v>398</v>
      </c>
      <c r="AJ442" s="1">
        <v>398</v>
      </c>
      <c r="AM442" s="1">
        <v>398</v>
      </c>
      <c r="AN442" t="s">
        <v>643</v>
      </c>
      <c r="AO442" t="s">
        <v>546</v>
      </c>
      <c r="AP442" t="s">
        <v>643</v>
      </c>
      <c r="AQ442" t="s">
        <v>548</v>
      </c>
      <c r="AS442" t="s">
        <v>377</v>
      </c>
      <c r="AX442" s="1">
        <v>398</v>
      </c>
      <c r="AY442" t="s">
        <v>546</v>
      </c>
      <c r="AZ442" t="s">
        <v>644</v>
      </c>
      <c r="BA442" s="1">
        <v>398</v>
      </c>
      <c r="BC442" t="s">
        <v>546</v>
      </c>
      <c r="BD442" s="1">
        <v>398</v>
      </c>
      <c r="BE442" t="s">
        <v>540</v>
      </c>
      <c r="BF442" s="1">
        <v>398</v>
      </c>
      <c r="BH442" s="1">
        <v>398</v>
      </c>
      <c r="BI442" t="s">
        <v>550</v>
      </c>
      <c r="BJ442" t="s">
        <v>551</v>
      </c>
      <c r="BK442" t="s">
        <v>551</v>
      </c>
      <c r="BL442" t="s">
        <v>552</v>
      </c>
      <c r="BM442" t="s">
        <v>2462</v>
      </c>
      <c r="BN442" t="s">
        <v>2658</v>
      </c>
      <c r="BO442" t="s">
        <v>2659</v>
      </c>
      <c r="BR442" t="s">
        <v>546</v>
      </c>
      <c r="BS442" s="1">
        <v>398</v>
      </c>
      <c r="BW442" t="s">
        <v>536</v>
      </c>
      <c r="BX442" s="1">
        <v>398</v>
      </c>
      <c r="BZ442" t="s">
        <v>535</v>
      </c>
      <c r="CA442" t="s">
        <v>546</v>
      </c>
      <c r="CB442" t="s">
        <v>2462</v>
      </c>
      <c r="CC442" t="s">
        <v>556</v>
      </c>
      <c r="CD442" t="s">
        <v>922</v>
      </c>
      <c r="CE442" t="s">
        <v>923</v>
      </c>
      <c r="CF442" t="s">
        <v>186</v>
      </c>
      <c r="CG442" s="4">
        <v>1</v>
      </c>
      <c r="CH442" t="s">
        <v>546</v>
      </c>
      <c r="CK442" t="s">
        <v>2660</v>
      </c>
      <c r="CL442" s="1">
        <v>398</v>
      </c>
      <c r="CN442" t="s">
        <v>535</v>
      </c>
      <c r="CO442" t="s">
        <v>539</v>
      </c>
      <c r="CT442" t="s">
        <v>560</v>
      </c>
      <c r="CW442" t="s">
        <v>546</v>
      </c>
      <c r="DD442" t="s">
        <v>561</v>
      </c>
      <c r="DK442" t="s">
        <v>2619</v>
      </c>
      <c r="DL442" t="s">
        <v>2620</v>
      </c>
      <c r="DR442" t="s">
        <v>2661</v>
      </c>
    </row>
    <row r="443" ht="15" customHeight="1" spans="1:122">
      <c r="A443" t="s">
        <v>530</v>
      </c>
      <c r="B443" t="s">
        <v>2662</v>
      </c>
      <c r="C443" t="s">
        <v>532</v>
      </c>
      <c r="D443" t="s">
        <v>2130</v>
      </c>
      <c r="E443" t="s">
        <v>534</v>
      </c>
      <c r="F443" t="s">
        <v>534</v>
      </c>
      <c r="G443" t="s">
        <v>535</v>
      </c>
      <c r="H443" s="1">
        <v>618</v>
      </c>
      <c r="I443" s="1">
        <v>618</v>
      </c>
      <c r="J443" t="s">
        <v>536</v>
      </c>
      <c r="L443" t="s">
        <v>536</v>
      </c>
      <c r="M443" t="s">
        <v>380</v>
      </c>
      <c r="N443" t="s">
        <v>369</v>
      </c>
      <c r="P443" s="1">
        <v>618</v>
      </c>
      <c r="Q443" t="s">
        <v>996</v>
      </c>
      <c r="R443" t="s">
        <v>535</v>
      </c>
      <c r="S443" t="s">
        <v>539</v>
      </c>
      <c r="T443" s="2">
        <v>1</v>
      </c>
      <c r="U443" s="1">
        <v>618</v>
      </c>
      <c r="V443" s="1">
        <v>618</v>
      </c>
      <c r="X443" t="s">
        <v>540</v>
      </c>
      <c r="Z443" t="s">
        <v>541</v>
      </c>
      <c r="AA443" t="s">
        <v>542</v>
      </c>
      <c r="AB443" t="s">
        <v>543</v>
      </c>
      <c r="AC443" t="s">
        <v>544</v>
      </c>
      <c r="AD443" t="s">
        <v>545</v>
      </c>
      <c r="AE443" s="3">
        <v>1</v>
      </c>
      <c r="AF443" t="s">
        <v>333</v>
      </c>
      <c r="AG443" s="1">
        <v>618</v>
      </c>
      <c r="AI443" s="1">
        <v>618</v>
      </c>
      <c r="AJ443" s="1">
        <v>618</v>
      </c>
      <c r="AM443" s="1">
        <v>618</v>
      </c>
      <c r="AN443" t="s">
        <v>2084</v>
      </c>
      <c r="AO443" t="s">
        <v>546</v>
      </c>
      <c r="AP443" t="s">
        <v>2085</v>
      </c>
      <c r="AQ443" t="s">
        <v>548</v>
      </c>
      <c r="AS443" t="s">
        <v>380</v>
      </c>
      <c r="AX443" s="1">
        <v>618</v>
      </c>
      <c r="AY443" t="s">
        <v>546</v>
      </c>
      <c r="AZ443" t="s">
        <v>2086</v>
      </c>
      <c r="BA443" s="1">
        <v>618</v>
      </c>
      <c r="BC443" t="s">
        <v>546</v>
      </c>
      <c r="BD443" s="1">
        <v>618</v>
      </c>
      <c r="BE443" t="s">
        <v>540</v>
      </c>
      <c r="BF443" s="1">
        <v>618</v>
      </c>
      <c r="BH443" s="1">
        <v>618</v>
      </c>
      <c r="BI443" t="s">
        <v>550</v>
      </c>
      <c r="BJ443" t="s">
        <v>551</v>
      </c>
      <c r="BK443" t="s">
        <v>551</v>
      </c>
      <c r="BL443" t="s">
        <v>552</v>
      </c>
      <c r="BM443" t="s">
        <v>2462</v>
      </c>
      <c r="BN443" t="s">
        <v>2663</v>
      </c>
      <c r="BO443" t="s">
        <v>2664</v>
      </c>
      <c r="BR443" t="s">
        <v>546</v>
      </c>
      <c r="BS443" s="1">
        <v>618</v>
      </c>
      <c r="BW443" t="s">
        <v>536</v>
      </c>
      <c r="BX443" s="1">
        <v>618</v>
      </c>
      <c r="BZ443" t="s">
        <v>535</v>
      </c>
      <c r="CA443" t="s">
        <v>546</v>
      </c>
      <c r="CB443" t="s">
        <v>2130</v>
      </c>
      <c r="CC443" t="s">
        <v>556</v>
      </c>
      <c r="CD443" t="s">
        <v>2665</v>
      </c>
      <c r="CE443" t="s">
        <v>2666</v>
      </c>
      <c r="CF443" t="s">
        <v>333</v>
      </c>
      <c r="CG443" s="4">
        <v>1</v>
      </c>
      <c r="CH443" t="s">
        <v>546</v>
      </c>
      <c r="CK443" t="s">
        <v>2667</v>
      </c>
      <c r="CL443" s="1">
        <v>618</v>
      </c>
      <c r="CN443" t="s">
        <v>535</v>
      </c>
      <c r="CO443" t="s">
        <v>539</v>
      </c>
      <c r="CT443" t="s">
        <v>576</v>
      </c>
      <c r="CW443" t="s">
        <v>546</v>
      </c>
      <c r="DD443" t="s">
        <v>561</v>
      </c>
      <c r="DK443" t="s">
        <v>2668</v>
      </c>
      <c r="DL443" t="s">
        <v>2669</v>
      </c>
    </row>
    <row r="444" ht="15" customHeight="1" spans="1:122">
      <c r="A444" t="s">
        <v>530</v>
      </c>
      <c r="B444" t="s">
        <v>2670</v>
      </c>
      <c r="C444" t="s">
        <v>532</v>
      </c>
      <c r="D444" t="s">
        <v>2388</v>
      </c>
      <c r="E444" t="s">
        <v>534</v>
      </c>
      <c r="F444" t="s">
        <v>534</v>
      </c>
      <c r="G444" t="s">
        <v>535</v>
      </c>
      <c r="H444" s="1">
        <v>6291</v>
      </c>
      <c r="I444" s="1">
        <v>6291</v>
      </c>
      <c r="J444" t="s">
        <v>536</v>
      </c>
      <c r="L444" t="s">
        <v>536</v>
      </c>
      <c r="M444" t="s">
        <v>404</v>
      </c>
      <c r="N444" t="s">
        <v>537</v>
      </c>
      <c r="P444" s="1">
        <v>6291</v>
      </c>
      <c r="Q444" t="s">
        <v>642</v>
      </c>
      <c r="R444" t="s">
        <v>535</v>
      </c>
      <c r="S444" t="s">
        <v>539</v>
      </c>
      <c r="T444" s="2">
        <v>1</v>
      </c>
      <c r="U444" s="1">
        <v>6291</v>
      </c>
      <c r="V444" s="1">
        <v>6291</v>
      </c>
      <c r="X444" t="s">
        <v>540</v>
      </c>
      <c r="Z444" t="s">
        <v>541</v>
      </c>
      <c r="AA444" t="s">
        <v>542</v>
      </c>
      <c r="AB444" t="s">
        <v>543</v>
      </c>
      <c r="AC444" t="s">
        <v>544</v>
      </c>
      <c r="AD444" t="s">
        <v>545</v>
      </c>
      <c r="AE444" s="3">
        <v>1</v>
      </c>
      <c r="AF444" t="s">
        <v>181</v>
      </c>
      <c r="AG444" s="1">
        <v>6291</v>
      </c>
      <c r="AI444" s="1">
        <v>6291</v>
      </c>
      <c r="AJ444" s="1">
        <v>6291</v>
      </c>
      <c r="AM444" s="1">
        <v>6291</v>
      </c>
      <c r="AN444" t="s">
        <v>643</v>
      </c>
      <c r="AO444" t="s">
        <v>546</v>
      </c>
      <c r="AP444" t="s">
        <v>643</v>
      </c>
      <c r="AQ444" t="s">
        <v>548</v>
      </c>
      <c r="AS444" t="s">
        <v>404</v>
      </c>
      <c r="AX444" s="1">
        <v>6291</v>
      </c>
      <c r="AY444" t="s">
        <v>546</v>
      </c>
      <c r="AZ444" t="s">
        <v>644</v>
      </c>
      <c r="BA444" s="1">
        <v>6291</v>
      </c>
      <c r="BC444" t="s">
        <v>546</v>
      </c>
      <c r="BD444" s="1">
        <v>6291</v>
      </c>
      <c r="BE444" t="s">
        <v>540</v>
      </c>
      <c r="BF444" s="1">
        <v>6291</v>
      </c>
      <c r="BH444" s="1">
        <v>6291</v>
      </c>
      <c r="BI444" t="s">
        <v>550</v>
      </c>
      <c r="BJ444" t="s">
        <v>551</v>
      </c>
      <c r="BK444" t="s">
        <v>551</v>
      </c>
      <c r="BL444" t="s">
        <v>552</v>
      </c>
      <c r="BM444" t="s">
        <v>2462</v>
      </c>
      <c r="BN444" t="s">
        <v>2671</v>
      </c>
      <c r="BO444" t="s">
        <v>2672</v>
      </c>
      <c r="BR444" t="s">
        <v>546</v>
      </c>
      <c r="BS444" s="1">
        <v>6291</v>
      </c>
      <c r="BW444" t="s">
        <v>536</v>
      </c>
      <c r="BX444" s="1">
        <v>6291</v>
      </c>
      <c r="BZ444" t="s">
        <v>535</v>
      </c>
      <c r="CA444" t="s">
        <v>546</v>
      </c>
      <c r="CB444" t="s">
        <v>2388</v>
      </c>
      <c r="CC444" t="s">
        <v>556</v>
      </c>
      <c r="CD444" t="s">
        <v>1032</v>
      </c>
      <c r="CE444" t="s">
        <v>1033</v>
      </c>
      <c r="CF444" t="s">
        <v>181</v>
      </c>
      <c r="CG444" s="4">
        <v>1</v>
      </c>
      <c r="CH444" t="s">
        <v>546</v>
      </c>
      <c r="CK444" t="s">
        <v>2673</v>
      </c>
      <c r="CL444" s="1">
        <v>6291</v>
      </c>
      <c r="CN444" t="s">
        <v>535</v>
      </c>
      <c r="CO444" t="s">
        <v>539</v>
      </c>
      <c r="CT444" t="s">
        <v>651</v>
      </c>
      <c r="CW444" t="s">
        <v>546</v>
      </c>
      <c r="DD444" t="s">
        <v>561</v>
      </c>
      <c r="DK444" t="s">
        <v>2674</v>
      </c>
      <c r="DL444" t="s">
        <v>2675</v>
      </c>
      <c r="DR444" t="s">
        <v>2676</v>
      </c>
    </row>
    <row r="445" ht="15" customHeight="1" spans="1:122">
      <c r="A445" t="s">
        <v>530</v>
      </c>
      <c r="B445" t="s">
        <v>2677</v>
      </c>
      <c r="C445" t="s">
        <v>532</v>
      </c>
      <c r="D445" t="s">
        <v>2462</v>
      </c>
      <c r="E445" t="s">
        <v>534</v>
      </c>
      <c r="F445" t="s">
        <v>534</v>
      </c>
      <c r="G445" t="s">
        <v>535</v>
      </c>
      <c r="H445" s="1">
        <v>5032.8</v>
      </c>
      <c r="I445" s="1">
        <v>5002.6</v>
      </c>
      <c r="J445" t="s">
        <v>536</v>
      </c>
      <c r="L445" t="s">
        <v>536</v>
      </c>
      <c r="M445" t="s">
        <v>404</v>
      </c>
      <c r="N445" t="s">
        <v>537</v>
      </c>
      <c r="P445" s="1">
        <v>5032.8</v>
      </c>
      <c r="Q445" t="s">
        <v>642</v>
      </c>
      <c r="R445" t="s">
        <v>535</v>
      </c>
      <c r="S445" t="s">
        <v>539</v>
      </c>
      <c r="T445" s="2">
        <v>1</v>
      </c>
      <c r="U445" s="1">
        <v>5032.8</v>
      </c>
      <c r="V445" s="1">
        <v>5002.6</v>
      </c>
      <c r="X445" t="s">
        <v>540</v>
      </c>
      <c r="Z445" t="s">
        <v>541</v>
      </c>
      <c r="AA445" t="s">
        <v>542</v>
      </c>
      <c r="AB445" t="s">
        <v>543</v>
      </c>
      <c r="AC445" t="s">
        <v>544</v>
      </c>
      <c r="AD445" t="s">
        <v>545</v>
      </c>
      <c r="AE445" s="3">
        <v>1</v>
      </c>
      <c r="AF445" t="s">
        <v>178</v>
      </c>
      <c r="AG445" s="1">
        <v>5032.8</v>
      </c>
      <c r="AI445" s="1">
        <v>5032.8</v>
      </c>
      <c r="AJ445" s="1">
        <v>5032.8</v>
      </c>
      <c r="AK445" s="1">
        <v>30.2</v>
      </c>
      <c r="AM445" s="1">
        <v>5002.6</v>
      </c>
      <c r="AN445" t="s">
        <v>536</v>
      </c>
      <c r="AO445" t="s">
        <v>546</v>
      </c>
      <c r="AP445" t="s">
        <v>547</v>
      </c>
      <c r="AQ445" t="s">
        <v>548</v>
      </c>
      <c r="AS445" t="s">
        <v>404</v>
      </c>
      <c r="AX445" s="1">
        <v>5032.8</v>
      </c>
      <c r="AY445" t="s">
        <v>546</v>
      </c>
      <c r="AZ445" t="s">
        <v>549</v>
      </c>
      <c r="BA445" s="1">
        <v>5032.8</v>
      </c>
      <c r="BC445" t="s">
        <v>546</v>
      </c>
      <c r="BD445" s="1">
        <v>5032.8</v>
      </c>
      <c r="BE445" t="s">
        <v>540</v>
      </c>
      <c r="BF445" s="1">
        <v>5032.8</v>
      </c>
      <c r="BG445" s="1">
        <v>30.2</v>
      </c>
      <c r="BH445" s="1">
        <v>5002.6</v>
      </c>
      <c r="BI445" t="s">
        <v>550</v>
      </c>
      <c r="BJ445" t="s">
        <v>551</v>
      </c>
      <c r="BK445" t="s">
        <v>552</v>
      </c>
      <c r="BL445" t="s">
        <v>552</v>
      </c>
      <c r="BM445" t="s">
        <v>2462</v>
      </c>
      <c r="BN445" t="s">
        <v>2678</v>
      </c>
      <c r="BO445" t="s">
        <v>2678</v>
      </c>
      <c r="BR445" t="s">
        <v>546</v>
      </c>
      <c r="BS445" s="1">
        <v>5032.8</v>
      </c>
      <c r="BW445" t="s">
        <v>536</v>
      </c>
      <c r="BX445" s="1">
        <v>5032.8</v>
      </c>
      <c r="BZ445" t="s">
        <v>535</v>
      </c>
      <c r="CA445" t="s">
        <v>546</v>
      </c>
      <c r="CB445" t="s">
        <v>2462</v>
      </c>
      <c r="CC445" t="s">
        <v>556</v>
      </c>
      <c r="CD445" t="s">
        <v>1032</v>
      </c>
      <c r="CE445" t="s">
        <v>1033</v>
      </c>
      <c r="CF445" t="s">
        <v>178</v>
      </c>
      <c r="CG445" s="4">
        <v>1</v>
      </c>
      <c r="CH445" t="s">
        <v>546</v>
      </c>
      <c r="CK445" t="s">
        <v>2679</v>
      </c>
      <c r="CL445" s="1">
        <v>5032.8</v>
      </c>
      <c r="CN445" t="s">
        <v>535</v>
      </c>
      <c r="CO445" t="s">
        <v>539</v>
      </c>
      <c r="CT445" t="s">
        <v>651</v>
      </c>
      <c r="CW445" t="s">
        <v>546</v>
      </c>
      <c r="DD445" t="s">
        <v>561</v>
      </c>
      <c r="DK445" t="s">
        <v>2680</v>
      </c>
      <c r="DL445" t="s">
        <v>2681</v>
      </c>
    </row>
    <row r="446" ht="15" customHeight="1" spans="1:122">
      <c r="A446" t="s">
        <v>530</v>
      </c>
      <c r="B446" t="s">
        <v>2682</v>
      </c>
      <c r="C446" t="s">
        <v>532</v>
      </c>
      <c r="D446" t="s">
        <v>2462</v>
      </c>
      <c r="E446" t="s">
        <v>534</v>
      </c>
      <c r="F446" t="s">
        <v>534</v>
      </c>
      <c r="G446" t="s">
        <v>535</v>
      </c>
      <c r="H446" s="1">
        <v>1258.2</v>
      </c>
      <c r="I446" s="1">
        <v>1258.2</v>
      </c>
      <c r="J446" t="s">
        <v>536</v>
      </c>
      <c r="L446" t="s">
        <v>536</v>
      </c>
      <c r="M446" t="s">
        <v>404</v>
      </c>
      <c r="N446" t="s">
        <v>537</v>
      </c>
      <c r="P446" s="1">
        <v>1258.2</v>
      </c>
      <c r="Q446" t="s">
        <v>642</v>
      </c>
      <c r="R446" t="s">
        <v>535</v>
      </c>
      <c r="S446" t="s">
        <v>539</v>
      </c>
      <c r="T446" s="2">
        <v>1</v>
      </c>
      <c r="U446" s="1">
        <v>1258.2</v>
      </c>
      <c r="V446" s="1">
        <v>1258.2</v>
      </c>
      <c r="X446" t="s">
        <v>540</v>
      </c>
      <c r="Z446" t="s">
        <v>541</v>
      </c>
      <c r="AA446" t="s">
        <v>542</v>
      </c>
      <c r="AB446" t="s">
        <v>543</v>
      </c>
      <c r="AC446" t="s">
        <v>544</v>
      </c>
      <c r="AD446" t="s">
        <v>545</v>
      </c>
      <c r="AE446" s="3">
        <v>1</v>
      </c>
      <c r="AF446" t="s">
        <v>178</v>
      </c>
      <c r="AG446" s="1">
        <v>1258.2</v>
      </c>
      <c r="AI446" s="1">
        <v>1258.2</v>
      </c>
      <c r="AJ446" s="1">
        <v>1258.2</v>
      </c>
      <c r="AM446" s="1">
        <v>1258.2</v>
      </c>
      <c r="AN446" t="s">
        <v>565</v>
      </c>
      <c r="AO446" t="s">
        <v>546</v>
      </c>
      <c r="AP446" t="s">
        <v>565</v>
      </c>
      <c r="AQ446" t="s">
        <v>548</v>
      </c>
      <c r="AS446" t="s">
        <v>404</v>
      </c>
      <c r="AX446" s="1">
        <v>1258.2</v>
      </c>
      <c r="AY446" t="s">
        <v>546</v>
      </c>
      <c r="AZ446" t="s">
        <v>566</v>
      </c>
      <c r="BA446" s="1">
        <v>1258.2</v>
      </c>
      <c r="BC446" t="s">
        <v>546</v>
      </c>
      <c r="BD446" s="1">
        <v>1258.2</v>
      </c>
      <c r="BE446" t="s">
        <v>540</v>
      </c>
      <c r="BF446" s="1">
        <v>1258.2</v>
      </c>
      <c r="BH446" s="1">
        <v>1258.2</v>
      </c>
      <c r="BI446" t="s">
        <v>550</v>
      </c>
      <c r="BJ446" t="s">
        <v>551</v>
      </c>
      <c r="BK446" t="s">
        <v>551</v>
      </c>
      <c r="BL446" t="s">
        <v>552</v>
      </c>
      <c r="BM446" t="s">
        <v>2462</v>
      </c>
      <c r="BN446" t="s">
        <v>2683</v>
      </c>
      <c r="BO446" t="s">
        <v>2684</v>
      </c>
      <c r="BR446" t="s">
        <v>546</v>
      </c>
      <c r="BS446" s="1">
        <v>1258.2</v>
      </c>
      <c r="BW446" t="s">
        <v>536</v>
      </c>
      <c r="BX446" s="1">
        <v>1258.2</v>
      </c>
      <c r="BZ446" t="s">
        <v>535</v>
      </c>
      <c r="CA446" t="s">
        <v>546</v>
      </c>
      <c r="CB446" t="s">
        <v>2462</v>
      </c>
      <c r="CC446" t="s">
        <v>556</v>
      </c>
      <c r="CD446" t="s">
        <v>1032</v>
      </c>
      <c r="CE446" t="s">
        <v>1033</v>
      </c>
      <c r="CF446" t="s">
        <v>178</v>
      </c>
      <c r="CG446" s="4">
        <v>1</v>
      </c>
      <c r="CH446" t="s">
        <v>546</v>
      </c>
      <c r="CK446" t="s">
        <v>2679</v>
      </c>
      <c r="CL446" s="1">
        <v>1258.2</v>
      </c>
      <c r="CN446" t="s">
        <v>535</v>
      </c>
      <c r="CO446" t="s">
        <v>539</v>
      </c>
      <c r="CT446" t="s">
        <v>651</v>
      </c>
      <c r="CW446" t="s">
        <v>546</v>
      </c>
      <c r="DD446" t="s">
        <v>561</v>
      </c>
      <c r="DK446" t="s">
        <v>2680</v>
      </c>
      <c r="DL446" t="s">
        <v>2681</v>
      </c>
    </row>
    <row r="447" ht="15" customHeight="1" spans="1:122">
      <c r="A447" t="s">
        <v>530</v>
      </c>
      <c r="B447" t="s">
        <v>2685</v>
      </c>
      <c r="C447" t="s">
        <v>532</v>
      </c>
      <c r="D447" t="s">
        <v>2462</v>
      </c>
      <c r="E447" t="s">
        <v>534</v>
      </c>
      <c r="F447" t="s">
        <v>534</v>
      </c>
      <c r="G447" t="s">
        <v>535</v>
      </c>
      <c r="H447" s="1">
        <v>6500</v>
      </c>
      <c r="I447" s="1">
        <v>6486.02</v>
      </c>
      <c r="J447" t="s">
        <v>536</v>
      </c>
      <c r="L447" t="s">
        <v>536</v>
      </c>
      <c r="M447" t="s">
        <v>404</v>
      </c>
      <c r="N447" t="s">
        <v>537</v>
      </c>
      <c r="P447" s="1">
        <v>6500</v>
      </c>
      <c r="Q447" t="s">
        <v>642</v>
      </c>
      <c r="R447" t="s">
        <v>535</v>
      </c>
      <c r="S447" t="s">
        <v>539</v>
      </c>
      <c r="T447" s="2">
        <v>1</v>
      </c>
      <c r="U447" s="1">
        <v>6500</v>
      </c>
      <c r="V447" s="1">
        <v>6486.02</v>
      </c>
      <c r="X447" t="s">
        <v>540</v>
      </c>
      <c r="Z447" t="s">
        <v>541</v>
      </c>
      <c r="AA447" t="s">
        <v>542</v>
      </c>
      <c r="AB447" t="s">
        <v>659</v>
      </c>
      <c r="AC447" t="s">
        <v>544</v>
      </c>
      <c r="AD447" t="s">
        <v>545</v>
      </c>
      <c r="AE447" s="3">
        <v>1</v>
      </c>
      <c r="AF447" t="s">
        <v>184</v>
      </c>
      <c r="AG447" s="1">
        <v>6500</v>
      </c>
      <c r="AI447" s="1">
        <v>6500</v>
      </c>
      <c r="AJ447" s="1">
        <v>6500</v>
      </c>
      <c r="AK447" s="1">
        <v>13.98</v>
      </c>
      <c r="AM447" s="1">
        <v>6486.02</v>
      </c>
      <c r="AN447" t="s">
        <v>536</v>
      </c>
      <c r="AO447" t="s">
        <v>546</v>
      </c>
      <c r="AP447" t="s">
        <v>547</v>
      </c>
      <c r="AQ447" t="s">
        <v>548</v>
      </c>
      <c r="AS447" t="s">
        <v>404</v>
      </c>
      <c r="AX447" s="1">
        <v>6500</v>
      </c>
      <c r="AY447" t="s">
        <v>546</v>
      </c>
      <c r="AZ447" t="s">
        <v>549</v>
      </c>
      <c r="BA447" s="1">
        <v>6500</v>
      </c>
      <c r="BC447" t="s">
        <v>546</v>
      </c>
      <c r="BD447" s="1">
        <v>6500</v>
      </c>
      <c r="BE447" t="s">
        <v>540</v>
      </c>
      <c r="BF447" s="1">
        <v>6500</v>
      </c>
      <c r="BG447" s="1">
        <v>13.98</v>
      </c>
      <c r="BH447" s="1">
        <v>6486.02</v>
      </c>
      <c r="BI447" t="s">
        <v>550</v>
      </c>
      <c r="BJ447" t="s">
        <v>551</v>
      </c>
      <c r="BK447" t="s">
        <v>552</v>
      </c>
      <c r="BL447" t="s">
        <v>552</v>
      </c>
      <c r="BM447" t="s">
        <v>2462</v>
      </c>
      <c r="BN447" t="s">
        <v>2686</v>
      </c>
      <c r="BO447" t="s">
        <v>2687</v>
      </c>
      <c r="BR447" t="s">
        <v>546</v>
      </c>
      <c r="BS447" s="1">
        <v>6500</v>
      </c>
      <c r="BW447" t="s">
        <v>536</v>
      </c>
      <c r="BX447" s="1">
        <v>6500</v>
      </c>
      <c r="BZ447" t="s">
        <v>535</v>
      </c>
      <c r="CA447" t="s">
        <v>546</v>
      </c>
      <c r="CB447" t="s">
        <v>2462</v>
      </c>
      <c r="CC447" t="s">
        <v>556</v>
      </c>
      <c r="CD447" t="s">
        <v>1032</v>
      </c>
      <c r="CE447" t="s">
        <v>1033</v>
      </c>
      <c r="CF447" t="s">
        <v>184</v>
      </c>
      <c r="CG447" s="4">
        <v>1</v>
      </c>
      <c r="CH447" t="s">
        <v>546</v>
      </c>
      <c r="CK447" t="s">
        <v>2688</v>
      </c>
      <c r="CL447" s="1">
        <v>6500</v>
      </c>
      <c r="CN447" t="s">
        <v>535</v>
      </c>
      <c r="CO447" t="s">
        <v>539</v>
      </c>
      <c r="CT447" t="s">
        <v>651</v>
      </c>
      <c r="CW447" t="s">
        <v>546</v>
      </c>
      <c r="DD447" t="s">
        <v>561</v>
      </c>
      <c r="DK447" t="s">
        <v>2689</v>
      </c>
      <c r="DL447" t="s">
        <v>2690</v>
      </c>
      <c r="DR447" t="s">
        <v>2691</v>
      </c>
    </row>
    <row r="448" ht="15" customHeight="1" spans="1:122">
      <c r="A448" t="s">
        <v>603</v>
      </c>
      <c r="B448" t="s">
        <v>2692</v>
      </c>
      <c r="D448" t="s">
        <v>2462</v>
      </c>
      <c r="E448" t="s">
        <v>534</v>
      </c>
      <c r="F448" t="s">
        <v>534</v>
      </c>
      <c r="G448" t="s">
        <v>535</v>
      </c>
      <c r="H448" s="1">
        <v>23664</v>
      </c>
      <c r="I448" s="1">
        <v>23664</v>
      </c>
      <c r="J448" t="s">
        <v>536</v>
      </c>
      <c r="L448" t="s">
        <v>536</v>
      </c>
      <c r="M448" t="s">
        <v>392</v>
      </c>
      <c r="N448" t="s">
        <v>369</v>
      </c>
      <c r="P448" s="1">
        <v>23664</v>
      </c>
      <c r="Q448" t="s">
        <v>606</v>
      </c>
      <c r="R448" t="s">
        <v>535</v>
      </c>
      <c r="S448" t="s">
        <v>539</v>
      </c>
      <c r="T448" s="2">
        <v>1</v>
      </c>
      <c r="U448" s="1">
        <v>23664</v>
      </c>
      <c r="V448" s="1">
        <v>23664</v>
      </c>
      <c r="X448" t="s">
        <v>616</v>
      </c>
      <c r="Z448" t="s">
        <v>541</v>
      </c>
      <c r="AA448" t="s">
        <v>542</v>
      </c>
      <c r="AB448" t="s">
        <v>543</v>
      </c>
      <c r="AC448" t="s">
        <v>608</v>
      </c>
      <c r="AE448" s="3">
        <v>1</v>
      </c>
      <c r="AG448" s="1">
        <v>23664</v>
      </c>
      <c r="AI448" s="1">
        <v>23664</v>
      </c>
      <c r="AJ448" s="1">
        <v>23664</v>
      </c>
      <c r="AM448" s="1">
        <v>23664</v>
      </c>
      <c r="AN448" t="s">
        <v>536</v>
      </c>
      <c r="AO448" t="s">
        <v>546</v>
      </c>
      <c r="AP448" t="s">
        <v>547</v>
      </c>
      <c r="AQ448" t="s">
        <v>548</v>
      </c>
      <c r="AS448" t="s">
        <v>392</v>
      </c>
      <c r="AX448" s="1">
        <v>23664</v>
      </c>
      <c r="AY448" t="s">
        <v>546</v>
      </c>
      <c r="AZ448" t="s">
        <v>549</v>
      </c>
      <c r="BA448" s="1">
        <v>23664</v>
      </c>
      <c r="BC448" t="s">
        <v>546</v>
      </c>
      <c r="BE448" t="s">
        <v>616</v>
      </c>
      <c r="BH448" s="1">
        <v>23664</v>
      </c>
      <c r="BI448" t="s">
        <v>550</v>
      </c>
      <c r="BJ448" t="s">
        <v>552</v>
      </c>
      <c r="BK448" t="s">
        <v>552</v>
      </c>
      <c r="BL448" t="s">
        <v>552</v>
      </c>
      <c r="BM448" t="s">
        <v>2462</v>
      </c>
      <c r="BN448" t="s">
        <v>2693</v>
      </c>
      <c r="BO448" t="s">
        <v>2694</v>
      </c>
      <c r="BR448" t="s">
        <v>546</v>
      </c>
      <c r="BS448" s="1">
        <v>23664</v>
      </c>
      <c r="BW448" t="s">
        <v>536</v>
      </c>
      <c r="BZ448" t="s">
        <v>535</v>
      </c>
      <c r="CA448" t="s">
        <v>546</v>
      </c>
      <c r="CB448" t="s">
        <v>2462</v>
      </c>
      <c r="CC448" t="s">
        <v>556</v>
      </c>
      <c r="CH448" t="s">
        <v>546</v>
      </c>
      <c r="CK448" t="s">
        <v>2695</v>
      </c>
      <c r="CN448" t="s">
        <v>535</v>
      </c>
      <c r="CO448" t="s">
        <v>539</v>
      </c>
      <c r="CT448" t="s">
        <v>1789</v>
      </c>
      <c r="CW448" t="s">
        <v>546</v>
      </c>
      <c r="DD448" t="s">
        <v>561</v>
      </c>
    </row>
    <row r="449" ht="15" customHeight="1" spans="1:122">
      <c r="A449" t="s">
        <v>603</v>
      </c>
      <c r="B449" t="s">
        <v>2696</v>
      </c>
      <c r="D449" t="s">
        <v>2462</v>
      </c>
      <c r="E449" t="s">
        <v>534</v>
      </c>
      <c r="F449" t="s">
        <v>534</v>
      </c>
      <c r="G449" t="s">
        <v>535</v>
      </c>
      <c r="H449" s="1">
        <v>2845.08</v>
      </c>
      <c r="I449" s="1">
        <v>2845.08</v>
      </c>
      <c r="J449" t="s">
        <v>536</v>
      </c>
      <c r="L449" t="s">
        <v>536</v>
      </c>
      <c r="M449" t="s">
        <v>392</v>
      </c>
      <c r="N449" t="s">
        <v>1341</v>
      </c>
      <c r="P449" s="1">
        <v>2845.08</v>
      </c>
      <c r="Q449" t="s">
        <v>1342</v>
      </c>
      <c r="R449" t="s">
        <v>535</v>
      </c>
      <c r="S449" t="s">
        <v>539</v>
      </c>
      <c r="T449" s="2">
        <v>1</v>
      </c>
      <c r="U449" s="1">
        <v>2845.08</v>
      </c>
      <c r="V449" s="1">
        <v>2845.08</v>
      </c>
      <c r="X449" t="s">
        <v>616</v>
      </c>
      <c r="Z449" t="s">
        <v>541</v>
      </c>
      <c r="AA449" t="s">
        <v>542</v>
      </c>
      <c r="AB449" t="s">
        <v>543</v>
      </c>
      <c r="AC449" t="s">
        <v>608</v>
      </c>
      <c r="AE449" s="3">
        <v>1</v>
      </c>
      <c r="AG449" s="1">
        <v>2845.08</v>
      </c>
      <c r="AI449" s="1">
        <v>2845.08</v>
      </c>
      <c r="AJ449" s="1">
        <v>2845.08</v>
      </c>
      <c r="AM449" s="1">
        <v>2845.08</v>
      </c>
      <c r="AN449" t="s">
        <v>536</v>
      </c>
      <c r="AO449" t="s">
        <v>546</v>
      </c>
      <c r="AP449" t="s">
        <v>547</v>
      </c>
      <c r="AQ449" t="s">
        <v>548</v>
      </c>
      <c r="AS449" t="s">
        <v>392</v>
      </c>
      <c r="AX449" s="1">
        <v>2845.08</v>
      </c>
      <c r="AY449" t="s">
        <v>546</v>
      </c>
      <c r="AZ449" t="s">
        <v>549</v>
      </c>
      <c r="BA449" s="1">
        <v>2845.08</v>
      </c>
      <c r="BC449" t="s">
        <v>546</v>
      </c>
      <c r="BE449" t="s">
        <v>616</v>
      </c>
      <c r="BH449" s="1">
        <v>2845.08</v>
      </c>
      <c r="BI449" t="s">
        <v>550</v>
      </c>
      <c r="BJ449" t="s">
        <v>552</v>
      </c>
      <c r="BK449" t="s">
        <v>552</v>
      </c>
      <c r="BL449" t="s">
        <v>552</v>
      </c>
      <c r="BM449" t="s">
        <v>2462</v>
      </c>
      <c r="BN449" t="s">
        <v>2697</v>
      </c>
      <c r="BO449" t="s">
        <v>2698</v>
      </c>
      <c r="BR449" t="s">
        <v>546</v>
      </c>
      <c r="BS449" s="1">
        <v>2845.08</v>
      </c>
      <c r="BW449" t="s">
        <v>536</v>
      </c>
      <c r="BZ449" t="s">
        <v>535</v>
      </c>
      <c r="CA449" t="s">
        <v>546</v>
      </c>
      <c r="CB449" t="s">
        <v>2462</v>
      </c>
      <c r="CC449" t="s">
        <v>556</v>
      </c>
      <c r="CH449" t="s">
        <v>546</v>
      </c>
      <c r="CK449" t="s">
        <v>2699</v>
      </c>
      <c r="CN449" t="s">
        <v>535</v>
      </c>
      <c r="CO449" t="s">
        <v>539</v>
      </c>
      <c r="CT449" t="s">
        <v>1789</v>
      </c>
      <c r="CW449" t="s">
        <v>546</v>
      </c>
      <c r="DD449" t="s">
        <v>561</v>
      </c>
    </row>
    <row r="450" ht="15" customHeight="1" spans="1:122">
      <c r="A450" t="s">
        <v>530</v>
      </c>
      <c r="B450" t="s">
        <v>2700</v>
      </c>
      <c r="C450" t="s">
        <v>532</v>
      </c>
      <c r="D450" t="s">
        <v>2548</v>
      </c>
      <c r="E450" t="s">
        <v>534</v>
      </c>
      <c r="F450" t="s">
        <v>534</v>
      </c>
      <c r="G450" t="s">
        <v>535</v>
      </c>
      <c r="H450" s="1">
        <v>2597.6</v>
      </c>
      <c r="I450" s="1">
        <v>2582.01</v>
      </c>
      <c r="J450" t="s">
        <v>536</v>
      </c>
      <c r="L450" t="s">
        <v>536</v>
      </c>
      <c r="M450" t="s">
        <v>404</v>
      </c>
      <c r="N450" t="s">
        <v>537</v>
      </c>
      <c r="P450" s="1">
        <v>2597.6</v>
      </c>
      <c r="Q450" t="s">
        <v>642</v>
      </c>
      <c r="R450" t="s">
        <v>535</v>
      </c>
      <c r="S450" t="s">
        <v>539</v>
      </c>
      <c r="T450" s="2">
        <v>1</v>
      </c>
      <c r="U450" s="1">
        <v>2597.6</v>
      </c>
      <c r="V450" s="1">
        <v>2582.01</v>
      </c>
      <c r="X450" t="s">
        <v>540</v>
      </c>
      <c r="Z450" t="s">
        <v>541</v>
      </c>
      <c r="AA450" t="s">
        <v>542</v>
      </c>
      <c r="AB450" t="s">
        <v>543</v>
      </c>
      <c r="AC450" t="s">
        <v>544</v>
      </c>
      <c r="AD450" t="s">
        <v>545</v>
      </c>
      <c r="AE450" s="3">
        <v>1</v>
      </c>
      <c r="AF450" t="s">
        <v>8</v>
      </c>
      <c r="AG450" s="1">
        <v>2597.6</v>
      </c>
      <c r="AI450" s="1">
        <v>2597.6</v>
      </c>
      <c r="AJ450" s="1">
        <v>2597.6</v>
      </c>
      <c r="AK450" s="1">
        <v>15.59</v>
      </c>
      <c r="AM450" s="1">
        <v>2582.01</v>
      </c>
      <c r="AN450" t="s">
        <v>536</v>
      </c>
      <c r="AO450" t="s">
        <v>546</v>
      </c>
      <c r="AP450" t="s">
        <v>547</v>
      </c>
      <c r="AQ450" t="s">
        <v>548</v>
      </c>
      <c r="AS450" t="s">
        <v>404</v>
      </c>
      <c r="AX450" s="1">
        <v>2597.6</v>
      </c>
      <c r="AY450" t="s">
        <v>546</v>
      </c>
      <c r="AZ450" t="s">
        <v>549</v>
      </c>
      <c r="BA450" s="1">
        <v>2597.6</v>
      </c>
      <c r="BC450" t="s">
        <v>546</v>
      </c>
      <c r="BD450" s="1">
        <v>2597.6</v>
      </c>
      <c r="BE450" t="s">
        <v>540</v>
      </c>
      <c r="BF450" s="1">
        <v>2597.6</v>
      </c>
      <c r="BG450" s="1">
        <v>15.59</v>
      </c>
      <c r="BH450" s="1">
        <v>2582.01</v>
      </c>
      <c r="BI450" t="s">
        <v>550</v>
      </c>
      <c r="BJ450" t="s">
        <v>551</v>
      </c>
      <c r="BK450" t="s">
        <v>552</v>
      </c>
      <c r="BL450" t="s">
        <v>552</v>
      </c>
      <c r="BM450" t="s">
        <v>2548</v>
      </c>
      <c r="BN450" t="s">
        <v>2701</v>
      </c>
      <c r="BO450" t="s">
        <v>2702</v>
      </c>
      <c r="BR450" t="s">
        <v>546</v>
      </c>
      <c r="BS450" s="1">
        <v>2597.6</v>
      </c>
      <c r="BW450" t="s">
        <v>536</v>
      </c>
      <c r="BX450" s="1">
        <v>2597.6</v>
      </c>
      <c r="BZ450" t="s">
        <v>535</v>
      </c>
      <c r="CA450" t="s">
        <v>546</v>
      </c>
      <c r="CB450" t="s">
        <v>2548</v>
      </c>
      <c r="CC450" t="s">
        <v>556</v>
      </c>
      <c r="CD450" t="s">
        <v>1891</v>
      </c>
      <c r="CE450" t="s">
        <v>1892</v>
      </c>
      <c r="CF450" t="s">
        <v>8</v>
      </c>
      <c r="CG450" s="4">
        <v>1</v>
      </c>
      <c r="CH450" t="s">
        <v>546</v>
      </c>
      <c r="CK450" t="s">
        <v>2703</v>
      </c>
      <c r="CL450" s="1">
        <v>2597.6</v>
      </c>
      <c r="CN450" t="s">
        <v>535</v>
      </c>
      <c r="CO450" t="s">
        <v>539</v>
      </c>
      <c r="CT450" t="s">
        <v>651</v>
      </c>
      <c r="CW450" t="s">
        <v>546</v>
      </c>
      <c r="DD450" t="s">
        <v>561</v>
      </c>
      <c r="DK450" t="s">
        <v>2704</v>
      </c>
      <c r="DL450" t="s">
        <v>2125</v>
      </c>
    </row>
    <row r="451" ht="15" customHeight="1" spans="1:122">
      <c r="A451" t="s">
        <v>530</v>
      </c>
      <c r="B451" t="s">
        <v>2705</v>
      </c>
      <c r="C451" t="s">
        <v>532</v>
      </c>
      <c r="D451" t="s">
        <v>2548</v>
      </c>
      <c r="E451" t="s">
        <v>534</v>
      </c>
      <c r="F451" t="s">
        <v>534</v>
      </c>
      <c r="G451" t="s">
        <v>535</v>
      </c>
      <c r="H451" s="1">
        <v>649.4</v>
      </c>
      <c r="I451" s="1">
        <v>649.4</v>
      </c>
      <c r="J451" t="s">
        <v>536</v>
      </c>
      <c r="L451" t="s">
        <v>536</v>
      </c>
      <c r="M451" t="s">
        <v>404</v>
      </c>
      <c r="N451" t="s">
        <v>537</v>
      </c>
      <c r="P451" s="1">
        <v>649.4</v>
      </c>
      <c r="Q451" t="s">
        <v>642</v>
      </c>
      <c r="R451" t="s">
        <v>535</v>
      </c>
      <c r="S451" t="s">
        <v>539</v>
      </c>
      <c r="T451" s="2">
        <v>1</v>
      </c>
      <c r="U451" s="1">
        <v>649.4</v>
      </c>
      <c r="V451" s="1">
        <v>649.4</v>
      </c>
      <c r="X451" t="s">
        <v>540</v>
      </c>
      <c r="Z451" t="s">
        <v>541</v>
      </c>
      <c r="AA451" t="s">
        <v>542</v>
      </c>
      <c r="AB451" t="s">
        <v>543</v>
      </c>
      <c r="AC451" t="s">
        <v>544</v>
      </c>
      <c r="AD451" t="s">
        <v>545</v>
      </c>
      <c r="AE451" s="3">
        <v>1</v>
      </c>
      <c r="AF451" t="s">
        <v>8</v>
      </c>
      <c r="AG451" s="1">
        <v>649.4</v>
      </c>
      <c r="AI451" s="1">
        <v>649.4</v>
      </c>
      <c r="AJ451" s="1">
        <v>649.4</v>
      </c>
      <c r="AM451" s="1">
        <v>649.4</v>
      </c>
      <c r="AN451" t="s">
        <v>565</v>
      </c>
      <c r="AO451" t="s">
        <v>546</v>
      </c>
      <c r="AP451" t="s">
        <v>565</v>
      </c>
      <c r="AQ451" t="s">
        <v>548</v>
      </c>
      <c r="AS451" t="s">
        <v>404</v>
      </c>
      <c r="AX451" s="1">
        <v>649.4</v>
      </c>
      <c r="AY451" t="s">
        <v>546</v>
      </c>
      <c r="AZ451" t="s">
        <v>566</v>
      </c>
      <c r="BA451" s="1">
        <v>649.4</v>
      </c>
      <c r="BC451" t="s">
        <v>546</v>
      </c>
      <c r="BD451" s="1">
        <v>649.4</v>
      </c>
      <c r="BE451" t="s">
        <v>540</v>
      </c>
      <c r="BF451" s="1">
        <v>649.4</v>
      </c>
      <c r="BH451" s="1">
        <v>649.4</v>
      </c>
      <c r="BI451" t="s">
        <v>550</v>
      </c>
      <c r="BJ451" t="s">
        <v>551</v>
      </c>
      <c r="BK451" t="s">
        <v>551</v>
      </c>
      <c r="BL451" t="s">
        <v>552</v>
      </c>
      <c r="BM451" t="s">
        <v>2548</v>
      </c>
      <c r="BN451" t="s">
        <v>2706</v>
      </c>
      <c r="BO451" t="s">
        <v>2707</v>
      </c>
      <c r="BR451" t="s">
        <v>546</v>
      </c>
      <c r="BS451" s="1">
        <v>649.4</v>
      </c>
      <c r="BW451" t="s">
        <v>536</v>
      </c>
      <c r="BX451" s="1">
        <v>649.4</v>
      </c>
      <c r="BZ451" t="s">
        <v>535</v>
      </c>
      <c r="CA451" t="s">
        <v>546</v>
      </c>
      <c r="CB451" t="s">
        <v>2548</v>
      </c>
      <c r="CC451" t="s">
        <v>556</v>
      </c>
      <c r="CD451" t="s">
        <v>1891</v>
      </c>
      <c r="CE451" t="s">
        <v>1892</v>
      </c>
      <c r="CF451" t="s">
        <v>8</v>
      </c>
      <c r="CG451" s="4">
        <v>1</v>
      </c>
      <c r="CH451" t="s">
        <v>546</v>
      </c>
      <c r="CK451" t="s">
        <v>2703</v>
      </c>
      <c r="CL451" s="1">
        <v>649.4</v>
      </c>
      <c r="CN451" t="s">
        <v>535</v>
      </c>
      <c r="CO451" t="s">
        <v>539</v>
      </c>
      <c r="CT451" t="s">
        <v>651</v>
      </c>
      <c r="CW451" t="s">
        <v>546</v>
      </c>
      <c r="DD451" t="s">
        <v>561</v>
      </c>
      <c r="DK451" t="s">
        <v>2704</v>
      </c>
      <c r="DL451" t="s">
        <v>2125</v>
      </c>
    </row>
    <row r="452" ht="15" customHeight="1" spans="1:122">
      <c r="A452" t="s">
        <v>530</v>
      </c>
      <c r="B452" t="s">
        <v>2708</v>
      </c>
      <c r="C452" t="s">
        <v>532</v>
      </c>
      <c r="D452" t="s">
        <v>2548</v>
      </c>
      <c r="E452" t="s">
        <v>534</v>
      </c>
      <c r="F452" t="s">
        <v>534</v>
      </c>
      <c r="G452" t="s">
        <v>535</v>
      </c>
      <c r="H452" s="1">
        <v>791</v>
      </c>
      <c r="I452" s="1">
        <v>791</v>
      </c>
      <c r="J452" t="s">
        <v>536</v>
      </c>
      <c r="L452" t="s">
        <v>536</v>
      </c>
      <c r="M452" t="s">
        <v>382</v>
      </c>
      <c r="N452" t="s">
        <v>537</v>
      </c>
      <c r="P452" s="1">
        <v>791</v>
      </c>
      <c r="Q452" t="s">
        <v>785</v>
      </c>
      <c r="R452" t="s">
        <v>535</v>
      </c>
      <c r="S452" t="s">
        <v>539</v>
      </c>
      <c r="T452" s="2">
        <v>1</v>
      </c>
      <c r="U452" s="1">
        <v>791</v>
      </c>
      <c r="V452" s="1">
        <v>791</v>
      </c>
      <c r="X452" t="s">
        <v>540</v>
      </c>
      <c r="Z452" t="s">
        <v>541</v>
      </c>
      <c r="AA452" t="s">
        <v>542</v>
      </c>
      <c r="AB452" t="s">
        <v>543</v>
      </c>
      <c r="AC452" t="s">
        <v>544</v>
      </c>
      <c r="AD452" t="s">
        <v>545</v>
      </c>
      <c r="AE452" s="3">
        <v>1</v>
      </c>
      <c r="AF452" t="s">
        <v>188</v>
      </c>
      <c r="AG452" s="1">
        <v>791</v>
      </c>
      <c r="AI452" s="1">
        <v>791</v>
      </c>
      <c r="AJ452" s="1">
        <v>791</v>
      </c>
      <c r="AM452" s="1">
        <v>791</v>
      </c>
      <c r="AN452" t="s">
        <v>643</v>
      </c>
      <c r="AO452" t="s">
        <v>546</v>
      </c>
      <c r="AP452" t="s">
        <v>643</v>
      </c>
      <c r="AQ452" t="s">
        <v>548</v>
      </c>
      <c r="AS452" t="s">
        <v>382</v>
      </c>
      <c r="AX452" s="1">
        <v>791</v>
      </c>
      <c r="AY452" t="s">
        <v>546</v>
      </c>
      <c r="AZ452" t="s">
        <v>644</v>
      </c>
      <c r="BA452" s="1">
        <v>791</v>
      </c>
      <c r="BC452" t="s">
        <v>546</v>
      </c>
      <c r="BD452" s="1">
        <v>791</v>
      </c>
      <c r="BE452" t="s">
        <v>540</v>
      </c>
      <c r="BF452" s="1">
        <v>791</v>
      </c>
      <c r="BH452" s="1">
        <v>791</v>
      </c>
      <c r="BI452" t="s">
        <v>550</v>
      </c>
      <c r="BJ452" t="s">
        <v>785</v>
      </c>
      <c r="BK452" t="s">
        <v>785</v>
      </c>
      <c r="BL452" t="s">
        <v>552</v>
      </c>
      <c r="BM452" t="s">
        <v>2548</v>
      </c>
      <c r="BN452" t="s">
        <v>2709</v>
      </c>
      <c r="BO452" t="s">
        <v>2710</v>
      </c>
      <c r="BR452" t="s">
        <v>546</v>
      </c>
      <c r="BS452" s="1">
        <v>791</v>
      </c>
      <c r="BW452" t="s">
        <v>536</v>
      </c>
      <c r="BX452" s="1">
        <v>791</v>
      </c>
      <c r="BZ452" t="s">
        <v>535</v>
      </c>
      <c r="CA452" t="s">
        <v>546</v>
      </c>
      <c r="CB452" t="s">
        <v>2548</v>
      </c>
      <c r="CC452" t="s">
        <v>556</v>
      </c>
      <c r="CD452" t="s">
        <v>1108</v>
      </c>
      <c r="CE452" t="s">
        <v>1109</v>
      </c>
      <c r="CF452" t="s">
        <v>188</v>
      </c>
      <c r="CG452" s="4">
        <v>1</v>
      </c>
      <c r="CH452" t="s">
        <v>546</v>
      </c>
      <c r="CK452" t="s">
        <v>2711</v>
      </c>
      <c r="CL452" s="1">
        <v>791</v>
      </c>
      <c r="CN452" t="s">
        <v>535</v>
      </c>
      <c r="CO452" t="s">
        <v>539</v>
      </c>
      <c r="CT452" t="s">
        <v>791</v>
      </c>
      <c r="CW452" t="s">
        <v>546</v>
      </c>
      <c r="DD452" t="s">
        <v>561</v>
      </c>
      <c r="DK452" t="s">
        <v>2712</v>
      </c>
      <c r="DL452" t="s">
        <v>2713</v>
      </c>
      <c r="DR452" t="s">
        <v>2714</v>
      </c>
    </row>
    <row r="453" ht="15" customHeight="1" spans="1:122">
      <c r="A453" t="s">
        <v>530</v>
      </c>
      <c r="B453" t="s">
        <v>2715</v>
      </c>
      <c r="C453" t="s">
        <v>532</v>
      </c>
      <c r="D453" t="s">
        <v>2462</v>
      </c>
      <c r="E453" t="s">
        <v>534</v>
      </c>
      <c r="F453" t="s">
        <v>534</v>
      </c>
      <c r="G453" t="s">
        <v>535</v>
      </c>
      <c r="H453" s="1">
        <v>5707</v>
      </c>
      <c r="I453" s="1">
        <v>5707</v>
      </c>
      <c r="J453" t="s">
        <v>536</v>
      </c>
      <c r="L453" t="s">
        <v>536</v>
      </c>
      <c r="M453" t="s">
        <v>382</v>
      </c>
      <c r="N453" t="s">
        <v>537</v>
      </c>
      <c r="P453" s="1">
        <v>5707</v>
      </c>
      <c r="Q453" t="s">
        <v>785</v>
      </c>
      <c r="R453" t="s">
        <v>535</v>
      </c>
      <c r="S453" t="s">
        <v>539</v>
      </c>
      <c r="T453" s="2">
        <v>1</v>
      </c>
      <c r="U453" s="1">
        <v>5707</v>
      </c>
      <c r="V453" s="1">
        <v>5707</v>
      </c>
      <c r="X453" t="s">
        <v>540</v>
      </c>
      <c r="Z453" t="s">
        <v>541</v>
      </c>
      <c r="AA453" t="s">
        <v>542</v>
      </c>
      <c r="AB453" t="s">
        <v>543</v>
      </c>
      <c r="AC453" t="s">
        <v>544</v>
      </c>
      <c r="AD453" t="s">
        <v>545</v>
      </c>
      <c r="AE453" s="3">
        <v>1</v>
      </c>
      <c r="AF453" t="s">
        <v>190</v>
      </c>
      <c r="AG453" s="1">
        <v>3636</v>
      </c>
      <c r="AI453" s="1">
        <v>5707</v>
      </c>
      <c r="AJ453" s="1">
        <v>3636</v>
      </c>
      <c r="AM453" s="1">
        <v>3636</v>
      </c>
      <c r="AN453" t="s">
        <v>536</v>
      </c>
      <c r="AO453" t="s">
        <v>546</v>
      </c>
      <c r="AP453" t="s">
        <v>547</v>
      </c>
      <c r="AQ453" t="s">
        <v>548</v>
      </c>
      <c r="AS453" t="s">
        <v>382</v>
      </c>
      <c r="AX453" s="1">
        <v>3636</v>
      </c>
      <c r="AY453" t="s">
        <v>546</v>
      </c>
      <c r="AZ453" t="s">
        <v>549</v>
      </c>
      <c r="BA453" s="1">
        <v>3636</v>
      </c>
      <c r="BC453" t="s">
        <v>546</v>
      </c>
      <c r="BD453" s="1">
        <v>3636</v>
      </c>
      <c r="BE453" t="s">
        <v>540</v>
      </c>
      <c r="BF453" s="1">
        <v>3636</v>
      </c>
      <c r="BH453" s="1">
        <v>3636</v>
      </c>
      <c r="BI453" t="s">
        <v>550</v>
      </c>
      <c r="BJ453" t="s">
        <v>551</v>
      </c>
      <c r="BK453" t="s">
        <v>552</v>
      </c>
      <c r="BL453" t="s">
        <v>552</v>
      </c>
      <c r="BM453" t="s">
        <v>2548</v>
      </c>
      <c r="BN453" t="s">
        <v>2716</v>
      </c>
      <c r="BO453" t="s">
        <v>2717</v>
      </c>
      <c r="BR453" t="s">
        <v>546</v>
      </c>
      <c r="BS453" s="1">
        <v>3636</v>
      </c>
      <c r="BW453" t="s">
        <v>536</v>
      </c>
      <c r="BX453" s="1">
        <v>3636</v>
      </c>
      <c r="BZ453" t="s">
        <v>535</v>
      </c>
      <c r="CA453" t="s">
        <v>546</v>
      </c>
      <c r="CB453" t="s">
        <v>2462</v>
      </c>
      <c r="CC453" t="s">
        <v>556</v>
      </c>
      <c r="CD453" t="s">
        <v>745</v>
      </c>
      <c r="CE453" t="s">
        <v>746</v>
      </c>
      <c r="CF453" t="s">
        <v>190</v>
      </c>
      <c r="CG453" s="4">
        <v>1</v>
      </c>
      <c r="CH453" t="s">
        <v>546</v>
      </c>
      <c r="CK453" t="s">
        <v>2718</v>
      </c>
      <c r="CL453" s="1">
        <v>3636</v>
      </c>
      <c r="CN453" t="s">
        <v>535</v>
      </c>
      <c r="CO453" t="s">
        <v>539</v>
      </c>
      <c r="CT453" t="s">
        <v>791</v>
      </c>
      <c r="CW453" t="s">
        <v>546</v>
      </c>
      <c r="DD453" t="s">
        <v>561</v>
      </c>
      <c r="DK453" t="s">
        <v>2719</v>
      </c>
      <c r="DL453" t="s">
        <v>2720</v>
      </c>
    </row>
    <row r="454" ht="15" customHeight="1" spans="1:122">
      <c r="AB454" t="s">
        <v>543</v>
      </c>
      <c r="AC454" t="s">
        <v>544</v>
      </c>
      <c r="AD454" t="s">
        <v>545</v>
      </c>
      <c r="AF454" t="s">
        <v>189</v>
      </c>
      <c r="AG454" s="1">
        <v>2071</v>
      </c>
      <c r="AJ454" s="1">
        <v>2071</v>
      </c>
      <c r="AM454" s="1">
        <v>2071</v>
      </c>
      <c r="AN454" t="s">
        <v>536</v>
      </c>
      <c r="AP454" t="s">
        <v>547</v>
      </c>
      <c r="AX454" s="1">
        <v>2071</v>
      </c>
      <c r="AZ454" t="s">
        <v>549</v>
      </c>
      <c r="BA454" s="1">
        <v>2071</v>
      </c>
      <c r="BC454" t="s">
        <v>546</v>
      </c>
      <c r="BD454" s="1">
        <v>2071</v>
      </c>
      <c r="BE454" t="s">
        <v>540</v>
      </c>
      <c r="BF454" s="1">
        <v>2071</v>
      </c>
      <c r="BH454" s="1">
        <v>2071</v>
      </c>
      <c r="BS454" s="1">
        <v>2071</v>
      </c>
      <c r="BX454" s="1">
        <v>2071</v>
      </c>
      <c r="CB454" t="s">
        <v>2462</v>
      </c>
      <c r="CC454" t="s">
        <v>556</v>
      </c>
      <c r="CD454" t="s">
        <v>692</v>
      </c>
      <c r="CE454" t="s">
        <v>693</v>
      </c>
      <c r="CF454" t="s">
        <v>189</v>
      </c>
      <c r="CG454" s="4">
        <v>1</v>
      </c>
      <c r="CL454" s="1">
        <v>2071</v>
      </c>
      <c r="DD454" t="s">
        <v>561</v>
      </c>
    </row>
    <row r="455" ht="15" customHeight="1" spans="1:122">
      <c r="A455" t="s">
        <v>603</v>
      </c>
      <c r="B455" t="s">
        <v>2721</v>
      </c>
      <c r="C455" t="s">
        <v>752</v>
      </c>
      <c r="D455" t="s">
        <v>533</v>
      </c>
      <c r="E455" t="s">
        <v>534</v>
      </c>
      <c r="F455" t="s">
        <v>534</v>
      </c>
      <c r="G455" t="s">
        <v>535</v>
      </c>
      <c r="H455" s="1">
        <v>789</v>
      </c>
      <c r="I455" s="1">
        <v>789</v>
      </c>
      <c r="J455" t="s">
        <v>536</v>
      </c>
      <c r="L455" t="s">
        <v>536</v>
      </c>
      <c r="M455" t="s">
        <v>389</v>
      </c>
      <c r="N455" t="s">
        <v>753</v>
      </c>
      <c r="P455" s="1">
        <v>789</v>
      </c>
      <c r="Q455" t="s">
        <v>754</v>
      </c>
      <c r="R455" t="s">
        <v>535</v>
      </c>
      <c r="S455" t="s">
        <v>539</v>
      </c>
      <c r="T455" s="2">
        <v>1</v>
      </c>
      <c r="U455" s="1">
        <v>789</v>
      </c>
      <c r="V455" s="1">
        <v>789</v>
      </c>
      <c r="X455" t="s">
        <v>616</v>
      </c>
      <c r="Z455" t="s">
        <v>541</v>
      </c>
      <c r="AA455" t="s">
        <v>542</v>
      </c>
      <c r="AB455" t="s">
        <v>543</v>
      </c>
      <c r="AC455" t="s">
        <v>608</v>
      </c>
      <c r="AE455" s="3">
        <v>1</v>
      </c>
      <c r="AG455" s="1">
        <v>789</v>
      </c>
      <c r="AI455" s="1">
        <v>789</v>
      </c>
      <c r="AJ455" s="1">
        <v>789</v>
      </c>
      <c r="AM455" s="1">
        <v>789</v>
      </c>
      <c r="AN455" t="s">
        <v>536</v>
      </c>
      <c r="AO455" t="s">
        <v>546</v>
      </c>
      <c r="AP455" t="s">
        <v>547</v>
      </c>
      <c r="AQ455" t="s">
        <v>548</v>
      </c>
      <c r="AS455" t="s">
        <v>389</v>
      </c>
      <c r="AX455" s="1">
        <v>789</v>
      </c>
      <c r="AY455" t="s">
        <v>546</v>
      </c>
      <c r="AZ455" t="s">
        <v>549</v>
      </c>
      <c r="BA455" s="1">
        <v>789</v>
      </c>
      <c r="BC455" t="s">
        <v>546</v>
      </c>
      <c r="BE455" t="s">
        <v>616</v>
      </c>
      <c r="BH455" s="1">
        <v>789</v>
      </c>
      <c r="BI455" t="s">
        <v>550</v>
      </c>
      <c r="BJ455" t="s">
        <v>551</v>
      </c>
      <c r="BK455" t="s">
        <v>551</v>
      </c>
      <c r="BL455" t="s">
        <v>552</v>
      </c>
      <c r="BM455" t="s">
        <v>2548</v>
      </c>
      <c r="BN455" t="s">
        <v>2722</v>
      </c>
      <c r="BO455" t="s">
        <v>2723</v>
      </c>
      <c r="BR455" t="s">
        <v>546</v>
      </c>
      <c r="BS455" s="1">
        <v>789</v>
      </c>
      <c r="BW455" t="s">
        <v>536</v>
      </c>
      <c r="BZ455" t="s">
        <v>535</v>
      </c>
      <c r="CA455" t="s">
        <v>546</v>
      </c>
      <c r="CB455" t="s">
        <v>533</v>
      </c>
      <c r="CC455" t="s">
        <v>556</v>
      </c>
      <c r="CH455" t="s">
        <v>546</v>
      </c>
      <c r="CK455" t="s">
        <v>2724</v>
      </c>
      <c r="CN455" t="s">
        <v>535</v>
      </c>
      <c r="CO455" t="s">
        <v>539</v>
      </c>
      <c r="CT455" t="s">
        <v>760</v>
      </c>
      <c r="CW455" t="s">
        <v>546</v>
      </c>
      <c r="DD455" t="s">
        <v>561</v>
      </c>
      <c r="DK455" t="s">
        <v>761</v>
      </c>
      <c r="DR455" t="s">
        <v>2725</v>
      </c>
    </row>
    <row r="456" ht="15" customHeight="1" spans="1:122">
      <c r="A456" t="s">
        <v>603</v>
      </c>
      <c r="B456" t="s">
        <v>2726</v>
      </c>
      <c r="D456" t="s">
        <v>2548</v>
      </c>
      <c r="E456" t="s">
        <v>534</v>
      </c>
      <c r="F456" t="s">
        <v>534</v>
      </c>
      <c r="G456" t="s">
        <v>535</v>
      </c>
      <c r="H456" s="1">
        <v>93.7</v>
      </c>
      <c r="I456" s="1">
        <v>93.7</v>
      </c>
      <c r="J456" t="s">
        <v>536</v>
      </c>
      <c r="L456" t="s">
        <v>536</v>
      </c>
      <c r="M456" t="s">
        <v>398</v>
      </c>
      <c r="N456" t="s">
        <v>1341</v>
      </c>
      <c r="P456" s="1">
        <v>93.7</v>
      </c>
      <c r="Q456" t="s">
        <v>1342</v>
      </c>
      <c r="R456" t="s">
        <v>535</v>
      </c>
      <c r="S456" t="s">
        <v>539</v>
      </c>
      <c r="T456" s="2">
        <v>1</v>
      </c>
      <c r="U456" s="1">
        <v>93.7</v>
      </c>
      <c r="V456" s="1">
        <v>93.7</v>
      </c>
      <c r="X456" t="s">
        <v>616</v>
      </c>
      <c r="Z456" t="s">
        <v>541</v>
      </c>
      <c r="AA456" t="s">
        <v>542</v>
      </c>
      <c r="AB456" t="s">
        <v>543</v>
      </c>
      <c r="AC456" t="s">
        <v>608</v>
      </c>
      <c r="AE456" s="3">
        <v>1</v>
      </c>
      <c r="AG456" s="1">
        <v>93.7</v>
      </c>
      <c r="AI456" s="1">
        <v>93.7</v>
      </c>
      <c r="AJ456" s="1">
        <v>93.7</v>
      </c>
      <c r="AM456" s="1">
        <v>93.7</v>
      </c>
      <c r="AN456" t="s">
        <v>536</v>
      </c>
      <c r="AO456" t="s">
        <v>546</v>
      </c>
      <c r="AP456" t="s">
        <v>547</v>
      </c>
      <c r="AQ456" t="s">
        <v>548</v>
      </c>
      <c r="AS456" t="s">
        <v>398</v>
      </c>
      <c r="AX456" s="1">
        <v>93.7</v>
      </c>
      <c r="AY456" t="s">
        <v>546</v>
      </c>
      <c r="AZ456" t="s">
        <v>549</v>
      </c>
      <c r="BA456" s="1">
        <v>93.7</v>
      </c>
      <c r="BC456" t="s">
        <v>546</v>
      </c>
      <c r="BE456" t="s">
        <v>616</v>
      </c>
      <c r="BH456" s="1">
        <v>93.7</v>
      </c>
      <c r="BI456" t="s">
        <v>550</v>
      </c>
      <c r="BJ456" t="s">
        <v>552</v>
      </c>
      <c r="BK456" t="s">
        <v>552</v>
      </c>
      <c r="BL456" t="s">
        <v>552</v>
      </c>
      <c r="BM456" t="s">
        <v>2548</v>
      </c>
      <c r="BN456" t="s">
        <v>2727</v>
      </c>
      <c r="BO456" t="s">
        <v>2728</v>
      </c>
      <c r="BR456" t="s">
        <v>546</v>
      </c>
      <c r="BS456" s="1">
        <v>93.7</v>
      </c>
      <c r="BW456" t="s">
        <v>536</v>
      </c>
      <c r="BZ456" t="s">
        <v>535</v>
      </c>
      <c r="CA456" t="s">
        <v>546</v>
      </c>
      <c r="CB456" t="s">
        <v>2548</v>
      </c>
      <c r="CC456" t="s">
        <v>556</v>
      </c>
      <c r="CH456" t="s">
        <v>546</v>
      </c>
      <c r="CK456" t="s">
        <v>2729</v>
      </c>
      <c r="CN456" t="s">
        <v>535</v>
      </c>
      <c r="CO456" t="s">
        <v>539</v>
      </c>
      <c r="CT456" t="s">
        <v>1789</v>
      </c>
      <c r="CW456" t="s">
        <v>546</v>
      </c>
      <c r="DD456" t="s">
        <v>561</v>
      </c>
    </row>
    <row r="457" ht="15" customHeight="1" spans="1:122">
      <c r="A457" t="s">
        <v>603</v>
      </c>
      <c r="B457" t="s">
        <v>2730</v>
      </c>
      <c r="C457" t="s">
        <v>532</v>
      </c>
      <c r="D457" t="s">
        <v>1852</v>
      </c>
      <c r="E457" t="s">
        <v>534</v>
      </c>
      <c r="F457" t="s">
        <v>534</v>
      </c>
      <c r="G457" t="s">
        <v>535</v>
      </c>
      <c r="H457" s="1">
        <v>0.01</v>
      </c>
      <c r="I457" s="1">
        <v>0.01</v>
      </c>
      <c r="J457" t="s">
        <v>536</v>
      </c>
      <c r="L457" t="s">
        <v>536</v>
      </c>
      <c r="M457" t="s">
        <v>403</v>
      </c>
      <c r="N457" t="s">
        <v>369</v>
      </c>
      <c r="P457" s="1">
        <v>0.01</v>
      </c>
      <c r="Q457" t="s">
        <v>996</v>
      </c>
      <c r="R457" t="s">
        <v>535</v>
      </c>
      <c r="S457" t="s">
        <v>539</v>
      </c>
      <c r="T457" s="2">
        <v>1</v>
      </c>
      <c r="U457" s="1">
        <v>0.01</v>
      </c>
      <c r="V457" s="1">
        <v>0.01</v>
      </c>
      <c r="X457" t="s">
        <v>616</v>
      </c>
      <c r="Z457" t="s">
        <v>541</v>
      </c>
      <c r="AA457" t="s">
        <v>2731</v>
      </c>
      <c r="AB457" t="s">
        <v>543</v>
      </c>
      <c r="AC457" t="s">
        <v>608</v>
      </c>
      <c r="AE457" s="3">
        <v>1</v>
      </c>
      <c r="AG457" s="1">
        <v>0.01</v>
      </c>
      <c r="AI457" s="1">
        <v>0.01</v>
      </c>
      <c r="AJ457" s="1">
        <v>0.01</v>
      </c>
      <c r="AM457" s="1">
        <v>0.01</v>
      </c>
      <c r="AN457" t="s">
        <v>536</v>
      </c>
      <c r="AO457" t="s">
        <v>546</v>
      </c>
      <c r="AP457" t="s">
        <v>547</v>
      </c>
      <c r="AQ457" t="s">
        <v>548</v>
      </c>
      <c r="AS457" t="s">
        <v>403</v>
      </c>
      <c r="AX457" s="1">
        <v>0.01</v>
      </c>
      <c r="AY457" t="s">
        <v>546</v>
      </c>
      <c r="AZ457" t="s">
        <v>549</v>
      </c>
      <c r="BA457" s="1">
        <v>0.01</v>
      </c>
      <c r="BC457" t="s">
        <v>546</v>
      </c>
      <c r="BE457" t="s">
        <v>616</v>
      </c>
      <c r="BH457" s="1">
        <v>0.01</v>
      </c>
      <c r="BI457" t="s">
        <v>550</v>
      </c>
      <c r="BJ457" t="s">
        <v>552</v>
      </c>
      <c r="BK457" t="s">
        <v>552</v>
      </c>
      <c r="BL457" t="s">
        <v>552</v>
      </c>
      <c r="BM457" t="s">
        <v>2548</v>
      </c>
      <c r="BN457" t="s">
        <v>2732</v>
      </c>
      <c r="BO457" t="s">
        <v>2733</v>
      </c>
      <c r="BR457" t="s">
        <v>546</v>
      </c>
      <c r="BS457" s="1">
        <v>0.01</v>
      </c>
      <c r="BW457" t="s">
        <v>536</v>
      </c>
      <c r="BZ457" t="s">
        <v>535</v>
      </c>
      <c r="CA457" t="s">
        <v>546</v>
      </c>
      <c r="CB457" t="s">
        <v>1852</v>
      </c>
      <c r="CC457" t="s">
        <v>556</v>
      </c>
      <c r="CH457" t="s">
        <v>546</v>
      </c>
      <c r="CK457" t="s">
        <v>2734</v>
      </c>
      <c r="CN457" t="s">
        <v>535</v>
      </c>
      <c r="CO457" t="s">
        <v>539</v>
      </c>
      <c r="CT457" t="s">
        <v>2735</v>
      </c>
      <c r="CW457" t="s">
        <v>546</v>
      </c>
      <c r="DD457" t="s">
        <v>561</v>
      </c>
    </row>
    <row r="458" ht="15" customHeight="1" spans="1:122">
      <c r="A458" t="s">
        <v>530</v>
      </c>
      <c r="B458" t="s">
        <v>2736</v>
      </c>
      <c r="C458" t="s">
        <v>532</v>
      </c>
      <c r="D458" t="s">
        <v>2737</v>
      </c>
      <c r="E458" t="s">
        <v>534</v>
      </c>
      <c r="F458" t="s">
        <v>534</v>
      </c>
      <c r="G458" t="s">
        <v>535</v>
      </c>
      <c r="H458" s="1">
        <v>3311.2</v>
      </c>
      <c r="I458" s="1">
        <v>3291.33</v>
      </c>
      <c r="J458" t="s">
        <v>536</v>
      </c>
      <c r="L458" t="s">
        <v>536</v>
      </c>
      <c r="M458" t="s">
        <v>375</v>
      </c>
      <c r="N458" t="s">
        <v>537</v>
      </c>
      <c r="P458" s="1">
        <v>3311.2</v>
      </c>
      <c r="Q458" t="s">
        <v>580</v>
      </c>
      <c r="R458" t="s">
        <v>535</v>
      </c>
      <c r="S458" t="s">
        <v>539</v>
      </c>
      <c r="T458" s="2">
        <v>1</v>
      </c>
      <c r="U458" s="1">
        <v>3311.2</v>
      </c>
      <c r="V458" s="1">
        <v>3291.33</v>
      </c>
      <c r="X458" t="s">
        <v>540</v>
      </c>
      <c r="Z458" t="s">
        <v>541</v>
      </c>
      <c r="AA458" t="s">
        <v>542</v>
      </c>
      <c r="AB458" t="s">
        <v>543</v>
      </c>
      <c r="AC458" t="s">
        <v>544</v>
      </c>
      <c r="AD458" t="s">
        <v>545</v>
      </c>
      <c r="AE458" s="3">
        <v>1</v>
      </c>
      <c r="AF458" t="s">
        <v>193</v>
      </c>
      <c r="AG458" s="1">
        <v>3311.2</v>
      </c>
      <c r="AI458" s="1">
        <v>3311.2</v>
      </c>
      <c r="AJ458" s="1">
        <v>3311.2</v>
      </c>
      <c r="AK458" s="1">
        <v>19.87</v>
      </c>
      <c r="AM458" s="1">
        <v>3291.33</v>
      </c>
      <c r="AN458" t="s">
        <v>536</v>
      </c>
      <c r="AO458" t="s">
        <v>546</v>
      </c>
      <c r="AP458" t="s">
        <v>547</v>
      </c>
      <c r="AQ458" t="s">
        <v>548</v>
      </c>
      <c r="AS458" t="s">
        <v>375</v>
      </c>
      <c r="AX458" s="1">
        <v>3311.2</v>
      </c>
      <c r="AY458" t="s">
        <v>546</v>
      </c>
      <c r="AZ458" t="s">
        <v>549</v>
      </c>
      <c r="BA458" s="1">
        <v>3311.2</v>
      </c>
      <c r="BC458" t="s">
        <v>546</v>
      </c>
      <c r="BD458" s="1">
        <v>3311.2</v>
      </c>
      <c r="BE458" t="s">
        <v>540</v>
      </c>
      <c r="BF458" s="1">
        <v>3311.2</v>
      </c>
      <c r="BG458" s="1">
        <v>19.87</v>
      </c>
      <c r="BH458" s="1">
        <v>3291.33</v>
      </c>
      <c r="BI458" t="s">
        <v>550</v>
      </c>
      <c r="BJ458" t="s">
        <v>570</v>
      </c>
      <c r="BK458" t="s">
        <v>552</v>
      </c>
      <c r="BL458" t="s">
        <v>552</v>
      </c>
      <c r="BM458" t="s">
        <v>2548</v>
      </c>
      <c r="BN458" t="s">
        <v>2738</v>
      </c>
      <c r="BO458" t="s">
        <v>2739</v>
      </c>
      <c r="BR458" t="s">
        <v>546</v>
      </c>
      <c r="BS458" s="1">
        <v>3311.2</v>
      </c>
      <c r="BW458" t="s">
        <v>536</v>
      </c>
      <c r="BX458" s="1">
        <v>3311.2</v>
      </c>
      <c r="BZ458" t="s">
        <v>535</v>
      </c>
      <c r="CA458" t="s">
        <v>546</v>
      </c>
      <c r="CB458" t="s">
        <v>2737</v>
      </c>
      <c r="CC458" t="s">
        <v>556</v>
      </c>
      <c r="CD458" t="s">
        <v>673</v>
      </c>
      <c r="CE458" t="s">
        <v>674</v>
      </c>
      <c r="CF458" t="s">
        <v>193</v>
      </c>
      <c r="CG458" s="4">
        <v>1</v>
      </c>
      <c r="CH458" t="s">
        <v>546</v>
      </c>
      <c r="CK458" t="s">
        <v>2740</v>
      </c>
      <c r="CL458" s="1">
        <v>3311.2</v>
      </c>
      <c r="CN458" t="s">
        <v>535</v>
      </c>
      <c r="CO458" t="s">
        <v>539</v>
      </c>
      <c r="CT458" t="s">
        <v>576</v>
      </c>
      <c r="CW458" t="s">
        <v>546</v>
      </c>
      <c r="DD458" t="s">
        <v>561</v>
      </c>
      <c r="DK458" t="s">
        <v>2741</v>
      </c>
      <c r="DL458" t="s">
        <v>2742</v>
      </c>
    </row>
    <row r="459" ht="15" customHeight="1" spans="1:122">
      <c r="A459" t="s">
        <v>530</v>
      </c>
      <c r="B459" t="s">
        <v>2743</v>
      </c>
      <c r="C459" t="s">
        <v>532</v>
      </c>
      <c r="D459" t="s">
        <v>2737</v>
      </c>
      <c r="E459" t="s">
        <v>534</v>
      </c>
      <c r="F459" t="s">
        <v>534</v>
      </c>
      <c r="G459" t="s">
        <v>535</v>
      </c>
      <c r="H459" s="1">
        <v>827.8</v>
      </c>
      <c r="I459" s="1">
        <v>827.8</v>
      </c>
      <c r="J459" t="s">
        <v>536</v>
      </c>
      <c r="L459" t="s">
        <v>536</v>
      </c>
      <c r="M459" t="s">
        <v>375</v>
      </c>
      <c r="N459" t="s">
        <v>537</v>
      </c>
      <c r="P459" s="1">
        <v>827.8</v>
      </c>
      <c r="Q459" t="s">
        <v>580</v>
      </c>
      <c r="R459" t="s">
        <v>535</v>
      </c>
      <c r="S459" t="s">
        <v>539</v>
      </c>
      <c r="T459" s="2">
        <v>1</v>
      </c>
      <c r="U459" s="1">
        <v>827.8</v>
      </c>
      <c r="V459" s="1">
        <v>827.8</v>
      </c>
      <c r="X459" t="s">
        <v>540</v>
      </c>
      <c r="Z459" t="s">
        <v>541</v>
      </c>
      <c r="AA459" t="s">
        <v>542</v>
      </c>
      <c r="AB459" t="s">
        <v>543</v>
      </c>
      <c r="AC459" t="s">
        <v>544</v>
      </c>
      <c r="AD459" t="s">
        <v>545</v>
      </c>
      <c r="AE459" s="3">
        <v>1</v>
      </c>
      <c r="AF459" t="s">
        <v>193</v>
      </c>
      <c r="AG459" s="1">
        <v>827.8</v>
      </c>
      <c r="AI459" s="1">
        <v>827.8</v>
      </c>
      <c r="AJ459" s="1">
        <v>827.8</v>
      </c>
      <c r="AM459" s="1">
        <v>827.8</v>
      </c>
      <c r="AN459" t="s">
        <v>565</v>
      </c>
      <c r="AO459" t="s">
        <v>546</v>
      </c>
      <c r="AP459" t="s">
        <v>565</v>
      </c>
      <c r="AQ459" t="s">
        <v>548</v>
      </c>
      <c r="AS459" t="s">
        <v>375</v>
      </c>
      <c r="AX459" s="1">
        <v>827.8</v>
      </c>
      <c r="AY459" t="s">
        <v>546</v>
      </c>
      <c r="AZ459" t="s">
        <v>566</v>
      </c>
      <c r="BA459" s="1">
        <v>827.8</v>
      </c>
      <c r="BC459" t="s">
        <v>546</v>
      </c>
      <c r="BD459" s="1">
        <v>827.8</v>
      </c>
      <c r="BE459" t="s">
        <v>540</v>
      </c>
      <c r="BF459" s="1">
        <v>827.8</v>
      </c>
      <c r="BH459" s="1">
        <v>827.8</v>
      </c>
      <c r="BI459" t="s">
        <v>550</v>
      </c>
      <c r="BJ459" t="s">
        <v>570</v>
      </c>
      <c r="BK459" t="s">
        <v>570</v>
      </c>
      <c r="BL459" t="s">
        <v>552</v>
      </c>
      <c r="BM459" t="s">
        <v>2548</v>
      </c>
      <c r="BN459" t="s">
        <v>2744</v>
      </c>
      <c r="BO459" t="s">
        <v>2745</v>
      </c>
      <c r="BR459" t="s">
        <v>546</v>
      </c>
      <c r="BS459" s="1">
        <v>827.8</v>
      </c>
      <c r="BW459" t="s">
        <v>536</v>
      </c>
      <c r="BX459" s="1">
        <v>827.8</v>
      </c>
      <c r="BZ459" t="s">
        <v>535</v>
      </c>
      <c r="CA459" t="s">
        <v>546</v>
      </c>
      <c r="CB459" t="s">
        <v>2737</v>
      </c>
      <c r="CC459" t="s">
        <v>556</v>
      </c>
      <c r="CD459" t="s">
        <v>673</v>
      </c>
      <c r="CE459" t="s">
        <v>674</v>
      </c>
      <c r="CF459" t="s">
        <v>193</v>
      </c>
      <c r="CG459" s="4">
        <v>1</v>
      </c>
      <c r="CH459" t="s">
        <v>546</v>
      </c>
      <c r="CK459" t="s">
        <v>2740</v>
      </c>
      <c r="CL459" s="1">
        <v>827.8</v>
      </c>
      <c r="CN459" t="s">
        <v>535</v>
      </c>
      <c r="CO459" t="s">
        <v>539</v>
      </c>
      <c r="CT459" t="s">
        <v>576</v>
      </c>
      <c r="CW459" t="s">
        <v>546</v>
      </c>
      <c r="DD459" t="s">
        <v>561</v>
      </c>
      <c r="DK459" t="s">
        <v>2741</v>
      </c>
      <c r="DL459" t="s">
        <v>2742</v>
      </c>
    </row>
    <row r="460" ht="15" customHeight="1" spans="1:122">
      <c r="A460" t="s">
        <v>530</v>
      </c>
      <c r="B460" t="s">
        <v>2746</v>
      </c>
      <c r="C460" t="s">
        <v>532</v>
      </c>
      <c r="D460" t="s">
        <v>2462</v>
      </c>
      <c r="E460" t="s">
        <v>534</v>
      </c>
      <c r="F460" t="s">
        <v>534</v>
      </c>
      <c r="G460" t="s">
        <v>535</v>
      </c>
      <c r="H460" s="1">
        <v>1196</v>
      </c>
      <c r="I460" s="1">
        <v>1196</v>
      </c>
      <c r="J460" t="s">
        <v>536</v>
      </c>
      <c r="L460" t="s">
        <v>536</v>
      </c>
      <c r="M460" t="s">
        <v>375</v>
      </c>
      <c r="N460" t="s">
        <v>537</v>
      </c>
      <c r="P460" s="1">
        <v>1196</v>
      </c>
      <c r="Q460" t="s">
        <v>580</v>
      </c>
      <c r="R460" t="s">
        <v>535</v>
      </c>
      <c r="S460" t="s">
        <v>539</v>
      </c>
      <c r="T460" s="2">
        <v>1</v>
      </c>
      <c r="U460" s="1">
        <v>1196</v>
      </c>
      <c r="V460" s="1">
        <v>1196</v>
      </c>
      <c r="X460" t="s">
        <v>540</v>
      </c>
      <c r="Z460" t="s">
        <v>541</v>
      </c>
      <c r="AA460" t="s">
        <v>542</v>
      </c>
      <c r="AB460" t="s">
        <v>543</v>
      </c>
      <c r="AC460" t="s">
        <v>544</v>
      </c>
      <c r="AD460" t="s">
        <v>545</v>
      </c>
      <c r="AE460" s="3">
        <v>1</v>
      </c>
      <c r="AF460" t="s">
        <v>194</v>
      </c>
      <c r="AG460" s="1">
        <v>1196</v>
      </c>
      <c r="AI460" s="1">
        <v>1196</v>
      </c>
      <c r="AJ460" s="1">
        <v>1196</v>
      </c>
      <c r="AM460" s="1">
        <v>1196</v>
      </c>
      <c r="AN460" t="s">
        <v>643</v>
      </c>
      <c r="AO460" t="s">
        <v>546</v>
      </c>
      <c r="AP460" t="s">
        <v>643</v>
      </c>
      <c r="AQ460" t="s">
        <v>548</v>
      </c>
      <c r="AS460" t="s">
        <v>375</v>
      </c>
      <c r="AX460" s="1">
        <v>1196</v>
      </c>
      <c r="AY460" t="s">
        <v>546</v>
      </c>
      <c r="AZ460" t="s">
        <v>644</v>
      </c>
      <c r="BA460" s="1">
        <v>1196</v>
      </c>
      <c r="BC460" t="s">
        <v>546</v>
      </c>
      <c r="BD460" s="1">
        <v>1196</v>
      </c>
      <c r="BE460" t="s">
        <v>540</v>
      </c>
      <c r="BF460" s="1">
        <v>1196</v>
      </c>
      <c r="BH460" s="1">
        <v>1196</v>
      </c>
      <c r="BI460" t="s">
        <v>550</v>
      </c>
      <c r="BJ460" t="s">
        <v>570</v>
      </c>
      <c r="BK460" t="s">
        <v>552</v>
      </c>
      <c r="BL460" t="s">
        <v>552</v>
      </c>
      <c r="BM460" t="s">
        <v>2548</v>
      </c>
      <c r="BN460" t="s">
        <v>2747</v>
      </c>
      <c r="BO460" t="s">
        <v>2748</v>
      </c>
      <c r="BR460" t="s">
        <v>546</v>
      </c>
      <c r="BS460" s="1">
        <v>1196</v>
      </c>
      <c r="BW460" t="s">
        <v>536</v>
      </c>
      <c r="BX460" s="1">
        <v>1196</v>
      </c>
      <c r="BZ460" t="s">
        <v>535</v>
      </c>
      <c r="CA460" t="s">
        <v>546</v>
      </c>
      <c r="CB460" t="s">
        <v>2462</v>
      </c>
      <c r="CC460" t="s">
        <v>556</v>
      </c>
      <c r="CD460" t="s">
        <v>1197</v>
      </c>
      <c r="CE460" t="s">
        <v>1198</v>
      </c>
      <c r="CF460" t="s">
        <v>194</v>
      </c>
      <c r="CG460" s="4">
        <v>1</v>
      </c>
      <c r="CH460" t="s">
        <v>546</v>
      </c>
      <c r="CK460" t="s">
        <v>2749</v>
      </c>
      <c r="CL460" s="1">
        <v>1196</v>
      </c>
      <c r="CN460" t="s">
        <v>535</v>
      </c>
      <c r="CO460" t="s">
        <v>539</v>
      </c>
      <c r="CT460" t="s">
        <v>576</v>
      </c>
      <c r="CW460" t="s">
        <v>546</v>
      </c>
      <c r="DD460" t="s">
        <v>561</v>
      </c>
      <c r="DK460" t="s">
        <v>2750</v>
      </c>
      <c r="DL460" t="s">
        <v>2751</v>
      </c>
      <c r="DR460" t="s">
        <v>2752</v>
      </c>
    </row>
    <row r="461" ht="15" customHeight="1" spans="1:122">
      <c r="A461" t="s">
        <v>530</v>
      </c>
      <c r="B461" t="s">
        <v>2753</v>
      </c>
      <c r="C461" t="s">
        <v>656</v>
      </c>
      <c r="D461" t="s">
        <v>2548</v>
      </c>
      <c r="E461" t="s">
        <v>534</v>
      </c>
      <c r="F461" t="s">
        <v>534</v>
      </c>
      <c r="G461" t="s">
        <v>535</v>
      </c>
      <c r="H461" s="1">
        <v>2850</v>
      </c>
      <c r="I461" s="1">
        <v>2843.87</v>
      </c>
      <c r="J461" t="s">
        <v>536</v>
      </c>
      <c r="L461" t="s">
        <v>536</v>
      </c>
      <c r="M461" t="s">
        <v>393</v>
      </c>
      <c r="N461" t="s">
        <v>657</v>
      </c>
      <c r="P461" s="1">
        <v>2850</v>
      </c>
      <c r="Q461" t="s">
        <v>658</v>
      </c>
      <c r="R461" t="s">
        <v>535</v>
      </c>
      <c r="S461" t="s">
        <v>539</v>
      </c>
      <c r="T461" s="2">
        <v>1</v>
      </c>
      <c r="U461" s="1">
        <v>2850</v>
      </c>
      <c r="V461" s="1">
        <v>2843.87</v>
      </c>
      <c r="X461" t="s">
        <v>540</v>
      </c>
      <c r="Z461" t="s">
        <v>541</v>
      </c>
      <c r="AA461" t="s">
        <v>542</v>
      </c>
      <c r="AB461" t="s">
        <v>659</v>
      </c>
      <c r="AC461" t="s">
        <v>544</v>
      </c>
      <c r="AD461" t="s">
        <v>545</v>
      </c>
      <c r="AE461" s="3">
        <v>1</v>
      </c>
      <c r="AF461" t="s">
        <v>334</v>
      </c>
      <c r="AG461" s="1">
        <v>2000</v>
      </c>
      <c r="AI461" s="1">
        <v>2850</v>
      </c>
      <c r="AJ461" s="1">
        <v>2000</v>
      </c>
      <c r="AK461" s="1">
        <v>4.3</v>
      </c>
      <c r="AM461" s="1">
        <v>1995.7</v>
      </c>
      <c r="AN461" t="s">
        <v>536</v>
      </c>
      <c r="AO461" t="s">
        <v>546</v>
      </c>
      <c r="AP461" t="s">
        <v>547</v>
      </c>
      <c r="AQ461" t="s">
        <v>548</v>
      </c>
      <c r="AS461" t="s">
        <v>393</v>
      </c>
      <c r="AX461" s="1">
        <v>2000</v>
      </c>
      <c r="AY461" t="s">
        <v>546</v>
      </c>
      <c r="AZ461" t="s">
        <v>549</v>
      </c>
      <c r="BA461" s="1">
        <v>2000</v>
      </c>
      <c r="BC461" t="s">
        <v>546</v>
      </c>
      <c r="BD461" s="1">
        <v>2000</v>
      </c>
      <c r="BE461" t="s">
        <v>540</v>
      </c>
      <c r="BF461" s="1">
        <v>2000</v>
      </c>
      <c r="BG461" s="1">
        <v>4.3</v>
      </c>
      <c r="BH461" s="1">
        <v>1995.7</v>
      </c>
      <c r="BI461" t="s">
        <v>550</v>
      </c>
      <c r="BJ461" t="s">
        <v>660</v>
      </c>
      <c r="BK461" t="s">
        <v>552</v>
      </c>
      <c r="BL461" t="s">
        <v>552</v>
      </c>
      <c r="BM461" t="s">
        <v>2548</v>
      </c>
      <c r="BN461" t="s">
        <v>2754</v>
      </c>
      <c r="BO461" t="s">
        <v>2755</v>
      </c>
      <c r="BR461" t="s">
        <v>546</v>
      </c>
      <c r="BS461" s="1">
        <v>2000</v>
      </c>
      <c r="BW461" t="s">
        <v>536</v>
      </c>
      <c r="BX461" s="1">
        <v>2000</v>
      </c>
      <c r="BZ461" t="s">
        <v>535</v>
      </c>
      <c r="CA461" t="s">
        <v>546</v>
      </c>
      <c r="CB461" t="s">
        <v>2548</v>
      </c>
      <c r="CC461" t="s">
        <v>556</v>
      </c>
      <c r="CD461" t="s">
        <v>2756</v>
      </c>
      <c r="CE461" t="s">
        <v>2757</v>
      </c>
      <c r="CF461" t="s">
        <v>334</v>
      </c>
      <c r="CG461" s="4">
        <v>1</v>
      </c>
      <c r="CH461" t="s">
        <v>546</v>
      </c>
      <c r="CK461" t="s">
        <v>2758</v>
      </c>
      <c r="CL461" s="1">
        <v>2000</v>
      </c>
      <c r="CN461" t="s">
        <v>535</v>
      </c>
      <c r="CO461" t="s">
        <v>539</v>
      </c>
      <c r="CT461" t="s">
        <v>666</v>
      </c>
      <c r="CW461" t="s">
        <v>546</v>
      </c>
      <c r="DD461" t="s">
        <v>561</v>
      </c>
      <c r="DK461" t="s">
        <v>2759</v>
      </c>
      <c r="DL461" t="s">
        <v>2760</v>
      </c>
    </row>
    <row r="462" ht="15" customHeight="1" spans="1:122">
      <c r="AB462" t="s">
        <v>659</v>
      </c>
      <c r="AC462" t="s">
        <v>544</v>
      </c>
      <c r="AD462" t="s">
        <v>545</v>
      </c>
      <c r="AF462" t="s">
        <v>187</v>
      </c>
      <c r="AG462" s="1">
        <v>850</v>
      </c>
      <c r="AJ462" s="1">
        <v>850</v>
      </c>
      <c r="AK462" s="1">
        <v>1.83</v>
      </c>
      <c r="AM462" s="1">
        <v>848.17</v>
      </c>
      <c r="AN462" t="s">
        <v>536</v>
      </c>
      <c r="AP462" t="s">
        <v>547</v>
      </c>
      <c r="AX462" s="1">
        <v>850</v>
      </c>
      <c r="AZ462" t="s">
        <v>549</v>
      </c>
      <c r="BA462" s="1">
        <v>850</v>
      </c>
      <c r="BC462" t="s">
        <v>546</v>
      </c>
      <c r="BD462" s="1">
        <v>850</v>
      </c>
      <c r="BE462" t="s">
        <v>540</v>
      </c>
      <c r="BF462" s="1">
        <v>850</v>
      </c>
      <c r="BG462" s="1">
        <v>1.83</v>
      </c>
      <c r="BH462" s="1">
        <v>848.17</v>
      </c>
      <c r="BS462" s="1">
        <v>850</v>
      </c>
      <c r="BX462" s="1">
        <v>850</v>
      </c>
      <c r="CB462" t="s">
        <v>2548</v>
      </c>
      <c r="CC462" t="s">
        <v>556</v>
      </c>
      <c r="CD462" t="s">
        <v>1108</v>
      </c>
      <c r="CE462" t="s">
        <v>1109</v>
      </c>
      <c r="CF462" t="s">
        <v>187</v>
      </c>
      <c r="CG462" s="4">
        <v>1</v>
      </c>
      <c r="CL462" s="1">
        <v>850</v>
      </c>
      <c r="DD462" t="s">
        <v>561</v>
      </c>
    </row>
    <row r="463" ht="15" customHeight="1" spans="1:122">
      <c r="A463" t="s">
        <v>603</v>
      </c>
      <c r="B463" t="s">
        <v>2761</v>
      </c>
      <c r="C463" t="s">
        <v>532</v>
      </c>
      <c r="D463" t="s">
        <v>2548</v>
      </c>
      <c r="E463" t="s">
        <v>534</v>
      </c>
      <c r="F463" t="s">
        <v>534</v>
      </c>
      <c r="G463" t="s">
        <v>535</v>
      </c>
      <c r="H463" s="1">
        <v>5238.8</v>
      </c>
      <c r="I463" s="1">
        <v>5238.8</v>
      </c>
      <c r="J463" t="s">
        <v>536</v>
      </c>
      <c r="L463" t="s">
        <v>536</v>
      </c>
      <c r="M463" t="s">
        <v>399</v>
      </c>
      <c r="N463" t="s">
        <v>369</v>
      </c>
      <c r="P463" s="1">
        <v>5238.8</v>
      </c>
      <c r="Q463" t="s">
        <v>606</v>
      </c>
      <c r="R463" t="s">
        <v>535</v>
      </c>
      <c r="S463" t="s">
        <v>539</v>
      </c>
      <c r="T463" s="2">
        <v>1</v>
      </c>
      <c r="U463" s="1">
        <v>5238.8</v>
      </c>
      <c r="V463" s="1">
        <v>5238.8</v>
      </c>
      <c r="X463" t="s">
        <v>616</v>
      </c>
      <c r="Z463" t="s">
        <v>541</v>
      </c>
      <c r="AA463" t="s">
        <v>542</v>
      </c>
      <c r="AB463" t="s">
        <v>543</v>
      </c>
      <c r="AC463" t="s">
        <v>608</v>
      </c>
      <c r="AE463" s="3">
        <v>1</v>
      </c>
      <c r="AG463" s="1">
        <v>5238.8</v>
      </c>
      <c r="AI463" s="1">
        <v>5238.8</v>
      </c>
      <c r="AJ463" s="1">
        <v>5238.8</v>
      </c>
      <c r="AM463" s="1">
        <v>5238.8</v>
      </c>
      <c r="AN463" t="s">
        <v>536</v>
      </c>
      <c r="AO463" t="s">
        <v>546</v>
      </c>
      <c r="AP463" t="s">
        <v>547</v>
      </c>
      <c r="AQ463" t="s">
        <v>548</v>
      </c>
      <c r="AS463" t="s">
        <v>399</v>
      </c>
      <c r="AX463" s="1">
        <v>5238.8</v>
      </c>
      <c r="AY463" t="s">
        <v>546</v>
      </c>
      <c r="AZ463" t="s">
        <v>549</v>
      </c>
      <c r="BA463" s="1">
        <v>5238.8</v>
      </c>
      <c r="BC463" t="s">
        <v>546</v>
      </c>
      <c r="BE463" t="s">
        <v>616</v>
      </c>
      <c r="BH463" s="1">
        <v>5238.8</v>
      </c>
      <c r="BI463" t="s">
        <v>550</v>
      </c>
      <c r="BJ463" t="s">
        <v>610</v>
      </c>
      <c r="BK463" t="s">
        <v>610</v>
      </c>
      <c r="BL463" t="s">
        <v>552</v>
      </c>
      <c r="BM463" t="s">
        <v>2548</v>
      </c>
      <c r="BN463" t="s">
        <v>2762</v>
      </c>
      <c r="BO463" t="s">
        <v>2763</v>
      </c>
      <c r="BR463" t="s">
        <v>546</v>
      </c>
      <c r="BS463" s="1">
        <v>5238.8</v>
      </c>
      <c r="BW463" t="s">
        <v>536</v>
      </c>
      <c r="BZ463" t="s">
        <v>535</v>
      </c>
      <c r="CA463" t="s">
        <v>546</v>
      </c>
      <c r="CB463" t="s">
        <v>2548</v>
      </c>
      <c r="CC463" t="s">
        <v>556</v>
      </c>
      <c r="CH463" t="s">
        <v>546</v>
      </c>
      <c r="CK463" t="s">
        <v>2764</v>
      </c>
      <c r="CN463" t="s">
        <v>535</v>
      </c>
      <c r="CO463" t="s">
        <v>539</v>
      </c>
      <c r="CT463" t="s">
        <v>576</v>
      </c>
      <c r="CW463" t="s">
        <v>546</v>
      </c>
      <c r="DD463" t="s">
        <v>561</v>
      </c>
      <c r="DR463" t="s">
        <v>2765</v>
      </c>
    </row>
    <row r="464" ht="15" customHeight="1" spans="1:122">
      <c r="A464" t="s">
        <v>530</v>
      </c>
      <c r="B464" t="s">
        <v>2766</v>
      </c>
      <c r="C464" t="s">
        <v>532</v>
      </c>
      <c r="D464" t="s">
        <v>2548</v>
      </c>
      <c r="E464" t="s">
        <v>534</v>
      </c>
      <c r="F464" t="s">
        <v>534</v>
      </c>
      <c r="G464" t="s">
        <v>535</v>
      </c>
      <c r="H464" s="1">
        <v>5800</v>
      </c>
      <c r="I464" s="1">
        <v>5800</v>
      </c>
      <c r="J464" t="s">
        <v>536</v>
      </c>
      <c r="L464" t="s">
        <v>536</v>
      </c>
      <c r="M464" t="s">
        <v>382</v>
      </c>
      <c r="N464" t="s">
        <v>537</v>
      </c>
      <c r="P464" s="1">
        <v>5800</v>
      </c>
      <c r="Q464" t="s">
        <v>785</v>
      </c>
      <c r="R464" t="s">
        <v>535</v>
      </c>
      <c r="S464" t="s">
        <v>539</v>
      </c>
      <c r="T464" s="2">
        <v>1</v>
      </c>
      <c r="U464" s="1">
        <v>5800</v>
      </c>
      <c r="V464" s="1">
        <v>5800</v>
      </c>
      <c r="X464" t="s">
        <v>540</v>
      </c>
      <c r="Z464" t="s">
        <v>541</v>
      </c>
      <c r="AA464" t="s">
        <v>542</v>
      </c>
      <c r="AB464" t="s">
        <v>543</v>
      </c>
      <c r="AC464" t="s">
        <v>544</v>
      </c>
      <c r="AD464" t="s">
        <v>545</v>
      </c>
      <c r="AE464" s="3">
        <v>1</v>
      </c>
      <c r="AF464" t="s">
        <v>195</v>
      </c>
      <c r="AG464" s="1">
        <v>5800</v>
      </c>
      <c r="AI464" s="1">
        <v>5800</v>
      </c>
      <c r="AJ464" s="1">
        <v>5800</v>
      </c>
      <c r="AM464" s="1">
        <v>5800</v>
      </c>
      <c r="AN464" t="s">
        <v>643</v>
      </c>
      <c r="AO464" t="s">
        <v>546</v>
      </c>
      <c r="AP464" t="s">
        <v>643</v>
      </c>
      <c r="AQ464" t="s">
        <v>548</v>
      </c>
      <c r="AS464" t="s">
        <v>382</v>
      </c>
      <c r="AX464" s="1">
        <v>5800</v>
      </c>
      <c r="AY464" t="s">
        <v>546</v>
      </c>
      <c r="AZ464" t="s">
        <v>644</v>
      </c>
      <c r="BA464" s="1">
        <v>5800</v>
      </c>
      <c r="BC464" t="s">
        <v>546</v>
      </c>
      <c r="BD464" s="1">
        <v>5800</v>
      </c>
      <c r="BE464" t="s">
        <v>540</v>
      </c>
      <c r="BF464" s="1">
        <v>5800</v>
      </c>
      <c r="BH464" s="1">
        <v>5800</v>
      </c>
      <c r="BI464" t="s">
        <v>550</v>
      </c>
      <c r="BJ464" t="s">
        <v>785</v>
      </c>
      <c r="BK464" t="s">
        <v>785</v>
      </c>
      <c r="BL464" t="s">
        <v>552</v>
      </c>
      <c r="BM464" t="s">
        <v>2548</v>
      </c>
      <c r="BN464" t="s">
        <v>2767</v>
      </c>
      <c r="BO464" t="s">
        <v>2768</v>
      </c>
      <c r="BR464" t="s">
        <v>546</v>
      </c>
      <c r="BS464" s="1">
        <v>5800</v>
      </c>
      <c r="BW464" t="s">
        <v>536</v>
      </c>
      <c r="BX464" s="1">
        <v>5800</v>
      </c>
      <c r="BZ464" t="s">
        <v>535</v>
      </c>
      <c r="CA464" t="s">
        <v>546</v>
      </c>
      <c r="CB464" t="s">
        <v>2548</v>
      </c>
      <c r="CC464" t="s">
        <v>556</v>
      </c>
      <c r="CD464" t="s">
        <v>2769</v>
      </c>
      <c r="CE464" t="s">
        <v>2770</v>
      </c>
      <c r="CF464" t="s">
        <v>195</v>
      </c>
      <c r="CG464" s="4">
        <v>1</v>
      </c>
      <c r="CH464" t="s">
        <v>546</v>
      </c>
      <c r="CK464" t="s">
        <v>2771</v>
      </c>
      <c r="CL464" s="1">
        <v>5800</v>
      </c>
      <c r="CN464" t="s">
        <v>535</v>
      </c>
      <c r="CO464" t="s">
        <v>539</v>
      </c>
      <c r="CT464" t="s">
        <v>791</v>
      </c>
      <c r="CW464" t="s">
        <v>546</v>
      </c>
      <c r="DD464" t="s">
        <v>561</v>
      </c>
      <c r="DK464" t="s">
        <v>2772</v>
      </c>
      <c r="DL464" t="s">
        <v>2773</v>
      </c>
      <c r="DR464" t="s">
        <v>2774</v>
      </c>
    </row>
    <row r="465" ht="15" customHeight="1" spans="1:122">
      <c r="A465" t="s">
        <v>603</v>
      </c>
      <c r="B465" t="s">
        <v>2775</v>
      </c>
      <c r="C465" t="s">
        <v>532</v>
      </c>
      <c r="D465" t="s">
        <v>1852</v>
      </c>
      <c r="E465" t="s">
        <v>534</v>
      </c>
      <c r="F465" t="s">
        <v>534</v>
      </c>
      <c r="G465" t="s">
        <v>535</v>
      </c>
      <c r="H465" s="1">
        <v>4048.2</v>
      </c>
      <c r="I465" s="1">
        <v>4048.2</v>
      </c>
      <c r="J465" t="s">
        <v>536</v>
      </c>
      <c r="L465" t="s">
        <v>536</v>
      </c>
      <c r="M465" t="s">
        <v>399</v>
      </c>
      <c r="N465" t="s">
        <v>369</v>
      </c>
      <c r="P465" s="1">
        <v>4048.2</v>
      </c>
      <c r="Q465" t="s">
        <v>606</v>
      </c>
      <c r="R465" t="s">
        <v>535</v>
      </c>
      <c r="S465" t="s">
        <v>539</v>
      </c>
      <c r="T465" s="2">
        <v>1</v>
      </c>
      <c r="U465" s="1">
        <v>4048.2</v>
      </c>
      <c r="V465" s="1">
        <v>4048.2</v>
      </c>
      <c r="X465" t="s">
        <v>616</v>
      </c>
      <c r="Z465" t="s">
        <v>541</v>
      </c>
      <c r="AA465" t="s">
        <v>542</v>
      </c>
      <c r="AB465" t="s">
        <v>543</v>
      </c>
      <c r="AC465" t="s">
        <v>608</v>
      </c>
      <c r="AE465" s="3">
        <v>1</v>
      </c>
      <c r="AG465" s="1">
        <v>4048.2</v>
      </c>
      <c r="AI465" s="1">
        <v>4048.2</v>
      </c>
      <c r="AJ465" s="1">
        <v>4048.2</v>
      </c>
      <c r="AM465" s="1">
        <v>4048.2</v>
      </c>
      <c r="AN465" t="s">
        <v>536</v>
      </c>
      <c r="AO465" t="s">
        <v>546</v>
      </c>
      <c r="AP465" t="s">
        <v>547</v>
      </c>
      <c r="AQ465" t="s">
        <v>548</v>
      </c>
      <c r="AS465" t="s">
        <v>399</v>
      </c>
      <c r="AX465" s="1">
        <v>4048.2</v>
      </c>
      <c r="AY465" t="s">
        <v>546</v>
      </c>
      <c r="AZ465" t="s">
        <v>549</v>
      </c>
      <c r="BA465" s="1">
        <v>4048.2</v>
      </c>
      <c r="BC465" t="s">
        <v>546</v>
      </c>
      <c r="BE465" t="s">
        <v>616</v>
      </c>
      <c r="BH465" s="1">
        <v>4048.2</v>
      </c>
      <c r="BI465" t="s">
        <v>550</v>
      </c>
      <c r="BJ465" t="s">
        <v>610</v>
      </c>
      <c r="BK465" t="s">
        <v>610</v>
      </c>
      <c r="BL465" t="s">
        <v>552</v>
      </c>
      <c r="BM465" t="s">
        <v>2548</v>
      </c>
      <c r="BN465" t="s">
        <v>2776</v>
      </c>
      <c r="BO465" t="s">
        <v>2777</v>
      </c>
      <c r="BR465" t="s">
        <v>546</v>
      </c>
      <c r="BS465" s="1">
        <v>4048.2</v>
      </c>
      <c r="BW465" t="s">
        <v>536</v>
      </c>
      <c r="BZ465" t="s">
        <v>535</v>
      </c>
      <c r="CA465" t="s">
        <v>546</v>
      </c>
      <c r="CB465" t="s">
        <v>1852</v>
      </c>
      <c r="CC465" t="s">
        <v>556</v>
      </c>
      <c r="CH465" t="s">
        <v>546</v>
      </c>
      <c r="CK465" t="s">
        <v>2778</v>
      </c>
      <c r="CN465" t="s">
        <v>535</v>
      </c>
      <c r="CO465" t="s">
        <v>539</v>
      </c>
      <c r="CT465" t="s">
        <v>576</v>
      </c>
      <c r="CW465" t="s">
        <v>546</v>
      </c>
      <c r="DD465" t="s">
        <v>561</v>
      </c>
      <c r="DR465" t="s">
        <v>2779</v>
      </c>
    </row>
    <row r="466" ht="15" customHeight="1" spans="1:122">
      <c r="A466" t="s">
        <v>530</v>
      </c>
      <c r="B466" t="s">
        <v>2780</v>
      </c>
      <c r="C466" t="s">
        <v>532</v>
      </c>
      <c r="D466" t="s">
        <v>2548</v>
      </c>
      <c r="E466" t="s">
        <v>534</v>
      </c>
      <c r="F466" t="s">
        <v>534</v>
      </c>
      <c r="G466" t="s">
        <v>535</v>
      </c>
      <c r="H466" s="1">
        <v>2481.7</v>
      </c>
      <c r="I466" s="1">
        <v>2481.7</v>
      </c>
      <c r="J466" t="s">
        <v>536</v>
      </c>
      <c r="L466" t="s">
        <v>536</v>
      </c>
      <c r="M466" t="s">
        <v>380</v>
      </c>
      <c r="N466" t="s">
        <v>369</v>
      </c>
      <c r="P466" s="1">
        <v>2481.7</v>
      </c>
      <c r="Q466" t="s">
        <v>996</v>
      </c>
      <c r="R466" t="s">
        <v>535</v>
      </c>
      <c r="S466" t="s">
        <v>539</v>
      </c>
      <c r="T466" s="2">
        <v>1</v>
      </c>
      <c r="U466" s="1">
        <v>2481.7</v>
      </c>
      <c r="V466" s="1">
        <v>2481.7</v>
      </c>
      <c r="X466" t="s">
        <v>540</v>
      </c>
      <c r="Z466" t="s">
        <v>541</v>
      </c>
      <c r="AA466" t="s">
        <v>542</v>
      </c>
      <c r="AB466" t="s">
        <v>543</v>
      </c>
      <c r="AC466" t="s">
        <v>544</v>
      </c>
      <c r="AD466" t="s">
        <v>545</v>
      </c>
      <c r="AE466" s="3">
        <v>1</v>
      </c>
      <c r="AF466" t="s">
        <v>335</v>
      </c>
      <c r="AG466" s="1">
        <v>2481.7</v>
      </c>
      <c r="AI466" s="1">
        <v>2481.7</v>
      </c>
      <c r="AJ466" s="1">
        <v>2481.7</v>
      </c>
      <c r="AM466" s="1">
        <v>2481.7</v>
      </c>
      <c r="AN466" t="s">
        <v>536</v>
      </c>
      <c r="AO466" t="s">
        <v>546</v>
      </c>
      <c r="AP466" t="s">
        <v>547</v>
      </c>
      <c r="AQ466" t="s">
        <v>548</v>
      </c>
      <c r="AS466" t="s">
        <v>380</v>
      </c>
      <c r="AX466" s="1">
        <v>2481.7</v>
      </c>
      <c r="AY466" t="s">
        <v>546</v>
      </c>
      <c r="AZ466" t="s">
        <v>549</v>
      </c>
      <c r="BA466" s="1">
        <v>2481.7</v>
      </c>
      <c r="BC466" t="s">
        <v>546</v>
      </c>
      <c r="BD466" s="1">
        <v>2481.7</v>
      </c>
      <c r="BE466" t="s">
        <v>540</v>
      </c>
      <c r="BF466" s="1">
        <v>2481.7</v>
      </c>
      <c r="BH466" s="1">
        <v>2481.7</v>
      </c>
      <c r="BI466" t="s">
        <v>550</v>
      </c>
      <c r="BJ466" t="s">
        <v>551</v>
      </c>
      <c r="BK466" t="s">
        <v>551</v>
      </c>
      <c r="BL466" t="s">
        <v>552</v>
      </c>
      <c r="BM466" t="s">
        <v>2548</v>
      </c>
      <c r="BN466" t="s">
        <v>2781</v>
      </c>
      <c r="BO466" t="s">
        <v>2782</v>
      </c>
      <c r="BR466" t="s">
        <v>546</v>
      </c>
      <c r="BS466" s="1">
        <v>2481.7</v>
      </c>
      <c r="BW466" t="s">
        <v>536</v>
      </c>
      <c r="BX466" s="1">
        <v>2481.7</v>
      </c>
      <c r="BZ466" t="s">
        <v>535</v>
      </c>
      <c r="CA466" t="s">
        <v>546</v>
      </c>
      <c r="CB466" t="s">
        <v>2548</v>
      </c>
      <c r="CC466" t="s">
        <v>556</v>
      </c>
      <c r="CD466" t="s">
        <v>622</v>
      </c>
      <c r="CE466" t="s">
        <v>623</v>
      </c>
      <c r="CF466" t="s">
        <v>335</v>
      </c>
      <c r="CG466" s="4">
        <v>1</v>
      </c>
      <c r="CH466" t="s">
        <v>546</v>
      </c>
      <c r="CK466" t="s">
        <v>2783</v>
      </c>
      <c r="CL466" s="1">
        <v>2481.7</v>
      </c>
      <c r="CN466" t="s">
        <v>535</v>
      </c>
      <c r="CO466" t="s">
        <v>539</v>
      </c>
      <c r="CT466" t="s">
        <v>576</v>
      </c>
      <c r="CW466" t="s">
        <v>546</v>
      </c>
      <c r="DD466" t="s">
        <v>561</v>
      </c>
      <c r="DK466" t="s">
        <v>1119</v>
      </c>
      <c r="DL466" t="s">
        <v>2784</v>
      </c>
    </row>
    <row r="467" ht="15" customHeight="1" spans="1:122">
      <c r="A467" t="s">
        <v>603</v>
      </c>
      <c r="B467" t="s">
        <v>2785</v>
      </c>
      <c r="D467" t="s">
        <v>2548</v>
      </c>
      <c r="E467" t="s">
        <v>534</v>
      </c>
      <c r="F467" t="s">
        <v>534</v>
      </c>
      <c r="G467" t="s">
        <v>535</v>
      </c>
      <c r="H467" s="1">
        <v>7480.75</v>
      </c>
      <c r="I467" s="1">
        <v>7480.75</v>
      </c>
      <c r="J467" t="s">
        <v>536</v>
      </c>
      <c r="L467" t="s">
        <v>536</v>
      </c>
      <c r="M467" t="s">
        <v>383</v>
      </c>
      <c r="N467" t="s">
        <v>753</v>
      </c>
      <c r="P467" s="1">
        <v>7480.75</v>
      </c>
      <c r="Q467" t="s">
        <v>754</v>
      </c>
      <c r="R467" t="s">
        <v>535</v>
      </c>
      <c r="S467" t="s">
        <v>539</v>
      </c>
      <c r="T467" s="2">
        <v>1</v>
      </c>
      <c r="U467" s="1">
        <v>7480.75</v>
      </c>
      <c r="V467" s="1">
        <v>7480.75</v>
      </c>
      <c r="X467" t="s">
        <v>616</v>
      </c>
      <c r="Z467" t="s">
        <v>541</v>
      </c>
      <c r="AA467" t="s">
        <v>542</v>
      </c>
      <c r="AB467" t="s">
        <v>543</v>
      </c>
      <c r="AC467" t="s">
        <v>608</v>
      </c>
      <c r="AE467" s="3">
        <v>1</v>
      </c>
      <c r="AG467" s="1">
        <v>7480.75</v>
      </c>
      <c r="AI467" s="1">
        <v>7480.75</v>
      </c>
      <c r="AJ467" s="1">
        <v>7480.75</v>
      </c>
      <c r="AM467" s="1">
        <v>7480.75</v>
      </c>
      <c r="AN467" t="s">
        <v>536</v>
      </c>
      <c r="AO467" t="s">
        <v>546</v>
      </c>
      <c r="AP467" t="s">
        <v>547</v>
      </c>
      <c r="AQ467" t="s">
        <v>548</v>
      </c>
      <c r="AS467" t="s">
        <v>383</v>
      </c>
      <c r="AX467" s="1">
        <v>7480.75</v>
      </c>
      <c r="AY467" t="s">
        <v>546</v>
      </c>
      <c r="AZ467" t="s">
        <v>549</v>
      </c>
      <c r="BA467" s="1">
        <v>7480.75</v>
      </c>
      <c r="BC467" t="s">
        <v>546</v>
      </c>
      <c r="BE467" t="s">
        <v>616</v>
      </c>
      <c r="BH467" s="1">
        <v>7480.75</v>
      </c>
      <c r="BI467" t="s">
        <v>550</v>
      </c>
      <c r="BJ467" t="s">
        <v>552</v>
      </c>
      <c r="BK467" t="s">
        <v>552</v>
      </c>
      <c r="BL467" t="s">
        <v>552</v>
      </c>
      <c r="BM467" t="s">
        <v>2548</v>
      </c>
      <c r="BN467" t="s">
        <v>2786</v>
      </c>
      <c r="BO467" t="s">
        <v>2787</v>
      </c>
      <c r="BR467" t="s">
        <v>546</v>
      </c>
      <c r="BS467" s="1">
        <v>7480.75</v>
      </c>
      <c r="BW467" t="s">
        <v>536</v>
      </c>
      <c r="BZ467" t="s">
        <v>535</v>
      </c>
      <c r="CA467" t="s">
        <v>546</v>
      </c>
      <c r="CB467" t="s">
        <v>2548</v>
      </c>
      <c r="CC467" t="s">
        <v>556</v>
      </c>
      <c r="CH467" t="s">
        <v>546</v>
      </c>
      <c r="CK467" t="s">
        <v>2788</v>
      </c>
      <c r="CN467" t="s">
        <v>535</v>
      </c>
      <c r="CO467" t="s">
        <v>539</v>
      </c>
      <c r="CT467" t="s">
        <v>1789</v>
      </c>
      <c r="CW467" t="s">
        <v>546</v>
      </c>
      <c r="DD467" t="s">
        <v>561</v>
      </c>
    </row>
    <row r="468" ht="15" customHeight="1" spans="1:122">
      <c r="A468" t="s">
        <v>530</v>
      </c>
      <c r="B468" t="s">
        <v>2789</v>
      </c>
      <c r="C468" t="s">
        <v>532</v>
      </c>
      <c r="D468" t="s">
        <v>2548</v>
      </c>
      <c r="E468" t="s">
        <v>534</v>
      </c>
      <c r="F468" t="s">
        <v>534</v>
      </c>
      <c r="G468" t="s">
        <v>535</v>
      </c>
      <c r="H468" s="1">
        <v>4299</v>
      </c>
      <c r="I468" s="1">
        <v>4299</v>
      </c>
      <c r="J468" t="s">
        <v>536</v>
      </c>
      <c r="L468" t="s">
        <v>536</v>
      </c>
      <c r="M468" t="s">
        <v>377</v>
      </c>
      <c r="N468" t="s">
        <v>537</v>
      </c>
      <c r="P468" s="1">
        <v>4299</v>
      </c>
      <c r="Q468" t="s">
        <v>538</v>
      </c>
      <c r="R468" t="s">
        <v>535</v>
      </c>
      <c r="S468" t="s">
        <v>539</v>
      </c>
      <c r="T468" s="2">
        <v>1</v>
      </c>
      <c r="U468" s="1">
        <v>4299</v>
      </c>
      <c r="V468" s="1">
        <v>4299</v>
      </c>
      <c r="X468" t="s">
        <v>540</v>
      </c>
      <c r="Z468" t="s">
        <v>541</v>
      </c>
      <c r="AA468" t="s">
        <v>542</v>
      </c>
      <c r="AB468" t="s">
        <v>543</v>
      </c>
      <c r="AC468" t="s">
        <v>544</v>
      </c>
      <c r="AD468" t="s">
        <v>545</v>
      </c>
      <c r="AE468" s="3">
        <v>1</v>
      </c>
      <c r="AF468" t="s">
        <v>197</v>
      </c>
      <c r="AG468" s="1">
        <v>4299</v>
      </c>
      <c r="AI468" s="1">
        <v>4299</v>
      </c>
      <c r="AJ468" s="1">
        <v>4299</v>
      </c>
      <c r="AM468" s="1">
        <v>4299</v>
      </c>
      <c r="AN468" t="s">
        <v>643</v>
      </c>
      <c r="AO468" t="s">
        <v>546</v>
      </c>
      <c r="AP468" t="s">
        <v>643</v>
      </c>
      <c r="AQ468" t="s">
        <v>548</v>
      </c>
      <c r="AS468" t="s">
        <v>377</v>
      </c>
      <c r="AX468" s="1">
        <v>4299</v>
      </c>
      <c r="AY468" t="s">
        <v>546</v>
      </c>
      <c r="AZ468" t="s">
        <v>644</v>
      </c>
      <c r="BA468" s="1">
        <v>4299</v>
      </c>
      <c r="BC468" t="s">
        <v>546</v>
      </c>
      <c r="BD468" s="1">
        <v>4299</v>
      </c>
      <c r="BE468" t="s">
        <v>540</v>
      </c>
      <c r="BF468" s="1">
        <v>4299</v>
      </c>
      <c r="BH468" s="1">
        <v>4299</v>
      </c>
      <c r="BI468" t="s">
        <v>550</v>
      </c>
      <c r="BJ468" t="s">
        <v>551</v>
      </c>
      <c r="BK468" t="s">
        <v>551</v>
      </c>
      <c r="BL468" t="s">
        <v>552</v>
      </c>
      <c r="BM468" t="s">
        <v>2548</v>
      </c>
      <c r="BN468" t="s">
        <v>2790</v>
      </c>
      <c r="BO468" t="s">
        <v>2791</v>
      </c>
      <c r="BR468" t="s">
        <v>546</v>
      </c>
      <c r="BS468" s="1">
        <v>4299</v>
      </c>
      <c r="BW468" t="s">
        <v>536</v>
      </c>
      <c r="BX468" s="1">
        <v>4299</v>
      </c>
      <c r="BZ468" t="s">
        <v>535</v>
      </c>
      <c r="CA468" t="s">
        <v>546</v>
      </c>
      <c r="CB468" t="s">
        <v>2548</v>
      </c>
      <c r="CC468" t="s">
        <v>556</v>
      </c>
      <c r="CD468" t="s">
        <v>944</v>
      </c>
      <c r="CE468" t="s">
        <v>945</v>
      </c>
      <c r="CF468" t="s">
        <v>197</v>
      </c>
      <c r="CG468" s="4">
        <v>1</v>
      </c>
      <c r="CH468" t="s">
        <v>546</v>
      </c>
      <c r="CK468" t="s">
        <v>2792</v>
      </c>
      <c r="CL468" s="1">
        <v>4299</v>
      </c>
      <c r="CN468" t="s">
        <v>535</v>
      </c>
      <c r="CO468" t="s">
        <v>539</v>
      </c>
      <c r="CT468" t="s">
        <v>560</v>
      </c>
      <c r="CW468" t="s">
        <v>546</v>
      </c>
      <c r="DD468" t="s">
        <v>561</v>
      </c>
      <c r="DK468" t="s">
        <v>2793</v>
      </c>
      <c r="DL468" t="s">
        <v>2794</v>
      </c>
      <c r="DR468" t="s">
        <v>2795</v>
      </c>
    </row>
    <row r="469" ht="15" customHeight="1" spans="1:122">
      <c r="A469" t="s">
        <v>603</v>
      </c>
      <c r="B469" t="s">
        <v>2796</v>
      </c>
      <c r="C469" t="s">
        <v>656</v>
      </c>
      <c r="D469" t="s">
        <v>2548</v>
      </c>
      <c r="E469" t="s">
        <v>534</v>
      </c>
      <c r="F469" t="s">
        <v>534</v>
      </c>
      <c r="G469" t="s">
        <v>535</v>
      </c>
      <c r="H469" s="1">
        <v>3917</v>
      </c>
      <c r="I469" s="1">
        <v>3917</v>
      </c>
      <c r="J469" t="s">
        <v>536</v>
      </c>
      <c r="L469" t="s">
        <v>536</v>
      </c>
      <c r="M469" t="s">
        <v>397</v>
      </c>
      <c r="N469" t="s">
        <v>657</v>
      </c>
      <c r="P469" s="1">
        <v>3917</v>
      </c>
      <c r="Q469" t="s">
        <v>679</v>
      </c>
      <c r="R469" t="s">
        <v>535</v>
      </c>
      <c r="S469" t="s">
        <v>539</v>
      </c>
      <c r="T469" s="2">
        <v>1</v>
      </c>
      <c r="U469" s="1">
        <v>3917</v>
      </c>
      <c r="V469" s="1">
        <v>3917</v>
      </c>
      <c r="X469" t="s">
        <v>616</v>
      </c>
      <c r="Z469" t="s">
        <v>541</v>
      </c>
      <c r="AA469" t="s">
        <v>542</v>
      </c>
      <c r="AB469" t="s">
        <v>543</v>
      </c>
      <c r="AC469" t="s">
        <v>608</v>
      </c>
      <c r="AE469" s="3">
        <v>1</v>
      </c>
      <c r="AG469" s="1">
        <v>3917</v>
      </c>
      <c r="AI469" s="1">
        <v>3917</v>
      </c>
      <c r="AJ469" s="1">
        <v>3917</v>
      </c>
      <c r="AM469" s="1">
        <v>3917</v>
      </c>
      <c r="AN469" t="s">
        <v>680</v>
      </c>
      <c r="AO469" t="s">
        <v>546</v>
      </c>
      <c r="AP469" t="s">
        <v>681</v>
      </c>
      <c r="AQ469" t="s">
        <v>548</v>
      </c>
      <c r="AS469" t="s">
        <v>397</v>
      </c>
      <c r="AX469" s="1">
        <v>3917</v>
      </c>
      <c r="AY469" t="s">
        <v>546</v>
      </c>
      <c r="AZ469" t="s">
        <v>682</v>
      </c>
      <c r="BA469" s="1">
        <v>3917</v>
      </c>
      <c r="BC469" t="s">
        <v>546</v>
      </c>
      <c r="BE469" t="s">
        <v>616</v>
      </c>
      <c r="BH469" s="1">
        <v>3917</v>
      </c>
      <c r="BI469" t="s">
        <v>550</v>
      </c>
      <c r="BJ469" t="s">
        <v>683</v>
      </c>
      <c r="BK469" t="s">
        <v>683</v>
      </c>
      <c r="BL469" t="s">
        <v>552</v>
      </c>
      <c r="BM469" t="s">
        <v>2548</v>
      </c>
      <c r="BN469" t="s">
        <v>2797</v>
      </c>
      <c r="BO469" t="s">
        <v>2798</v>
      </c>
      <c r="BR469" t="s">
        <v>546</v>
      </c>
      <c r="BS469" s="1">
        <v>3917</v>
      </c>
      <c r="BW469" t="s">
        <v>536</v>
      </c>
      <c r="BZ469" t="s">
        <v>535</v>
      </c>
      <c r="CA469" t="s">
        <v>546</v>
      </c>
      <c r="CB469" t="s">
        <v>2548</v>
      </c>
      <c r="CC469" t="s">
        <v>556</v>
      </c>
      <c r="CH469" t="s">
        <v>546</v>
      </c>
      <c r="CK469" t="s">
        <v>2799</v>
      </c>
      <c r="CN469" t="s">
        <v>535</v>
      </c>
      <c r="CO469" t="s">
        <v>539</v>
      </c>
      <c r="CT469" t="s">
        <v>687</v>
      </c>
      <c r="CW469" t="s">
        <v>546</v>
      </c>
      <c r="DD469" t="s">
        <v>561</v>
      </c>
      <c r="DK469" t="s">
        <v>688</v>
      </c>
    </row>
    <row r="470" ht="15" customHeight="1" spans="1:122">
      <c r="A470" t="s">
        <v>530</v>
      </c>
      <c r="B470" t="s">
        <v>2800</v>
      </c>
      <c r="C470" t="s">
        <v>532</v>
      </c>
      <c r="D470" t="s">
        <v>2548</v>
      </c>
      <c r="E470" t="s">
        <v>534</v>
      </c>
      <c r="F470" t="s">
        <v>534</v>
      </c>
      <c r="G470" t="s">
        <v>535</v>
      </c>
      <c r="H470" s="1">
        <v>2950</v>
      </c>
      <c r="I470" s="1">
        <v>2950</v>
      </c>
      <c r="J470" t="s">
        <v>536</v>
      </c>
      <c r="L470" t="s">
        <v>536</v>
      </c>
      <c r="M470" t="s">
        <v>371</v>
      </c>
      <c r="N470" t="s">
        <v>537</v>
      </c>
      <c r="P470" s="1">
        <v>2950</v>
      </c>
      <c r="Q470" t="s">
        <v>1060</v>
      </c>
      <c r="R470" t="s">
        <v>535</v>
      </c>
      <c r="S470" t="s">
        <v>539</v>
      </c>
      <c r="T470" s="2">
        <v>1</v>
      </c>
      <c r="U470" s="1">
        <v>2950</v>
      </c>
      <c r="V470" s="1">
        <v>2950</v>
      </c>
      <c r="X470" t="s">
        <v>540</v>
      </c>
      <c r="Z470" t="s">
        <v>541</v>
      </c>
      <c r="AA470" t="s">
        <v>542</v>
      </c>
      <c r="AB470" t="s">
        <v>543</v>
      </c>
      <c r="AC470" t="s">
        <v>544</v>
      </c>
      <c r="AD470" t="s">
        <v>545</v>
      </c>
      <c r="AE470" s="3">
        <v>1</v>
      </c>
      <c r="AF470" t="s">
        <v>192</v>
      </c>
      <c r="AG470" s="1">
        <v>2950</v>
      </c>
      <c r="AI470" s="1">
        <v>2950</v>
      </c>
      <c r="AJ470" s="1">
        <v>2950</v>
      </c>
      <c r="AM470" s="1">
        <v>2950</v>
      </c>
      <c r="AN470" t="s">
        <v>643</v>
      </c>
      <c r="AO470" t="s">
        <v>546</v>
      </c>
      <c r="AP470" t="s">
        <v>643</v>
      </c>
      <c r="AQ470" t="s">
        <v>548</v>
      </c>
      <c r="AS470" t="s">
        <v>371</v>
      </c>
      <c r="AX470" s="1">
        <v>2950</v>
      </c>
      <c r="AY470" t="s">
        <v>546</v>
      </c>
      <c r="AZ470" t="s">
        <v>644</v>
      </c>
      <c r="BA470" s="1">
        <v>2950</v>
      </c>
      <c r="BC470" t="s">
        <v>546</v>
      </c>
      <c r="BD470" s="1">
        <v>2950</v>
      </c>
      <c r="BE470" t="s">
        <v>540</v>
      </c>
      <c r="BF470" s="1">
        <v>2950</v>
      </c>
      <c r="BH470" s="1">
        <v>2950</v>
      </c>
      <c r="BI470" t="s">
        <v>550</v>
      </c>
      <c r="BJ470" t="s">
        <v>551</v>
      </c>
      <c r="BK470" t="s">
        <v>551</v>
      </c>
      <c r="BL470" t="s">
        <v>552</v>
      </c>
      <c r="BM470" t="s">
        <v>2548</v>
      </c>
      <c r="BN470" t="s">
        <v>2801</v>
      </c>
      <c r="BO470" t="s">
        <v>2802</v>
      </c>
      <c r="BR470" t="s">
        <v>546</v>
      </c>
      <c r="BS470" s="1">
        <v>2950</v>
      </c>
      <c r="BW470" t="s">
        <v>536</v>
      </c>
      <c r="BX470" s="1">
        <v>2950</v>
      </c>
      <c r="BZ470" t="s">
        <v>535</v>
      </c>
      <c r="CA470" t="s">
        <v>546</v>
      </c>
      <c r="CB470" t="s">
        <v>2548</v>
      </c>
      <c r="CC470" t="s">
        <v>556</v>
      </c>
      <c r="CD470" t="s">
        <v>1806</v>
      </c>
      <c r="CE470" t="s">
        <v>1807</v>
      </c>
      <c r="CF470" t="s">
        <v>192</v>
      </c>
      <c r="CG470" s="4">
        <v>1</v>
      </c>
      <c r="CH470" t="s">
        <v>546</v>
      </c>
      <c r="CK470" t="s">
        <v>2803</v>
      </c>
      <c r="CL470" s="1">
        <v>2950</v>
      </c>
      <c r="CN470" t="s">
        <v>535</v>
      </c>
      <c r="CO470" t="s">
        <v>539</v>
      </c>
      <c r="CT470" t="s">
        <v>576</v>
      </c>
      <c r="CW470" t="s">
        <v>546</v>
      </c>
      <c r="DD470" t="s">
        <v>561</v>
      </c>
      <c r="DK470" t="s">
        <v>2804</v>
      </c>
      <c r="DL470" t="s">
        <v>2805</v>
      </c>
      <c r="DR470" t="s">
        <v>2806</v>
      </c>
    </row>
    <row r="471" ht="15" customHeight="1" spans="1:122">
      <c r="A471" t="s">
        <v>530</v>
      </c>
      <c r="B471" t="s">
        <v>2807</v>
      </c>
      <c r="C471" t="s">
        <v>532</v>
      </c>
      <c r="D471" t="s">
        <v>2548</v>
      </c>
      <c r="E471" t="s">
        <v>534</v>
      </c>
      <c r="F471" t="s">
        <v>534</v>
      </c>
      <c r="G471" t="s">
        <v>535</v>
      </c>
      <c r="H471" s="1">
        <v>3838</v>
      </c>
      <c r="I471" s="1">
        <v>3838</v>
      </c>
      <c r="J471" t="s">
        <v>536</v>
      </c>
      <c r="L471" t="s">
        <v>536</v>
      </c>
      <c r="M471" t="s">
        <v>371</v>
      </c>
      <c r="N471" t="s">
        <v>537</v>
      </c>
      <c r="P471" s="1">
        <v>3838</v>
      </c>
      <c r="Q471" t="s">
        <v>1060</v>
      </c>
      <c r="R471" t="s">
        <v>535</v>
      </c>
      <c r="S471" t="s">
        <v>539</v>
      </c>
      <c r="T471" s="2">
        <v>1</v>
      </c>
      <c r="U471" s="1">
        <v>3838</v>
      </c>
      <c r="V471" s="1">
        <v>3838</v>
      </c>
      <c r="X471" t="s">
        <v>540</v>
      </c>
      <c r="Z471" t="s">
        <v>541</v>
      </c>
      <c r="AA471" t="s">
        <v>542</v>
      </c>
      <c r="AB471" t="s">
        <v>543</v>
      </c>
      <c r="AC471" t="s">
        <v>544</v>
      </c>
      <c r="AD471" t="s">
        <v>545</v>
      </c>
      <c r="AE471" s="3">
        <v>1</v>
      </c>
      <c r="AF471" t="s">
        <v>191</v>
      </c>
      <c r="AG471" s="1">
        <v>3838</v>
      </c>
      <c r="AI471" s="1">
        <v>3838</v>
      </c>
      <c r="AJ471" s="1">
        <v>3838</v>
      </c>
      <c r="AM471" s="1">
        <v>3838</v>
      </c>
      <c r="AN471" t="s">
        <v>643</v>
      </c>
      <c r="AO471" t="s">
        <v>546</v>
      </c>
      <c r="AP471" t="s">
        <v>643</v>
      </c>
      <c r="AQ471" t="s">
        <v>548</v>
      </c>
      <c r="AS471" t="s">
        <v>371</v>
      </c>
      <c r="AX471" s="1">
        <v>3838</v>
      </c>
      <c r="AY471" t="s">
        <v>546</v>
      </c>
      <c r="AZ471" t="s">
        <v>644</v>
      </c>
      <c r="BA471" s="1">
        <v>3838</v>
      </c>
      <c r="BC471" t="s">
        <v>546</v>
      </c>
      <c r="BD471" s="1">
        <v>3838</v>
      </c>
      <c r="BE471" t="s">
        <v>540</v>
      </c>
      <c r="BF471" s="1">
        <v>3838</v>
      </c>
      <c r="BH471" s="1">
        <v>3838</v>
      </c>
      <c r="BI471" t="s">
        <v>550</v>
      </c>
      <c r="BJ471" t="s">
        <v>551</v>
      </c>
      <c r="BK471" t="s">
        <v>551</v>
      </c>
      <c r="BL471" t="s">
        <v>552</v>
      </c>
      <c r="BM471" t="s">
        <v>2548</v>
      </c>
      <c r="BN471" t="s">
        <v>2808</v>
      </c>
      <c r="BO471" t="s">
        <v>2809</v>
      </c>
      <c r="BR471" t="s">
        <v>546</v>
      </c>
      <c r="BS471" s="1">
        <v>3838</v>
      </c>
      <c r="BW471" t="s">
        <v>536</v>
      </c>
      <c r="BX471" s="1">
        <v>3838</v>
      </c>
      <c r="BZ471" t="s">
        <v>535</v>
      </c>
      <c r="CA471" t="s">
        <v>546</v>
      </c>
      <c r="CB471" t="s">
        <v>2548</v>
      </c>
      <c r="CC471" t="s">
        <v>556</v>
      </c>
      <c r="CD471" t="s">
        <v>673</v>
      </c>
      <c r="CE471" t="s">
        <v>674</v>
      </c>
      <c r="CF471" t="s">
        <v>191</v>
      </c>
      <c r="CG471" s="4">
        <v>1</v>
      </c>
      <c r="CH471" t="s">
        <v>546</v>
      </c>
      <c r="CK471" t="s">
        <v>2810</v>
      </c>
      <c r="CL471" s="1">
        <v>3838</v>
      </c>
      <c r="CN471" t="s">
        <v>535</v>
      </c>
      <c r="CO471" t="s">
        <v>539</v>
      </c>
      <c r="CT471" t="s">
        <v>576</v>
      </c>
      <c r="CW471" t="s">
        <v>546</v>
      </c>
      <c r="DD471" t="s">
        <v>561</v>
      </c>
      <c r="DK471" t="s">
        <v>2804</v>
      </c>
      <c r="DL471" t="s">
        <v>2805</v>
      </c>
      <c r="DR471" t="s">
        <v>2811</v>
      </c>
    </row>
    <row r="472" ht="15" customHeight="1" spans="1:122">
      <c r="A472" t="s">
        <v>603</v>
      </c>
      <c r="B472" t="s">
        <v>2812</v>
      </c>
      <c r="C472" t="s">
        <v>532</v>
      </c>
      <c r="D472" t="s">
        <v>2548</v>
      </c>
      <c r="E472" t="s">
        <v>534</v>
      </c>
      <c r="F472" t="s">
        <v>534</v>
      </c>
      <c r="G472" t="s">
        <v>535</v>
      </c>
      <c r="H472" s="1">
        <v>20000</v>
      </c>
      <c r="I472" s="1">
        <v>20000</v>
      </c>
      <c r="J472" t="s">
        <v>536</v>
      </c>
      <c r="L472" t="s">
        <v>536</v>
      </c>
      <c r="M472" t="s">
        <v>401</v>
      </c>
      <c r="N472" t="s">
        <v>537</v>
      </c>
      <c r="P472" s="1">
        <v>20000</v>
      </c>
      <c r="Q472" t="s">
        <v>905</v>
      </c>
      <c r="R472" t="s">
        <v>535</v>
      </c>
      <c r="S472" t="s">
        <v>539</v>
      </c>
      <c r="T472" s="2">
        <v>1</v>
      </c>
      <c r="U472" s="1">
        <v>20000</v>
      </c>
      <c r="V472" s="1">
        <v>20000</v>
      </c>
      <c r="X472" t="s">
        <v>616</v>
      </c>
      <c r="Z472" t="s">
        <v>541</v>
      </c>
      <c r="AA472" t="s">
        <v>542</v>
      </c>
      <c r="AB472" t="s">
        <v>543</v>
      </c>
      <c r="AC472" t="s">
        <v>608</v>
      </c>
      <c r="AE472" s="3">
        <v>1</v>
      </c>
      <c r="AG472" s="1">
        <v>20000</v>
      </c>
      <c r="AJ472" s="1">
        <v>20000</v>
      </c>
      <c r="AM472" s="1">
        <v>20000</v>
      </c>
      <c r="AN472" t="s">
        <v>536</v>
      </c>
      <c r="AO472" t="s">
        <v>546</v>
      </c>
      <c r="AP472" t="s">
        <v>547</v>
      </c>
      <c r="AQ472" t="s">
        <v>548</v>
      </c>
      <c r="AS472" t="s">
        <v>401</v>
      </c>
      <c r="AX472" s="1">
        <v>20000</v>
      </c>
      <c r="AY472" t="s">
        <v>546</v>
      </c>
      <c r="AZ472" t="s">
        <v>549</v>
      </c>
      <c r="BA472" s="1">
        <v>20000</v>
      </c>
      <c r="BC472" t="s">
        <v>546</v>
      </c>
      <c r="BE472" t="s">
        <v>616</v>
      </c>
      <c r="BH472" s="1">
        <v>20000</v>
      </c>
      <c r="BI472" t="s">
        <v>550</v>
      </c>
      <c r="BJ472" t="s">
        <v>551</v>
      </c>
      <c r="BK472" t="s">
        <v>551</v>
      </c>
      <c r="BL472" t="s">
        <v>552</v>
      </c>
      <c r="BM472" t="s">
        <v>2548</v>
      </c>
      <c r="BN472" t="s">
        <v>2813</v>
      </c>
      <c r="BO472" t="s">
        <v>2814</v>
      </c>
      <c r="BR472" t="s">
        <v>546</v>
      </c>
      <c r="BS472" s="1">
        <v>20000</v>
      </c>
      <c r="BW472" t="s">
        <v>536</v>
      </c>
      <c r="BZ472" t="s">
        <v>535</v>
      </c>
      <c r="CA472" t="s">
        <v>546</v>
      </c>
      <c r="CB472" t="s">
        <v>2548</v>
      </c>
      <c r="CC472" t="s">
        <v>556</v>
      </c>
      <c r="CH472" t="s">
        <v>546</v>
      </c>
      <c r="CK472" t="s">
        <v>2815</v>
      </c>
      <c r="CN472" t="s">
        <v>535</v>
      </c>
      <c r="CO472" t="s">
        <v>539</v>
      </c>
      <c r="CT472" t="s">
        <v>909</v>
      </c>
      <c r="CW472" t="s">
        <v>546</v>
      </c>
      <c r="DD472" t="s">
        <v>561</v>
      </c>
    </row>
    <row r="473" ht="15" customHeight="1" spans="1:122">
      <c r="A473" t="s">
        <v>603</v>
      </c>
      <c r="B473" t="s">
        <v>2816</v>
      </c>
      <c r="D473" t="s">
        <v>2548</v>
      </c>
      <c r="E473" t="s">
        <v>534</v>
      </c>
      <c r="F473" t="s">
        <v>534</v>
      </c>
      <c r="G473" t="s">
        <v>535</v>
      </c>
      <c r="H473" s="1">
        <v>15739.2</v>
      </c>
      <c r="I473" s="1">
        <v>15739.2</v>
      </c>
      <c r="J473" t="s">
        <v>536</v>
      </c>
      <c r="L473" t="s">
        <v>536</v>
      </c>
      <c r="M473" t="s">
        <v>373</v>
      </c>
      <c r="N473" t="s">
        <v>1341</v>
      </c>
      <c r="P473" s="1">
        <v>15739.2</v>
      </c>
      <c r="Q473" t="s">
        <v>1342</v>
      </c>
      <c r="R473" t="s">
        <v>535</v>
      </c>
      <c r="S473" t="s">
        <v>539</v>
      </c>
      <c r="T473" s="2">
        <v>1</v>
      </c>
      <c r="U473" s="1">
        <v>15739.2</v>
      </c>
      <c r="V473" s="1">
        <v>15739.2</v>
      </c>
      <c r="X473" t="s">
        <v>616</v>
      </c>
      <c r="Z473" t="s">
        <v>541</v>
      </c>
      <c r="AA473" t="s">
        <v>542</v>
      </c>
      <c r="AB473" t="s">
        <v>543</v>
      </c>
      <c r="AC473" t="s">
        <v>608</v>
      </c>
      <c r="AE473" s="3">
        <v>1</v>
      </c>
      <c r="AG473" s="1">
        <v>15739.2</v>
      </c>
      <c r="AI473" s="1">
        <v>15739.2</v>
      </c>
      <c r="AJ473" s="1">
        <v>15739.2</v>
      </c>
      <c r="AM473" s="1">
        <v>15739.2</v>
      </c>
      <c r="AN473" t="s">
        <v>536</v>
      </c>
      <c r="AO473" t="s">
        <v>546</v>
      </c>
      <c r="AP473" t="s">
        <v>547</v>
      </c>
      <c r="AQ473" t="s">
        <v>548</v>
      </c>
      <c r="AS473" t="s">
        <v>373</v>
      </c>
      <c r="AX473" s="1">
        <v>15739.2</v>
      </c>
      <c r="AY473" t="s">
        <v>546</v>
      </c>
      <c r="AZ473" t="s">
        <v>549</v>
      </c>
      <c r="BA473" s="1">
        <v>15739.2</v>
      </c>
      <c r="BC473" t="s">
        <v>546</v>
      </c>
      <c r="BE473" t="s">
        <v>616</v>
      </c>
      <c r="BH473" s="1">
        <v>15739.2</v>
      </c>
      <c r="BI473" t="s">
        <v>550</v>
      </c>
      <c r="BJ473" t="s">
        <v>552</v>
      </c>
      <c r="BK473" t="s">
        <v>552</v>
      </c>
      <c r="BL473" t="s">
        <v>552</v>
      </c>
      <c r="BM473" t="s">
        <v>2548</v>
      </c>
      <c r="BN473" t="s">
        <v>2817</v>
      </c>
      <c r="BO473" t="s">
        <v>2818</v>
      </c>
      <c r="BR473" t="s">
        <v>546</v>
      </c>
      <c r="BS473" s="1">
        <v>15739.2</v>
      </c>
      <c r="BW473" t="s">
        <v>536</v>
      </c>
      <c r="BZ473" t="s">
        <v>535</v>
      </c>
      <c r="CA473" t="s">
        <v>546</v>
      </c>
      <c r="CB473" t="s">
        <v>2548</v>
      </c>
      <c r="CC473" t="s">
        <v>556</v>
      </c>
      <c r="CH473" t="s">
        <v>546</v>
      </c>
      <c r="CK473" t="s">
        <v>2819</v>
      </c>
      <c r="CN473" t="s">
        <v>535</v>
      </c>
      <c r="CO473" t="s">
        <v>539</v>
      </c>
      <c r="CT473" t="s">
        <v>576</v>
      </c>
      <c r="CW473" t="s">
        <v>546</v>
      </c>
      <c r="DD473" t="s">
        <v>561</v>
      </c>
    </row>
    <row r="474" ht="15" customHeight="1" spans="1:122">
      <c r="A474" t="s">
        <v>530</v>
      </c>
      <c r="B474" t="s">
        <v>2820</v>
      </c>
      <c r="C474" t="s">
        <v>532</v>
      </c>
      <c r="D474" t="s">
        <v>2548</v>
      </c>
      <c r="E474" t="s">
        <v>534</v>
      </c>
      <c r="F474" t="s">
        <v>534</v>
      </c>
      <c r="G474" t="s">
        <v>535</v>
      </c>
      <c r="H474" s="1">
        <v>2070</v>
      </c>
      <c r="I474" s="1">
        <v>2070</v>
      </c>
      <c r="J474" t="s">
        <v>536</v>
      </c>
      <c r="L474" t="s">
        <v>536</v>
      </c>
      <c r="M474" t="s">
        <v>371</v>
      </c>
      <c r="N474" t="s">
        <v>537</v>
      </c>
      <c r="P474" s="1">
        <v>2070</v>
      </c>
      <c r="Q474" t="s">
        <v>1060</v>
      </c>
      <c r="R474" t="s">
        <v>535</v>
      </c>
      <c r="S474" t="s">
        <v>539</v>
      </c>
      <c r="T474" s="2">
        <v>1</v>
      </c>
      <c r="U474" s="1">
        <v>2070</v>
      </c>
      <c r="V474" s="1">
        <v>2070</v>
      </c>
      <c r="X474" t="s">
        <v>540</v>
      </c>
      <c r="Z474" t="s">
        <v>541</v>
      </c>
      <c r="AA474" t="s">
        <v>542</v>
      </c>
      <c r="AB474" t="s">
        <v>543</v>
      </c>
      <c r="AC474" t="s">
        <v>544</v>
      </c>
      <c r="AD474" t="s">
        <v>545</v>
      </c>
      <c r="AE474" s="3">
        <v>1</v>
      </c>
      <c r="AF474" t="s">
        <v>196</v>
      </c>
      <c r="AG474" s="1">
        <v>2070</v>
      </c>
      <c r="AI474" s="1">
        <v>2070</v>
      </c>
      <c r="AJ474" s="1">
        <v>2070</v>
      </c>
      <c r="AM474" s="1">
        <v>2070</v>
      </c>
      <c r="AN474" t="s">
        <v>643</v>
      </c>
      <c r="AO474" t="s">
        <v>546</v>
      </c>
      <c r="AP474" t="s">
        <v>643</v>
      </c>
      <c r="AQ474" t="s">
        <v>548</v>
      </c>
      <c r="AS474" t="s">
        <v>371</v>
      </c>
      <c r="AX474" s="1">
        <v>2070</v>
      </c>
      <c r="AY474" t="s">
        <v>546</v>
      </c>
      <c r="AZ474" t="s">
        <v>644</v>
      </c>
      <c r="BA474" s="1">
        <v>2070</v>
      </c>
      <c r="BC474" t="s">
        <v>546</v>
      </c>
      <c r="BD474" s="1">
        <v>2070</v>
      </c>
      <c r="BE474" t="s">
        <v>540</v>
      </c>
      <c r="BF474" s="1">
        <v>2070</v>
      </c>
      <c r="BH474" s="1">
        <v>2070</v>
      </c>
      <c r="BI474" t="s">
        <v>550</v>
      </c>
      <c r="BJ474" t="s">
        <v>1060</v>
      </c>
      <c r="BK474" t="s">
        <v>1060</v>
      </c>
      <c r="BL474" t="s">
        <v>552</v>
      </c>
      <c r="BM474" t="s">
        <v>2548</v>
      </c>
      <c r="BN474" t="s">
        <v>2821</v>
      </c>
      <c r="BO474" t="s">
        <v>2822</v>
      </c>
      <c r="BR474" t="s">
        <v>546</v>
      </c>
      <c r="BS474" s="1">
        <v>2070</v>
      </c>
      <c r="BW474" t="s">
        <v>536</v>
      </c>
      <c r="BX474" s="1">
        <v>2070</v>
      </c>
      <c r="BZ474" t="s">
        <v>535</v>
      </c>
      <c r="CA474" t="s">
        <v>546</v>
      </c>
      <c r="CB474" t="s">
        <v>2548</v>
      </c>
      <c r="CC474" t="s">
        <v>556</v>
      </c>
      <c r="CD474" t="s">
        <v>692</v>
      </c>
      <c r="CE474" t="s">
        <v>693</v>
      </c>
      <c r="CF474" t="s">
        <v>196</v>
      </c>
      <c r="CG474" s="4">
        <v>1</v>
      </c>
      <c r="CH474" t="s">
        <v>546</v>
      </c>
      <c r="CK474" t="s">
        <v>2823</v>
      </c>
      <c r="CL474" s="1">
        <v>2070</v>
      </c>
      <c r="CN474" t="s">
        <v>535</v>
      </c>
      <c r="CO474" t="s">
        <v>539</v>
      </c>
      <c r="CT474" t="s">
        <v>576</v>
      </c>
      <c r="CW474" t="s">
        <v>546</v>
      </c>
      <c r="DD474" t="s">
        <v>561</v>
      </c>
      <c r="DK474" t="s">
        <v>2824</v>
      </c>
      <c r="DL474" t="s">
        <v>2825</v>
      </c>
      <c r="DR474" t="s">
        <v>2826</v>
      </c>
    </row>
    <row r="475" ht="15" customHeight="1" spans="1:122">
      <c r="A475" t="s">
        <v>530</v>
      </c>
      <c r="B475" t="s">
        <v>2827</v>
      </c>
      <c r="C475" t="s">
        <v>532</v>
      </c>
      <c r="D475" t="s">
        <v>2737</v>
      </c>
      <c r="E475" t="s">
        <v>534</v>
      </c>
      <c r="F475" t="s">
        <v>534</v>
      </c>
      <c r="G475" t="s">
        <v>535</v>
      </c>
      <c r="H475" s="1">
        <v>2360.8</v>
      </c>
      <c r="I475" s="1">
        <v>2346.64</v>
      </c>
      <c r="J475" t="s">
        <v>536</v>
      </c>
      <c r="L475" t="s">
        <v>536</v>
      </c>
      <c r="M475" t="s">
        <v>404</v>
      </c>
      <c r="N475" t="s">
        <v>537</v>
      </c>
      <c r="P475" s="1">
        <v>2360.8</v>
      </c>
      <c r="Q475" t="s">
        <v>642</v>
      </c>
      <c r="R475" t="s">
        <v>535</v>
      </c>
      <c r="S475" t="s">
        <v>539</v>
      </c>
      <c r="T475" s="2">
        <v>1</v>
      </c>
      <c r="U475" s="1">
        <v>2360.8</v>
      </c>
      <c r="V475" s="1">
        <v>2346.64</v>
      </c>
      <c r="X475" t="s">
        <v>540</v>
      </c>
      <c r="Z475" t="s">
        <v>541</v>
      </c>
      <c r="AA475" t="s">
        <v>542</v>
      </c>
      <c r="AB475" t="s">
        <v>543</v>
      </c>
      <c r="AC475" t="s">
        <v>544</v>
      </c>
      <c r="AD475" t="s">
        <v>545</v>
      </c>
      <c r="AE475" s="3">
        <v>1</v>
      </c>
      <c r="AF475" t="s">
        <v>5</v>
      </c>
      <c r="AG475" s="1">
        <v>2360.8</v>
      </c>
      <c r="AI475" s="1">
        <v>2360.8</v>
      </c>
      <c r="AJ475" s="1">
        <v>2360.8</v>
      </c>
      <c r="AK475" s="1">
        <v>14.16</v>
      </c>
      <c r="AM475" s="1">
        <v>2346.64</v>
      </c>
      <c r="AN475" t="s">
        <v>536</v>
      </c>
      <c r="AO475" t="s">
        <v>546</v>
      </c>
      <c r="AP475" t="s">
        <v>547</v>
      </c>
      <c r="AQ475" t="s">
        <v>548</v>
      </c>
      <c r="AS475" t="s">
        <v>404</v>
      </c>
      <c r="AX475" s="1">
        <v>2360.8</v>
      </c>
      <c r="AY475" t="s">
        <v>546</v>
      </c>
      <c r="AZ475" t="s">
        <v>549</v>
      </c>
      <c r="BA475" s="1">
        <v>2360.8</v>
      </c>
      <c r="BC475" t="s">
        <v>546</v>
      </c>
      <c r="BD475" s="1">
        <v>2360.8</v>
      </c>
      <c r="BE475" t="s">
        <v>540</v>
      </c>
      <c r="BF475" s="1">
        <v>2360.8</v>
      </c>
      <c r="BG475" s="1">
        <v>14.16</v>
      </c>
      <c r="BH475" s="1">
        <v>2346.64</v>
      </c>
      <c r="BI475" t="s">
        <v>550</v>
      </c>
      <c r="BJ475" t="s">
        <v>551</v>
      </c>
      <c r="BK475" t="s">
        <v>552</v>
      </c>
      <c r="BL475" t="s">
        <v>552</v>
      </c>
      <c r="BM475" t="s">
        <v>2548</v>
      </c>
      <c r="BN475" t="s">
        <v>2828</v>
      </c>
      <c r="BO475" t="s">
        <v>2829</v>
      </c>
      <c r="BR475" t="s">
        <v>546</v>
      </c>
      <c r="BS475" s="1">
        <v>2360.8</v>
      </c>
      <c r="BW475" t="s">
        <v>536</v>
      </c>
      <c r="BX475" s="1">
        <v>2360.8</v>
      </c>
      <c r="BZ475" t="s">
        <v>535</v>
      </c>
      <c r="CA475" t="s">
        <v>546</v>
      </c>
      <c r="CB475" t="s">
        <v>2737</v>
      </c>
      <c r="CC475" t="s">
        <v>556</v>
      </c>
      <c r="CD475" t="s">
        <v>1806</v>
      </c>
      <c r="CE475" t="s">
        <v>1807</v>
      </c>
      <c r="CF475" t="s">
        <v>5</v>
      </c>
      <c r="CG475" s="4">
        <v>1</v>
      </c>
      <c r="CH475" t="s">
        <v>546</v>
      </c>
      <c r="CK475" t="s">
        <v>2830</v>
      </c>
      <c r="CL475" s="1">
        <v>2360.8</v>
      </c>
      <c r="CN475" t="s">
        <v>535</v>
      </c>
      <c r="CO475" t="s">
        <v>539</v>
      </c>
      <c r="CT475" t="s">
        <v>651</v>
      </c>
      <c r="CW475" t="s">
        <v>546</v>
      </c>
      <c r="DD475" t="s">
        <v>561</v>
      </c>
      <c r="DK475" t="s">
        <v>2831</v>
      </c>
      <c r="DL475" t="s">
        <v>2832</v>
      </c>
    </row>
    <row r="476" ht="15" customHeight="1" spans="1:122">
      <c r="A476" t="s">
        <v>530</v>
      </c>
      <c r="B476" t="s">
        <v>2833</v>
      </c>
      <c r="C476" t="s">
        <v>532</v>
      </c>
      <c r="D476" t="s">
        <v>2737</v>
      </c>
      <c r="E476" t="s">
        <v>534</v>
      </c>
      <c r="F476" t="s">
        <v>534</v>
      </c>
      <c r="G476" t="s">
        <v>535</v>
      </c>
      <c r="H476" s="1">
        <v>590.2</v>
      </c>
      <c r="I476" s="1">
        <v>590.2</v>
      </c>
      <c r="J476" t="s">
        <v>536</v>
      </c>
      <c r="L476" t="s">
        <v>536</v>
      </c>
      <c r="M476" t="s">
        <v>404</v>
      </c>
      <c r="N476" t="s">
        <v>537</v>
      </c>
      <c r="P476" s="1">
        <v>590.2</v>
      </c>
      <c r="Q476" t="s">
        <v>642</v>
      </c>
      <c r="R476" t="s">
        <v>535</v>
      </c>
      <c r="S476" t="s">
        <v>539</v>
      </c>
      <c r="T476" s="2">
        <v>1</v>
      </c>
      <c r="U476" s="1">
        <v>590.2</v>
      </c>
      <c r="V476" s="1">
        <v>590.2</v>
      </c>
      <c r="X476" t="s">
        <v>540</v>
      </c>
      <c r="Z476" t="s">
        <v>541</v>
      </c>
      <c r="AA476" t="s">
        <v>542</v>
      </c>
      <c r="AB476" t="s">
        <v>543</v>
      </c>
      <c r="AC476" t="s">
        <v>544</v>
      </c>
      <c r="AD476" t="s">
        <v>545</v>
      </c>
      <c r="AE476" s="3">
        <v>1</v>
      </c>
      <c r="AF476" t="s">
        <v>5</v>
      </c>
      <c r="AG476" s="1">
        <v>590.2</v>
      </c>
      <c r="AI476" s="1">
        <v>590.2</v>
      </c>
      <c r="AJ476" s="1">
        <v>590.2</v>
      </c>
      <c r="AM476" s="1">
        <v>590.2</v>
      </c>
      <c r="AN476" t="s">
        <v>565</v>
      </c>
      <c r="AO476" t="s">
        <v>546</v>
      </c>
      <c r="AP476" t="s">
        <v>565</v>
      </c>
      <c r="AQ476" t="s">
        <v>548</v>
      </c>
      <c r="AS476" t="s">
        <v>404</v>
      </c>
      <c r="AX476" s="1">
        <v>590.2</v>
      </c>
      <c r="AY476" t="s">
        <v>546</v>
      </c>
      <c r="AZ476" t="s">
        <v>566</v>
      </c>
      <c r="BA476" s="1">
        <v>590.2</v>
      </c>
      <c r="BC476" t="s">
        <v>546</v>
      </c>
      <c r="BD476" s="1">
        <v>590.2</v>
      </c>
      <c r="BE476" t="s">
        <v>540</v>
      </c>
      <c r="BF476" s="1">
        <v>590.2</v>
      </c>
      <c r="BH476" s="1">
        <v>590.2</v>
      </c>
      <c r="BI476" t="s">
        <v>550</v>
      </c>
      <c r="BJ476" t="s">
        <v>551</v>
      </c>
      <c r="BK476" t="s">
        <v>551</v>
      </c>
      <c r="BL476" t="s">
        <v>552</v>
      </c>
      <c r="BM476" t="s">
        <v>2548</v>
      </c>
      <c r="BN476" t="s">
        <v>2834</v>
      </c>
      <c r="BO476" t="s">
        <v>2835</v>
      </c>
      <c r="BR476" t="s">
        <v>546</v>
      </c>
      <c r="BS476" s="1">
        <v>590.2</v>
      </c>
      <c r="BW476" t="s">
        <v>536</v>
      </c>
      <c r="BX476" s="1">
        <v>590.2</v>
      </c>
      <c r="BZ476" t="s">
        <v>535</v>
      </c>
      <c r="CA476" t="s">
        <v>546</v>
      </c>
      <c r="CB476" t="s">
        <v>2737</v>
      </c>
      <c r="CC476" t="s">
        <v>556</v>
      </c>
      <c r="CD476" t="s">
        <v>1806</v>
      </c>
      <c r="CE476" t="s">
        <v>1807</v>
      </c>
      <c r="CF476" t="s">
        <v>5</v>
      </c>
      <c r="CG476" s="4">
        <v>1</v>
      </c>
      <c r="CH476" t="s">
        <v>546</v>
      </c>
      <c r="CK476" t="s">
        <v>2830</v>
      </c>
      <c r="CL476" s="1">
        <v>590.2</v>
      </c>
      <c r="CN476" t="s">
        <v>535</v>
      </c>
      <c r="CO476" t="s">
        <v>539</v>
      </c>
      <c r="CT476" t="s">
        <v>651</v>
      </c>
      <c r="CW476" t="s">
        <v>546</v>
      </c>
      <c r="DD476" t="s">
        <v>561</v>
      </c>
      <c r="DK476" t="s">
        <v>2831</v>
      </c>
      <c r="DL476" t="s">
        <v>2832</v>
      </c>
    </row>
    <row r="477" ht="15" customHeight="1" spans="1:122">
      <c r="A477" t="s">
        <v>530</v>
      </c>
      <c r="B477" t="s">
        <v>2836</v>
      </c>
      <c r="C477" t="s">
        <v>532</v>
      </c>
      <c r="D477" t="s">
        <v>2548</v>
      </c>
      <c r="E477" t="s">
        <v>534</v>
      </c>
      <c r="F477" t="s">
        <v>534</v>
      </c>
      <c r="G477" t="s">
        <v>535</v>
      </c>
      <c r="H477" s="1">
        <v>890</v>
      </c>
      <c r="I477" s="1">
        <v>890</v>
      </c>
      <c r="J477" t="s">
        <v>536</v>
      </c>
      <c r="L477" t="s">
        <v>536</v>
      </c>
      <c r="M477" t="s">
        <v>376</v>
      </c>
      <c r="N477" t="s">
        <v>537</v>
      </c>
      <c r="P477" s="1">
        <v>890</v>
      </c>
      <c r="Q477" t="s">
        <v>1105</v>
      </c>
      <c r="R477" t="s">
        <v>535</v>
      </c>
      <c r="S477" t="s">
        <v>539</v>
      </c>
      <c r="T477" s="2">
        <v>1</v>
      </c>
      <c r="U477" s="1">
        <v>890</v>
      </c>
      <c r="V477" s="1">
        <v>890</v>
      </c>
      <c r="X477" t="s">
        <v>540</v>
      </c>
      <c r="Z477" t="s">
        <v>541</v>
      </c>
      <c r="AA477" t="s">
        <v>542</v>
      </c>
      <c r="AB477" t="s">
        <v>543</v>
      </c>
      <c r="AC477" t="s">
        <v>544</v>
      </c>
      <c r="AD477" t="s">
        <v>545</v>
      </c>
      <c r="AE477" s="3">
        <v>1</v>
      </c>
      <c r="AF477" t="s">
        <v>198</v>
      </c>
      <c r="AG477" s="1">
        <v>890</v>
      </c>
      <c r="AI477" s="1">
        <v>890</v>
      </c>
      <c r="AJ477" s="1">
        <v>890</v>
      </c>
      <c r="AM477" s="1">
        <v>890</v>
      </c>
      <c r="AN477" t="s">
        <v>643</v>
      </c>
      <c r="AO477" t="s">
        <v>546</v>
      </c>
      <c r="AP477" t="s">
        <v>643</v>
      </c>
      <c r="AQ477" t="s">
        <v>548</v>
      </c>
      <c r="AS477" t="s">
        <v>376</v>
      </c>
      <c r="AX477" s="1">
        <v>890</v>
      </c>
      <c r="AY477" t="s">
        <v>546</v>
      </c>
      <c r="AZ477" t="s">
        <v>644</v>
      </c>
      <c r="BA477" s="1">
        <v>890</v>
      </c>
      <c r="BC477" t="s">
        <v>546</v>
      </c>
      <c r="BD477" s="1">
        <v>890</v>
      </c>
      <c r="BE477" t="s">
        <v>540</v>
      </c>
      <c r="BF477" s="1">
        <v>890</v>
      </c>
      <c r="BH477" s="1">
        <v>890</v>
      </c>
      <c r="BI477" t="s">
        <v>550</v>
      </c>
      <c r="BJ477" t="s">
        <v>551</v>
      </c>
      <c r="BK477" t="s">
        <v>551</v>
      </c>
      <c r="BL477" t="s">
        <v>552</v>
      </c>
      <c r="BM477" t="s">
        <v>2737</v>
      </c>
      <c r="BN477" t="s">
        <v>2837</v>
      </c>
      <c r="BO477" t="s">
        <v>2838</v>
      </c>
      <c r="BR477" t="s">
        <v>546</v>
      </c>
      <c r="BS477" s="1">
        <v>890</v>
      </c>
      <c r="BW477" t="s">
        <v>536</v>
      </c>
      <c r="BX477" s="1">
        <v>890</v>
      </c>
      <c r="BZ477" t="s">
        <v>535</v>
      </c>
      <c r="CA477" t="s">
        <v>546</v>
      </c>
      <c r="CB477" t="s">
        <v>2548</v>
      </c>
      <c r="CC477" t="s">
        <v>556</v>
      </c>
      <c r="CD477" t="s">
        <v>1108</v>
      </c>
      <c r="CE477" t="s">
        <v>1109</v>
      </c>
      <c r="CF477" t="s">
        <v>198</v>
      </c>
      <c r="CG477" s="4">
        <v>1</v>
      </c>
      <c r="CH477" t="s">
        <v>546</v>
      </c>
      <c r="CK477" t="s">
        <v>2839</v>
      </c>
      <c r="CL477" s="1">
        <v>890</v>
      </c>
      <c r="CN477" t="s">
        <v>535</v>
      </c>
      <c r="CO477" t="s">
        <v>539</v>
      </c>
      <c r="CT477" t="s">
        <v>576</v>
      </c>
      <c r="CW477" t="s">
        <v>546</v>
      </c>
      <c r="DD477" t="s">
        <v>561</v>
      </c>
      <c r="DK477" t="s">
        <v>2840</v>
      </c>
      <c r="DL477" t="s">
        <v>2841</v>
      </c>
      <c r="DR477" t="s">
        <v>2842</v>
      </c>
    </row>
    <row r="478" ht="15" customHeight="1" spans="1:122">
      <c r="A478" t="s">
        <v>530</v>
      </c>
      <c r="B478" t="s">
        <v>2843</v>
      </c>
      <c r="C478" t="s">
        <v>752</v>
      </c>
      <c r="D478" t="s">
        <v>984</v>
      </c>
      <c r="E478" t="s">
        <v>534</v>
      </c>
      <c r="F478" t="s">
        <v>534</v>
      </c>
      <c r="G478" t="s">
        <v>535</v>
      </c>
      <c r="H478" s="1">
        <v>3245</v>
      </c>
      <c r="I478" s="1">
        <v>3245</v>
      </c>
      <c r="J478" t="s">
        <v>536</v>
      </c>
      <c r="L478" t="s">
        <v>536</v>
      </c>
      <c r="M478" t="s">
        <v>389</v>
      </c>
      <c r="N478" t="s">
        <v>753</v>
      </c>
      <c r="P478" s="1">
        <v>3245</v>
      </c>
      <c r="Q478" t="s">
        <v>754</v>
      </c>
      <c r="R478" t="s">
        <v>535</v>
      </c>
      <c r="S478" t="s">
        <v>539</v>
      </c>
      <c r="T478" s="2">
        <v>1</v>
      </c>
      <c r="U478" s="1">
        <v>3245</v>
      </c>
      <c r="V478" s="1">
        <v>3245</v>
      </c>
      <c r="X478" t="s">
        <v>540</v>
      </c>
      <c r="Z478" t="s">
        <v>541</v>
      </c>
      <c r="AA478" t="s">
        <v>542</v>
      </c>
      <c r="AB478" t="s">
        <v>543</v>
      </c>
      <c r="AC478" t="s">
        <v>544</v>
      </c>
      <c r="AD478" t="s">
        <v>545</v>
      </c>
      <c r="AE478" s="3">
        <v>1</v>
      </c>
      <c r="AF478" t="s">
        <v>308</v>
      </c>
      <c r="AG478" s="1">
        <v>3245</v>
      </c>
      <c r="AI478" s="1">
        <v>3245</v>
      </c>
      <c r="AJ478" s="1">
        <v>3245</v>
      </c>
      <c r="AM478" s="1">
        <v>3245</v>
      </c>
      <c r="AN478" t="s">
        <v>536</v>
      </c>
      <c r="AO478" t="s">
        <v>546</v>
      </c>
      <c r="AP478" t="s">
        <v>547</v>
      </c>
      <c r="AQ478" t="s">
        <v>548</v>
      </c>
      <c r="AS478" t="s">
        <v>389</v>
      </c>
      <c r="AX478" s="1">
        <v>3245</v>
      </c>
      <c r="AY478" t="s">
        <v>546</v>
      </c>
      <c r="AZ478" t="s">
        <v>549</v>
      </c>
      <c r="BA478" s="1">
        <v>3245</v>
      </c>
      <c r="BC478" t="s">
        <v>546</v>
      </c>
      <c r="BD478" s="1">
        <v>3245</v>
      </c>
      <c r="BE478" t="s">
        <v>540</v>
      </c>
      <c r="BF478" s="1">
        <v>3245</v>
      </c>
      <c r="BH478" s="1">
        <v>3245</v>
      </c>
      <c r="BI478" t="s">
        <v>550</v>
      </c>
      <c r="BJ478" t="s">
        <v>551</v>
      </c>
      <c r="BK478" t="s">
        <v>551</v>
      </c>
      <c r="BL478" t="s">
        <v>552</v>
      </c>
      <c r="BM478" t="s">
        <v>2737</v>
      </c>
      <c r="BN478" t="s">
        <v>2844</v>
      </c>
      <c r="BO478" t="s">
        <v>2845</v>
      </c>
      <c r="BR478" t="s">
        <v>546</v>
      </c>
      <c r="BS478" s="1">
        <v>3245</v>
      </c>
      <c r="BW478" t="s">
        <v>536</v>
      </c>
      <c r="BX478" s="1">
        <v>3245</v>
      </c>
      <c r="BZ478" t="s">
        <v>535</v>
      </c>
      <c r="CA478" t="s">
        <v>546</v>
      </c>
      <c r="CB478" t="s">
        <v>984</v>
      </c>
      <c r="CC478" t="s">
        <v>556</v>
      </c>
      <c r="CD478" t="s">
        <v>2846</v>
      </c>
      <c r="CE478" t="s">
        <v>2847</v>
      </c>
      <c r="CF478" t="s">
        <v>308</v>
      </c>
      <c r="CG478" s="4">
        <v>1</v>
      </c>
      <c r="CH478" t="s">
        <v>546</v>
      </c>
      <c r="CK478" t="s">
        <v>2848</v>
      </c>
      <c r="CL478" s="1">
        <v>3245</v>
      </c>
      <c r="CN478" t="s">
        <v>535</v>
      </c>
      <c r="CO478" t="s">
        <v>539</v>
      </c>
      <c r="CT478" t="s">
        <v>760</v>
      </c>
      <c r="CW478" t="s">
        <v>546</v>
      </c>
      <c r="DD478" t="s">
        <v>561</v>
      </c>
      <c r="DK478" t="s">
        <v>761</v>
      </c>
      <c r="DL478" t="s">
        <v>2849</v>
      </c>
    </row>
    <row r="479" ht="15" customHeight="1" spans="1:122">
      <c r="A479" t="s">
        <v>603</v>
      </c>
      <c r="B479" t="s">
        <v>2850</v>
      </c>
      <c r="C479" t="s">
        <v>2851</v>
      </c>
      <c r="D479" t="s">
        <v>2737</v>
      </c>
      <c r="E479" t="s">
        <v>534</v>
      </c>
      <c r="F479" t="s">
        <v>534</v>
      </c>
      <c r="G479" t="s">
        <v>535</v>
      </c>
      <c r="H479" s="1">
        <v>71511.68</v>
      </c>
      <c r="I479" s="1">
        <v>71511.68</v>
      </c>
      <c r="J479" t="s">
        <v>536</v>
      </c>
      <c r="L479" t="s">
        <v>536</v>
      </c>
      <c r="M479" t="s">
        <v>395</v>
      </c>
      <c r="N479" t="s">
        <v>2852</v>
      </c>
      <c r="P479" s="1">
        <v>71511.68</v>
      </c>
      <c r="Q479" t="s">
        <v>2853</v>
      </c>
      <c r="R479" t="s">
        <v>535</v>
      </c>
      <c r="S479" t="s">
        <v>539</v>
      </c>
      <c r="T479" s="2">
        <v>1</v>
      </c>
      <c r="U479" s="1">
        <v>71511.68</v>
      </c>
      <c r="V479" s="1">
        <v>71511.68</v>
      </c>
      <c r="X479" t="s">
        <v>616</v>
      </c>
      <c r="Z479" t="s">
        <v>541</v>
      </c>
      <c r="AA479" t="s">
        <v>542</v>
      </c>
      <c r="AB479" t="s">
        <v>2854</v>
      </c>
      <c r="AC479" t="s">
        <v>608</v>
      </c>
      <c r="AE479" s="3">
        <v>1</v>
      </c>
      <c r="AG479" s="1">
        <v>71511.68</v>
      </c>
      <c r="AI479" s="1">
        <v>71511.68</v>
      </c>
      <c r="AJ479" s="1">
        <v>71511.68</v>
      </c>
      <c r="AM479" s="1">
        <v>71511.68</v>
      </c>
      <c r="AO479" t="s">
        <v>546</v>
      </c>
      <c r="AQ479" t="s">
        <v>548</v>
      </c>
      <c r="AS479" t="s">
        <v>395</v>
      </c>
      <c r="AX479" s="1">
        <v>71511.68</v>
      </c>
      <c r="AY479" t="s">
        <v>546</v>
      </c>
      <c r="BA479" s="1">
        <v>71511.68</v>
      </c>
      <c r="BB479" t="s">
        <v>2855</v>
      </c>
      <c r="BC479" t="s">
        <v>546</v>
      </c>
      <c r="BE479" t="s">
        <v>616</v>
      </c>
      <c r="BH479" s="1">
        <v>71511.68</v>
      </c>
      <c r="BI479" t="s">
        <v>550</v>
      </c>
      <c r="BJ479" t="s">
        <v>552</v>
      </c>
      <c r="BK479" t="s">
        <v>610</v>
      </c>
      <c r="BL479" t="s">
        <v>552</v>
      </c>
      <c r="BM479" t="s">
        <v>2737</v>
      </c>
      <c r="BN479" t="s">
        <v>2856</v>
      </c>
      <c r="BO479" t="s">
        <v>2857</v>
      </c>
      <c r="BR479" t="s">
        <v>546</v>
      </c>
      <c r="BS479" s="1">
        <v>71511.68</v>
      </c>
      <c r="BW479" t="s">
        <v>536</v>
      </c>
      <c r="BZ479" t="s">
        <v>535</v>
      </c>
      <c r="CA479" t="s">
        <v>546</v>
      </c>
      <c r="CB479" t="s">
        <v>2737</v>
      </c>
      <c r="CC479" t="s">
        <v>556</v>
      </c>
      <c r="CH479" t="s">
        <v>546</v>
      </c>
      <c r="CK479" t="s">
        <v>2858</v>
      </c>
      <c r="CN479" t="s">
        <v>535</v>
      </c>
      <c r="CO479" t="s">
        <v>539</v>
      </c>
      <c r="CT479" t="s">
        <v>2859</v>
      </c>
      <c r="CW479" t="s">
        <v>546</v>
      </c>
      <c r="DR479" t="s">
        <v>2860</v>
      </c>
    </row>
    <row r="480" ht="15" customHeight="1" spans="1:122">
      <c r="A480" t="s">
        <v>603</v>
      </c>
      <c r="B480" t="s">
        <v>2861</v>
      </c>
      <c r="D480" t="s">
        <v>2548</v>
      </c>
      <c r="E480" t="s">
        <v>534</v>
      </c>
      <c r="F480" t="s">
        <v>534</v>
      </c>
      <c r="G480" t="s">
        <v>535</v>
      </c>
      <c r="H480" s="1">
        <v>6122.84</v>
      </c>
      <c r="I480" s="1">
        <v>6122.84</v>
      </c>
      <c r="J480" t="s">
        <v>536</v>
      </c>
      <c r="L480" t="s">
        <v>536</v>
      </c>
      <c r="M480" t="s">
        <v>402</v>
      </c>
      <c r="N480" t="s">
        <v>1341</v>
      </c>
      <c r="P480" s="1">
        <v>6122.84</v>
      </c>
      <c r="Q480" t="s">
        <v>1342</v>
      </c>
      <c r="R480" t="s">
        <v>535</v>
      </c>
      <c r="S480" t="s">
        <v>539</v>
      </c>
      <c r="T480" s="2">
        <v>1</v>
      </c>
      <c r="U480" s="1">
        <v>6122.84</v>
      </c>
      <c r="V480" s="1">
        <v>6122.84</v>
      </c>
      <c r="X480" t="s">
        <v>616</v>
      </c>
      <c r="Z480" t="s">
        <v>541</v>
      </c>
      <c r="AA480" t="s">
        <v>542</v>
      </c>
      <c r="AB480" t="s">
        <v>543</v>
      </c>
      <c r="AC480" t="s">
        <v>608</v>
      </c>
      <c r="AE480" s="3">
        <v>1</v>
      </c>
      <c r="AG480" s="1">
        <v>6122.84</v>
      </c>
      <c r="AI480" s="1">
        <v>6122.84</v>
      </c>
      <c r="AJ480" s="1">
        <v>6122.84</v>
      </c>
      <c r="AM480" s="1">
        <v>6122.84</v>
      </c>
      <c r="AN480" t="s">
        <v>536</v>
      </c>
      <c r="AO480" t="s">
        <v>546</v>
      </c>
      <c r="AP480" t="s">
        <v>547</v>
      </c>
      <c r="AQ480" t="s">
        <v>548</v>
      </c>
      <c r="AS480" t="s">
        <v>402</v>
      </c>
      <c r="AX480" s="1">
        <v>6122.84</v>
      </c>
      <c r="AY480" t="s">
        <v>546</v>
      </c>
      <c r="AZ480" t="s">
        <v>549</v>
      </c>
      <c r="BA480" s="1">
        <v>6122.84</v>
      </c>
      <c r="BC480" t="s">
        <v>546</v>
      </c>
      <c r="BE480" t="s">
        <v>616</v>
      </c>
      <c r="BH480" s="1">
        <v>6122.84</v>
      </c>
      <c r="BI480" t="s">
        <v>550</v>
      </c>
      <c r="BJ480" t="s">
        <v>552</v>
      </c>
      <c r="BK480" t="s">
        <v>552</v>
      </c>
      <c r="BL480" t="s">
        <v>552</v>
      </c>
      <c r="BM480" t="s">
        <v>2737</v>
      </c>
      <c r="BN480" t="s">
        <v>2862</v>
      </c>
      <c r="BO480" t="s">
        <v>2863</v>
      </c>
      <c r="BR480" t="s">
        <v>546</v>
      </c>
      <c r="BS480" s="1">
        <v>6122.84</v>
      </c>
      <c r="BW480" t="s">
        <v>536</v>
      </c>
      <c r="BZ480" t="s">
        <v>535</v>
      </c>
      <c r="CA480" t="s">
        <v>546</v>
      </c>
      <c r="CB480" t="s">
        <v>2548</v>
      </c>
      <c r="CC480" t="s">
        <v>556</v>
      </c>
      <c r="CH480" t="s">
        <v>546</v>
      </c>
      <c r="CK480" t="s">
        <v>2864</v>
      </c>
      <c r="CN480" t="s">
        <v>535</v>
      </c>
      <c r="CO480" t="s">
        <v>539</v>
      </c>
      <c r="CT480" t="s">
        <v>1789</v>
      </c>
      <c r="CW480" t="s">
        <v>546</v>
      </c>
      <c r="DD480" t="s">
        <v>561</v>
      </c>
    </row>
    <row r="481" ht="15" customHeight="1" spans="1:122">
      <c r="A481" t="s">
        <v>603</v>
      </c>
      <c r="B481" t="s">
        <v>2865</v>
      </c>
      <c r="D481" t="s">
        <v>2548</v>
      </c>
      <c r="E481" t="s">
        <v>534</v>
      </c>
      <c r="F481" t="s">
        <v>534</v>
      </c>
      <c r="G481" t="s">
        <v>535</v>
      </c>
      <c r="H481" s="1">
        <v>492.3</v>
      </c>
      <c r="I481" s="1">
        <v>492.3</v>
      </c>
      <c r="J481" t="s">
        <v>536</v>
      </c>
      <c r="L481" t="s">
        <v>536</v>
      </c>
      <c r="M481" t="s">
        <v>402</v>
      </c>
      <c r="N481" t="s">
        <v>1341</v>
      </c>
      <c r="P481" s="1">
        <v>492.3</v>
      </c>
      <c r="Q481" t="s">
        <v>1342</v>
      </c>
      <c r="R481" t="s">
        <v>535</v>
      </c>
      <c r="S481" t="s">
        <v>539</v>
      </c>
      <c r="T481" s="2">
        <v>1</v>
      </c>
      <c r="U481" s="1">
        <v>492.3</v>
      </c>
      <c r="V481" s="1">
        <v>492.3</v>
      </c>
      <c r="X481" t="s">
        <v>616</v>
      </c>
      <c r="Z481" t="s">
        <v>541</v>
      </c>
      <c r="AA481" t="s">
        <v>542</v>
      </c>
      <c r="AB481" t="s">
        <v>543</v>
      </c>
      <c r="AC481" t="s">
        <v>608</v>
      </c>
      <c r="AE481" s="3">
        <v>1</v>
      </c>
      <c r="AG481" s="1">
        <v>492.3</v>
      </c>
      <c r="AI481" s="1">
        <v>492.3</v>
      </c>
      <c r="AJ481" s="1">
        <v>492.3</v>
      </c>
      <c r="AM481" s="1">
        <v>492.3</v>
      </c>
      <c r="AN481" t="s">
        <v>536</v>
      </c>
      <c r="AO481" t="s">
        <v>546</v>
      </c>
      <c r="AP481" t="s">
        <v>547</v>
      </c>
      <c r="AQ481" t="s">
        <v>548</v>
      </c>
      <c r="AS481" t="s">
        <v>402</v>
      </c>
      <c r="AX481" s="1">
        <v>492.3</v>
      </c>
      <c r="AY481" t="s">
        <v>546</v>
      </c>
      <c r="AZ481" t="s">
        <v>549</v>
      </c>
      <c r="BA481" s="1">
        <v>492.3</v>
      </c>
      <c r="BC481" t="s">
        <v>546</v>
      </c>
      <c r="BE481" t="s">
        <v>616</v>
      </c>
      <c r="BH481" s="1">
        <v>492.3</v>
      </c>
      <c r="BI481" t="s">
        <v>550</v>
      </c>
      <c r="BJ481" t="s">
        <v>552</v>
      </c>
      <c r="BK481" t="s">
        <v>552</v>
      </c>
      <c r="BL481" t="s">
        <v>552</v>
      </c>
      <c r="BM481" t="s">
        <v>2737</v>
      </c>
      <c r="BN481" t="s">
        <v>2866</v>
      </c>
      <c r="BO481" t="s">
        <v>2867</v>
      </c>
      <c r="BR481" t="s">
        <v>546</v>
      </c>
      <c r="BS481" s="1">
        <v>492.3</v>
      </c>
      <c r="BW481" t="s">
        <v>536</v>
      </c>
      <c r="BZ481" t="s">
        <v>535</v>
      </c>
      <c r="CA481" t="s">
        <v>546</v>
      </c>
      <c r="CB481" t="s">
        <v>2548</v>
      </c>
      <c r="CC481" t="s">
        <v>556</v>
      </c>
      <c r="CH481" t="s">
        <v>546</v>
      </c>
      <c r="CK481" t="s">
        <v>2868</v>
      </c>
      <c r="CN481" t="s">
        <v>535</v>
      </c>
      <c r="CO481" t="s">
        <v>539</v>
      </c>
      <c r="CT481" t="s">
        <v>1789</v>
      </c>
      <c r="CW481" t="s">
        <v>546</v>
      </c>
      <c r="DD481" t="s">
        <v>561</v>
      </c>
    </row>
    <row r="482" ht="15" customHeight="1" spans="1:122">
      <c r="A482" t="s">
        <v>603</v>
      </c>
      <c r="B482" t="s">
        <v>2869</v>
      </c>
      <c r="C482" t="s">
        <v>532</v>
      </c>
      <c r="D482" t="s">
        <v>2548</v>
      </c>
      <c r="E482" t="s">
        <v>534</v>
      </c>
      <c r="F482" t="s">
        <v>534</v>
      </c>
      <c r="G482" t="s">
        <v>535</v>
      </c>
      <c r="H482" s="1">
        <v>4639</v>
      </c>
      <c r="I482" s="1">
        <v>4639</v>
      </c>
      <c r="J482" t="s">
        <v>536</v>
      </c>
      <c r="L482" t="s">
        <v>536</v>
      </c>
      <c r="M482" t="s">
        <v>377</v>
      </c>
      <c r="N482" t="s">
        <v>537</v>
      </c>
      <c r="P482" s="1">
        <v>4639</v>
      </c>
      <c r="Q482" t="s">
        <v>538</v>
      </c>
      <c r="R482" t="s">
        <v>535</v>
      </c>
      <c r="S482" t="s">
        <v>539</v>
      </c>
      <c r="T482" s="2">
        <v>1</v>
      </c>
      <c r="U482" s="1">
        <v>4639</v>
      </c>
      <c r="V482" s="1">
        <v>4639</v>
      </c>
      <c r="X482" t="s">
        <v>540</v>
      </c>
      <c r="Z482" t="s">
        <v>541</v>
      </c>
      <c r="AA482" t="s">
        <v>542</v>
      </c>
      <c r="AB482" t="s">
        <v>543</v>
      </c>
      <c r="AC482" t="s">
        <v>608</v>
      </c>
      <c r="AE482" s="3">
        <v>1</v>
      </c>
      <c r="AG482" s="1">
        <v>4639</v>
      </c>
      <c r="AI482" s="1">
        <v>4639</v>
      </c>
      <c r="AJ482" s="1">
        <v>4639</v>
      </c>
      <c r="AM482" s="1">
        <v>4639</v>
      </c>
      <c r="AN482" t="s">
        <v>643</v>
      </c>
      <c r="AO482" t="s">
        <v>546</v>
      </c>
      <c r="AP482" t="s">
        <v>643</v>
      </c>
      <c r="AQ482" t="s">
        <v>548</v>
      </c>
      <c r="AS482" t="s">
        <v>377</v>
      </c>
      <c r="AX482" s="1">
        <v>4639</v>
      </c>
      <c r="AY482" t="s">
        <v>546</v>
      </c>
      <c r="AZ482" t="s">
        <v>644</v>
      </c>
      <c r="BA482" s="1">
        <v>4639</v>
      </c>
      <c r="BC482" t="s">
        <v>546</v>
      </c>
      <c r="BE482" t="s">
        <v>540</v>
      </c>
      <c r="BF482" s="1">
        <v>4639</v>
      </c>
      <c r="BH482" s="1">
        <v>4639</v>
      </c>
      <c r="BI482" t="s">
        <v>550</v>
      </c>
      <c r="BJ482" t="s">
        <v>551</v>
      </c>
      <c r="BK482" t="s">
        <v>551</v>
      </c>
      <c r="BL482" t="s">
        <v>552</v>
      </c>
      <c r="BM482" t="s">
        <v>2737</v>
      </c>
      <c r="BN482" t="s">
        <v>2870</v>
      </c>
      <c r="BO482" t="s">
        <v>2871</v>
      </c>
      <c r="BR482" t="s">
        <v>546</v>
      </c>
      <c r="BS482" s="1">
        <v>4639</v>
      </c>
      <c r="BW482" t="s">
        <v>536</v>
      </c>
      <c r="BX482" s="1">
        <v>4639</v>
      </c>
      <c r="BZ482" t="s">
        <v>535</v>
      </c>
      <c r="CA482" t="s">
        <v>546</v>
      </c>
      <c r="CB482" t="s">
        <v>2548</v>
      </c>
      <c r="CC482" t="s">
        <v>556</v>
      </c>
      <c r="CH482" t="s">
        <v>546</v>
      </c>
      <c r="CK482" t="s">
        <v>2872</v>
      </c>
      <c r="CL482" s="1">
        <v>4639</v>
      </c>
      <c r="CN482" t="s">
        <v>535</v>
      </c>
      <c r="CO482" t="s">
        <v>539</v>
      </c>
      <c r="CT482" t="s">
        <v>560</v>
      </c>
      <c r="CW482" t="s">
        <v>546</v>
      </c>
      <c r="DD482" t="s">
        <v>561</v>
      </c>
      <c r="DK482" t="s">
        <v>2873</v>
      </c>
      <c r="DL482" t="s">
        <v>2874</v>
      </c>
      <c r="DR482" t="s">
        <v>2875</v>
      </c>
    </row>
    <row r="483" ht="15" customHeight="1" spans="1:122">
      <c r="A483" t="s">
        <v>530</v>
      </c>
      <c r="B483" t="s">
        <v>2876</v>
      </c>
      <c r="C483" t="s">
        <v>532</v>
      </c>
      <c r="D483" t="s">
        <v>2737</v>
      </c>
      <c r="E483" t="s">
        <v>534</v>
      </c>
      <c r="F483" t="s">
        <v>534</v>
      </c>
      <c r="G483" t="s">
        <v>535</v>
      </c>
      <c r="H483" s="1">
        <v>800</v>
      </c>
      <c r="I483" s="1">
        <v>800</v>
      </c>
      <c r="J483" t="s">
        <v>536</v>
      </c>
      <c r="L483" t="s">
        <v>536</v>
      </c>
      <c r="M483" t="s">
        <v>375</v>
      </c>
      <c r="N483" t="s">
        <v>537</v>
      </c>
      <c r="P483" s="1">
        <v>800</v>
      </c>
      <c r="Q483" t="s">
        <v>580</v>
      </c>
      <c r="R483" t="s">
        <v>535</v>
      </c>
      <c r="S483" t="s">
        <v>539</v>
      </c>
      <c r="T483" s="2">
        <v>1</v>
      </c>
      <c r="U483" s="1">
        <v>800</v>
      </c>
      <c r="V483" s="1">
        <v>800</v>
      </c>
      <c r="X483" t="s">
        <v>540</v>
      </c>
      <c r="Z483" t="s">
        <v>541</v>
      </c>
      <c r="AA483" t="s">
        <v>542</v>
      </c>
      <c r="AB483" t="s">
        <v>934</v>
      </c>
      <c r="AC483" t="s">
        <v>544</v>
      </c>
      <c r="AD483" t="s">
        <v>545</v>
      </c>
      <c r="AE483" s="3">
        <v>1</v>
      </c>
      <c r="AF483" t="s">
        <v>199</v>
      </c>
      <c r="AG483" s="1">
        <v>800</v>
      </c>
      <c r="AI483" s="1">
        <v>800</v>
      </c>
      <c r="AJ483" s="1">
        <v>800</v>
      </c>
      <c r="AM483" s="1">
        <v>800</v>
      </c>
      <c r="AN483" t="s">
        <v>643</v>
      </c>
      <c r="AO483" t="s">
        <v>546</v>
      </c>
      <c r="AP483" t="s">
        <v>643</v>
      </c>
      <c r="AQ483" t="s">
        <v>548</v>
      </c>
      <c r="AS483" t="s">
        <v>375</v>
      </c>
      <c r="AX483" s="1">
        <v>800</v>
      </c>
      <c r="AY483" t="s">
        <v>546</v>
      </c>
      <c r="AZ483" t="s">
        <v>644</v>
      </c>
      <c r="BA483" s="1">
        <v>800</v>
      </c>
      <c r="BC483" t="s">
        <v>546</v>
      </c>
      <c r="BD483" s="1">
        <v>800</v>
      </c>
      <c r="BE483" t="s">
        <v>540</v>
      </c>
      <c r="BF483" s="1">
        <v>800</v>
      </c>
      <c r="BH483" s="1">
        <v>800</v>
      </c>
      <c r="BI483" t="s">
        <v>550</v>
      </c>
      <c r="BJ483" t="s">
        <v>570</v>
      </c>
      <c r="BK483" t="s">
        <v>570</v>
      </c>
      <c r="BL483" t="s">
        <v>552</v>
      </c>
      <c r="BM483" t="s">
        <v>2737</v>
      </c>
      <c r="BN483" t="s">
        <v>2877</v>
      </c>
      <c r="BO483" t="s">
        <v>2878</v>
      </c>
      <c r="BR483" t="s">
        <v>546</v>
      </c>
      <c r="BS483" s="1">
        <v>800</v>
      </c>
      <c r="BW483" t="s">
        <v>536</v>
      </c>
      <c r="BX483" s="1">
        <v>800</v>
      </c>
      <c r="BZ483" t="s">
        <v>535</v>
      </c>
      <c r="CA483" t="s">
        <v>546</v>
      </c>
      <c r="CB483" t="s">
        <v>2737</v>
      </c>
      <c r="CC483" t="s">
        <v>556</v>
      </c>
      <c r="CD483" t="s">
        <v>2879</v>
      </c>
      <c r="CE483" t="s">
        <v>2880</v>
      </c>
      <c r="CF483" t="s">
        <v>199</v>
      </c>
      <c r="CG483" s="4">
        <v>1</v>
      </c>
      <c r="CH483" t="s">
        <v>546</v>
      </c>
      <c r="CK483" t="s">
        <v>2881</v>
      </c>
      <c r="CL483" s="1">
        <v>800</v>
      </c>
      <c r="CN483" t="s">
        <v>535</v>
      </c>
      <c r="CO483" t="s">
        <v>539</v>
      </c>
      <c r="CT483" t="s">
        <v>576</v>
      </c>
      <c r="CW483" t="s">
        <v>546</v>
      </c>
      <c r="DD483" t="s">
        <v>561</v>
      </c>
      <c r="DK483" t="s">
        <v>2882</v>
      </c>
      <c r="DL483" t="s">
        <v>2883</v>
      </c>
      <c r="DR483" t="s">
        <v>2884</v>
      </c>
    </row>
    <row r="484" ht="15" customHeight="1" spans="1:122">
      <c r="A484" t="s">
        <v>530</v>
      </c>
      <c r="B484" t="s">
        <v>2885</v>
      </c>
      <c r="C484" t="s">
        <v>532</v>
      </c>
      <c r="D484" t="s">
        <v>2737</v>
      </c>
      <c r="E484" t="s">
        <v>534</v>
      </c>
      <c r="F484" t="s">
        <v>534</v>
      </c>
      <c r="G484" t="s">
        <v>535</v>
      </c>
      <c r="H484" s="1">
        <v>2855.15</v>
      </c>
      <c r="I484" s="1">
        <v>2838.02</v>
      </c>
      <c r="J484" t="s">
        <v>536</v>
      </c>
      <c r="L484" t="s">
        <v>536</v>
      </c>
      <c r="M484" t="s">
        <v>404</v>
      </c>
      <c r="N484" t="s">
        <v>537</v>
      </c>
      <c r="P484" s="1">
        <v>2855.15</v>
      </c>
      <c r="Q484" t="s">
        <v>642</v>
      </c>
      <c r="R484" t="s">
        <v>535</v>
      </c>
      <c r="S484" t="s">
        <v>539</v>
      </c>
      <c r="T484" s="2">
        <v>1</v>
      </c>
      <c r="U484" s="1">
        <v>2855.15</v>
      </c>
      <c r="V484" s="1">
        <v>2838.02</v>
      </c>
      <c r="X484" t="s">
        <v>540</v>
      </c>
      <c r="Z484" t="s">
        <v>541</v>
      </c>
      <c r="AA484" t="s">
        <v>542</v>
      </c>
      <c r="AB484" t="s">
        <v>543</v>
      </c>
      <c r="AC484" t="s">
        <v>544</v>
      </c>
      <c r="AD484" t="s">
        <v>545</v>
      </c>
      <c r="AE484" s="3">
        <v>1</v>
      </c>
      <c r="AF484" t="s">
        <v>18</v>
      </c>
      <c r="AG484" s="1">
        <v>2855.15</v>
      </c>
      <c r="AI484" s="1">
        <v>2855.15</v>
      </c>
      <c r="AJ484" s="1">
        <v>2855.15</v>
      </c>
      <c r="AK484" s="1">
        <v>17.13</v>
      </c>
      <c r="AM484" s="1">
        <v>2838.02</v>
      </c>
      <c r="AN484" t="s">
        <v>536</v>
      </c>
      <c r="AO484" t="s">
        <v>546</v>
      </c>
      <c r="AP484" t="s">
        <v>547</v>
      </c>
      <c r="AQ484" t="s">
        <v>548</v>
      </c>
      <c r="AS484" t="s">
        <v>404</v>
      </c>
      <c r="AX484" s="1">
        <v>2855.15</v>
      </c>
      <c r="AY484" t="s">
        <v>546</v>
      </c>
      <c r="AZ484" t="s">
        <v>549</v>
      </c>
      <c r="BA484" s="1">
        <v>2855.15</v>
      </c>
      <c r="BC484" t="s">
        <v>546</v>
      </c>
      <c r="BD484" s="1">
        <v>2855.15</v>
      </c>
      <c r="BE484" t="s">
        <v>540</v>
      </c>
      <c r="BF484" s="1">
        <v>2855.15</v>
      </c>
      <c r="BG484" s="1">
        <v>17.13</v>
      </c>
      <c r="BH484" s="1">
        <v>2838.02</v>
      </c>
      <c r="BI484" t="s">
        <v>550</v>
      </c>
      <c r="BJ484" t="s">
        <v>551</v>
      </c>
      <c r="BK484" t="s">
        <v>552</v>
      </c>
      <c r="BL484" t="s">
        <v>552</v>
      </c>
      <c r="BM484" t="s">
        <v>2737</v>
      </c>
      <c r="BN484" t="s">
        <v>2886</v>
      </c>
      <c r="BO484" t="s">
        <v>2887</v>
      </c>
      <c r="BR484" t="s">
        <v>546</v>
      </c>
      <c r="BS484" s="1">
        <v>2855.15</v>
      </c>
      <c r="BW484" t="s">
        <v>536</v>
      </c>
      <c r="BX484" s="1">
        <v>2855.15</v>
      </c>
      <c r="BZ484" t="s">
        <v>535</v>
      </c>
      <c r="CA484" t="s">
        <v>546</v>
      </c>
      <c r="CB484" t="s">
        <v>2737</v>
      </c>
      <c r="CC484" t="s">
        <v>556</v>
      </c>
      <c r="CD484" t="s">
        <v>557</v>
      </c>
      <c r="CE484" t="s">
        <v>558</v>
      </c>
      <c r="CF484" t="s">
        <v>18</v>
      </c>
      <c r="CG484" s="4">
        <v>1</v>
      </c>
      <c r="CH484" t="s">
        <v>546</v>
      </c>
      <c r="CK484" t="s">
        <v>2888</v>
      </c>
      <c r="CL484" s="1">
        <v>2855.15</v>
      </c>
      <c r="CN484" t="s">
        <v>535</v>
      </c>
      <c r="CO484" t="s">
        <v>539</v>
      </c>
      <c r="CT484" t="s">
        <v>651</v>
      </c>
      <c r="CW484" t="s">
        <v>546</v>
      </c>
      <c r="DD484" t="s">
        <v>561</v>
      </c>
      <c r="DK484" t="s">
        <v>2889</v>
      </c>
      <c r="DL484" t="s">
        <v>2890</v>
      </c>
    </row>
    <row r="485" ht="15" customHeight="1" spans="1:122">
      <c r="A485" t="s">
        <v>530</v>
      </c>
      <c r="B485" t="s">
        <v>2891</v>
      </c>
      <c r="C485" t="s">
        <v>532</v>
      </c>
      <c r="D485" t="s">
        <v>2737</v>
      </c>
      <c r="E485" t="s">
        <v>534</v>
      </c>
      <c r="F485" t="s">
        <v>534</v>
      </c>
      <c r="G485" t="s">
        <v>535</v>
      </c>
      <c r="H485" s="1">
        <v>503.85</v>
      </c>
      <c r="I485" s="1">
        <v>503.85</v>
      </c>
      <c r="J485" t="s">
        <v>536</v>
      </c>
      <c r="L485" t="s">
        <v>536</v>
      </c>
      <c r="M485" t="s">
        <v>404</v>
      </c>
      <c r="N485" t="s">
        <v>537</v>
      </c>
      <c r="P485" s="1">
        <v>503.85</v>
      </c>
      <c r="Q485" t="s">
        <v>642</v>
      </c>
      <c r="R485" t="s">
        <v>535</v>
      </c>
      <c r="S485" t="s">
        <v>539</v>
      </c>
      <c r="T485" s="2">
        <v>1</v>
      </c>
      <c r="U485" s="1">
        <v>503.85</v>
      </c>
      <c r="V485" s="1">
        <v>503.85</v>
      </c>
      <c r="X485" t="s">
        <v>540</v>
      </c>
      <c r="Z485" t="s">
        <v>541</v>
      </c>
      <c r="AA485" t="s">
        <v>542</v>
      </c>
      <c r="AB485" t="s">
        <v>543</v>
      </c>
      <c r="AC485" t="s">
        <v>544</v>
      </c>
      <c r="AD485" t="s">
        <v>545</v>
      </c>
      <c r="AE485" s="3">
        <v>1</v>
      </c>
      <c r="AF485" t="s">
        <v>18</v>
      </c>
      <c r="AG485" s="1">
        <v>503.85</v>
      </c>
      <c r="AI485" s="1">
        <v>503.85</v>
      </c>
      <c r="AJ485" s="1">
        <v>503.85</v>
      </c>
      <c r="AM485" s="1">
        <v>503.85</v>
      </c>
      <c r="AN485" t="s">
        <v>565</v>
      </c>
      <c r="AO485" t="s">
        <v>546</v>
      </c>
      <c r="AP485" t="s">
        <v>565</v>
      </c>
      <c r="AQ485" t="s">
        <v>548</v>
      </c>
      <c r="AS485" t="s">
        <v>404</v>
      </c>
      <c r="AX485" s="1">
        <v>503.85</v>
      </c>
      <c r="AY485" t="s">
        <v>546</v>
      </c>
      <c r="AZ485" t="s">
        <v>566</v>
      </c>
      <c r="BA485" s="1">
        <v>503.85</v>
      </c>
      <c r="BC485" t="s">
        <v>546</v>
      </c>
      <c r="BD485" s="1">
        <v>503.85</v>
      </c>
      <c r="BE485" t="s">
        <v>540</v>
      </c>
      <c r="BF485" s="1">
        <v>503.85</v>
      </c>
      <c r="BH485" s="1">
        <v>503.85</v>
      </c>
      <c r="BI485" t="s">
        <v>550</v>
      </c>
      <c r="BJ485" t="s">
        <v>551</v>
      </c>
      <c r="BK485" t="s">
        <v>551</v>
      </c>
      <c r="BL485" t="s">
        <v>552</v>
      </c>
      <c r="BM485" t="s">
        <v>2737</v>
      </c>
      <c r="BN485" t="s">
        <v>2892</v>
      </c>
      <c r="BO485" t="s">
        <v>2893</v>
      </c>
      <c r="BR485" t="s">
        <v>546</v>
      </c>
      <c r="BS485" s="1">
        <v>503.85</v>
      </c>
      <c r="BW485" t="s">
        <v>536</v>
      </c>
      <c r="BX485" s="1">
        <v>503.85</v>
      </c>
      <c r="BZ485" t="s">
        <v>535</v>
      </c>
      <c r="CA485" t="s">
        <v>546</v>
      </c>
      <c r="CB485" t="s">
        <v>2737</v>
      </c>
      <c r="CC485" t="s">
        <v>556</v>
      </c>
      <c r="CD485" t="s">
        <v>557</v>
      </c>
      <c r="CE485" t="s">
        <v>558</v>
      </c>
      <c r="CF485" t="s">
        <v>18</v>
      </c>
      <c r="CG485" s="4">
        <v>1</v>
      </c>
      <c r="CH485" t="s">
        <v>546</v>
      </c>
      <c r="CK485" t="s">
        <v>2888</v>
      </c>
      <c r="CL485" s="1">
        <v>503.85</v>
      </c>
      <c r="CN485" t="s">
        <v>535</v>
      </c>
      <c r="CO485" t="s">
        <v>539</v>
      </c>
      <c r="CT485" t="s">
        <v>651</v>
      </c>
      <c r="CW485" t="s">
        <v>546</v>
      </c>
      <c r="DD485" t="s">
        <v>561</v>
      </c>
      <c r="DK485" t="s">
        <v>2889</v>
      </c>
      <c r="DL485" t="s">
        <v>2890</v>
      </c>
    </row>
    <row r="486" ht="15" customHeight="1" spans="1:122">
      <c r="A486" t="s">
        <v>603</v>
      </c>
      <c r="B486" t="s">
        <v>2894</v>
      </c>
      <c r="C486" t="s">
        <v>532</v>
      </c>
      <c r="D486" t="s">
        <v>2737</v>
      </c>
      <c r="E486" t="s">
        <v>534</v>
      </c>
      <c r="F486" t="s">
        <v>534</v>
      </c>
      <c r="G486" t="s">
        <v>535</v>
      </c>
      <c r="H486" s="1">
        <v>26190</v>
      </c>
      <c r="I486" s="1">
        <v>26190</v>
      </c>
      <c r="J486" t="s">
        <v>536</v>
      </c>
      <c r="L486" t="s">
        <v>536</v>
      </c>
      <c r="M486" t="s">
        <v>409</v>
      </c>
      <c r="N486" t="s">
        <v>537</v>
      </c>
      <c r="P486" s="1">
        <v>26190</v>
      </c>
      <c r="Q486" t="s">
        <v>970</v>
      </c>
      <c r="R486" t="s">
        <v>535</v>
      </c>
      <c r="S486" t="s">
        <v>539</v>
      </c>
      <c r="T486" s="2">
        <v>1</v>
      </c>
      <c r="U486" s="1">
        <v>26190</v>
      </c>
      <c r="V486" s="1">
        <v>26190</v>
      </c>
      <c r="X486" t="s">
        <v>616</v>
      </c>
      <c r="Z486" t="s">
        <v>541</v>
      </c>
      <c r="AA486" t="s">
        <v>542</v>
      </c>
      <c r="AB486" t="s">
        <v>543</v>
      </c>
      <c r="AC486" t="s">
        <v>608</v>
      </c>
      <c r="AE486" s="3">
        <v>1</v>
      </c>
      <c r="AG486" s="1">
        <v>26190</v>
      </c>
      <c r="AI486" s="1">
        <v>26190</v>
      </c>
      <c r="AJ486" s="1">
        <v>26190</v>
      </c>
      <c r="AM486" s="1">
        <v>26190</v>
      </c>
      <c r="AN486" t="s">
        <v>536</v>
      </c>
      <c r="AO486" t="s">
        <v>546</v>
      </c>
      <c r="AP486" t="s">
        <v>547</v>
      </c>
      <c r="AQ486" t="s">
        <v>548</v>
      </c>
      <c r="AR486" t="s">
        <v>2895</v>
      </c>
      <c r="AS486" t="s">
        <v>409</v>
      </c>
      <c r="AU486" t="s">
        <v>2896</v>
      </c>
      <c r="AV486" t="s">
        <v>409</v>
      </c>
      <c r="AX486" s="1">
        <v>26190</v>
      </c>
      <c r="AY486" t="s">
        <v>546</v>
      </c>
      <c r="AZ486" t="s">
        <v>549</v>
      </c>
      <c r="BA486" s="1">
        <v>26190</v>
      </c>
      <c r="BC486" t="s">
        <v>546</v>
      </c>
      <c r="BE486" t="s">
        <v>616</v>
      </c>
      <c r="BH486" s="1">
        <v>26190</v>
      </c>
      <c r="BI486" t="s">
        <v>550</v>
      </c>
      <c r="BJ486" t="s">
        <v>551</v>
      </c>
      <c r="BK486" t="s">
        <v>551</v>
      </c>
      <c r="BL486" t="s">
        <v>552</v>
      </c>
      <c r="BM486" t="s">
        <v>2737</v>
      </c>
      <c r="BN486" t="s">
        <v>2897</v>
      </c>
      <c r="BO486" t="s">
        <v>2898</v>
      </c>
      <c r="BR486" t="s">
        <v>546</v>
      </c>
      <c r="BS486" s="1">
        <v>26190</v>
      </c>
      <c r="BW486" t="s">
        <v>536</v>
      </c>
      <c r="BZ486" t="s">
        <v>535</v>
      </c>
      <c r="CA486" t="s">
        <v>546</v>
      </c>
      <c r="CB486" t="s">
        <v>2737</v>
      </c>
      <c r="CC486" t="s">
        <v>556</v>
      </c>
      <c r="CH486" t="s">
        <v>546</v>
      </c>
      <c r="CK486" t="s">
        <v>2899</v>
      </c>
      <c r="CN486" t="s">
        <v>535</v>
      </c>
      <c r="CO486" t="s">
        <v>539</v>
      </c>
      <c r="CT486" t="s">
        <v>576</v>
      </c>
      <c r="CW486" t="s">
        <v>546</v>
      </c>
      <c r="DD486" t="s">
        <v>561</v>
      </c>
      <c r="DR486" t="s">
        <v>1189</v>
      </c>
    </row>
    <row r="487" ht="15" customHeight="1" spans="1:122">
      <c r="A487" t="s">
        <v>603</v>
      </c>
      <c r="B487" t="s">
        <v>2900</v>
      </c>
      <c r="C487" t="s">
        <v>532</v>
      </c>
      <c r="D487" t="s">
        <v>2737</v>
      </c>
      <c r="E487" t="s">
        <v>534</v>
      </c>
      <c r="F487" t="s">
        <v>534</v>
      </c>
      <c r="G487" t="s">
        <v>535</v>
      </c>
      <c r="H487" s="1">
        <v>10000</v>
      </c>
      <c r="I487" s="1">
        <v>10000</v>
      </c>
      <c r="J487" t="s">
        <v>536</v>
      </c>
      <c r="L487" t="s">
        <v>536</v>
      </c>
      <c r="M487" t="s">
        <v>381</v>
      </c>
      <c r="N487" t="s">
        <v>537</v>
      </c>
      <c r="P487" s="1">
        <v>10000</v>
      </c>
      <c r="Q487" t="s">
        <v>905</v>
      </c>
      <c r="R487" t="s">
        <v>535</v>
      </c>
      <c r="S487" t="s">
        <v>539</v>
      </c>
      <c r="T487" s="2">
        <v>1</v>
      </c>
      <c r="U487" s="1">
        <v>10000</v>
      </c>
      <c r="V487" s="1">
        <v>10000</v>
      </c>
      <c r="X487" t="s">
        <v>616</v>
      </c>
      <c r="Z487" t="s">
        <v>541</v>
      </c>
      <c r="AA487" t="s">
        <v>542</v>
      </c>
      <c r="AB487" t="s">
        <v>543</v>
      </c>
      <c r="AC487" t="s">
        <v>608</v>
      </c>
      <c r="AE487" s="3">
        <v>1</v>
      </c>
      <c r="AG487" s="1">
        <v>10000</v>
      </c>
      <c r="AJ487" s="1">
        <v>10000</v>
      </c>
      <c r="AM487" s="1">
        <v>10000</v>
      </c>
      <c r="AN487" t="s">
        <v>536</v>
      </c>
      <c r="AO487" t="s">
        <v>546</v>
      </c>
      <c r="AP487" t="s">
        <v>547</v>
      </c>
      <c r="AQ487" t="s">
        <v>548</v>
      </c>
      <c r="AS487" t="s">
        <v>381</v>
      </c>
      <c r="AX487" s="1">
        <v>10000</v>
      </c>
      <c r="AY487" t="s">
        <v>546</v>
      </c>
      <c r="AZ487" t="s">
        <v>549</v>
      </c>
      <c r="BA487" s="1">
        <v>10000</v>
      </c>
      <c r="BC487" t="s">
        <v>546</v>
      </c>
      <c r="BE487" t="s">
        <v>616</v>
      </c>
      <c r="BH487" s="1">
        <v>10000</v>
      </c>
      <c r="BI487" t="s">
        <v>550</v>
      </c>
      <c r="BJ487" t="s">
        <v>551</v>
      </c>
      <c r="BK487" t="s">
        <v>551</v>
      </c>
      <c r="BL487" t="s">
        <v>552</v>
      </c>
      <c r="BM487" t="s">
        <v>2737</v>
      </c>
      <c r="BN487" t="s">
        <v>2901</v>
      </c>
      <c r="BO487" t="s">
        <v>2902</v>
      </c>
      <c r="BR487" t="s">
        <v>546</v>
      </c>
      <c r="BS487" s="1">
        <v>10000</v>
      </c>
      <c r="BW487" t="s">
        <v>536</v>
      </c>
      <c r="BZ487" t="s">
        <v>535</v>
      </c>
      <c r="CA487" t="s">
        <v>546</v>
      </c>
      <c r="CB487" t="s">
        <v>2737</v>
      </c>
      <c r="CC487" t="s">
        <v>556</v>
      </c>
      <c r="CH487" t="s">
        <v>546</v>
      </c>
      <c r="CK487" t="s">
        <v>2903</v>
      </c>
      <c r="CN487" t="s">
        <v>535</v>
      </c>
      <c r="CO487" t="s">
        <v>539</v>
      </c>
      <c r="CT487" t="s">
        <v>2582</v>
      </c>
      <c r="CW487" t="s">
        <v>546</v>
      </c>
      <c r="DD487" t="s">
        <v>561</v>
      </c>
    </row>
    <row r="488" ht="15" customHeight="1" spans="1:122">
      <c r="A488" t="s">
        <v>603</v>
      </c>
      <c r="B488" t="s">
        <v>2904</v>
      </c>
      <c r="C488" t="s">
        <v>656</v>
      </c>
      <c r="D488" t="s">
        <v>2737</v>
      </c>
      <c r="E488" t="s">
        <v>534</v>
      </c>
      <c r="F488" t="s">
        <v>534</v>
      </c>
      <c r="G488" t="s">
        <v>535</v>
      </c>
      <c r="H488" s="1">
        <v>2196</v>
      </c>
      <c r="I488" s="1">
        <v>2196</v>
      </c>
      <c r="J488" t="s">
        <v>536</v>
      </c>
      <c r="L488" t="s">
        <v>536</v>
      </c>
      <c r="M488" t="s">
        <v>396</v>
      </c>
      <c r="N488" t="s">
        <v>657</v>
      </c>
      <c r="P488" s="1">
        <v>2196</v>
      </c>
      <c r="Q488" t="s">
        <v>658</v>
      </c>
      <c r="R488" t="s">
        <v>535</v>
      </c>
      <c r="S488" t="s">
        <v>539</v>
      </c>
      <c r="T488" s="2">
        <v>1</v>
      </c>
      <c r="U488" s="1">
        <v>2196</v>
      </c>
      <c r="V488" s="1">
        <v>2196</v>
      </c>
      <c r="X488" t="s">
        <v>616</v>
      </c>
      <c r="Z488" t="s">
        <v>541</v>
      </c>
      <c r="AA488" t="s">
        <v>542</v>
      </c>
      <c r="AB488" t="s">
        <v>543</v>
      </c>
      <c r="AC488" t="s">
        <v>608</v>
      </c>
      <c r="AE488" s="3">
        <v>1</v>
      </c>
      <c r="AG488" s="1">
        <v>2196</v>
      </c>
      <c r="AI488" s="1">
        <v>2196</v>
      </c>
      <c r="AJ488" s="1">
        <v>2196</v>
      </c>
      <c r="AM488" s="1">
        <v>2196</v>
      </c>
      <c r="AN488" t="s">
        <v>680</v>
      </c>
      <c r="AO488" t="s">
        <v>546</v>
      </c>
      <c r="AP488" t="s">
        <v>681</v>
      </c>
      <c r="AQ488" t="s">
        <v>548</v>
      </c>
      <c r="AS488" t="s">
        <v>396</v>
      </c>
      <c r="AX488" s="1">
        <v>2196</v>
      </c>
      <c r="AY488" t="s">
        <v>546</v>
      </c>
      <c r="AZ488" t="s">
        <v>682</v>
      </c>
      <c r="BA488" s="1">
        <v>2196</v>
      </c>
      <c r="BC488" t="s">
        <v>546</v>
      </c>
      <c r="BE488" t="s">
        <v>616</v>
      </c>
      <c r="BH488" s="1">
        <v>2196</v>
      </c>
      <c r="BI488" t="s">
        <v>550</v>
      </c>
      <c r="BJ488" t="s">
        <v>683</v>
      </c>
      <c r="BK488" t="s">
        <v>683</v>
      </c>
      <c r="BL488" t="s">
        <v>552</v>
      </c>
      <c r="BM488" t="s">
        <v>2737</v>
      </c>
      <c r="BN488" t="s">
        <v>2905</v>
      </c>
      <c r="BO488" t="s">
        <v>2906</v>
      </c>
      <c r="BR488" t="s">
        <v>546</v>
      </c>
      <c r="BS488" s="1">
        <v>2196</v>
      </c>
      <c r="BW488" t="s">
        <v>536</v>
      </c>
      <c r="BZ488" t="s">
        <v>535</v>
      </c>
      <c r="CA488" t="s">
        <v>546</v>
      </c>
      <c r="CB488" t="s">
        <v>2737</v>
      </c>
      <c r="CC488" t="s">
        <v>556</v>
      </c>
      <c r="CH488" t="s">
        <v>546</v>
      </c>
      <c r="CK488" t="s">
        <v>2907</v>
      </c>
      <c r="CN488" t="s">
        <v>535</v>
      </c>
      <c r="CO488" t="s">
        <v>539</v>
      </c>
      <c r="CT488" t="s">
        <v>1444</v>
      </c>
      <c r="CW488" t="s">
        <v>546</v>
      </c>
      <c r="DD488" t="s">
        <v>561</v>
      </c>
      <c r="DK488" t="s">
        <v>1445</v>
      </c>
    </row>
    <row r="489" ht="15" customHeight="1" spans="1:122">
      <c r="A489" t="s">
        <v>603</v>
      </c>
      <c r="B489" t="s">
        <v>2908</v>
      </c>
      <c r="C489" t="s">
        <v>532</v>
      </c>
      <c r="D489" t="s">
        <v>2737</v>
      </c>
      <c r="E489" t="s">
        <v>534</v>
      </c>
      <c r="F489" t="s">
        <v>534</v>
      </c>
      <c r="G489" t="s">
        <v>535</v>
      </c>
      <c r="H489" s="1">
        <v>50000</v>
      </c>
      <c r="I489" s="1">
        <v>50000</v>
      </c>
      <c r="J489" t="s">
        <v>536</v>
      </c>
      <c r="L489" t="s">
        <v>536</v>
      </c>
      <c r="M489" t="s">
        <v>384</v>
      </c>
      <c r="N489" t="s">
        <v>537</v>
      </c>
      <c r="P489" s="1">
        <v>50000</v>
      </c>
      <c r="Q489" t="s">
        <v>905</v>
      </c>
      <c r="R489" t="s">
        <v>535</v>
      </c>
      <c r="S489" t="s">
        <v>539</v>
      </c>
      <c r="T489" s="2">
        <v>1</v>
      </c>
      <c r="U489" s="1">
        <v>50000</v>
      </c>
      <c r="V489" s="1">
        <v>50000</v>
      </c>
      <c r="X489" t="s">
        <v>616</v>
      </c>
      <c r="Z489" t="s">
        <v>541</v>
      </c>
      <c r="AA489" t="s">
        <v>542</v>
      </c>
      <c r="AB489" t="s">
        <v>543</v>
      </c>
      <c r="AC489" t="s">
        <v>608</v>
      </c>
      <c r="AE489" s="3">
        <v>1</v>
      </c>
      <c r="AG489" s="1">
        <v>50000</v>
      </c>
      <c r="AJ489" s="1">
        <v>50000</v>
      </c>
      <c r="AM489" s="1">
        <v>50000</v>
      </c>
      <c r="AN489" t="s">
        <v>536</v>
      </c>
      <c r="AO489" t="s">
        <v>546</v>
      </c>
      <c r="AP489" t="s">
        <v>547</v>
      </c>
      <c r="AQ489" t="s">
        <v>548</v>
      </c>
      <c r="AS489" t="s">
        <v>384</v>
      </c>
      <c r="AX489" s="1">
        <v>50000</v>
      </c>
      <c r="AY489" t="s">
        <v>546</v>
      </c>
      <c r="AZ489" t="s">
        <v>549</v>
      </c>
      <c r="BA489" s="1">
        <v>50000</v>
      </c>
      <c r="BC489" t="s">
        <v>546</v>
      </c>
      <c r="BE489" t="s">
        <v>616</v>
      </c>
      <c r="BH489" s="1">
        <v>50000</v>
      </c>
      <c r="BI489" t="s">
        <v>550</v>
      </c>
      <c r="BJ489" t="s">
        <v>551</v>
      </c>
      <c r="BK489" t="s">
        <v>551</v>
      </c>
      <c r="BL489" t="s">
        <v>552</v>
      </c>
      <c r="BM489" t="s">
        <v>2737</v>
      </c>
      <c r="BN489" t="s">
        <v>2909</v>
      </c>
      <c r="BO489" t="s">
        <v>2910</v>
      </c>
      <c r="BR489" t="s">
        <v>546</v>
      </c>
      <c r="BS489" s="1">
        <v>50000</v>
      </c>
      <c r="BW489" t="s">
        <v>536</v>
      </c>
      <c r="BZ489" t="s">
        <v>535</v>
      </c>
      <c r="CA489" t="s">
        <v>546</v>
      </c>
      <c r="CB489" t="s">
        <v>2737</v>
      </c>
      <c r="CC489" t="s">
        <v>556</v>
      </c>
      <c r="CH489" t="s">
        <v>546</v>
      </c>
      <c r="CK489" t="s">
        <v>2911</v>
      </c>
      <c r="CN489" t="s">
        <v>535</v>
      </c>
      <c r="CO489" t="s">
        <v>539</v>
      </c>
      <c r="CT489" t="s">
        <v>791</v>
      </c>
      <c r="CW489" t="s">
        <v>546</v>
      </c>
      <c r="DD489" t="s">
        <v>561</v>
      </c>
    </row>
    <row r="490" ht="15" customHeight="1" spans="1:122">
      <c r="A490" t="s">
        <v>530</v>
      </c>
      <c r="B490" t="s">
        <v>2912</v>
      </c>
      <c r="C490" t="s">
        <v>532</v>
      </c>
      <c r="D490" t="s">
        <v>2737</v>
      </c>
      <c r="E490" t="s">
        <v>534</v>
      </c>
      <c r="F490" t="s">
        <v>534</v>
      </c>
      <c r="G490" t="s">
        <v>535</v>
      </c>
      <c r="H490" s="1">
        <v>5430.4</v>
      </c>
      <c r="I490" s="1">
        <v>5397.82</v>
      </c>
      <c r="J490" t="s">
        <v>536</v>
      </c>
      <c r="L490" t="s">
        <v>536</v>
      </c>
      <c r="M490" t="s">
        <v>377</v>
      </c>
      <c r="N490" t="s">
        <v>537</v>
      </c>
      <c r="P490" s="1">
        <v>5430.4</v>
      </c>
      <c r="Q490" t="s">
        <v>538</v>
      </c>
      <c r="R490" t="s">
        <v>535</v>
      </c>
      <c r="S490" t="s">
        <v>539</v>
      </c>
      <c r="T490" s="2">
        <v>1</v>
      </c>
      <c r="U490" s="1">
        <v>5430.4</v>
      </c>
      <c r="V490" s="1">
        <v>5397.82</v>
      </c>
      <c r="X490" t="s">
        <v>540</v>
      </c>
      <c r="Z490" t="s">
        <v>541</v>
      </c>
      <c r="AA490" t="s">
        <v>542</v>
      </c>
      <c r="AB490" t="s">
        <v>543</v>
      </c>
      <c r="AC490" t="s">
        <v>544</v>
      </c>
      <c r="AD490" t="s">
        <v>545</v>
      </c>
      <c r="AE490" s="3">
        <v>1</v>
      </c>
      <c r="AF490" t="s">
        <v>200</v>
      </c>
      <c r="AG490" s="1">
        <v>5430.4</v>
      </c>
      <c r="AI490" s="1">
        <v>5430.4</v>
      </c>
      <c r="AJ490" s="1">
        <v>5430.4</v>
      </c>
      <c r="AK490" s="1">
        <v>32.58</v>
      </c>
      <c r="AM490" s="1">
        <v>5397.82</v>
      </c>
      <c r="AN490" t="s">
        <v>536</v>
      </c>
      <c r="AO490" t="s">
        <v>546</v>
      </c>
      <c r="AP490" t="s">
        <v>547</v>
      </c>
      <c r="AQ490" t="s">
        <v>548</v>
      </c>
      <c r="AS490" t="s">
        <v>377</v>
      </c>
      <c r="AX490" s="1">
        <v>5430.4</v>
      </c>
      <c r="AY490" t="s">
        <v>546</v>
      </c>
      <c r="AZ490" t="s">
        <v>549</v>
      </c>
      <c r="BA490" s="1">
        <v>5430.4</v>
      </c>
      <c r="BC490" t="s">
        <v>546</v>
      </c>
      <c r="BD490" s="1">
        <v>5430.4</v>
      </c>
      <c r="BE490" t="s">
        <v>540</v>
      </c>
      <c r="BF490" s="1">
        <v>5430.4</v>
      </c>
      <c r="BG490" s="1">
        <v>32.58</v>
      </c>
      <c r="BH490" s="1">
        <v>5397.82</v>
      </c>
      <c r="BI490" t="s">
        <v>550</v>
      </c>
      <c r="BJ490" t="s">
        <v>551</v>
      </c>
      <c r="BK490" t="s">
        <v>552</v>
      </c>
      <c r="BL490" t="s">
        <v>552</v>
      </c>
      <c r="BM490" t="s">
        <v>2737</v>
      </c>
      <c r="BN490" t="s">
        <v>2913</v>
      </c>
      <c r="BO490" t="s">
        <v>2914</v>
      </c>
      <c r="BR490" t="s">
        <v>546</v>
      </c>
      <c r="BS490" s="1">
        <v>5430.4</v>
      </c>
      <c r="BW490" t="s">
        <v>536</v>
      </c>
      <c r="BX490" s="1">
        <v>5430.4</v>
      </c>
      <c r="BZ490" t="s">
        <v>535</v>
      </c>
      <c r="CA490" t="s">
        <v>546</v>
      </c>
      <c r="CB490" t="s">
        <v>2737</v>
      </c>
      <c r="CC490" t="s">
        <v>556</v>
      </c>
      <c r="CD490" t="s">
        <v>2915</v>
      </c>
      <c r="CE490" t="s">
        <v>2916</v>
      </c>
      <c r="CF490" t="s">
        <v>200</v>
      </c>
      <c r="CG490" s="4">
        <v>1</v>
      </c>
      <c r="CH490" t="s">
        <v>546</v>
      </c>
      <c r="CK490" t="s">
        <v>2917</v>
      </c>
      <c r="CL490" s="1">
        <v>5430.4</v>
      </c>
      <c r="CN490" t="s">
        <v>535</v>
      </c>
      <c r="CO490" t="s">
        <v>539</v>
      </c>
      <c r="CT490" t="s">
        <v>560</v>
      </c>
      <c r="CW490" t="s">
        <v>546</v>
      </c>
      <c r="DD490" t="s">
        <v>561</v>
      </c>
      <c r="DK490" t="s">
        <v>2918</v>
      </c>
      <c r="DL490" t="s">
        <v>2919</v>
      </c>
    </row>
    <row r="491" ht="15" customHeight="1" spans="1:122">
      <c r="A491" t="s">
        <v>530</v>
      </c>
      <c r="B491" t="s">
        <v>2920</v>
      </c>
      <c r="C491" t="s">
        <v>532</v>
      </c>
      <c r="D491" t="s">
        <v>2737</v>
      </c>
      <c r="E491" t="s">
        <v>534</v>
      </c>
      <c r="F491" t="s">
        <v>534</v>
      </c>
      <c r="G491" t="s">
        <v>535</v>
      </c>
      <c r="H491" s="1">
        <v>1357.6</v>
      </c>
      <c r="I491" s="1">
        <v>1357.6</v>
      </c>
      <c r="J491" t="s">
        <v>536</v>
      </c>
      <c r="L491" t="s">
        <v>536</v>
      </c>
      <c r="M491" t="s">
        <v>377</v>
      </c>
      <c r="N491" t="s">
        <v>537</v>
      </c>
      <c r="P491" s="1">
        <v>1357.6</v>
      </c>
      <c r="Q491" t="s">
        <v>538</v>
      </c>
      <c r="R491" t="s">
        <v>535</v>
      </c>
      <c r="S491" t="s">
        <v>539</v>
      </c>
      <c r="T491" s="2">
        <v>1</v>
      </c>
      <c r="U491" s="1">
        <v>1357.6</v>
      </c>
      <c r="V491" s="1">
        <v>1357.6</v>
      </c>
      <c r="X491" t="s">
        <v>540</v>
      </c>
      <c r="Z491" t="s">
        <v>541</v>
      </c>
      <c r="AA491" t="s">
        <v>542</v>
      </c>
      <c r="AB491" t="s">
        <v>543</v>
      </c>
      <c r="AC491" t="s">
        <v>544</v>
      </c>
      <c r="AD491" t="s">
        <v>545</v>
      </c>
      <c r="AE491" s="3">
        <v>1</v>
      </c>
      <c r="AF491" t="s">
        <v>200</v>
      </c>
      <c r="AG491" s="1">
        <v>1357.6</v>
      </c>
      <c r="AI491" s="1">
        <v>1357.6</v>
      </c>
      <c r="AJ491" s="1">
        <v>1357.6</v>
      </c>
      <c r="AM491" s="1">
        <v>1357.6</v>
      </c>
      <c r="AN491" t="s">
        <v>565</v>
      </c>
      <c r="AO491" t="s">
        <v>546</v>
      </c>
      <c r="AP491" t="s">
        <v>565</v>
      </c>
      <c r="AQ491" t="s">
        <v>548</v>
      </c>
      <c r="AS491" t="s">
        <v>377</v>
      </c>
      <c r="AX491" s="1">
        <v>1357.6</v>
      </c>
      <c r="AY491" t="s">
        <v>546</v>
      </c>
      <c r="AZ491" t="s">
        <v>566</v>
      </c>
      <c r="BA491" s="1">
        <v>1357.6</v>
      </c>
      <c r="BC491" t="s">
        <v>546</v>
      </c>
      <c r="BD491" s="1">
        <v>1357.6</v>
      </c>
      <c r="BE491" t="s">
        <v>540</v>
      </c>
      <c r="BF491" s="1">
        <v>1357.6</v>
      </c>
      <c r="BH491" s="1">
        <v>1357.6</v>
      </c>
      <c r="BI491" t="s">
        <v>550</v>
      </c>
      <c r="BJ491" t="s">
        <v>551</v>
      </c>
      <c r="BK491" t="s">
        <v>551</v>
      </c>
      <c r="BL491" t="s">
        <v>552</v>
      </c>
      <c r="BM491" t="s">
        <v>2737</v>
      </c>
      <c r="BN491" t="s">
        <v>2921</v>
      </c>
      <c r="BO491" t="s">
        <v>2922</v>
      </c>
      <c r="BR491" t="s">
        <v>546</v>
      </c>
      <c r="BS491" s="1">
        <v>1357.6</v>
      </c>
      <c r="BW491" t="s">
        <v>536</v>
      </c>
      <c r="BX491" s="1">
        <v>1357.6</v>
      </c>
      <c r="BZ491" t="s">
        <v>535</v>
      </c>
      <c r="CA491" t="s">
        <v>546</v>
      </c>
      <c r="CB491" t="s">
        <v>2737</v>
      </c>
      <c r="CC491" t="s">
        <v>556</v>
      </c>
      <c r="CD491" t="s">
        <v>2915</v>
      </c>
      <c r="CE491" t="s">
        <v>2916</v>
      </c>
      <c r="CF491" t="s">
        <v>200</v>
      </c>
      <c r="CG491" s="4">
        <v>1</v>
      </c>
      <c r="CH491" t="s">
        <v>546</v>
      </c>
      <c r="CK491" t="s">
        <v>2917</v>
      </c>
      <c r="CL491" s="1">
        <v>1357.6</v>
      </c>
      <c r="CN491" t="s">
        <v>535</v>
      </c>
      <c r="CO491" t="s">
        <v>539</v>
      </c>
      <c r="CT491" t="s">
        <v>560</v>
      </c>
      <c r="CW491" t="s">
        <v>546</v>
      </c>
      <c r="DD491" t="s">
        <v>561</v>
      </c>
      <c r="DK491" t="s">
        <v>2918</v>
      </c>
      <c r="DL491" t="s">
        <v>2919</v>
      </c>
    </row>
    <row r="492" ht="15" customHeight="1" spans="1:122">
      <c r="A492" t="s">
        <v>530</v>
      </c>
      <c r="B492" t="s">
        <v>2923</v>
      </c>
      <c r="C492" t="s">
        <v>532</v>
      </c>
      <c r="D492" t="s">
        <v>2737</v>
      </c>
      <c r="E492" t="s">
        <v>534</v>
      </c>
      <c r="F492" t="s">
        <v>534</v>
      </c>
      <c r="G492" t="s">
        <v>535</v>
      </c>
      <c r="H492" s="1">
        <v>5918</v>
      </c>
      <c r="I492" s="1">
        <v>5918</v>
      </c>
      <c r="J492" t="s">
        <v>536</v>
      </c>
      <c r="L492" t="s">
        <v>536</v>
      </c>
      <c r="M492" t="s">
        <v>380</v>
      </c>
      <c r="N492" t="s">
        <v>537</v>
      </c>
      <c r="P492" s="1">
        <v>5918</v>
      </c>
      <c r="Q492" t="s">
        <v>970</v>
      </c>
      <c r="R492" t="s">
        <v>535</v>
      </c>
      <c r="S492" t="s">
        <v>539</v>
      </c>
      <c r="T492" s="2">
        <v>1</v>
      </c>
      <c r="U492" s="1">
        <v>5918</v>
      </c>
      <c r="V492" s="1">
        <v>5918</v>
      </c>
      <c r="X492" t="s">
        <v>540</v>
      </c>
      <c r="Z492" t="s">
        <v>541</v>
      </c>
      <c r="AA492" t="s">
        <v>542</v>
      </c>
      <c r="AB492" t="s">
        <v>543</v>
      </c>
      <c r="AC492" t="s">
        <v>544</v>
      </c>
      <c r="AD492" t="s">
        <v>545</v>
      </c>
      <c r="AE492" s="3">
        <v>1</v>
      </c>
      <c r="AF492" t="s">
        <v>337</v>
      </c>
      <c r="AG492" s="1">
        <v>730</v>
      </c>
      <c r="AI492" s="1">
        <v>5918</v>
      </c>
      <c r="AJ492" s="1">
        <v>730</v>
      </c>
      <c r="AM492" s="1">
        <v>730</v>
      </c>
      <c r="AN492" t="s">
        <v>536</v>
      </c>
      <c r="AO492" t="s">
        <v>546</v>
      </c>
      <c r="AP492" t="s">
        <v>547</v>
      </c>
      <c r="AQ492" t="s">
        <v>548</v>
      </c>
      <c r="AS492" t="s">
        <v>380</v>
      </c>
      <c r="AX492" s="1">
        <v>730</v>
      </c>
      <c r="AY492" t="s">
        <v>546</v>
      </c>
      <c r="AZ492" t="s">
        <v>549</v>
      </c>
      <c r="BA492" s="1">
        <v>730</v>
      </c>
      <c r="BC492" t="s">
        <v>546</v>
      </c>
      <c r="BD492" s="1">
        <v>730</v>
      </c>
      <c r="BE492" t="s">
        <v>540</v>
      </c>
      <c r="BF492" s="1">
        <v>730</v>
      </c>
      <c r="BH492" s="1">
        <v>730</v>
      </c>
      <c r="BI492" t="s">
        <v>550</v>
      </c>
      <c r="BJ492" t="s">
        <v>551</v>
      </c>
      <c r="BK492" t="s">
        <v>551</v>
      </c>
      <c r="BL492" t="s">
        <v>552</v>
      </c>
      <c r="BM492" t="s">
        <v>2737</v>
      </c>
      <c r="BN492" t="s">
        <v>2924</v>
      </c>
      <c r="BO492" t="s">
        <v>2925</v>
      </c>
      <c r="BR492" t="s">
        <v>546</v>
      </c>
      <c r="BS492" s="1">
        <v>730</v>
      </c>
      <c r="BW492" t="s">
        <v>536</v>
      </c>
      <c r="BX492" s="1">
        <v>730</v>
      </c>
      <c r="BZ492" t="s">
        <v>535</v>
      </c>
      <c r="CA492" t="s">
        <v>546</v>
      </c>
      <c r="CB492" t="s">
        <v>2737</v>
      </c>
      <c r="CC492" t="s">
        <v>556</v>
      </c>
      <c r="CD492" t="s">
        <v>891</v>
      </c>
      <c r="CE492" t="s">
        <v>892</v>
      </c>
      <c r="CF492" t="s">
        <v>337</v>
      </c>
      <c r="CG492" s="4">
        <v>1</v>
      </c>
      <c r="CH492" t="s">
        <v>546</v>
      </c>
      <c r="CK492" t="s">
        <v>2926</v>
      </c>
      <c r="CL492" s="1">
        <v>730</v>
      </c>
      <c r="CN492" t="s">
        <v>535</v>
      </c>
      <c r="CO492" t="s">
        <v>539</v>
      </c>
      <c r="CT492" t="s">
        <v>576</v>
      </c>
      <c r="CW492" t="s">
        <v>546</v>
      </c>
      <c r="DD492" t="s">
        <v>561</v>
      </c>
      <c r="DK492" t="s">
        <v>2927</v>
      </c>
      <c r="DL492" t="s">
        <v>2928</v>
      </c>
    </row>
    <row r="493" ht="15" customHeight="1" spans="1:122">
      <c r="AB493" t="s">
        <v>543</v>
      </c>
      <c r="AC493" t="s">
        <v>544</v>
      </c>
      <c r="AD493" t="s">
        <v>545</v>
      </c>
      <c r="AF493" t="s">
        <v>339</v>
      </c>
      <c r="AG493" s="1">
        <v>2594</v>
      </c>
      <c r="AJ493" s="1">
        <v>2594</v>
      </c>
      <c r="AM493" s="1">
        <v>2594</v>
      </c>
      <c r="AN493" t="s">
        <v>536</v>
      </c>
      <c r="AP493" t="s">
        <v>547</v>
      </c>
      <c r="AX493" s="1">
        <v>2594</v>
      </c>
      <c r="AZ493" t="s">
        <v>549</v>
      </c>
      <c r="BA493" s="1">
        <v>2594</v>
      </c>
      <c r="BC493" t="s">
        <v>546</v>
      </c>
      <c r="BD493" s="1">
        <v>2594</v>
      </c>
      <c r="BE493" t="s">
        <v>540</v>
      </c>
      <c r="BF493" s="1">
        <v>2594</v>
      </c>
      <c r="BH493" s="1">
        <v>2594</v>
      </c>
      <c r="BS493" s="1">
        <v>2594</v>
      </c>
      <c r="BX493" s="1">
        <v>2594</v>
      </c>
      <c r="CB493" t="s">
        <v>2737</v>
      </c>
      <c r="CC493" t="s">
        <v>556</v>
      </c>
      <c r="CD493" t="s">
        <v>2929</v>
      </c>
      <c r="CE493" t="s">
        <v>2930</v>
      </c>
      <c r="CF493" t="s">
        <v>339</v>
      </c>
      <c r="CG493" s="4">
        <v>1</v>
      </c>
      <c r="CL493" s="1">
        <v>2594</v>
      </c>
      <c r="DD493" t="s">
        <v>561</v>
      </c>
    </row>
    <row r="494" ht="15" customHeight="1" spans="1:122">
      <c r="AB494" t="s">
        <v>543</v>
      </c>
      <c r="AC494" t="s">
        <v>544</v>
      </c>
      <c r="AD494" t="s">
        <v>545</v>
      </c>
      <c r="AF494" t="s">
        <v>338</v>
      </c>
      <c r="AG494" s="1">
        <v>2594</v>
      </c>
      <c r="AJ494" s="1">
        <v>2594</v>
      </c>
      <c r="AM494" s="1">
        <v>2594</v>
      </c>
      <c r="AN494" t="s">
        <v>536</v>
      </c>
      <c r="AP494" t="s">
        <v>547</v>
      </c>
      <c r="AX494" s="1">
        <v>2594</v>
      </c>
      <c r="AZ494" t="s">
        <v>549</v>
      </c>
      <c r="BA494" s="1">
        <v>2594</v>
      </c>
      <c r="BC494" t="s">
        <v>546</v>
      </c>
      <c r="BD494" s="1">
        <v>2594</v>
      </c>
      <c r="BE494" t="s">
        <v>540</v>
      </c>
      <c r="BF494" s="1">
        <v>2594</v>
      </c>
      <c r="BH494" s="1">
        <v>2594</v>
      </c>
      <c r="BS494" s="1">
        <v>2594</v>
      </c>
      <c r="BX494" s="1">
        <v>2594</v>
      </c>
      <c r="CB494" t="s">
        <v>2737</v>
      </c>
      <c r="CC494" t="s">
        <v>556</v>
      </c>
      <c r="CD494" t="s">
        <v>2929</v>
      </c>
      <c r="CE494" t="s">
        <v>2930</v>
      </c>
      <c r="CF494" t="s">
        <v>338</v>
      </c>
      <c r="CG494" s="4">
        <v>1</v>
      </c>
      <c r="CL494" s="1">
        <v>2594</v>
      </c>
      <c r="DD494" t="s">
        <v>561</v>
      </c>
    </row>
    <row r="495" ht="15" customHeight="1" spans="1:122">
      <c r="A495" t="s">
        <v>530</v>
      </c>
      <c r="B495" t="s">
        <v>2931</v>
      </c>
      <c r="C495" t="s">
        <v>532</v>
      </c>
      <c r="D495" t="s">
        <v>2737</v>
      </c>
      <c r="E495" t="s">
        <v>534</v>
      </c>
      <c r="F495" t="s">
        <v>534</v>
      </c>
      <c r="G495" t="s">
        <v>535</v>
      </c>
      <c r="H495" s="1">
        <v>12768</v>
      </c>
      <c r="I495" s="1">
        <v>12768</v>
      </c>
      <c r="J495" t="s">
        <v>536</v>
      </c>
      <c r="L495" t="s">
        <v>536</v>
      </c>
      <c r="M495" t="s">
        <v>380</v>
      </c>
      <c r="N495" t="s">
        <v>369</v>
      </c>
      <c r="P495" s="1">
        <v>12768</v>
      </c>
      <c r="Q495" t="s">
        <v>996</v>
      </c>
      <c r="R495" t="s">
        <v>535</v>
      </c>
      <c r="S495" t="s">
        <v>539</v>
      </c>
      <c r="T495" s="2">
        <v>1</v>
      </c>
      <c r="U495" s="1">
        <v>12768</v>
      </c>
      <c r="V495" s="1">
        <v>12768</v>
      </c>
      <c r="X495" t="s">
        <v>540</v>
      </c>
      <c r="Z495" t="s">
        <v>541</v>
      </c>
      <c r="AA495" t="s">
        <v>542</v>
      </c>
      <c r="AB495" t="s">
        <v>543</v>
      </c>
      <c r="AC495" t="s">
        <v>544</v>
      </c>
      <c r="AD495" t="s">
        <v>545</v>
      </c>
      <c r="AE495" s="3">
        <v>1</v>
      </c>
      <c r="AF495" t="s">
        <v>336</v>
      </c>
      <c r="AG495" s="1">
        <v>12768</v>
      </c>
      <c r="AI495" s="1">
        <v>12768</v>
      </c>
      <c r="AJ495" s="1">
        <v>12768</v>
      </c>
      <c r="AM495" s="1">
        <v>12768</v>
      </c>
      <c r="AN495" t="s">
        <v>536</v>
      </c>
      <c r="AO495" t="s">
        <v>546</v>
      </c>
      <c r="AP495" t="s">
        <v>547</v>
      </c>
      <c r="AQ495" t="s">
        <v>548</v>
      </c>
      <c r="AS495" t="s">
        <v>380</v>
      </c>
      <c r="AX495" s="1">
        <v>12768</v>
      </c>
      <c r="AY495" t="s">
        <v>546</v>
      </c>
      <c r="AZ495" t="s">
        <v>549</v>
      </c>
      <c r="BA495" s="1">
        <v>12768</v>
      </c>
      <c r="BC495" t="s">
        <v>546</v>
      </c>
      <c r="BD495" s="1">
        <v>12768</v>
      </c>
      <c r="BE495" t="s">
        <v>540</v>
      </c>
      <c r="BF495" s="1">
        <v>12768</v>
      </c>
      <c r="BH495" s="1">
        <v>12768</v>
      </c>
      <c r="BI495" t="s">
        <v>550</v>
      </c>
      <c r="BJ495" t="s">
        <v>551</v>
      </c>
      <c r="BK495" t="s">
        <v>551</v>
      </c>
      <c r="BL495" t="s">
        <v>552</v>
      </c>
      <c r="BM495" t="s">
        <v>2737</v>
      </c>
      <c r="BN495" t="s">
        <v>2932</v>
      </c>
      <c r="BO495" t="s">
        <v>2933</v>
      </c>
      <c r="BR495" t="s">
        <v>546</v>
      </c>
      <c r="BS495" s="1">
        <v>12768</v>
      </c>
      <c r="BW495" t="s">
        <v>536</v>
      </c>
      <c r="BX495" s="1">
        <v>12768</v>
      </c>
      <c r="BZ495" t="s">
        <v>535</v>
      </c>
      <c r="CA495" t="s">
        <v>546</v>
      </c>
      <c r="CB495" t="s">
        <v>2737</v>
      </c>
      <c r="CC495" t="s">
        <v>556</v>
      </c>
      <c r="CD495" t="s">
        <v>2934</v>
      </c>
      <c r="CE495" t="s">
        <v>2935</v>
      </c>
      <c r="CF495" t="s">
        <v>336</v>
      </c>
      <c r="CG495" s="4">
        <v>1</v>
      </c>
      <c r="CH495" t="s">
        <v>546</v>
      </c>
      <c r="CK495" t="s">
        <v>2936</v>
      </c>
      <c r="CL495" s="1">
        <v>12768</v>
      </c>
      <c r="CN495" t="s">
        <v>535</v>
      </c>
      <c r="CO495" t="s">
        <v>539</v>
      </c>
      <c r="CT495" t="s">
        <v>576</v>
      </c>
      <c r="CW495" t="s">
        <v>546</v>
      </c>
      <c r="DD495" t="s">
        <v>561</v>
      </c>
      <c r="DK495" t="s">
        <v>1119</v>
      </c>
      <c r="DL495" t="s">
        <v>2937</v>
      </c>
    </row>
    <row r="496" ht="15" customHeight="1" spans="1:122">
      <c r="A496" t="s">
        <v>530</v>
      </c>
      <c r="B496" t="s">
        <v>2938</v>
      </c>
      <c r="C496" t="s">
        <v>532</v>
      </c>
      <c r="D496" t="s">
        <v>2737</v>
      </c>
      <c r="E496" t="s">
        <v>534</v>
      </c>
      <c r="F496" t="s">
        <v>534</v>
      </c>
      <c r="G496" t="s">
        <v>535</v>
      </c>
      <c r="H496" s="1">
        <v>898</v>
      </c>
      <c r="I496" s="1">
        <v>898</v>
      </c>
      <c r="J496" t="s">
        <v>536</v>
      </c>
      <c r="L496" t="s">
        <v>536</v>
      </c>
      <c r="M496" t="s">
        <v>380</v>
      </c>
      <c r="N496" t="s">
        <v>537</v>
      </c>
      <c r="P496" s="1">
        <v>898</v>
      </c>
      <c r="Q496" t="s">
        <v>970</v>
      </c>
      <c r="R496" t="s">
        <v>535</v>
      </c>
      <c r="S496" t="s">
        <v>539</v>
      </c>
      <c r="T496" s="2">
        <v>1</v>
      </c>
      <c r="U496" s="1">
        <v>898</v>
      </c>
      <c r="V496" s="1">
        <v>898</v>
      </c>
      <c r="X496" t="s">
        <v>540</v>
      </c>
      <c r="Z496" t="s">
        <v>541</v>
      </c>
      <c r="AA496" t="s">
        <v>542</v>
      </c>
      <c r="AB496" t="s">
        <v>543</v>
      </c>
      <c r="AC496" t="s">
        <v>544</v>
      </c>
      <c r="AD496" t="s">
        <v>545</v>
      </c>
      <c r="AE496" s="3">
        <v>1</v>
      </c>
      <c r="AF496" t="s">
        <v>206</v>
      </c>
      <c r="AG496" s="1">
        <v>898</v>
      </c>
      <c r="AI496" s="1">
        <v>898</v>
      </c>
      <c r="AJ496" s="1">
        <v>898</v>
      </c>
      <c r="AM496" s="1">
        <v>898</v>
      </c>
      <c r="AN496" t="s">
        <v>643</v>
      </c>
      <c r="AO496" t="s">
        <v>546</v>
      </c>
      <c r="AP496" t="s">
        <v>643</v>
      </c>
      <c r="AQ496" t="s">
        <v>548</v>
      </c>
      <c r="AS496" t="s">
        <v>380</v>
      </c>
      <c r="AX496" s="1">
        <v>898</v>
      </c>
      <c r="AY496" t="s">
        <v>546</v>
      </c>
      <c r="AZ496" t="s">
        <v>644</v>
      </c>
      <c r="BA496" s="1">
        <v>898</v>
      </c>
      <c r="BC496" t="s">
        <v>546</v>
      </c>
      <c r="BD496" s="1">
        <v>898</v>
      </c>
      <c r="BE496" t="s">
        <v>540</v>
      </c>
      <c r="BF496" s="1">
        <v>898</v>
      </c>
      <c r="BH496" s="1">
        <v>898</v>
      </c>
      <c r="BI496" t="s">
        <v>550</v>
      </c>
      <c r="BJ496" t="s">
        <v>551</v>
      </c>
      <c r="BK496" t="s">
        <v>551</v>
      </c>
      <c r="BL496" t="s">
        <v>552</v>
      </c>
      <c r="BM496" t="s">
        <v>2737</v>
      </c>
      <c r="BN496" t="s">
        <v>2939</v>
      </c>
      <c r="BO496" t="s">
        <v>2940</v>
      </c>
      <c r="BR496" t="s">
        <v>546</v>
      </c>
      <c r="BS496" s="1">
        <v>898</v>
      </c>
      <c r="BW496" t="s">
        <v>536</v>
      </c>
      <c r="BX496" s="1">
        <v>898</v>
      </c>
      <c r="BZ496" t="s">
        <v>535</v>
      </c>
      <c r="CA496" t="s">
        <v>546</v>
      </c>
      <c r="CB496" t="s">
        <v>2737</v>
      </c>
      <c r="CC496" t="s">
        <v>556</v>
      </c>
      <c r="CD496" t="s">
        <v>2879</v>
      </c>
      <c r="CE496" t="s">
        <v>2880</v>
      </c>
      <c r="CF496" t="s">
        <v>206</v>
      </c>
      <c r="CG496" s="4">
        <v>1</v>
      </c>
      <c r="CH496" t="s">
        <v>546</v>
      </c>
      <c r="CK496" t="s">
        <v>2941</v>
      </c>
      <c r="CL496" s="1">
        <v>898</v>
      </c>
      <c r="CN496" t="s">
        <v>535</v>
      </c>
      <c r="CO496" t="s">
        <v>539</v>
      </c>
      <c r="CT496" t="s">
        <v>576</v>
      </c>
      <c r="CW496" t="s">
        <v>546</v>
      </c>
      <c r="DD496" t="s">
        <v>561</v>
      </c>
      <c r="DK496" t="s">
        <v>2942</v>
      </c>
      <c r="DL496" t="s">
        <v>2943</v>
      </c>
      <c r="DR496" t="s">
        <v>2944</v>
      </c>
    </row>
    <row r="497" ht="15" customHeight="1" spans="1:122">
      <c r="A497" t="s">
        <v>603</v>
      </c>
      <c r="B497" t="s">
        <v>2945</v>
      </c>
      <c r="C497" t="s">
        <v>532</v>
      </c>
      <c r="D497" t="s">
        <v>2737</v>
      </c>
      <c r="E497" t="s">
        <v>534</v>
      </c>
      <c r="F497" t="s">
        <v>534</v>
      </c>
      <c r="G497" t="s">
        <v>535</v>
      </c>
      <c r="H497" s="1">
        <v>24051</v>
      </c>
      <c r="I497" s="1">
        <v>23906.67</v>
      </c>
      <c r="J497" t="s">
        <v>536</v>
      </c>
      <c r="L497" t="s">
        <v>536</v>
      </c>
      <c r="M497" t="s">
        <v>411</v>
      </c>
      <c r="N497" t="s">
        <v>369</v>
      </c>
      <c r="P497" s="1">
        <v>24051</v>
      </c>
      <c r="Q497" t="s">
        <v>606</v>
      </c>
      <c r="R497" t="s">
        <v>535</v>
      </c>
      <c r="S497" t="s">
        <v>539</v>
      </c>
      <c r="T497" s="2">
        <v>1</v>
      </c>
      <c r="U497" s="1">
        <v>24051</v>
      </c>
      <c r="V497" s="1">
        <v>23906.67</v>
      </c>
      <c r="X497" t="s">
        <v>616</v>
      </c>
      <c r="Z497" t="s">
        <v>541</v>
      </c>
      <c r="AA497" t="s">
        <v>542</v>
      </c>
      <c r="AB497" t="s">
        <v>543</v>
      </c>
      <c r="AC497" t="s">
        <v>608</v>
      </c>
      <c r="AE497" s="3">
        <v>1</v>
      </c>
      <c r="AG497" s="1">
        <v>2686</v>
      </c>
      <c r="AI497" s="1">
        <v>24051</v>
      </c>
      <c r="AJ497" s="1">
        <v>2686</v>
      </c>
      <c r="AK497" s="1">
        <v>16.12</v>
      </c>
      <c r="AM497" s="1">
        <v>2669.88</v>
      </c>
      <c r="AN497" t="s">
        <v>536</v>
      </c>
      <c r="AO497" t="s">
        <v>546</v>
      </c>
      <c r="AP497" t="s">
        <v>547</v>
      </c>
      <c r="AQ497" t="s">
        <v>548</v>
      </c>
      <c r="AS497" t="s">
        <v>411</v>
      </c>
      <c r="AX497" s="1">
        <v>2686</v>
      </c>
      <c r="AY497" t="s">
        <v>546</v>
      </c>
      <c r="AZ497" t="s">
        <v>549</v>
      </c>
      <c r="BA497" s="1">
        <v>2686</v>
      </c>
      <c r="BB497" t="s">
        <v>2946</v>
      </c>
      <c r="BC497" t="s">
        <v>546</v>
      </c>
      <c r="BE497" t="s">
        <v>616</v>
      </c>
      <c r="BG497" s="1">
        <v>16.12</v>
      </c>
      <c r="BH497" s="1">
        <v>2669.88</v>
      </c>
      <c r="BI497" t="s">
        <v>550</v>
      </c>
      <c r="BJ497" t="s">
        <v>610</v>
      </c>
      <c r="BK497" t="s">
        <v>552</v>
      </c>
      <c r="BL497" t="s">
        <v>552</v>
      </c>
      <c r="BM497" t="s">
        <v>2737</v>
      </c>
      <c r="BN497" t="s">
        <v>2947</v>
      </c>
      <c r="BO497" t="s">
        <v>2948</v>
      </c>
      <c r="BR497" t="s">
        <v>546</v>
      </c>
      <c r="BS497" s="1">
        <v>2686</v>
      </c>
      <c r="BW497" t="s">
        <v>536</v>
      </c>
      <c r="BZ497" t="s">
        <v>535</v>
      </c>
      <c r="CA497" t="s">
        <v>546</v>
      </c>
      <c r="CB497" t="s">
        <v>2737</v>
      </c>
      <c r="CC497" t="s">
        <v>556</v>
      </c>
      <c r="CH497" t="s">
        <v>546</v>
      </c>
      <c r="CK497" t="s">
        <v>2949</v>
      </c>
      <c r="CN497" t="s">
        <v>535</v>
      </c>
      <c r="CO497" t="s">
        <v>539</v>
      </c>
      <c r="CT497" t="s">
        <v>576</v>
      </c>
      <c r="CW497" t="s">
        <v>546</v>
      </c>
      <c r="DD497" t="s">
        <v>561</v>
      </c>
      <c r="DK497" t="s">
        <v>2950</v>
      </c>
      <c r="DR497" t="s">
        <v>2950</v>
      </c>
    </row>
    <row r="498" ht="15" customHeight="1" spans="1:122">
      <c r="AB498" t="s">
        <v>543</v>
      </c>
      <c r="AC498" t="s">
        <v>608</v>
      </c>
      <c r="AG498" s="1">
        <v>2686</v>
      </c>
      <c r="AJ498" s="1">
        <v>2686</v>
      </c>
      <c r="AK498" s="1">
        <v>16.12</v>
      </c>
      <c r="AM498" s="1">
        <v>2669.88</v>
      </c>
      <c r="AN498" t="s">
        <v>536</v>
      </c>
      <c r="AP498" t="s">
        <v>547</v>
      </c>
      <c r="AX498" s="1">
        <v>2686</v>
      </c>
      <c r="AZ498" t="s">
        <v>549</v>
      </c>
      <c r="BA498" s="1">
        <v>2686</v>
      </c>
      <c r="BB498" t="s">
        <v>2951</v>
      </c>
      <c r="BC498" t="s">
        <v>546</v>
      </c>
      <c r="BE498" t="s">
        <v>616</v>
      </c>
      <c r="BG498" s="1">
        <v>16.12</v>
      </c>
      <c r="BH498" s="1">
        <v>2669.88</v>
      </c>
      <c r="BS498" s="1">
        <v>2686</v>
      </c>
      <c r="CB498" t="s">
        <v>2737</v>
      </c>
      <c r="CC498" t="s">
        <v>556</v>
      </c>
      <c r="DD498" t="s">
        <v>561</v>
      </c>
    </row>
    <row r="499" ht="15" customHeight="1" spans="1:122">
      <c r="AB499" t="s">
        <v>543</v>
      </c>
      <c r="AC499" t="s">
        <v>608</v>
      </c>
      <c r="AG499" s="1">
        <v>2686</v>
      </c>
      <c r="AJ499" s="1">
        <v>2686</v>
      </c>
      <c r="AK499" s="1">
        <v>16.12</v>
      </c>
      <c r="AM499" s="1">
        <v>2669.88</v>
      </c>
      <c r="AN499" t="s">
        <v>536</v>
      </c>
      <c r="AP499" t="s">
        <v>547</v>
      </c>
      <c r="AX499" s="1">
        <v>2686</v>
      </c>
      <c r="AZ499" t="s">
        <v>549</v>
      </c>
      <c r="BA499" s="1">
        <v>2686</v>
      </c>
      <c r="BB499" t="s">
        <v>2952</v>
      </c>
      <c r="BC499" t="s">
        <v>546</v>
      </c>
      <c r="BE499" t="s">
        <v>616</v>
      </c>
      <c r="BG499" s="1">
        <v>16.12</v>
      </c>
      <c r="BH499" s="1">
        <v>2669.88</v>
      </c>
      <c r="BS499" s="1">
        <v>2686</v>
      </c>
      <c r="CB499" t="s">
        <v>2737</v>
      </c>
      <c r="CC499" t="s">
        <v>556</v>
      </c>
      <c r="DD499" t="s">
        <v>561</v>
      </c>
    </row>
    <row r="500" ht="15" customHeight="1" spans="1:122">
      <c r="AB500" t="s">
        <v>543</v>
      </c>
      <c r="AC500" t="s">
        <v>608</v>
      </c>
      <c r="AG500" s="1">
        <v>3460</v>
      </c>
      <c r="AJ500" s="1">
        <v>3460</v>
      </c>
      <c r="AK500" s="1">
        <v>20.76</v>
      </c>
      <c r="AM500" s="1">
        <v>3439.24</v>
      </c>
      <c r="AN500" t="s">
        <v>536</v>
      </c>
      <c r="AP500" t="s">
        <v>547</v>
      </c>
      <c r="AX500" s="1">
        <v>3460</v>
      </c>
      <c r="AZ500" t="s">
        <v>549</v>
      </c>
      <c r="BA500" s="1">
        <v>3460</v>
      </c>
      <c r="BB500" t="s">
        <v>2953</v>
      </c>
      <c r="BC500" t="s">
        <v>546</v>
      </c>
      <c r="BE500" t="s">
        <v>616</v>
      </c>
      <c r="BG500" s="1">
        <v>20.76</v>
      </c>
      <c r="BH500" s="1">
        <v>3439.24</v>
      </c>
      <c r="BS500" s="1">
        <v>3460</v>
      </c>
      <c r="CB500" t="s">
        <v>2737</v>
      </c>
      <c r="CC500" t="s">
        <v>556</v>
      </c>
      <c r="DD500" t="s">
        <v>561</v>
      </c>
    </row>
    <row r="501" ht="15" customHeight="1" spans="1:122">
      <c r="AB501" t="s">
        <v>543</v>
      </c>
      <c r="AC501" t="s">
        <v>608</v>
      </c>
      <c r="AG501" s="1">
        <v>3701</v>
      </c>
      <c r="AJ501" s="1">
        <v>3701</v>
      </c>
      <c r="AK501" s="1">
        <v>22.21</v>
      </c>
      <c r="AM501" s="1">
        <v>3678.79</v>
      </c>
      <c r="AN501" t="s">
        <v>536</v>
      </c>
      <c r="AP501" t="s">
        <v>547</v>
      </c>
      <c r="AX501" s="1">
        <v>3701</v>
      </c>
      <c r="AZ501" t="s">
        <v>549</v>
      </c>
      <c r="BA501" s="1">
        <v>3701</v>
      </c>
      <c r="BB501" t="s">
        <v>2954</v>
      </c>
      <c r="BC501" t="s">
        <v>546</v>
      </c>
      <c r="BE501" t="s">
        <v>616</v>
      </c>
      <c r="BG501" s="1">
        <v>22.21</v>
      </c>
      <c r="BH501" s="1">
        <v>3678.79</v>
      </c>
      <c r="BS501" s="1">
        <v>3701</v>
      </c>
      <c r="CB501" t="s">
        <v>2737</v>
      </c>
      <c r="CC501" t="s">
        <v>556</v>
      </c>
      <c r="DD501" t="s">
        <v>561</v>
      </c>
    </row>
    <row r="502" ht="15" customHeight="1" spans="1:122">
      <c r="AB502" t="s">
        <v>543</v>
      </c>
      <c r="AC502" t="s">
        <v>608</v>
      </c>
      <c r="AG502" s="1">
        <v>3460</v>
      </c>
      <c r="AJ502" s="1">
        <v>3460</v>
      </c>
      <c r="AK502" s="1">
        <v>20.76</v>
      </c>
      <c r="AM502" s="1">
        <v>3439.24</v>
      </c>
      <c r="AN502" t="s">
        <v>536</v>
      </c>
      <c r="AP502" t="s">
        <v>547</v>
      </c>
      <c r="AX502" s="1">
        <v>3460</v>
      </c>
      <c r="AZ502" t="s">
        <v>549</v>
      </c>
      <c r="BA502" s="1">
        <v>3460</v>
      </c>
      <c r="BB502" t="s">
        <v>2955</v>
      </c>
      <c r="BC502" t="s">
        <v>546</v>
      </c>
      <c r="BE502" t="s">
        <v>616</v>
      </c>
      <c r="BG502" s="1">
        <v>20.76</v>
      </c>
      <c r="BH502" s="1">
        <v>3439.24</v>
      </c>
      <c r="BS502" s="1">
        <v>3460</v>
      </c>
      <c r="CB502" t="s">
        <v>2737</v>
      </c>
      <c r="CC502" t="s">
        <v>556</v>
      </c>
      <c r="DD502" t="s">
        <v>561</v>
      </c>
    </row>
    <row r="503" ht="15" customHeight="1" spans="1:122">
      <c r="AB503" t="s">
        <v>543</v>
      </c>
      <c r="AC503" t="s">
        <v>608</v>
      </c>
      <c r="AG503" s="1">
        <v>2686</v>
      </c>
      <c r="AJ503" s="1">
        <v>2686</v>
      </c>
      <c r="AK503" s="1">
        <v>16.12</v>
      </c>
      <c r="AM503" s="1">
        <v>2669.88</v>
      </c>
      <c r="AN503" t="s">
        <v>536</v>
      </c>
      <c r="AP503" t="s">
        <v>547</v>
      </c>
      <c r="AX503" s="1">
        <v>2686</v>
      </c>
      <c r="AZ503" t="s">
        <v>549</v>
      </c>
      <c r="BA503" s="1">
        <v>2686</v>
      </c>
      <c r="BB503" t="s">
        <v>2956</v>
      </c>
      <c r="BC503" t="s">
        <v>546</v>
      </c>
      <c r="BE503" t="s">
        <v>616</v>
      </c>
      <c r="BG503" s="1">
        <v>16.12</v>
      </c>
      <c r="BH503" s="1">
        <v>2669.88</v>
      </c>
      <c r="BS503" s="1">
        <v>2686</v>
      </c>
      <c r="CB503" t="s">
        <v>2737</v>
      </c>
      <c r="CC503" t="s">
        <v>556</v>
      </c>
      <c r="DD503" t="s">
        <v>561</v>
      </c>
    </row>
    <row r="504" ht="15" customHeight="1" spans="1:122">
      <c r="AB504" t="s">
        <v>543</v>
      </c>
      <c r="AC504" t="s">
        <v>608</v>
      </c>
      <c r="AG504" s="1">
        <v>2686</v>
      </c>
      <c r="AJ504" s="1">
        <v>2686</v>
      </c>
      <c r="AK504" s="1">
        <v>16.12</v>
      </c>
      <c r="AM504" s="1">
        <v>2669.88</v>
      </c>
      <c r="AN504" t="s">
        <v>536</v>
      </c>
      <c r="AP504" t="s">
        <v>547</v>
      </c>
      <c r="AX504" s="1">
        <v>2686</v>
      </c>
      <c r="AZ504" t="s">
        <v>549</v>
      </c>
      <c r="BA504" s="1">
        <v>2686</v>
      </c>
      <c r="BB504" t="s">
        <v>2957</v>
      </c>
      <c r="BC504" t="s">
        <v>546</v>
      </c>
      <c r="BE504" t="s">
        <v>616</v>
      </c>
      <c r="BG504" s="1">
        <v>16.12</v>
      </c>
      <c r="BH504" s="1">
        <v>2669.88</v>
      </c>
      <c r="BS504" s="1">
        <v>2686</v>
      </c>
      <c r="CB504" t="s">
        <v>2737</v>
      </c>
      <c r="CC504" t="s">
        <v>556</v>
      </c>
      <c r="DD504" t="s">
        <v>561</v>
      </c>
    </row>
    <row r="505" ht="15" customHeight="1" spans="1:122">
      <c r="A505" t="s">
        <v>603</v>
      </c>
      <c r="B505" t="s">
        <v>2958</v>
      </c>
      <c r="C505" t="s">
        <v>532</v>
      </c>
      <c r="D505" t="s">
        <v>2959</v>
      </c>
      <c r="E505" t="s">
        <v>534</v>
      </c>
      <c r="F505" t="s">
        <v>534</v>
      </c>
      <c r="G505" t="s">
        <v>535</v>
      </c>
      <c r="H505" s="1">
        <v>21623</v>
      </c>
      <c r="I505" s="1">
        <v>21482.45</v>
      </c>
      <c r="J505" t="s">
        <v>536</v>
      </c>
      <c r="L505" t="s">
        <v>536</v>
      </c>
      <c r="M505" t="s">
        <v>411</v>
      </c>
      <c r="N505" t="s">
        <v>369</v>
      </c>
      <c r="P505" s="1">
        <v>21623</v>
      </c>
      <c r="Q505" t="s">
        <v>606</v>
      </c>
      <c r="R505" t="s">
        <v>535</v>
      </c>
      <c r="S505" t="s">
        <v>539</v>
      </c>
      <c r="T505" s="2">
        <v>1</v>
      </c>
      <c r="U505" s="1">
        <v>21623</v>
      </c>
      <c r="V505" s="1">
        <v>21482.45</v>
      </c>
      <c r="X505" t="s">
        <v>616</v>
      </c>
      <c r="Z505" t="s">
        <v>541</v>
      </c>
      <c r="AA505" t="s">
        <v>542</v>
      </c>
      <c r="AB505" t="s">
        <v>543</v>
      </c>
      <c r="AC505" t="s">
        <v>608</v>
      </c>
      <c r="AE505" s="3">
        <v>1</v>
      </c>
      <c r="AG505" s="1">
        <v>2686</v>
      </c>
      <c r="AI505" s="1">
        <v>21623</v>
      </c>
      <c r="AJ505" s="1">
        <v>2686</v>
      </c>
      <c r="AK505" s="1">
        <v>17.46</v>
      </c>
      <c r="AM505" s="1">
        <v>2668.54</v>
      </c>
      <c r="AN505" t="s">
        <v>536</v>
      </c>
      <c r="AO505" t="s">
        <v>546</v>
      </c>
      <c r="AP505" t="s">
        <v>547</v>
      </c>
      <c r="AQ505" t="s">
        <v>548</v>
      </c>
      <c r="AS505" t="s">
        <v>411</v>
      </c>
      <c r="AX505" s="1">
        <v>2686</v>
      </c>
      <c r="AY505" t="s">
        <v>546</v>
      </c>
      <c r="AZ505" t="s">
        <v>549</v>
      </c>
      <c r="BA505" s="1">
        <v>2686</v>
      </c>
      <c r="BB505" t="s">
        <v>2960</v>
      </c>
      <c r="BC505" t="s">
        <v>546</v>
      </c>
      <c r="BE505" t="s">
        <v>616</v>
      </c>
      <c r="BG505" s="1">
        <v>17.46</v>
      </c>
      <c r="BH505" s="1">
        <v>2668.54</v>
      </c>
      <c r="BI505" t="s">
        <v>550</v>
      </c>
      <c r="BJ505" t="s">
        <v>610</v>
      </c>
      <c r="BK505" t="s">
        <v>552</v>
      </c>
      <c r="BL505" t="s">
        <v>552</v>
      </c>
      <c r="BM505" t="s">
        <v>2737</v>
      </c>
      <c r="BN505" t="s">
        <v>2961</v>
      </c>
      <c r="BO505" t="s">
        <v>2962</v>
      </c>
      <c r="BR505" t="s">
        <v>546</v>
      </c>
      <c r="BS505" s="1">
        <v>2686</v>
      </c>
      <c r="BW505" t="s">
        <v>536</v>
      </c>
      <c r="BZ505" t="s">
        <v>535</v>
      </c>
      <c r="CA505" t="s">
        <v>546</v>
      </c>
      <c r="CB505" t="s">
        <v>2959</v>
      </c>
      <c r="CC505" t="s">
        <v>556</v>
      </c>
      <c r="CH505" t="s">
        <v>546</v>
      </c>
      <c r="CK505" t="s">
        <v>2963</v>
      </c>
      <c r="CN505" t="s">
        <v>535</v>
      </c>
      <c r="CO505" t="s">
        <v>539</v>
      </c>
      <c r="CT505" t="s">
        <v>576</v>
      </c>
      <c r="CW505" t="s">
        <v>546</v>
      </c>
      <c r="DD505" t="s">
        <v>561</v>
      </c>
      <c r="DK505" t="s">
        <v>2964</v>
      </c>
      <c r="DR505" t="s">
        <v>2964</v>
      </c>
    </row>
    <row r="506" ht="15" customHeight="1" spans="1:122">
      <c r="AB506" t="s">
        <v>543</v>
      </c>
      <c r="AC506" t="s">
        <v>608</v>
      </c>
      <c r="AG506" s="1">
        <v>2614</v>
      </c>
      <c r="AJ506" s="1">
        <v>2614</v>
      </c>
      <c r="AK506" s="1">
        <v>16.99</v>
      </c>
      <c r="AM506" s="1">
        <v>2597.01</v>
      </c>
      <c r="AN506" t="s">
        <v>536</v>
      </c>
      <c r="AP506" t="s">
        <v>547</v>
      </c>
      <c r="AX506" s="1">
        <v>2614</v>
      </c>
      <c r="AZ506" t="s">
        <v>549</v>
      </c>
      <c r="BA506" s="1">
        <v>2614</v>
      </c>
      <c r="BB506" t="s">
        <v>2965</v>
      </c>
      <c r="BC506" t="s">
        <v>546</v>
      </c>
      <c r="BE506" t="s">
        <v>616</v>
      </c>
      <c r="BG506" s="1">
        <v>16.99</v>
      </c>
      <c r="BH506" s="1">
        <v>2597.01</v>
      </c>
      <c r="BS506" s="1">
        <v>2614</v>
      </c>
      <c r="CB506" t="s">
        <v>2959</v>
      </c>
      <c r="CC506" t="s">
        <v>556</v>
      </c>
      <c r="DD506" t="s">
        <v>561</v>
      </c>
    </row>
    <row r="507" ht="15" customHeight="1" spans="1:122">
      <c r="AB507" t="s">
        <v>543</v>
      </c>
      <c r="AC507" t="s">
        <v>608</v>
      </c>
      <c r="AG507" s="1">
        <v>2815</v>
      </c>
      <c r="AJ507" s="1">
        <v>2815</v>
      </c>
      <c r="AK507" s="1">
        <v>18.3</v>
      </c>
      <c r="AM507" s="1">
        <v>2796.7</v>
      </c>
      <c r="AN507" t="s">
        <v>536</v>
      </c>
      <c r="AP507" t="s">
        <v>547</v>
      </c>
      <c r="AX507" s="1">
        <v>2815</v>
      </c>
      <c r="AZ507" t="s">
        <v>549</v>
      </c>
      <c r="BA507" s="1">
        <v>2815</v>
      </c>
      <c r="BB507" t="s">
        <v>2966</v>
      </c>
      <c r="BC507" t="s">
        <v>546</v>
      </c>
      <c r="BE507" t="s">
        <v>616</v>
      </c>
      <c r="BG507" s="1">
        <v>18.3</v>
      </c>
      <c r="BH507" s="1">
        <v>2796.7</v>
      </c>
      <c r="BS507" s="1">
        <v>2815</v>
      </c>
      <c r="CB507" t="s">
        <v>2959</v>
      </c>
      <c r="CC507" t="s">
        <v>556</v>
      </c>
      <c r="DD507" t="s">
        <v>561</v>
      </c>
    </row>
    <row r="508" ht="15" customHeight="1" spans="1:122">
      <c r="AB508" t="s">
        <v>543</v>
      </c>
      <c r="AC508" t="s">
        <v>608</v>
      </c>
      <c r="AG508" s="1">
        <v>2686</v>
      </c>
      <c r="AJ508" s="1">
        <v>2686</v>
      </c>
      <c r="AK508" s="1">
        <v>17.46</v>
      </c>
      <c r="AM508" s="1">
        <v>2668.54</v>
      </c>
      <c r="AN508" t="s">
        <v>536</v>
      </c>
      <c r="AP508" t="s">
        <v>547</v>
      </c>
      <c r="AX508" s="1">
        <v>2686</v>
      </c>
      <c r="AZ508" t="s">
        <v>549</v>
      </c>
      <c r="BA508" s="1">
        <v>2686</v>
      </c>
      <c r="BB508" t="s">
        <v>2967</v>
      </c>
      <c r="BC508" t="s">
        <v>546</v>
      </c>
      <c r="BE508" t="s">
        <v>616</v>
      </c>
      <c r="BG508" s="1">
        <v>17.46</v>
      </c>
      <c r="BH508" s="1">
        <v>2668.54</v>
      </c>
      <c r="BS508" s="1">
        <v>2686</v>
      </c>
      <c r="CB508" t="s">
        <v>2959</v>
      </c>
      <c r="CC508" t="s">
        <v>556</v>
      </c>
      <c r="DD508" t="s">
        <v>561</v>
      </c>
    </row>
    <row r="509" ht="15" customHeight="1" spans="1:122">
      <c r="AB509" t="s">
        <v>543</v>
      </c>
      <c r="AC509" t="s">
        <v>608</v>
      </c>
      <c r="AG509" s="1">
        <v>2764</v>
      </c>
      <c r="AJ509" s="1">
        <v>2764</v>
      </c>
      <c r="AK509" s="1">
        <v>17.96</v>
      </c>
      <c r="AM509" s="1">
        <v>2746.04</v>
      </c>
      <c r="AN509" t="s">
        <v>536</v>
      </c>
      <c r="AP509" t="s">
        <v>547</v>
      </c>
      <c r="AX509" s="1">
        <v>2764</v>
      </c>
      <c r="AZ509" t="s">
        <v>549</v>
      </c>
      <c r="BA509" s="1">
        <v>2764</v>
      </c>
      <c r="BB509" t="s">
        <v>2968</v>
      </c>
      <c r="BC509" t="s">
        <v>546</v>
      </c>
      <c r="BE509" t="s">
        <v>616</v>
      </c>
      <c r="BG509" s="1">
        <v>17.96</v>
      </c>
      <c r="BH509" s="1">
        <v>2746.04</v>
      </c>
      <c r="BS509" s="1">
        <v>2764</v>
      </c>
      <c r="CB509" t="s">
        <v>2959</v>
      </c>
      <c r="CC509" t="s">
        <v>556</v>
      </c>
      <c r="DD509" t="s">
        <v>561</v>
      </c>
    </row>
    <row r="510" ht="15" customHeight="1" spans="1:122">
      <c r="AB510" t="s">
        <v>543</v>
      </c>
      <c r="AC510" t="s">
        <v>608</v>
      </c>
      <c r="AG510" s="1">
        <v>2686</v>
      </c>
      <c r="AJ510" s="1">
        <v>2686</v>
      </c>
      <c r="AK510" s="1">
        <v>17.46</v>
      </c>
      <c r="AM510" s="1">
        <v>2668.54</v>
      </c>
      <c r="AN510" t="s">
        <v>536</v>
      </c>
      <c r="AP510" t="s">
        <v>547</v>
      </c>
      <c r="AX510" s="1">
        <v>2686</v>
      </c>
      <c r="AZ510" t="s">
        <v>549</v>
      </c>
      <c r="BA510" s="1">
        <v>2686</v>
      </c>
      <c r="BB510" t="s">
        <v>2969</v>
      </c>
      <c r="BC510" t="s">
        <v>546</v>
      </c>
      <c r="BE510" t="s">
        <v>616</v>
      </c>
      <c r="BG510" s="1">
        <v>17.46</v>
      </c>
      <c r="BH510" s="1">
        <v>2668.54</v>
      </c>
      <c r="BS510" s="1">
        <v>2686</v>
      </c>
      <c r="CB510" t="s">
        <v>2959</v>
      </c>
      <c r="CC510" t="s">
        <v>556</v>
      </c>
      <c r="DD510" t="s">
        <v>561</v>
      </c>
    </row>
    <row r="511" ht="15" customHeight="1" spans="1:122">
      <c r="AB511" t="s">
        <v>543</v>
      </c>
      <c r="AC511" t="s">
        <v>608</v>
      </c>
      <c r="AG511" s="1">
        <v>2686</v>
      </c>
      <c r="AJ511" s="1">
        <v>2686</v>
      </c>
      <c r="AK511" s="1">
        <v>17.46</v>
      </c>
      <c r="AM511" s="1">
        <v>2668.54</v>
      </c>
      <c r="AN511" t="s">
        <v>536</v>
      </c>
      <c r="AP511" t="s">
        <v>547</v>
      </c>
      <c r="AX511" s="1">
        <v>2686</v>
      </c>
      <c r="AZ511" t="s">
        <v>549</v>
      </c>
      <c r="BA511" s="1">
        <v>2686</v>
      </c>
      <c r="BB511" t="s">
        <v>2970</v>
      </c>
      <c r="BC511" t="s">
        <v>546</v>
      </c>
      <c r="BE511" t="s">
        <v>616</v>
      </c>
      <c r="BG511" s="1">
        <v>17.46</v>
      </c>
      <c r="BH511" s="1">
        <v>2668.54</v>
      </c>
      <c r="BS511" s="1">
        <v>2686</v>
      </c>
      <c r="CB511" t="s">
        <v>2959</v>
      </c>
      <c r="CC511" t="s">
        <v>556</v>
      </c>
      <c r="DD511" t="s">
        <v>561</v>
      </c>
    </row>
    <row r="512" ht="15" customHeight="1" spans="1:122">
      <c r="AB512" t="s">
        <v>543</v>
      </c>
      <c r="AC512" t="s">
        <v>608</v>
      </c>
      <c r="AG512" s="1">
        <v>2686</v>
      </c>
      <c r="AJ512" s="1">
        <v>2686</v>
      </c>
      <c r="AK512" s="1">
        <v>17.46</v>
      </c>
      <c r="AM512" s="1">
        <v>2668.54</v>
      </c>
      <c r="AN512" t="s">
        <v>536</v>
      </c>
      <c r="AP512" t="s">
        <v>547</v>
      </c>
      <c r="AX512" s="1">
        <v>2686</v>
      </c>
      <c r="AZ512" t="s">
        <v>549</v>
      </c>
      <c r="BA512" s="1">
        <v>2686</v>
      </c>
      <c r="BB512" t="s">
        <v>2971</v>
      </c>
      <c r="BC512" t="s">
        <v>546</v>
      </c>
      <c r="BE512" t="s">
        <v>616</v>
      </c>
      <c r="BG512" s="1">
        <v>17.46</v>
      </c>
      <c r="BH512" s="1">
        <v>2668.54</v>
      </c>
      <c r="BS512" s="1">
        <v>2686</v>
      </c>
      <c r="CB512" t="s">
        <v>2959</v>
      </c>
      <c r="CC512" t="s">
        <v>556</v>
      </c>
      <c r="DD512" t="s">
        <v>561</v>
      </c>
    </row>
    <row r="513" ht="15" customHeight="1" spans="1:122">
      <c r="A513" t="s">
        <v>530</v>
      </c>
      <c r="B513" t="s">
        <v>2972</v>
      </c>
      <c r="C513" t="s">
        <v>532</v>
      </c>
      <c r="D513" t="s">
        <v>2959</v>
      </c>
      <c r="E513" t="s">
        <v>534</v>
      </c>
      <c r="F513" t="s">
        <v>534</v>
      </c>
      <c r="G513" t="s">
        <v>535</v>
      </c>
      <c r="H513" s="1">
        <v>2800</v>
      </c>
      <c r="I513" s="1">
        <v>2793.98</v>
      </c>
      <c r="J513" t="s">
        <v>536</v>
      </c>
      <c r="L513" t="s">
        <v>536</v>
      </c>
      <c r="M513" t="s">
        <v>376</v>
      </c>
      <c r="N513" t="s">
        <v>537</v>
      </c>
      <c r="P513" s="1">
        <v>2800</v>
      </c>
      <c r="Q513" t="s">
        <v>1105</v>
      </c>
      <c r="R513" t="s">
        <v>535</v>
      </c>
      <c r="S513" t="s">
        <v>539</v>
      </c>
      <c r="T513" s="2">
        <v>1</v>
      </c>
      <c r="U513" s="1">
        <v>2800</v>
      </c>
      <c r="V513" s="1">
        <v>2793.98</v>
      </c>
      <c r="X513" t="s">
        <v>540</v>
      </c>
      <c r="Z513" t="s">
        <v>541</v>
      </c>
      <c r="AA513" t="s">
        <v>542</v>
      </c>
      <c r="AB513" t="s">
        <v>543</v>
      </c>
      <c r="AC513" t="s">
        <v>544</v>
      </c>
      <c r="AD513" t="s">
        <v>545</v>
      </c>
      <c r="AE513" s="3">
        <v>1</v>
      </c>
      <c r="AF513" t="s">
        <v>204</v>
      </c>
      <c r="AG513" s="1">
        <v>2800</v>
      </c>
      <c r="AI513" s="1">
        <v>2800</v>
      </c>
      <c r="AJ513" s="1">
        <v>2800</v>
      </c>
      <c r="AK513" s="1">
        <v>6.02</v>
      </c>
      <c r="AM513" s="1">
        <v>2793.98</v>
      </c>
      <c r="AN513" t="s">
        <v>536</v>
      </c>
      <c r="AO513" t="s">
        <v>546</v>
      </c>
      <c r="AP513" t="s">
        <v>547</v>
      </c>
      <c r="AQ513" t="s">
        <v>548</v>
      </c>
      <c r="AS513" t="s">
        <v>376</v>
      </c>
      <c r="AX513" s="1">
        <v>2800</v>
      </c>
      <c r="AY513" t="s">
        <v>546</v>
      </c>
      <c r="AZ513" t="s">
        <v>549</v>
      </c>
      <c r="BA513" s="1">
        <v>2800</v>
      </c>
      <c r="BC513" t="s">
        <v>546</v>
      </c>
      <c r="BD513" s="1">
        <v>2800</v>
      </c>
      <c r="BE513" t="s">
        <v>540</v>
      </c>
      <c r="BF513" s="1">
        <v>2800</v>
      </c>
      <c r="BG513" s="1">
        <v>6.02</v>
      </c>
      <c r="BH513" s="1">
        <v>2793.98</v>
      </c>
      <c r="BI513" t="s">
        <v>550</v>
      </c>
      <c r="BJ513" t="s">
        <v>1105</v>
      </c>
      <c r="BK513" t="s">
        <v>552</v>
      </c>
      <c r="BL513" t="s">
        <v>552</v>
      </c>
      <c r="BM513" t="s">
        <v>2737</v>
      </c>
      <c r="BN513" t="s">
        <v>2973</v>
      </c>
      <c r="BO513" t="s">
        <v>2974</v>
      </c>
      <c r="BR513" t="s">
        <v>546</v>
      </c>
      <c r="BS513" s="1">
        <v>2800</v>
      </c>
      <c r="BW513" t="s">
        <v>536</v>
      </c>
      <c r="BX513" s="1">
        <v>2800</v>
      </c>
      <c r="BZ513" t="s">
        <v>535</v>
      </c>
      <c r="CA513" t="s">
        <v>546</v>
      </c>
      <c r="CB513" t="s">
        <v>2959</v>
      </c>
      <c r="CC513" t="s">
        <v>556</v>
      </c>
      <c r="CD513" t="s">
        <v>1247</v>
      </c>
      <c r="CE513" t="s">
        <v>1248</v>
      </c>
      <c r="CF513" t="s">
        <v>204</v>
      </c>
      <c r="CG513" s="4">
        <v>1</v>
      </c>
      <c r="CH513" t="s">
        <v>546</v>
      </c>
      <c r="CK513" t="s">
        <v>2975</v>
      </c>
      <c r="CL513" s="1">
        <v>2800</v>
      </c>
      <c r="CN513" t="s">
        <v>535</v>
      </c>
      <c r="CO513" t="s">
        <v>539</v>
      </c>
      <c r="CT513" t="s">
        <v>576</v>
      </c>
      <c r="CW513" t="s">
        <v>546</v>
      </c>
      <c r="DD513" t="s">
        <v>561</v>
      </c>
      <c r="DK513" t="s">
        <v>2976</v>
      </c>
      <c r="DL513" t="s">
        <v>2977</v>
      </c>
    </row>
    <row r="514" ht="15" customHeight="1" spans="1:122">
      <c r="A514" t="s">
        <v>530</v>
      </c>
      <c r="B514" t="s">
        <v>2978</v>
      </c>
      <c r="C514" t="s">
        <v>532</v>
      </c>
      <c r="D514" t="s">
        <v>2737</v>
      </c>
      <c r="E514" t="s">
        <v>534</v>
      </c>
      <c r="F514" t="s">
        <v>534</v>
      </c>
      <c r="G514" t="s">
        <v>535</v>
      </c>
      <c r="H514" s="1">
        <v>850</v>
      </c>
      <c r="I514" s="1">
        <v>850</v>
      </c>
      <c r="J514" t="s">
        <v>536</v>
      </c>
      <c r="L514" t="s">
        <v>536</v>
      </c>
      <c r="M514" t="s">
        <v>375</v>
      </c>
      <c r="N514" t="s">
        <v>537</v>
      </c>
      <c r="P514" s="1">
        <v>850</v>
      </c>
      <c r="Q514" t="s">
        <v>580</v>
      </c>
      <c r="R514" t="s">
        <v>535</v>
      </c>
      <c r="S514" t="s">
        <v>539</v>
      </c>
      <c r="T514" s="2">
        <v>1</v>
      </c>
      <c r="U514" s="1">
        <v>850</v>
      </c>
      <c r="V514" s="1">
        <v>850</v>
      </c>
      <c r="X514" t="s">
        <v>540</v>
      </c>
      <c r="Z514" t="s">
        <v>541</v>
      </c>
      <c r="AA514" t="s">
        <v>542</v>
      </c>
      <c r="AB514" t="s">
        <v>543</v>
      </c>
      <c r="AC514" t="s">
        <v>544</v>
      </c>
      <c r="AD514" t="s">
        <v>545</v>
      </c>
      <c r="AE514" s="3">
        <v>1</v>
      </c>
      <c r="AF514" t="s">
        <v>207</v>
      </c>
      <c r="AG514" s="1">
        <v>850</v>
      </c>
      <c r="AI514" s="1">
        <v>850</v>
      </c>
      <c r="AJ514" s="1">
        <v>850</v>
      </c>
      <c r="AM514" s="1">
        <v>850</v>
      </c>
      <c r="AN514" t="s">
        <v>643</v>
      </c>
      <c r="AO514" t="s">
        <v>546</v>
      </c>
      <c r="AP514" t="s">
        <v>643</v>
      </c>
      <c r="AQ514" t="s">
        <v>548</v>
      </c>
      <c r="AS514" t="s">
        <v>375</v>
      </c>
      <c r="AX514" s="1">
        <v>850</v>
      </c>
      <c r="AY514" t="s">
        <v>546</v>
      </c>
      <c r="AZ514" t="s">
        <v>644</v>
      </c>
      <c r="BA514" s="1">
        <v>850</v>
      </c>
      <c r="BC514" t="s">
        <v>546</v>
      </c>
      <c r="BD514" s="1">
        <v>850</v>
      </c>
      <c r="BE514" t="s">
        <v>540</v>
      </c>
      <c r="BF514" s="1">
        <v>850</v>
      </c>
      <c r="BH514" s="1">
        <v>850</v>
      </c>
      <c r="BI514" t="s">
        <v>550</v>
      </c>
      <c r="BJ514" t="s">
        <v>570</v>
      </c>
      <c r="BK514" t="s">
        <v>552</v>
      </c>
      <c r="BL514" t="s">
        <v>552</v>
      </c>
      <c r="BM514" t="s">
        <v>2959</v>
      </c>
      <c r="BN514" t="s">
        <v>2979</v>
      </c>
      <c r="BO514" t="s">
        <v>2980</v>
      </c>
      <c r="BR514" t="s">
        <v>546</v>
      </c>
      <c r="BS514" s="1">
        <v>850</v>
      </c>
      <c r="BW514" t="s">
        <v>536</v>
      </c>
      <c r="BX514" s="1">
        <v>850</v>
      </c>
      <c r="BZ514" t="s">
        <v>535</v>
      </c>
      <c r="CA514" t="s">
        <v>546</v>
      </c>
      <c r="CB514" t="s">
        <v>2737</v>
      </c>
      <c r="CC514" t="s">
        <v>556</v>
      </c>
      <c r="CD514" t="s">
        <v>1108</v>
      </c>
      <c r="CE514" t="s">
        <v>1109</v>
      </c>
      <c r="CF514" t="s">
        <v>207</v>
      </c>
      <c r="CG514" s="4">
        <v>1</v>
      </c>
      <c r="CH514" t="s">
        <v>546</v>
      </c>
      <c r="CK514" t="s">
        <v>2981</v>
      </c>
      <c r="CL514" s="1">
        <v>850</v>
      </c>
      <c r="CN514" t="s">
        <v>535</v>
      </c>
      <c r="CO514" t="s">
        <v>539</v>
      </c>
      <c r="CT514" t="s">
        <v>576</v>
      </c>
      <c r="CW514" t="s">
        <v>546</v>
      </c>
      <c r="DD514" t="s">
        <v>561</v>
      </c>
      <c r="DK514" t="s">
        <v>2982</v>
      </c>
      <c r="DL514" t="s">
        <v>2983</v>
      </c>
      <c r="DR514" t="s">
        <v>2984</v>
      </c>
    </row>
    <row r="515" ht="15" customHeight="1" spans="1:122">
      <c r="A515" t="s">
        <v>530</v>
      </c>
      <c r="B515" t="s">
        <v>2985</v>
      </c>
      <c r="C515" t="s">
        <v>532</v>
      </c>
      <c r="D515" t="s">
        <v>2959</v>
      </c>
      <c r="E515" t="s">
        <v>534</v>
      </c>
      <c r="F515" t="s">
        <v>534</v>
      </c>
      <c r="G515" t="s">
        <v>535</v>
      </c>
      <c r="H515" s="1">
        <v>8000</v>
      </c>
      <c r="I515" s="1">
        <v>8000</v>
      </c>
      <c r="J515" t="s">
        <v>536</v>
      </c>
      <c r="L515" t="s">
        <v>536</v>
      </c>
      <c r="M515" t="s">
        <v>377</v>
      </c>
      <c r="N515" t="s">
        <v>537</v>
      </c>
      <c r="P515" s="1">
        <v>8000</v>
      </c>
      <c r="Q515" t="s">
        <v>538</v>
      </c>
      <c r="R515" t="s">
        <v>535</v>
      </c>
      <c r="S515" t="s">
        <v>539</v>
      </c>
      <c r="T515" s="2">
        <v>1</v>
      </c>
      <c r="U515" s="1">
        <v>8000</v>
      </c>
      <c r="V515" s="1">
        <v>8000</v>
      </c>
      <c r="X515" t="s">
        <v>540</v>
      </c>
      <c r="Z515" t="s">
        <v>541</v>
      </c>
      <c r="AA515" t="s">
        <v>542</v>
      </c>
      <c r="AB515" t="s">
        <v>543</v>
      </c>
      <c r="AC515" t="s">
        <v>544</v>
      </c>
      <c r="AD515" t="s">
        <v>545</v>
      </c>
      <c r="AE515" s="3">
        <v>1</v>
      </c>
      <c r="AF515" t="s">
        <v>208</v>
      </c>
      <c r="AG515" s="1">
        <v>8000</v>
      </c>
      <c r="AI515" s="1">
        <v>8000</v>
      </c>
      <c r="AJ515" s="1">
        <v>8000</v>
      </c>
      <c r="AM515" s="1">
        <v>8000</v>
      </c>
      <c r="AN515" t="s">
        <v>643</v>
      </c>
      <c r="AO515" t="s">
        <v>546</v>
      </c>
      <c r="AP515" t="s">
        <v>643</v>
      </c>
      <c r="AQ515" t="s">
        <v>548</v>
      </c>
      <c r="AS515" t="s">
        <v>377</v>
      </c>
      <c r="AX515" s="1">
        <v>8000</v>
      </c>
      <c r="AY515" t="s">
        <v>546</v>
      </c>
      <c r="AZ515" t="s">
        <v>644</v>
      </c>
      <c r="BA515" s="1">
        <v>8000</v>
      </c>
      <c r="BC515" t="s">
        <v>546</v>
      </c>
      <c r="BD515" s="1">
        <v>8000</v>
      </c>
      <c r="BE515" t="s">
        <v>540</v>
      </c>
      <c r="BF515" s="1">
        <v>8000</v>
      </c>
      <c r="BH515" s="1">
        <v>8000</v>
      </c>
      <c r="BI515" t="s">
        <v>550</v>
      </c>
      <c r="BJ515" t="s">
        <v>551</v>
      </c>
      <c r="BK515" t="s">
        <v>551</v>
      </c>
      <c r="BL515" t="s">
        <v>552</v>
      </c>
      <c r="BM515" t="s">
        <v>2959</v>
      </c>
      <c r="BN515" t="s">
        <v>2986</v>
      </c>
      <c r="BO515" t="s">
        <v>2987</v>
      </c>
      <c r="BR515" t="s">
        <v>546</v>
      </c>
      <c r="BS515" s="1">
        <v>8000</v>
      </c>
      <c r="BW515" t="s">
        <v>536</v>
      </c>
      <c r="BX515" s="1">
        <v>8000</v>
      </c>
      <c r="BZ515" t="s">
        <v>535</v>
      </c>
      <c r="CA515" t="s">
        <v>546</v>
      </c>
      <c r="CB515" t="s">
        <v>2959</v>
      </c>
      <c r="CC515" t="s">
        <v>556</v>
      </c>
      <c r="CD515" t="s">
        <v>2988</v>
      </c>
      <c r="CE515" t="s">
        <v>2989</v>
      </c>
      <c r="CF515" t="s">
        <v>208</v>
      </c>
      <c r="CG515" s="4">
        <v>1</v>
      </c>
      <c r="CH515" t="s">
        <v>546</v>
      </c>
      <c r="CK515" t="s">
        <v>2990</v>
      </c>
      <c r="CL515" s="1">
        <v>8000</v>
      </c>
      <c r="CN515" t="s">
        <v>535</v>
      </c>
      <c r="CO515" t="s">
        <v>539</v>
      </c>
      <c r="CT515" t="s">
        <v>560</v>
      </c>
      <c r="CW515" t="s">
        <v>546</v>
      </c>
      <c r="DD515" t="s">
        <v>561</v>
      </c>
      <c r="DK515" t="s">
        <v>2991</v>
      </c>
      <c r="DL515" t="s">
        <v>2992</v>
      </c>
      <c r="DR515" t="s">
        <v>2993</v>
      </c>
    </row>
    <row r="516" ht="15" customHeight="1" spans="1:122">
      <c r="A516" t="s">
        <v>530</v>
      </c>
      <c r="B516" t="s">
        <v>2994</v>
      </c>
      <c r="C516" t="s">
        <v>532</v>
      </c>
      <c r="D516" t="s">
        <v>2737</v>
      </c>
      <c r="E516" t="s">
        <v>534</v>
      </c>
      <c r="F516" t="s">
        <v>534</v>
      </c>
      <c r="G516" t="s">
        <v>535</v>
      </c>
      <c r="H516" s="1">
        <v>770</v>
      </c>
      <c r="I516" s="1">
        <v>770</v>
      </c>
      <c r="J516" t="s">
        <v>536</v>
      </c>
      <c r="L516" t="s">
        <v>536</v>
      </c>
      <c r="M516" t="s">
        <v>404</v>
      </c>
      <c r="N516" t="s">
        <v>537</v>
      </c>
      <c r="P516" s="1">
        <v>770</v>
      </c>
      <c r="Q516" t="s">
        <v>642</v>
      </c>
      <c r="R516" t="s">
        <v>535</v>
      </c>
      <c r="S516" t="s">
        <v>539</v>
      </c>
      <c r="T516" s="2">
        <v>1</v>
      </c>
      <c r="U516" s="1">
        <v>770</v>
      </c>
      <c r="V516" s="1">
        <v>770</v>
      </c>
      <c r="X516" t="s">
        <v>540</v>
      </c>
      <c r="Z516" t="s">
        <v>541</v>
      </c>
      <c r="AA516" t="s">
        <v>542</v>
      </c>
      <c r="AB516" t="s">
        <v>543</v>
      </c>
      <c r="AC516" t="s">
        <v>544</v>
      </c>
      <c r="AD516" t="s">
        <v>545</v>
      </c>
      <c r="AE516" s="3">
        <v>1</v>
      </c>
      <c r="AF516" t="s">
        <v>4</v>
      </c>
      <c r="AG516" s="1">
        <v>770</v>
      </c>
      <c r="AI516" s="1">
        <v>770</v>
      </c>
      <c r="AJ516" s="1">
        <v>770</v>
      </c>
      <c r="AM516" s="1">
        <v>770</v>
      </c>
      <c r="AN516" t="s">
        <v>643</v>
      </c>
      <c r="AO516" t="s">
        <v>546</v>
      </c>
      <c r="AP516" t="s">
        <v>643</v>
      </c>
      <c r="AQ516" t="s">
        <v>548</v>
      </c>
      <c r="AS516" t="s">
        <v>404</v>
      </c>
      <c r="AX516" s="1">
        <v>770</v>
      </c>
      <c r="AY516" t="s">
        <v>546</v>
      </c>
      <c r="AZ516" t="s">
        <v>644</v>
      </c>
      <c r="BA516" s="1">
        <v>770</v>
      </c>
      <c r="BC516" t="s">
        <v>546</v>
      </c>
      <c r="BD516" s="1">
        <v>770</v>
      </c>
      <c r="BE516" t="s">
        <v>540</v>
      </c>
      <c r="BF516" s="1">
        <v>770</v>
      </c>
      <c r="BH516" s="1">
        <v>770</v>
      </c>
      <c r="BI516" t="s">
        <v>550</v>
      </c>
      <c r="BJ516" t="s">
        <v>642</v>
      </c>
      <c r="BK516" t="s">
        <v>551</v>
      </c>
      <c r="BL516" t="s">
        <v>552</v>
      </c>
      <c r="BM516" t="s">
        <v>2959</v>
      </c>
      <c r="BN516" t="s">
        <v>2995</v>
      </c>
      <c r="BO516" t="s">
        <v>2996</v>
      </c>
      <c r="BR516" t="s">
        <v>546</v>
      </c>
      <c r="BS516" s="1">
        <v>770</v>
      </c>
      <c r="BW516" t="s">
        <v>536</v>
      </c>
      <c r="BX516" s="1">
        <v>770</v>
      </c>
      <c r="BZ516" t="s">
        <v>535</v>
      </c>
      <c r="CA516" t="s">
        <v>546</v>
      </c>
      <c r="CB516" t="s">
        <v>2737</v>
      </c>
      <c r="CC516" t="s">
        <v>556</v>
      </c>
      <c r="CD516" t="s">
        <v>891</v>
      </c>
      <c r="CE516" t="s">
        <v>892</v>
      </c>
      <c r="CF516" t="s">
        <v>4</v>
      </c>
      <c r="CG516" s="4">
        <v>1</v>
      </c>
      <c r="CH516" t="s">
        <v>546</v>
      </c>
      <c r="CK516" t="s">
        <v>2997</v>
      </c>
      <c r="CL516" s="1">
        <v>770</v>
      </c>
      <c r="CN516" t="s">
        <v>535</v>
      </c>
      <c r="CO516" t="s">
        <v>539</v>
      </c>
      <c r="CT516" t="s">
        <v>651</v>
      </c>
      <c r="CW516" t="s">
        <v>546</v>
      </c>
      <c r="DD516" t="s">
        <v>561</v>
      </c>
      <c r="DK516" t="s">
        <v>2998</v>
      </c>
      <c r="DL516" t="s">
        <v>2999</v>
      </c>
      <c r="DR516" t="s">
        <v>3000</v>
      </c>
    </row>
    <row r="517" ht="15" customHeight="1" spans="1:122">
      <c r="A517" t="s">
        <v>530</v>
      </c>
      <c r="B517" t="s">
        <v>3001</v>
      </c>
      <c r="C517" t="s">
        <v>532</v>
      </c>
      <c r="D517" t="s">
        <v>2959</v>
      </c>
      <c r="E517" t="s">
        <v>534</v>
      </c>
      <c r="F517" t="s">
        <v>534</v>
      </c>
      <c r="G517" t="s">
        <v>535</v>
      </c>
      <c r="H517" s="1">
        <v>3136</v>
      </c>
      <c r="I517" s="1">
        <v>3136</v>
      </c>
      <c r="J517" t="s">
        <v>536</v>
      </c>
      <c r="L517" t="s">
        <v>536</v>
      </c>
      <c r="M517" t="s">
        <v>377</v>
      </c>
      <c r="N517" t="s">
        <v>537</v>
      </c>
      <c r="P517" s="1">
        <v>3136</v>
      </c>
      <c r="Q517" t="s">
        <v>538</v>
      </c>
      <c r="R517" t="s">
        <v>535</v>
      </c>
      <c r="S517" t="s">
        <v>539</v>
      </c>
      <c r="T517" s="2">
        <v>1</v>
      </c>
      <c r="U517" s="1">
        <v>3136</v>
      </c>
      <c r="V517" s="1">
        <v>3136</v>
      </c>
      <c r="X517" t="s">
        <v>540</v>
      </c>
      <c r="Z517" t="s">
        <v>541</v>
      </c>
      <c r="AA517" t="s">
        <v>542</v>
      </c>
      <c r="AB517" t="s">
        <v>543</v>
      </c>
      <c r="AC517" t="s">
        <v>544</v>
      </c>
      <c r="AD517" t="s">
        <v>545</v>
      </c>
      <c r="AE517" s="3">
        <v>1</v>
      </c>
      <c r="AF517" t="s">
        <v>212</v>
      </c>
      <c r="AG517" s="1">
        <v>3136</v>
      </c>
      <c r="AI517" s="1">
        <v>3136</v>
      </c>
      <c r="AJ517" s="1">
        <v>3136</v>
      </c>
      <c r="AM517" s="1">
        <v>3136</v>
      </c>
      <c r="AN517" t="s">
        <v>643</v>
      </c>
      <c r="AO517" t="s">
        <v>546</v>
      </c>
      <c r="AP517" t="s">
        <v>643</v>
      </c>
      <c r="AQ517" t="s">
        <v>548</v>
      </c>
      <c r="AS517" t="s">
        <v>377</v>
      </c>
      <c r="AX517" s="1">
        <v>3136</v>
      </c>
      <c r="AY517" t="s">
        <v>546</v>
      </c>
      <c r="AZ517" t="s">
        <v>644</v>
      </c>
      <c r="BA517" s="1">
        <v>3136</v>
      </c>
      <c r="BC517" t="s">
        <v>546</v>
      </c>
      <c r="BD517" s="1">
        <v>3136</v>
      </c>
      <c r="BE517" t="s">
        <v>540</v>
      </c>
      <c r="BF517" s="1">
        <v>3136</v>
      </c>
      <c r="BH517" s="1">
        <v>3136</v>
      </c>
      <c r="BI517" t="s">
        <v>550</v>
      </c>
      <c r="BJ517" t="s">
        <v>551</v>
      </c>
      <c r="BK517" t="s">
        <v>551</v>
      </c>
      <c r="BL517" t="s">
        <v>552</v>
      </c>
      <c r="BM517" t="s">
        <v>2959</v>
      </c>
      <c r="BN517" t="s">
        <v>3002</v>
      </c>
      <c r="BO517" t="s">
        <v>3003</v>
      </c>
      <c r="BR517" t="s">
        <v>546</v>
      </c>
      <c r="BS517" s="1">
        <v>3136</v>
      </c>
      <c r="BW517" t="s">
        <v>536</v>
      </c>
      <c r="BX517" s="1">
        <v>3136</v>
      </c>
      <c r="BZ517" t="s">
        <v>535</v>
      </c>
      <c r="CA517" t="s">
        <v>546</v>
      </c>
      <c r="CB517" t="s">
        <v>2959</v>
      </c>
      <c r="CC517" t="s">
        <v>556</v>
      </c>
      <c r="CD517" t="s">
        <v>622</v>
      </c>
      <c r="CE517" t="s">
        <v>623</v>
      </c>
      <c r="CF517" t="s">
        <v>212</v>
      </c>
      <c r="CG517" s="4">
        <v>1</v>
      </c>
      <c r="CH517" t="s">
        <v>546</v>
      </c>
      <c r="CK517" t="s">
        <v>3004</v>
      </c>
      <c r="CL517" s="1">
        <v>3136</v>
      </c>
      <c r="CN517" t="s">
        <v>535</v>
      </c>
      <c r="CO517" t="s">
        <v>539</v>
      </c>
      <c r="CT517" t="s">
        <v>560</v>
      </c>
      <c r="CW517" t="s">
        <v>546</v>
      </c>
      <c r="DD517" t="s">
        <v>561</v>
      </c>
      <c r="DK517" t="s">
        <v>3005</v>
      </c>
      <c r="DL517" t="s">
        <v>3006</v>
      </c>
      <c r="DR517" t="s">
        <v>3007</v>
      </c>
    </row>
    <row r="518" ht="15" customHeight="1" spans="1:122">
      <c r="A518" t="s">
        <v>530</v>
      </c>
      <c r="B518" t="s">
        <v>3008</v>
      </c>
      <c r="C518" t="s">
        <v>532</v>
      </c>
      <c r="D518" t="s">
        <v>2959</v>
      </c>
      <c r="E518" t="s">
        <v>534</v>
      </c>
      <c r="F518" t="s">
        <v>534</v>
      </c>
      <c r="G518" t="s">
        <v>535</v>
      </c>
      <c r="H518" s="1">
        <v>3230</v>
      </c>
      <c r="I518" s="1">
        <v>3230</v>
      </c>
      <c r="J518" t="s">
        <v>536</v>
      </c>
      <c r="L518" t="s">
        <v>536</v>
      </c>
      <c r="M518" t="s">
        <v>377</v>
      </c>
      <c r="N518" t="s">
        <v>537</v>
      </c>
      <c r="P518" s="1">
        <v>3230</v>
      </c>
      <c r="Q518" t="s">
        <v>538</v>
      </c>
      <c r="R518" t="s">
        <v>535</v>
      </c>
      <c r="S518" t="s">
        <v>539</v>
      </c>
      <c r="T518" s="2">
        <v>1</v>
      </c>
      <c r="U518" s="1">
        <v>3230</v>
      </c>
      <c r="V518" s="1">
        <v>3230</v>
      </c>
      <c r="X518" t="s">
        <v>540</v>
      </c>
      <c r="Z518" t="s">
        <v>541</v>
      </c>
      <c r="AA518" t="s">
        <v>542</v>
      </c>
      <c r="AB518" t="s">
        <v>543</v>
      </c>
      <c r="AC518" t="s">
        <v>544</v>
      </c>
      <c r="AD518" t="s">
        <v>545</v>
      </c>
      <c r="AE518" s="3">
        <v>1</v>
      </c>
      <c r="AF518" t="s">
        <v>209</v>
      </c>
      <c r="AG518" s="1">
        <v>3230</v>
      </c>
      <c r="AI518" s="1">
        <v>3230</v>
      </c>
      <c r="AJ518" s="1">
        <v>3230</v>
      </c>
      <c r="AM518" s="1">
        <v>3230</v>
      </c>
      <c r="AN518" t="s">
        <v>643</v>
      </c>
      <c r="AO518" t="s">
        <v>546</v>
      </c>
      <c r="AP518" t="s">
        <v>643</v>
      </c>
      <c r="AQ518" t="s">
        <v>548</v>
      </c>
      <c r="AS518" t="s">
        <v>377</v>
      </c>
      <c r="AX518" s="1">
        <v>3230</v>
      </c>
      <c r="AY518" t="s">
        <v>546</v>
      </c>
      <c r="AZ518" t="s">
        <v>644</v>
      </c>
      <c r="BA518" s="1">
        <v>3230</v>
      </c>
      <c r="BC518" t="s">
        <v>546</v>
      </c>
      <c r="BD518" s="1">
        <v>3230</v>
      </c>
      <c r="BE518" t="s">
        <v>540</v>
      </c>
      <c r="BF518" s="1">
        <v>3230</v>
      </c>
      <c r="BH518" s="1">
        <v>3230</v>
      </c>
      <c r="BI518" t="s">
        <v>550</v>
      </c>
      <c r="BJ518" t="s">
        <v>551</v>
      </c>
      <c r="BK518" t="s">
        <v>551</v>
      </c>
      <c r="BL518" t="s">
        <v>552</v>
      </c>
      <c r="BM518" t="s">
        <v>2959</v>
      </c>
      <c r="BN518" t="s">
        <v>3009</v>
      </c>
      <c r="BO518" t="s">
        <v>3010</v>
      </c>
      <c r="BR518" t="s">
        <v>546</v>
      </c>
      <c r="BS518" s="1">
        <v>3230</v>
      </c>
      <c r="BW518" t="s">
        <v>536</v>
      </c>
      <c r="BX518" s="1">
        <v>3230</v>
      </c>
      <c r="BZ518" t="s">
        <v>535</v>
      </c>
      <c r="CA518" t="s">
        <v>546</v>
      </c>
      <c r="CB518" t="s">
        <v>2959</v>
      </c>
      <c r="CC518" t="s">
        <v>556</v>
      </c>
      <c r="CD518" t="s">
        <v>622</v>
      </c>
      <c r="CE518" t="s">
        <v>623</v>
      </c>
      <c r="CF518" t="s">
        <v>209</v>
      </c>
      <c r="CG518" s="4">
        <v>1</v>
      </c>
      <c r="CH518" t="s">
        <v>546</v>
      </c>
      <c r="CK518" t="s">
        <v>3011</v>
      </c>
      <c r="CL518" s="1">
        <v>3230</v>
      </c>
      <c r="CN518" t="s">
        <v>535</v>
      </c>
      <c r="CO518" t="s">
        <v>539</v>
      </c>
      <c r="CT518" t="s">
        <v>560</v>
      </c>
      <c r="CW518" t="s">
        <v>546</v>
      </c>
      <c r="DD518" t="s">
        <v>561</v>
      </c>
      <c r="DK518" t="s">
        <v>3012</v>
      </c>
      <c r="DL518" t="s">
        <v>3013</v>
      </c>
      <c r="DR518" t="s">
        <v>3014</v>
      </c>
    </row>
    <row r="519" ht="15" customHeight="1" spans="1:122">
      <c r="A519" t="s">
        <v>530</v>
      </c>
      <c r="B519" t="s">
        <v>3015</v>
      </c>
      <c r="C519" t="s">
        <v>532</v>
      </c>
      <c r="D519" t="s">
        <v>3016</v>
      </c>
      <c r="E519" t="s">
        <v>534</v>
      </c>
      <c r="F519" t="s">
        <v>534</v>
      </c>
      <c r="G519" t="s">
        <v>535</v>
      </c>
      <c r="H519" s="1">
        <v>2984</v>
      </c>
      <c r="I519" s="1">
        <v>2977.58</v>
      </c>
      <c r="J519" t="s">
        <v>536</v>
      </c>
      <c r="L519" t="s">
        <v>536</v>
      </c>
      <c r="M519" t="s">
        <v>377</v>
      </c>
      <c r="N519" t="s">
        <v>537</v>
      </c>
      <c r="P519" s="1">
        <v>2984</v>
      </c>
      <c r="Q519" t="s">
        <v>538</v>
      </c>
      <c r="R519" t="s">
        <v>535</v>
      </c>
      <c r="S519" t="s">
        <v>539</v>
      </c>
      <c r="T519" s="2">
        <v>1</v>
      </c>
      <c r="U519" s="1">
        <v>2984</v>
      </c>
      <c r="V519" s="1">
        <v>2977.58</v>
      </c>
      <c r="X519" t="s">
        <v>540</v>
      </c>
      <c r="Z519" t="s">
        <v>541</v>
      </c>
      <c r="AA519" t="s">
        <v>542</v>
      </c>
      <c r="AB519" t="s">
        <v>659</v>
      </c>
      <c r="AC519" t="s">
        <v>544</v>
      </c>
      <c r="AD519" t="s">
        <v>545</v>
      </c>
      <c r="AE519" s="3">
        <v>1</v>
      </c>
      <c r="AF519" t="s">
        <v>215</v>
      </c>
      <c r="AG519" s="1">
        <v>2984</v>
      </c>
      <c r="AI519" s="1">
        <v>2984</v>
      </c>
      <c r="AJ519" s="1">
        <v>2984</v>
      </c>
      <c r="AK519" s="1">
        <v>6.42</v>
      </c>
      <c r="AM519" s="1">
        <v>2977.58</v>
      </c>
      <c r="AN519" t="s">
        <v>536</v>
      </c>
      <c r="AO519" t="s">
        <v>546</v>
      </c>
      <c r="AP519" t="s">
        <v>547</v>
      </c>
      <c r="AQ519" t="s">
        <v>548</v>
      </c>
      <c r="AS519" t="s">
        <v>377</v>
      </c>
      <c r="AX519" s="1">
        <v>2984</v>
      </c>
      <c r="AY519" t="s">
        <v>546</v>
      </c>
      <c r="AZ519" t="s">
        <v>549</v>
      </c>
      <c r="BA519" s="1">
        <v>2984</v>
      </c>
      <c r="BC519" t="s">
        <v>546</v>
      </c>
      <c r="BD519" s="1">
        <v>2984</v>
      </c>
      <c r="BE519" t="s">
        <v>540</v>
      </c>
      <c r="BF519" s="1">
        <v>2984</v>
      </c>
      <c r="BG519" s="1">
        <v>6.42</v>
      </c>
      <c r="BH519" s="1">
        <v>2977.58</v>
      </c>
      <c r="BI519" t="s">
        <v>550</v>
      </c>
      <c r="BJ519" t="s">
        <v>551</v>
      </c>
      <c r="BK519" t="s">
        <v>552</v>
      </c>
      <c r="BL519" t="s">
        <v>552</v>
      </c>
      <c r="BM519" t="s">
        <v>2959</v>
      </c>
      <c r="BN519" t="s">
        <v>3017</v>
      </c>
      <c r="BO519" t="s">
        <v>3018</v>
      </c>
      <c r="BR519" t="s">
        <v>546</v>
      </c>
      <c r="BS519" s="1">
        <v>2984</v>
      </c>
      <c r="BW519" t="s">
        <v>536</v>
      </c>
      <c r="BX519" s="1">
        <v>2984</v>
      </c>
      <c r="BZ519" t="s">
        <v>535</v>
      </c>
      <c r="CA519" t="s">
        <v>546</v>
      </c>
      <c r="CB519" t="s">
        <v>3016</v>
      </c>
      <c r="CC519" t="s">
        <v>556</v>
      </c>
      <c r="CD519" t="s">
        <v>573</v>
      </c>
      <c r="CE519" t="s">
        <v>574</v>
      </c>
      <c r="CF519" t="s">
        <v>215</v>
      </c>
      <c r="CG519" s="4">
        <v>1</v>
      </c>
      <c r="CH519" t="s">
        <v>546</v>
      </c>
      <c r="CK519" t="s">
        <v>3019</v>
      </c>
      <c r="CL519" s="1">
        <v>2984</v>
      </c>
      <c r="CN519" t="s">
        <v>535</v>
      </c>
      <c r="CO519" t="s">
        <v>539</v>
      </c>
      <c r="CT519" t="s">
        <v>560</v>
      </c>
      <c r="CW519" t="s">
        <v>546</v>
      </c>
      <c r="DD519" t="s">
        <v>561</v>
      </c>
      <c r="DK519" t="s">
        <v>3020</v>
      </c>
      <c r="DL519" t="s">
        <v>3021</v>
      </c>
    </row>
    <row r="520" ht="15" customHeight="1" spans="1:122">
      <c r="A520" t="s">
        <v>530</v>
      </c>
      <c r="B520" t="s">
        <v>3022</v>
      </c>
      <c r="C520" t="s">
        <v>532</v>
      </c>
      <c r="D520" t="s">
        <v>2737</v>
      </c>
      <c r="E520" t="s">
        <v>534</v>
      </c>
      <c r="F520" t="s">
        <v>534</v>
      </c>
      <c r="G520" t="s">
        <v>535</v>
      </c>
      <c r="H520" s="1">
        <v>2685.6</v>
      </c>
      <c r="I520" s="1">
        <v>2685.6</v>
      </c>
      <c r="J520" t="s">
        <v>536</v>
      </c>
      <c r="L520" t="s">
        <v>536</v>
      </c>
      <c r="M520" t="s">
        <v>377</v>
      </c>
      <c r="N520" t="s">
        <v>537</v>
      </c>
      <c r="P520" s="1">
        <v>2685.6</v>
      </c>
      <c r="Q520" t="s">
        <v>538</v>
      </c>
      <c r="R520" t="s">
        <v>535</v>
      </c>
      <c r="S520" t="s">
        <v>539</v>
      </c>
      <c r="T520" s="2">
        <v>1</v>
      </c>
      <c r="U520" s="1">
        <v>2685.6</v>
      </c>
      <c r="V520" s="1">
        <v>2685.6</v>
      </c>
      <c r="X520" t="s">
        <v>540</v>
      </c>
      <c r="Z520" t="s">
        <v>541</v>
      </c>
      <c r="AA520" t="s">
        <v>542</v>
      </c>
      <c r="AB520" t="s">
        <v>543</v>
      </c>
      <c r="AC520" t="s">
        <v>544</v>
      </c>
      <c r="AD520" t="s">
        <v>545</v>
      </c>
      <c r="AE520" s="3">
        <v>1</v>
      </c>
      <c r="AF520" t="s">
        <v>210</v>
      </c>
      <c r="AG520" s="1">
        <v>2685.6</v>
      </c>
      <c r="AI520" s="1">
        <v>2685.6</v>
      </c>
      <c r="AJ520" s="1">
        <v>2685.6</v>
      </c>
      <c r="AM520" s="1">
        <v>2685.6</v>
      </c>
      <c r="AN520" t="s">
        <v>643</v>
      </c>
      <c r="AO520" t="s">
        <v>546</v>
      </c>
      <c r="AP520" t="s">
        <v>643</v>
      </c>
      <c r="AQ520" t="s">
        <v>548</v>
      </c>
      <c r="AS520" t="s">
        <v>377</v>
      </c>
      <c r="AX520" s="1">
        <v>2685.6</v>
      </c>
      <c r="AY520" t="s">
        <v>546</v>
      </c>
      <c r="AZ520" t="s">
        <v>644</v>
      </c>
      <c r="BA520" s="1">
        <v>2685.6</v>
      </c>
      <c r="BC520" t="s">
        <v>546</v>
      </c>
      <c r="BD520" s="1">
        <v>2685.6</v>
      </c>
      <c r="BE520" t="s">
        <v>540</v>
      </c>
      <c r="BF520" s="1">
        <v>2685.6</v>
      </c>
      <c r="BH520" s="1">
        <v>2685.6</v>
      </c>
      <c r="BI520" t="s">
        <v>550</v>
      </c>
      <c r="BJ520" t="s">
        <v>551</v>
      </c>
      <c r="BK520" t="s">
        <v>551</v>
      </c>
      <c r="BL520" t="s">
        <v>552</v>
      </c>
      <c r="BM520" t="s">
        <v>2959</v>
      </c>
      <c r="BN520" t="s">
        <v>3023</v>
      </c>
      <c r="BO520" t="s">
        <v>3024</v>
      </c>
      <c r="BR520" t="s">
        <v>546</v>
      </c>
      <c r="BS520" s="1">
        <v>2685.6</v>
      </c>
      <c r="BW520" t="s">
        <v>536</v>
      </c>
      <c r="BX520" s="1">
        <v>2685.6</v>
      </c>
      <c r="BZ520" t="s">
        <v>535</v>
      </c>
      <c r="CA520" t="s">
        <v>546</v>
      </c>
      <c r="CB520" t="s">
        <v>2737</v>
      </c>
      <c r="CC520" t="s">
        <v>556</v>
      </c>
      <c r="CD520" t="s">
        <v>1806</v>
      </c>
      <c r="CE520" t="s">
        <v>1807</v>
      </c>
      <c r="CF520" t="s">
        <v>210</v>
      </c>
      <c r="CG520" s="4">
        <v>1</v>
      </c>
      <c r="CH520" t="s">
        <v>546</v>
      </c>
      <c r="CK520" t="s">
        <v>3025</v>
      </c>
      <c r="CL520" s="1">
        <v>2685.6</v>
      </c>
      <c r="CN520" t="s">
        <v>535</v>
      </c>
      <c r="CO520" t="s">
        <v>539</v>
      </c>
      <c r="CT520" t="s">
        <v>560</v>
      </c>
      <c r="CW520" t="s">
        <v>546</v>
      </c>
      <c r="DD520" t="s">
        <v>561</v>
      </c>
      <c r="DK520" t="s">
        <v>3026</v>
      </c>
      <c r="DL520" t="s">
        <v>3027</v>
      </c>
      <c r="DR520" t="s">
        <v>3028</v>
      </c>
    </row>
    <row r="521" ht="15" customHeight="1" spans="1:122">
      <c r="A521" t="s">
        <v>530</v>
      </c>
      <c r="B521" t="s">
        <v>3029</v>
      </c>
      <c r="C521" t="s">
        <v>532</v>
      </c>
      <c r="D521" t="s">
        <v>2959</v>
      </c>
      <c r="E521" t="s">
        <v>534</v>
      </c>
      <c r="F521" t="s">
        <v>534</v>
      </c>
      <c r="G521" t="s">
        <v>535</v>
      </c>
      <c r="H521" s="1">
        <v>8364</v>
      </c>
      <c r="I521" s="1">
        <v>8364</v>
      </c>
      <c r="J521" t="s">
        <v>536</v>
      </c>
      <c r="L521" t="s">
        <v>536</v>
      </c>
      <c r="M521" t="s">
        <v>380</v>
      </c>
      <c r="N521" t="s">
        <v>537</v>
      </c>
      <c r="P521" s="1">
        <v>8364</v>
      </c>
      <c r="Q521" t="s">
        <v>970</v>
      </c>
      <c r="R521" t="s">
        <v>535</v>
      </c>
      <c r="S521" t="s">
        <v>539</v>
      </c>
      <c r="T521" s="2">
        <v>1</v>
      </c>
      <c r="U521" s="1">
        <v>8364</v>
      </c>
      <c r="V521" s="1">
        <v>8364</v>
      </c>
      <c r="X521" t="s">
        <v>540</v>
      </c>
      <c r="Z521" t="s">
        <v>541</v>
      </c>
      <c r="AA521" t="s">
        <v>542</v>
      </c>
      <c r="AB521" t="s">
        <v>543</v>
      </c>
      <c r="AC521" t="s">
        <v>544</v>
      </c>
      <c r="AD521" t="s">
        <v>545</v>
      </c>
      <c r="AE521" s="3">
        <v>1</v>
      </c>
      <c r="AF521" t="s">
        <v>211</v>
      </c>
      <c r="AG521" s="1">
        <v>2788</v>
      </c>
      <c r="AI521" s="1">
        <v>8364</v>
      </c>
      <c r="AJ521" s="1">
        <v>2788</v>
      </c>
      <c r="AM521" s="1">
        <v>2788</v>
      </c>
      <c r="AN521" t="s">
        <v>536</v>
      </c>
      <c r="AO521" t="s">
        <v>546</v>
      </c>
      <c r="AP521" t="s">
        <v>547</v>
      </c>
      <c r="AQ521" t="s">
        <v>548</v>
      </c>
      <c r="AS521" t="s">
        <v>380</v>
      </c>
      <c r="AX521" s="1">
        <v>2788</v>
      </c>
      <c r="AY521" t="s">
        <v>546</v>
      </c>
      <c r="AZ521" t="s">
        <v>549</v>
      </c>
      <c r="BA521" s="1">
        <v>2788</v>
      </c>
      <c r="BC521" t="s">
        <v>546</v>
      </c>
      <c r="BD521" s="1">
        <v>2788</v>
      </c>
      <c r="BE521" t="s">
        <v>540</v>
      </c>
      <c r="BF521" s="1">
        <v>2788</v>
      </c>
      <c r="BH521" s="1">
        <v>2788</v>
      </c>
      <c r="BI521" t="s">
        <v>550</v>
      </c>
      <c r="BJ521" t="s">
        <v>551</v>
      </c>
      <c r="BK521" t="s">
        <v>551</v>
      </c>
      <c r="BL521" t="s">
        <v>552</v>
      </c>
      <c r="BM521" t="s">
        <v>2959</v>
      </c>
      <c r="BN521" t="s">
        <v>3030</v>
      </c>
      <c r="BO521" t="s">
        <v>3031</v>
      </c>
      <c r="BR521" t="s">
        <v>546</v>
      </c>
      <c r="BS521" s="1">
        <v>2788</v>
      </c>
      <c r="BW521" t="s">
        <v>536</v>
      </c>
      <c r="BX521" s="1">
        <v>2788</v>
      </c>
      <c r="BZ521" t="s">
        <v>535</v>
      </c>
      <c r="CA521" t="s">
        <v>546</v>
      </c>
      <c r="CB521" t="s">
        <v>2959</v>
      </c>
      <c r="CC521" t="s">
        <v>556</v>
      </c>
      <c r="CD521" t="s">
        <v>1071</v>
      </c>
      <c r="CE521" t="s">
        <v>1072</v>
      </c>
      <c r="CF521" t="s">
        <v>211</v>
      </c>
      <c r="CG521" s="4">
        <v>1</v>
      </c>
      <c r="CH521" t="s">
        <v>546</v>
      </c>
      <c r="CK521" t="s">
        <v>3032</v>
      </c>
      <c r="CL521" s="1">
        <v>2788</v>
      </c>
      <c r="CN521" t="s">
        <v>535</v>
      </c>
      <c r="CO521" t="s">
        <v>539</v>
      </c>
      <c r="CT521" t="s">
        <v>576</v>
      </c>
      <c r="CW521" t="s">
        <v>546</v>
      </c>
      <c r="DD521" t="s">
        <v>561</v>
      </c>
      <c r="DK521" t="s">
        <v>2927</v>
      </c>
      <c r="DL521" t="s">
        <v>3033</v>
      </c>
    </row>
    <row r="522" ht="15" customHeight="1" spans="1:122">
      <c r="AB522" t="s">
        <v>543</v>
      </c>
      <c r="AC522" t="s">
        <v>544</v>
      </c>
      <c r="AD522" t="s">
        <v>545</v>
      </c>
      <c r="AF522" t="s">
        <v>213</v>
      </c>
      <c r="AG522" s="1">
        <v>2788</v>
      </c>
      <c r="AJ522" s="1">
        <v>2788</v>
      </c>
      <c r="AM522" s="1">
        <v>2788</v>
      </c>
      <c r="AN522" t="s">
        <v>536</v>
      </c>
      <c r="AP522" t="s">
        <v>547</v>
      </c>
      <c r="AX522" s="1">
        <v>2788</v>
      </c>
      <c r="AZ522" t="s">
        <v>549</v>
      </c>
      <c r="BA522" s="1">
        <v>2788</v>
      </c>
      <c r="BC522" t="s">
        <v>546</v>
      </c>
      <c r="BD522" s="1">
        <v>2788</v>
      </c>
      <c r="BE522" t="s">
        <v>540</v>
      </c>
      <c r="BF522" s="1">
        <v>2788</v>
      </c>
      <c r="BH522" s="1">
        <v>2788</v>
      </c>
      <c r="BS522" s="1">
        <v>2788</v>
      </c>
      <c r="BX522" s="1">
        <v>2788</v>
      </c>
      <c r="CB522" t="s">
        <v>2959</v>
      </c>
      <c r="CC522" t="s">
        <v>556</v>
      </c>
      <c r="CD522" t="s">
        <v>1071</v>
      </c>
      <c r="CE522" t="s">
        <v>1072</v>
      </c>
      <c r="CF522" t="s">
        <v>213</v>
      </c>
      <c r="CG522" s="4">
        <v>1</v>
      </c>
      <c r="CL522" s="1">
        <v>2788</v>
      </c>
      <c r="DD522" t="s">
        <v>561</v>
      </c>
    </row>
    <row r="523" ht="15" customHeight="1" spans="1:122">
      <c r="AB523" t="s">
        <v>543</v>
      </c>
      <c r="AC523" t="s">
        <v>544</v>
      </c>
      <c r="AD523" t="s">
        <v>545</v>
      </c>
      <c r="AF523" t="s">
        <v>214</v>
      </c>
      <c r="AG523" s="1">
        <v>2788</v>
      </c>
      <c r="AJ523" s="1">
        <v>2788</v>
      </c>
      <c r="AM523" s="1">
        <v>2788</v>
      </c>
      <c r="AN523" t="s">
        <v>536</v>
      </c>
      <c r="AP523" t="s">
        <v>547</v>
      </c>
      <c r="AX523" s="1">
        <v>2788</v>
      </c>
      <c r="AZ523" t="s">
        <v>549</v>
      </c>
      <c r="BA523" s="1">
        <v>2788</v>
      </c>
      <c r="BC523" t="s">
        <v>546</v>
      </c>
      <c r="BD523" s="1">
        <v>2788</v>
      </c>
      <c r="BE523" t="s">
        <v>540</v>
      </c>
      <c r="BF523" s="1">
        <v>2788</v>
      </c>
      <c r="BH523" s="1">
        <v>2788</v>
      </c>
      <c r="BS523" s="1">
        <v>2788</v>
      </c>
      <c r="BX523" s="1">
        <v>2788</v>
      </c>
      <c r="CB523" t="s">
        <v>2959</v>
      </c>
      <c r="CC523" t="s">
        <v>556</v>
      </c>
      <c r="CD523" t="s">
        <v>1071</v>
      </c>
      <c r="CE523" t="s">
        <v>1072</v>
      </c>
      <c r="CF523" t="s">
        <v>214</v>
      </c>
      <c r="CG523" s="4">
        <v>1</v>
      </c>
      <c r="CL523" s="1">
        <v>2788</v>
      </c>
      <c r="DD523" t="s">
        <v>561</v>
      </c>
    </row>
    <row r="524" ht="15" customHeight="1" spans="1:122">
      <c r="A524" t="s">
        <v>530</v>
      </c>
      <c r="B524" t="s">
        <v>3034</v>
      </c>
      <c r="C524" t="s">
        <v>532</v>
      </c>
      <c r="D524" t="s">
        <v>3035</v>
      </c>
      <c r="E524" t="s">
        <v>534</v>
      </c>
      <c r="F524" t="s">
        <v>534</v>
      </c>
      <c r="G524" t="s">
        <v>535</v>
      </c>
      <c r="H524" s="1">
        <v>5089.8</v>
      </c>
      <c r="I524" s="1">
        <v>5059.26</v>
      </c>
      <c r="J524" t="s">
        <v>536</v>
      </c>
      <c r="L524" t="s">
        <v>536</v>
      </c>
      <c r="M524" t="s">
        <v>404</v>
      </c>
      <c r="N524" t="s">
        <v>537</v>
      </c>
      <c r="P524" s="1">
        <v>5089.8</v>
      </c>
      <c r="Q524" t="s">
        <v>642</v>
      </c>
      <c r="R524" t="s">
        <v>535</v>
      </c>
      <c r="S524" t="s">
        <v>539</v>
      </c>
      <c r="T524" s="2">
        <v>1</v>
      </c>
      <c r="U524" s="1">
        <v>5089.8</v>
      </c>
      <c r="V524" s="1">
        <v>5059.26</v>
      </c>
      <c r="X524" t="s">
        <v>540</v>
      </c>
      <c r="Z524" t="s">
        <v>541</v>
      </c>
      <c r="AA524" t="s">
        <v>542</v>
      </c>
      <c r="AB524" t="s">
        <v>543</v>
      </c>
      <c r="AC524" t="s">
        <v>544</v>
      </c>
      <c r="AD524" t="s">
        <v>545</v>
      </c>
      <c r="AE524" s="3">
        <v>1</v>
      </c>
      <c r="AF524" t="s">
        <v>13</v>
      </c>
      <c r="AG524" s="1">
        <v>5089.8</v>
      </c>
      <c r="AI524" s="1">
        <v>5089.8</v>
      </c>
      <c r="AJ524" s="1">
        <v>5089.8</v>
      </c>
      <c r="AK524" s="1">
        <v>30.54</v>
      </c>
      <c r="AM524" s="1">
        <v>5059.26</v>
      </c>
      <c r="AN524" t="s">
        <v>536</v>
      </c>
      <c r="AO524" t="s">
        <v>546</v>
      </c>
      <c r="AP524" t="s">
        <v>547</v>
      </c>
      <c r="AQ524" t="s">
        <v>548</v>
      </c>
      <c r="AS524" t="s">
        <v>404</v>
      </c>
      <c r="AX524" s="1">
        <v>5089.8</v>
      </c>
      <c r="AY524" t="s">
        <v>546</v>
      </c>
      <c r="AZ524" t="s">
        <v>549</v>
      </c>
      <c r="BA524" s="1">
        <v>5089.8</v>
      </c>
      <c r="BC524" t="s">
        <v>546</v>
      </c>
      <c r="BD524" s="1">
        <v>5089.8</v>
      </c>
      <c r="BE524" t="s">
        <v>540</v>
      </c>
      <c r="BF524" s="1">
        <v>5089.8</v>
      </c>
      <c r="BG524" s="1">
        <v>30.54</v>
      </c>
      <c r="BH524" s="1">
        <v>5059.26</v>
      </c>
      <c r="BI524" t="s">
        <v>550</v>
      </c>
      <c r="BJ524" t="s">
        <v>551</v>
      </c>
      <c r="BK524" t="s">
        <v>552</v>
      </c>
      <c r="BL524" t="s">
        <v>552</v>
      </c>
      <c r="BM524" t="s">
        <v>2959</v>
      </c>
      <c r="BN524" t="s">
        <v>3036</v>
      </c>
      <c r="BO524" t="s">
        <v>3037</v>
      </c>
      <c r="BR524" t="s">
        <v>546</v>
      </c>
      <c r="BS524" s="1">
        <v>5089.8</v>
      </c>
      <c r="BW524" t="s">
        <v>536</v>
      </c>
      <c r="BX524" s="1">
        <v>5089.8</v>
      </c>
      <c r="BZ524" t="s">
        <v>535</v>
      </c>
      <c r="CA524" t="s">
        <v>546</v>
      </c>
      <c r="CB524" t="s">
        <v>3035</v>
      </c>
      <c r="CC524" t="s">
        <v>556</v>
      </c>
      <c r="CD524" t="s">
        <v>864</v>
      </c>
      <c r="CE524" t="s">
        <v>865</v>
      </c>
      <c r="CF524" t="s">
        <v>13</v>
      </c>
      <c r="CG524" s="4">
        <v>1</v>
      </c>
      <c r="CH524" t="s">
        <v>546</v>
      </c>
      <c r="CK524" t="s">
        <v>3038</v>
      </c>
      <c r="CL524" s="1">
        <v>5089.8</v>
      </c>
      <c r="CN524" t="s">
        <v>535</v>
      </c>
      <c r="CO524" t="s">
        <v>539</v>
      </c>
      <c r="CT524" t="s">
        <v>651</v>
      </c>
      <c r="CW524" t="s">
        <v>546</v>
      </c>
      <c r="DD524" t="s">
        <v>561</v>
      </c>
      <c r="DK524" t="s">
        <v>3039</v>
      </c>
      <c r="DL524" t="s">
        <v>3040</v>
      </c>
    </row>
    <row r="525" ht="15" customHeight="1" spans="1:122">
      <c r="A525" t="s">
        <v>530</v>
      </c>
      <c r="B525" t="s">
        <v>3041</v>
      </c>
      <c r="C525" t="s">
        <v>532</v>
      </c>
      <c r="D525" t="s">
        <v>3035</v>
      </c>
      <c r="E525" t="s">
        <v>534</v>
      </c>
      <c r="F525" t="s">
        <v>534</v>
      </c>
      <c r="G525" t="s">
        <v>535</v>
      </c>
      <c r="H525" s="1">
        <v>898.2</v>
      </c>
      <c r="I525" s="1">
        <v>898.2</v>
      </c>
      <c r="J525" t="s">
        <v>536</v>
      </c>
      <c r="L525" t="s">
        <v>536</v>
      </c>
      <c r="M525" t="s">
        <v>404</v>
      </c>
      <c r="N525" t="s">
        <v>537</v>
      </c>
      <c r="P525" s="1">
        <v>898.2</v>
      </c>
      <c r="Q525" t="s">
        <v>642</v>
      </c>
      <c r="R525" t="s">
        <v>535</v>
      </c>
      <c r="S525" t="s">
        <v>539</v>
      </c>
      <c r="T525" s="2">
        <v>1</v>
      </c>
      <c r="U525" s="1">
        <v>898.2</v>
      </c>
      <c r="V525" s="1">
        <v>898.2</v>
      </c>
      <c r="X525" t="s">
        <v>540</v>
      </c>
      <c r="Z525" t="s">
        <v>541</v>
      </c>
      <c r="AA525" t="s">
        <v>542</v>
      </c>
      <c r="AB525" t="s">
        <v>543</v>
      </c>
      <c r="AC525" t="s">
        <v>544</v>
      </c>
      <c r="AD525" t="s">
        <v>545</v>
      </c>
      <c r="AE525" s="3">
        <v>1</v>
      </c>
      <c r="AF525" t="s">
        <v>13</v>
      </c>
      <c r="AG525" s="1">
        <v>898.2</v>
      </c>
      <c r="AI525" s="1">
        <v>898.2</v>
      </c>
      <c r="AJ525" s="1">
        <v>898.2</v>
      </c>
      <c r="AM525" s="1">
        <v>898.2</v>
      </c>
      <c r="AN525" t="s">
        <v>565</v>
      </c>
      <c r="AO525" t="s">
        <v>546</v>
      </c>
      <c r="AP525" t="s">
        <v>565</v>
      </c>
      <c r="AQ525" t="s">
        <v>548</v>
      </c>
      <c r="AS525" t="s">
        <v>404</v>
      </c>
      <c r="AX525" s="1">
        <v>898.2</v>
      </c>
      <c r="AY525" t="s">
        <v>546</v>
      </c>
      <c r="AZ525" t="s">
        <v>566</v>
      </c>
      <c r="BA525" s="1">
        <v>898.2</v>
      </c>
      <c r="BC525" t="s">
        <v>546</v>
      </c>
      <c r="BD525" s="1">
        <v>898.2</v>
      </c>
      <c r="BE525" t="s">
        <v>540</v>
      </c>
      <c r="BF525" s="1">
        <v>898.2</v>
      </c>
      <c r="BH525" s="1">
        <v>898.2</v>
      </c>
      <c r="BI525" t="s">
        <v>550</v>
      </c>
      <c r="BJ525" t="s">
        <v>551</v>
      </c>
      <c r="BK525" t="s">
        <v>551</v>
      </c>
      <c r="BL525" t="s">
        <v>552</v>
      </c>
      <c r="BM525" t="s">
        <v>2959</v>
      </c>
      <c r="BN525" t="s">
        <v>3042</v>
      </c>
      <c r="BO525" t="s">
        <v>3043</v>
      </c>
      <c r="BR525" t="s">
        <v>546</v>
      </c>
      <c r="BS525" s="1">
        <v>898.2</v>
      </c>
      <c r="BW525" t="s">
        <v>536</v>
      </c>
      <c r="BX525" s="1">
        <v>898.2</v>
      </c>
      <c r="BZ525" t="s">
        <v>535</v>
      </c>
      <c r="CA525" t="s">
        <v>546</v>
      </c>
      <c r="CB525" t="s">
        <v>3035</v>
      </c>
      <c r="CC525" t="s">
        <v>556</v>
      </c>
      <c r="CD525" t="s">
        <v>864</v>
      </c>
      <c r="CE525" t="s">
        <v>865</v>
      </c>
      <c r="CF525" t="s">
        <v>13</v>
      </c>
      <c r="CG525" s="4">
        <v>1</v>
      </c>
      <c r="CH525" t="s">
        <v>546</v>
      </c>
      <c r="CK525" t="s">
        <v>3044</v>
      </c>
      <c r="CL525" s="1">
        <v>898.2</v>
      </c>
      <c r="CN525" t="s">
        <v>535</v>
      </c>
      <c r="CO525" t="s">
        <v>539</v>
      </c>
      <c r="CT525" t="s">
        <v>651</v>
      </c>
      <c r="CW525" t="s">
        <v>546</v>
      </c>
      <c r="DD525" t="s">
        <v>561</v>
      </c>
      <c r="DK525" t="s">
        <v>3039</v>
      </c>
      <c r="DL525" t="s">
        <v>3040</v>
      </c>
    </row>
    <row r="526" ht="15" customHeight="1" spans="1:122">
      <c r="A526" t="s">
        <v>530</v>
      </c>
      <c r="B526" t="s">
        <v>3045</v>
      </c>
      <c r="C526" t="s">
        <v>532</v>
      </c>
      <c r="D526" t="s">
        <v>2548</v>
      </c>
      <c r="E526" t="s">
        <v>534</v>
      </c>
      <c r="F526" t="s">
        <v>534</v>
      </c>
      <c r="G526" t="s">
        <v>535</v>
      </c>
      <c r="H526" s="1">
        <v>700</v>
      </c>
      <c r="I526" s="1">
        <v>700</v>
      </c>
      <c r="J526" t="s">
        <v>536</v>
      </c>
      <c r="L526" t="s">
        <v>536</v>
      </c>
      <c r="M526" t="s">
        <v>377</v>
      </c>
      <c r="N526" t="s">
        <v>537</v>
      </c>
      <c r="P526" s="1">
        <v>700</v>
      </c>
      <c r="Q526" t="s">
        <v>538</v>
      </c>
      <c r="R526" t="s">
        <v>535</v>
      </c>
      <c r="S526" t="s">
        <v>539</v>
      </c>
      <c r="T526" s="2">
        <v>1</v>
      </c>
      <c r="U526" s="1">
        <v>700</v>
      </c>
      <c r="V526" s="1">
        <v>700</v>
      </c>
      <c r="X526" t="s">
        <v>540</v>
      </c>
      <c r="Z526" t="s">
        <v>541</v>
      </c>
      <c r="AA526" t="s">
        <v>542</v>
      </c>
      <c r="AB526" t="s">
        <v>543</v>
      </c>
      <c r="AC526" t="s">
        <v>544</v>
      </c>
      <c r="AD526" t="s">
        <v>545</v>
      </c>
      <c r="AE526" s="3">
        <v>1</v>
      </c>
      <c r="AF526" t="s">
        <v>202</v>
      </c>
      <c r="AG526" s="1">
        <v>700</v>
      </c>
      <c r="AI526" s="1">
        <v>700</v>
      </c>
      <c r="AJ526" s="1">
        <v>700</v>
      </c>
      <c r="AM526" s="1">
        <v>700</v>
      </c>
      <c r="AN526" t="s">
        <v>643</v>
      </c>
      <c r="AO526" t="s">
        <v>546</v>
      </c>
      <c r="AP526" t="s">
        <v>643</v>
      </c>
      <c r="AQ526" t="s">
        <v>548</v>
      </c>
      <c r="AS526" t="s">
        <v>377</v>
      </c>
      <c r="AX526" s="1">
        <v>700</v>
      </c>
      <c r="AY526" t="s">
        <v>546</v>
      </c>
      <c r="AZ526" t="s">
        <v>644</v>
      </c>
      <c r="BA526" s="1">
        <v>700</v>
      </c>
      <c r="BC526" t="s">
        <v>546</v>
      </c>
      <c r="BD526" s="1">
        <v>700</v>
      </c>
      <c r="BE526" t="s">
        <v>540</v>
      </c>
      <c r="BF526" s="1">
        <v>700</v>
      </c>
      <c r="BH526" s="1">
        <v>700</v>
      </c>
      <c r="BI526" t="s">
        <v>550</v>
      </c>
      <c r="BJ526" t="s">
        <v>551</v>
      </c>
      <c r="BK526" t="s">
        <v>551</v>
      </c>
      <c r="BL526" t="s">
        <v>552</v>
      </c>
      <c r="BM526" t="s">
        <v>2959</v>
      </c>
      <c r="BN526" t="s">
        <v>3046</v>
      </c>
      <c r="BO526" t="s">
        <v>3047</v>
      </c>
      <c r="BR526" t="s">
        <v>546</v>
      </c>
      <c r="BS526" s="1">
        <v>700</v>
      </c>
      <c r="BW526" t="s">
        <v>536</v>
      </c>
      <c r="BX526" s="1">
        <v>700</v>
      </c>
      <c r="BZ526" t="s">
        <v>535</v>
      </c>
      <c r="CA526" t="s">
        <v>546</v>
      </c>
      <c r="CB526" t="s">
        <v>2548</v>
      </c>
      <c r="CC526" t="s">
        <v>556</v>
      </c>
      <c r="CD526" t="s">
        <v>3048</v>
      </c>
      <c r="CE526" t="s">
        <v>3049</v>
      </c>
      <c r="CF526" t="s">
        <v>202</v>
      </c>
      <c r="CG526" s="4">
        <v>1</v>
      </c>
      <c r="CH526" t="s">
        <v>546</v>
      </c>
      <c r="CK526" t="s">
        <v>3050</v>
      </c>
      <c r="CL526" s="1">
        <v>700</v>
      </c>
      <c r="CN526" t="s">
        <v>535</v>
      </c>
      <c r="CO526" t="s">
        <v>539</v>
      </c>
      <c r="CT526" t="s">
        <v>560</v>
      </c>
      <c r="CW526" t="s">
        <v>546</v>
      </c>
      <c r="DD526" t="s">
        <v>561</v>
      </c>
      <c r="DK526" t="s">
        <v>2918</v>
      </c>
      <c r="DL526" t="s">
        <v>2919</v>
      </c>
      <c r="DR526" t="s">
        <v>3051</v>
      </c>
    </row>
    <row r="527" ht="15" customHeight="1" spans="1:122">
      <c r="A527" t="s">
        <v>530</v>
      </c>
      <c r="B527" t="s">
        <v>3052</v>
      </c>
      <c r="C527" t="s">
        <v>532</v>
      </c>
      <c r="D527" t="s">
        <v>3016</v>
      </c>
      <c r="E527" t="s">
        <v>534</v>
      </c>
      <c r="F527" t="s">
        <v>534</v>
      </c>
      <c r="G527" t="s">
        <v>535</v>
      </c>
      <c r="H527" s="1">
        <v>2079</v>
      </c>
      <c r="I527" s="1">
        <v>2074.53</v>
      </c>
      <c r="J527" t="s">
        <v>536</v>
      </c>
      <c r="L527" t="s">
        <v>536</v>
      </c>
      <c r="M527" t="s">
        <v>375</v>
      </c>
      <c r="N527" t="s">
        <v>537</v>
      </c>
      <c r="P527" s="1">
        <v>2079</v>
      </c>
      <c r="Q527" t="s">
        <v>580</v>
      </c>
      <c r="R527" t="s">
        <v>535</v>
      </c>
      <c r="S527" t="s">
        <v>539</v>
      </c>
      <c r="T527" s="2">
        <v>1</v>
      </c>
      <c r="U527" s="1">
        <v>2079</v>
      </c>
      <c r="V527" s="1">
        <v>2074.53</v>
      </c>
      <c r="X527" t="s">
        <v>540</v>
      </c>
      <c r="Z527" t="s">
        <v>541</v>
      </c>
      <c r="AA527" t="s">
        <v>542</v>
      </c>
      <c r="AB527" t="s">
        <v>3053</v>
      </c>
      <c r="AC527" t="s">
        <v>544</v>
      </c>
      <c r="AD527" t="s">
        <v>545</v>
      </c>
      <c r="AE527" s="3">
        <v>1</v>
      </c>
      <c r="AF527" t="s">
        <v>218</v>
      </c>
      <c r="AG527" s="1">
        <v>2079</v>
      </c>
      <c r="AI527" s="1">
        <v>2079</v>
      </c>
      <c r="AJ527" s="1">
        <v>2079</v>
      </c>
      <c r="AK527" s="1">
        <v>4.47</v>
      </c>
      <c r="AM527" s="1">
        <v>2074.53</v>
      </c>
      <c r="AN527" t="s">
        <v>536</v>
      </c>
      <c r="AO527" t="s">
        <v>546</v>
      </c>
      <c r="AP527" t="s">
        <v>547</v>
      </c>
      <c r="AQ527" t="s">
        <v>548</v>
      </c>
      <c r="AS527" t="s">
        <v>375</v>
      </c>
      <c r="AX527" s="1">
        <v>2079</v>
      </c>
      <c r="AY527" t="s">
        <v>546</v>
      </c>
      <c r="AZ527" t="s">
        <v>549</v>
      </c>
      <c r="BA527" s="1">
        <v>2079</v>
      </c>
      <c r="BC527" t="s">
        <v>546</v>
      </c>
      <c r="BD527" s="1">
        <v>2079</v>
      </c>
      <c r="BE527" t="s">
        <v>540</v>
      </c>
      <c r="BF527" s="1">
        <v>2079</v>
      </c>
      <c r="BG527" s="1">
        <v>4.47</v>
      </c>
      <c r="BH527" s="1">
        <v>2074.53</v>
      </c>
      <c r="BI527" t="s">
        <v>550</v>
      </c>
      <c r="BJ527" t="s">
        <v>570</v>
      </c>
      <c r="BK527" t="s">
        <v>552</v>
      </c>
      <c r="BL527" t="s">
        <v>552</v>
      </c>
      <c r="BM527" t="s">
        <v>2959</v>
      </c>
      <c r="BN527" t="s">
        <v>3054</v>
      </c>
      <c r="BO527" t="s">
        <v>3055</v>
      </c>
      <c r="BR527" t="s">
        <v>546</v>
      </c>
      <c r="BS527" s="1">
        <v>2079</v>
      </c>
      <c r="BW527" t="s">
        <v>536</v>
      </c>
      <c r="BX527" s="1">
        <v>2079</v>
      </c>
      <c r="BZ527" t="s">
        <v>535</v>
      </c>
      <c r="CA527" t="s">
        <v>546</v>
      </c>
      <c r="CB527" t="s">
        <v>3016</v>
      </c>
      <c r="CC527" t="s">
        <v>556</v>
      </c>
      <c r="CD527" t="s">
        <v>692</v>
      </c>
      <c r="CE527" t="s">
        <v>693</v>
      </c>
      <c r="CF527" t="s">
        <v>218</v>
      </c>
      <c r="CG527" s="4">
        <v>1</v>
      </c>
      <c r="CH527" t="s">
        <v>546</v>
      </c>
      <c r="CK527" t="s">
        <v>3056</v>
      </c>
      <c r="CL527" s="1">
        <v>2079</v>
      </c>
      <c r="CN527" t="s">
        <v>535</v>
      </c>
      <c r="CO527" t="s">
        <v>539</v>
      </c>
      <c r="CT527" t="s">
        <v>576</v>
      </c>
      <c r="CW527" t="s">
        <v>546</v>
      </c>
      <c r="DD527" t="s">
        <v>561</v>
      </c>
      <c r="DK527" t="s">
        <v>3057</v>
      </c>
      <c r="DL527" t="s">
        <v>3058</v>
      </c>
      <c r="DR527" t="s">
        <v>3059</v>
      </c>
    </row>
    <row r="528" ht="15" customHeight="1" spans="1:122">
      <c r="A528" t="s">
        <v>530</v>
      </c>
      <c r="B528" t="s">
        <v>3060</v>
      </c>
      <c r="C528" t="s">
        <v>532</v>
      </c>
      <c r="D528" t="s">
        <v>2959</v>
      </c>
      <c r="E528" t="s">
        <v>534</v>
      </c>
      <c r="F528" t="s">
        <v>534</v>
      </c>
      <c r="G528" t="s">
        <v>535</v>
      </c>
      <c r="H528" s="1">
        <v>5988</v>
      </c>
      <c r="I528" s="1">
        <v>5988</v>
      </c>
      <c r="J528" t="s">
        <v>536</v>
      </c>
      <c r="L528" t="s">
        <v>536</v>
      </c>
      <c r="M528" t="s">
        <v>404</v>
      </c>
      <c r="N528" t="s">
        <v>537</v>
      </c>
      <c r="P528" s="1">
        <v>5988</v>
      </c>
      <c r="Q528" t="s">
        <v>642</v>
      </c>
      <c r="R528" t="s">
        <v>535</v>
      </c>
      <c r="S528" t="s">
        <v>539</v>
      </c>
      <c r="T528" s="2">
        <v>1</v>
      </c>
      <c r="U528" s="1">
        <v>5988</v>
      </c>
      <c r="V528" s="1">
        <v>5988</v>
      </c>
      <c r="X528" t="s">
        <v>540</v>
      </c>
      <c r="Z528" t="s">
        <v>541</v>
      </c>
      <c r="AA528" t="s">
        <v>542</v>
      </c>
      <c r="AB528" t="s">
        <v>543</v>
      </c>
      <c r="AC528" t="s">
        <v>544</v>
      </c>
      <c r="AD528" t="s">
        <v>545</v>
      </c>
      <c r="AE528" s="3">
        <v>1</v>
      </c>
      <c r="AF528" t="s">
        <v>219</v>
      </c>
      <c r="AG528" s="1">
        <v>5988</v>
      </c>
      <c r="AI528" s="1">
        <v>5988</v>
      </c>
      <c r="AJ528" s="1">
        <v>5988</v>
      </c>
      <c r="AM528" s="1">
        <v>5988</v>
      </c>
      <c r="AN528" t="s">
        <v>643</v>
      </c>
      <c r="AO528" t="s">
        <v>546</v>
      </c>
      <c r="AP528" t="s">
        <v>643</v>
      </c>
      <c r="AQ528" t="s">
        <v>548</v>
      </c>
      <c r="AS528" t="s">
        <v>404</v>
      </c>
      <c r="AX528" s="1">
        <v>5988</v>
      </c>
      <c r="AY528" t="s">
        <v>546</v>
      </c>
      <c r="AZ528" t="s">
        <v>644</v>
      </c>
      <c r="BA528" s="1">
        <v>5988</v>
      </c>
      <c r="BC528" t="s">
        <v>546</v>
      </c>
      <c r="BD528" s="1">
        <v>5988</v>
      </c>
      <c r="BE528" t="s">
        <v>540</v>
      </c>
      <c r="BF528" s="1">
        <v>5988</v>
      </c>
      <c r="BH528" s="1">
        <v>5988</v>
      </c>
      <c r="BI528" t="s">
        <v>550</v>
      </c>
      <c r="BJ528" t="s">
        <v>551</v>
      </c>
      <c r="BK528" t="s">
        <v>551</v>
      </c>
      <c r="BL528" t="s">
        <v>552</v>
      </c>
      <c r="BM528" t="s">
        <v>2959</v>
      </c>
      <c r="BN528" t="s">
        <v>3061</v>
      </c>
      <c r="BO528" t="s">
        <v>3062</v>
      </c>
      <c r="BR528" t="s">
        <v>546</v>
      </c>
      <c r="BS528" s="1">
        <v>5988</v>
      </c>
      <c r="BW528" t="s">
        <v>536</v>
      </c>
      <c r="BX528" s="1">
        <v>5988</v>
      </c>
      <c r="BZ528" t="s">
        <v>535</v>
      </c>
      <c r="CA528" t="s">
        <v>546</v>
      </c>
      <c r="CB528" t="s">
        <v>2959</v>
      </c>
      <c r="CC528" t="s">
        <v>556</v>
      </c>
      <c r="CD528" t="s">
        <v>864</v>
      </c>
      <c r="CE528" t="s">
        <v>865</v>
      </c>
      <c r="CF528" t="s">
        <v>219</v>
      </c>
      <c r="CG528" s="4">
        <v>1</v>
      </c>
      <c r="CH528" t="s">
        <v>546</v>
      </c>
      <c r="CK528" t="s">
        <v>3063</v>
      </c>
      <c r="CL528" s="1">
        <v>5988</v>
      </c>
      <c r="CN528" t="s">
        <v>535</v>
      </c>
      <c r="CO528" t="s">
        <v>539</v>
      </c>
      <c r="CT528" t="s">
        <v>651</v>
      </c>
      <c r="CW528" t="s">
        <v>546</v>
      </c>
      <c r="DD528" t="s">
        <v>561</v>
      </c>
      <c r="DK528" t="s">
        <v>3064</v>
      </c>
      <c r="DL528" t="s">
        <v>3065</v>
      </c>
      <c r="DR528" t="s">
        <v>3066</v>
      </c>
    </row>
    <row r="529" ht="15" customHeight="1" spans="1:122">
      <c r="A529" t="s">
        <v>530</v>
      </c>
      <c r="B529" t="s">
        <v>3067</v>
      </c>
      <c r="C529" t="s">
        <v>532</v>
      </c>
      <c r="D529" t="s">
        <v>2959</v>
      </c>
      <c r="E529" t="s">
        <v>534</v>
      </c>
      <c r="F529" t="s">
        <v>534</v>
      </c>
      <c r="G529" t="s">
        <v>535</v>
      </c>
      <c r="H529" s="1">
        <v>1196</v>
      </c>
      <c r="I529" s="1">
        <v>1196</v>
      </c>
      <c r="J529" t="s">
        <v>536</v>
      </c>
      <c r="L529" t="s">
        <v>536</v>
      </c>
      <c r="M529" t="s">
        <v>375</v>
      </c>
      <c r="N529" t="s">
        <v>537</v>
      </c>
      <c r="P529" s="1">
        <v>1196</v>
      </c>
      <c r="Q529" t="s">
        <v>580</v>
      </c>
      <c r="R529" t="s">
        <v>535</v>
      </c>
      <c r="S529" t="s">
        <v>539</v>
      </c>
      <c r="T529" s="2">
        <v>1</v>
      </c>
      <c r="U529" s="1">
        <v>1196</v>
      </c>
      <c r="V529" s="1">
        <v>1196</v>
      </c>
      <c r="X529" t="s">
        <v>540</v>
      </c>
      <c r="Z529" t="s">
        <v>541</v>
      </c>
      <c r="AA529" t="s">
        <v>542</v>
      </c>
      <c r="AB529" t="s">
        <v>543</v>
      </c>
      <c r="AC529" t="s">
        <v>544</v>
      </c>
      <c r="AD529" t="s">
        <v>545</v>
      </c>
      <c r="AE529" s="3">
        <v>1</v>
      </c>
      <c r="AF529" t="s">
        <v>217</v>
      </c>
      <c r="AG529" s="1">
        <v>1196</v>
      </c>
      <c r="AI529" s="1">
        <v>1196</v>
      </c>
      <c r="AJ529" s="1">
        <v>1196</v>
      </c>
      <c r="AM529" s="1">
        <v>1196</v>
      </c>
      <c r="AN529" t="s">
        <v>643</v>
      </c>
      <c r="AO529" t="s">
        <v>546</v>
      </c>
      <c r="AP529" t="s">
        <v>643</v>
      </c>
      <c r="AQ529" t="s">
        <v>548</v>
      </c>
      <c r="AS529" t="s">
        <v>375</v>
      </c>
      <c r="AX529" s="1">
        <v>1196</v>
      </c>
      <c r="AY529" t="s">
        <v>546</v>
      </c>
      <c r="AZ529" t="s">
        <v>644</v>
      </c>
      <c r="BA529" s="1">
        <v>1196</v>
      </c>
      <c r="BC529" t="s">
        <v>546</v>
      </c>
      <c r="BD529" s="1">
        <v>1196</v>
      </c>
      <c r="BE529" t="s">
        <v>540</v>
      </c>
      <c r="BF529" s="1">
        <v>1196</v>
      </c>
      <c r="BH529" s="1">
        <v>1196</v>
      </c>
      <c r="BI529" t="s">
        <v>550</v>
      </c>
      <c r="BJ529" t="s">
        <v>570</v>
      </c>
      <c r="BK529" t="s">
        <v>552</v>
      </c>
      <c r="BL529" t="s">
        <v>552</v>
      </c>
      <c r="BM529" t="s">
        <v>2959</v>
      </c>
      <c r="BN529" t="s">
        <v>3068</v>
      </c>
      <c r="BO529" t="s">
        <v>3069</v>
      </c>
      <c r="BR529" t="s">
        <v>546</v>
      </c>
      <c r="BS529" s="1">
        <v>1196</v>
      </c>
      <c r="BW529" t="s">
        <v>536</v>
      </c>
      <c r="BX529" s="1">
        <v>1196</v>
      </c>
      <c r="BZ529" t="s">
        <v>535</v>
      </c>
      <c r="CA529" t="s">
        <v>546</v>
      </c>
      <c r="CB529" t="s">
        <v>2959</v>
      </c>
      <c r="CC529" t="s">
        <v>556</v>
      </c>
      <c r="CD529" t="s">
        <v>1197</v>
      </c>
      <c r="CE529" t="s">
        <v>1198</v>
      </c>
      <c r="CF529" t="s">
        <v>217</v>
      </c>
      <c r="CG529" s="4">
        <v>1</v>
      </c>
      <c r="CH529" t="s">
        <v>546</v>
      </c>
      <c r="CK529" t="s">
        <v>3070</v>
      </c>
      <c r="CL529" s="1">
        <v>1196</v>
      </c>
      <c r="CN529" t="s">
        <v>535</v>
      </c>
      <c r="CO529" t="s">
        <v>539</v>
      </c>
      <c r="CT529" t="s">
        <v>576</v>
      </c>
      <c r="CW529" t="s">
        <v>546</v>
      </c>
      <c r="DD529" t="s">
        <v>561</v>
      </c>
      <c r="DK529" t="s">
        <v>3057</v>
      </c>
      <c r="DL529" t="s">
        <v>3058</v>
      </c>
      <c r="DR529" t="s">
        <v>3071</v>
      </c>
    </row>
    <row r="530" ht="15" customHeight="1" spans="1:122">
      <c r="A530" t="s">
        <v>530</v>
      </c>
      <c r="B530" t="s">
        <v>3072</v>
      </c>
      <c r="C530" t="s">
        <v>532</v>
      </c>
      <c r="D530" t="s">
        <v>2959</v>
      </c>
      <c r="E530" t="s">
        <v>534</v>
      </c>
      <c r="F530" t="s">
        <v>534</v>
      </c>
      <c r="G530" t="s">
        <v>535</v>
      </c>
      <c r="H530" s="1">
        <v>3395</v>
      </c>
      <c r="I530" s="1">
        <v>3395</v>
      </c>
      <c r="J530" t="s">
        <v>536</v>
      </c>
      <c r="L530" t="s">
        <v>536</v>
      </c>
      <c r="M530" t="s">
        <v>375</v>
      </c>
      <c r="N530" t="s">
        <v>537</v>
      </c>
      <c r="P530" s="1">
        <v>3395</v>
      </c>
      <c r="Q530" t="s">
        <v>580</v>
      </c>
      <c r="R530" t="s">
        <v>535</v>
      </c>
      <c r="S530" t="s">
        <v>539</v>
      </c>
      <c r="T530" s="2">
        <v>1</v>
      </c>
      <c r="U530" s="1">
        <v>3395</v>
      </c>
      <c r="V530" s="1">
        <v>3395</v>
      </c>
      <c r="X530" t="s">
        <v>540</v>
      </c>
      <c r="Z530" t="s">
        <v>541</v>
      </c>
      <c r="AA530" t="s">
        <v>542</v>
      </c>
      <c r="AB530" t="s">
        <v>543</v>
      </c>
      <c r="AC530" t="s">
        <v>544</v>
      </c>
      <c r="AD530" t="s">
        <v>545</v>
      </c>
      <c r="AE530" s="3">
        <v>1</v>
      </c>
      <c r="AF530" t="s">
        <v>216</v>
      </c>
      <c r="AG530" s="1">
        <v>3395</v>
      </c>
      <c r="AI530" s="1">
        <v>3395</v>
      </c>
      <c r="AJ530" s="1">
        <v>3395</v>
      </c>
      <c r="AM530" s="1">
        <v>3395</v>
      </c>
      <c r="AN530" t="s">
        <v>643</v>
      </c>
      <c r="AO530" t="s">
        <v>546</v>
      </c>
      <c r="AP530" t="s">
        <v>643</v>
      </c>
      <c r="AQ530" t="s">
        <v>548</v>
      </c>
      <c r="AS530" t="s">
        <v>375</v>
      </c>
      <c r="AX530" s="1">
        <v>3395</v>
      </c>
      <c r="AY530" t="s">
        <v>546</v>
      </c>
      <c r="AZ530" t="s">
        <v>644</v>
      </c>
      <c r="BA530" s="1">
        <v>3395</v>
      </c>
      <c r="BC530" t="s">
        <v>546</v>
      </c>
      <c r="BD530" s="1">
        <v>3395</v>
      </c>
      <c r="BE530" t="s">
        <v>540</v>
      </c>
      <c r="BF530" s="1">
        <v>3395</v>
      </c>
      <c r="BH530" s="1">
        <v>3395</v>
      </c>
      <c r="BI530" t="s">
        <v>550</v>
      </c>
      <c r="BJ530" t="s">
        <v>570</v>
      </c>
      <c r="BK530" t="s">
        <v>552</v>
      </c>
      <c r="BL530" t="s">
        <v>552</v>
      </c>
      <c r="BM530" t="s">
        <v>2959</v>
      </c>
      <c r="BN530" t="s">
        <v>3073</v>
      </c>
      <c r="BO530" t="s">
        <v>3074</v>
      </c>
      <c r="BR530" t="s">
        <v>546</v>
      </c>
      <c r="BS530" s="1">
        <v>3395</v>
      </c>
      <c r="BW530" t="s">
        <v>536</v>
      </c>
      <c r="BX530" s="1">
        <v>3395</v>
      </c>
      <c r="BZ530" t="s">
        <v>535</v>
      </c>
      <c r="CA530" t="s">
        <v>546</v>
      </c>
      <c r="CB530" t="s">
        <v>2959</v>
      </c>
      <c r="CC530" t="s">
        <v>556</v>
      </c>
      <c r="CD530" t="s">
        <v>745</v>
      </c>
      <c r="CE530" t="s">
        <v>746</v>
      </c>
      <c r="CF530" t="s">
        <v>216</v>
      </c>
      <c r="CG530" s="4">
        <v>1</v>
      </c>
      <c r="CH530" t="s">
        <v>546</v>
      </c>
      <c r="CK530" t="s">
        <v>3075</v>
      </c>
      <c r="CL530" s="1">
        <v>3395</v>
      </c>
      <c r="CN530" t="s">
        <v>535</v>
      </c>
      <c r="CO530" t="s">
        <v>539</v>
      </c>
      <c r="CT530" t="s">
        <v>576</v>
      </c>
      <c r="CW530" t="s">
        <v>546</v>
      </c>
      <c r="DD530" t="s">
        <v>561</v>
      </c>
      <c r="DK530" t="s">
        <v>3057</v>
      </c>
      <c r="DL530" t="s">
        <v>3058</v>
      </c>
      <c r="DR530" t="s">
        <v>3076</v>
      </c>
    </row>
    <row r="531" ht="15" customHeight="1" spans="1:122">
      <c r="A531" t="s">
        <v>530</v>
      </c>
      <c r="B531" t="s">
        <v>3077</v>
      </c>
      <c r="C531" t="s">
        <v>532</v>
      </c>
      <c r="D531" t="s">
        <v>2959</v>
      </c>
      <c r="E531" t="s">
        <v>534</v>
      </c>
      <c r="F531" t="s">
        <v>534</v>
      </c>
      <c r="G531" t="s">
        <v>535</v>
      </c>
      <c r="H531" s="1">
        <v>37360.6</v>
      </c>
      <c r="I531" s="1">
        <v>37360.6</v>
      </c>
      <c r="J531" t="s">
        <v>536</v>
      </c>
      <c r="L531" t="s">
        <v>536</v>
      </c>
      <c r="M531" t="s">
        <v>380</v>
      </c>
      <c r="N531" t="s">
        <v>369</v>
      </c>
      <c r="P531" s="1">
        <v>37360.6</v>
      </c>
      <c r="Q531" t="s">
        <v>996</v>
      </c>
      <c r="R531" t="s">
        <v>535</v>
      </c>
      <c r="S531" t="s">
        <v>539</v>
      </c>
      <c r="T531" s="2">
        <v>1</v>
      </c>
      <c r="U531" s="1">
        <v>37360.6</v>
      </c>
      <c r="V531" s="1">
        <v>37360.6</v>
      </c>
      <c r="X531" t="s">
        <v>540</v>
      </c>
      <c r="Z531" t="s">
        <v>541</v>
      </c>
      <c r="AA531" t="s">
        <v>542</v>
      </c>
      <c r="AB531" t="s">
        <v>543</v>
      </c>
      <c r="AC531" t="s">
        <v>544</v>
      </c>
      <c r="AD531" t="s">
        <v>545</v>
      </c>
      <c r="AE531" s="3">
        <v>1</v>
      </c>
      <c r="AF531" t="s">
        <v>341</v>
      </c>
      <c r="AG531" s="1">
        <v>2000.6</v>
      </c>
      <c r="AI531" s="1">
        <v>37360.6</v>
      </c>
      <c r="AJ531" s="1">
        <v>2000.6</v>
      </c>
      <c r="AM531" s="1">
        <v>2000.6</v>
      </c>
      <c r="AN531" t="s">
        <v>536</v>
      </c>
      <c r="AO531" t="s">
        <v>546</v>
      </c>
      <c r="AP531" t="s">
        <v>547</v>
      </c>
      <c r="AQ531" t="s">
        <v>548</v>
      </c>
      <c r="AS531" t="s">
        <v>380</v>
      </c>
      <c r="AX531" s="1">
        <v>2000.6</v>
      </c>
      <c r="AY531" t="s">
        <v>546</v>
      </c>
      <c r="AZ531" t="s">
        <v>549</v>
      </c>
      <c r="BA531" s="1">
        <v>2000.6</v>
      </c>
      <c r="BC531" t="s">
        <v>546</v>
      </c>
      <c r="BD531" s="1">
        <v>2000.6</v>
      </c>
      <c r="BE531" t="s">
        <v>540</v>
      </c>
      <c r="BF531" s="1">
        <v>2000.6</v>
      </c>
      <c r="BH531" s="1">
        <v>2000.6</v>
      </c>
      <c r="BI531" t="s">
        <v>550</v>
      </c>
      <c r="BJ531" t="s">
        <v>551</v>
      </c>
      <c r="BK531" t="s">
        <v>551</v>
      </c>
      <c r="BL531" t="s">
        <v>552</v>
      </c>
      <c r="BM531" t="s">
        <v>2959</v>
      </c>
      <c r="BN531" t="s">
        <v>3078</v>
      </c>
      <c r="BO531" t="s">
        <v>3079</v>
      </c>
      <c r="BR531" t="s">
        <v>546</v>
      </c>
      <c r="BS531" s="1">
        <v>2000.6</v>
      </c>
      <c r="BW531" t="s">
        <v>536</v>
      </c>
      <c r="BX531" s="1">
        <v>2000.6</v>
      </c>
      <c r="BZ531" t="s">
        <v>535</v>
      </c>
      <c r="CA531" t="s">
        <v>546</v>
      </c>
      <c r="CB531" t="s">
        <v>2959</v>
      </c>
      <c r="CC531" t="s">
        <v>556</v>
      </c>
      <c r="CD531" t="s">
        <v>3080</v>
      </c>
      <c r="CE531" t="s">
        <v>3081</v>
      </c>
      <c r="CF531" t="s">
        <v>341</v>
      </c>
      <c r="CG531" s="4">
        <v>1</v>
      </c>
      <c r="CH531" t="s">
        <v>546</v>
      </c>
      <c r="CK531" t="s">
        <v>3082</v>
      </c>
      <c r="CL531" s="1">
        <v>2000.6</v>
      </c>
      <c r="CN531" t="s">
        <v>535</v>
      </c>
      <c r="CO531" t="s">
        <v>539</v>
      </c>
      <c r="CT531" t="s">
        <v>576</v>
      </c>
      <c r="CW531" t="s">
        <v>546</v>
      </c>
      <c r="DD531" t="s">
        <v>561</v>
      </c>
      <c r="DK531" t="s">
        <v>1119</v>
      </c>
      <c r="DL531" t="s">
        <v>3083</v>
      </c>
    </row>
    <row r="532" ht="15" customHeight="1" spans="1:122">
      <c r="AB532" t="s">
        <v>543</v>
      </c>
      <c r="AC532" t="s">
        <v>544</v>
      </c>
      <c r="AD532" t="s">
        <v>545</v>
      </c>
      <c r="AF532" t="s">
        <v>340</v>
      </c>
      <c r="AG532" s="1">
        <v>35360</v>
      </c>
      <c r="AJ532" s="1">
        <v>35360</v>
      </c>
      <c r="AM532" s="1">
        <v>35360</v>
      </c>
      <c r="AN532" t="s">
        <v>536</v>
      </c>
      <c r="AP532" t="s">
        <v>547</v>
      </c>
      <c r="AX532" s="1">
        <v>35360</v>
      </c>
      <c r="AZ532" t="s">
        <v>549</v>
      </c>
      <c r="BA532" s="1">
        <v>35360</v>
      </c>
      <c r="BC532" t="s">
        <v>546</v>
      </c>
      <c r="BD532" s="1">
        <v>35360</v>
      </c>
      <c r="BE532" t="s">
        <v>540</v>
      </c>
      <c r="BF532" s="1">
        <v>35360</v>
      </c>
      <c r="BH532" s="1">
        <v>35360</v>
      </c>
      <c r="BS532" s="1">
        <v>35360</v>
      </c>
      <c r="BX532" s="1">
        <v>35360</v>
      </c>
      <c r="CB532" t="s">
        <v>2959</v>
      </c>
      <c r="CC532" t="s">
        <v>556</v>
      </c>
      <c r="CD532" t="s">
        <v>3084</v>
      </c>
      <c r="CE532" t="s">
        <v>3085</v>
      </c>
      <c r="CF532" t="s">
        <v>340</v>
      </c>
      <c r="CG532" s="4">
        <v>1</v>
      </c>
      <c r="CL532" s="1">
        <v>35360</v>
      </c>
      <c r="DD532" t="s">
        <v>561</v>
      </c>
    </row>
    <row r="533" ht="15" customHeight="1" spans="1:122">
      <c r="A533" t="s">
        <v>530</v>
      </c>
      <c r="B533" t="s">
        <v>3086</v>
      </c>
      <c r="C533" t="s">
        <v>656</v>
      </c>
      <c r="D533" t="s">
        <v>2737</v>
      </c>
      <c r="E533" t="s">
        <v>534</v>
      </c>
      <c r="F533" t="s">
        <v>534</v>
      </c>
      <c r="G533" t="s">
        <v>535</v>
      </c>
      <c r="H533" s="1">
        <v>1600</v>
      </c>
      <c r="I533" s="1">
        <v>1596.56</v>
      </c>
      <c r="J533" t="s">
        <v>536</v>
      </c>
      <c r="L533" t="s">
        <v>536</v>
      </c>
      <c r="M533" t="s">
        <v>393</v>
      </c>
      <c r="N533" t="s">
        <v>657</v>
      </c>
      <c r="P533" s="1">
        <v>1600</v>
      </c>
      <c r="Q533" t="s">
        <v>658</v>
      </c>
      <c r="R533" t="s">
        <v>535</v>
      </c>
      <c r="S533" t="s">
        <v>539</v>
      </c>
      <c r="T533" s="2">
        <v>1</v>
      </c>
      <c r="U533" s="1">
        <v>1600</v>
      </c>
      <c r="V533" s="1">
        <v>1596.56</v>
      </c>
      <c r="X533" t="s">
        <v>540</v>
      </c>
      <c r="Z533" t="s">
        <v>541</v>
      </c>
      <c r="AA533" t="s">
        <v>542</v>
      </c>
      <c r="AB533" t="s">
        <v>659</v>
      </c>
      <c r="AC533" t="s">
        <v>544</v>
      </c>
      <c r="AD533" t="s">
        <v>545</v>
      </c>
      <c r="AE533" s="3">
        <v>1</v>
      </c>
      <c r="AF533" t="s">
        <v>205</v>
      </c>
      <c r="AG533" s="1">
        <v>1600</v>
      </c>
      <c r="AI533" s="1">
        <v>1600</v>
      </c>
      <c r="AJ533" s="1">
        <v>1600</v>
      </c>
      <c r="AK533" s="1">
        <v>3.44</v>
      </c>
      <c r="AM533" s="1">
        <v>1596.56</v>
      </c>
      <c r="AN533" t="s">
        <v>536</v>
      </c>
      <c r="AO533" t="s">
        <v>546</v>
      </c>
      <c r="AP533" t="s">
        <v>547</v>
      </c>
      <c r="AQ533" t="s">
        <v>548</v>
      </c>
      <c r="AS533" t="s">
        <v>393</v>
      </c>
      <c r="AX533" s="1">
        <v>1600</v>
      </c>
      <c r="AY533" t="s">
        <v>546</v>
      </c>
      <c r="AZ533" t="s">
        <v>549</v>
      </c>
      <c r="BA533" s="1">
        <v>1600</v>
      </c>
      <c r="BC533" t="s">
        <v>546</v>
      </c>
      <c r="BD533" s="1">
        <v>1600</v>
      </c>
      <c r="BE533" t="s">
        <v>540</v>
      </c>
      <c r="BF533" s="1">
        <v>1600</v>
      </c>
      <c r="BG533" s="1">
        <v>3.44</v>
      </c>
      <c r="BH533" s="1">
        <v>1596.56</v>
      </c>
      <c r="BI533" t="s">
        <v>550</v>
      </c>
      <c r="BJ533" t="s">
        <v>660</v>
      </c>
      <c r="BK533" t="s">
        <v>552</v>
      </c>
      <c r="BL533" t="s">
        <v>552</v>
      </c>
      <c r="BM533" t="s">
        <v>2959</v>
      </c>
      <c r="BN533" t="s">
        <v>3087</v>
      </c>
      <c r="BO533" t="s">
        <v>3088</v>
      </c>
      <c r="BR533" t="s">
        <v>546</v>
      </c>
      <c r="BS533" s="1">
        <v>1600</v>
      </c>
      <c r="BW533" t="s">
        <v>536</v>
      </c>
      <c r="BX533" s="1">
        <v>1600</v>
      </c>
      <c r="BZ533" t="s">
        <v>535</v>
      </c>
      <c r="CA533" t="s">
        <v>546</v>
      </c>
      <c r="CB533" t="s">
        <v>2737</v>
      </c>
      <c r="CC533" t="s">
        <v>556</v>
      </c>
      <c r="CD533" t="s">
        <v>3089</v>
      </c>
      <c r="CE533" t="s">
        <v>3090</v>
      </c>
      <c r="CF533" t="s">
        <v>205</v>
      </c>
      <c r="CG533" s="4">
        <v>1</v>
      </c>
      <c r="CH533" t="s">
        <v>546</v>
      </c>
      <c r="CK533" t="s">
        <v>3091</v>
      </c>
      <c r="CL533" s="1">
        <v>1600</v>
      </c>
      <c r="CN533" t="s">
        <v>535</v>
      </c>
      <c r="CO533" t="s">
        <v>539</v>
      </c>
      <c r="CT533" t="s">
        <v>666</v>
      </c>
      <c r="CW533" t="s">
        <v>546</v>
      </c>
      <c r="DD533" t="s">
        <v>561</v>
      </c>
      <c r="DK533" t="s">
        <v>3092</v>
      </c>
      <c r="DL533" t="s">
        <v>3093</v>
      </c>
    </row>
    <row r="534" ht="15" customHeight="1" spans="1:122">
      <c r="A534" t="s">
        <v>603</v>
      </c>
      <c r="B534" t="s">
        <v>3094</v>
      </c>
      <c r="C534" t="s">
        <v>656</v>
      </c>
      <c r="D534" t="s">
        <v>2959</v>
      </c>
      <c r="E534" t="s">
        <v>534</v>
      </c>
      <c r="F534" t="s">
        <v>534</v>
      </c>
      <c r="G534" t="s">
        <v>535</v>
      </c>
      <c r="H534" s="1">
        <v>2200</v>
      </c>
      <c r="I534" s="1">
        <v>2200</v>
      </c>
      <c r="J534" t="s">
        <v>536</v>
      </c>
      <c r="L534" t="s">
        <v>536</v>
      </c>
      <c r="M534" t="s">
        <v>396</v>
      </c>
      <c r="N534" t="s">
        <v>657</v>
      </c>
      <c r="P534" s="1">
        <v>2200</v>
      </c>
      <c r="Q534" t="s">
        <v>658</v>
      </c>
      <c r="R534" t="s">
        <v>535</v>
      </c>
      <c r="S534" t="s">
        <v>539</v>
      </c>
      <c r="T534" s="2">
        <v>1</v>
      </c>
      <c r="U534" s="1">
        <v>2200</v>
      </c>
      <c r="V534" s="1">
        <v>2200</v>
      </c>
      <c r="X534" t="s">
        <v>616</v>
      </c>
      <c r="Z534" t="s">
        <v>541</v>
      </c>
      <c r="AA534" t="s">
        <v>542</v>
      </c>
      <c r="AB534" t="s">
        <v>543</v>
      </c>
      <c r="AC534" t="s">
        <v>608</v>
      </c>
      <c r="AE534" s="3">
        <v>1</v>
      </c>
      <c r="AG534" s="1">
        <v>2200</v>
      </c>
      <c r="AI534" s="1">
        <v>2200</v>
      </c>
      <c r="AJ534" s="1">
        <v>2200</v>
      </c>
      <c r="AM534" s="1">
        <v>2200</v>
      </c>
      <c r="AN534" t="s">
        <v>680</v>
      </c>
      <c r="AO534" t="s">
        <v>546</v>
      </c>
      <c r="AP534" t="s">
        <v>681</v>
      </c>
      <c r="AQ534" t="s">
        <v>548</v>
      </c>
      <c r="AS534" t="s">
        <v>396</v>
      </c>
      <c r="AX534" s="1">
        <v>2200</v>
      </c>
      <c r="AY534" t="s">
        <v>546</v>
      </c>
      <c r="AZ534" t="s">
        <v>682</v>
      </c>
      <c r="BA534" s="1">
        <v>2200</v>
      </c>
      <c r="BC534" t="s">
        <v>546</v>
      </c>
      <c r="BE534" t="s">
        <v>616</v>
      </c>
      <c r="BH534" s="1">
        <v>2200</v>
      </c>
      <c r="BI534" t="s">
        <v>550</v>
      </c>
      <c r="BJ534" t="s">
        <v>683</v>
      </c>
      <c r="BK534" t="s">
        <v>683</v>
      </c>
      <c r="BL534" t="s">
        <v>552</v>
      </c>
      <c r="BM534" t="s">
        <v>3016</v>
      </c>
      <c r="BN534" t="s">
        <v>3095</v>
      </c>
      <c r="BO534" t="s">
        <v>3096</v>
      </c>
      <c r="BR534" t="s">
        <v>546</v>
      </c>
      <c r="BS534" s="1">
        <v>2200</v>
      </c>
      <c r="BW534" t="s">
        <v>536</v>
      </c>
      <c r="BZ534" t="s">
        <v>535</v>
      </c>
      <c r="CA534" t="s">
        <v>546</v>
      </c>
      <c r="CB534" t="s">
        <v>2959</v>
      </c>
      <c r="CC534" t="s">
        <v>556</v>
      </c>
      <c r="CH534" t="s">
        <v>546</v>
      </c>
      <c r="CK534" t="s">
        <v>3097</v>
      </c>
      <c r="CN534" t="s">
        <v>535</v>
      </c>
      <c r="CO534" t="s">
        <v>539</v>
      </c>
      <c r="CT534" t="s">
        <v>1444</v>
      </c>
      <c r="CW534" t="s">
        <v>546</v>
      </c>
      <c r="DD534" t="s">
        <v>561</v>
      </c>
      <c r="DK534" t="s">
        <v>1445</v>
      </c>
    </row>
    <row r="535" ht="15" customHeight="1" spans="1:122">
      <c r="A535" t="s">
        <v>530</v>
      </c>
      <c r="B535" t="s">
        <v>3098</v>
      </c>
      <c r="C535" t="s">
        <v>532</v>
      </c>
      <c r="D535" t="s">
        <v>3035</v>
      </c>
      <c r="E535" t="s">
        <v>534</v>
      </c>
      <c r="F535" t="s">
        <v>534</v>
      </c>
      <c r="G535" t="s">
        <v>535</v>
      </c>
      <c r="H535" s="1">
        <v>3832.8</v>
      </c>
      <c r="I535" s="1">
        <v>3809.8</v>
      </c>
      <c r="J535" t="s">
        <v>536</v>
      </c>
      <c r="L535" t="s">
        <v>536</v>
      </c>
      <c r="M535" t="s">
        <v>404</v>
      </c>
      <c r="N535" t="s">
        <v>537</v>
      </c>
      <c r="P535" s="1">
        <v>3832.8</v>
      </c>
      <c r="Q535" t="s">
        <v>642</v>
      </c>
      <c r="R535" t="s">
        <v>535</v>
      </c>
      <c r="S535" t="s">
        <v>539</v>
      </c>
      <c r="T535" s="2">
        <v>1</v>
      </c>
      <c r="U535" s="1">
        <v>3832.8</v>
      </c>
      <c r="V535" s="1">
        <v>3809.8</v>
      </c>
      <c r="X535" t="s">
        <v>540</v>
      </c>
      <c r="Z535" t="s">
        <v>541</v>
      </c>
      <c r="AA535" t="s">
        <v>542</v>
      </c>
      <c r="AB535" t="s">
        <v>543</v>
      </c>
      <c r="AC535" t="s">
        <v>544</v>
      </c>
      <c r="AD535" t="s">
        <v>545</v>
      </c>
      <c r="AE535" s="3">
        <v>1</v>
      </c>
      <c r="AF535" t="s">
        <v>224</v>
      </c>
      <c r="AG535" s="1">
        <v>3832.8</v>
      </c>
      <c r="AI535" s="1">
        <v>3832.8</v>
      </c>
      <c r="AJ535" s="1">
        <v>3832.8</v>
      </c>
      <c r="AK535" s="1">
        <v>23</v>
      </c>
      <c r="AM535" s="1">
        <v>3809.8</v>
      </c>
      <c r="AN535" t="s">
        <v>536</v>
      </c>
      <c r="AO535" t="s">
        <v>546</v>
      </c>
      <c r="AP535" t="s">
        <v>547</v>
      </c>
      <c r="AQ535" t="s">
        <v>548</v>
      </c>
      <c r="AS535" t="s">
        <v>404</v>
      </c>
      <c r="AX535" s="1">
        <v>3832.8</v>
      </c>
      <c r="AY535" t="s">
        <v>546</v>
      </c>
      <c r="AZ535" t="s">
        <v>549</v>
      </c>
      <c r="BA535" s="1">
        <v>3832.8</v>
      </c>
      <c r="BC535" t="s">
        <v>546</v>
      </c>
      <c r="BD535" s="1">
        <v>3832.8</v>
      </c>
      <c r="BE535" t="s">
        <v>540</v>
      </c>
      <c r="BF535" s="1">
        <v>3832.8</v>
      </c>
      <c r="BG535" s="1">
        <v>23</v>
      </c>
      <c r="BH535" s="1">
        <v>3809.8</v>
      </c>
      <c r="BI535" t="s">
        <v>550</v>
      </c>
      <c r="BJ535" t="s">
        <v>642</v>
      </c>
      <c r="BK535" t="s">
        <v>552</v>
      </c>
      <c r="BL535" t="s">
        <v>552</v>
      </c>
      <c r="BM535" t="s">
        <v>3016</v>
      </c>
      <c r="BN535" t="s">
        <v>3099</v>
      </c>
      <c r="BO535" t="s">
        <v>3100</v>
      </c>
      <c r="BR535" t="s">
        <v>546</v>
      </c>
      <c r="BS535" s="1">
        <v>3832.8</v>
      </c>
      <c r="BW535" t="s">
        <v>536</v>
      </c>
      <c r="BX535" s="1">
        <v>3832.8</v>
      </c>
      <c r="BZ535" t="s">
        <v>535</v>
      </c>
      <c r="CA535" t="s">
        <v>546</v>
      </c>
      <c r="CB535" t="s">
        <v>3035</v>
      </c>
      <c r="CC535" t="s">
        <v>556</v>
      </c>
      <c r="CD535" t="s">
        <v>1016</v>
      </c>
      <c r="CE535" t="s">
        <v>1017</v>
      </c>
      <c r="CF535" t="s">
        <v>224</v>
      </c>
      <c r="CG535" s="4">
        <v>1</v>
      </c>
      <c r="CH535" t="s">
        <v>546</v>
      </c>
      <c r="CK535" t="s">
        <v>3101</v>
      </c>
      <c r="CL535" s="1">
        <v>3832.8</v>
      </c>
      <c r="CN535" t="s">
        <v>535</v>
      </c>
      <c r="CO535" t="s">
        <v>539</v>
      </c>
      <c r="CT535" t="s">
        <v>651</v>
      </c>
      <c r="CW535" t="s">
        <v>546</v>
      </c>
      <c r="DD535" t="s">
        <v>561</v>
      </c>
      <c r="DK535" t="s">
        <v>3102</v>
      </c>
      <c r="DL535" t="s">
        <v>3103</v>
      </c>
    </row>
    <row r="536" ht="15" customHeight="1" spans="1:122">
      <c r="A536" t="s">
        <v>530</v>
      </c>
      <c r="B536" t="s">
        <v>3104</v>
      </c>
      <c r="C536" t="s">
        <v>532</v>
      </c>
      <c r="D536" t="s">
        <v>3035</v>
      </c>
      <c r="E536" t="s">
        <v>534</v>
      </c>
      <c r="F536" t="s">
        <v>534</v>
      </c>
      <c r="G536" t="s">
        <v>535</v>
      </c>
      <c r="H536" s="1">
        <v>958.2</v>
      </c>
      <c r="I536" s="1">
        <v>958.2</v>
      </c>
      <c r="J536" t="s">
        <v>536</v>
      </c>
      <c r="L536" t="s">
        <v>536</v>
      </c>
      <c r="M536" t="s">
        <v>404</v>
      </c>
      <c r="N536" t="s">
        <v>537</v>
      </c>
      <c r="P536" s="1">
        <v>958.2</v>
      </c>
      <c r="Q536" t="s">
        <v>642</v>
      </c>
      <c r="R536" t="s">
        <v>535</v>
      </c>
      <c r="S536" t="s">
        <v>539</v>
      </c>
      <c r="T536" s="2">
        <v>1</v>
      </c>
      <c r="U536" s="1">
        <v>958.2</v>
      </c>
      <c r="V536" s="1">
        <v>958.2</v>
      </c>
      <c r="X536" t="s">
        <v>540</v>
      </c>
      <c r="Z536" t="s">
        <v>541</v>
      </c>
      <c r="AA536" t="s">
        <v>542</v>
      </c>
      <c r="AB536" t="s">
        <v>543</v>
      </c>
      <c r="AC536" t="s">
        <v>544</v>
      </c>
      <c r="AD536" t="s">
        <v>545</v>
      </c>
      <c r="AE536" s="3">
        <v>1</v>
      </c>
      <c r="AF536" t="s">
        <v>224</v>
      </c>
      <c r="AG536" s="1">
        <v>958.2</v>
      </c>
      <c r="AI536" s="1">
        <v>958.2</v>
      </c>
      <c r="AJ536" s="1">
        <v>958.2</v>
      </c>
      <c r="AM536" s="1">
        <v>958.2</v>
      </c>
      <c r="AN536" t="s">
        <v>565</v>
      </c>
      <c r="AO536" t="s">
        <v>546</v>
      </c>
      <c r="AP536" t="s">
        <v>565</v>
      </c>
      <c r="AQ536" t="s">
        <v>548</v>
      </c>
      <c r="AS536" t="s">
        <v>404</v>
      </c>
      <c r="AX536" s="1">
        <v>958.2</v>
      </c>
      <c r="AY536" t="s">
        <v>546</v>
      </c>
      <c r="AZ536" t="s">
        <v>566</v>
      </c>
      <c r="BA536" s="1">
        <v>958.2</v>
      </c>
      <c r="BC536" t="s">
        <v>546</v>
      </c>
      <c r="BD536" s="1">
        <v>958.2</v>
      </c>
      <c r="BE536" t="s">
        <v>540</v>
      </c>
      <c r="BF536" s="1">
        <v>958.2</v>
      </c>
      <c r="BH536" s="1">
        <v>958.2</v>
      </c>
      <c r="BI536" t="s">
        <v>550</v>
      </c>
      <c r="BJ536" t="s">
        <v>642</v>
      </c>
      <c r="BK536" t="s">
        <v>552</v>
      </c>
      <c r="BL536" t="s">
        <v>552</v>
      </c>
      <c r="BM536" t="s">
        <v>3016</v>
      </c>
      <c r="BN536" t="s">
        <v>3105</v>
      </c>
      <c r="BO536" t="s">
        <v>3106</v>
      </c>
      <c r="BR536" t="s">
        <v>546</v>
      </c>
      <c r="BS536" s="1">
        <v>958.2</v>
      </c>
      <c r="BW536" t="s">
        <v>536</v>
      </c>
      <c r="BX536" s="1">
        <v>958.2</v>
      </c>
      <c r="BZ536" t="s">
        <v>535</v>
      </c>
      <c r="CA536" t="s">
        <v>546</v>
      </c>
      <c r="CB536" t="s">
        <v>3035</v>
      </c>
      <c r="CC536" t="s">
        <v>556</v>
      </c>
      <c r="CD536" t="s">
        <v>1016</v>
      </c>
      <c r="CE536" t="s">
        <v>1017</v>
      </c>
      <c r="CF536" t="s">
        <v>224</v>
      </c>
      <c r="CG536" s="4">
        <v>1</v>
      </c>
      <c r="CH536" t="s">
        <v>546</v>
      </c>
      <c r="CK536" t="s">
        <v>3101</v>
      </c>
      <c r="CL536" s="1">
        <v>958.2</v>
      </c>
      <c r="CN536" t="s">
        <v>535</v>
      </c>
      <c r="CO536" t="s">
        <v>539</v>
      </c>
      <c r="CT536" t="s">
        <v>651</v>
      </c>
      <c r="CW536" t="s">
        <v>546</v>
      </c>
      <c r="DD536" t="s">
        <v>561</v>
      </c>
      <c r="DK536" t="s">
        <v>3102</v>
      </c>
      <c r="DL536" t="s">
        <v>3103</v>
      </c>
    </row>
    <row r="537" ht="15" customHeight="1" spans="1:122">
      <c r="A537" t="s">
        <v>530</v>
      </c>
      <c r="B537" t="s">
        <v>3107</v>
      </c>
      <c r="C537" t="s">
        <v>532</v>
      </c>
      <c r="D537" t="s">
        <v>3035</v>
      </c>
      <c r="E537" t="s">
        <v>534</v>
      </c>
      <c r="F537" t="s">
        <v>534</v>
      </c>
      <c r="G537" t="s">
        <v>535</v>
      </c>
      <c r="H537" s="1">
        <v>4351.15</v>
      </c>
      <c r="I537" s="1">
        <v>4325.04</v>
      </c>
      <c r="J537" t="s">
        <v>536</v>
      </c>
      <c r="L537" t="s">
        <v>536</v>
      </c>
      <c r="M537" t="s">
        <v>377</v>
      </c>
      <c r="N537" t="s">
        <v>537</v>
      </c>
      <c r="P537" s="1">
        <v>4351.15</v>
      </c>
      <c r="Q537" t="s">
        <v>538</v>
      </c>
      <c r="R537" t="s">
        <v>535</v>
      </c>
      <c r="S537" t="s">
        <v>539</v>
      </c>
      <c r="T537" s="2">
        <v>1</v>
      </c>
      <c r="U537" s="1">
        <v>4351.15</v>
      </c>
      <c r="V537" s="1">
        <v>4325.04</v>
      </c>
      <c r="X537" t="s">
        <v>540</v>
      </c>
      <c r="Z537" t="s">
        <v>541</v>
      </c>
      <c r="AA537" t="s">
        <v>542</v>
      </c>
      <c r="AB537" t="s">
        <v>543</v>
      </c>
      <c r="AC537" t="s">
        <v>544</v>
      </c>
      <c r="AD537" t="s">
        <v>545</v>
      </c>
      <c r="AE537" s="3">
        <v>1</v>
      </c>
      <c r="AF537" t="s">
        <v>226</v>
      </c>
      <c r="AG537" s="1">
        <v>4351.15</v>
      </c>
      <c r="AI537" s="1">
        <v>4351.15</v>
      </c>
      <c r="AJ537" s="1">
        <v>4351.15</v>
      </c>
      <c r="AK537" s="1">
        <v>26.11</v>
      </c>
      <c r="AM537" s="1">
        <v>4325.04</v>
      </c>
      <c r="AN537" t="s">
        <v>536</v>
      </c>
      <c r="AO537" t="s">
        <v>546</v>
      </c>
      <c r="AP537" t="s">
        <v>547</v>
      </c>
      <c r="AQ537" t="s">
        <v>548</v>
      </c>
      <c r="AS537" t="s">
        <v>377</v>
      </c>
      <c r="AX537" s="1">
        <v>4351.15</v>
      </c>
      <c r="AY537" t="s">
        <v>546</v>
      </c>
      <c r="AZ537" t="s">
        <v>549</v>
      </c>
      <c r="BA537" s="1">
        <v>4351.15</v>
      </c>
      <c r="BC537" t="s">
        <v>546</v>
      </c>
      <c r="BD537" s="1">
        <v>4351.15</v>
      </c>
      <c r="BE537" t="s">
        <v>540</v>
      </c>
      <c r="BF537" s="1">
        <v>4351.15</v>
      </c>
      <c r="BG537" s="1">
        <v>26.11</v>
      </c>
      <c r="BH537" s="1">
        <v>4325.04</v>
      </c>
      <c r="BI537" t="s">
        <v>550</v>
      </c>
      <c r="BJ537" t="s">
        <v>551</v>
      </c>
      <c r="BK537" t="s">
        <v>552</v>
      </c>
      <c r="BL537" t="s">
        <v>552</v>
      </c>
      <c r="BM537" t="s">
        <v>3016</v>
      </c>
      <c r="BN537" t="s">
        <v>3108</v>
      </c>
      <c r="BO537" t="s">
        <v>3109</v>
      </c>
      <c r="BR537" t="s">
        <v>546</v>
      </c>
      <c r="BS537" s="1">
        <v>4351.15</v>
      </c>
      <c r="BW537" t="s">
        <v>536</v>
      </c>
      <c r="BX537" s="1">
        <v>4351.15</v>
      </c>
      <c r="BZ537" t="s">
        <v>535</v>
      </c>
      <c r="CA537" t="s">
        <v>546</v>
      </c>
      <c r="CB537" t="s">
        <v>3035</v>
      </c>
      <c r="CC537" t="s">
        <v>556</v>
      </c>
      <c r="CD537" t="s">
        <v>873</v>
      </c>
      <c r="CE537" t="s">
        <v>874</v>
      </c>
      <c r="CF537" t="s">
        <v>226</v>
      </c>
      <c r="CG537" s="4">
        <v>1</v>
      </c>
      <c r="CH537" t="s">
        <v>546</v>
      </c>
      <c r="CK537" t="s">
        <v>3110</v>
      </c>
      <c r="CL537" s="1">
        <v>4351.15</v>
      </c>
      <c r="CN537" t="s">
        <v>535</v>
      </c>
      <c r="CO537" t="s">
        <v>539</v>
      </c>
      <c r="CT537" t="s">
        <v>560</v>
      </c>
      <c r="CW537" t="s">
        <v>546</v>
      </c>
      <c r="DD537" t="s">
        <v>561</v>
      </c>
      <c r="DK537" t="s">
        <v>3111</v>
      </c>
      <c r="DL537" t="s">
        <v>3112</v>
      </c>
    </row>
    <row r="538" ht="15" customHeight="1" spans="1:122">
      <c r="A538" t="s">
        <v>530</v>
      </c>
      <c r="B538" t="s">
        <v>3113</v>
      </c>
      <c r="C538" t="s">
        <v>532</v>
      </c>
      <c r="D538" t="s">
        <v>3035</v>
      </c>
      <c r="E538" t="s">
        <v>534</v>
      </c>
      <c r="F538" t="s">
        <v>534</v>
      </c>
      <c r="G538" t="s">
        <v>535</v>
      </c>
      <c r="H538" s="1">
        <v>767.85</v>
      </c>
      <c r="I538" s="1">
        <v>767.85</v>
      </c>
      <c r="J538" t="s">
        <v>536</v>
      </c>
      <c r="L538" t="s">
        <v>536</v>
      </c>
      <c r="M538" t="s">
        <v>377</v>
      </c>
      <c r="N538" t="s">
        <v>537</v>
      </c>
      <c r="P538" s="1">
        <v>767.85</v>
      </c>
      <c r="Q538" t="s">
        <v>538</v>
      </c>
      <c r="R538" t="s">
        <v>535</v>
      </c>
      <c r="S538" t="s">
        <v>539</v>
      </c>
      <c r="T538" s="2">
        <v>1</v>
      </c>
      <c r="U538" s="1">
        <v>767.85</v>
      </c>
      <c r="V538" s="1">
        <v>767.85</v>
      </c>
      <c r="X538" t="s">
        <v>540</v>
      </c>
      <c r="Z538" t="s">
        <v>541</v>
      </c>
      <c r="AA538" t="s">
        <v>542</v>
      </c>
      <c r="AB538" t="s">
        <v>543</v>
      </c>
      <c r="AC538" t="s">
        <v>544</v>
      </c>
      <c r="AD538" t="s">
        <v>545</v>
      </c>
      <c r="AE538" s="3">
        <v>1</v>
      </c>
      <c r="AF538" t="s">
        <v>226</v>
      </c>
      <c r="AG538" s="1">
        <v>767.85</v>
      </c>
      <c r="AI538" s="1">
        <v>767.85</v>
      </c>
      <c r="AJ538" s="1">
        <v>767.85</v>
      </c>
      <c r="AM538" s="1">
        <v>767.85</v>
      </c>
      <c r="AN538" t="s">
        <v>565</v>
      </c>
      <c r="AO538" t="s">
        <v>546</v>
      </c>
      <c r="AP538" t="s">
        <v>565</v>
      </c>
      <c r="AQ538" t="s">
        <v>548</v>
      </c>
      <c r="AS538" t="s">
        <v>377</v>
      </c>
      <c r="AX538" s="1">
        <v>767.85</v>
      </c>
      <c r="AY538" t="s">
        <v>546</v>
      </c>
      <c r="AZ538" t="s">
        <v>566</v>
      </c>
      <c r="BA538" s="1">
        <v>767.85</v>
      </c>
      <c r="BC538" t="s">
        <v>546</v>
      </c>
      <c r="BD538" s="1">
        <v>767.85</v>
      </c>
      <c r="BE538" t="s">
        <v>540</v>
      </c>
      <c r="BF538" s="1">
        <v>767.85</v>
      </c>
      <c r="BH538" s="1">
        <v>767.85</v>
      </c>
      <c r="BI538" t="s">
        <v>550</v>
      </c>
      <c r="BJ538" t="s">
        <v>551</v>
      </c>
      <c r="BK538" t="s">
        <v>551</v>
      </c>
      <c r="BL538" t="s">
        <v>552</v>
      </c>
      <c r="BM538" t="s">
        <v>3016</v>
      </c>
      <c r="BN538" t="s">
        <v>3114</v>
      </c>
      <c r="BO538" t="s">
        <v>3115</v>
      </c>
      <c r="BR538" t="s">
        <v>546</v>
      </c>
      <c r="BS538" s="1">
        <v>767.85</v>
      </c>
      <c r="BW538" t="s">
        <v>536</v>
      </c>
      <c r="BX538" s="1">
        <v>767.85</v>
      </c>
      <c r="BZ538" t="s">
        <v>535</v>
      </c>
      <c r="CA538" t="s">
        <v>546</v>
      </c>
      <c r="CB538" t="s">
        <v>3035</v>
      </c>
      <c r="CC538" t="s">
        <v>556</v>
      </c>
      <c r="CD538" t="s">
        <v>873</v>
      </c>
      <c r="CE538" t="s">
        <v>874</v>
      </c>
      <c r="CF538" t="s">
        <v>226</v>
      </c>
      <c r="CG538" s="4">
        <v>1</v>
      </c>
      <c r="CH538" t="s">
        <v>546</v>
      </c>
      <c r="CK538" t="s">
        <v>3110</v>
      </c>
      <c r="CL538" s="1">
        <v>767.85</v>
      </c>
      <c r="CN538" t="s">
        <v>535</v>
      </c>
      <c r="CO538" t="s">
        <v>539</v>
      </c>
      <c r="CT538" t="s">
        <v>560</v>
      </c>
      <c r="CW538" t="s">
        <v>546</v>
      </c>
      <c r="DD538" t="s">
        <v>561</v>
      </c>
      <c r="DK538" t="s">
        <v>3111</v>
      </c>
      <c r="DL538" t="s">
        <v>3112</v>
      </c>
    </row>
    <row r="539" ht="15" customHeight="1" spans="1:122">
      <c r="A539" t="s">
        <v>530</v>
      </c>
      <c r="B539" t="s">
        <v>3116</v>
      </c>
      <c r="C539" t="s">
        <v>532</v>
      </c>
      <c r="D539" t="s">
        <v>3016</v>
      </c>
      <c r="E539" t="s">
        <v>534</v>
      </c>
      <c r="F539" t="s">
        <v>534</v>
      </c>
      <c r="G539" t="s">
        <v>535</v>
      </c>
      <c r="H539" s="1">
        <v>800</v>
      </c>
      <c r="I539" s="1">
        <v>800</v>
      </c>
      <c r="J539" t="s">
        <v>536</v>
      </c>
      <c r="L539" t="s">
        <v>536</v>
      </c>
      <c r="M539" t="s">
        <v>375</v>
      </c>
      <c r="N539" t="s">
        <v>537</v>
      </c>
      <c r="P539" s="1">
        <v>800</v>
      </c>
      <c r="Q539" t="s">
        <v>580</v>
      </c>
      <c r="R539" t="s">
        <v>535</v>
      </c>
      <c r="S539" t="s">
        <v>539</v>
      </c>
      <c r="T539" s="2">
        <v>1</v>
      </c>
      <c r="U539" s="1">
        <v>800</v>
      </c>
      <c r="V539" s="1">
        <v>800</v>
      </c>
      <c r="X539" t="s">
        <v>540</v>
      </c>
      <c r="Z539" t="s">
        <v>541</v>
      </c>
      <c r="AA539" t="s">
        <v>542</v>
      </c>
      <c r="AB539" t="s">
        <v>543</v>
      </c>
      <c r="AC539" t="s">
        <v>544</v>
      </c>
      <c r="AD539" t="s">
        <v>545</v>
      </c>
      <c r="AE539" s="3">
        <v>1</v>
      </c>
      <c r="AF539" t="s">
        <v>223</v>
      </c>
      <c r="AG539" s="1">
        <v>800</v>
      </c>
      <c r="AI539" s="1">
        <v>800</v>
      </c>
      <c r="AJ539" s="1">
        <v>800</v>
      </c>
      <c r="AM539" s="1">
        <v>800</v>
      </c>
      <c r="AN539" t="s">
        <v>643</v>
      </c>
      <c r="AO539" t="s">
        <v>546</v>
      </c>
      <c r="AP539" t="s">
        <v>643</v>
      </c>
      <c r="AQ539" t="s">
        <v>548</v>
      </c>
      <c r="AS539" t="s">
        <v>375</v>
      </c>
      <c r="AX539" s="1">
        <v>800</v>
      </c>
      <c r="AY539" t="s">
        <v>546</v>
      </c>
      <c r="AZ539" t="s">
        <v>644</v>
      </c>
      <c r="BA539" s="1">
        <v>800</v>
      </c>
      <c r="BC539" t="s">
        <v>546</v>
      </c>
      <c r="BD539" s="1">
        <v>800</v>
      </c>
      <c r="BE539" t="s">
        <v>540</v>
      </c>
      <c r="BF539" s="1">
        <v>800</v>
      </c>
      <c r="BH539" s="1">
        <v>800</v>
      </c>
      <c r="BI539" t="s">
        <v>550</v>
      </c>
      <c r="BJ539" t="s">
        <v>551</v>
      </c>
      <c r="BK539" t="s">
        <v>551</v>
      </c>
      <c r="BL539" t="s">
        <v>552</v>
      </c>
      <c r="BM539" t="s">
        <v>3016</v>
      </c>
      <c r="BN539" t="s">
        <v>3117</v>
      </c>
      <c r="BO539" t="s">
        <v>3118</v>
      </c>
      <c r="BR539" t="s">
        <v>546</v>
      </c>
      <c r="BS539" s="1">
        <v>800</v>
      </c>
      <c r="BW539" t="s">
        <v>536</v>
      </c>
      <c r="BX539" s="1">
        <v>800</v>
      </c>
      <c r="BZ539" t="s">
        <v>535</v>
      </c>
      <c r="CA539" t="s">
        <v>546</v>
      </c>
      <c r="CB539" t="s">
        <v>3016</v>
      </c>
      <c r="CC539" t="s">
        <v>556</v>
      </c>
      <c r="CD539" t="s">
        <v>1108</v>
      </c>
      <c r="CE539" t="s">
        <v>1109</v>
      </c>
      <c r="CF539" t="s">
        <v>223</v>
      </c>
      <c r="CG539" s="4">
        <v>1</v>
      </c>
      <c r="CH539" t="s">
        <v>546</v>
      </c>
      <c r="CK539" t="s">
        <v>3119</v>
      </c>
      <c r="CL539" s="1">
        <v>800</v>
      </c>
      <c r="CN539" t="s">
        <v>535</v>
      </c>
      <c r="CO539" t="s">
        <v>539</v>
      </c>
      <c r="CT539" t="s">
        <v>576</v>
      </c>
      <c r="CW539" t="s">
        <v>546</v>
      </c>
      <c r="DD539" t="s">
        <v>561</v>
      </c>
      <c r="DK539" t="s">
        <v>3120</v>
      </c>
      <c r="DL539" t="s">
        <v>3121</v>
      </c>
      <c r="DR539" t="s">
        <v>3122</v>
      </c>
    </row>
    <row r="540" ht="15" customHeight="1" spans="1:122">
      <c r="A540" t="s">
        <v>530</v>
      </c>
      <c r="B540" t="s">
        <v>3123</v>
      </c>
      <c r="C540" t="s">
        <v>532</v>
      </c>
      <c r="D540" t="s">
        <v>3035</v>
      </c>
      <c r="E540" t="s">
        <v>534</v>
      </c>
      <c r="F540" t="s">
        <v>534</v>
      </c>
      <c r="G540" t="s">
        <v>535</v>
      </c>
      <c r="H540" s="1">
        <v>2908.8</v>
      </c>
      <c r="I540" s="1">
        <v>2891.35</v>
      </c>
      <c r="J540" t="s">
        <v>536</v>
      </c>
      <c r="L540" t="s">
        <v>536</v>
      </c>
      <c r="M540" t="s">
        <v>377</v>
      </c>
      <c r="N540" t="s">
        <v>537</v>
      </c>
      <c r="P540" s="1">
        <v>2908.8</v>
      </c>
      <c r="Q540" t="s">
        <v>538</v>
      </c>
      <c r="R540" t="s">
        <v>535</v>
      </c>
      <c r="S540" t="s">
        <v>539</v>
      </c>
      <c r="T540" s="2">
        <v>1</v>
      </c>
      <c r="U540" s="1">
        <v>2908.8</v>
      </c>
      <c r="V540" s="1">
        <v>2891.35</v>
      </c>
      <c r="X540" t="s">
        <v>540</v>
      </c>
      <c r="Z540" t="s">
        <v>541</v>
      </c>
      <c r="AA540" t="s">
        <v>542</v>
      </c>
      <c r="AB540" t="s">
        <v>543</v>
      </c>
      <c r="AC540" t="s">
        <v>544</v>
      </c>
      <c r="AD540" t="s">
        <v>545</v>
      </c>
      <c r="AE540" s="3">
        <v>1</v>
      </c>
      <c r="AF540" t="s">
        <v>227</v>
      </c>
      <c r="AG540" s="1">
        <v>2908.8</v>
      </c>
      <c r="AI540" s="1">
        <v>2908.8</v>
      </c>
      <c r="AJ540" s="1">
        <v>2908.8</v>
      </c>
      <c r="AK540" s="1">
        <v>17.45</v>
      </c>
      <c r="AM540" s="1">
        <v>2891.35</v>
      </c>
      <c r="AN540" t="s">
        <v>536</v>
      </c>
      <c r="AO540" t="s">
        <v>546</v>
      </c>
      <c r="AP540" t="s">
        <v>547</v>
      </c>
      <c r="AQ540" t="s">
        <v>548</v>
      </c>
      <c r="AS540" t="s">
        <v>377</v>
      </c>
      <c r="AX540" s="1">
        <v>2908.8</v>
      </c>
      <c r="AY540" t="s">
        <v>546</v>
      </c>
      <c r="AZ540" t="s">
        <v>549</v>
      </c>
      <c r="BA540" s="1">
        <v>2908.8</v>
      </c>
      <c r="BC540" t="s">
        <v>546</v>
      </c>
      <c r="BD540" s="1">
        <v>2908.8</v>
      </c>
      <c r="BE540" t="s">
        <v>540</v>
      </c>
      <c r="BF540" s="1">
        <v>2908.8</v>
      </c>
      <c r="BG540" s="1">
        <v>17.45</v>
      </c>
      <c r="BH540" s="1">
        <v>2891.35</v>
      </c>
      <c r="BI540" t="s">
        <v>550</v>
      </c>
      <c r="BJ540" t="s">
        <v>551</v>
      </c>
      <c r="BK540" t="s">
        <v>552</v>
      </c>
      <c r="BL540" t="s">
        <v>552</v>
      </c>
      <c r="BM540" t="s">
        <v>3016</v>
      </c>
      <c r="BN540" t="s">
        <v>3124</v>
      </c>
      <c r="BO540" t="s">
        <v>3124</v>
      </c>
      <c r="BR540" t="s">
        <v>546</v>
      </c>
      <c r="BS540" s="1">
        <v>2908.8</v>
      </c>
      <c r="BW540" t="s">
        <v>536</v>
      </c>
      <c r="BX540" s="1">
        <v>2908.8</v>
      </c>
      <c r="BZ540" t="s">
        <v>535</v>
      </c>
      <c r="CA540" t="s">
        <v>546</v>
      </c>
      <c r="CB540" t="s">
        <v>3035</v>
      </c>
      <c r="CC540" t="s">
        <v>556</v>
      </c>
      <c r="CD540" t="s">
        <v>745</v>
      </c>
      <c r="CE540" t="s">
        <v>746</v>
      </c>
      <c r="CF540" t="s">
        <v>227</v>
      </c>
      <c r="CG540" s="4">
        <v>1</v>
      </c>
      <c r="CH540" t="s">
        <v>546</v>
      </c>
      <c r="CK540" t="s">
        <v>3125</v>
      </c>
      <c r="CL540" s="1">
        <v>2908.8</v>
      </c>
      <c r="CN540" t="s">
        <v>535</v>
      </c>
      <c r="CO540" t="s">
        <v>539</v>
      </c>
      <c r="CT540" t="s">
        <v>560</v>
      </c>
      <c r="CW540" t="s">
        <v>546</v>
      </c>
      <c r="DD540" t="s">
        <v>561</v>
      </c>
      <c r="DK540" t="s">
        <v>3126</v>
      </c>
      <c r="DL540" t="s">
        <v>3127</v>
      </c>
    </row>
    <row r="541" ht="15" customHeight="1" spans="1:122">
      <c r="A541" t="s">
        <v>530</v>
      </c>
      <c r="B541" t="s">
        <v>3128</v>
      </c>
      <c r="C541" t="s">
        <v>532</v>
      </c>
      <c r="D541" t="s">
        <v>2959</v>
      </c>
      <c r="E541" t="s">
        <v>534</v>
      </c>
      <c r="F541" t="s">
        <v>534</v>
      </c>
      <c r="G541" t="s">
        <v>535</v>
      </c>
      <c r="H541" s="1">
        <v>3369</v>
      </c>
      <c r="I541" s="1">
        <v>3369</v>
      </c>
      <c r="J541" t="s">
        <v>536</v>
      </c>
      <c r="L541" t="s">
        <v>536</v>
      </c>
      <c r="M541" t="s">
        <v>375</v>
      </c>
      <c r="N541" t="s">
        <v>537</v>
      </c>
      <c r="P541" s="1">
        <v>3369</v>
      </c>
      <c r="Q541" t="s">
        <v>580</v>
      </c>
      <c r="R541" t="s">
        <v>535</v>
      </c>
      <c r="S541" t="s">
        <v>539</v>
      </c>
      <c r="T541" s="2">
        <v>1</v>
      </c>
      <c r="U541" s="1">
        <v>3369</v>
      </c>
      <c r="V541" s="1">
        <v>3369</v>
      </c>
      <c r="X541" t="s">
        <v>540</v>
      </c>
      <c r="Z541" t="s">
        <v>541</v>
      </c>
      <c r="AA541" t="s">
        <v>542</v>
      </c>
      <c r="AB541" t="s">
        <v>543</v>
      </c>
      <c r="AC541" t="s">
        <v>544</v>
      </c>
      <c r="AD541" t="s">
        <v>545</v>
      </c>
      <c r="AE541" s="3">
        <v>1</v>
      </c>
      <c r="AF541" t="s">
        <v>220</v>
      </c>
      <c r="AG541" s="1">
        <v>3369</v>
      </c>
      <c r="AI541" s="1">
        <v>3369</v>
      </c>
      <c r="AJ541" s="1">
        <v>3369</v>
      </c>
      <c r="AM541" s="1">
        <v>3369</v>
      </c>
      <c r="AN541" t="s">
        <v>643</v>
      </c>
      <c r="AO541" t="s">
        <v>546</v>
      </c>
      <c r="AP541" t="s">
        <v>643</v>
      </c>
      <c r="AQ541" t="s">
        <v>548</v>
      </c>
      <c r="AS541" t="s">
        <v>375</v>
      </c>
      <c r="AX541" s="1">
        <v>3369</v>
      </c>
      <c r="AY541" t="s">
        <v>546</v>
      </c>
      <c r="AZ541" t="s">
        <v>644</v>
      </c>
      <c r="BA541" s="1">
        <v>3369</v>
      </c>
      <c r="BC541" t="s">
        <v>546</v>
      </c>
      <c r="BD541" s="1">
        <v>3369</v>
      </c>
      <c r="BE541" t="s">
        <v>540</v>
      </c>
      <c r="BF541" s="1">
        <v>3369</v>
      </c>
      <c r="BH541" s="1">
        <v>3369</v>
      </c>
      <c r="BI541" t="s">
        <v>550</v>
      </c>
      <c r="BJ541" t="s">
        <v>570</v>
      </c>
      <c r="BK541" t="s">
        <v>570</v>
      </c>
      <c r="BL541" t="s">
        <v>552</v>
      </c>
      <c r="BM541" t="s">
        <v>3016</v>
      </c>
      <c r="BN541" t="s">
        <v>3129</v>
      </c>
      <c r="BO541" t="s">
        <v>3130</v>
      </c>
      <c r="BR541" t="s">
        <v>546</v>
      </c>
      <c r="BS541" s="1">
        <v>3369</v>
      </c>
      <c r="BW541" t="s">
        <v>536</v>
      </c>
      <c r="BX541" s="1">
        <v>3369</v>
      </c>
      <c r="BZ541" t="s">
        <v>535</v>
      </c>
      <c r="CA541" t="s">
        <v>546</v>
      </c>
      <c r="CB541" t="s">
        <v>2959</v>
      </c>
      <c r="CC541" t="s">
        <v>556</v>
      </c>
      <c r="CD541" t="s">
        <v>622</v>
      </c>
      <c r="CE541" t="s">
        <v>623</v>
      </c>
      <c r="CF541" t="s">
        <v>220</v>
      </c>
      <c r="CG541" s="4">
        <v>1</v>
      </c>
      <c r="CH541" t="s">
        <v>546</v>
      </c>
      <c r="CK541" t="s">
        <v>3131</v>
      </c>
      <c r="CL541" s="1">
        <v>3369</v>
      </c>
      <c r="CN541" t="s">
        <v>535</v>
      </c>
      <c r="CO541" t="s">
        <v>539</v>
      </c>
      <c r="CT541" t="s">
        <v>576</v>
      </c>
      <c r="CW541" t="s">
        <v>546</v>
      </c>
      <c r="DD541" t="s">
        <v>561</v>
      </c>
      <c r="DK541" t="s">
        <v>3132</v>
      </c>
      <c r="DL541" t="s">
        <v>3133</v>
      </c>
      <c r="DR541" t="s">
        <v>3134</v>
      </c>
    </row>
    <row r="542" ht="15" customHeight="1" spans="1:122">
      <c r="A542" t="s">
        <v>530</v>
      </c>
      <c r="B542" t="s">
        <v>3135</v>
      </c>
      <c r="C542" t="s">
        <v>532</v>
      </c>
      <c r="D542" t="s">
        <v>3035</v>
      </c>
      <c r="E542" t="s">
        <v>534</v>
      </c>
      <c r="F542" t="s">
        <v>534</v>
      </c>
      <c r="G542" t="s">
        <v>535</v>
      </c>
      <c r="H542" s="1">
        <v>727.2</v>
      </c>
      <c r="I542" s="1">
        <v>727.2</v>
      </c>
      <c r="J542" t="s">
        <v>536</v>
      </c>
      <c r="L542" t="s">
        <v>536</v>
      </c>
      <c r="M542" t="s">
        <v>377</v>
      </c>
      <c r="N542" t="s">
        <v>537</v>
      </c>
      <c r="P542" s="1">
        <v>727.2</v>
      </c>
      <c r="Q542" t="s">
        <v>538</v>
      </c>
      <c r="R542" t="s">
        <v>535</v>
      </c>
      <c r="S542" t="s">
        <v>539</v>
      </c>
      <c r="T542" s="2">
        <v>1</v>
      </c>
      <c r="U542" s="1">
        <v>727.2</v>
      </c>
      <c r="V542" s="1">
        <v>727.2</v>
      </c>
      <c r="X542" t="s">
        <v>540</v>
      </c>
      <c r="Z542" t="s">
        <v>541</v>
      </c>
      <c r="AA542" t="s">
        <v>542</v>
      </c>
      <c r="AB542" t="s">
        <v>543</v>
      </c>
      <c r="AC542" t="s">
        <v>544</v>
      </c>
      <c r="AD542" t="s">
        <v>545</v>
      </c>
      <c r="AE542" s="3">
        <v>1</v>
      </c>
      <c r="AF542" t="s">
        <v>227</v>
      </c>
      <c r="AG542" s="1">
        <v>727.2</v>
      </c>
      <c r="AI542" s="1">
        <v>727.2</v>
      </c>
      <c r="AJ542" s="1">
        <v>727.2</v>
      </c>
      <c r="AM542" s="1">
        <v>727.2</v>
      </c>
      <c r="AN542" t="s">
        <v>565</v>
      </c>
      <c r="AO542" t="s">
        <v>546</v>
      </c>
      <c r="AP542" t="s">
        <v>565</v>
      </c>
      <c r="AQ542" t="s">
        <v>548</v>
      </c>
      <c r="AS542" t="s">
        <v>377</v>
      </c>
      <c r="AX542" s="1">
        <v>727.2</v>
      </c>
      <c r="AY542" t="s">
        <v>546</v>
      </c>
      <c r="AZ542" t="s">
        <v>566</v>
      </c>
      <c r="BA542" s="1">
        <v>727.2</v>
      </c>
      <c r="BC542" t="s">
        <v>546</v>
      </c>
      <c r="BD542" s="1">
        <v>727.2</v>
      </c>
      <c r="BE542" t="s">
        <v>540</v>
      </c>
      <c r="BF542" s="1">
        <v>727.2</v>
      </c>
      <c r="BH542" s="1">
        <v>727.2</v>
      </c>
      <c r="BI542" t="s">
        <v>550</v>
      </c>
      <c r="BJ542" t="s">
        <v>551</v>
      </c>
      <c r="BK542" t="s">
        <v>551</v>
      </c>
      <c r="BL542" t="s">
        <v>552</v>
      </c>
      <c r="BM542" t="s">
        <v>3016</v>
      </c>
      <c r="BN542" t="s">
        <v>3136</v>
      </c>
      <c r="BO542" t="s">
        <v>3137</v>
      </c>
      <c r="BR542" t="s">
        <v>546</v>
      </c>
      <c r="BS542" s="1">
        <v>727.2</v>
      </c>
      <c r="BW542" t="s">
        <v>536</v>
      </c>
      <c r="BX542" s="1">
        <v>727.2</v>
      </c>
      <c r="BZ542" t="s">
        <v>535</v>
      </c>
      <c r="CA542" t="s">
        <v>546</v>
      </c>
      <c r="CB542" t="s">
        <v>3035</v>
      </c>
      <c r="CC542" t="s">
        <v>556</v>
      </c>
      <c r="CD542" t="s">
        <v>745</v>
      </c>
      <c r="CE542" t="s">
        <v>746</v>
      </c>
      <c r="CF542" t="s">
        <v>227</v>
      </c>
      <c r="CG542" s="4">
        <v>1</v>
      </c>
      <c r="CH542" t="s">
        <v>546</v>
      </c>
      <c r="CK542" t="s">
        <v>3125</v>
      </c>
      <c r="CL542" s="1">
        <v>727.2</v>
      </c>
      <c r="CN542" t="s">
        <v>535</v>
      </c>
      <c r="CO542" t="s">
        <v>539</v>
      </c>
      <c r="CT542" t="s">
        <v>560</v>
      </c>
      <c r="CW542" t="s">
        <v>546</v>
      </c>
      <c r="DD542" t="s">
        <v>561</v>
      </c>
      <c r="DK542" t="s">
        <v>3126</v>
      </c>
      <c r="DL542" t="s">
        <v>3127</v>
      </c>
    </row>
    <row r="543" ht="15" customHeight="1" spans="1:122">
      <c r="A543" t="s">
        <v>530</v>
      </c>
      <c r="B543" t="s">
        <v>3138</v>
      </c>
      <c r="C543" t="s">
        <v>532</v>
      </c>
      <c r="D543" t="s">
        <v>3035</v>
      </c>
      <c r="E543" t="s">
        <v>534</v>
      </c>
      <c r="F543" t="s">
        <v>534</v>
      </c>
      <c r="G543" t="s">
        <v>535</v>
      </c>
      <c r="H543" s="1">
        <v>5360</v>
      </c>
      <c r="I543" s="1">
        <v>5327.84</v>
      </c>
      <c r="J543" t="s">
        <v>536</v>
      </c>
      <c r="L543" t="s">
        <v>536</v>
      </c>
      <c r="M543" t="s">
        <v>377</v>
      </c>
      <c r="N543" t="s">
        <v>537</v>
      </c>
      <c r="P543" s="1">
        <v>5360</v>
      </c>
      <c r="Q543" t="s">
        <v>538</v>
      </c>
      <c r="R543" t="s">
        <v>535</v>
      </c>
      <c r="S543" t="s">
        <v>539</v>
      </c>
      <c r="T543" s="2">
        <v>1</v>
      </c>
      <c r="U543" s="1">
        <v>5360</v>
      </c>
      <c r="V543" s="1">
        <v>5327.84</v>
      </c>
      <c r="X543" t="s">
        <v>540</v>
      </c>
      <c r="Z543" t="s">
        <v>541</v>
      </c>
      <c r="AA543" t="s">
        <v>542</v>
      </c>
      <c r="AB543" t="s">
        <v>543</v>
      </c>
      <c r="AC543" t="s">
        <v>544</v>
      </c>
      <c r="AD543" t="s">
        <v>545</v>
      </c>
      <c r="AE543" s="3">
        <v>1</v>
      </c>
      <c r="AF543" t="s">
        <v>222</v>
      </c>
      <c r="AG543" s="1">
        <v>5360</v>
      </c>
      <c r="AI543" s="1">
        <v>5360</v>
      </c>
      <c r="AJ543" s="1">
        <v>5360</v>
      </c>
      <c r="AK543" s="1">
        <v>32.16</v>
      </c>
      <c r="AM543" s="1">
        <v>5327.84</v>
      </c>
      <c r="AN543" t="s">
        <v>536</v>
      </c>
      <c r="AO543" t="s">
        <v>546</v>
      </c>
      <c r="AP543" t="s">
        <v>547</v>
      </c>
      <c r="AQ543" t="s">
        <v>548</v>
      </c>
      <c r="AS543" t="s">
        <v>377</v>
      </c>
      <c r="AX543" s="1">
        <v>5360</v>
      </c>
      <c r="AY543" t="s">
        <v>546</v>
      </c>
      <c r="AZ543" t="s">
        <v>549</v>
      </c>
      <c r="BA543" s="1">
        <v>5360</v>
      </c>
      <c r="BC543" t="s">
        <v>546</v>
      </c>
      <c r="BD543" s="1">
        <v>5360</v>
      </c>
      <c r="BE543" t="s">
        <v>540</v>
      </c>
      <c r="BF543" s="1">
        <v>5360</v>
      </c>
      <c r="BG543" s="1">
        <v>32.16</v>
      </c>
      <c r="BH543" s="1">
        <v>5327.84</v>
      </c>
      <c r="BI543" t="s">
        <v>550</v>
      </c>
      <c r="BJ543" t="s">
        <v>551</v>
      </c>
      <c r="BK543" t="s">
        <v>552</v>
      </c>
      <c r="BL543" t="s">
        <v>552</v>
      </c>
      <c r="BM543" t="s">
        <v>3016</v>
      </c>
      <c r="BN543" t="s">
        <v>3139</v>
      </c>
      <c r="BO543" t="s">
        <v>3140</v>
      </c>
      <c r="BR543" t="s">
        <v>546</v>
      </c>
      <c r="BS543" s="1">
        <v>5360</v>
      </c>
      <c r="BW543" t="s">
        <v>536</v>
      </c>
      <c r="BX543" s="1">
        <v>5360</v>
      </c>
      <c r="BZ543" t="s">
        <v>535</v>
      </c>
      <c r="CA543" t="s">
        <v>546</v>
      </c>
      <c r="CB543" t="s">
        <v>3035</v>
      </c>
      <c r="CC543" t="s">
        <v>556</v>
      </c>
      <c r="CD543" t="s">
        <v>1223</v>
      </c>
      <c r="CE543" t="s">
        <v>1224</v>
      </c>
      <c r="CF543" t="s">
        <v>222</v>
      </c>
      <c r="CG543" s="4">
        <v>1</v>
      </c>
      <c r="CH543" t="s">
        <v>546</v>
      </c>
      <c r="CK543" t="s">
        <v>3141</v>
      </c>
      <c r="CL543" s="1">
        <v>5360</v>
      </c>
      <c r="CN543" t="s">
        <v>535</v>
      </c>
      <c r="CO543" t="s">
        <v>539</v>
      </c>
      <c r="CT543" t="s">
        <v>560</v>
      </c>
      <c r="CW543" t="s">
        <v>546</v>
      </c>
      <c r="DD543" t="s">
        <v>561</v>
      </c>
      <c r="DK543" t="s">
        <v>3142</v>
      </c>
      <c r="DL543" t="s">
        <v>3143</v>
      </c>
    </row>
    <row r="544" ht="15" customHeight="1" spans="1:122">
      <c r="A544" t="s">
        <v>530</v>
      </c>
      <c r="B544" t="s">
        <v>3144</v>
      </c>
      <c r="C544" t="s">
        <v>532</v>
      </c>
      <c r="D544" t="s">
        <v>3035</v>
      </c>
      <c r="E544" t="s">
        <v>534</v>
      </c>
      <c r="F544" t="s">
        <v>534</v>
      </c>
      <c r="G544" t="s">
        <v>535</v>
      </c>
      <c r="H544" s="1">
        <v>1340</v>
      </c>
      <c r="I544" s="1">
        <v>1340</v>
      </c>
      <c r="J544" t="s">
        <v>536</v>
      </c>
      <c r="L544" t="s">
        <v>536</v>
      </c>
      <c r="M544" t="s">
        <v>377</v>
      </c>
      <c r="N544" t="s">
        <v>537</v>
      </c>
      <c r="P544" s="1">
        <v>1340</v>
      </c>
      <c r="Q544" t="s">
        <v>538</v>
      </c>
      <c r="R544" t="s">
        <v>535</v>
      </c>
      <c r="S544" t="s">
        <v>539</v>
      </c>
      <c r="T544" s="2">
        <v>1</v>
      </c>
      <c r="U544" s="1">
        <v>1340</v>
      </c>
      <c r="V544" s="1">
        <v>1340</v>
      </c>
      <c r="X544" t="s">
        <v>540</v>
      </c>
      <c r="Z544" t="s">
        <v>541</v>
      </c>
      <c r="AA544" t="s">
        <v>542</v>
      </c>
      <c r="AB544" t="s">
        <v>543</v>
      </c>
      <c r="AC544" t="s">
        <v>544</v>
      </c>
      <c r="AD544" t="s">
        <v>545</v>
      </c>
      <c r="AE544" s="3">
        <v>1</v>
      </c>
      <c r="AF544" t="s">
        <v>222</v>
      </c>
      <c r="AG544" s="1">
        <v>1340</v>
      </c>
      <c r="AI544" s="1">
        <v>1340</v>
      </c>
      <c r="AJ544" s="1">
        <v>1340</v>
      </c>
      <c r="AM544" s="1">
        <v>1340</v>
      </c>
      <c r="AN544" t="s">
        <v>565</v>
      </c>
      <c r="AO544" t="s">
        <v>546</v>
      </c>
      <c r="AP544" t="s">
        <v>565</v>
      </c>
      <c r="AQ544" t="s">
        <v>548</v>
      </c>
      <c r="AS544" t="s">
        <v>377</v>
      </c>
      <c r="AX544" s="1">
        <v>1340</v>
      </c>
      <c r="AY544" t="s">
        <v>546</v>
      </c>
      <c r="AZ544" t="s">
        <v>566</v>
      </c>
      <c r="BA544" s="1">
        <v>1340</v>
      </c>
      <c r="BC544" t="s">
        <v>546</v>
      </c>
      <c r="BD544" s="1">
        <v>1340</v>
      </c>
      <c r="BE544" t="s">
        <v>540</v>
      </c>
      <c r="BF544" s="1">
        <v>1340</v>
      </c>
      <c r="BH544" s="1">
        <v>1340</v>
      </c>
      <c r="BI544" t="s">
        <v>550</v>
      </c>
      <c r="BJ544" t="s">
        <v>551</v>
      </c>
      <c r="BK544" t="s">
        <v>551</v>
      </c>
      <c r="BL544" t="s">
        <v>552</v>
      </c>
      <c r="BM544" t="s">
        <v>3016</v>
      </c>
      <c r="BN544" t="s">
        <v>3145</v>
      </c>
      <c r="BO544" t="s">
        <v>3146</v>
      </c>
      <c r="BR544" t="s">
        <v>546</v>
      </c>
      <c r="BS544" s="1">
        <v>1340</v>
      </c>
      <c r="BW544" t="s">
        <v>536</v>
      </c>
      <c r="BX544" s="1">
        <v>1340</v>
      </c>
      <c r="BZ544" t="s">
        <v>535</v>
      </c>
      <c r="CA544" t="s">
        <v>546</v>
      </c>
      <c r="CB544" t="s">
        <v>3035</v>
      </c>
      <c r="CC544" t="s">
        <v>556</v>
      </c>
      <c r="CD544" t="s">
        <v>1223</v>
      </c>
      <c r="CE544" t="s">
        <v>1224</v>
      </c>
      <c r="CF544" t="s">
        <v>222</v>
      </c>
      <c r="CG544" s="4">
        <v>1</v>
      </c>
      <c r="CH544" t="s">
        <v>546</v>
      </c>
      <c r="CK544" t="s">
        <v>3141</v>
      </c>
      <c r="CL544" s="1">
        <v>1340</v>
      </c>
      <c r="CN544" t="s">
        <v>535</v>
      </c>
      <c r="CO544" t="s">
        <v>539</v>
      </c>
      <c r="CT544" t="s">
        <v>560</v>
      </c>
      <c r="CW544" t="s">
        <v>546</v>
      </c>
      <c r="DD544" t="s">
        <v>561</v>
      </c>
      <c r="DK544" t="s">
        <v>3142</v>
      </c>
      <c r="DL544" t="s">
        <v>3143</v>
      </c>
    </row>
    <row r="545" ht="15" customHeight="1" spans="1:122">
      <c r="A545" t="s">
        <v>530</v>
      </c>
      <c r="B545" t="s">
        <v>3147</v>
      </c>
      <c r="C545" t="s">
        <v>532</v>
      </c>
      <c r="D545" t="s">
        <v>2959</v>
      </c>
      <c r="E545" t="s">
        <v>534</v>
      </c>
      <c r="F545" t="s">
        <v>534</v>
      </c>
      <c r="G545" t="s">
        <v>535</v>
      </c>
      <c r="H545" s="1">
        <v>3395</v>
      </c>
      <c r="I545" s="1">
        <v>3395</v>
      </c>
      <c r="J545" t="s">
        <v>536</v>
      </c>
      <c r="L545" t="s">
        <v>536</v>
      </c>
      <c r="M545" t="s">
        <v>377</v>
      </c>
      <c r="N545" t="s">
        <v>537</v>
      </c>
      <c r="P545" s="1">
        <v>3395</v>
      </c>
      <c r="Q545" t="s">
        <v>538</v>
      </c>
      <c r="R545" t="s">
        <v>535</v>
      </c>
      <c r="S545" t="s">
        <v>539</v>
      </c>
      <c r="T545" s="2">
        <v>1</v>
      </c>
      <c r="U545" s="1">
        <v>3395</v>
      </c>
      <c r="V545" s="1">
        <v>3395</v>
      </c>
      <c r="X545" t="s">
        <v>540</v>
      </c>
      <c r="Z545" t="s">
        <v>541</v>
      </c>
      <c r="AA545" t="s">
        <v>542</v>
      </c>
      <c r="AB545" t="s">
        <v>543</v>
      </c>
      <c r="AC545" t="s">
        <v>544</v>
      </c>
      <c r="AD545" t="s">
        <v>545</v>
      </c>
      <c r="AE545" s="3">
        <v>1</v>
      </c>
      <c r="AF545" t="s">
        <v>221</v>
      </c>
      <c r="AG545" s="1">
        <v>3395</v>
      </c>
      <c r="AI545" s="1">
        <v>3395</v>
      </c>
      <c r="AJ545" s="1">
        <v>3395</v>
      </c>
      <c r="AM545" s="1">
        <v>3395</v>
      </c>
      <c r="AN545" t="s">
        <v>643</v>
      </c>
      <c r="AO545" t="s">
        <v>546</v>
      </c>
      <c r="AP545" t="s">
        <v>643</v>
      </c>
      <c r="AQ545" t="s">
        <v>548</v>
      </c>
      <c r="AS545" t="s">
        <v>377</v>
      </c>
      <c r="AX545" s="1">
        <v>3395</v>
      </c>
      <c r="AY545" t="s">
        <v>546</v>
      </c>
      <c r="AZ545" t="s">
        <v>644</v>
      </c>
      <c r="BA545" s="1">
        <v>3395</v>
      </c>
      <c r="BC545" t="s">
        <v>546</v>
      </c>
      <c r="BD545" s="1">
        <v>3395</v>
      </c>
      <c r="BE545" t="s">
        <v>540</v>
      </c>
      <c r="BF545" s="1">
        <v>3395</v>
      </c>
      <c r="BH545" s="1">
        <v>3395</v>
      </c>
      <c r="BI545" t="s">
        <v>550</v>
      </c>
      <c r="BJ545" t="s">
        <v>551</v>
      </c>
      <c r="BK545" t="s">
        <v>551</v>
      </c>
      <c r="BL545" t="s">
        <v>552</v>
      </c>
      <c r="BM545" t="s">
        <v>3016</v>
      </c>
      <c r="BN545" t="s">
        <v>3148</v>
      </c>
      <c r="BO545" t="s">
        <v>3149</v>
      </c>
      <c r="BR545" t="s">
        <v>546</v>
      </c>
      <c r="BS545" s="1">
        <v>3395</v>
      </c>
      <c r="BW545" t="s">
        <v>536</v>
      </c>
      <c r="BX545" s="1">
        <v>3395</v>
      </c>
      <c r="BZ545" t="s">
        <v>535</v>
      </c>
      <c r="CA545" t="s">
        <v>546</v>
      </c>
      <c r="CB545" t="s">
        <v>2959</v>
      </c>
      <c r="CC545" t="s">
        <v>556</v>
      </c>
      <c r="CD545" t="s">
        <v>745</v>
      </c>
      <c r="CE545" t="s">
        <v>746</v>
      </c>
      <c r="CF545" t="s">
        <v>221</v>
      </c>
      <c r="CG545" s="4">
        <v>1</v>
      </c>
      <c r="CH545" t="s">
        <v>546</v>
      </c>
      <c r="CK545" t="s">
        <v>3150</v>
      </c>
      <c r="CL545" s="1">
        <v>3395</v>
      </c>
      <c r="CN545" t="s">
        <v>535</v>
      </c>
      <c r="CO545" t="s">
        <v>539</v>
      </c>
      <c r="CT545" t="s">
        <v>560</v>
      </c>
      <c r="CW545" t="s">
        <v>546</v>
      </c>
      <c r="DD545" t="s">
        <v>561</v>
      </c>
      <c r="DK545" t="s">
        <v>3151</v>
      </c>
      <c r="DL545" t="s">
        <v>3152</v>
      </c>
      <c r="DR545" t="s">
        <v>3153</v>
      </c>
    </row>
    <row r="546" ht="15" customHeight="1" spans="1:122">
      <c r="A546" t="s">
        <v>530</v>
      </c>
      <c r="B546" t="s">
        <v>3154</v>
      </c>
      <c r="C546" t="s">
        <v>532</v>
      </c>
      <c r="D546" t="s">
        <v>3016</v>
      </c>
      <c r="E546" t="s">
        <v>534</v>
      </c>
      <c r="F546" t="s">
        <v>534</v>
      </c>
      <c r="G546" t="s">
        <v>535</v>
      </c>
      <c r="H546" s="1">
        <v>7200</v>
      </c>
      <c r="I546" s="1">
        <v>7200</v>
      </c>
      <c r="J546" t="s">
        <v>536</v>
      </c>
      <c r="L546" t="s">
        <v>536</v>
      </c>
      <c r="M546" t="s">
        <v>382</v>
      </c>
      <c r="N546" t="s">
        <v>537</v>
      </c>
      <c r="P546" s="1">
        <v>7200</v>
      </c>
      <c r="Q546" t="s">
        <v>785</v>
      </c>
      <c r="R546" t="s">
        <v>535</v>
      </c>
      <c r="S546" t="s">
        <v>539</v>
      </c>
      <c r="T546" s="2">
        <v>1</v>
      </c>
      <c r="U546" s="1">
        <v>7200</v>
      </c>
      <c r="V546" s="1">
        <v>7200</v>
      </c>
      <c r="X546" t="s">
        <v>540</v>
      </c>
      <c r="Z546" t="s">
        <v>541</v>
      </c>
      <c r="AA546" t="s">
        <v>542</v>
      </c>
      <c r="AB546" t="s">
        <v>543</v>
      </c>
      <c r="AC546" t="s">
        <v>544</v>
      </c>
      <c r="AD546" t="s">
        <v>545</v>
      </c>
      <c r="AE546" s="3">
        <v>1</v>
      </c>
      <c r="AF546" t="s">
        <v>230</v>
      </c>
      <c r="AG546" s="1">
        <v>3600</v>
      </c>
      <c r="AI546" s="1">
        <v>7200</v>
      </c>
      <c r="AJ546" s="1">
        <v>3600</v>
      </c>
      <c r="AM546" s="1">
        <v>3600</v>
      </c>
      <c r="AN546" t="s">
        <v>643</v>
      </c>
      <c r="AO546" t="s">
        <v>546</v>
      </c>
      <c r="AP546" t="s">
        <v>643</v>
      </c>
      <c r="AQ546" t="s">
        <v>548</v>
      </c>
      <c r="AS546" t="s">
        <v>382</v>
      </c>
      <c r="AX546" s="1">
        <v>3600</v>
      </c>
      <c r="AY546" t="s">
        <v>546</v>
      </c>
      <c r="AZ546" t="s">
        <v>644</v>
      </c>
      <c r="BA546" s="1">
        <v>3600</v>
      </c>
      <c r="BC546" t="s">
        <v>546</v>
      </c>
      <c r="BD546" s="1">
        <v>3600</v>
      </c>
      <c r="BE546" t="s">
        <v>540</v>
      </c>
      <c r="BF546" s="1">
        <v>3600</v>
      </c>
      <c r="BH546" s="1">
        <v>3600</v>
      </c>
      <c r="BI546" t="s">
        <v>550</v>
      </c>
      <c r="BJ546" t="s">
        <v>551</v>
      </c>
      <c r="BK546" t="s">
        <v>551</v>
      </c>
      <c r="BL546" t="s">
        <v>552</v>
      </c>
      <c r="BM546" t="s">
        <v>3016</v>
      </c>
      <c r="BN546" t="s">
        <v>3155</v>
      </c>
      <c r="BO546" t="s">
        <v>3156</v>
      </c>
      <c r="BR546" t="s">
        <v>546</v>
      </c>
      <c r="BS546" s="1">
        <v>3600</v>
      </c>
      <c r="BW546" t="s">
        <v>536</v>
      </c>
      <c r="BX546" s="1">
        <v>3600</v>
      </c>
      <c r="BZ546" t="s">
        <v>535</v>
      </c>
      <c r="CA546" t="s">
        <v>546</v>
      </c>
      <c r="CB546" t="s">
        <v>3016</v>
      </c>
      <c r="CC546" t="s">
        <v>556</v>
      </c>
      <c r="CD546" t="s">
        <v>673</v>
      </c>
      <c r="CE546" t="s">
        <v>674</v>
      </c>
      <c r="CF546" t="s">
        <v>230</v>
      </c>
      <c r="CG546" s="4">
        <v>1</v>
      </c>
      <c r="CH546" t="s">
        <v>546</v>
      </c>
      <c r="CK546" t="s">
        <v>3157</v>
      </c>
      <c r="CL546" s="1">
        <v>3600</v>
      </c>
      <c r="CN546" t="s">
        <v>535</v>
      </c>
      <c r="CO546" t="s">
        <v>539</v>
      </c>
      <c r="CT546" t="s">
        <v>791</v>
      </c>
      <c r="CW546" t="s">
        <v>546</v>
      </c>
      <c r="DD546" t="s">
        <v>561</v>
      </c>
      <c r="DK546" t="s">
        <v>3158</v>
      </c>
      <c r="DL546" t="s">
        <v>3159</v>
      </c>
      <c r="DR546" t="s">
        <v>3160</v>
      </c>
    </row>
    <row r="547" ht="15" customHeight="1" spans="1:122">
      <c r="AB547" t="s">
        <v>543</v>
      </c>
      <c r="AC547" t="s">
        <v>544</v>
      </c>
      <c r="AD547" t="s">
        <v>545</v>
      </c>
      <c r="AF547" t="s">
        <v>231</v>
      </c>
      <c r="AG547" s="1">
        <v>3600</v>
      </c>
      <c r="AJ547" s="1">
        <v>3600</v>
      </c>
      <c r="AM547" s="1">
        <v>3600</v>
      </c>
      <c r="AN547" t="s">
        <v>643</v>
      </c>
      <c r="AP547" t="s">
        <v>643</v>
      </c>
      <c r="AX547" s="1">
        <v>3600</v>
      </c>
      <c r="AZ547" t="s">
        <v>644</v>
      </c>
      <c r="BA547" s="1">
        <v>3600</v>
      </c>
      <c r="BC547" t="s">
        <v>546</v>
      </c>
      <c r="BD547" s="1">
        <v>3600</v>
      </c>
      <c r="BE547" t="s">
        <v>540</v>
      </c>
      <c r="BF547" s="1">
        <v>3600</v>
      </c>
      <c r="BH547" s="1">
        <v>3600</v>
      </c>
      <c r="BS547" s="1">
        <v>3600</v>
      </c>
      <c r="BX547" s="1">
        <v>3600</v>
      </c>
      <c r="CB547" t="s">
        <v>3016</v>
      </c>
      <c r="CC547" t="s">
        <v>556</v>
      </c>
      <c r="CD547" t="s">
        <v>673</v>
      </c>
      <c r="CE547" t="s">
        <v>674</v>
      </c>
      <c r="CF547" t="s">
        <v>231</v>
      </c>
      <c r="CG547" s="4">
        <v>1</v>
      </c>
      <c r="CL547" s="1">
        <v>3600</v>
      </c>
      <c r="DD547" t="s">
        <v>561</v>
      </c>
    </row>
    <row r="548" ht="15" customHeight="1" spans="1:122">
      <c r="A548" t="s">
        <v>530</v>
      </c>
      <c r="B548" t="s">
        <v>3161</v>
      </c>
      <c r="C548" t="s">
        <v>532</v>
      </c>
      <c r="D548" t="s">
        <v>3035</v>
      </c>
      <c r="E548" t="s">
        <v>534</v>
      </c>
      <c r="F548" t="s">
        <v>534</v>
      </c>
      <c r="G548" t="s">
        <v>535</v>
      </c>
      <c r="H548" s="1">
        <v>2240</v>
      </c>
      <c r="I548" s="1">
        <v>2226.56</v>
      </c>
      <c r="J548" t="s">
        <v>536</v>
      </c>
      <c r="L548" t="s">
        <v>536</v>
      </c>
      <c r="M548" t="s">
        <v>375</v>
      </c>
      <c r="N548" t="s">
        <v>537</v>
      </c>
      <c r="P548" s="1">
        <v>2240</v>
      </c>
      <c r="Q548" t="s">
        <v>580</v>
      </c>
      <c r="R548" t="s">
        <v>535</v>
      </c>
      <c r="S548" t="s">
        <v>539</v>
      </c>
      <c r="T548" s="2">
        <v>1</v>
      </c>
      <c r="U548" s="1">
        <v>2240</v>
      </c>
      <c r="V548" s="1">
        <v>2226.56</v>
      </c>
      <c r="X548" t="s">
        <v>540</v>
      </c>
      <c r="Z548" t="s">
        <v>541</v>
      </c>
      <c r="AA548" t="s">
        <v>542</v>
      </c>
      <c r="AB548" t="s">
        <v>543</v>
      </c>
      <c r="AC548" t="s">
        <v>544</v>
      </c>
      <c r="AD548" t="s">
        <v>545</v>
      </c>
      <c r="AE548" s="3">
        <v>1</v>
      </c>
      <c r="AF548" t="s">
        <v>228</v>
      </c>
      <c r="AG548" s="1">
        <v>2240</v>
      </c>
      <c r="AI548" s="1">
        <v>2240</v>
      </c>
      <c r="AJ548" s="1">
        <v>2240</v>
      </c>
      <c r="AK548" s="1">
        <v>13.44</v>
      </c>
      <c r="AM548" s="1">
        <v>2226.56</v>
      </c>
      <c r="AN548" t="s">
        <v>536</v>
      </c>
      <c r="AO548" t="s">
        <v>546</v>
      </c>
      <c r="AP548" t="s">
        <v>547</v>
      </c>
      <c r="AQ548" t="s">
        <v>548</v>
      </c>
      <c r="AS548" t="s">
        <v>375</v>
      </c>
      <c r="AX548" s="1">
        <v>2240</v>
      </c>
      <c r="AY548" t="s">
        <v>546</v>
      </c>
      <c r="AZ548" t="s">
        <v>549</v>
      </c>
      <c r="BA548" s="1">
        <v>2240</v>
      </c>
      <c r="BC548" t="s">
        <v>546</v>
      </c>
      <c r="BD548" s="1">
        <v>2240</v>
      </c>
      <c r="BE548" t="s">
        <v>540</v>
      </c>
      <c r="BF548" s="1">
        <v>2240</v>
      </c>
      <c r="BG548" s="1">
        <v>13.44</v>
      </c>
      <c r="BH548" s="1">
        <v>2226.56</v>
      </c>
      <c r="BI548" t="s">
        <v>550</v>
      </c>
      <c r="BJ548" t="s">
        <v>570</v>
      </c>
      <c r="BK548" t="s">
        <v>552</v>
      </c>
      <c r="BL548" t="s">
        <v>552</v>
      </c>
      <c r="BM548" t="s">
        <v>3016</v>
      </c>
      <c r="BN548" t="s">
        <v>3162</v>
      </c>
      <c r="BO548" t="s">
        <v>3163</v>
      </c>
      <c r="BR548" t="s">
        <v>546</v>
      </c>
      <c r="BS548" s="1">
        <v>2240</v>
      </c>
      <c r="BW548" t="s">
        <v>536</v>
      </c>
      <c r="BX548" s="1">
        <v>2240</v>
      </c>
      <c r="BZ548" t="s">
        <v>535</v>
      </c>
      <c r="CA548" t="s">
        <v>546</v>
      </c>
      <c r="CB548" t="s">
        <v>3035</v>
      </c>
      <c r="CC548" t="s">
        <v>556</v>
      </c>
      <c r="CD548" t="s">
        <v>745</v>
      </c>
      <c r="CE548" t="s">
        <v>746</v>
      </c>
      <c r="CF548" t="s">
        <v>228</v>
      </c>
      <c r="CG548" s="4">
        <v>1</v>
      </c>
      <c r="CH548" t="s">
        <v>546</v>
      </c>
      <c r="CK548" t="s">
        <v>3164</v>
      </c>
      <c r="CL548" s="1">
        <v>2240</v>
      </c>
      <c r="CN548" t="s">
        <v>535</v>
      </c>
      <c r="CO548" t="s">
        <v>539</v>
      </c>
      <c r="CT548" t="s">
        <v>576</v>
      </c>
      <c r="CW548" t="s">
        <v>546</v>
      </c>
      <c r="DD548" t="s">
        <v>561</v>
      </c>
      <c r="DK548" t="s">
        <v>3165</v>
      </c>
      <c r="DL548" t="s">
        <v>3166</v>
      </c>
    </row>
    <row r="549" ht="15" customHeight="1" spans="1:122">
      <c r="A549" t="s">
        <v>530</v>
      </c>
      <c r="B549" t="s">
        <v>3167</v>
      </c>
      <c r="C549" t="s">
        <v>532</v>
      </c>
      <c r="D549" t="s">
        <v>3035</v>
      </c>
      <c r="E549" t="s">
        <v>534</v>
      </c>
      <c r="F549" t="s">
        <v>534</v>
      </c>
      <c r="G549" t="s">
        <v>535</v>
      </c>
      <c r="H549" s="1">
        <v>560</v>
      </c>
      <c r="I549" s="1">
        <v>560</v>
      </c>
      <c r="J549" t="s">
        <v>536</v>
      </c>
      <c r="L549" t="s">
        <v>536</v>
      </c>
      <c r="M549" t="s">
        <v>375</v>
      </c>
      <c r="N549" t="s">
        <v>537</v>
      </c>
      <c r="P549" s="1">
        <v>560</v>
      </c>
      <c r="Q549" t="s">
        <v>580</v>
      </c>
      <c r="R549" t="s">
        <v>535</v>
      </c>
      <c r="S549" t="s">
        <v>539</v>
      </c>
      <c r="T549" s="2">
        <v>1</v>
      </c>
      <c r="U549" s="1">
        <v>560</v>
      </c>
      <c r="V549" s="1">
        <v>560</v>
      </c>
      <c r="X549" t="s">
        <v>540</v>
      </c>
      <c r="Z549" t="s">
        <v>541</v>
      </c>
      <c r="AA549" t="s">
        <v>542</v>
      </c>
      <c r="AB549" t="s">
        <v>543</v>
      </c>
      <c r="AC549" t="s">
        <v>544</v>
      </c>
      <c r="AD549" t="s">
        <v>545</v>
      </c>
      <c r="AE549" s="3">
        <v>1</v>
      </c>
      <c r="AF549" t="s">
        <v>228</v>
      </c>
      <c r="AG549" s="1">
        <v>560</v>
      </c>
      <c r="AI549" s="1">
        <v>560</v>
      </c>
      <c r="AJ549" s="1">
        <v>560</v>
      </c>
      <c r="AM549" s="1">
        <v>560</v>
      </c>
      <c r="AN549" t="s">
        <v>565</v>
      </c>
      <c r="AO549" t="s">
        <v>546</v>
      </c>
      <c r="AP549" t="s">
        <v>565</v>
      </c>
      <c r="AQ549" t="s">
        <v>548</v>
      </c>
      <c r="AS549" t="s">
        <v>375</v>
      </c>
      <c r="AX549" s="1">
        <v>560</v>
      </c>
      <c r="AY549" t="s">
        <v>546</v>
      </c>
      <c r="AZ549" t="s">
        <v>566</v>
      </c>
      <c r="BA549" s="1">
        <v>560</v>
      </c>
      <c r="BC549" t="s">
        <v>546</v>
      </c>
      <c r="BD549" s="1">
        <v>560</v>
      </c>
      <c r="BE549" t="s">
        <v>540</v>
      </c>
      <c r="BF549" s="1">
        <v>560</v>
      </c>
      <c r="BH549" s="1">
        <v>560</v>
      </c>
      <c r="BI549" t="s">
        <v>550</v>
      </c>
      <c r="BJ549" t="s">
        <v>570</v>
      </c>
      <c r="BK549" t="s">
        <v>552</v>
      </c>
      <c r="BL549" t="s">
        <v>552</v>
      </c>
      <c r="BM549" t="s">
        <v>3016</v>
      </c>
      <c r="BN549" t="s">
        <v>3168</v>
      </c>
      <c r="BO549" t="s">
        <v>3169</v>
      </c>
      <c r="BR549" t="s">
        <v>546</v>
      </c>
      <c r="BS549" s="1">
        <v>560</v>
      </c>
      <c r="BW549" t="s">
        <v>536</v>
      </c>
      <c r="BX549" s="1">
        <v>560</v>
      </c>
      <c r="BZ549" t="s">
        <v>535</v>
      </c>
      <c r="CA549" t="s">
        <v>546</v>
      </c>
      <c r="CB549" t="s">
        <v>3035</v>
      </c>
      <c r="CC549" t="s">
        <v>556</v>
      </c>
      <c r="CD549" t="s">
        <v>745</v>
      </c>
      <c r="CE549" t="s">
        <v>746</v>
      </c>
      <c r="CF549" t="s">
        <v>228</v>
      </c>
      <c r="CG549" s="4">
        <v>1</v>
      </c>
      <c r="CH549" t="s">
        <v>546</v>
      </c>
      <c r="CK549" t="s">
        <v>3164</v>
      </c>
      <c r="CL549" s="1">
        <v>560</v>
      </c>
      <c r="CN549" t="s">
        <v>535</v>
      </c>
      <c r="CO549" t="s">
        <v>539</v>
      </c>
      <c r="CT549" t="s">
        <v>576</v>
      </c>
      <c r="CW549" t="s">
        <v>546</v>
      </c>
      <c r="DD549" t="s">
        <v>561</v>
      </c>
      <c r="DK549" t="s">
        <v>3165</v>
      </c>
      <c r="DL549" t="s">
        <v>3166</v>
      </c>
    </row>
    <row r="550" ht="15" customHeight="1" spans="1:122">
      <c r="A550" t="s">
        <v>530</v>
      </c>
      <c r="B550" t="s">
        <v>3170</v>
      </c>
      <c r="C550" t="s">
        <v>532</v>
      </c>
      <c r="D550" t="s">
        <v>3016</v>
      </c>
      <c r="E550" t="s">
        <v>534</v>
      </c>
      <c r="F550" t="s">
        <v>534</v>
      </c>
      <c r="G550" t="s">
        <v>535</v>
      </c>
      <c r="H550" s="1">
        <v>2496</v>
      </c>
      <c r="I550" s="1">
        <v>2496</v>
      </c>
      <c r="J550" t="s">
        <v>536</v>
      </c>
      <c r="L550" t="s">
        <v>536</v>
      </c>
      <c r="M550" t="s">
        <v>404</v>
      </c>
      <c r="N550" t="s">
        <v>537</v>
      </c>
      <c r="P550" s="1">
        <v>2496</v>
      </c>
      <c r="Q550" t="s">
        <v>642</v>
      </c>
      <c r="R550" t="s">
        <v>535</v>
      </c>
      <c r="S550" t="s">
        <v>539</v>
      </c>
      <c r="T550" s="2">
        <v>1</v>
      </c>
      <c r="U550" s="1">
        <v>2496</v>
      </c>
      <c r="V550" s="1">
        <v>2496</v>
      </c>
      <c r="X550" t="s">
        <v>540</v>
      </c>
      <c r="Z550" t="s">
        <v>541</v>
      </c>
      <c r="AA550" t="s">
        <v>542</v>
      </c>
      <c r="AB550" t="s">
        <v>543</v>
      </c>
      <c r="AC550" t="s">
        <v>544</v>
      </c>
      <c r="AD550" t="s">
        <v>545</v>
      </c>
      <c r="AE550" s="3">
        <v>1</v>
      </c>
      <c r="AF550" t="s">
        <v>248</v>
      </c>
      <c r="AG550" s="1">
        <v>2496</v>
      </c>
      <c r="AI550" s="1">
        <v>2496</v>
      </c>
      <c r="AJ550" s="1">
        <v>2496</v>
      </c>
      <c r="AM550" s="1">
        <v>2496</v>
      </c>
      <c r="AN550" t="s">
        <v>643</v>
      </c>
      <c r="AO550" t="s">
        <v>546</v>
      </c>
      <c r="AP550" t="s">
        <v>643</v>
      </c>
      <c r="AQ550" t="s">
        <v>548</v>
      </c>
      <c r="AS550" t="s">
        <v>404</v>
      </c>
      <c r="AX550" s="1">
        <v>2496</v>
      </c>
      <c r="AY550" t="s">
        <v>546</v>
      </c>
      <c r="AZ550" t="s">
        <v>644</v>
      </c>
      <c r="BA550" s="1">
        <v>2496</v>
      </c>
      <c r="BC550" t="s">
        <v>546</v>
      </c>
      <c r="BD550" s="1">
        <v>2496</v>
      </c>
      <c r="BE550" t="s">
        <v>540</v>
      </c>
      <c r="BF550" s="1">
        <v>2496</v>
      </c>
      <c r="BH550" s="1">
        <v>2496</v>
      </c>
      <c r="BI550" t="s">
        <v>550</v>
      </c>
      <c r="BJ550" t="s">
        <v>551</v>
      </c>
      <c r="BK550" t="s">
        <v>551</v>
      </c>
      <c r="BL550" t="s">
        <v>552</v>
      </c>
      <c r="BM550" t="s">
        <v>3016</v>
      </c>
      <c r="BN550" t="s">
        <v>3171</v>
      </c>
      <c r="BO550" t="s">
        <v>3172</v>
      </c>
      <c r="BR550" t="s">
        <v>546</v>
      </c>
      <c r="BS550" s="1">
        <v>2496</v>
      </c>
      <c r="BW550" t="s">
        <v>536</v>
      </c>
      <c r="BX550" s="1">
        <v>2496</v>
      </c>
      <c r="BZ550" t="s">
        <v>535</v>
      </c>
      <c r="CA550" t="s">
        <v>546</v>
      </c>
      <c r="CB550" t="s">
        <v>3016</v>
      </c>
      <c r="CC550" t="s">
        <v>556</v>
      </c>
      <c r="CD550" t="s">
        <v>1353</v>
      </c>
      <c r="CE550" t="s">
        <v>1354</v>
      </c>
      <c r="CF550" t="s">
        <v>248</v>
      </c>
      <c r="CG550" s="4">
        <v>1</v>
      </c>
      <c r="CH550" t="s">
        <v>546</v>
      </c>
      <c r="CK550" t="s">
        <v>3173</v>
      </c>
      <c r="CL550" s="1">
        <v>2496</v>
      </c>
      <c r="CN550" t="s">
        <v>535</v>
      </c>
      <c r="CO550" t="s">
        <v>539</v>
      </c>
      <c r="CT550" t="s">
        <v>651</v>
      </c>
      <c r="CW550" t="s">
        <v>546</v>
      </c>
      <c r="DD550" t="s">
        <v>561</v>
      </c>
      <c r="DK550" t="s">
        <v>1513</v>
      </c>
      <c r="DL550" t="s">
        <v>3174</v>
      </c>
      <c r="DR550" t="s">
        <v>3175</v>
      </c>
    </row>
    <row r="551" ht="15" customHeight="1" spans="1:122">
      <c r="A551" t="s">
        <v>530</v>
      </c>
      <c r="B551" t="s">
        <v>3176</v>
      </c>
      <c r="C551" t="s">
        <v>532</v>
      </c>
      <c r="D551" t="s">
        <v>2959</v>
      </c>
      <c r="E551" t="s">
        <v>534</v>
      </c>
      <c r="F551" t="s">
        <v>534</v>
      </c>
      <c r="G551" t="s">
        <v>535</v>
      </c>
      <c r="H551" s="1">
        <v>836</v>
      </c>
      <c r="I551" s="1">
        <v>836</v>
      </c>
      <c r="J551" t="s">
        <v>536</v>
      </c>
      <c r="L551" t="s">
        <v>536</v>
      </c>
      <c r="M551" t="s">
        <v>375</v>
      </c>
      <c r="N551" t="s">
        <v>537</v>
      </c>
      <c r="P551" s="1">
        <v>836</v>
      </c>
      <c r="Q551" t="s">
        <v>580</v>
      </c>
      <c r="R551" t="s">
        <v>535</v>
      </c>
      <c r="S551" t="s">
        <v>539</v>
      </c>
      <c r="T551" s="2">
        <v>1</v>
      </c>
      <c r="U551" s="1">
        <v>836</v>
      </c>
      <c r="V551" s="1">
        <v>836</v>
      </c>
      <c r="X551" t="s">
        <v>540</v>
      </c>
      <c r="Z551" t="s">
        <v>541</v>
      </c>
      <c r="AA551" t="s">
        <v>542</v>
      </c>
      <c r="AB551" t="s">
        <v>543</v>
      </c>
      <c r="AC551" t="s">
        <v>544</v>
      </c>
      <c r="AD551" t="s">
        <v>545</v>
      </c>
      <c r="AE551" s="3">
        <v>1</v>
      </c>
      <c r="AF551" t="s">
        <v>342</v>
      </c>
      <c r="AG551" s="1">
        <v>836</v>
      </c>
      <c r="AI551" s="1">
        <v>836</v>
      </c>
      <c r="AJ551" s="1">
        <v>836</v>
      </c>
      <c r="AM551" s="1">
        <v>836</v>
      </c>
      <c r="AN551" t="s">
        <v>643</v>
      </c>
      <c r="AO551" t="s">
        <v>546</v>
      </c>
      <c r="AP551" t="s">
        <v>643</v>
      </c>
      <c r="AQ551" t="s">
        <v>548</v>
      </c>
      <c r="AS551" t="s">
        <v>375</v>
      </c>
      <c r="AX551" s="1">
        <v>836</v>
      </c>
      <c r="AY551" t="s">
        <v>546</v>
      </c>
      <c r="AZ551" t="s">
        <v>644</v>
      </c>
      <c r="BA551" s="1">
        <v>836</v>
      </c>
      <c r="BC551" t="s">
        <v>546</v>
      </c>
      <c r="BD551" s="1">
        <v>836</v>
      </c>
      <c r="BE551" t="s">
        <v>540</v>
      </c>
      <c r="BF551" s="1">
        <v>836</v>
      </c>
      <c r="BH551" s="1">
        <v>836</v>
      </c>
      <c r="BI551" t="s">
        <v>550</v>
      </c>
      <c r="BJ551" t="s">
        <v>570</v>
      </c>
      <c r="BK551" t="s">
        <v>570</v>
      </c>
      <c r="BL551" t="s">
        <v>552</v>
      </c>
      <c r="BM551" t="s">
        <v>3016</v>
      </c>
      <c r="BN551" t="s">
        <v>3177</v>
      </c>
      <c r="BO551" t="s">
        <v>3178</v>
      </c>
      <c r="BR551" t="s">
        <v>546</v>
      </c>
      <c r="BS551" s="1">
        <v>836</v>
      </c>
      <c r="BW551" t="s">
        <v>536</v>
      </c>
      <c r="BX551" s="1">
        <v>836</v>
      </c>
      <c r="BZ551" t="s">
        <v>535</v>
      </c>
      <c r="CA551" t="s">
        <v>546</v>
      </c>
      <c r="CB551" t="s">
        <v>2959</v>
      </c>
      <c r="CC551" t="s">
        <v>556</v>
      </c>
      <c r="CD551" t="s">
        <v>1411</v>
      </c>
      <c r="CE551" t="s">
        <v>1412</v>
      </c>
      <c r="CF551" t="s">
        <v>342</v>
      </c>
      <c r="CG551" s="4">
        <v>1</v>
      </c>
      <c r="CH551" t="s">
        <v>546</v>
      </c>
      <c r="CK551" t="s">
        <v>3179</v>
      </c>
      <c r="CL551" s="1">
        <v>836</v>
      </c>
      <c r="CN551" t="s">
        <v>535</v>
      </c>
      <c r="CO551" t="s">
        <v>539</v>
      </c>
      <c r="CT551" t="s">
        <v>576</v>
      </c>
      <c r="CW551" t="s">
        <v>546</v>
      </c>
      <c r="DD551" t="s">
        <v>561</v>
      </c>
      <c r="DK551" t="s">
        <v>3165</v>
      </c>
      <c r="DL551" t="s">
        <v>3166</v>
      </c>
      <c r="DR551" t="s">
        <v>3180</v>
      </c>
    </row>
    <row r="552" ht="15" customHeight="1" spans="1:122">
      <c r="A552" t="s">
        <v>530</v>
      </c>
      <c r="B552" t="s">
        <v>3181</v>
      </c>
      <c r="C552" t="s">
        <v>532</v>
      </c>
      <c r="D552" t="s">
        <v>3035</v>
      </c>
      <c r="E552" t="s">
        <v>534</v>
      </c>
      <c r="F552" t="s">
        <v>534</v>
      </c>
      <c r="G552" t="s">
        <v>535</v>
      </c>
      <c r="H552" s="1">
        <v>4000</v>
      </c>
      <c r="I552" s="1">
        <v>3976</v>
      </c>
      <c r="J552" t="s">
        <v>536</v>
      </c>
      <c r="L552" t="s">
        <v>536</v>
      </c>
      <c r="M552" t="s">
        <v>375</v>
      </c>
      <c r="N552" t="s">
        <v>537</v>
      </c>
      <c r="P552" s="1">
        <v>4000</v>
      </c>
      <c r="Q552" t="s">
        <v>580</v>
      </c>
      <c r="R552" t="s">
        <v>535</v>
      </c>
      <c r="S552" t="s">
        <v>539</v>
      </c>
      <c r="T552" s="2">
        <v>1</v>
      </c>
      <c r="U552" s="1">
        <v>4000</v>
      </c>
      <c r="V552" s="1">
        <v>3976</v>
      </c>
      <c r="X552" t="s">
        <v>540</v>
      </c>
      <c r="Z552" t="s">
        <v>541</v>
      </c>
      <c r="AA552" t="s">
        <v>542</v>
      </c>
      <c r="AB552" t="s">
        <v>543</v>
      </c>
      <c r="AC552" t="s">
        <v>544</v>
      </c>
      <c r="AD552" t="s">
        <v>545</v>
      </c>
      <c r="AE552" s="3">
        <v>1</v>
      </c>
      <c r="AF552" t="s">
        <v>232</v>
      </c>
      <c r="AG552" s="1">
        <v>4000</v>
      </c>
      <c r="AI552" s="1">
        <v>4000</v>
      </c>
      <c r="AJ552" s="1">
        <v>4000</v>
      </c>
      <c r="AK552" s="1">
        <v>24</v>
      </c>
      <c r="AM552" s="1">
        <v>3976</v>
      </c>
      <c r="AN552" t="s">
        <v>536</v>
      </c>
      <c r="AO552" t="s">
        <v>546</v>
      </c>
      <c r="AP552" t="s">
        <v>547</v>
      </c>
      <c r="AQ552" t="s">
        <v>548</v>
      </c>
      <c r="AS552" t="s">
        <v>375</v>
      </c>
      <c r="AX552" s="1">
        <v>4000</v>
      </c>
      <c r="AY552" t="s">
        <v>546</v>
      </c>
      <c r="AZ552" t="s">
        <v>549</v>
      </c>
      <c r="BA552" s="1">
        <v>4000</v>
      </c>
      <c r="BC552" t="s">
        <v>546</v>
      </c>
      <c r="BD552" s="1">
        <v>4000</v>
      </c>
      <c r="BE552" t="s">
        <v>540</v>
      </c>
      <c r="BF552" s="1">
        <v>4000</v>
      </c>
      <c r="BG552" s="1">
        <v>24</v>
      </c>
      <c r="BH552" s="1">
        <v>3976</v>
      </c>
      <c r="BI552" t="s">
        <v>550</v>
      </c>
      <c r="BJ552" t="s">
        <v>570</v>
      </c>
      <c r="BK552" t="s">
        <v>552</v>
      </c>
      <c r="BL552" t="s">
        <v>552</v>
      </c>
      <c r="BM552" t="s">
        <v>3016</v>
      </c>
      <c r="BN552" t="s">
        <v>3182</v>
      </c>
      <c r="BO552" t="s">
        <v>3183</v>
      </c>
      <c r="BR552" t="s">
        <v>546</v>
      </c>
      <c r="BS552" s="1">
        <v>4000</v>
      </c>
      <c r="BW552" t="s">
        <v>536</v>
      </c>
      <c r="BX552" s="1">
        <v>4000</v>
      </c>
      <c r="BZ552" t="s">
        <v>535</v>
      </c>
      <c r="CA552" t="s">
        <v>546</v>
      </c>
      <c r="CB552" t="s">
        <v>3035</v>
      </c>
      <c r="CC552" t="s">
        <v>556</v>
      </c>
      <c r="CD552" t="s">
        <v>3184</v>
      </c>
      <c r="CE552" t="s">
        <v>3185</v>
      </c>
      <c r="CF552" t="s">
        <v>232</v>
      </c>
      <c r="CG552" s="4">
        <v>1</v>
      </c>
      <c r="CH552" t="s">
        <v>546</v>
      </c>
      <c r="CK552" t="s">
        <v>3186</v>
      </c>
      <c r="CL552" s="1">
        <v>4000</v>
      </c>
      <c r="CN552" t="s">
        <v>535</v>
      </c>
      <c r="CO552" t="s">
        <v>539</v>
      </c>
      <c r="CT552" t="s">
        <v>576</v>
      </c>
      <c r="CW552" t="s">
        <v>546</v>
      </c>
      <c r="DD552" t="s">
        <v>561</v>
      </c>
      <c r="DK552" t="s">
        <v>3187</v>
      </c>
      <c r="DL552" t="s">
        <v>3188</v>
      </c>
    </row>
    <row r="553" ht="15" customHeight="1" spans="1:122">
      <c r="A553" t="s">
        <v>530</v>
      </c>
      <c r="B553" t="s">
        <v>3189</v>
      </c>
      <c r="C553" t="s">
        <v>532</v>
      </c>
      <c r="D553" t="s">
        <v>3035</v>
      </c>
      <c r="E553" t="s">
        <v>534</v>
      </c>
      <c r="F553" t="s">
        <v>534</v>
      </c>
      <c r="G553" t="s">
        <v>535</v>
      </c>
      <c r="H553" s="1">
        <v>1000</v>
      </c>
      <c r="I553" s="1">
        <v>1000</v>
      </c>
      <c r="J553" t="s">
        <v>536</v>
      </c>
      <c r="L553" t="s">
        <v>536</v>
      </c>
      <c r="M553" t="s">
        <v>375</v>
      </c>
      <c r="N553" t="s">
        <v>537</v>
      </c>
      <c r="P553" s="1">
        <v>1000</v>
      </c>
      <c r="Q553" t="s">
        <v>580</v>
      </c>
      <c r="R553" t="s">
        <v>535</v>
      </c>
      <c r="S553" t="s">
        <v>539</v>
      </c>
      <c r="T553" s="2">
        <v>1</v>
      </c>
      <c r="U553" s="1">
        <v>1000</v>
      </c>
      <c r="V553" s="1">
        <v>1000</v>
      </c>
      <c r="X553" t="s">
        <v>540</v>
      </c>
      <c r="Z553" t="s">
        <v>541</v>
      </c>
      <c r="AA553" t="s">
        <v>542</v>
      </c>
      <c r="AB553" t="s">
        <v>543</v>
      </c>
      <c r="AC553" t="s">
        <v>544</v>
      </c>
      <c r="AD553" t="s">
        <v>545</v>
      </c>
      <c r="AE553" s="3">
        <v>1</v>
      </c>
      <c r="AF553" t="s">
        <v>232</v>
      </c>
      <c r="AG553" s="1">
        <v>1000</v>
      </c>
      <c r="AI553" s="1">
        <v>1000</v>
      </c>
      <c r="AJ553" s="1">
        <v>1000</v>
      </c>
      <c r="AM553" s="1">
        <v>1000</v>
      </c>
      <c r="AN553" t="s">
        <v>565</v>
      </c>
      <c r="AO553" t="s">
        <v>546</v>
      </c>
      <c r="AP553" t="s">
        <v>565</v>
      </c>
      <c r="AQ553" t="s">
        <v>548</v>
      </c>
      <c r="AS553" t="s">
        <v>375</v>
      </c>
      <c r="AX553" s="1">
        <v>1000</v>
      </c>
      <c r="AY553" t="s">
        <v>546</v>
      </c>
      <c r="AZ553" t="s">
        <v>566</v>
      </c>
      <c r="BA553" s="1">
        <v>1000</v>
      </c>
      <c r="BC553" t="s">
        <v>546</v>
      </c>
      <c r="BD553" s="1">
        <v>1000</v>
      </c>
      <c r="BE553" t="s">
        <v>540</v>
      </c>
      <c r="BF553" s="1">
        <v>1000</v>
      </c>
      <c r="BH553" s="1">
        <v>1000</v>
      </c>
      <c r="BI553" t="s">
        <v>550</v>
      </c>
      <c r="BJ553" t="s">
        <v>570</v>
      </c>
      <c r="BK553" t="s">
        <v>570</v>
      </c>
      <c r="BL553" t="s">
        <v>552</v>
      </c>
      <c r="BM553" t="s">
        <v>3016</v>
      </c>
      <c r="BN553" t="s">
        <v>3190</v>
      </c>
      <c r="BO553" t="s">
        <v>3191</v>
      </c>
      <c r="BR553" t="s">
        <v>546</v>
      </c>
      <c r="BS553" s="1">
        <v>1000</v>
      </c>
      <c r="BW553" t="s">
        <v>536</v>
      </c>
      <c r="BX553" s="1">
        <v>1000</v>
      </c>
      <c r="BZ553" t="s">
        <v>535</v>
      </c>
      <c r="CA553" t="s">
        <v>546</v>
      </c>
      <c r="CB553" t="s">
        <v>3035</v>
      </c>
      <c r="CC553" t="s">
        <v>556</v>
      </c>
      <c r="CD553" t="s">
        <v>3184</v>
      </c>
      <c r="CE553" t="s">
        <v>3185</v>
      </c>
      <c r="CF553" t="s">
        <v>232</v>
      </c>
      <c r="CG553" s="4">
        <v>1</v>
      </c>
      <c r="CH553" t="s">
        <v>546</v>
      </c>
      <c r="CK553" t="s">
        <v>3186</v>
      </c>
      <c r="CL553" s="1">
        <v>1000</v>
      </c>
      <c r="CN553" t="s">
        <v>535</v>
      </c>
      <c r="CO553" t="s">
        <v>539</v>
      </c>
      <c r="CT553" t="s">
        <v>576</v>
      </c>
      <c r="CW553" t="s">
        <v>546</v>
      </c>
      <c r="DD553" t="s">
        <v>561</v>
      </c>
      <c r="DK553" t="s">
        <v>3187</v>
      </c>
      <c r="DL553" t="s">
        <v>3188</v>
      </c>
    </row>
    <row r="554" ht="15" customHeight="1" spans="1:122">
      <c r="A554" t="s">
        <v>530</v>
      </c>
      <c r="B554" t="s">
        <v>3192</v>
      </c>
      <c r="C554" t="s">
        <v>532</v>
      </c>
      <c r="D554" t="s">
        <v>3016</v>
      </c>
      <c r="E554" t="s">
        <v>534</v>
      </c>
      <c r="F554" t="s">
        <v>534</v>
      </c>
      <c r="G554" t="s">
        <v>535</v>
      </c>
      <c r="H554" s="1">
        <v>351</v>
      </c>
      <c r="I554" s="1">
        <v>351</v>
      </c>
      <c r="J554" t="s">
        <v>536</v>
      </c>
      <c r="L554" t="s">
        <v>536</v>
      </c>
      <c r="M554" t="s">
        <v>375</v>
      </c>
      <c r="N554" t="s">
        <v>537</v>
      </c>
      <c r="P554" s="1">
        <v>351</v>
      </c>
      <c r="Q554" t="s">
        <v>580</v>
      </c>
      <c r="R554" t="s">
        <v>535</v>
      </c>
      <c r="S554" t="s">
        <v>539</v>
      </c>
      <c r="T554" s="2">
        <v>1</v>
      </c>
      <c r="U554" s="1">
        <v>351</v>
      </c>
      <c r="V554" s="1">
        <v>351</v>
      </c>
      <c r="X554" t="s">
        <v>540</v>
      </c>
      <c r="Z554" t="s">
        <v>541</v>
      </c>
      <c r="AA554" t="s">
        <v>542</v>
      </c>
      <c r="AB554" t="s">
        <v>543</v>
      </c>
      <c r="AC554" t="s">
        <v>544</v>
      </c>
      <c r="AD554" t="s">
        <v>545</v>
      </c>
      <c r="AE554" s="3">
        <v>1</v>
      </c>
      <c r="AF554" t="s">
        <v>343</v>
      </c>
      <c r="AG554" s="1">
        <v>351</v>
      </c>
      <c r="AI554" s="1">
        <v>351</v>
      </c>
      <c r="AJ554" s="1">
        <v>351</v>
      </c>
      <c r="AM554" s="1">
        <v>351</v>
      </c>
      <c r="AN554" t="s">
        <v>643</v>
      </c>
      <c r="AO554" t="s">
        <v>546</v>
      </c>
      <c r="AP554" t="s">
        <v>643</v>
      </c>
      <c r="AQ554" t="s">
        <v>548</v>
      </c>
      <c r="AS554" t="s">
        <v>375</v>
      </c>
      <c r="AX554" s="1">
        <v>351</v>
      </c>
      <c r="AY554" t="s">
        <v>546</v>
      </c>
      <c r="AZ554" t="s">
        <v>644</v>
      </c>
      <c r="BA554" s="1">
        <v>351</v>
      </c>
      <c r="BC554" t="s">
        <v>546</v>
      </c>
      <c r="BD554" s="1">
        <v>351</v>
      </c>
      <c r="BE554" t="s">
        <v>540</v>
      </c>
      <c r="BF554" s="1">
        <v>351</v>
      </c>
      <c r="BH554" s="1">
        <v>351</v>
      </c>
      <c r="BI554" t="s">
        <v>550</v>
      </c>
      <c r="BJ554" t="s">
        <v>570</v>
      </c>
      <c r="BK554" t="s">
        <v>570</v>
      </c>
      <c r="BL554" t="s">
        <v>552</v>
      </c>
      <c r="BM554" t="s">
        <v>3016</v>
      </c>
      <c r="BN554" t="s">
        <v>3193</v>
      </c>
      <c r="BO554" t="s">
        <v>3194</v>
      </c>
      <c r="BR554" t="s">
        <v>546</v>
      </c>
      <c r="BS554" s="1">
        <v>351</v>
      </c>
      <c r="BW554" t="s">
        <v>536</v>
      </c>
      <c r="BX554" s="1">
        <v>351</v>
      </c>
      <c r="BZ554" t="s">
        <v>535</v>
      </c>
      <c r="CA554" t="s">
        <v>546</v>
      </c>
      <c r="CB554" t="s">
        <v>3016</v>
      </c>
      <c r="CC554" t="s">
        <v>556</v>
      </c>
      <c r="CD554" t="s">
        <v>1411</v>
      </c>
      <c r="CE554" t="s">
        <v>1412</v>
      </c>
      <c r="CF554" t="s">
        <v>343</v>
      </c>
      <c r="CG554" s="4">
        <v>1</v>
      </c>
      <c r="CH554" t="s">
        <v>546</v>
      </c>
      <c r="CK554" t="s">
        <v>3195</v>
      </c>
      <c r="CL554" s="1">
        <v>351</v>
      </c>
      <c r="CN554" t="s">
        <v>535</v>
      </c>
      <c r="CO554" t="s">
        <v>539</v>
      </c>
      <c r="CT554" t="s">
        <v>576</v>
      </c>
      <c r="CW554" t="s">
        <v>546</v>
      </c>
      <c r="DD554" t="s">
        <v>561</v>
      </c>
      <c r="DK554" t="s">
        <v>3187</v>
      </c>
      <c r="DL554" t="s">
        <v>3188</v>
      </c>
      <c r="DR554" t="s">
        <v>3196</v>
      </c>
    </row>
    <row r="555" ht="15" customHeight="1" spans="1:122">
      <c r="A555" t="s">
        <v>530</v>
      </c>
      <c r="B555" t="s">
        <v>3197</v>
      </c>
      <c r="C555" t="s">
        <v>532</v>
      </c>
      <c r="D555" t="s">
        <v>3016</v>
      </c>
      <c r="E555" t="s">
        <v>534</v>
      </c>
      <c r="F555" t="s">
        <v>534</v>
      </c>
      <c r="G555" t="s">
        <v>535</v>
      </c>
      <c r="H555" s="1">
        <v>3990</v>
      </c>
      <c r="I555" s="1">
        <v>3990</v>
      </c>
      <c r="J555" t="s">
        <v>536</v>
      </c>
      <c r="L555" t="s">
        <v>536</v>
      </c>
      <c r="M555" t="s">
        <v>404</v>
      </c>
      <c r="N555" t="s">
        <v>537</v>
      </c>
      <c r="P555" s="1">
        <v>3990</v>
      </c>
      <c r="Q555" t="s">
        <v>642</v>
      </c>
      <c r="R555" t="s">
        <v>535</v>
      </c>
      <c r="S555" t="s">
        <v>539</v>
      </c>
      <c r="T555" s="2">
        <v>1</v>
      </c>
      <c r="U555" s="1">
        <v>3990</v>
      </c>
      <c r="V555" s="1">
        <v>3990</v>
      </c>
      <c r="X555" t="s">
        <v>540</v>
      </c>
      <c r="Z555" t="s">
        <v>541</v>
      </c>
      <c r="AA555" t="s">
        <v>542</v>
      </c>
      <c r="AB555" t="s">
        <v>543</v>
      </c>
      <c r="AC555" t="s">
        <v>544</v>
      </c>
      <c r="AD555" t="s">
        <v>545</v>
      </c>
      <c r="AE555" s="3">
        <v>1</v>
      </c>
      <c r="AF555" t="s">
        <v>233</v>
      </c>
      <c r="AG555" s="1">
        <v>3990</v>
      </c>
      <c r="AI555" s="1">
        <v>3990</v>
      </c>
      <c r="AJ555" s="1">
        <v>3990</v>
      </c>
      <c r="AM555" s="1">
        <v>3990</v>
      </c>
      <c r="AN555" t="s">
        <v>643</v>
      </c>
      <c r="AO555" t="s">
        <v>546</v>
      </c>
      <c r="AP555" t="s">
        <v>643</v>
      </c>
      <c r="AQ555" t="s">
        <v>548</v>
      </c>
      <c r="AS555" t="s">
        <v>404</v>
      </c>
      <c r="AX555" s="1">
        <v>3990</v>
      </c>
      <c r="AY555" t="s">
        <v>546</v>
      </c>
      <c r="AZ555" t="s">
        <v>644</v>
      </c>
      <c r="BA555" s="1">
        <v>3990</v>
      </c>
      <c r="BC555" t="s">
        <v>546</v>
      </c>
      <c r="BD555" s="1">
        <v>3990</v>
      </c>
      <c r="BE555" t="s">
        <v>540</v>
      </c>
      <c r="BF555" s="1">
        <v>3990</v>
      </c>
      <c r="BH555" s="1">
        <v>3990</v>
      </c>
      <c r="BI555" t="s">
        <v>550</v>
      </c>
      <c r="BJ555" t="s">
        <v>551</v>
      </c>
      <c r="BK555" t="s">
        <v>551</v>
      </c>
      <c r="BL555" t="s">
        <v>552</v>
      </c>
      <c r="BM555" t="s">
        <v>3016</v>
      </c>
      <c r="BN555" t="s">
        <v>3198</v>
      </c>
      <c r="BO555" t="s">
        <v>3199</v>
      </c>
      <c r="BR555" t="s">
        <v>546</v>
      </c>
      <c r="BS555" s="1">
        <v>3990</v>
      </c>
      <c r="BW555" t="s">
        <v>536</v>
      </c>
      <c r="BX555" s="1">
        <v>3990</v>
      </c>
      <c r="BZ555" t="s">
        <v>535</v>
      </c>
      <c r="CA555" t="s">
        <v>546</v>
      </c>
      <c r="CB555" t="s">
        <v>3016</v>
      </c>
      <c r="CC555" t="s">
        <v>556</v>
      </c>
      <c r="CD555" t="s">
        <v>1161</v>
      </c>
      <c r="CE555" t="s">
        <v>1162</v>
      </c>
      <c r="CF555" t="s">
        <v>233</v>
      </c>
      <c r="CG555" s="4">
        <v>1</v>
      </c>
      <c r="CH555" t="s">
        <v>546</v>
      </c>
      <c r="CK555" t="s">
        <v>3200</v>
      </c>
      <c r="CL555" s="1">
        <v>3990</v>
      </c>
      <c r="CN555" t="s">
        <v>535</v>
      </c>
      <c r="CO555" t="s">
        <v>539</v>
      </c>
      <c r="CT555" t="s">
        <v>651</v>
      </c>
      <c r="CW555" t="s">
        <v>546</v>
      </c>
      <c r="DD555" t="s">
        <v>561</v>
      </c>
      <c r="DK555" t="s">
        <v>3201</v>
      </c>
      <c r="DL555" t="s">
        <v>3202</v>
      </c>
      <c r="DR555" t="s">
        <v>3203</v>
      </c>
    </row>
    <row r="556" ht="15" customHeight="1" spans="1:122">
      <c r="A556" t="s">
        <v>603</v>
      </c>
      <c r="B556" t="s">
        <v>3204</v>
      </c>
      <c r="C556" t="s">
        <v>532</v>
      </c>
      <c r="D556" t="s">
        <v>3016</v>
      </c>
      <c r="E556" t="s">
        <v>534</v>
      </c>
      <c r="F556" t="s">
        <v>534</v>
      </c>
      <c r="G556" t="s">
        <v>535</v>
      </c>
      <c r="H556" s="1">
        <v>20674</v>
      </c>
      <c r="I556" s="1">
        <v>20674</v>
      </c>
      <c r="J556" t="s">
        <v>536</v>
      </c>
      <c r="L556" t="s">
        <v>536</v>
      </c>
      <c r="M556" t="s">
        <v>409</v>
      </c>
      <c r="N556" t="s">
        <v>537</v>
      </c>
      <c r="P556" s="1">
        <v>20674</v>
      </c>
      <c r="Q556" t="s">
        <v>970</v>
      </c>
      <c r="R556" t="s">
        <v>535</v>
      </c>
      <c r="S556" t="s">
        <v>539</v>
      </c>
      <c r="T556" s="2">
        <v>1</v>
      </c>
      <c r="U556" s="1">
        <v>20674</v>
      </c>
      <c r="V556" s="1">
        <v>20674</v>
      </c>
      <c r="X556" t="s">
        <v>616</v>
      </c>
      <c r="Z556" t="s">
        <v>541</v>
      </c>
      <c r="AA556" t="s">
        <v>542</v>
      </c>
      <c r="AB556" t="s">
        <v>543</v>
      </c>
      <c r="AC556" t="s">
        <v>608</v>
      </c>
      <c r="AE556" s="3">
        <v>1</v>
      </c>
      <c r="AG556" s="1">
        <v>20674</v>
      </c>
      <c r="AI556" s="1">
        <v>20674</v>
      </c>
      <c r="AJ556" s="1">
        <v>20674</v>
      </c>
      <c r="AM556" s="1">
        <v>20674</v>
      </c>
      <c r="AN556" t="s">
        <v>536</v>
      </c>
      <c r="AO556" t="s">
        <v>546</v>
      </c>
      <c r="AP556" t="s">
        <v>547</v>
      </c>
      <c r="AQ556" t="s">
        <v>548</v>
      </c>
      <c r="AR556" t="s">
        <v>2895</v>
      </c>
      <c r="AS556" t="s">
        <v>409</v>
      </c>
      <c r="AU556" t="s">
        <v>2896</v>
      </c>
      <c r="AV556" t="s">
        <v>409</v>
      </c>
      <c r="AX556" s="1">
        <v>20674</v>
      </c>
      <c r="AY556" t="s">
        <v>546</v>
      </c>
      <c r="AZ556" t="s">
        <v>549</v>
      </c>
      <c r="BA556" s="1">
        <v>20674</v>
      </c>
      <c r="BC556" t="s">
        <v>546</v>
      </c>
      <c r="BE556" t="s">
        <v>616</v>
      </c>
      <c r="BH556" s="1">
        <v>20674</v>
      </c>
      <c r="BI556" t="s">
        <v>550</v>
      </c>
      <c r="BJ556" t="s">
        <v>551</v>
      </c>
      <c r="BK556" t="s">
        <v>551</v>
      </c>
      <c r="BL556" t="s">
        <v>552</v>
      </c>
      <c r="BM556" t="s">
        <v>3016</v>
      </c>
      <c r="BN556" t="s">
        <v>3205</v>
      </c>
      <c r="BO556" t="s">
        <v>3206</v>
      </c>
      <c r="BR556" t="s">
        <v>546</v>
      </c>
      <c r="BS556" s="1">
        <v>20674</v>
      </c>
      <c r="BW556" t="s">
        <v>536</v>
      </c>
      <c r="BZ556" t="s">
        <v>535</v>
      </c>
      <c r="CA556" t="s">
        <v>546</v>
      </c>
      <c r="CB556" t="s">
        <v>3016</v>
      </c>
      <c r="CC556" t="s">
        <v>556</v>
      </c>
      <c r="CH556" t="s">
        <v>546</v>
      </c>
      <c r="CK556" t="s">
        <v>3207</v>
      </c>
      <c r="CN556" t="s">
        <v>535</v>
      </c>
      <c r="CO556" t="s">
        <v>539</v>
      </c>
      <c r="CT556" t="s">
        <v>576</v>
      </c>
      <c r="CW556" t="s">
        <v>546</v>
      </c>
      <c r="DD556" t="s">
        <v>561</v>
      </c>
      <c r="DR556" t="s">
        <v>1189</v>
      </c>
    </row>
    <row r="557" ht="15" customHeight="1" spans="1:122">
      <c r="A557" t="s">
        <v>530</v>
      </c>
      <c r="B557" t="s">
        <v>3208</v>
      </c>
      <c r="C557" t="s">
        <v>532</v>
      </c>
      <c r="D557" t="s">
        <v>2959</v>
      </c>
      <c r="E557" t="s">
        <v>534</v>
      </c>
      <c r="F557" t="s">
        <v>534</v>
      </c>
      <c r="G557" t="s">
        <v>535</v>
      </c>
      <c r="H557" s="1">
        <v>1893</v>
      </c>
      <c r="I557" s="1">
        <v>1893</v>
      </c>
      <c r="J557" t="s">
        <v>536</v>
      </c>
      <c r="L557" t="s">
        <v>536</v>
      </c>
      <c r="M557" t="s">
        <v>404</v>
      </c>
      <c r="N557" t="s">
        <v>537</v>
      </c>
      <c r="P557" s="1">
        <v>1893</v>
      </c>
      <c r="Q557" t="s">
        <v>642</v>
      </c>
      <c r="R557" t="s">
        <v>535</v>
      </c>
      <c r="S557" t="s">
        <v>539</v>
      </c>
      <c r="T557" s="2">
        <v>1</v>
      </c>
      <c r="U557" s="1">
        <v>1893</v>
      </c>
      <c r="V557" s="1">
        <v>1893</v>
      </c>
      <c r="X557" t="s">
        <v>540</v>
      </c>
      <c r="Z557" t="s">
        <v>541</v>
      </c>
      <c r="AA557" t="s">
        <v>542</v>
      </c>
      <c r="AB557" t="s">
        <v>543</v>
      </c>
      <c r="AC557" t="s">
        <v>544</v>
      </c>
      <c r="AD557" t="s">
        <v>545</v>
      </c>
      <c r="AE557" s="3">
        <v>1</v>
      </c>
      <c r="AF557" t="s">
        <v>225</v>
      </c>
      <c r="AG557" s="1">
        <v>1893</v>
      </c>
      <c r="AI557" s="1">
        <v>1893</v>
      </c>
      <c r="AJ557" s="1">
        <v>1893</v>
      </c>
      <c r="AM557" s="1">
        <v>1893</v>
      </c>
      <c r="AN557" t="s">
        <v>643</v>
      </c>
      <c r="AO557" t="s">
        <v>546</v>
      </c>
      <c r="AP557" t="s">
        <v>643</v>
      </c>
      <c r="AQ557" t="s">
        <v>548</v>
      </c>
      <c r="AS557" t="s">
        <v>404</v>
      </c>
      <c r="AX557" s="1">
        <v>1893</v>
      </c>
      <c r="AY557" t="s">
        <v>546</v>
      </c>
      <c r="AZ557" t="s">
        <v>644</v>
      </c>
      <c r="BA557" s="1">
        <v>1893</v>
      </c>
      <c r="BC557" t="s">
        <v>546</v>
      </c>
      <c r="BD557" s="1">
        <v>1893</v>
      </c>
      <c r="BE557" t="s">
        <v>540</v>
      </c>
      <c r="BF557" s="1">
        <v>1893</v>
      </c>
      <c r="BH557" s="1">
        <v>1893</v>
      </c>
      <c r="BI557" t="s">
        <v>550</v>
      </c>
      <c r="BJ557" t="s">
        <v>642</v>
      </c>
      <c r="BK557" t="s">
        <v>552</v>
      </c>
      <c r="BL557" t="s">
        <v>552</v>
      </c>
      <c r="BM557" t="s">
        <v>3016</v>
      </c>
      <c r="BN557" t="s">
        <v>3209</v>
      </c>
      <c r="BO557" t="s">
        <v>3210</v>
      </c>
      <c r="BR557" t="s">
        <v>546</v>
      </c>
      <c r="BS557" s="1">
        <v>1893</v>
      </c>
      <c r="BW557" t="s">
        <v>536</v>
      </c>
      <c r="BX557" s="1">
        <v>1893</v>
      </c>
      <c r="BZ557" t="s">
        <v>535</v>
      </c>
      <c r="CA557" t="s">
        <v>546</v>
      </c>
      <c r="CB557" t="s">
        <v>2959</v>
      </c>
      <c r="CC557" t="s">
        <v>556</v>
      </c>
      <c r="CD557" t="s">
        <v>692</v>
      </c>
      <c r="CE557" t="s">
        <v>693</v>
      </c>
      <c r="CF557" t="s">
        <v>225</v>
      </c>
      <c r="CG557" s="4">
        <v>1</v>
      </c>
      <c r="CH557" t="s">
        <v>546</v>
      </c>
      <c r="CK557" t="s">
        <v>3211</v>
      </c>
      <c r="CL557" s="1">
        <v>1893</v>
      </c>
      <c r="CN557" t="s">
        <v>535</v>
      </c>
      <c r="CO557" t="s">
        <v>539</v>
      </c>
      <c r="CT557" t="s">
        <v>651</v>
      </c>
      <c r="CW557" t="s">
        <v>546</v>
      </c>
      <c r="DD557" t="s">
        <v>561</v>
      </c>
      <c r="DK557" t="s">
        <v>3102</v>
      </c>
      <c r="DL557" t="s">
        <v>3103</v>
      </c>
      <c r="DR557" t="s">
        <v>3212</v>
      </c>
    </row>
    <row r="558" ht="15" customHeight="1" spans="1:122">
      <c r="A558" t="s">
        <v>530</v>
      </c>
      <c r="B558" t="s">
        <v>3213</v>
      </c>
      <c r="C558" t="s">
        <v>532</v>
      </c>
      <c r="D558" t="s">
        <v>3016</v>
      </c>
      <c r="E558" t="s">
        <v>534</v>
      </c>
      <c r="F558" t="s">
        <v>534</v>
      </c>
      <c r="G558" t="s">
        <v>535</v>
      </c>
      <c r="H558" s="1">
        <v>1895</v>
      </c>
      <c r="I558" s="1">
        <v>1895</v>
      </c>
      <c r="J558" t="s">
        <v>536</v>
      </c>
      <c r="L558" t="s">
        <v>536</v>
      </c>
      <c r="M558" t="s">
        <v>404</v>
      </c>
      <c r="N558" t="s">
        <v>537</v>
      </c>
      <c r="P558" s="1">
        <v>1895</v>
      </c>
      <c r="Q558" t="s">
        <v>642</v>
      </c>
      <c r="R558" t="s">
        <v>535</v>
      </c>
      <c r="S558" t="s">
        <v>539</v>
      </c>
      <c r="T558" s="2">
        <v>1</v>
      </c>
      <c r="U558" s="1">
        <v>1895</v>
      </c>
      <c r="V558" s="1">
        <v>1895</v>
      </c>
      <c r="X558" t="s">
        <v>540</v>
      </c>
      <c r="Z558" t="s">
        <v>541</v>
      </c>
      <c r="AA558" t="s">
        <v>542</v>
      </c>
      <c r="AB558" t="s">
        <v>543</v>
      </c>
      <c r="AC558" t="s">
        <v>544</v>
      </c>
      <c r="AD558" t="s">
        <v>545</v>
      </c>
      <c r="AE558" s="3">
        <v>1</v>
      </c>
      <c r="AF558" t="s">
        <v>239</v>
      </c>
      <c r="AG558" s="1">
        <v>1895</v>
      </c>
      <c r="AI558" s="1">
        <v>1895</v>
      </c>
      <c r="AJ558" s="1">
        <v>1895</v>
      </c>
      <c r="AM558" s="1">
        <v>1895</v>
      </c>
      <c r="AN558" t="s">
        <v>643</v>
      </c>
      <c r="AO558" t="s">
        <v>546</v>
      </c>
      <c r="AP558" t="s">
        <v>643</v>
      </c>
      <c r="AQ558" t="s">
        <v>548</v>
      </c>
      <c r="AS558" t="s">
        <v>404</v>
      </c>
      <c r="AX558" s="1">
        <v>1895</v>
      </c>
      <c r="AY558" t="s">
        <v>546</v>
      </c>
      <c r="AZ558" t="s">
        <v>644</v>
      </c>
      <c r="BA558" s="1">
        <v>1895</v>
      </c>
      <c r="BC558" t="s">
        <v>546</v>
      </c>
      <c r="BD558" s="1">
        <v>1895</v>
      </c>
      <c r="BE558" t="s">
        <v>540</v>
      </c>
      <c r="BF558" s="1">
        <v>1895</v>
      </c>
      <c r="BH558" s="1">
        <v>1895</v>
      </c>
      <c r="BI558" t="s">
        <v>550</v>
      </c>
      <c r="BJ558" t="s">
        <v>551</v>
      </c>
      <c r="BK558" t="s">
        <v>551</v>
      </c>
      <c r="BL558" t="s">
        <v>552</v>
      </c>
      <c r="BM558" t="s">
        <v>3016</v>
      </c>
      <c r="BN558" t="s">
        <v>3214</v>
      </c>
      <c r="BO558" t="s">
        <v>3215</v>
      </c>
      <c r="BR558" t="s">
        <v>546</v>
      </c>
      <c r="BS558" s="1">
        <v>1895</v>
      </c>
      <c r="BW558" t="s">
        <v>536</v>
      </c>
      <c r="BX558" s="1">
        <v>1895</v>
      </c>
      <c r="BZ558" t="s">
        <v>535</v>
      </c>
      <c r="CA558" t="s">
        <v>546</v>
      </c>
      <c r="CB558" t="s">
        <v>3016</v>
      </c>
      <c r="CC558" t="s">
        <v>556</v>
      </c>
      <c r="CD558" t="s">
        <v>692</v>
      </c>
      <c r="CE558" t="s">
        <v>693</v>
      </c>
      <c r="CF558" t="s">
        <v>239</v>
      </c>
      <c r="CG558" s="4">
        <v>1</v>
      </c>
      <c r="CH558" t="s">
        <v>546</v>
      </c>
      <c r="CK558" t="s">
        <v>3216</v>
      </c>
      <c r="CL558" s="1">
        <v>1895</v>
      </c>
      <c r="CN558" t="s">
        <v>535</v>
      </c>
      <c r="CO558" t="s">
        <v>539</v>
      </c>
      <c r="CT558" t="s">
        <v>651</v>
      </c>
      <c r="CW558" t="s">
        <v>546</v>
      </c>
      <c r="DD558" t="s">
        <v>561</v>
      </c>
      <c r="DK558" t="s">
        <v>3217</v>
      </c>
      <c r="DL558" t="s">
        <v>3218</v>
      </c>
      <c r="DR558" t="s">
        <v>3219</v>
      </c>
    </row>
    <row r="559" ht="15" customHeight="1" spans="1:122">
      <c r="A559" t="s">
        <v>530</v>
      </c>
      <c r="B559" t="s">
        <v>3220</v>
      </c>
      <c r="C559" t="s">
        <v>532</v>
      </c>
      <c r="D559" t="s">
        <v>3016</v>
      </c>
      <c r="E559" t="s">
        <v>534</v>
      </c>
      <c r="F559" t="s">
        <v>534</v>
      </c>
      <c r="G559" t="s">
        <v>535</v>
      </c>
      <c r="H559" s="1">
        <v>3138</v>
      </c>
      <c r="I559" s="1">
        <v>3138</v>
      </c>
      <c r="J559" t="s">
        <v>536</v>
      </c>
      <c r="L559" t="s">
        <v>536</v>
      </c>
      <c r="M559" t="s">
        <v>375</v>
      </c>
      <c r="N559" t="s">
        <v>537</v>
      </c>
      <c r="P559" s="1">
        <v>3138</v>
      </c>
      <c r="Q559" t="s">
        <v>580</v>
      </c>
      <c r="R559" t="s">
        <v>535</v>
      </c>
      <c r="S559" t="s">
        <v>539</v>
      </c>
      <c r="T559" s="2">
        <v>1</v>
      </c>
      <c r="U559" s="1">
        <v>3138</v>
      </c>
      <c r="V559" s="1">
        <v>3138</v>
      </c>
      <c r="X559" t="s">
        <v>540</v>
      </c>
      <c r="Z559" t="s">
        <v>541</v>
      </c>
      <c r="AA559" t="s">
        <v>542</v>
      </c>
      <c r="AB559" t="s">
        <v>543</v>
      </c>
      <c r="AC559" t="s">
        <v>544</v>
      </c>
      <c r="AD559" t="s">
        <v>545</v>
      </c>
      <c r="AE559" s="3">
        <v>1</v>
      </c>
      <c r="AF559" t="s">
        <v>234</v>
      </c>
      <c r="AG559" s="1">
        <v>3138</v>
      </c>
      <c r="AI559" s="1">
        <v>3138</v>
      </c>
      <c r="AJ559" s="1">
        <v>3138</v>
      </c>
      <c r="AM559" s="1">
        <v>3138</v>
      </c>
      <c r="AN559" t="s">
        <v>643</v>
      </c>
      <c r="AO559" t="s">
        <v>546</v>
      </c>
      <c r="AP559" t="s">
        <v>643</v>
      </c>
      <c r="AQ559" t="s">
        <v>548</v>
      </c>
      <c r="AS559" t="s">
        <v>375</v>
      </c>
      <c r="AX559" s="1">
        <v>3138</v>
      </c>
      <c r="AY559" t="s">
        <v>546</v>
      </c>
      <c r="AZ559" t="s">
        <v>644</v>
      </c>
      <c r="BA559" s="1">
        <v>3138</v>
      </c>
      <c r="BC559" t="s">
        <v>546</v>
      </c>
      <c r="BD559" s="1">
        <v>3138</v>
      </c>
      <c r="BE559" t="s">
        <v>540</v>
      </c>
      <c r="BF559" s="1">
        <v>3138</v>
      </c>
      <c r="BH559" s="1">
        <v>3138</v>
      </c>
      <c r="BI559" t="s">
        <v>550</v>
      </c>
      <c r="BJ559" t="s">
        <v>570</v>
      </c>
      <c r="BK559" t="s">
        <v>552</v>
      </c>
      <c r="BL559" t="s">
        <v>552</v>
      </c>
      <c r="BM559" t="s">
        <v>3016</v>
      </c>
      <c r="BN559" t="s">
        <v>3221</v>
      </c>
      <c r="BO559" t="s">
        <v>3222</v>
      </c>
      <c r="BR559" t="s">
        <v>546</v>
      </c>
      <c r="BS559" s="1">
        <v>3138</v>
      </c>
      <c r="BW559" t="s">
        <v>536</v>
      </c>
      <c r="BX559" s="1">
        <v>3138</v>
      </c>
      <c r="BZ559" t="s">
        <v>535</v>
      </c>
      <c r="CA559" t="s">
        <v>546</v>
      </c>
      <c r="CB559" t="s">
        <v>3016</v>
      </c>
      <c r="CC559" t="s">
        <v>556</v>
      </c>
      <c r="CD559" t="s">
        <v>622</v>
      </c>
      <c r="CE559" t="s">
        <v>623</v>
      </c>
      <c r="CF559" t="s">
        <v>234</v>
      </c>
      <c r="CG559" s="4">
        <v>1</v>
      </c>
      <c r="CH559" t="s">
        <v>546</v>
      </c>
      <c r="CK559" t="s">
        <v>3223</v>
      </c>
      <c r="CL559" s="1">
        <v>3138</v>
      </c>
      <c r="CN559" t="s">
        <v>535</v>
      </c>
      <c r="CO559" t="s">
        <v>539</v>
      </c>
      <c r="CT559" t="s">
        <v>576</v>
      </c>
      <c r="CW559" t="s">
        <v>546</v>
      </c>
      <c r="DD559" t="s">
        <v>561</v>
      </c>
      <c r="DK559" t="s">
        <v>3224</v>
      </c>
      <c r="DL559" t="s">
        <v>3225</v>
      </c>
      <c r="DR559" t="s">
        <v>3226</v>
      </c>
    </row>
    <row r="560" ht="15" customHeight="1" spans="1:122">
      <c r="A560" t="s">
        <v>530</v>
      </c>
      <c r="B560" t="s">
        <v>3227</v>
      </c>
      <c r="C560" t="s">
        <v>532</v>
      </c>
      <c r="D560" t="s">
        <v>3016</v>
      </c>
      <c r="E560" t="s">
        <v>534</v>
      </c>
      <c r="F560" t="s">
        <v>534</v>
      </c>
      <c r="G560" t="s">
        <v>535</v>
      </c>
      <c r="H560" s="1">
        <v>350</v>
      </c>
      <c r="I560" s="1">
        <v>350</v>
      </c>
      <c r="J560" t="s">
        <v>536</v>
      </c>
      <c r="L560" t="s">
        <v>536</v>
      </c>
      <c r="M560" t="s">
        <v>375</v>
      </c>
      <c r="N560" t="s">
        <v>537</v>
      </c>
      <c r="P560" s="1">
        <v>350</v>
      </c>
      <c r="Q560" t="s">
        <v>580</v>
      </c>
      <c r="R560" t="s">
        <v>535</v>
      </c>
      <c r="S560" t="s">
        <v>539</v>
      </c>
      <c r="T560" s="2">
        <v>1</v>
      </c>
      <c r="U560" s="1">
        <v>350</v>
      </c>
      <c r="V560" s="1">
        <v>350</v>
      </c>
      <c r="X560" t="s">
        <v>540</v>
      </c>
      <c r="Z560" t="s">
        <v>541</v>
      </c>
      <c r="AA560" t="s">
        <v>542</v>
      </c>
      <c r="AB560" t="s">
        <v>543</v>
      </c>
      <c r="AC560" t="s">
        <v>544</v>
      </c>
      <c r="AD560" t="s">
        <v>545</v>
      </c>
      <c r="AE560" s="3">
        <v>1</v>
      </c>
      <c r="AF560" t="s">
        <v>240</v>
      </c>
      <c r="AG560" s="1">
        <v>350</v>
      </c>
      <c r="AI560" s="1">
        <v>350</v>
      </c>
      <c r="AJ560" s="1">
        <v>350</v>
      </c>
      <c r="AM560" s="1">
        <v>350</v>
      </c>
      <c r="AN560" t="s">
        <v>643</v>
      </c>
      <c r="AO560" t="s">
        <v>546</v>
      </c>
      <c r="AP560" t="s">
        <v>643</v>
      </c>
      <c r="AQ560" t="s">
        <v>548</v>
      </c>
      <c r="AS560" t="s">
        <v>375</v>
      </c>
      <c r="AX560" s="1">
        <v>350</v>
      </c>
      <c r="AY560" t="s">
        <v>546</v>
      </c>
      <c r="AZ560" t="s">
        <v>644</v>
      </c>
      <c r="BA560" s="1">
        <v>350</v>
      </c>
      <c r="BC560" t="s">
        <v>546</v>
      </c>
      <c r="BD560" s="1">
        <v>350</v>
      </c>
      <c r="BE560" t="s">
        <v>540</v>
      </c>
      <c r="BF560" s="1">
        <v>350</v>
      </c>
      <c r="BH560" s="1">
        <v>350</v>
      </c>
      <c r="BI560" t="s">
        <v>550</v>
      </c>
      <c r="BJ560" t="s">
        <v>570</v>
      </c>
      <c r="BK560" t="s">
        <v>552</v>
      </c>
      <c r="BL560" t="s">
        <v>552</v>
      </c>
      <c r="BM560" t="s">
        <v>3016</v>
      </c>
      <c r="BN560" t="s">
        <v>3228</v>
      </c>
      <c r="BO560" t="s">
        <v>3229</v>
      </c>
      <c r="BR560" t="s">
        <v>546</v>
      </c>
      <c r="BS560" s="1">
        <v>350</v>
      </c>
      <c r="BW560" t="s">
        <v>536</v>
      </c>
      <c r="BX560" s="1">
        <v>350</v>
      </c>
      <c r="BZ560" t="s">
        <v>535</v>
      </c>
      <c r="CA560" t="s">
        <v>546</v>
      </c>
      <c r="CB560" t="s">
        <v>3016</v>
      </c>
      <c r="CC560" t="s">
        <v>556</v>
      </c>
      <c r="CD560" t="s">
        <v>922</v>
      </c>
      <c r="CE560" t="s">
        <v>923</v>
      </c>
      <c r="CF560" t="s">
        <v>240</v>
      </c>
      <c r="CG560" s="4">
        <v>1</v>
      </c>
      <c r="CH560" t="s">
        <v>546</v>
      </c>
      <c r="CK560" t="s">
        <v>3230</v>
      </c>
      <c r="CL560" s="1">
        <v>350</v>
      </c>
      <c r="CN560" t="s">
        <v>535</v>
      </c>
      <c r="CO560" t="s">
        <v>539</v>
      </c>
      <c r="CT560" t="s">
        <v>576</v>
      </c>
      <c r="CW560" t="s">
        <v>546</v>
      </c>
      <c r="DD560" t="s">
        <v>561</v>
      </c>
      <c r="DK560" t="s">
        <v>1901</v>
      </c>
      <c r="DL560" t="s">
        <v>1902</v>
      </c>
      <c r="DR560" t="s">
        <v>3231</v>
      </c>
    </row>
    <row r="561" ht="15" customHeight="1" spans="1:122">
      <c r="A561" t="s">
        <v>530</v>
      </c>
      <c r="B561" t="s">
        <v>3232</v>
      </c>
      <c r="C561" t="s">
        <v>532</v>
      </c>
      <c r="D561" t="s">
        <v>3035</v>
      </c>
      <c r="E561" t="s">
        <v>534</v>
      </c>
      <c r="F561" t="s">
        <v>534</v>
      </c>
      <c r="G561" t="s">
        <v>535</v>
      </c>
      <c r="H561" s="1">
        <v>5572.8</v>
      </c>
      <c r="I561" s="1">
        <v>5539.36</v>
      </c>
      <c r="J561" t="s">
        <v>536</v>
      </c>
      <c r="L561" t="s">
        <v>536</v>
      </c>
      <c r="M561" t="s">
        <v>404</v>
      </c>
      <c r="N561" t="s">
        <v>537</v>
      </c>
      <c r="P561" s="1">
        <v>5572.8</v>
      </c>
      <c r="Q561" t="s">
        <v>642</v>
      </c>
      <c r="R561" t="s">
        <v>535</v>
      </c>
      <c r="S561" t="s">
        <v>539</v>
      </c>
      <c r="T561" s="2">
        <v>1</v>
      </c>
      <c r="U561" s="1">
        <v>5572.8</v>
      </c>
      <c r="V561" s="1">
        <v>5539.36</v>
      </c>
      <c r="X561" t="s">
        <v>540</v>
      </c>
      <c r="Z561" t="s">
        <v>541</v>
      </c>
      <c r="AA561" t="s">
        <v>542</v>
      </c>
      <c r="AB561" t="s">
        <v>543</v>
      </c>
      <c r="AC561" t="s">
        <v>544</v>
      </c>
      <c r="AD561" t="s">
        <v>545</v>
      </c>
      <c r="AE561" s="3">
        <v>1</v>
      </c>
      <c r="AF561" t="s">
        <v>19</v>
      </c>
      <c r="AG561" s="1">
        <v>5572.8</v>
      </c>
      <c r="AI561" s="1">
        <v>5572.8</v>
      </c>
      <c r="AJ561" s="1">
        <v>5572.8</v>
      </c>
      <c r="AK561" s="1">
        <v>33.44</v>
      </c>
      <c r="AM561" s="1">
        <v>5539.36</v>
      </c>
      <c r="AN561" t="s">
        <v>536</v>
      </c>
      <c r="AO561" t="s">
        <v>546</v>
      </c>
      <c r="AP561" t="s">
        <v>547</v>
      </c>
      <c r="AQ561" t="s">
        <v>548</v>
      </c>
      <c r="AS561" t="s">
        <v>404</v>
      </c>
      <c r="AX561" s="1">
        <v>5572.8</v>
      </c>
      <c r="AY561" t="s">
        <v>546</v>
      </c>
      <c r="AZ561" t="s">
        <v>549</v>
      </c>
      <c r="BA561" s="1">
        <v>5572.8</v>
      </c>
      <c r="BC561" t="s">
        <v>546</v>
      </c>
      <c r="BD561" s="1">
        <v>5572.8</v>
      </c>
      <c r="BE561" t="s">
        <v>540</v>
      </c>
      <c r="BF561" s="1">
        <v>5572.8</v>
      </c>
      <c r="BG561" s="1">
        <v>33.44</v>
      </c>
      <c r="BH561" s="1">
        <v>5539.36</v>
      </c>
      <c r="BI561" t="s">
        <v>550</v>
      </c>
      <c r="BJ561" t="s">
        <v>642</v>
      </c>
      <c r="BK561" t="s">
        <v>552</v>
      </c>
      <c r="BL561" t="s">
        <v>552</v>
      </c>
      <c r="BM561" t="s">
        <v>3016</v>
      </c>
      <c r="BN561" t="s">
        <v>3233</v>
      </c>
      <c r="BO561" t="s">
        <v>3234</v>
      </c>
      <c r="BR561" t="s">
        <v>546</v>
      </c>
      <c r="BS561" s="1">
        <v>5572.8</v>
      </c>
      <c r="BW561" t="s">
        <v>536</v>
      </c>
      <c r="BX561" s="1">
        <v>5572.8</v>
      </c>
      <c r="BZ561" t="s">
        <v>535</v>
      </c>
      <c r="CA561" t="s">
        <v>546</v>
      </c>
      <c r="CB561" t="s">
        <v>3035</v>
      </c>
      <c r="CC561" t="s">
        <v>556</v>
      </c>
      <c r="CD561" t="s">
        <v>1535</v>
      </c>
      <c r="CE561" t="s">
        <v>1536</v>
      </c>
      <c r="CF561" t="s">
        <v>19</v>
      </c>
      <c r="CG561" s="4">
        <v>1</v>
      </c>
      <c r="CH561" t="s">
        <v>546</v>
      </c>
      <c r="CK561" t="s">
        <v>3235</v>
      </c>
      <c r="CL561" s="1">
        <v>5572.8</v>
      </c>
      <c r="CN561" t="s">
        <v>535</v>
      </c>
      <c r="CO561" t="s">
        <v>539</v>
      </c>
      <c r="CT561" t="s">
        <v>651</v>
      </c>
      <c r="CW561" t="s">
        <v>546</v>
      </c>
      <c r="DD561" t="s">
        <v>561</v>
      </c>
      <c r="DK561" t="s">
        <v>3236</v>
      </c>
      <c r="DL561" t="s">
        <v>3237</v>
      </c>
    </row>
    <row r="562" ht="15" customHeight="1" spans="1:122">
      <c r="A562" t="s">
        <v>530</v>
      </c>
      <c r="B562" t="s">
        <v>3238</v>
      </c>
      <c r="C562" t="s">
        <v>532</v>
      </c>
      <c r="D562" t="s">
        <v>3035</v>
      </c>
      <c r="E562" t="s">
        <v>534</v>
      </c>
      <c r="F562" t="s">
        <v>534</v>
      </c>
      <c r="G562" t="s">
        <v>535</v>
      </c>
      <c r="H562" s="1">
        <v>1393.2</v>
      </c>
      <c r="I562" s="1">
        <v>1393.2</v>
      </c>
      <c r="J562" t="s">
        <v>536</v>
      </c>
      <c r="L562" t="s">
        <v>536</v>
      </c>
      <c r="M562" t="s">
        <v>404</v>
      </c>
      <c r="N562" t="s">
        <v>537</v>
      </c>
      <c r="P562" s="1">
        <v>1393.2</v>
      </c>
      <c r="Q562" t="s">
        <v>642</v>
      </c>
      <c r="R562" t="s">
        <v>535</v>
      </c>
      <c r="S562" t="s">
        <v>539</v>
      </c>
      <c r="T562" s="2">
        <v>1</v>
      </c>
      <c r="U562" s="1">
        <v>1393.2</v>
      </c>
      <c r="V562" s="1">
        <v>1393.2</v>
      </c>
      <c r="X562" t="s">
        <v>540</v>
      </c>
      <c r="Z562" t="s">
        <v>541</v>
      </c>
      <c r="AA562" t="s">
        <v>542</v>
      </c>
      <c r="AB562" t="s">
        <v>543</v>
      </c>
      <c r="AC562" t="s">
        <v>544</v>
      </c>
      <c r="AD562" t="s">
        <v>545</v>
      </c>
      <c r="AE562" s="3">
        <v>1</v>
      </c>
      <c r="AF562" t="s">
        <v>19</v>
      </c>
      <c r="AG562" s="1">
        <v>1393.2</v>
      </c>
      <c r="AI562" s="1">
        <v>1393.2</v>
      </c>
      <c r="AJ562" s="1">
        <v>1393.2</v>
      </c>
      <c r="AM562" s="1">
        <v>1393.2</v>
      </c>
      <c r="AN562" t="s">
        <v>565</v>
      </c>
      <c r="AO562" t="s">
        <v>546</v>
      </c>
      <c r="AP562" t="s">
        <v>565</v>
      </c>
      <c r="AQ562" t="s">
        <v>548</v>
      </c>
      <c r="AS562" t="s">
        <v>404</v>
      </c>
      <c r="AX562" s="1">
        <v>1393.2</v>
      </c>
      <c r="AY562" t="s">
        <v>546</v>
      </c>
      <c r="AZ562" t="s">
        <v>566</v>
      </c>
      <c r="BA562" s="1">
        <v>1393.2</v>
      </c>
      <c r="BC562" t="s">
        <v>546</v>
      </c>
      <c r="BD562" s="1">
        <v>1393.2</v>
      </c>
      <c r="BE562" t="s">
        <v>540</v>
      </c>
      <c r="BF562" s="1">
        <v>1393.2</v>
      </c>
      <c r="BH562" s="1">
        <v>1393.2</v>
      </c>
      <c r="BI562" t="s">
        <v>550</v>
      </c>
      <c r="BJ562" t="s">
        <v>642</v>
      </c>
      <c r="BK562" t="s">
        <v>642</v>
      </c>
      <c r="BL562" t="s">
        <v>552</v>
      </c>
      <c r="BM562" t="s">
        <v>3016</v>
      </c>
      <c r="BN562" t="s">
        <v>3239</v>
      </c>
      <c r="BO562" t="s">
        <v>3240</v>
      </c>
      <c r="BR562" t="s">
        <v>546</v>
      </c>
      <c r="BS562" s="1">
        <v>1393.2</v>
      </c>
      <c r="BW562" t="s">
        <v>536</v>
      </c>
      <c r="BX562" s="1">
        <v>1393.2</v>
      </c>
      <c r="BZ562" t="s">
        <v>535</v>
      </c>
      <c r="CA562" t="s">
        <v>546</v>
      </c>
      <c r="CB562" t="s">
        <v>3035</v>
      </c>
      <c r="CC562" t="s">
        <v>556</v>
      </c>
      <c r="CD562" t="s">
        <v>1535</v>
      </c>
      <c r="CE562" t="s">
        <v>1536</v>
      </c>
      <c r="CF562" t="s">
        <v>19</v>
      </c>
      <c r="CG562" s="4">
        <v>1</v>
      </c>
      <c r="CH562" t="s">
        <v>546</v>
      </c>
      <c r="CK562" t="s">
        <v>3235</v>
      </c>
      <c r="CL562" s="1">
        <v>1393.2</v>
      </c>
      <c r="CN562" t="s">
        <v>535</v>
      </c>
      <c r="CO562" t="s">
        <v>539</v>
      </c>
      <c r="CT562" t="s">
        <v>651</v>
      </c>
      <c r="CW562" t="s">
        <v>546</v>
      </c>
      <c r="DD562" t="s">
        <v>561</v>
      </c>
      <c r="DK562" t="s">
        <v>3236</v>
      </c>
      <c r="DL562" t="s">
        <v>3237</v>
      </c>
    </row>
    <row r="563" ht="15" customHeight="1" spans="1:122">
      <c r="A563" t="s">
        <v>530</v>
      </c>
      <c r="B563" t="s">
        <v>3241</v>
      </c>
      <c r="C563" t="s">
        <v>532</v>
      </c>
      <c r="D563" t="s">
        <v>3016</v>
      </c>
      <c r="E563" t="s">
        <v>534</v>
      </c>
      <c r="F563" t="s">
        <v>534</v>
      </c>
      <c r="G563" t="s">
        <v>535</v>
      </c>
      <c r="H563" s="1">
        <v>2984</v>
      </c>
      <c r="I563" s="1">
        <v>2984</v>
      </c>
      <c r="J563" t="s">
        <v>536</v>
      </c>
      <c r="L563" t="s">
        <v>536</v>
      </c>
      <c r="M563" t="s">
        <v>404</v>
      </c>
      <c r="N563" t="s">
        <v>537</v>
      </c>
      <c r="P563" s="1">
        <v>2984</v>
      </c>
      <c r="Q563" t="s">
        <v>642</v>
      </c>
      <c r="R563" t="s">
        <v>535</v>
      </c>
      <c r="S563" t="s">
        <v>539</v>
      </c>
      <c r="T563" s="2">
        <v>1</v>
      </c>
      <c r="U563" s="1">
        <v>2984</v>
      </c>
      <c r="V563" s="1">
        <v>2984</v>
      </c>
      <c r="X563" t="s">
        <v>540</v>
      </c>
      <c r="Z563" t="s">
        <v>541</v>
      </c>
      <c r="AA563" t="s">
        <v>542</v>
      </c>
      <c r="AB563" t="s">
        <v>543</v>
      </c>
      <c r="AC563" t="s">
        <v>544</v>
      </c>
      <c r="AD563" t="s">
        <v>545</v>
      </c>
      <c r="AE563" s="3">
        <v>1</v>
      </c>
      <c r="AF563" t="s">
        <v>235</v>
      </c>
      <c r="AG563" s="1">
        <v>2984</v>
      </c>
      <c r="AI563" s="1">
        <v>2984</v>
      </c>
      <c r="AJ563" s="1">
        <v>2984</v>
      </c>
      <c r="AM563" s="1">
        <v>2984</v>
      </c>
      <c r="AN563" t="s">
        <v>643</v>
      </c>
      <c r="AO563" t="s">
        <v>546</v>
      </c>
      <c r="AP563" t="s">
        <v>643</v>
      </c>
      <c r="AQ563" t="s">
        <v>548</v>
      </c>
      <c r="AS563" t="s">
        <v>404</v>
      </c>
      <c r="AX563" s="1">
        <v>2984</v>
      </c>
      <c r="AY563" t="s">
        <v>546</v>
      </c>
      <c r="AZ563" t="s">
        <v>644</v>
      </c>
      <c r="BA563" s="1">
        <v>2984</v>
      </c>
      <c r="BC563" t="s">
        <v>546</v>
      </c>
      <c r="BD563" s="1">
        <v>2984</v>
      </c>
      <c r="BE563" t="s">
        <v>540</v>
      </c>
      <c r="BF563" s="1">
        <v>2984</v>
      </c>
      <c r="BH563" s="1">
        <v>2984</v>
      </c>
      <c r="BI563" t="s">
        <v>550</v>
      </c>
      <c r="BJ563" t="s">
        <v>642</v>
      </c>
      <c r="BK563" t="s">
        <v>552</v>
      </c>
      <c r="BL563" t="s">
        <v>552</v>
      </c>
      <c r="BM563" t="s">
        <v>3016</v>
      </c>
      <c r="BN563" t="s">
        <v>3242</v>
      </c>
      <c r="BO563" t="s">
        <v>3243</v>
      </c>
      <c r="BR563" t="s">
        <v>546</v>
      </c>
      <c r="BS563" s="1">
        <v>2984</v>
      </c>
      <c r="BW563" t="s">
        <v>536</v>
      </c>
      <c r="BX563" s="1">
        <v>2984</v>
      </c>
      <c r="BZ563" t="s">
        <v>535</v>
      </c>
      <c r="CA563" t="s">
        <v>546</v>
      </c>
      <c r="CB563" t="s">
        <v>3016</v>
      </c>
      <c r="CC563" t="s">
        <v>556</v>
      </c>
      <c r="CD563" t="s">
        <v>961</v>
      </c>
      <c r="CE563" t="s">
        <v>962</v>
      </c>
      <c r="CF563" t="s">
        <v>235</v>
      </c>
      <c r="CG563" s="4">
        <v>1</v>
      </c>
      <c r="CH563" t="s">
        <v>546</v>
      </c>
      <c r="CK563" t="s">
        <v>3244</v>
      </c>
      <c r="CL563" s="1">
        <v>2984</v>
      </c>
      <c r="CN563" t="s">
        <v>535</v>
      </c>
      <c r="CO563" t="s">
        <v>539</v>
      </c>
      <c r="CT563" t="s">
        <v>651</v>
      </c>
      <c r="CW563" t="s">
        <v>546</v>
      </c>
      <c r="DD563" t="s">
        <v>561</v>
      </c>
      <c r="DK563" t="s">
        <v>3245</v>
      </c>
      <c r="DL563" t="s">
        <v>3246</v>
      </c>
      <c r="DR563" t="s">
        <v>3247</v>
      </c>
    </row>
    <row r="564" ht="15" customHeight="1" spans="1:122">
      <c r="A564" t="s">
        <v>530</v>
      </c>
      <c r="B564" t="s">
        <v>3248</v>
      </c>
      <c r="C564" t="s">
        <v>532</v>
      </c>
      <c r="D564" t="s">
        <v>3016</v>
      </c>
      <c r="E564" t="s">
        <v>534</v>
      </c>
      <c r="F564" t="s">
        <v>534</v>
      </c>
      <c r="G564" t="s">
        <v>535</v>
      </c>
      <c r="H564" s="1">
        <v>4295</v>
      </c>
      <c r="I564" s="1">
        <v>4295</v>
      </c>
      <c r="J564" t="s">
        <v>536</v>
      </c>
      <c r="L564" t="s">
        <v>536</v>
      </c>
      <c r="M564" t="s">
        <v>404</v>
      </c>
      <c r="N564" t="s">
        <v>537</v>
      </c>
      <c r="P564" s="1">
        <v>4295</v>
      </c>
      <c r="Q564" t="s">
        <v>642</v>
      </c>
      <c r="R564" t="s">
        <v>535</v>
      </c>
      <c r="S564" t="s">
        <v>539</v>
      </c>
      <c r="T564" s="2">
        <v>1</v>
      </c>
      <c r="U564" s="1">
        <v>4295</v>
      </c>
      <c r="V564" s="1">
        <v>4295</v>
      </c>
      <c r="X564" t="s">
        <v>540</v>
      </c>
      <c r="Z564" t="s">
        <v>541</v>
      </c>
      <c r="AA564" t="s">
        <v>542</v>
      </c>
      <c r="AB564" t="s">
        <v>543</v>
      </c>
      <c r="AC564" t="s">
        <v>544</v>
      </c>
      <c r="AD564" t="s">
        <v>545</v>
      </c>
      <c r="AE564" s="3">
        <v>1</v>
      </c>
      <c r="AF564" t="s">
        <v>236</v>
      </c>
      <c r="AG564" s="1">
        <v>4295</v>
      </c>
      <c r="AI564" s="1">
        <v>4295</v>
      </c>
      <c r="AJ564" s="1">
        <v>4295</v>
      </c>
      <c r="AM564" s="1">
        <v>4295</v>
      </c>
      <c r="AN564" t="s">
        <v>643</v>
      </c>
      <c r="AO564" t="s">
        <v>546</v>
      </c>
      <c r="AP564" t="s">
        <v>643</v>
      </c>
      <c r="AQ564" t="s">
        <v>548</v>
      </c>
      <c r="AS564" t="s">
        <v>404</v>
      </c>
      <c r="AX564" s="1">
        <v>4295</v>
      </c>
      <c r="AY564" t="s">
        <v>546</v>
      </c>
      <c r="AZ564" t="s">
        <v>644</v>
      </c>
      <c r="BA564" s="1">
        <v>4295</v>
      </c>
      <c r="BC564" t="s">
        <v>546</v>
      </c>
      <c r="BD564" s="1">
        <v>4295</v>
      </c>
      <c r="BE564" t="s">
        <v>540</v>
      </c>
      <c r="BF564" s="1">
        <v>4295</v>
      </c>
      <c r="BH564" s="1">
        <v>4295</v>
      </c>
      <c r="BI564" t="s">
        <v>550</v>
      </c>
      <c r="BJ564" t="s">
        <v>642</v>
      </c>
      <c r="BK564" t="s">
        <v>552</v>
      </c>
      <c r="BL564" t="s">
        <v>552</v>
      </c>
      <c r="BM564" t="s">
        <v>3016</v>
      </c>
      <c r="BN564" t="s">
        <v>3249</v>
      </c>
      <c r="BO564" t="s">
        <v>3250</v>
      </c>
      <c r="BR564" t="s">
        <v>546</v>
      </c>
      <c r="BS564" s="1">
        <v>4295</v>
      </c>
      <c r="BW564" t="s">
        <v>536</v>
      </c>
      <c r="BX564" s="1">
        <v>4295</v>
      </c>
      <c r="BZ564" t="s">
        <v>535</v>
      </c>
      <c r="CA564" t="s">
        <v>546</v>
      </c>
      <c r="CB564" t="s">
        <v>3016</v>
      </c>
      <c r="CC564" t="s">
        <v>556</v>
      </c>
      <c r="CD564" t="s">
        <v>711</v>
      </c>
      <c r="CE564" t="s">
        <v>712</v>
      </c>
      <c r="CF564" t="s">
        <v>236</v>
      </c>
      <c r="CG564" s="4">
        <v>1</v>
      </c>
      <c r="CH564" t="s">
        <v>546</v>
      </c>
      <c r="CK564" t="s">
        <v>3251</v>
      </c>
      <c r="CL564" s="1">
        <v>4295</v>
      </c>
      <c r="CN564" t="s">
        <v>535</v>
      </c>
      <c r="CO564" t="s">
        <v>539</v>
      </c>
      <c r="CT564" t="s">
        <v>651</v>
      </c>
      <c r="CW564" t="s">
        <v>546</v>
      </c>
      <c r="DD564" t="s">
        <v>561</v>
      </c>
      <c r="DK564" t="s">
        <v>3245</v>
      </c>
      <c r="DL564" t="s">
        <v>3246</v>
      </c>
      <c r="DR564" t="s">
        <v>3252</v>
      </c>
    </row>
    <row r="565" ht="15" customHeight="1" spans="1:122">
      <c r="A565" t="s">
        <v>603</v>
      </c>
      <c r="B565" t="s">
        <v>3253</v>
      </c>
      <c r="C565" t="s">
        <v>656</v>
      </c>
      <c r="D565" t="s">
        <v>3035</v>
      </c>
      <c r="E565" t="s">
        <v>534</v>
      </c>
      <c r="F565" t="s">
        <v>534</v>
      </c>
      <c r="G565" t="s">
        <v>535</v>
      </c>
      <c r="H565" s="1">
        <v>2200</v>
      </c>
      <c r="I565" s="1">
        <v>2200</v>
      </c>
      <c r="J565" t="s">
        <v>536</v>
      </c>
      <c r="L565" t="s">
        <v>536</v>
      </c>
      <c r="M565" t="s">
        <v>396</v>
      </c>
      <c r="N565" t="s">
        <v>657</v>
      </c>
      <c r="P565" s="1">
        <v>2200</v>
      </c>
      <c r="Q565" t="s">
        <v>658</v>
      </c>
      <c r="R565" t="s">
        <v>535</v>
      </c>
      <c r="S565" t="s">
        <v>539</v>
      </c>
      <c r="T565" s="2">
        <v>1</v>
      </c>
      <c r="U565" s="1">
        <v>2200</v>
      </c>
      <c r="V565" s="1">
        <v>2200</v>
      </c>
      <c r="X565" t="s">
        <v>616</v>
      </c>
      <c r="Z565" t="s">
        <v>541</v>
      </c>
      <c r="AA565" t="s">
        <v>542</v>
      </c>
      <c r="AB565" t="s">
        <v>543</v>
      </c>
      <c r="AC565" t="s">
        <v>608</v>
      </c>
      <c r="AE565" s="3">
        <v>1</v>
      </c>
      <c r="AG565" s="1">
        <v>2200</v>
      </c>
      <c r="AJ565" s="1">
        <v>2200</v>
      </c>
      <c r="AM565" s="1">
        <v>2200</v>
      </c>
      <c r="AN565" t="s">
        <v>680</v>
      </c>
      <c r="AO565" t="s">
        <v>546</v>
      </c>
      <c r="AP565" t="s">
        <v>681</v>
      </c>
      <c r="AQ565" t="s">
        <v>548</v>
      </c>
      <c r="AS565" t="s">
        <v>396</v>
      </c>
      <c r="AX565" s="1">
        <v>2200</v>
      </c>
      <c r="AY565" t="s">
        <v>546</v>
      </c>
      <c r="AZ565" t="s">
        <v>682</v>
      </c>
      <c r="BA565" s="1">
        <v>2200</v>
      </c>
      <c r="BC565" t="s">
        <v>546</v>
      </c>
      <c r="BE565" t="s">
        <v>616</v>
      </c>
      <c r="BH565" s="1">
        <v>2200</v>
      </c>
      <c r="BI565" t="s">
        <v>550</v>
      </c>
      <c r="BJ565" t="s">
        <v>683</v>
      </c>
      <c r="BK565" t="s">
        <v>683</v>
      </c>
      <c r="BL565" t="s">
        <v>552</v>
      </c>
      <c r="BM565" t="s">
        <v>3035</v>
      </c>
      <c r="BN565" t="s">
        <v>3254</v>
      </c>
      <c r="BO565" t="s">
        <v>3255</v>
      </c>
      <c r="BR565" t="s">
        <v>546</v>
      </c>
      <c r="BS565" s="1">
        <v>2200</v>
      </c>
      <c r="BW565" t="s">
        <v>536</v>
      </c>
      <c r="BZ565" t="s">
        <v>535</v>
      </c>
      <c r="CA565" t="s">
        <v>546</v>
      </c>
      <c r="CB565" t="s">
        <v>3035</v>
      </c>
      <c r="CC565" t="s">
        <v>556</v>
      </c>
      <c r="CH565" t="s">
        <v>546</v>
      </c>
      <c r="CK565" t="s">
        <v>3256</v>
      </c>
      <c r="CN565" t="s">
        <v>535</v>
      </c>
      <c r="CO565" t="s">
        <v>539</v>
      </c>
      <c r="CT565" t="s">
        <v>1444</v>
      </c>
      <c r="CW565" t="s">
        <v>546</v>
      </c>
      <c r="DD565" t="s">
        <v>561</v>
      </c>
      <c r="DK565" t="s">
        <v>1445</v>
      </c>
    </row>
    <row r="566" ht="15" customHeight="1" spans="1:122">
      <c r="A566" t="s">
        <v>603</v>
      </c>
      <c r="B566" t="s">
        <v>3257</v>
      </c>
      <c r="C566" t="s">
        <v>532</v>
      </c>
      <c r="D566" t="s">
        <v>3016</v>
      </c>
      <c r="E566" t="s">
        <v>534</v>
      </c>
      <c r="F566" t="s">
        <v>534</v>
      </c>
      <c r="G566" t="s">
        <v>535</v>
      </c>
      <c r="H566" s="1">
        <v>9600</v>
      </c>
      <c r="I566" s="1">
        <v>9600</v>
      </c>
      <c r="J566" t="s">
        <v>536</v>
      </c>
      <c r="L566" t="s">
        <v>536</v>
      </c>
      <c r="M566" t="s">
        <v>377</v>
      </c>
      <c r="N566" t="s">
        <v>537</v>
      </c>
      <c r="P566" s="1">
        <v>9600</v>
      </c>
      <c r="Q566" t="s">
        <v>538</v>
      </c>
      <c r="R566" t="s">
        <v>535</v>
      </c>
      <c r="S566" t="s">
        <v>539</v>
      </c>
      <c r="T566" s="2">
        <v>1</v>
      </c>
      <c r="U566" s="1">
        <v>9600</v>
      </c>
      <c r="V566" s="1">
        <v>9600</v>
      </c>
      <c r="X566" t="s">
        <v>540</v>
      </c>
      <c r="Z566" t="s">
        <v>541</v>
      </c>
      <c r="AA566" t="s">
        <v>542</v>
      </c>
      <c r="AB566" t="s">
        <v>543</v>
      </c>
      <c r="AC566" t="s">
        <v>608</v>
      </c>
      <c r="AE566" s="3">
        <v>1</v>
      </c>
      <c r="AG566" s="1">
        <v>9600</v>
      </c>
      <c r="AI566" s="1">
        <v>9600</v>
      </c>
      <c r="AJ566" s="1">
        <v>9600</v>
      </c>
      <c r="AM566" s="1">
        <v>9600</v>
      </c>
      <c r="AN566" t="s">
        <v>643</v>
      </c>
      <c r="AO566" t="s">
        <v>546</v>
      </c>
      <c r="AP566" t="s">
        <v>643</v>
      </c>
      <c r="AQ566" t="s">
        <v>548</v>
      </c>
      <c r="AS566" t="s">
        <v>377</v>
      </c>
      <c r="AX566" s="1">
        <v>9600</v>
      </c>
      <c r="AY566" t="s">
        <v>546</v>
      </c>
      <c r="AZ566" t="s">
        <v>644</v>
      </c>
      <c r="BA566" s="1">
        <v>9600</v>
      </c>
      <c r="BC566" t="s">
        <v>546</v>
      </c>
      <c r="BE566" t="s">
        <v>540</v>
      </c>
      <c r="BF566" s="1">
        <v>9600</v>
      </c>
      <c r="BH566" s="1">
        <v>9600</v>
      </c>
      <c r="BI566" t="s">
        <v>550</v>
      </c>
      <c r="BJ566" t="s">
        <v>551</v>
      </c>
      <c r="BK566" t="s">
        <v>551</v>
      </c>
      <c r="BL566" t="s">
        <v>552</v>
      </c>
      <c r="BM566" t="s">
        <v>3035</v>
      </c>
      <c r="BN566" t="s">
        <v>3182</v>
      </c>
      <c r="BO566" t="s">
        <v>3258</v>
      </c>
      <c r="BR566" t="s">
        <v>546</v>
      </c>
      <c r="BS566" s="1">
        <v>9600</v>
      </c>
      <c r="BW566" t="s">
        <v>536</v>
      </c>
      <c r="BX566" s="1">
        <v>9600</v>
      </c>
      <c r="BZ566" t="s">
        <v>535</v>
      </c>
      <c r="CA566" t="s">
        <v>546</v>
      </c>
      <c r="CB566" t="s">
        <v>3016</v>
      </c>
      <c r="CC566" t="s">
        <v>556</v>
      </c>
      <c r="CH566" t="s">
        <v>546</v>
      </c>
      <c r="CK566" t="s">
        <v>3259</v>
      </c>
      <c r="CL566" s="1">
        <v>9600</v>
      </c>
      <c r="CN566" t="s">
        <v>535</v>
      </c>
      <c r="CO566" t="s">
        <v>539</v>
      </c>
      <c r="CT566" t="s">
        <v>560</v>
      </c>
      <c r="CW566" t="s">
        <v>546</v>
      </c>
      <c r="DD566" t="s">
        <v>561</v>
      </c>
      <c r="DK566" t="s">
        <v>3026</v>
      </c>
      <c r="DL566" t="s">
        <v>3027</v>
      </c>
      <c r="DR566" t="s">
        <v>3260</v>
      </c>
    </row>
    <row r="567" ht="15" customHeight="1" spans="1:122">
      <c r="A567" t="s">
        <v>603</v>
      </c>
      <c r="B567" t="s">
        <v>3261</v>
      </c>
      <c r="C567" t="s">
        <v>532</v>
      </c>
      <c r="D567" t="s">
        <v>3035</v>
      </c>
      <c r="E567" t="s">
        <v>534</v>
      </c>
      <c r="F567" t="s">
        <v>534</v>
      </c>
      <c r="G567" t="s">
        <v>535</v>
      </c>
      <c r="H567" s="1">
        <v>960</v>
      </c>
      <c r="I567" s="1">
        <v>954.24</v>
      </c>
      <c r="J567" t="s">
        <v>536</v>
      </c>
      <c r="L567" t="s">
        <v>536</v>
      </c>
      <c r="M567" t="s">
        <v>375</v>
      </c>
      <c r="N567" t="s">
        <v>537</v>
      </c>
      <c r="P567" s="1">
        <v>960</v>
      </c>
      <c r="Q567" t="s">
        <v>580</v>
      </c>
      <c r="R567" t="s">
        <v>535</v>
      </c>
      <c r="S567" t="s">
        <v>539</v>
      </c>
      <c r="T567" s="2">
        <v>1</v>
      </c>
      <c r="U567" s="1">
        <v>960</v>
      </c>
      <c r="V567" s="1">
        <v>954.24</v>
      </c>
      <c r="X567" t="s">
        <v>540</v>
      </c>
      <c r="Z567" t="s">
        <v>541</v>
      </c>
      <c r="AA567" t="s">
        <v>542</v>
      </c>
      <c r="AB567" t="s">
        <v>543</v>
      </c>
      <c r="AC567" t="s">
        <v>608</v>
      </c>
      <c r="AE567" s="3">
        <v>1</v>
      </c>
      <c r="AG567" s="1">
        <v>960</v>
      </c>
      <c r="AI567" s="1">
        <v>960</v>
      </c>
      <c r="AJ567" s="1">
        <v>960</v>
      </c>
      <c r="AK567" s="1">
        <v>5.76</v>
      </c>
      <c r="AM567" s="1">
        <v>954.24</v>
      </c>
      <c r="AN567" t="s">
        <v>536</v>
      </c>
      <c r="AO567" t="s">
        <v>546</v>
      </c>
      <c r="AP567" t="s">
        <v>547</v>
      </c>
      <c r="AQ567" t="s">
        <v>548</v>
      </c>
      <c r="AS567" t="s">
        <v>375</v>
      </c>
      <c r="AX567" s="1">
        <v>960</v>
      </c>
      <c r="AY567" t="s">
        <v>546</v>
      </c>
      <c r="AZ567" t="s">
        <v>549</v>
      </c>
      <c r="BA567" s="1">
        <v>960</v>
      </c>
      <c r="BC567" t="s">
        <v>546</v>
      </c>
      <c r="BE567" t="s">
        <v>540</v>
      </c>
      <c r="BF567" s="1">
        <v>960</v>
      </c>
      <c r="BG567" s="1">
        <v>5.76</v>
      </c>
      <c r="BH567" s="1">
        <v>954.24</v>
      </c>
      <c r="BI567" t="s">
        <v>550</v>
      </c>
      <c r="BJ567" t="s">
        <v>551</v>
      </c>
      <c r="BK567" t="s">
        <v>552</v>
      </c>
      <c r="BL567" t="s">
        <v>552</v>
      </c>
      <c r="BM567" t="s">
        <v>3035</v>
      </c>
      <c r="BN567" t="s">
        <v>3262</v>
      </c>
      <c r="BO567" t="s">
        <v>3263</v>
      </c>
      <c r="BR567" t="s">
        <v>546</v>
      </c>
      <c r="BS567" s="1">
        <v>960</v>
      </c>
      <c r="BW567" t="s">
        <v>536</v>
      </c>
      <c r="BX567" s="1">
        <v>960</v>
      </c>
      <c r="BZ567" t="s">
        <v>535</v>
      </c>
      <c r="CA567" t="s">
        <v>546</v>
      </c>
      <c r="CB567" t="s">
        <v>3035</v>
      </c>
      <c r="CC567" t="s">
        <v>556</v>
      </c>
      <c r="CH567" t="s">
        <v>546</v>
      </c>
      <c r="CK567" t="s">
        <v>3264</v>
      </c>
      <c r="CL567" s="1">
        <v>960</v>
      </c>
      <c r="CN567" t="s">
        <v>535</v>
      </c>
      <c r="CO567" t="s">
        <v>539</v>
      </c>
      <c r="CT567" t="s">
        <v>576</v>
      </c>
      <c r="CW567" t="s">
        <v>546</v>
      </c>
      <c r="DD567" t="s">
        <v>561</v>
      </c>
      <c r="DK567" t="s">
        <v>3265</v>
      </c>
    </row>
    <row r="568" ht="15" customHeight="1" spans="1:122">
      <c r="A568" t="s">
        <v>603</v>
      </c>
      <c r="B568" t="s">
        <v>3266</v>
      </c>
      <c r="C568" t="s">
        <v>532</v>
      </c>
      <c r="D568" t="s">
        <v>3035</v>
      </c>
      <c r="E568" t="s">
        <v>534</v>
      </c>
      <c r="F568" t="s">
        <v>534</v>
      </c>
      <c r="G568" t="s">
        <v>535</v>
      </c>
      <c r="H568" s="1">
        <v>240</v>
      </c>
      <c r="I568" s="1">
        <v>240</v>
      </c>
      <c r="J568" t="s">
        <v>536</v>
      </c>
      <c r="L568" t="s">
        <v>536</v>
      </c>
      <c r="M568" t="s">
        <v>375</v>
      </c>
      <c r="N568" t="s">
        <v>537</v>
      </c>
      <c r="P568" s="1">
        <v>240</v>
      </c>
      <c r="Q568" t="s">
        <v>580</v>
      </c>
      <c r="R568" t="s">
        <v>535</v>
      </c>
      <c r="S568" t="s">
        <v>539</v>
      </c>
      <c r="T568" s="2">
        <v>1</v>
      </c>
      <c r="U568" s="1">
        <v>240</v>
      </c>
      <c r="V568" s="1">
        <v>240</v>
      </c>
      <c r="X568" t="s">
        <v>540</v>
      </c>
      <c r="Z568" t="s">
        <v>541</v>
      </c>
      <c r="AA568" t="s">
        <v>542</v>
      </c>
      <c r="AB568" t="s">
        <v>543</v>
      </c>
      <c r="AC568" t="s">
        <v>608</v>
      </c>
      <c r="AE568" s="3">
        <v>1</v>
      </c>
      <c r="AG568" s="1">
        <v>240</v>
      </c>
      <c r="AI568" s="1">
        <v>240</v>
      </c>
      <c r="AJ568" s="1">
        <v>240</v>
      </c>
      <c r="AM568" s="1">
        <v>240</v>
      </c>
      <c r="AN568" t="s">
        <v>565</v>
      </c>
      <c r="AO568" t="s">
        <v>546</v>
      </c>
      <c r="AP568" t="s">
        <v>565</v>
      </c>
      <c r="AQ568" t="s">
        <v>548</v>
      </c>
      <c r="AS568" t="s">
        <v>375</v>
      </c>
      <c r="AX568" s="1">
        <v>240</v>
      </c>
      <c r="AY568" t="s">
        <v>546</v>
      </c>
      <c r="AZ568" t="s">
        <v>566</v>
      </c>
      <c r="BA568" s="1">
        <v>240</v>
      </c>
      <c r="BC568" t="s">
        <v>546</v>
      </c>
      <c r="BE568" t="s">
        <v>540</v>
      </c>
      <c r="BF568" s="1">
        <v>240</v>
      </c>
      <c r="BH568" s="1">
        <v>240</v>
      </c>
      <c r="BI568" t="s">
        <v>550</v>
      </c>
      <c r="BJ568" t="s">
        <v>551</v>
      </c>
      <c r="BK568" t="s">
        <v>551</v>
      </c>
      <c r="BL568" t="s">
        <v>552</v>
      </c>
      <c r="BM568" t="s">
        <v>3035</v>
      </c>
      <c r="BN568" t="s">
        <v>3267</v>
      </c>
      <c r="BO568" t="s">
        <v>3268</v>
      </c>
      <c r="BR568" t="s">
        <v>546</v>
      </c>
      <c r="BS568" s="1">
        <v>240</v>
      </c>
      <c r="BW568" t="s">
        <v>536</v>
      </c>
      <c r="BX568" s="1">
        <v>240</v>
      </c>
      <c r="BZ568" t="s">
        <v>535</v>
      </c>
      <c r="CA568" t="s">
        <v>546</v>
      </c>
      <c r="CB568" t="s">
        <v>3035</v>
      </c>
      <c r="CC568" t="s">
        <v>556</v>
      </c>
      <c r="CH568" t="s">
        <v>546</v>
      </c>
      <c r="CK568" t="s">
        <v>3264</v>
      </c>
      <c r="CL568" s="1">
        <v>240</v>
      </c>
      <c r="CN568" t="s">
        <v>535</v>
      </c>
      <c r="CO568" t="s">
        <v>539</v>
      </c>
      <c r="CT568" t="s">
        <v>576</v>
      </c>
      <c r="CW568" t="s">
        <v>546</v>
      </c>
      <c r="DD568" t="s">
        <v>561</v>
      </c>
      <c r="DK568" t="s">
        <v>3265</v>
      </c>
    </row>
    <row r="569" ht="15" customHeight="1" spans="1:122">
      <c r="A569" t="s">
        <v>530</v>
      </c>
      <c r="B569" t="s">
        <v>3269</v>
      </c>
      <c r="C569" t="s">
        <v>532</v>
      </c>
      <c r="D569" t="s">
        <v>3016</v>
      </c>
      <c r="E569" t="s">
        <v>534</v>
      </c>
      <c r="F569" t="s">
        <v>534</v>
      </c>
      <c r="G569" t="s">
        <v>535</v>
      </c>
      <c r="H569" s="1">
        <v>808</v>
      </c>
      <c r="I569" s="1">
        <v>808</v>
      </c>
      <c r="J569" t="s">
        <v>536</v>
      </c>
      <c r="L569" t="s">
        <v>536</v>
      </c>
      <c r="M569" t="s">
        <v>376</v>
      </c>
      <c r="N569" t="s">
        <v>537</v>
      </c>
      <c r="P569" s="1">
        <v>808</v>
      </c>
      <c r="Q569" t="s">
        <v>1105</v>
      </c>
      <c r="R569" t="s">
        <v>535</v>
      </c>
      <c r="S569" t="s">
        <v>539</v>
      </c>
      <c r="T569" s="2">
        <v>1</v>
      </c>
      <c r="U569" s="1">
        <v>808</v>
      </c>
      <c r="V569" s="1">
        <v>808</v>
      </c>
      <c r="X569" t="s">
        <v>540</v>
      </c>
      <c r="Z569" t="s">
        <v>541</v>
      </c>
      <c r="AA569" t="s">
        <v>542</v>
      </c>
      <c r="AB569" t="s">
        <v>543</v>
      </c>
      <c r="AC569" t="s">
        <v>544</v>
      </c>
      <c r="AD569" t="s">
        <v>545</v>
      </c>
      <c r="AE569" s="3">
        <v>1</v>
      </c>
      <c r="AF569" t="s">
        <v>249</v>
      </c>
      <c r="AG569" s="1">
        <v>808</v>
      </c>
      <c r="AI569" s="1">
        <v>808</v>
      </c>
      <c r="AJ569" s="1">
        <v>808</v>
      </c>
      <c r="AM569" s="1">
        <v>808</v>
      </c>
      <c r="AN569" t="s">
        <v>536</v>
      </c>
      <c r="AO569" t="s">
        <v>546</v>
      </c>
      <c r="AP569" t="s">
        <v>547</v>
      </c>
      <c r="AQ569" t="s">
        <v>548</v>
      </c>
      <c r="AS569" t="s">
        <v>376</v>
      </c>
      <c r="AX569" s="1">
        <v>808</v>
      </c>
      <c r="AY569" t="s">
        <v>546</v>
      </c>
      <c r="AZ569" t="s">
        <v>549</v>
      </c>
      <c r="BA569" s="1">
        <v>808</v>
      </c>
      <c r="BC569" t="s">
        <v>546</v>
      </c>
      <c r="BD569" s="1">
        <v>808</v>
      </c>
      <c r="BE569" t="s">
        <v>540</v>
      </c>
      <c r="BF569" s="1">
        <v>808</v>
      </c>
      <c r="BH569" s="1">
        <v>808</v>
      </c>
      <c r="BI569" t="s">
        <v>550</v>
      </c>
      <c r="BJ569" t="s">
        <v>1105</v>
      </c>
      <c r="BK569" t="s">
        <v>552</v>
      </c>
      <c r="BL569" t="s">
        <v>552</v>
      </c>
      <c r="BM569" t="s">
        <v>3035</v>
      </c>
      <c r="BN569" t="s">
        <v>3270</v>
      </c>
      <c r="BO569" t="s">
        <v>3271</v>
      </c>
      <c r="BR569" t="s">
        <v>546</v>
      </c>
      <c r="BS569" s="1">
        <v>808</v>
      </c>
      <c r="BW569" t="s">
        <v>536</v>
      </c>
      <c r="BX569" s="1">
        <v>808</v>
      </c>
      <c r="BZ569" t="s">
        <v>535</v>
      </c>
      <c r="CA569" t="s">
        <v>546</v>
      </c>
      <c r="CB569" t="s">
        <v>3016</v>
      </c>
      <c r="CC569" t="s">
        <v>556</v>
      </c>
      <c r="CD569" t="s">
        <v>1108</v>
      </c>
      <c r="CE569" t="s">
        <v>1109</v>
      </c>
      <c r="CF569" t="s">
        <v>249</v>
      </c>
      <c r="CG569" s="4">
        <v>1</v>
      </c>
      <c r="CH569" t="s">
        <v>546</v>
      </c>
      <c r="CK569" t="s">
        <v>3272</v>
      </c>
      <c r="CL569" s="1">
        <v>808</v>
      </c>
      <c r="CN569" t="s">
        <v>535</v>
      </c>
      <c r="CO569" t="s">
        <v>539</v>
      </c>
      <c r="CT569" t="s">
        <v>576</v>
      </c>
      <c r="CW569" t="s">
        <v>546</v>
      </c>
      <c r="DD569" t="s">
        <v>561</v>
      </c>
      <c r="DK569" t="s">
        <v>1111</v>
      </c>
      <c r="DL569" t="s">
        <v>3273</v>
      </c>
    </row>
    <row r="570" ht="15" customHeight="1" spans="1:122">
      <c r="A570" t="s">
        <v>530</v>
      </c>
      <c r="B570" t="s">
        <v>3274</v>
      </c>
      <c r="C570" t="s">
        <v>532</v>
      </c>
      <c r="D570" t="s">
        <v>3016</v>
      </c>
      <c r="E570" t="s">
        <v>534</v>
      </c>
      <c r="F570" t="s">
        <v>534</v>
      </c>
      <c r="G570" t="s">
        <v>535</v>
      </c>
      <c r="H570" s="1">
        <v>5597</v>
      </c>
      <c r="I570" s="1">
        <v>5597</v>
      </c>
      <c r="J570" t="s">
        <v>536</v>
      </c>
      <c r="L570" t="s">
        <v>536</v>
      </c>
      <c r="M570" t="s">
        <v>371</v>
      </c>
      <c r="N570" t="s">
        <v>537</v>
      </c>
      <c r="P570" s="1">
        <v>5597</v>
      </c>
      <c r="Q570" t="s">
        <v>1060</v>
      </c>
      <c r="R570" t="s">
        <v>535</v>
      </c>
      <c r="S570" t="s">
        <v>539</v>
      </c>
      <c r="T570" s="2">
        <v>1</v>
      </c>
      <c r="U570" s="1">
        <v>5597</v>
      </c>
      <c r="V570" s="1">
        <v>5597</v>
      </c>
      <c r="X570" t="s">
        <v>540</v>
      </c>
      <c r="Z570" t="s">
        <v>541</v>
      </c>
      <c r="AA570" t="s">
        <v>542</v>
      </c>
      <c r="AB570" t="s">
        <v>934</v>
      </c>
      <c r="AC570" t="s">
        <v>544</v>
      </c>
      <c r="AD570" t="s">
        <v>545</v>
      </c>
      <c r="AE570" s="3">
        <v>1</v>
      </c>
      <c r="AF570" t="s">
        <v>229</v>
      </c>
      <c r="AG570" s="1">
        <v>5597</v>
      </c>
      <c r="AI570" s="1">
        <v>5597</v>
      </c>
      <c r="AJ570" s="1">
        <v>5597</v>
      </c>
      <c r="AM570" s="1">
        <v>5597</v>
      </c>
      <c r="AN570" t="s">
        <v>643</v>
      </c>
      <c r="AO570" t="s">
        <v>546</v>
      </c>
      <c r="AP570" t="s">
        <v>643</v>
      </c>
      <c r="AQ570" t="s">
        <v>548</v>
      </c>
      <c r="AS570" t="s">
        <v>371</v>
      </c>
      <c r="AX570" s="1">
        <v>5597</v>
      </c>
      <c r="AY570" t="s">
        <v>546</v>
      </c>
      <c r="AZ570" t="s">
        <v>644</v>
      </c>
      <c r="BA570" s="1">
        <v>5597</v>
      </c>
      <c r="BC570" t="s">
        <v>546</v>
      </c>
      <c r="BD570" s="1">
        <v>5597</v>
      </c>
      <c r="BE570" t="s">
        <v>540</v>
      </c>
      <c r="BF570" s="1">
        <v>5597</v>
      </c>
      <c r="BH570" s="1">
        <v>5597</v>
      </c>
      <c r="BI570" t="s">
        <v>550</v>
      </c>
      <c r="BJ570" t="s">
        <v>1060</v>
      </c>
      <c r="BK570" t="s">
        <v>1060</v>
      </c>
      <c r="BL570" t="s">
        <v>552</v>
      </c>
      <c r="BM570" t="s">
        <v>3035</v>
      </c>
      <c r="BN570" t="s">
        <v>3275</v>
      </c>
      <c r="BO570" t="s">
        <v>3276</v>
      </c>
      <c r="BR570" t="s">
        <v>546</v>
      </c>
      <c r="BS570" s="1">
        <v>5597</v>
      </c>
      <c r="BW570" t="s">
        <v>536</v>
      </c>
      <c r="BX570" s="1">
        <v>5597</v>
      </c>
      <c r="BZ570" t="s">
        <v>535</v>
      </c>
      <c r="CA570" t="s">
        <v>546</v>
      </c>
      <c r="CB570" t="s">
        <v>3016</v>
      </c>
      <c r="CC570" t="s">
        <v>556</v>
      </c>
      <c r="CD570" t="s">
        <v>1728</v>
      </c>
      <c r="CE570" t="s">
        <v>1729</v>
      </c>
      <c r="CF570" t="s">
        <v>229</v>
      </c>
      <c r="CG570" s="4">
        <v>1</v>
      </c>
      <c r="CH570" t="s">
        <v>546</v>
      </c>
      <c r="CK570" t="s">
        <v>3277</v>
      </c>
      <c r="CL570" s="1">
        <v>5597</v>
      </c>
      <c r="CN570" t="s">
        <v>535</v>
      </c>
      <c r="CO570" t="s">
        <v>539</v>
      </c>
      <c r="CT570" t="s">
        <v>576</v>
      </c>
      <c r="CW570" t="s">
        <v>546</v>
      </c>
      <c r="DD570" t="s">
        <v>561</v>
      </c>
      <c r="DK570" t="s">
        <v>3278</v>
      </c>
      <c r="DL570" t="s">
        <v>3279</v>
      </c>
      <c r="DR570" t="s">
        <v>3280</v>
      </c>
    </row>
    <row r="571" ht="15" customHeight="1" spans="1:122">
      <c r="A571" t="s">
        <v>530</v>
      </c>
      <c r="B571" t="s">
        <v>3281</v>
      </c>
      <c r="C571" t="s">
        <v>532</v>
      </c>
      <c r="D571" t="s">
        <v>3035</v>
      </c>
      <c r="E571" t="s">
        <v>534</v>
      </c>
      <c r="F571" t="s">
        <v>534</v>
      </c>
      <c r="G571" t="s">
        <v>535</v>
      </c>
      <c r="H571" s="1">
        <v>4003</v>
      </c>
      <c r="I571" s="1">
        <v>3994.39</v>
      </c>
      <c r="J571" t="s">
        <v>536</v>
      </c>
      <c r="L571" t="s">
        <v>536</v>
      </c>
      <c r="M571" t="s">
        <v>376</v>
      </c>
      <c r="N571" t="s">
        <v>537</v>
      </c>
      <c r="P571" s="1">
        <v>4003</v>
      </c>
      <c r="Q571" t="s">
        <v>1105</v>
      </c>
      <c r="R571" t="s">
        <v>535</v>
      </c>
      <c r="S571" t="s">
        <v>539</v>
      </c>
      <c r="T571" s="2">
        <v>1</v>
      </c>
      <c r="U571" s="1">
        <v>4003</v>
      </c>
      <c r="V571" s="1">
        <v>3994.39</v>
      </c>
      <c r="X571" t="s">
        <v>540</v>
      </c>
      <c r="Z571" t="s">
        <v>541</v>
      </c>
      <c r="AA571" t="s">
        <v>542</v>
      </c>
      <c r="AB571" t="s">
        <v>659</v>
      </c>
      <c r="AC571" t="s">
        <v>544</v>
      </c>
      <c r="AD571" t="s">
        <v>545</v>
      </c>
      <c r="AE571" s="3">
        <v>1</v>
      </c>
      <c r="AF571" t="s">
        <v>241</v>
      </c>
      <c r="AG571" s="1">
        <v>4003</v>
      </c>
      <c r="AI571" s="1">
        <v>4003</v>
      </c>
      <c r="AJ571" s="1">
        <v>4003</v>
      </c>
      <c r="AK571" s="1">
        <v>8.61</v>
      </c>
      <c r="AM571" s="1">
        <v>3994.39</v>
      </c>
      <c r="AN571" t="s">
        <v>536</v>
      </c>
      <c r="AO571" t="s">
        <v>546</v>
      </c>
      <c r="AP571" t="s">
        <v>547</v>
      </c>
      <c r="AQ571" t="s">
        <v>548</v>
      </c>
      <c r="AS571" t="s">
        <v>376</v>
      </c>
      <c r="AX571" s="1">
        <v>4003</v>
      </c>
      <c r="AY571" t="s">
        <v>546</v>
      </c>
      <c r="AZ571" t="s">
        <v>549</v>
      </c>
      <c r="BA571" s="1">
        <v>4003</v>
      </c>
      <c r="BC571" t="s">
        <v>546</v>
      </c>
      <c r="BD571" s="1">
        <v>4003</v>
      </c>
      <c r="BE571" t="s">
        <v>540</v>
      </c>
      <c r="BF571" s="1">
        <v>4003</v>
      </c>
      <c r="BG571" s="1">
        <v>8.61</v>
      </c>
      <c r="BH571" s="1">
        <v>3994.39</v>
      </c>
      <c r="BI571" t="s">
        <v>550</v>
      </c>
      <c r="BJ571" t="s">
        <v>551</v>
      </c>
      <c r="BK571" t="s">
        <v>552</v>
      </c>
      <c r="BL571" t="s">
        <v>552</v>
      </c>
      <c r="BM571" t="s">
        <v>3035</v>
      </c>
      <c r="BN571" t="s">
        <v>3282</v>
      </c>
      <c r="BO571" t="s">
        <v>3283</v>
      </c>
      <c r="BR571" t="s">
        <v>546</v>
      </c>
      <c r="BS571" s="1">
        <v>4003</v>
      </c>
      <c r="BW571" t="s">
        <v>536</v>
      </c>
      <c r="BX571" s="1">
        <v>4003</v>
      </c>
      <c r="BZ571" t="s">
        <v>535</v>
      </c>
      <c r="CA571" t="s">
        <v>546</v>
      </c>
      <c r="CB571" t="s">
        <v>3035</v>
      </c>
      <c r="CC571" t="s">
        <v>556</v>
      </c>
      <c r="CD571" t="s">
        <v>648</v>
      </c>
      <c r="CE571" t="s">
        <v>649</v>
      </c>
      <c r="CF571" t="s">
        <v>241</v>
      </c>
      <c r="CG571" s="4">
        <v>1</v>
      </c>
      <c r="CH571" t="s">
        <v>546</v>
      </c>
      <c r="CK571" t="s">
        <v>3284</v>
      </c>
      <c r="CL571" s="1">
        <v>4003</v>
      </c>
      <c r="CN571" t="s">
        <v>535</v>
      </c>
      <c r="CO571" t="s">
        <v>539</v>
      </c>
      <c r="CT571" t="s">
        <v>576</v>
      </c>
      <c r="CW571" t="s">
        <v>546</v>
      </c>
      <c r="DD571" t="s">
        <v>561</v>
      </c>
      <c r="DK571" t="s">
        <v>3285</v>
      </c>
      <c r="DL571" t="s">
        <v>3286</v>
      </c>
    </row>
    <row r="572" ht="15" customHeight="1" spans="1:122">
      <c r="A572" t="s">
        <v>530</v>
      </c>
      <c r="B572" t="s">
        <v>3287</v>
      </c>
      <c r="C572" t="s">
        <v>532</v>
      </c>
      <c r="D572" t="s">
        <v>3016</v>
      </c>
      <c r="E572" t="s">
        <v>534</v>
      </c>
      <c r="F572" t="s">
        <v>534</v>
      </c>
      <c r="G572" t="s">
        <v>535</v>
      </c>
      <c r="H572" s="1">
        <v>4002</v>
      </c>
      <c r="I572" s="1">
        <v>4002</v>
      </c>
      <c r="J572" t="s">
        <v>536</v>
      </c>
      <c r="L572" t="s">
        <v>536</v>
      </c>
      <c r="M572" t="s">
        <v>371</v>
      </c>
      <c r="N572" t="s">
        <v>537</v>
      </c>
      <c r="P572" s="1">
        <v>4002</v>
      </c>
      <c r="Q572" t="s">
        <v>1060</v>
      </c>
      <c r="R572" t="s">
        <v>535</v>
      </c>
      <c r="S572" t="s">
        <v>539</v>
      </c>
      <c r="T572" s="2">
        <v>1</v>
      </c>
      <c r="U572" s="1">
        <v>4002</v>
      </c>
      <c r="V572" s="1">
        <v>4002</v>
      </c>
      <c r="X572" t="s">
        <v>540</v>
      </c>
      <c r="Z572" t="s">
        <v>541</v>
      </c>
      <c r="AA572" t="s">
        <v>542</v>
      </c>
      <c r="AB572" t="s">
        <v>543</v>
      </c>
      <c r="AC572" t="s">
        <v>544</v>
      </c>
      <c r="AD572" t="s">
        <v>545</v>
      </c>
      <c r="AE572" s="3">
        <v>1</v>
      </c>
      <c r="AF572" t="s">
        <v>242</v>
      </c>
      <c r="AG572" s="1">
        <v>4002</v>
      </c>
      <c r="AI572" s="1">
        <v>4002</v>
      </c>
      <c r="AJ572" s="1">
        <v>4002</v>
      </c>
      <c r="AM572" s="1">
        <v>4002</v>
      </c>
      <c r="AN572" t="s">
        <v>643</v>
      </c>
      <c r="AO572" t="s">
        <v>546</v>
      </c>
      <c r="AP572" t="s">
        <v>643</v>
      </c>
      <c r="AQ572" t="s">
        <v>548</v>
      </c>
      <c r="AS572" t="s">
        <v>371</v>
      </c>
      <c r="AX572" s="1">
        <v>4002</v>
      </c>
      <c r="AY572" t="s">
        <v>546</v>
      </c>
      <c r="AZ572" t="s">
        <v>644</v>
      </c>
      <c r="BA572" s="1">
        <v>4002</v>
      </c>
      <c r="BC572" t="s">
        <v>546</v>
      </c>
      <c r="BD572" s="1">
        <v>4002</v>
      </c>
      <c r="BE572" t="s">
        <v>540</v>
      </c>
      <c r="BF572" s="1">
        <v>4002</v>
      </c>
      <c r="BH572" s="1">
        <v>4002</v>
      </c>
      <c r="BI572" t="s">
        <v>550</v>
      </c>
      <c r="BJ572" t="s">
        <v>1060</v>
      </c>
      <c r="BK572" t="s">
        <v>1060</v>
      </c>
      <c r="BL572" t="s">
        <v>552</v>
      </c>
      <c r="BM572" t="s">
        <v>3035</v>
      </c>
      <c r="BN572" t="s">
        <v>3288</v>
      </c>
      <c r="BO572" t="s">
        <v>3289</v>
      </c>
      <c r="BR572" t="s">
        <v>546</v>
      </c>
      <c r="BS572" s="1">
        <v>4002</v>
      </c>
      <c r="BW572" t="s">
        <v>536</v>
      </c>
      <c r="BX572" s="1">
        <v>4002</v>
      </c>
      <c r="BZ572" t="s">
        <v>535</v>
      </c>
      <c r="CA572" t="s">
        <v>546</v>
      </c>
      <c r="CB572" t="s">
        <v>3016</v>
      </c>
      <c r="CC572" t="s">
        <v>556</v>
      </c>
      <c r="CD572" t="s">
        <v>648</v>
      </c>
      <c r="CE572" t="s">
        <v>649</v>
      </c>
      <c r="CF572" t="s">
        <v>242</v>
      </c>
      <c r="CG572" s="4">
        <v>1</v>
      </c>
      <c r="CH572" t="s">
        <v>546</v>
      </c>
      <c r="CK572" t="s">
        <v>3290</v>
      </c>
      <c r="CL572" s="1">
        <v>4002</v>
      </c>
      <c r="CN572" t="s">
        <v>535</v>
      </c>
      <c r="CO572" t="s">
        <v>539</v>
      </c>
      <c r="CT572" t="s">
        <v>576</v>
      </c>
      <c r="CW572" t="s">
        <v>546</v>
      </c>
      <c r="DD572" t="s">
        <v>561</v>
      </c>
      <c r="DK572" t="s">
        <v>3291</v>
      </c>
      <c r="DL572" t="s">
        <v>3292</v>
      </c>
      <c r="DR572" t="s">
        <v>3293</v>
      </c>
    </row>
    <row r="573" ht="15" customHeight="1" spans="1:122">
      <c r="A573" t="s">
        <v>530</v>
      </c>
      <c r="B573" t="s">
        <v>3294</v>
      </c>
      <c r="C573" t="s">
        <v>532</v>
      </c>
      <c r="D573" t="s">
        <v>3016</v>
      </c>
      <c r="E573" t="s">
        <v>534</v>
      </c>
      <c r="F573" t="s">
        <v>534</v>
      </c>
      <c r="G573" t="s">
        <v>535</v>
      </c>
      <c r="H573" s="1">
        <v>4020</v>
      </c>
      <c r="I573" s="1">
        <v>4020</v>
      </c>
      <c r="J573" t="s">
        <v>536</v>
      </c>
      <c r="L573" t="s">
        <v>536</v>
      </c>
      <c r="M573" t="s">
        <v>376</v>
      </c>
      <c r="N573" t="s">
        <v>537</v>
      </c>
      <c r="P573" s="1">
        <v>4020</v>
      </c>
      <c r="Q573" t="s">
        <v>1105</v>
      </c>
      <c r="R573" t="s">
        <v>535</v>
      </c>
      <c r="S573" t="s">
        <v>539</v>
      </c>
      <c r="T573" s="2">
        <v>1</v>
      </c>
      <c r="U573" s="1">
        <v>4020</v>
      </c>
      <c r="V573" s="1">
        <v>4020</v>
      </c>
      <c r="X573" t="s">
        <v>540</v>
      </c>
      <c r="Z573" t="s">
        <v>541</v>
      </c>
      <c r="AA573" t="s">
        <v>542</v>
      </c>
      <c r="AB573" t="s">
        <v>543</v>
      </c>
      <c r="AC573" t="s">
        <v>544</v>
      </c>
      <c r="AD573" t="s">
        <v>545</v>
      </c>
      <c r="AE573" s="3">
        <v>1</v>
      </c>
      <c r="AF573" t="s">
        <v>237</v>
      </c>
      <c r="AG573" s="1">
        <v>4020</v>
      </c>
      <c r="AI573" s="1">
        <v>4020</v>
      </c>
      <c r="AJ573" s="1">
        <v>4020</v>
      </c>
      <c r="AM573" s="1">
        <v>4020</v>
      </c>
      <c r="AN573" t="s">
        <v>643</v>
      </c>
      <c r="AO573" t="s">
        <v>546</v>
      </c>
      <c r="AP573" t="s">
        <v>643</v>
      </c>
      <c r="AQ573" t="s">
        <v>548</v>
      </c>
      <c r="AS573" t="s">
        <v>376</v>
      </c>
      <c r="AX573" s="1">
        <v>4020</v>
      </c>
      <c r="AY573" t="s">
        <v>546</v>
      </c>
      <c r="AZ573" t="s">
        <v>644</v>
      </c>
      <c r="BA573" s="1">
        <v>4020</v>
      </c>
      <c r="BC573" t="s">
        <v>546</v>
      </c>
      <c r="BD573" s="1">
        <v>4020</v>
      </c>
      <c r="BE573" t="s">
        <v>540</v>
      </c>
      <c r="BF573" s="1">
        <v>4020</v>
      </c>
      <c r="BH573" s="1">
        <v>4020</v>
      </c>
      <c r="BI573" t="s">
        <v>550</v>
      </c>
      <c r="BJ573" t="s">
        <v>1105</v>
      </c>
      <c r="BK573" t="s">
        <v>1105</v>
      </c>
      <c r="BL573" t="s">
        <v>552</v>
      </c>
      <c r="BM573" t="s">
        <v>3035</v>
      </c>
      <c r="BN573" t="s">
        <v>3295</v>
      </c>
      <c r="BO573" t="s">
        <v>3296</v>
      </c>
      <c r="BR573" t="s">
        <v>546</v>
      </c>
      <c r="BS573" s="1">
        <v>4020</v>
      </c>
      <c r="BW573" t="s">
        <v>536</v>
      </c>
      <c r="BX573" s="1">
        <v>4020</v>
      </c>
      <c r="BZ573" t="s">
        <v>535</v>
      </c>
      <c r="CA573" t="s">
        <v>546</v>
      </c>
      <c r="CB573" t="s">
        <v>3016</v>
      </c>
      <c r="CC573" t="s">
        <v>556</v>
      </c>
      <c r="CD573" t="s">
        <v>1161</v>
      </c>
      <c r="CE573" t="s">
        <v>1162</v>
      </c>
      <c r="CF573" t="s">
        <v>237</v>
      </c>
      <c r="CG573" s="4">
        <v>1</v>
      </c>
      <c r="CH573" t="s">
        <v>546</v>
      </c>
      <c r="CK573" t="s">
        <v>3297</v>
      </c>
      <c r="CL573" s="1">
        <v>4020</v>
      </c>
      <c r="CN573" t="s">
        <v>535</v>
      </c>
      <c r="CO573" t="s">
        <v>539</v>
      </c>
      <c r="CT573" t="s">
        <v>576</v>
      </c>
      <c r="CW573" t="s">
        <v>546</v>
      </c>
      <c r="DD573" t="s">
        <v>561</v>
      </c>
      <c r="DK573" t="s">
        <v>3298</v>
      </c>
      <c r="DL573" t="s">
        <v>3299</v>
      </c>
      <c r="DR573" t="s">
        <v>3300</v>
      </c>
    </row>
    <row r="574" ht="15" customHeight="1" spans="1:122">
      <c r="A574" t="s">
        <v>530</v>
      </c>
      <c r="B574" t="s">
        <v>3301</v>
      </c>
      <c r="C574" t="s">
        <v>532</v>
      </c>
      <c r="D574" t="s">
        <v>3016</v>
      </c>
      <c r="E574" t="s">
        <v>534</v>
      </c>
      <c r="F574" t="s">
        <v>534</v>
      </c>
      <c r="G574" t="s">
        <v>535</v>
      </c>
      <c r="H574" s="1">
        <v>4180</v>
      </c>
      <c r="I574" s="1">
        <v>4180</v>
      </c>
      <c r="J574" t="s">
        <v>536</v>
      </c>
      <c r="L574" t="s">
        <v>536</v>
      </c>
      <c r="M574" t="s">
        <v>377</v>
      </c>
      <c r="N574" t="s">
        <v>537</v>
      </c>
      <c r="P574" s="1">
        <v>4180</v>
      </c>
      <c r="Q574" t="s">
        <v>538</v>
      </c>
      <c r="R574" t="s">
        <v>535</v>
      </c>
      <c r="S574" t="s">
        <v>539</v>
      </c>
      <c r="T574" s="2">
        <v>1</v>
      </c>
      <c r="U574" s="1">
        <v>4180</v>
      </c>
      <c r="V574" s="1">
        <v>4180</v>
      </c>
      <c r="X574" t="s">
        <v>540</v>
      </c>
      <c r="Z574" t="s">
        <v>541</v>
      </c>
      <c r="AA574" t="s">
        <v>542</v>
      </c>
      <c r="AB574" t="s">
        <v>543</v>
      </c>
      <c r="AC574" t="s">
        <v>544</v>
      </c>
      <c r="AD574" t="s">
        <v>545</v>
      </c>
      <c r="AE574" s="3">
        <v>1</v>
      </c>
      <c r="AF574" t="s">
        <v>238</v>
      </c>
      <c r="AG574" s="1">
        <v>4180</v>
      </c>
      <c r="AI574" s="1">
        <v>4180</v>
      </c>
      <c r="AJ574" s="1">
        <v>4180</v>
      </c>
      <c r="AM574" s="1">
        <v>4180</v>
      </c>
      <c r="AN574" t="s">
        <v>643</v>
      </c>
      <c r="AO574" t="s">
        <v>546</v>
      </c>
      <c r="AP574" t="s">
        <v>643</v>
      </c>
      <c r="AQ574" t="s">
        <v>548</v>
      </c>
      <c r="AS574" t="s">
        <v>377</v>
      </c>
      <c r="AX574" s="1">
        <v>4180</v>
      </c>
      <c r="AY574" t="s">
        <v>546</v>
      </c>
      <c r="AZ574" t="s">
        <v>644</v>
      </c>
      <c r="BA574" s="1">
        <v>4180</v>
      </c>
      <c r="BC574" t="s">
        <v>546</v>
      </c>
      <c r="BD574" s="1">
        <v>4180</v>
      </c>
      <c r="BE574" t="s">
        <v>540</v>
      </c>
      <c r="BF574" s="1">
        <v>4180</v>
      </c>
      <c r="BH574" s="1">
        <v>4180</v>
      </c>
      <c r="BI574" t="s">
        <v>550</v>
      </c>
      <c r="BJ574" t="s">
        <v>551</v>
      </c>
      <c r="BK574" t="s">
        <v>551</v>
      </c>
      <c r="BL574" t="s">
        <v>552</v>
      </c>
      <c r="BM574" t="s">
        <v>3035</v>
      </c>
      <c r="BN574" t="s">
        <v>3302</v>
      </c>
      <c r="BO574" t="s">
        <v>3303</v>
      </c>
      <c r="BR574" t="s">
        <v>546</v>
      </c>
      <c r="BS574" s="1">
        <v>4180</v>
      </c>
      <c r="BW574" t="s">
        <v>536</v>
      </c>
      <c r="BX574" s="1">
        <v>4180</v>
      </c>
      <c r="BZ574" t="s">
        <v>535</v>
      </c>
      <c r="CA574" t="s">
        <v>546</v>
      </c>
      <c r="CB574" t="s">
        <v>3016</v>
      </c>
      <c r="CC574" t="s">
        <v>556</v>
      </c>
      <c r="CD574" t="s">
        <v>757</v>
      </c>
      <c r="CE574" t="s">
        <v>758</v>
      </c>
      <c r="CF574" t="s">
        <v>238</v>
      </c>
      <c r="CG574" s="4">
        <v>1</v>
      </c>
      <c r="CH574" t="s">
        <v>546</v>
      </c>
      <c r="CK574" t="s">
        <v>3304</v>
      </c>
      <c r="CL574" s="1">
        <v>4180</v>
      </c>
      <c r="CN574" t="s">
        <v>535</v>
      </c>
      <c r="CO574" t="s">
        <v>539</v>
      </c>
      <c r="CT574" t="s">
        <v>560</v>
      </c>
      <c r="CW574" t="s">
        <v>546</v>
      </c>
      <c r="DD574" t="s">
        <v>561</v>
      </c>
      <c r="DK574" t="s">
        <v>3305</v>
      </c>
      <c r="DL574" t="s">
        <v>3306</v>
      </c>
      <c r="DR574" t="s">
        <v>3307</v>
      </c>
    </row>
    <row r="575" ht="15" customHeight="1" spans="1:122">
      <c r="A575" t="s">
        <v>530</v>
      </c>
      <c r="B575" t="s">
        <v>3308</v>
      </c>
      <c r="C575" t="s">
        <v>532</v>
      </c>
      <c r="D575" t="s">
        <v>3035</v>
      </c>
      <c r="E575" t="s">
        <v>534</v>
      </c>
      <c r="F575" t="s">
        <v>534</v>
      </c>
      <c r="G575" t="s">
        <v>535</v>
      </c>
      <c r="H575" s="1">
        <v>10258</v>
      </c>
      <c r="I575" s="1">
        <v>10258</v>
      </c>
      <c r="J575" t="s">
        <v>536</v>
      </c>
      <c r="L575" t="s">
        <v>536</v>
      </c>
      <c r="M575" t="s">
        <v>376</v>
      </c>
      <c r="N575" t="s">
        <v>537</v>
      </c>
      <c r="P575" s="1">
        <v>10258</v>
      </c>
      <c r="Q575" t="s">
        <v>1105</v>
      </c>
      <c r="R575" t="s">
        <v>535</v>
      </c>
      <c r="S575" t="s">
        <v>539</v>
      </c>
      <c r="T575" s="2">
        <v>1</v>
      </c>
      <c r="U575" s="1">
        <v>10258</v>
      </c>
      <c r="V575" s="1">
        <v>10258</v>
      </c>
      <c r="X575" t="s">
        <v>540</v>
      </c>
      <c r="Z575" t="s">
        <v>541</v>
      </c>
      <c r="AA575" t="s">
        <v>542</v>
      </c>
      <c r="AB575" t="s">
        <v>543</v>
      </c>
      <c r="AC575" t="s">
        <v>544</v>
      </c>
      <c r="AD575" t="s">
        <v>545</v>
      </c>
      <c r="AE575" s="3">
        <v>1</v>
      </c>
      <c r="AF575" t="s">
        <v>253</v>
      </c>
      <c r="AG575" s="1">
        <v>10258</v>
      </c>
      <c r="AI575" s="1">
        <v>10258</v>
      </c>
      <c r="AJ575" s="1">
        <v>10258</v>
      </c>
      <c r="AM575" s="1">
        <v>10258</v>
      </c>
      <c r="AN575" t="s">
        <v>643</v>
      </c>
      <c r="AO575" t="s">
        <v>546</v>
      </c>
      <c r="AP575" t="s">
        <v>643</v>
      </c>
      <c r="AQ575" t="s">
        <v>548</v>
      </c>
      <c r="AS575" t="s">
        <v>376</v>
      </c>
      <c r="AX575" s="1">
        <v>10258</v>
      </c>
      <c r="AY575" t="s">
        <v>546</v>
      </c>
      <c r="AZ575" t="s">
        <v>644</v>
      </c>
      <c r="BA575" s="1">
        <v>10258</v>
      </c>
      <c r="BC575" t="s">
        <v>546</v>
      </c>
      <c r="BD575" s="1">
        <v>10258</v>
      </c>
      <c r="BE575" t="s">
        <v>540</v>
      </c>
      <c r="BF575" s="1">
        <v>10258</v>
      </c>
      <c r="BH575" s="1">
        <v>10258</v>
      </c>
      <c r="BI575" t="s">
        <v>550</v>
      </c>
      <c r="BJ575" t="s">
        <v>1105</v>
      </c>
      <c r="BK575" t="s">
        <v>552</v>
      </c>
      <c r="BL575" t="s">
        <v>552</v>
      </c>
      <c r="BM575" t="s">
        <v>3035</v>
      </c>
      <c r="BN575" t="s">
        <v>3309</v>
      </c>
      <c r="BO575" t="s">
        <v>3310</v>
      </c>
      <c r="BR575" t="s">
        <v>546</v>
      </c>
      <c r="BS575" s="1">
        <v>10258</v>
      </c>
      <c r="BW575" t="s">
        <v>536</v>
      </c>
      <c r="BX575" s="1">
        <v>10258</v>
      </c>
      <c r="BZ575" t="s">
        <v>535</v>
      </c>
      <c r="CA575" t="s">
        <v>546</v>
      </c>
      <c r="CB575" t="s">
        <v>3035</v>
      </c>
      <c r="CC575" t="s">
        <v>556</v>
      </c>
      <c r="CD575" t="s">
        <v>1898</v>
      </c>
      <c r="CE575" t="s">
        <v>1899</v>
      </c>
      <c r="CF575" t="s">
        <v>253</v>
      </c>
      <c r="CG575" s="4">
        <v>1</v>
      </c>
      <c r="CH575" t="s">
        <v>546</v>
      </c>
      <c r="CK575" t="s">
        <v>3311</v>
      </c>
      <c r="CL575" s="1">
        <v>10258</v>
      </c>
      <c r="CN575" t="s">
        <v>535</v>
      </c>
      <c r="CO575" t="s">
        <v>539</v>
      </c>
      <c r="CT575" t="s">
        <v>576</v>
      </c>
      <c r="CW575" t="s">
        <v>546</v>
      </c>
      <c r="DD575" t="s">
        <v>561</v>
      </c>
      <c r="DK575" t="s">
        <v>3312</v>
      </c>
      <c r="DL575" t="s">
        <v>3313</v>
      </c>
      <c r="DR575" t="s">
        <v>3314</v>
      </c>
    </row>
    <row r="576" ht="15" customHeight="1" spans="1:122">
      <c r="A576" t="s">
        <v>530</v>
      </c>
      <c r="B576" t="s">
        <v>3315</v>
      </c>
      <c r="C576" t="s">
        <v>532</v>
      </c>
      <c r="D576" t="s">
        <v>3016</v>
      </c>
      <c r="E576" t="s">
        <v>534</v>
      </c>
      <c r="F576" t="s">
        <v>534</v>
      </c>
      <c r="G576" t="s">
        <v>535</v>
      </c>
      <c r="H576" s="1">
        <v>3708</v>
      </c>
      <c r="I576" s="1">
        <v>3708</v>
      </c>
      <c r="J576" t="s">
        <v>536</v>
      </c>
      <c r="L576" t="s">
        <v>536</v>
      </c>
      <c r="M576" t="s">
        <v>375</v>
      </c>
      <c r="N576" t="s">
        <v>537</v>
      </c>
      <c r="P576" s="1">
        <v>3708</v>
      </c>
      <c r="Q576" t="s">
        <v>580</v>
      </c>
      <c r="R576" t="s">
        <v>535</v>
      </c>
      <c r="S576" t="s">
        <v>539</v>
      </c>
      <c r="T576" s="2">
        <v>1</v>
      </c>
      <c r="U576" s="1">
        <v>3708</v>
      </c>
      <c r="V576" s="1">
        <v>3708</v>
      </c>
      <c r="X576" t="s">
        <v>540</v>
      </c>
      <c r="Z576" t="s">
        <v>541</v>
      </c>
      <c r="AA576" t="s">
        <v>542</v>
      </c>
      <c r="AB576" t="s">
        <v>543</v>
      </c>
      <c r="AC576" t="s">
        <v>544</v>
      </c>
      <c r="AD576" t="s">
        <v>545</v>
      </c>
      <c r="AE576" s="3">
        <v>1</v>
      </c>
      <c r="AF576" t="s">
        <v>247</v>
      </c>
      <c r="AG576" s="1">
        <v>3708</v>
      </c>
      <c r="AI576" s="1">
        <v>3708</v>
      </c>
      <c r="AJ576" s="1">
        <v>3708</v>
      </c>
      <c r="AM576" s="1">
        <v>3708</v>
      </c>
      <c r="AN576" t="s">
        <v>643</v>
      </c>
      <c r="AO576" t="s">
        <v>546</v>
      </c>
      <c r="AP576" t="s">
        <v>643</v>
      </c>
      <c r="AQ576" t="s">
        <v>548</v>
      </c>
      <c r="AS576" t="s">
        <v>375</v>
      </c>
      <c r="AX576" s="1">
        <v>3708</v>
      </c>
      <c r="AY576" t="s">
        <v>546</v>
      </c>
      <c r="AZ576" t="s">
        <v>644</v>
      </c>
      <c r="BA576" s="1">
        <v>3708</v>
      </c>
      <c r="BC576" t="s">
        <v>546</v>
      </c>
      <c r="BD576" s="1">
        <v>3708</v>
      </c>
      <c r="BE576" t="s">
        <v>540</v>
      </c>
      <c r="BF576" s="1">
        <v>3708</v>
      </c>
      <c r="BH576" s="1">
        <v>3708</v>
      </c>
      <c r="BI576" t="s">
        <v>550</v>
      </c>
      <c r="BJ576" t="s">
        <v>551</v>
      </c>
      <c r="BK576" t="s">
        <v>551</v>
      </c>
      <c r="BL576" t="s">
        <v>552</v>
      </c>
      <c r="BM576" t="s">
        <v>3035</v>
      </c>
      <c r="BN576" t="s">
        <v>3316</v>
      </c>
      <c r="BO576" t="s">
        <v>3317</v>
      </c>
      <c r="BR576" t="s">
        <v>546</v>
      </c>
      <c r="BS576" s="1">
        <v>3708</v>
      </c>
      <c r="BW576" t="s">
        <v>536</v>
      </c>
      <c r="BX576" s="1">
        <v>3708</v>
      </c>
      <c r="BZ576" t="s">
        <v>535</v>
      </c>
      <c r="CA576" t="s">
        <v>546</v>
      </c>
      <c r="CB576" t="s">
        <v>3016</v>
      </c>
      <c r="CC576" t="s">
        <v>556</v>
      </c>
      <c r="CD576" t="s">
        <v>3318</v>
      </c>
      <c r="CE576" t="s">
        <v>3319</v>
      </c>
      <c r="CF576" t="s">
        <v>247</v>
      </c>
      <c r="CG576" s="4">
        <v>1</v>
      </c>
      <c r="CH576" t="s">
        <v>546</v>
      </c>
      <c r="CK576" t="s">
        <v>3320</v>
      </c>
      <c r="CL576" s="1">
        <v>3708</v>
      </c>
      <c r="CN576" t="s">
        <v>535</v>
      </c>
      <c r="CO576" t="s">
        <v>539</v>
      </c>
      <c r="CT576" t="s">
        <v>576</v>
      </c>
      <c r="CW576" t="s">
        <v>546</v>
      </c>
      <c r="DD576" t="s">
        <v>561</v>
      </c>
      <c r="DK576" t="s">
        <v>3321</v>
      </c>
      <c r="DL576" t="s">
        <v>3322</v>
      </c>
      <c r="DR576" t="s">
        <v>3323</v>
      </c>
    </row>
    <row r="577" ht="15" customHeight="1" spans="1:122">
      <c r="A577" t="s">
        <v>530</v>
      </c>
      <c r="B577" t="s">
        <v>3324</v>
      </c>
      <c r="C577" t="s">
        <v>532</v>
      </c>
      <c r="D577" t="s">
        <v>3035</v>
      </c>
      <c r="E577" t="s">
        <v>534</v>
      </c>
      <c r="F577" t="s">
        <v>534</v>
      </c>
      <c r="G577" t="s">
        <v>535</v>
      </c>
      <c r="H577" s="1">
        <v>8145</v>
      </c>
      <c r="I577" s="1">
        <v>8127.49</v>
      </c>
      <c r="J577" t="s">
        <v>536</v>
      </c>
      <c r="L577" t="s">
        <v>536</v>
      </c>
      <c r="M577" t="s">
        <v>375</v>
      </c>
      <c r="N577" t="s">
        <v>537</v>
      </c>
      <c r="P577" s="1">
        <v>8145</v>
      </c>
      <c r="Q577" t="s">
        <v>580</v>
      </c>
      <c r="R577" t="s">
        <v>535</v>
      </c>
      <c r="S577" t="s">
        <v>539</v>
      </c>
      <c r="T577" s="2">
        <v>1</v>
      </c>
      <c r="U577" s="1">
        <v>8145</v>
      </c>
      <c r="V577" s="1">
        <v>8127.49</v>
      </c>
      <c r="X577" t="s">
        <v>540</v>
      </c>
      <c r="Z577" t="s">
        <v>541</v>
      </c>
      <c r="AA577" t="s">
        <v>542</v>
      </c>
      <c r="AB577" t="s">
        <v>659</v>
      </c>
      <c r="AC577" t="s">
        <v>544</v>
      </c>
      <c r="AD577" t="s">
        <v>545</v>
      </c>
      <c r="AE577" s="3">
        <v>1</v>
      </c>
      <c r="AF577" t="s">
        <v>252</v>
      </c>
      <c r="AG577" s="1">
        <v>8145</v>
      </c>
      <c r="AI577" s="1">
        <v>8145</v>
      </c>
      <c r="AJ577" s="1">
        <v>8145</v>
      </c>
      <c r="AK577" s="1">
        <v>17.51</v>
      </c>
      <c r="AM577" s="1">
        <v>8127.49</v>
      </c>
      <c r="AN577" t="s">
        <v>536</v>
      </c>
      <c r="AO577" t="s">
        <v>546</v>
      </c>
      <c r="AP577" t="s">
        <v>547</v>
      </c>
      <c r="AQ577" t="s">
        <v>548</v>
      </c>
      <c r="AS577" t="s">
        <v>375</v>
      </c>
      <c r="AX577" s="1">
        <v>8145</v>
      </c>
      <c r="AY577" t="s">
        <v>546</v>
      </c>
      <c r="AZ577" t="s">
        <v>549</v>
      </c>
      <c r="BA577" s="1">
        <v>8145</v>
      </c>
      <c r="BC577" t="s">
        <v>546</v>
      </c>
      <c r="BD577" s="1">
        <v>8145</v>
      </c>
      <c r="BE577" t="s">
        <v>540</v>
      </c>
      <c r="BF577" s="1">
        <v>8145</v>
      </c>
      <c r="BG577" s="1">
        <v>17.51</v>
      </c>
      <c r="BH577" s="1">
        <v>8127.49</v>
      </c>
      <c r="BI577" t="s">
        <v>550</v>
      </c>
      <c r="BJ577" t="s">
        <v>551</v>
      </c>
      <c r="BK577" t="s">
        <v>552</v>
      </c>
      <c r="BL577" t="s">
        <v>552</v>
      </c>
      <c r="BM577" t="s">
        <v>3035</v>
      </c>
      <c r="BN577" t="s">
        <v>3325</v>
      </c>
      <c r="BO577" t="s">
        <v>3326</v>
      </c>
      <c r="BR577" t="s">
        <v>546</v>
      </c>
      <c r="BS577" s="1">
        <v>8145</v>
      </c>
      <c r="BW577" t="s">
        <v>536</v>
      </c>
      <c r="BX577" s="1">
        <v>8145</v>
      </c>
      <c r="BZ577" t="s">
        <v>535</v>
      </c>
      <c r="CA577" t="s">
        <v>546</v>
      </c>
      <c r="CB577" t="s">
        <v>3035</v>
      </c>
      <c r="CC577" t="s">
        <v>556</v>
      </c>
      <c r="CD577" t="s">
        <v>1400</v>
      </c>
      <c r="CE577" t="s">
        <v>1401</v>
      </c>
      <c r="CF577" t="s">
        <v>252</v>
      </c>
      <c r="CG577" s="4">
        <v>1</v>
      </c>
      <c r="CH577" t="s">
        <v>546</v>
      </c>
      <c r="CK577" t="s">
        <v>3327</v>
      </c>
      <c r="CL577" s="1">
        <v>8145</v>
      </c>
      <c r="CN577" t="s">
        <v>535</v>
      </c>
      <c r="CO577" t="s">
        <v>539</v>
      </c>
      <c r="CT577" t="s">
        <v>576</v>
      </c>
      <c r="CW577" t="s">
        <v>546</v>
      </c>
      <c r="DD577" t="s">
        <v>561</v>
      </c>
      <c r="DK577" t="s">
        <v>3328</v>
      </c>
      <c r="DL577" t="s">
        <v>3329</v>
      </c>
    </row>
    <row r="578" ht="15" customHeight="1" spans="1:122">
      <c r="A578" t="s">
        <v>530</v>
      </c>
      <c r="B578" t="s">
        <v>3330</v>
      </c>
      <c r="C578" t="s">
        <v>532</v>
      </c>
      <c r="D578" t="s">
        <v>3035</v>
      </c>
      <c r="E578" t="s">
        <v>534</v>
      </c>
      <c r="F578" t="s">
        <v>534</v>
      </c>
      <c r="G578" t="s">
        <v>535</v>
      </c>
      <c r="H578" s="1">
        <v>2400</v>
      </c>
      <c r="I578" s="1">
        <v>2385.6</v>
      </c>
      <c r="J578" t="s">
        <v>536</v>
      </c>
      <c r="L578" t="s">
        <v>536</v>
      </c>
      <c r="M578" t="s">
        <v>375</v>
      </c>
      <c r="N578" t="s">
        <v>537</v>
      </c>
      <c r="P578" s="1">
        <v>2400</v>
      </c>
      <c r="Q578" t="s">
        <v>580</v>
      </c>
      <c r="R578" t="s">
        <v>535</v>
      </c>
      <c r="S578" t="s">
        <v>539</v>
      </c>
      <c r="T578" s="2">
        <v>1</v>
      </c>
      <c r="U578" s="1">
        <v>2400</v>
      </c>
      <c r="V578" s="1">
        <v>2385.6</v>
      </c>
      <c r="X578" t="s">
        <v>540</v>
      </c>
      <c r="Z578" t="s">
        <v>541</v>
      </c>
      <c r="AA578" t="s">
        <v>542</v>
      </c>
      <c r="AB578" t="s">
        <v>543</v>
      </c>
      <c r="AC578" t="s">
        <v>544</v>
      </c>
      <c r="AD578" t="s">
        <v>545</v>
      </c>
      <c r="AE578" s="3">
        <v>1</v>
      </c>
      <c r="AF578" t="s">
        <v>246</v>
      </c>
      <c r="AG578" s="1">
        <v>2400</v>
      </c>
      <c r="AI578" s="1">
        <v>2400</v>
      </c>
      <c r="AJ578" s="1">
        <v>2400</v>
      </c>
      <c r="AK578" s="1">
        <v>14.4</v>
      </c>
      <c r="AM578" s="1">
        <v>2385.6</v>
      </c>
      <c r="AN578" t="s">
        <v>536</v>
      </c>
      <c r="AO578" t="s">
        <v>546</v>
      </c>
      <c r="AP578" t="s">
        <v>547</v>
      </c>
      <c r="AQ578" t="s">
        <v>548</v>
      </c>
      <c r="AS578" t="s">
        <v>375</v>
      </c>
      <c r="AX578" s="1">
        <v>2400</v>
      </c>
      <c r="AY578" t="s">
        <v>546</v>
      </c>
      <c r="AZ578" t="s">
        <v>549</v>
      </c>
      <c r="BA578" s="1">
        <v>2400</v>
      </c>
      <c r="BC578" t="s">
        <v>546</v>
      </c>
      <c r="BD578" s="1">
        <v>2400</v>
      </c>
      <c r="BE578" t="s">
        <v>540</v>
      </c>
      <c r="BF578" s="1">
        <v>2400</v>
      </c>
      <c r="BG578" s="1">
        <v>14.4</v>
      </c>
      <c r="BH578" s="1">
        <v>2385.6</v>
      </c>
      <c r="BI578" t="s">
        <v>550</v>
      </c>
      <c r="BJ578" t="s">
        <v>551</v>
      </c>
      <c r="BK578" t="s">
        <v>552</v>
      </c>
      <c r="BL578" t="s">
        <v>552</v>
      </c>
      <c r="BM578" t="s">
        <v>3035</v>
      </c>
      <c r="BN578" t="s">
        <v>3331</v>
      </c>
      <c r="BO578" t="s">
        <v>3332</v>
      </c>
      <c r="BR578" t="s">
        <v>546</v>
      </c>
      <c r="BS578" s="1">
        <v>2400</v>
      </c>
      <c r="BW578" t="s">
        <v>536</v>
      </c>
      <c r="BX578" s="1">
        <v>2400</v>
      </c>
      <c r="BZ578" t="s">
        <v>535</v>
      </c>
      <c r="CA578" t="s">
        <v>546</v>
      </c>
      <c r="CB578" t="s">
        <v>3035</v>
      </c>
      <c r="CC578" t="s">
        <v>556</v>
      </c>
      <c r="CD578" t="s">
        <v>1806</v>
      </c>
      <c r="CE578" t="s">
        <v>1807</v>
      </c>
      <c r="CF578" t="s">
        <v>246</v>
      </c>
      <c r="CG578" s="4">
        <v>1</v>
      </c>
      <c r="CH578" t="s">
        <v>546</v>
      </c>
      <c r="CK578" t="s">
        <v>3333</v>
      </c>
      <c r="CL578" s="1">
        <v>2400</v>
      </c>
      <c r="CN578" t="s">
        <v>535</v>
      </c>
      <c r="CO578" t="s">
        <v>539</v>
      </c>
      <c r="CT578" t="s">
        <v>576</v>
      </c>
      <c r="CW578" t="s">
        <v>546</v>
      </c>
      <c r="DD578" t="s">
        <v>561</v>
      </c>
      <c r="DK578" t="s">
        <v>3334</v>
      </c>
      <c r="DL578" t="s">
        <v>3335</v>
      </c>
    </row>
    <row r="579" ht="15" customHeight="1" spans="1:122">
      <c r="A579" t="s">
        <v>530</v>
      </c>
      <c r="B579" t="s">
        <v>3336</v>
      </c>
      <c r="C579" t="s">
        <v>532</v>
      </c>
      <c r="D579" t="s">
        <v>3035</v>
      </c>
      <c r="E579" t="s">
        <v>534</v>
      </c>
      <c r="F579" t="s">
        <v>534</v>
      </c>
      <c r="G579" t="s">
        <v>535</v>
      </c>
      <c r="H579" s="1">
        <v>600</v>
      </c>
      <c r="I579" s="1">
        <v>600</v>
      </c>
      <c r="J579" t="s">
        <v>536</v>
      </c>
      <c r="L579" t="s">
        <v>536</v>
      </c>
      <c r="M579" t="s">
        <v>375</v>
      </c>
      <c r="N579" t="s">
        <v>537</v>
      </c>
      <c r="P579" s="1">
        <v>600</v>
      </c>
      <c r="Q579" t="s">
        <v>580</v>
      </c>
      <c r="R579" t="s">
        <v>535</v>
      </c>
      <c r="S579" t="s">
        <v>539</v>
      </c>
      <c r="T579" s="2">
        <v>1</v>
      </c>
      <c r="U579" s="1">
        <v>600</v>
      </c>
      <c r="V579" s="1">
        <v>600</v>
      </c>
      <c r="X579" t="s">
        <v>540</v>
      </c>
      <c r="Z579" t="s">
        <v>541</v>
      </c>
      <c r="AA579" t="s">
        <v>542</v>
      </c>
      <c r="AB579" t="s">
        <v>543</v>
      </c>
      <c r="AC579" t="s">
        <v>544</v>
      </c>
      <c r="AD579" t="s">
        <v>545</v>
      </c>
      <c r="AE579" s="3">
        <v>1</v>
      </c>
      <c r="AF579" t="s">
        <v>246</v>
      </c>
      <c r="AG579" s="1">
        <v>600</v>
      </c>
      <c r="AI579" s="1">
        <v>600</v>
      </c>
      <c r="AJ579" s="1">
        <v>600</v>
      </c>
      <c r="AM579" s="1">
        <v>600</v>
      </c>
      <c r="AN579" t="s">
        <v>565</v>
      </c>
      <c r="AO579" t="s">
        <v>546</v>
      </c>
      <c r="AP579" t="s">
        <v>565</v>
      </c>
      <c r="AQ579" t="s">
        <v>548</v>
      </c>
      <c r="AS579" t="s">
        <v>375</v>
      </c>
      <c r="AX579" s="1">
        <v>600</v>
      </c>
      <c r="AY579" t="s">
        <v>546</v>
      </c>
      <c r="AZ579" t="s">
        <v>566</v>
      </c>
      <c r="BA579" s="1">
        <v>600</v>
      </c>
      <c r="BC579" t="s">
        <v>546</v>
      </c>
      <c r="BD579" s="1">
        <v>600</v>
      </c>
      <c r="BE579" t="s">
        <v>540</v>
      </c>
      <c r="BF579" s="1">
        <v>600</v>
      </c>
      <c r="BH579" s="1">
        <v>600</v>
      </c>
      <c r="BI579" t="s">
        <v>550</v>
      </c>
      <c r="BJ579" t="s">
        <v>551</v>
      </c>
      <c r="BK579" t="s">
        <v>551</v>
      </c>
      <c r="BL579" t="s">
        <v>552</v>
      </c>
      <c r="BM579" t="s">
        <v>3035</v>
      </c>
      <c r="BN579" t="s">
        <v>3337</v>
      </c>
      <c r="BO579" t="s">
        <v>3338</v>
      </c>
      <c r="BR579" t="s">
        <v>546</v>
      </c>
      <c r="BS579" s="1">
        <v>600</v>
      </c>
      <c r="BW579" t="s">
        <v>536</v>
      </c>
      <c r="BX579" s="1">
        <v>600</v>
      </c>
      <c r="BZ579" t="s">
        <v>535</v>
      </c>
      <c r="CA579" t="s">
        <v>546</v>
      </c>
      <c r="CB579" t="s">
        <v>3035</v>
      </c>
      <c r="CC579" t="s">
        <v>556</v>
      </c>
      <c r="CD579" t="s">
        <v>1806</v>
      </c>
      <c r="CE579" t="s">
        <v>1807</v>
      </c>
      <c r="CF579" t="s">
        <v>246</v>
      </c>
      <c r="CG579" s="4">
        <v>1</v>
      </c>
      <c r="CH579" t="s">
        <v>546</v>
      </c>
      <c r="CK579" t="s">
        <v>3333</v>
      </c>
      <c r="CL579" s="1">
        <v>600</v>
      </c>
      <c r="CN579" t="s">
        <v>535</v>
      </c>
      <c r="CO579" t="s">
        <v>539</v>
      </c>
      <c r="CT579" t="s">
        <v>576</v>
      </c>
      <c r="CW579" t="s">
        <v>546</v>
      </c>
      <c r="DD579" t="s">
        <v>561</v>
      </c>
      <c r="DK579" t="s">
        <v>3334</v>
      </c>
      <c r="DL579" t="s">
        <v>3335</v>
      </c>
    </row>
    <row r="580" ht="15" customHeight="1" spans="1:122">
      <c r="A580" t="s">
        <v>530</v>
      </c>
      <c r="B580" t="s">
        <v>3339</v>
      </c>
      <c r="C580" t="s">
        <v>532</v>
      </c>
      <c r="D580" t="s">
        <v>3016</v>
      </c>
      <c r="E580" t="s">
        <v>534</v>
      </c>
      <c r="F580" t="s">
        <v>534</v>
      </c>
      <c r="G580" t="s">
        <v>535</v>
      </c>
      <c r="H580" s="1">
        <v>135</v>
      </c>
      <c r="I580" s="1">
        <v>135</v>
      </c>
      <c r="J580" t="s">
        <v>536</v>
      </c>
      <c r="L580" t="s">
        <v>536</v>
      </c>
      <c r="M580" t="s">
        <v>375</v>
      </c>
      <c r="N580" t="s">
        <v>537</v>
      </c>
      <c r="P580" s="1">
        <v>135</v>
      </c>
      <c r="Q580" t="s">
        <v>580</v>
      </c>
      <c r="R580" t="s">
        <v>535</v>
      </c>
      <c r="S580" t="s">
        <v>539</v>
      </c>
      <c r="T580" s="2">
        <v>1</v>
      </c>
      <c r="U580" s="1">
        <v>135</v>
      </c>
      <c r="V580" s="1">
        <v>135</v>
      </c>
      <c r="X580" t="s">
        <v>540</v>
      </c>
      <c r="Z580" t="s">
        <v>541</v>
      </c>
      <c r="AA580" t="s">
        <v>542</v>
      </c>
      <c r="AB580" t="s">
        <v>543</v>
      </c>
      <c r="AC580" t="s">
        <v>544</v>
      </c>
      <c r="AD580" t="s">
        <v>545</v>
      </c>
      <c r="AE580" s="3">
        <v>1</v>
      </c>
      <c r="AF580" t="s">
        <v>344</v>
      </c>
      <c r="AG580" s="1">
        <v>135</v>
      </c>
      <c r="AI580" s="1">
        <v>135</v>
      </c>
      <c r="AJ580" s="1">
        <v>135</v>
      </c>
      <c r="AM580" s="1">
        <v>135</v>
      </c>
      <c r="AN580" t="s">
        <v>643</v>
      </c>
      <c r="AO580" t="s">
        <v>546</v>
      </c>
      <c r="AP580" t="s">
        <v>643</v>
      </c>
      <c r="AQ580" t="s">
        <v>548</v>
      </c>
      <c r="AS580" t="s">
        <v>375</v>
      </c>
      <c r="AX580" s="1">
        <v>135</v>
      </c>
      <c r="AY580" t="s">
        <v>546</v>
      </c>
      <c r="AZ580" t="s">
        <v>644</v>
      </c>
      <c r="BA580" s="1">
        <v>135</v>
      </c>
      <c r="BC580" t="s">
        <v>546</v>
      </c>
      <c r="BD580" s="1">
        <v>135</v>
      </c>
      <c r="BE580" t="s">
        <v>540</v>
      </c>
      <c r="BF580" s="1">
        <v>135</v>
      </c>
      <c r="BH580" s="1">
        <v>135</v>
      </c>
      <c r="BI580" t="s">
        <v>550</v>
      </c>
      <c r="BJ580" t="s">
        <v>551</v>
      </c>
      <c r="BK580" t="s">
        <v>551</v>
      </c>
      <c r="BL580" t="s">
        <v>552</v>
      </c>
      <c r="BM580" t="s">
        <v>3035</v>
      </c>
      <c r="BN580" t="s">
        <v>3340</v>
      </c>
      <c r="BO580" t="s">
        <v>3341</v>
      </c>
      <c r="BR580" t="s">
        <v>546</v>
      </c>
      <c r="BS580" s="1">
        <v>135</v>
      </c>
      <c r="BW580" t="s">
        <v>536</v>
      </c>
      <c r="BX580" s="1">
        <v>135</v>
      </c>
      <c r="BZ580" t="s">
        <v>535</v>
      </c>
      <c r="CA580" t="s">
        <v>546</v>
      </c>
      <c r="CB580" t="s">
        <v>3016</v>
      </c>
      <c r="CC580" t="s">
        <v>556</v>
      </c>
      <c r="CD580" t="s">
        <v>1411</v>
      </c>
      <c r="CE580" t="s">
        <v>1412</v>
      </c>
      <c r="CF580" t="s">
        <v>344</v>
      </c>
      <c r="CG580" s="4">
        <v>1</v>
      </c>
      <c r="CH580" t="s">
        <v>546</v>
      </c>
      <c r="CK580" t="s">
        <v>3342</v>
      </c>
      <c r="CL580" s="1">
        <v>135</v>
      </c>
      <c r="CN580" t="s">
        <v>535</v>
      </c>
      <c r="CO580" t="s">
        <v>539</v>
      </c>
      <c r="CT580" t="s">
        <v>576</v>
      </c>
      <c r="CW580" t="s">
        <v>546</v>
      </c>
      <c r="DD580" t="s">
        <v>561</v>
      </c>
      <c r="DK580" t="s">
        <v>3334</v>
      </c>
      <c r="DL580" t="s">
        <v>3335</v>
      </c>
      <c r="DR580" t="s">
        <v>3343</v>
      </c>
    </row>
    <row r="581" ht="15" customHeight="1" spans="1:122">
      <c r="A581" t="s">
        <v>530</v>
      </c>
      <c r="B581" t="s">
        <v>3344</v>
      </c>
      <c r="C581" t="s">
        <v>532</v>
      </c>
      <c r="D581" t="s">
        <v>3035</v>
      </c>
      <c r="E581" t="s">
        <v>534</v>
      </c>
      <c r="F581" t="s">
        <v>534</v>
      </c>
      <c r="G581" t="s">
        <v>535</v>
      </c>
      <c r="H581" s="1">
        <v>3139</v>
      </c>
      <c r="I581" s="1">
        <v>3139</v>
      </c>
      <c r="J581" t="s">
        <v>536</v>
      </c>
      <c r="L581" t="s">
        <v>536</v>
      </c>
      <c r="M581" t="s">
        <v>375</v>
      </c>
      <c r="N581" t="s">
        <v>537</v>
      </c>
      <c r="P581" s="1">
        <v>3139</v>
      </c>
      <c r="Q581" t="s">
        <v>580</v>
      </c>
      <c r="R581" t="s">
        <v>535</v>
      </c>
      <c r="S581" t="s">
        <v>539</v>
      </c>
      <c r="T581" s="2">
        <v>1</v>
      </c>
      <c r="U581" s="1">
        <v>3139</v>
      </c>
      <c r="V581" s="1">
        <v>3139</v>
      </c>
      <c r="X581" t="s">
        <v>540</v>
      </c>
      <c r="Z581" t="s">
        <v>541</v>
      </c>
      <c r="AA581" t="s">
        <v>542</v>
      </c>
      <c r="AB581" t="s">
        <v>543</v>
      </c>
      <c r="AC581" t="s">
        <v>544</v>
      </c>
      <c r="AD581" t="s">
        <v>545</v>
      </c>
      <c r="AE581" s="3">
        <v>1</v>
      </c>
      <c r="AF581" t="s">
        <v>251</v>
      </c>
      <c r="AG581" s="1">
        <v>3139</v>
      </c>
      <c r="AI581" s="1">
        <v>3139</v>
      </c>
      <c r="AJ581" s="1">
        <v>3139</v>
      </c>
      <c r="AM581" s="1">
        <v>3139</v>
      </c>
      <c r="AN581" t="s">
        <v>643</v>
      </c>
      <c r="AO581" t="s">
        <v>546</v>
      </c>
      <c r="AP581" t="s">
        <v>643</v>
      </c>
      <c r="AQ581" t="s">
        <v>548</v>
      </c>
      <c r="AS581" t="s">
        <v>375</v>
      </c>
      <c r="AX581" s="1">
        <v>3139</v>
      </c>
      <c r="AY581" t="s">
        <v>546</v>
      </c>
      <c r="AZ581" t="s">
        <v>644</v>
      </c>
      <c r="BA581" s="1">
        <v>3139</v>
      </c>
      <c r="BC581" t="s">
        <v>546</v>
      </c>
      <c r="BD581" s="1">
        <v>3139</v>
      </c>
      <c r="BE581" t="s">
        <v>540</v>
      </c>
      <c r="BF581" s="1">
        <v>3139</v>
      </c>
      <c r="BH581" s="1">
        <v>3139</v>
      </c>
      <c r="BI581" t="s">
        <v>550</v>
      </c>
      <c r="BJ581" t="s">
        <v>551</v>
      </c>
      <c r="BK581" t="s">
        <v>551</v>
      </c>
      <c r="BL581" t="s">
        <v>552</v>
      </c>
      <c r="BM581" t="s">
        <v>3035</v>
      </c>
      <c r="BN581" t="s">
        <v>3345</v>
      </c>
      <c r="BO581" t="s">
        <v>3346</v>
      </c>
      <c r="BR581" t="s">
        <v>546</v>
      </c>
      <c r="BS581" s="1">
        <v>3139</v>
      </c>
      <c r="BW581" t="s">
        <v>536</v>
      </c>
      <c r="BX581" s="1">
        <v>3139</v>
      </c>
      <c r="BZ581" t="s">
        <v>535</v>
      </c>
      <c r="CA581" t="s">
        <v>546</v>
      </c>
      <c r="CB581" t="s">
        <v>3035</v>
      </c>
      <c r="CC581" t="s">
        <v>556</v>
      </c>
      <c r="CD581" t="s">
        <v>622</v>
      </c>
      <c r="CE581" t="s">
        <v>623</v>
      </c>
      <c r="CF581" t="s">
        <v>251</v>
      </c>
      <c r="CG581" s="4">
        <v>1</v>
      </c>
      <c r="CH581" t="s">
        <v>546</v>
      </c>
      <c r="CK581" t="s">
        <v>3347</v>
      </c>
      <c r="CL581" s="1">
        <v>3139</v>
      </c>
      <c r="CN581" t="s">
        <v>535</v>
      </c>
      <c r="CO581" t="s">
        <v>539</v>
      </c>
      <c r="CT581" t="s">
        <v>576</v>
      </c>
      <c r="CW581" t="s">
        <v>546</v>
      </c>
      <c r="DD581" t="s">
        <v>561</v>
      </c>
      <c r="DK581" t="s">
        <v>3348</v>
      </c>
      <c r="DL581" t="s">
        <v>3349</v>
      </c>
      <c r="DR581" t="s">
        <v>3350</v>
      </c>
    </row>
    <row r="582" ht="15" customHeight="1" spans="1:122">
      <c r="A582" t="s">
        <v>530</v>
      </c>
      <c r="B582" t="s">
        <v>3351</v>
      </c>
      <c r="C582" t="s">
        <v>532</v>
      </c>
      <c r="D582" t="s">
        <v>3016</v>
      </c>
      <c r="E582" t="s">
        <v>534</v>
      </c>
      <c r="F582" t="s">
        <v>534</v>
      </c>
      <c r="G582" t="s">
        <v>535</v>
      </c>
      <c r="H582" s="1">
        <v>3395</v>
      </c>
      <c r="I582" s="1">
        <v>3395</v>
      </c>
      <c r="J582" t="s">
        <v>536</v>
      </c>
      <c r="L582" t="s">
        <v>536</v>
      </c>
      <c r="M582" t="s">
        <v>377</v>
      </c>
      <c r="N582" t="s">
        <v>537</v>
      </c>
      <c r="P582" s="1">
        <v>3395</v>
      </c>
      <c r="Q582" t="s">
        <v>538</v>
      </c>
      <c r="R582" t="s">
        <v>535</v>
      </c>
      <c r="S582" t="s">
        <v>539</v>
      </c>
      <c r="T582" s="2">
        <v>1</v>
      </c>
      <c r="U582" s="1">
        <v>3395</v>
      </c>
      <c r="V582" s="1">
        <v>3395</v>
      </c>
      <c r="X582" t="s">
        <v>540</v>
      </c>
      <c r="Z582" t="s">
        <v>541</v>
      </c>
      <c r="AA582" t="s">
        <v>542</v>
      </c>
      <c r="AB582" t="s">
        <v>543</v>
      </c>
      <c r="AC582" t="s">
        <v>544</v>
      </c>
      <c r="AD582" t="s">
        <v>545</v>
      </c>
      <c r="AE582" s="3">
        <v>1</v>
      </c>
      <c r="AF582" t="s">
        <v>243</v>
      </c>
      <c r="AG582" s="1">
        <v>3395</v>
      </c>
      <c r="AI582" s="1">
        <v>3395</v>
      </c>
      <c r="AJ582" s="1">
        <v>3395</v>
      </c>
      <c r="AM582" s="1">
        <v>3395</v>
      </c>
      <c r="AN582" t="s">
        <v>643</v>
      </c>
      <c r="AO582" t="s">
        <v>546</v>
      </c>
      <c r="AP582" t="s">
        <v>643</v>
      </c>
      <c r="AQ582" t="s">
        <v>548</v>
      </c>
      <c r="AS582" t="s">
        <v>377</v>
      </c>
      <c r="AX582" s="1">
        <v>3395</v>
      </c>
      <c r="AY582" t="s">
        <v>546</v>
      </c>
      <c r="AZ582" t="s">
        <v>644</v>
      </c>
      <c r="BA582" s="1">
        <v>3395</v>
      </c>
      <c r="BC582" t="s">
        <v>546</v>
      </c>
      <c r="BD582" s="1">
        <v>3395</v>
      </c>
      <c r="BE582" t="s">
        <v>540</v>
      </c>
      <c r="BF582" s="1">
        <v>3395</v>
      </c>
      <c r="BH582" s="1">
        <v>3395</v>
      </c>
      <c r="BI582" t="s">
        <v>550</v>
      </c>
      <c r="BJ582" t="s">
        <v>551</v>
      </c>
      <c r="BK582" t="s">
        <v>551</v>
      </c>
      <c r="BL582" t="s">
        <v>552</v>
      </c>
      <c r="BM582" t="s">
        <v>3035</v>
      </c>
      <c r="BN582" t="s">
        <v>3352</v>
      </c>
      <c r="BO582" t="s">
        <v>3353</v>
      </c>
      <c r="BR582" t="s">
        <v>546</v>
      </c>
      <c r="BS582" s="1">
        <v>3395</v>
      </c>
      <c r="BW582" t="s">
        <v>536</v>
      </c>
      <c r="BX582" s="1">
        <v>3395</v>
      </c>
      <c r="BZ582" t="s">
        <v>535</v>
      </c>
      <c r="CA582" t="s">
        <v>546</v>
      </c>
      <c r="CB582" t="s">
        <v>3016</v>
      </c>
      <c r="CC582" t="s">
        <v>556</v>
      </c>
      <c r="CD582" t="s">
        <v>745</v>
      </c>
      <c r="CE582" t="s">
        <v>746</v>
      </c>
      <c r="CF582" t="s">
        <v>243</v>
      </c>
      <c r="CG582" s="4">
        <v>1</v>
      </c>
      <c r="CH582" t="s">
        <v>546</v>
      </c>
      <c r="CK582" t="s">
        <v>3354</v>
      </c>
      <c r="CL582" s="1">
        <v>3395</v>
      </c>
      <c r="CN582" t="s">
        <v>535</v>
      </c>
      <c r="CO582" t="s">
        <v>539</v>
      </c>
      <c r="CT582" t="s">
        <v>560</v>
      </c>
      <c r="CW582" t="s">
        <v>546</v>
      </c>
      <c r="DD582" t="s">
        <v>561</v>
      </c>
      <c r="DK582" t="s">
        <v>3355</v>
      </c>
      <c r="DL582" t="s">
        <v>3356</v>
      </c>
      <c r="DR582" t="s">
        <v>3357</v>
      </c>
    </row>
    <row r="583" ht="15" customHeight="1" spans="1:122">
      <c r="A583" t="s">
        <v>530</v>
      </c>
      <c r="B583" t="s">
        <v>3358</v>
      </c>
      <c r="C583" t="s">
        <v>532</v>
      </c>
      <c r="D583" t="s">
        <v>3035</v>
      </c>
      <c r="E583" t="s">
        <v>534</v>
      </c>
      <c r="F583" t="s">
        <v>534</v>
      </c>
      <c r="G583" t="s">
        <v>535</v>
      </c>
      <c r="H583" s="1">
        <v>3270</v>
      </c>
      <c r="I583" s="1">
        <v>3270</v>
      </c>
      <c r="J583" t="s">
        <v>536</v>
      </c>
      <c r="L583" t="s">
        <v>536</v>
      </c>
      <c r="M583" t="s">
        <v>371</v>
      </c>
      <c r="N583" t="s">
        <v>537</v>
      </c>
      <c r="P583" s="1">
        <v>3270</v>
      </c>
      <c r="Q583" t="s">
        <v>1060</v>
      </c>
      <c r="R583" t="s">
        <v>535</v>
      </c>
      <c r="S583" t="s">
        <v>539</v>
      </c>
      <c r="T583" s="2">
        <v>1</v>
      </c>
      <c r="U583" s="1">
        <v>3270</v>
      </c>
      <c r="V583" s="1">
        <v>3270</v>
      </c>
      <c r="X583" t="s">
        <v>540</v>
      </c>
      <c r="Z583" t="s">
        <v>541</v>
      </c>
      <c r="AA583" t="s">
        <v>542</v>
      </c>
      <c r="AB583" t="s">
        <v>543</v>
      </c>
      <c r="AC583" t="s">
        <v>544</v>
      </c>
      <c r="AD583" t="s">
        <v>545</v>
      </c>
      <c r="AE583" s="3">
        <v>1</v>
      </c>
      <c r="AF583" t="s">
        <v>250</v>
      </c>
      <c r="AG583" s="1">
        <v>3270</v>
      </c>
      <c r="AI583" s="1">
        <v>3270</v>
      </c>
      <c r="AJ583" s="1">
        <v>3270</v>
      </c>
      <c r="AM583" s="1">
        <v>3270</v>
      </c>
      <c r="AN583" t="s">
        <v>1316</v>
      </c>
      <c r="AO583" t="s">
        <v>546</v>
      </c>
      <c r="AP583" t="s">
        <v>1317</v>
      </c>
      <c r="AQ583" t="s">
        <v>548</v>
      </c>
      <c r="AS583" t="s">
        <v>371</v>
      </c>
      <c r="AX583" s="1">
        <v>3270</v>
      </c>
      <c r="AY583" t="s">
        <v>546</v>
      </c>
      <c r="AZ583" t="s">
        <v>1318</v>
      </c>
      <c r="BA583" s="1">
        <v>3270</v>
      </c>
      <c r="BC583" t="s">
        <v>546</v>
      </c>
      <c r="BD583" s="1">
        <v>3270</v>
      </c>
      <c r="BE583" t="s">
        <v>540</v>
      </c>
      <c r="BF583" s="1">
        <v>3270</v>
      </c>
      <c r="BH583" s="1">
        <v>3270</v>
      </c>
      <c r="BI583" t="s">
        <v>550</v>
      </c>
      <c r="BJ583" t="s">
        <v>551</v>
      </c>
      <c r="BK583" t="s">
        <v>551</v>
      </c>
      <c r="BL583" t="s">
        <v>552</v>
      </c>
      <c r="BM583" t="s">
        <v>3035</v>
      </c>
      <c r="BN583" t="s">
        <v>3359</v>
      </c>
      <c r="BO583" t="s">
        <v>3360</v>
      </c>
      <c r="BR583" t="s">
        <v>546</v>
      </c>
      <c r="BS583" s="1">
        <v>3270</v>
      </c>
      <c r="BW583" t="s">
        <v>536</v>
      </c>
      <c r="BX583" s="1">
        <v>3270</v>
      </c>
      <c r="BZ583" t="s">
        <v>535</v>
      </c>
      <c r="CA583" t="s">
        <v>546</v>
      </c>
      <c r="CB583" t="s">
        <v>3035</v>
      </c>
      <c r="CC583" t="s">
        <v>556</v>
      </c>
      <c r="CD583" t="s">
        <v>3361</v>
      </c>
      <c r="CE583" t="s">
        <v>3362</v>
      </c>
      <c r="CF583" t="s">
        <v>250</v>
      </c>
      <c r="CG583" s="4">
        <v>1</v>
      </c>
      <c r="CH583" t="s">
        <v>546</v>
      </c>
      <c r="CK583" t="s">
        <v>3363</v>
      </c>
      <c r="CL583" s="1">
        <v>3270</v>
      </c>
      <c r="CN583" t="s">
        <v>535</v>
      </c>
      <c r="CO583" t="s">
        <v>539</v>
      </c>
      <c r="CT583" t="s">
        <v>576</v>
      </c>
      <c r="CW583" t="s">
        <v>546</v>
      </c>
      <c r="DD583" t="s">
        <v>561</v>
      </c>
      <c r="DK583" t="s">
        <v>2804</v>
      </c>
      <c r="DL583" t="s">
        <v>2805</v>
      </c>
    </row>
    <row r="584" ht="15" customHeight="1" spans="1:122">
      <c r="A584" t="s">
        <v>603</v>
      </c>
      <c r="B584" t="s">
        <v>3364</v>
      </c>
      <c r="C584" t="s">
        <v>532</v>
      </c>
      <c r="D584" t="s">
        <v>3016</v>
      </c>
      <c r="E584" t="s">
        <v>534</v>
      </c>
      <c r="F584" t="s">
        <v>534</v>
      </c>
      <c r="G584" t="s">
        <v>535</v>
      </c>
      <c r="H584" s="1">
        <v>25754</v>
      </c>
      <c r="I584" s="1">
        <v>25586.59</v>
      </c>
      <c r="J584" t="s">
        <v>536</v>
      </c>
      <c r="L584" t="s">
        <v>536</v>
      </c>
      <c r="M584" t="s">
        <v>411</v>
      </c>
      <c r="N584" t="s">
        <v>369</v>
      </c>
      <c r="P584" s="1">
        <v>25754</v>
      </c>
      <c r="Q584" t="s">
        <v>606</v>
      </c>
      <c r="R584" t="s">
        <v>535</v>
      </c>
      <c r="S584" t="s">
        <v>539</v>
      </c>
      <c r="T584" s="2">
        <v>1</v>
      </c>
      <c r="U584" s="1">
        <v>25754</v>
      </c>
      <c r="V584" s="1">
        <v>25586.59</v>
      </c>
      <c r="X584" t="s">
        <v>616</v>
      </c>
      <c r="Z584" t="s">
        <v>541</v>
      </c>
      <c r="AA584" t="s">
        <v>542</v>
      </c>
      <c r="AB584" t="s">
        <v>543</v>
      </c>
      <c r="AC584" t="s">
        <v>608</v>
      </c>
      <c r="AE584" s="3">
        <v>1</v>
      </c>
      <c r="AG584" s="1">
        <v>2686</v>
      </c>
      <c r="AI584" s="1">
        <v>25754</v>
      </c>
      <c r="AJ584" s="1">
        <v>2686</v>
      </c>
      <c r="AK584" s="1">
        <v>17.46</v>
      </c>
      <c r="AM584" s="1">
        <v>2668.54</v>
      </c>
      <c r="AN584" t="s">
        <v>536</v>
      </c>
      <c r="AO584" t="s">
        <v>546</v>
      </c>
      <c r="AP584" t="s">
        <v>547</v>
      </c>
      <c r="AQ584" t="s">
        <v>548</v>
      </c>
      <c r="AS584" t="s">
        <v>411</v>
      </c>
      <c r="AX584" s="1">
        <v>2686</v>
      </c>
      <c r="AY584" t="s">
        <v>546</v>
      </c>
      <c r="AZ584" t="s">
        <v>549</v>
      </c>
      <c r="BA584" s="1">
        <v>2686</v>
      </c>
      <c r="BB584" t="s">
        <v>3365</v>
      </c>
      <c r="BC584" t="s">
        <v>546</v>
      </c>
      <c r="BE584" t="s">
        <v>616</v>
      </c>
      <c r="BG584" s="1">
        <v>17.46</v>
      </c>
      <c r="BH584" s="1">
        <v>2668.54</v>
      </c>
      <c r="BI584" t="s">
        <v>550</v>
      </c>
      <c r="BJ584" t="s">
        <v>610</v>
      </c>
      <c r="BK584" t="s">
        <v>552</v>
      </c>
      <c r="BL584" t="s">
        <v>552</v>
      </c>
      <c r="BM584" t="s">
        <v>3035</v>
      </c>
      <c r="BN584" t="s">
        <v>3366</v>
      </c>
      <c r="BO584" t="s">
        <v>3367</v>
      </c>
      <c r="BR584" t="s">
        <v>546</v>
      </c>
      <c r="BS584" s="1">
        <v>2686</v>
      </c>
      <c r="BW584" t="s">
        <v>536</v>
      </c>
      <c r="BZ584" t="s">
        <v>535</v>
      </c>
      <c r="CA584" t="s">
        <v>546</v>
      </c>
      <c r="CB584" t="s">
        <v>3016</v>
      </c>
      <c r="CC584" t="s">
        <v>556</v>
      </c>
      <c r="CH584" t="s">
        <v>546</v>
      </c>
      <c r="CK584" t="s">
        <v>3368</v>
      </c>
      <c r="CN584" t="s">
        <v>535</v>
      </c>
      <c r="CO584" t="s">
        <v>539</v>
      </c>
      <c r="CT584" t="s">
        <v>576</v>
      </c>
      <c r="CW584" t="s">
        <v>546</v>
      </c>
      <c r="DD584" t="s">
        <v>561</v>
      </c>
      <c r="DK584" t="s">
        <v>3369</v>
      </c>
      <c r="DR584" t="s">
        <v>3369</v>
      </c>
    </row>
    <row r="585" ht="15" customHeight="1" spans="1:122">
      <c r="AB585" t="s">
        <v>543</v>
      </c>
      <c r="AC585" t="s">
        <v>608</v>
      </c>
      <c r="AG585" s="1">
        <v>3460</v>
      </c>
      <c r="AJ585" s="1">
        <v>3460</v>
      </c>
      <c r="AK585" s="1">
        <v>22.49</v>
      </c>
      <c r="AM585" s="1">
        <v>3437.51</v>
      </c>
      <c r="AN585" t="s">
        <v>536</v>
      </c>
      <c r="AP585" t="s">
        <v>547</v>
      </c>
      <c r="AX585" s="1">
        <v>3460</v>
      </c>
      <c r="AZ585" t="s">
        <v>549</v>
      </c>
      <c r="BA585" s="1">
        <v>3460</v>
      </c>
      <c r="BB585" t="s">
        <v>3370</v>
      </c>
      <c r="BC585" t="s">
        <v>546</v>
      </c>
      <c r="BE585" t="s">
        <v>616</v>
      </c>
      <c r="BG585" s="1">
        <v>22.49</v>
      </c>
      <c r="BH585" s="1">
        <v>3437.51</v>
      </c>
      <c r="BS585" s="1">
        <v>3460</v>
      </c>
      <c r="CB585" t="s">
        <v>3016</v>
      </c>
      <c r="CC585" t="s">
        <v>556</v>
      </c>
      <c r="DD585" t="s">
        <v>561</v>
      </c>
    </row>
    <row r="586" ht="15" customHeight="1" spans="1:122">
      <c r="AB586" t="s">
        <v>543</v>
      </c>
      <c r="AC586" t="s">
        <v>608</v>
      </c>
      <c r="AG586" s="1">
        <v>2686</v>
      </c>
      <c r="AJ586" s="1">
        <v>2686</v>
      </c>
      <c r="AK586" s="1">
        <v>17.46</v>
      </c>
      <c r="AM586" s="1">
        <v>2668.54</v>
      </c>
      <c r="AN586" t="s">
        <v>536</v>
      </c>
      <c r="AP586" t="s">
        <v>547</v>
      </c>
      <c r="AX586" s="1">
        <v>2686</v>
      </c>
      <c r="AZ586" t="s">
        <v>549</v>
      </c>
      <c r="BA586" s="1">
        <v>2686</v>
      </c>
      <c r="BB586" t="s">
        <v>3371</v>
      </c>
      <c r="BC586" t="s">
        <v>546</v>
      </c>
      <c r="BE586" t="s">
        <v>616</v>
      </c>
      <c r="BG586" s="1">
        <v>17.46</v>
      </c>
      <c r="BH586" s="1">
        <v>2668.54</v>
      </c>
      <c r="BS586" s="1">
        <v>2686</v>
      </c>
      <c r="CB586" t="s">
        <v>3016</v>
      </c>
      <c r="CC586" t="s">
        <v>556</v>
      </c>
      <c r="DD586" t="s">
        <v>561</v>
      </c>
    </row>
    <row r="587" ht="15" customHeight="1" spans="1:122">
      <c r="AB587" t="s">
        <v>543</v>
      </c>
      <c r="AC587" t="s">
        <v>608</v>
      </c>
      <c r="AG587" s="1">
        <v>2686</v>
      </c>
      <c r="AJ587" s="1">
        <v>2686</v>
      </c>
      <c r="AK587" s="1">
        <v>17.46</v>
      </c>
      <c r="AM587" s="1">
        <v>2668.54</v>
      </c>
      <c r="AN587" t="s">
        <v>536</v>
      </c>
      <c r="AP587" t="s">
        <v>547</v>
      </c>
      <c r="AX587" s="1">
        <v>2686</v>
      </c>
      <c r="AZ587" t="s">
        <v>549</v>
      </c>
      <c r="BA587" s="1">
        <v>2686</v>
      </c>
      <c r="BB587" t="s">
        <v>3372</v>
      </c>
      <c r="BC587" t="s">
        <v>546</v>
      </c>
      <c r="BE587" t="s">
        <v>616</v>
      </c>
      <c r="BG587" s="1">
        <v>17.46</v>
      </c>
      <c r="BH587" s="1">
        <v>2668.54</v>
      </c>
      <c r="BS587" s="1">
        <v>2686</v>
      </c>
      <c r="CB587" t="s">
        <v>3016</v>
      </c>
      <c r="CC587" t="s">
        <v>556</v>
      </c>
      <c r="DD587" t="s">
        <v>561</v>
      </c>
    </row>
    <row r="588" ht="15" customHeight="1" spans="1:122">
      <c r="AB588" t="s">
        <v>543</v>
      </c>
      <c r="AC588" t="s">
        <v>608</v>
      </c>
      <c r="AG588" s="1">
        <v>2686</v>
      </c>
      <c r="AJ588" s="1">
        <v>2686</v>
      </c>
      <c r="AK588" s="1">
        <v>17.46</v>
      </c>
      <c r="AM588" s="1">
        <v>2668.54</v>
      </c>
      <c r="AN588" t="s">
        <v>536</v>
      </c>
      <c r="AP588" t="s">
        <v>547</v>
      </c>
      <c r="AX588" s="1">
        <v>2686</v>
      </c>
      <c r="AZ588" t="s">
        <v>549</v>
      </c>
      <c r="BA588" s="1">
        <v>2686</v>
      </c>
      <c r="BB588" t="s">
        <v>3373</v>
      </c>
      <c r="BC588" t="s">
        <v>546</v>
      </c>
      <c r="BE588" t="s">
        <v>616</v>
      </c>
      <c r="BG588" s="1">
        <v>17.46</v>
      </c>
      <c r="BH588" s="1">
        <v>2668.54</v>
      </c>
      <c r="BS588" s="1">
        <v>2686</v>
      </c>
      <c r="CB588" t="s">
        <v>3016</v>
      </c>
      <c r="CC588" t="s">
        <v>556</v>
      </c>
      <c r="DD588" t="s">
        <v>561</v>
      </c>
    </row>
    <row r="589" ht="15" customHeight="1" spans="1:122">
      <c r="AB589" t="s">
        <v>543</v>
      </c>
      <c r="AC589" t="s">
        <v>608</v>
      </c>
      <c r="AG589" s="1">
        <v>2686</v>
      </c>
      <c r="AJ589" s="1">
        <v>2686</v>
      </c>
      <c r="AK589" s="1">
        <v>17.46</v>
      </c>
      <c r="AM589" s="1">
        <v>2668.54</v>
      </c>
      <c r="AN589" t="s">
        <v>536</v>
      </c>
      <c r="AP589" t="s">
        <v>547</v>
      </c>
      <c r="AX589" s="1">
        <v>2686</v>
      </c>
      <c r="AZ589" t="s">
        <v>549</v>
      </c>
      <c r="BA589" s="1">
        <v>2686</v>
      </c>
      <c r="BB589" t="s">
        <v>3374</v>
      </c>
      <c r="BC589" t="s">
        <v>546</v>
      </c>
      <c r="BE589" t="s">
        <v>616</v>
      </c>
      <c r="BG589" s="1">
        <v>17.46</v>
      </c>
      <c r="BH589" s="1">
        <v>2668.54</v>
      </c>
      <c r="BS589" s="1">
        <v>2686</v>
      </c>
      <c r="CB589" t="s">
        <v>3016</v>
      </c>
      <c r="CC589" t="s">
        <v>556</v>
      </c>
      <c r="DD589" t="s">
        <v>561</v>
      </c>
    </row>
    <row r="590" ht="15" customHeight="1" spans="1:122">
      <c r="AB590" t="s">
        <v>543</v>
      </c>
      <c r="AC590" t="s">
        <v>608</v>
      </c>
      <c r="AG590" s="1">
        <v>2686</v>
      </c>
      <c r="AJ590" s="1">
        <v>2686</v>
      </c>
      <c r="AK590" s="1">
        <v>17.46</v>
      </c>
      <c r="AM590" s="1">
        <v>2668.54</v>
      </c>
      <c r="AN590" t="s">
        <v>536</v>
      </c>
      <c r="AP590" t="s">
        <v>547</v>
      </c>
      <c r="AX590" s="1">
        <v>2686</v>
      </c>
      <c r="AZ590" t="s">
        <v>549</v>
      </c>
      <c r="BA590" s="1">
        <v>2686</v>
      </c>
      <c r="BB590" t="s">
        <v>3375</v>
      </c>
      <c r="BC590" t="s">
        <v>546</v>
      </c>
      <c r="BE590" t="s">
        <v>616</v>
      </c>
      <c r="BG590" s="1">
        <v>17.46</v>
      </c>
      <c r="BH590" s="1">
        <v>2668.54</v>
      </c>
      <c r="BS590" s="1">
        <v>2686</v>
      </c>
      <c r="CB590" t="s">
        <v>3016</v>
      </c>
      <c r="CC590" t="s">
        <v>556</v>
      </c>
      <c r="DD590" t="s">
        <v>561</v>
      </c>
    </row>
    <row r="591" ht="15" customHeight="1" spans="1:122">
      <c r="AB591" t="s">
        <v>543</v>
      </c>
      <c r="AC591" t="s">
        <v>608</v>
      </c>
      <c r="AG591" s="1">
        <v>3932</v>
      </c>
      <c r="AJ591" s="1">
        <v>3932</v>
      </c>
      <c r="AK591" s="1">
        <v>25.56</v>
      </c>
      <c r="AM591" s="1">
        <v>3906.44</v>
      </c>
      <c r="AN591" t="s">
        <v>536</v>
      </c>
      <c r="AP591" t="s">
        <v>547</v>
      </c>
      <c r="AX591" s="1">
        <v>3932</v>
      </c>
      <c r="AZ591" t="s">
        <v>549</v>
      </c>
      <c r="BA591" s="1">
        <v>3932</v>
      </c>
      <c r="BB591" t="s">
        <v>3376</v>
      </c>
      <c r="BC591" t="s">
        <v>546</v>
      </c>
      <c r="BE591" t="s">
        <v>616</v>
      </c>
      <c r="BG591" s="1">
        <v>25.56</v>
      </c>
      <c r="BH591" s="1">
        <v>3906.44</v>
      </c>
      <c r="BS591" s="1">
        <v>3932</v>
      </c>
      <c r="CB591" t="s">
        <v>3016</v>
      </c>
      <c r="CC591" t="s">
        <v>556</v>
      </c>
      <c r="DD591" t="s">
        <v>561</v>
      </c>
    </row>
    <row r="592" ht="15" customHeight="1" spans="1:122">
      <c r="AB592" t="s">
        <v>543</v>
      </c>
      <c r="AC592" t="s">
        <v>608</v>
      </c>
      <c r="AG592" s="1">
        <v>2246</v>
      </c>
      <c r="AJ592" s="1">
        <v>2246</v>
      </c>
      <c r="AK592" s="1">
        <v>14.6</v>
      </c>
      <c r="AM592" s="1">
        <v>2231.4</v>
      </c>
      <c r="AN592" t="s">
        <v>536</v>
      </c>
      <c r="AP592" t="s">
        <v>547</v>
      </c>
      <c r="AX592" s="1">
        <v>2246</v>
      </c>
      <c r="AZ592" t="s">
        <v>549</v>
      </c>
      <c r="BA592" s="1">
        <v>2246</v>
      </c>
      <c r="BB592" t="s">
        <v>3377</v>
      </c>
      <c r="BC592" t="s">
        <v>546</v>
      </c>
      <c r="BE592" t="s">
        <v>616</v>
      </c>
      <c r="BG592" s="1">
        <v>14.6</v>
      </c>
      <c r="BH592" s="1">
        <v>2231.4</v>
      </c>
      <c r="BS592" s="1">
        <v>2246</v>
      </c>
      <c r="CB592" t="s">
        <v>3016</v>
      </c>
      <c r="CC592" t="s">
        <v>556</v>
      </c>
      <c r="DD592" t="s">
        <v>561</v>
      </c>
    </row>
    <row r="593" ht="15" customHeight="1" spans="1:122">
      <c r="A593" t="s">
        <v>603</v>
      </c>
      <c r="B593" t="s">
        <v>3378</v>
      </c>
      <c r="C593" t="s">
        <v>532</v>
      </c>
      <c r="D593" t="s">
        <v>3035</v>
      </c>
      <c r="E593" t="s">
        <v>534</v>
      </c>
      <c r="F593" t="s">
        <v>534</v>
      </c>
      <c r="G593" t="s">
        <v>535</v>
      </c>
      <c r="H593" s="1">
        <v>3298</v>
      </c>
      <c r="I593" s="1">
        <v>3278.21</v>
      </c>
      <c r="J593" t="s">
        <v>536</v>
      </c>
      <c r="L593" t="s">
        <v>536</v>
      </c>
      <c r="M593" t="s">
        <v>411</v>
      </c>
      <c r="N593" t="s">
        <v>369</v>
      </c>
      <c r="P593" s="1">
        <v>3298</v>
      </c>
      <c r="Q593" t="s">
        <v>606</v>
      </c>
      <c r="R593" t="s">
        <v>535</v>
      </c>
      <c r="S593" t="s">
        <v>539</v>
      </c>
      <c r="T593" s="2">
        <v>1</v>
      </c>
      <c r="U593" s="1">
        <v>3298</v>
      </c>
      <c r="V593" s="1">
        <v>3278.21</v>
      </c>
      <c r="X593" t="s">
        <v>616</v>
      </c>
      <c r="Z593" t="s">
        <v>541</v>
      </c>
      <c r="AA593" t="s">
        <v>542</v>
      </c>
      <c r="AB593" t="s">
        <v>543</v>
      </c>
      <c r="AC593" t="s">
        <v>608</v>
      </c>
      <c r="AE593" s="3">
        <v>1</v>
      </c>
      <c r="AG593" s="1">
        <v>3298</v>
      </c>
      <c r="AI593" s="1">
        <v>3298</v>
      </c>
      <c r="AJ593" s="1">
        <v>3298</v>
      </c>
      <c r="AK593" s="1">
        <v>19.79</v>
      </c>
      <c r="AM593" s="1">
        <v>3278.21</v>
      </c>
      <c r="AN593" t="s">
        <v>536</v>
      </c>
      <c r="AO593" t="s">
        <v>546</v>
      </c>
      <c r="AP593" t="s">
        <v>547</v>
      </c>
      <c r="AQ593" t="s">
        <v>548</v>
      </c>
      <c r="AS593" t="s">
        <v>411</v>
      </c>
      <c r="AX593" s="1">
        <v>3298</v>
      </c>
      <c r="AY593" t="s">
        <v>546</v>
      </c>
      <c r="AZ593" t="s">
        <v>549</v>
      </c>
      <c r="BA593" s="1">
        <v>3298</v>
      </c>
      <c r="BB593" t="s">
        <v>3379</v>
      </c>
      <c r="BC593" t="s">
        <v>546</v>
      </c>
      <c r="BE593" t="s">
        <v>616</v>
      </c>
      <c r="BG593" s="1">
        <v>19.79</v>
      </c>
      <c r="BH593" s="1">
        <v>3278.21</v>
      </c>
      <c r="BI593" t="s">
        <v>550</v>
      </c>
      <c r="BJ593" t="s">
        <v>610</v>
      </c>
      <c r="BK593" t="s">
        <v>552</v>
      </c>
      <c r="BL593" t="s">
        <v>552</v>
      </c>
      <c r="BM593" t="s">
        <v>3035</v>
      </c>
      <c r="BN593" t="s">
        <v>3380</v>
      </c>
      <c r="BO593" t="s">
        <v>3381</v>
      </c>
      <c r="BR593" t="s">
        <v>546</v>
      </c>
      <c r="BS593" s="1">
        <v>3298</v>
      </c>
      <c r="BW593" t="s">
        <v>536</v>
      </c>
      <c r="BZ593" t="s">
        <v>535</v>
      </c>
      <c r="CA593" t="s">
        <v>546</v>
      </c>
      <c r="CB593" t="s">
        <v>3035</v>
      </c>
      <c r="CC593" t="s">
        <v>556</v>
      </c>
      <c r="CH593" t="s">
        <v>546</v>
      </c>
      <c r="CK593" t="s">
        <v>3382</v>
      </c>
      <c r="CN593" t="s">
        <v>535</v>
      </c>
      <c r="CO593" t="s">
        <v>539</v>
      </c>
      <c r="CT593" t="s">
        <v>576</v>
      </c>
      <c r="CW593" t="s">
        <v>546</v>
      </c>
      <c r="DD593" t="s">
        <v>561</v>
      </c>
      <c r="DK593" t="s">
        <v>3379</v>
      </c>
      <c r="DR593" t="s">
        <v>3379</v>
      </c>
    </row>
    <row r="594" ht="15" customHeight="1" spans="1:122">
      <c r="A594" t="s">
        <v>603</v>
      </c>
      <c r="B594" t="s">
        <v>3383</v>
      </c>
      <c r="C594" t="s">
        <v>532</v>
      </c>
      <c r="D594" t="s">
        <v>3384</v>
      </c>
      <c r="E594" t="s">
        <v>534</v>
      </c>
      <c r="F594" t="s">
        <v>534</v>
      </c>
      <c r="G594" t="s">
        <v>535</v>
      </c>
      <c r="H594" s="1">
        <v>10632</v>
      </c>
      <c r="I594" s="1">
        <v>10568.2</v>
      </c>
      <c r="J594" t="s">
        <v>536</v>
      </c>
      <c r="L594" t="s">
        <v>536</v>
      </c>
      <c r="M594" t="s">
        <v>411</v>
      </c>
      <c r="N594" t="s">
        <v>369</v>
      </c>
      <c r="P594" s="1">
        <v>10632</v>
      </c>
      <c r="Q594" t="s">
        <v>606</v>
      </c>
      <c r="R594" t="s">
        <v>535</v>
      </c>
      <c r="S594" t="s">
        <v>539</v>
      </c>
      <c r="T594" s="2">
        <v>1</v>
      </c>
      <c r="U594" s="1">
        <v>10632</v>
      </c>
      <c r="V594" s="1">
        <v>10568.2</v>
      </c>
      <c r="X594" t="s">
        <v>616</v>
      </c>
      <c r="Z594" t="s">
        <v>541</v>
      </c>
      <c r="AA594" t="s">
        <v>542</v>
      </c>
      <c r="AB594" t="s">
        <v>543</v>
      </c>
      <c r="AC594" t="s">
        <v>608</v>
      </c>
      <c r="AE594" s="3">
        <v>1</v>
      </c>
      <c r="AG594" s="1">
        <v>2686</v>
      </c>
      <c r="AI594" s="1">
        <v>10632</v>
      </c>
      <c r="AJ594" s="1">
        <v>2686</v>
      </c>
      <c r="AK594" s="1">
        <v>16.12</v>
      </c>
      <c r="AM594" s="1">
        <v>2669.88</v>
      </c>
      <c r="AN594" t="s">
        <v>536</v>
      </c>
      <c r="AO594" t="s">
        <v>546</v>
      </c>
      <c r="AP594" t="s">
        <v>547</v>
      </c>
      <c r="AQ594" t="s">
        <v>548</v>
      </c>
      <c r="AS594" t="s">
        <v>411</v>
      </c>
      <c r="AX594" s="1">
        <v>2686</v>
      </c>
      <c r="AY594" t="s">
        <v>546</v>
      </c>
      <c r="AZ594" t="s">
        <v>549</v>
      </c>
      <c r="BA594" s="1">
        <v>2686</v>
      </c>
      <c r="BB594" t="s">
        <v>3385</v>
      </c>
      <c r="BC594" t="s">
        <v>546</v>
      </c>
      <c r="BE594" t="s">
        <v>616</v>
      </c>
      <c r="BG594" s="1">
        <v>16.12</v>
      </c>
      <c r="BH594" s="1">
        <v>2669.88</v>
      </c>
      <c r="BI594" t="s">
        <v>550</v>
      </c>
      <c r="BJ594" t="s">
        <v>610</v>
      </c>
      <c r="BK594" t="s">
        <v>552</v>
      </c>
      <c r="BL594" t="s">
        <v>552</v>
      </c>
      <c r="BM594" t="s">
        <v>3035</v>
      </c>
      <c r="BN594" t="s">
        <v>3386</v>
      </c>
      <c r="BO594" t="s">
        <v>3387</v>
      </c>
      <c r="BR594" t="s">
        <v>546</v>
      </c>
      <c r="BS594" s="1">
        <v>2686</v>
      </c>
      <c r="BW594" t="s">
        <v>536</v>
      </c>
      <c r="BZ594" t="s">
        <v>535</v>
      </c>
      <c r="CA594" t="s">
        <v>546</v>
      </c>
      <c r="CB594" t="s">
        <v>3384</v>
      </c>
      <c r="CC594" t="s">
        <v>556</v>
      </c>
      <c r="CH594" t="s">
        <v>546</v>
      </c>
      <c r="CK594" t="s">
        <v>3388</v>
      </c>
      <c r="CN594" t="s">
        <v>535</v>
      </c>
      <c r="CO594" t="s">
        <v>539</v>
      </c>
      <c r="CT594" t="s">
        <v>576</v>
      </c>
      <c r="CW594" t="s">
        <v>546</v>
      </c>
      <c r="DD594" t="s">
        <v>561</v>
      </c>
      <c r="DK594" t="s">
        <v>3389</v>
      </c>
      <c r="DR594" t="s">
        <v>3389</v>
      </c>
    </row>
    <row r="595" ht="15" customHeight="1" spans="1:122">
      <c r="AB595" t="s">
        <v>543</v>
      </c>
      <c r="AC595" t="s">
        <v>608</v>
      </c>
      <c r="AG595" s="1">
        <v>2686</v>
      </c>
      <c r="AJ595" s="1">
        <v>2686</v>
      </c>
      <c r="AK595" s="1">
        <v>16.12</v>
      </c>
      <c r="AM595" s="1">
        <v>2669.88</v>
      </c>
      <c r="AN595" t="s">
        <v>536</v>
      </c>
      <c r="AP595" t="s">
        <v>547</v>
      </c>
      <c r="AX595" s="1">
        <v>2686</v>
      </c>
      <c r="AZ595" t="s">
        <v>549</v>
      </c>
      <c r="BA595" s="1">
        <v>2686</v>
      </c>
      <c r="BB595" t="s">
        <v>3390</v>
      </c>
      <c r="BC595" t="s">
        <v>546</v>
      </c>
      <c r="BE595" t="s">
        <v>616</v>
      </c>
      <c r="BG595" s="1">
        <v>16.12</v>
      </c>
      <c r="BH595" s="1">
        <v>2669.88</v>
      </c>
      <c r="BS595" s="1">
        <v>2686</v>
      </c>
      <c r="CB595" t="s">
        <v>3384</v>
      </c>
      <c r="CC595" t="s">
        <v>556</v>
      </c>
      <c r="DD595" t="s">
        <v>561</v>
      </c>
    </row>
    <row r="596" ht="15" customHeight="1" spans="1:122">
      <c r="AB596" t="s">
        <v>543</v>
      </c>
      <c r="AC596" t="s">
        <v>608</v>
      </c>
      <c r="AG596" s="1">
        <v>2574</v>
      </c>
      <c r="AJ596" s="1">
        <v>2574</v>
      </c>
      <c r="AK596" s="1">
        <v>15.44</v>
      </c>
      <c r="AM596" s="1">
        <v>2558.56</v>
      </c>
      <c r="AN596" t="s">
        <v>536</v>
      </c>
      <c r="AP596" t="s">
        <v>547</v>
      </c>
      <c r="AX596" s="1">
        <v>2574</v>
      </c>
      <c r="AZ596" t="s">
        <v>549</v>
      </c>
      <c r="BA596" s="1">
        <v>2574</v>
      </c>
      <c r="BB596" t="s">
        <v>3391</v>
      </c>
      <c r="BC596" t="s">
        <v>546</v>
      </c>
      <c r="BE596" t="s">
        <v>616</v>
      </c>
      <c r="BG596" s="1">
        <v>15.44</v>
      </c>
      <c r="BH596" s="1">
        <v>2558.56</v>
      </c>
      <c r="BS596" s="1">
        <v>2574</v>
      </c>
      <c r="CB596" t="s">
        <v>3384</v>
      </c>
      <c r="CC596" t="s">
        <v>556</v>
      </c>
      <c r="DD596" t="s">
        <v>561</v>
      </c>
    </row>
    <row r="597" ht="15" customHeight="1" spans="1:122">
      <c r="AB597" t="s">
        <v>543</v>
      </c>
      <c r="AC597" t="s">
        <v>608</v>
      </c>
      <c r="AG597" s="1">
        <v>2686</v>
      </c>
      <c r="AJ597" s="1">
        <v>2686</v>
      </c>
      <c r="AK597" s="1">
        <v>16.12</v>
      </c>
      <c r="AM597" s="1">
        <v>2669.88</v>
      </c>
      <c r="AN597" t="s">
        <v>536</v>
      </c>
      <c r="AP597" t="s">
        <v>547</v>
      </c>
      <c r="AX597" s="1">
        <v>2686</v>
      </c>
      <c r="AZ597" t="s">
        <v>549</v>
      </c>
      <c r="BA597" s="1">
        <v>2686</v>
      </c>
      <c r="BB597" t="s">
        <v>3392</v>
      </c>
      <c r="BC597" t="s">
        <v>546</v>
      </c>
      <c r="BE597" t="s">
        <v>616</v>
      </c>
      <c r="BG597" s="1">
        <v>16.12</v>
      </c>
      <c r="BH597" s="1">
        <v>2669.88</v>
      </c>
      <c r="BS597" s="1">
        <v>2686</v>
      </c>
      <c r="CB597" t="s">
        <v>3384</v>
      </c>
      <c r="CC597" t="s">
        <v>556</v>
      </c>
      <c r="DD597" t="s">
        <v>561</v>
      </c>
    </row>
    <row r="598" ht="15" customHeight="1" spans="1:122">
      <c r="A598" t="s">
        <v>530</v>
      </c>
      <c r="B598" t="s">
        <v>3393</v>
      </c>
      <c r="C598" t="s">
        <v>532</v>
      </c>
      <c r="D598" t="s">
        <v>3035</v>
      </c>
      <c r="E598" t="s">
        <v>534</v>
      </c>
      <c r="F598" t="s">
        <v>534</v>
      </c>
      <c r="G598" t="s">
        <v>535</v>
      </c>
      <c r="H598" s="1">
        <v>1800</v>
      </c>
      <c r="I598" s="1">
        <v>1789.2</v>
      </c>
      <c r="J598" t="s">
        <v>536</v>
      </c>
      <c r="L598" t="s">
        <v>536</v>
      </c>
      <c r="M598" t="s">
        <v>375</v>
      </c>
      <c r="N598" t="s">
        <v>537</v>
      </c>
      <c r="P598" s="1">
        <v>1800</v>
      </c>
      <c r="Q598" t="s">
        <v>580</v>
      </c>
      <c r="R598" t="s">
        <v>535</v>
      </c>
      <c r="S598" t="s">
        <v>539</v>
      </c>
      <c r="T598" s="2">
        <v>1</v>
      </c>
      <c r="U598" s="1">
        <v>1800</v>
      </c>
      <c r="V598" s="1">
        <v>1789.2</v>
      </c>
      <c r="X598" t="s">
        <v>540</v>
      </c>
      <c r="Z598" t="s">
        <v>541</v>
      </c>
      <c r="AA598" t="s">
        <v>542</v>
      </c>
      <c r="AB598" t="s">
        <v>1050</v>
      </c>
      <c r="AC598" t="s">
        <v>544</v>
      </c>
      <c r="AD598" t="s">
        <v>545</v>
      </c>
      <c r="AE598" s="3">
        <v>1</v>
      </c>
      <c r="AF598" t="s">
        <v>245</v>
      </c>
      <c r="AG598" s="1">
        <v>1800</v>
      </c>
      <c r="AI598" s="1">
        <v>1800</v>
      </c>
      <c r="AJ598" s="1">
        <v>1800</v>
      </c>
      <c r="AK598" s="1">
        <v>10.8</v>
      </c>
      <c r="AM598" s="1">
        <v>1789.2</v>
      </c>
      <c r="AN598" t="s">
        <v>536</v>
      </c>
      <c r="AO598" t="s">
        <v>546</v>
      </c>
      <c r="AP598" t="s">
        <v>547</v>
      </c>
      <c r="AQ598" t="s">
        <v>548</v>
      </c>
      <c r="AS598" t="s">
        <v>375</v>
      </c>
      <c r="AX598" s="1">
        <v>1800</v>
      </c>
      <c r="AY598" t="s">
        <v>546</v>
      </c>
      <c r="AZ598" t="s">
        <v>549</v>
      </c>
      <c r="BA598" s="1">
        <v>1800</v>
      </c>
      <c r="BC598" t="s">
        <v>546</v>
      </c>
      <c r="BD598" s="1">
        <v>1800</v>
      </c>
      <c r="BE598" t="s">
        <v>540</v>
      </c>
      <c r="BF598" s="1">
        <v>1800</v>
      </c>
      <c r="BG598" s="1">
        <v>10.8</v>
      </c>
      <c r="BH598" s="1">
        <v>1789.2</v>
      </c>
      <c r="BI598" t="s">
        <v>550</v>
      </c>
      <c r="BJ598" t="s">
        <v>570</v>
      </c>
      <c r="BK598" t="s">
        <v>552</v>
      </c>
      <c r="BL598" t="s">
        <v>552</v>
      </c>
      <c r="BM598" t="s">
        <v>3035</v>
      </c>
      <c r="BN598" t="s">
        <v>3394</v>
      </c>
      <c r="BO598" t="s">
        <v>3395</v>
      </c>
      <c r="BR598" t="s">
        <v>546</v>
      </c>
      <c r="BS598" s="1">
        <v>1800</v>
      </c>
      <c r="BW598" t="s">
        <v>536</v>
      </c>
      <c r="BX598" s="1">
        <v>1800</v>
      </c>
      <c r="BZ598" t="s">
        <v>535</v>
      </c>
      <c r="CA598" t="s">
        <v>546</v>
      </c>
      <c r="CB598" t="s">
        <v>3035</v>
      </c>
      <c r="CC598" t="s">
        <v>556</v>
      </c>
      <c r="CD598" t="s">
        <v>1238</v>
      </c>
      <c r="CE598" t="s">
        <v>1239</v>
      </c>
      <c r="CF598" t="s">
        <v>245</v>
      </c>
      <c r="CG598" s="4">
        <v>1</v>
      </c>
      <c r="CH598" t="s">
        <v>546</v>
      </c>
      <c r="CK598" t="s">
        <v>3396</v>
      </c>
      <c r="CL598" s="1">
        <v>1800</v>
      </c>
      <c r="CN598" t="s">
        <v>535</v>
      </c>
      <c r="CO598" t="s">
        <v>539</v>
      </c>
      <c r="CT598" t="s">
        <v>576</v>
      </c>
      <c r="CW598" t="s">
        <v>546</v>
      </c>
      <c r="DD598" t="s">
        <v>561</v>
      </c>
      <c r="DK598" t="s">
        <v>3397</v>
      </c>
      <c r="DL598" t="s">
        <v>3398</v>
      </c>
    </row>
    <row r="599" ht="15" customHeight="1" spans="1:122">
      <c r="A599" t="s">
        <v>530</v>
      </c>
      <c r="B599" t="s">
        <v>3399</v>
      </c>
      <c r="C599" t="s">
        <v>532</v>
      </c>
      <c r="D599" t="s">
        <v>3035</v>
      </c>
      <c r="E599" t="s">
        <v>534</v>
      </c>
      <c r="F599" t="s">
        <v>534</v>
      </c>
      <c r="G599" t="s">
        <v>535</v>
      </c>
      <c r="H599" s="1">
        <v>450</v>
      </c>
      <c r="I599" s="1">
        <v>450</v>
      </c>
      <c r="J599" t="s">
        <v>536</v>
      </c>
      <c r="L599" t="s">
        <v>536</v>
      </c>
      <c r="M599" t="s">
        <v>375</v>
      </c>
      <c r="N599" t="s">
        <v>537</v>
      </c>
      <c r="P599" s="1">
        <v>450</v>
      </c>
      <c r="Q599" t="s">
        <v>580</v>
      </c>
      <c r="R599" t="s">
        <v>535</v>
      </c>
      <c r="S599" t="s">
        <v>539</v>
      </c>
      <c r="T599" s="2">
        <v>1</v>
      </c>
      <c r="U599" s="1">
        <v>450</v>
      </c>
      <c r="V599" s="1">
        <v>450</v>
      </c>
      <c r="X599" t="s">
        <v>540</v>
      </c>
      <c r="Z599" t="s">
        <v>541</v>
      </c>
      <c r="AA599" t="s">
        <v>542</v>
      </c>
      <c r="AB599" t="s">
        <v>1050</v>
      </c>
      <c r="AC599" t="s">
        <v>544</v>
      </c>
      <c r="AD599" t="s">
        <v>545</v>
      </c>
      <c r="AE599" s="3">
        <v>1</v>
      </c>
      <c r="AF599" t="s">
        <v>245</v>
      </c>
      <c r="AG599" s="1">
        <v>450</v>
      </c>
      <c r="AI599" s="1">
        <v>450</v>
      </c>
      <c r="AJ599" s="1">
        <v>450</v>
      </c>
      <c r="AM599" s="1">
        <v>450</v>
      </c>
      <c r="AN599" t="s">
        <v>565</v>
      </c>
      <c r="AO599" t="s">
        <v>546</v>
      </c>
      <c r="AP599" t="s">
        <v>565</v>
      </c>
      <c r="AQ599" t="s">
        <v>548</v>
      </c>
      <c r="AS599" t="s">
        <v>375</v>
      </c>
      <c r="AX599" s="1">
        <v>450</v>
      </c>
      <c r="AY599" t="s">
        <v>546</v>
      </c>
      <c r="AZ599" t="s">
        <v>566</v>
      </c>
      <c r="BA599" s="1">
        <v>450</v>
      </c>
      <c r="BC599" t="s">
        <v>546</v>
      </c>
      <c r="BD599" s="1">
        <v>450</v>
      </c>
      <c r="BE599" t="s">
        <v>540</v>
      </c>
      <c r="BF599" s="1">
        <v>450</v>
      </c>
      <c r="BH599" s="1">
        <v>450</v>
      </c>
      <c r="BI599" t="s">
        <v>550</v>
      </c>
      <c r="BJ599" t="s">
        <v>570</v>
      </c>
      <c r="BK599" t="s">
        <v>552</v>
      </c>
      <c r="BL599" t="s">
        <v>552</v>
      </c>
      <c r="BM599" t="s">
        <v>3035</v>
      </c>
      <c r="BN599" t="s">
        <v>3400</v>
      </c>
      <c r="BO599" t="s">
        <v>3401</v>
      </c>
      <c r="BR599" t="s">
        <v>546</v>
      </c>
      <c r="BS599" s="1">
        <v>450</v>
      </c>
      <c r="BW599" t="s">
        <v>536</v>
      </c>
      <c r="BX599" s="1">
        <v>450</v>
      </c>
      <c r="BZ599" t="s">
        <v>535</v>
      </c>
      <c r="CA599" t="s">
        <v>546</v>
      </c>
      <c r="CB599" t="s">
        <v>3035</v>
      </c>
      <c r="CC599" t="s">
        <v>556</v>
      </c>
      <c r="CD599" t="s">
        <v>1238</v>
      </c>
      <c r="CE599" t="s">
        <v>1239</v>
      </c>
      <c r="CF599" t="s">
        <v>245</v>
      </c>
      <c r="CG599" s="4">
        <v>1</v>
      </c>
      <c r="CH599" t="s">
        <v>546</v>
      </c>
      <c r="CK599" t="s">
        <v>3396</v>
      </c>
      <c r="CL599" s="1">
        <v>450</v>
      </c>
      <c r="CN599" t="s">
        <v>535</v>
      </c>
      <c r="CO599" t="s">
        <v>539</v>
      </c>
      <c r="CT599" t="s">
        <v>576</v>
      </c>
      <c r="CW599" t="s">
        <v>546</v>
      </c>
      <c r="DD599" t="s">
        <v>561</v>
      </c>
      <c r="DK599" t="s">
        <v>3397</v>
      </c>
      <c r="DL599" t="s">
        <v>3398</v>
      </c>
    </row>
    <row r="600" ht="15" customHeight="1" spans="1:122">
      <c r="A600" t="s">
        <v>530</v>
      </c>
      <c r="B600" t="s">
        <v>3402</v>
      </c>
      <c r="C600" t="s">
        <v>532</v>
      </c>
      <c r="D600" t="s">
        <v>3035</v>
      </c>
      <c r="E600" t="s">
        <v>534</v>
      </c>
      <c r="F600" t="s">
        <v>534</v>
      </c>
      <c r="G600" t="s">
        <v>535</v>
      </c>
      <c r="H600" s="1">
        <v>14000</v>
      </c>
      <c r="I600" s="1">
        <v>14000</v>
      </c>
      <c r="J600" t="s">
        <v>536</v>
      </c>
      <c r="L600" t="s">
        <v>536</v>
      </c>
      <c r="M600" t="s">
        <v>375</v>
      </c>
      <c r="N600" t="s">
        <v>537</v>
      </c>
      <c r="P600" s="1">
        <v>14000</v>
      </c>
      <c r="Q600" t="s">
        <v>580</v>
      </c>
      <c r="R600" t="s">
        <v>535</v>
      </c>
      <c r="S600" t="s">
        <v>539</v>
      </c>
      <c r="T600" s="2">
        <v>1</v>
      </c>
      <c r="U600" s="1">
        <v>14000</v>
      </c>
      <c r="V600" s="1">
        <v>14000</v>
      </c>
      <c r="X600" t="s">
        <v>540</v>
      </c>
      <c r="Z600" t="s">
        <v>541</v>
      </c>
      <c r="AA600" t="s">
        <v>542</v>
      </c>
      <c r="AB600" t="s">
        <v>543</v>
      </c>
      <c r="AC600" t="s">
        <v>544</v>
      </c>
      <c r="AD600" t="s">
        <v>545</v>
      </c>
      <c r="AE600" s="3">
        <v>1</v>
      </c>
      <c r="AF600" t="s">
        <v>254</v>
      </c>
      <c r="AG600" s="1">
        <v>14000</v>
      </c>
      <c r="AI600" s="1">
        <v>14000</v>
      </c>
      <c r="AJ600" s="1">
        <v>14000</v>
      </c>
      <c r="AM600" s="1">
        <v>14000</v>
      </c>
      <c r="AN600" t="s">
        <v>1316</v>
      </c>
      <c r="AO600" t="s">
        <v>546</v>
      </c>
      <c r="AP600" t="s">
        <v>1317</v>
      </c>
      <c r="AQ600" t="s">
        <v>548</v>
      </c>
      <c r="AS600" t="s">
        <v>375</v>
      </c>
      <c r="AX600" s="1">
        <v>14000</v>
      </c>
      <c r="AY600" t="s">
        <v>546</v>
      </c>
      <c r="AZ600" t="s">
        <v>1318</v>
      </c>
      <c r="BA600" s="1">
        <v>14000</v>
      </c>
      <c r="BC600" t="s">
        <v>546</v>
      </c>
      <c r="BD600" s="1">
        <v>14000</v>
      </c>
      <c r="BE600" t="s">
        <v>540</v>
      </c>
      <c r="BF600" s="1">
        <v>14000</v>
      </c>
      <c r="BH600" s="1">
        <v>14000</v>
      </c>
      <c r="BI600" t="s">
        <v>550</v>
      </c>
      <c r="BJ600" t="s">
        <v>551</v>
      </c>
      <c r="BK600" t="s">
        <v>551</v>
      </c>
      <c r="BL600" t="s">
        <v>552</v>
      </c>
      <c r="BM600" t="s">
        <v>3035</v>
      </c>
      <c r="BN600" t="s">
        <v>3403</v>
      </c>
      <c r="BO600" t="s">
        <v>3404</v>
      </c>
      <c r="BR600" t="s">
        <v>546</v>
      </c>
      <c r="BS600" s="1">
        <v>14000</v>
      </c>
      <c r="BW600" t="s">
        <v>536</v>
      </c>
      <c r="BX600" s="1">
        <v>14000</v>
      </c>
      <c r="BZ600" t="s">
        <v>535</v>
      </c>
      <c r="CA600" t="s">
        <v>546</v>
      </c>
      <c r="CB600" t="s">
        <v>3035</v>
      </c>
      <c r="CC600" t="s">
        <v>556</v>
      </c>
      <c r="CD600" t="s">
        <v>3405</v>
      </c>
      <c r="CE600" t="s">
        <v>3406</v>
      </c>
      <c r="CF600" t="s">
        <v>254</v>
      </c>
      <c r="CG600" s="4">
        <v>1</v>
      </c>
      <c r="CH600" t="s">
        <v>546</v>
      </c>
      <c r="CK600" t="s">
        <v>3407</v>
      </c>
      <c r="CL600" s="1">
        <v>14000</v>
      </c>
      <c r="CN600" t="s">
        <v>535</v>
      </c>
      <c r="CO600" t="s">
        <v>539</v>
      </c>
      <c r="CT600" t="s">
        <v>576</v>
      </c>
      <c r="CW600" t="s">
        <v>546</v>
      </c>
      <c r="DD600" t="s">
        <v>561</v>
      </c>
      <c r="DK600" t="s">
        <v>3408</v>
      </c>
      <c r="DL600" t="s">
        <v>3409</v>
      </c>
    </row>
    <row r="601" ht="15" customHeight="1" spans="1:122">
      <c r="A601" t="s">
        <v>530</v>
      </c>
      <c r="B601" t="s">
        <v>3410</v>
      </c>
      <c r="C601" t="s">
        <v>532</v>
      </c>
      <c r="D601" t="s">
        <v>3016</v>
      </c>
      <c r="E601" t="s">
        <v>534</v>
      </c>
      <c r="F601" t="s">
        <v>534</v>
      </c>
      <c r="G601" t="s">
        <v>535</v>
      </c>
      <c r="H601" s="1">
        <v>3128</v>
      </c>
      <c r="I601" s="1">
        <v>3128</v>
      </c>
      <c r="J601" t="s">
        <v>536</v>
      </c>
      <c r="L601" t="s">
        <v>536</v>
      </c>
      <c r="M601" t="s">
        <v>371</v>
      </c>
      <c r="N601" t="s">
        <v>537</v>
      </c>
      <c r="P601" s="1">
        <v>3128</v>
      </c>
      <c r="Q601" t="s">
        <v>1060</v>
      </c>
      <c r="R601" t="s">
        <v>535</v>
      </c>
      <c r="S601" t="s">
        <v>539</v>
      </c>
      <c r="T601" s="2">
        <v>1</v>
      </c>
      <c r="U601" s="1">
        <v>3128</v>
      </c>
      <c r="V601" s="1">
        <v>3128</v>
      </c>
      <c r="X601" t="s">
        <v>540</v>
      </c>
      <c r="Z601" t="s">
        <v>541</v>
      </c>
      <c r="AA601" t="s">
        <v>542</v>
      </c>
      <c r="AB601" t="s">
        <v>543</v>
      </c>
      <c r="AC601" t="s">
        <v>544</v>
      </c>
      <c r="AD601" t="s">
        <v>545</v>
      </c>
      <c r="AE601" s="3">
        <v>1</v>
      </c>
      <c r="AF601" t="s">
        <v>244</v>
      </c>
      <c r="AG601" s="1">
        <v>3128</v>
      </c>
      <c r="AI601" s="1">
        <v>3128</v>
      </c>
      <c r="AJ601" s="1">
        <v>3128</v>
      </c>
      <c r="AM601" s="1">
        <v>3128</v>
      </c>
      <c r="AN601" t="s">
        <v>643</v>
      </c>
      <c r="AO601" t="s">
        <v>546</v>
      </c>
      <c r="AP601" t="s">
        <v>643</v>
      </c>
      <c r="AQ601" t="s">
        <v>548</v>
      </c>
      <c r="AS601" t="s">
        <v>371</v>
      </c>
      <c r="AX601" s="1">
        <v>3128</v>
      </c>
      <c r="AY601" t="s">
        <v>546</v>
      </c>
      <c r="AZ601" t="s">
        <v>644</v>
      </c>
      <c r="BA601" s="1">
        <v>3128</v>
      </c>
      <c r="BC601" t="s">
        <v>546</v>
      </c>
      <c r="BD601" s="1">
        <v>3128</v>
      </c>
      <c r="BE601" t="s">
        <v>540</v>
      </c>
      <c r="BF601" s="1">
        <v>3128</v>
      </c>
      <c r="BH601" s="1">
        <v>3128</v>
      </c>
      <c r="BI601" t="s">
        <v>550</v>
      </c>
      <c r="BJ601" t="s">
        <v>551</v>
      </c>
      <c r="BK601" t="s">
        <v>552</v>
      </c>
      <c r="BL601" t="s">
        <v>552</v>
      </c>
      <c r="BM601" t="s">
        <v>3035</v>
      </c>
      <c r="BN601" t="s">
        <v>3411</v>
      </c>
      <c r="BO601" t="s">
        <v>3412</v>
      </c>
      <c r="BR601" t="s">
        <v>546</v>
      </c>
      <c r="BS601" s="1">
        <v>3128</v>
      </c>
      <c r="BW601" t="s">
        <v>536</v>
      </c>
      <c r="BX601" s="1">
        <v>3128</v>
      </c>
      <c r="BZ601" t="s">
        <v>535</v>
      </c>
      <c r="CA601" t="s">
        <v>546</v>
      </c>
      <c r="CB601" t="s">
        <v>3016</v>
      </c>
      <c r="CC601" t="s">
        <v>556</v>
      </c>
      <c r="CD601" t="s">
        <v>622</v>
      </c>
      <c r="CE601" t="s">
        <v>623</v>
      </c>
      <c r="CF601" t="s">
        <v>244</v>
      </c>
      <c r="CG601" s="4">
        <v>1</v>
      </c>
      <c r="CH601" t="s">
        <v>546</v>
      </c>
      <c r="CK601" t="s">
        <v>3413</v>
      </c>
      <c r="CL601" s="1">
        <v>3128</v>
      </c>
      <c r="CN601" t="s">
        <v>535</v>
      </c>
      <c r="CO601" t="s">
        <v>539</v>
      </c>
      <c r="CT601" t="s">
        <v>576</v>
      </c>
      <c r="CW601" t="s">
        <v>546</v>
      </c>
      <c r="DD601" t="s">
        <v>561</v>
      </c>
      <c r="DK601" t="s">
        <v>3414</v>
      </c>
      <c r="DL601" t="s">
        <v>3415</v>
      </c>
      <c r="DR601" t="s">
        <v>3416</v>
      </c>
    </row>
    <row r="602" ht="15" customHeight="1" spans="1:122">
      <c r="A602" t="s">
        <v>530</v>
      </c>
      <c r="B602" t="s">
        <v>3417</v>
      </c>
      <c r="C602" t="s">
        <v>532</v>
      </c>
      <c r="D602" t="s">
        <v>3035</v>
      </c>
      <c r="E602" t="s">
        <v>534</v>
      </c>
      <c r="F602" t="s">
        <v>534</v>
      </c>
      <c r="G602" t="s">
        <v>535</v>
      </c>
      <c r="H602" s="1">
        <v>3788</v>
      </c>
      <c r="I602" s="1">
        <v>3788</v>
      </c>
      <c r="J602" t="s">
        <v>536</v>
      </c>
      <c r="L602" t="s">
        <v>536</v>
      </c>
      <c r="M602" t="s">
        <v>377</v>
      </c>
      <c r="N602" t="s">
        <v>537</v>
      </c>
      <c r="P602" s="1">
        <v>3788</v>
      </c>
      <c r="Q602" t="s">
        <v>538</v>
      </c>
      <c r="R602" t="s">
        <v>535</v>
      </c>
      <c r="S602" t="s">
        <v>539</v>
      </c>
      <c r="T602" s="2">
        <v>1</v>
      </c>
      <c r="U602" s="1">
        <v>3788</v>
      </c>
      <c r="V602" s="1">
        <v>3788</v>
      </c>
      <c r="X602" t="s">
        <v>540</v>
      </c>
      <c r="Z602" t="s">
        <v>541</v>
      </c>
      <c r="AA602" t="s">
        <v>542</v>
      </c>
      <c r="AB602" t="s">
        <v>543</v>
      </c>
      <c r="AC602" t="s">
        <v>544</v>
      </c>
      <c r="AD602" t="s">
        <v>545</v>
      </c>
      <c r="AE602" s="3">
        <v>1</v>
      </c>
      <c r="AF602" t="s">
        <v>258</v>
      </c>
      <c r="AG602" s="1">
        <v>3788</v>
      </c>
      <c r="AI602" s="1">
        <v>3788</v>
      </c>
      <c r="AJ602" s="1">
        <v>3788</v>
      </c>
      <c r="AM602" s="1">
        <v>3788</v>
      </c>
      <c r="AN602" t="s">
        <v>643</v>
      </c>
      <c r="AO602" t="s">
        <v>546</v>
      </c>
      <c r="AP602" t="s">
        <v>643</v>
      </c>
      <c r="AQ602" t="s">
        <v>548</v>
      </c>
      <c r="AS602" t="s">
        <v>377</v>
      </c>
      <c r="AX602" s="1">
        <v>3788</v>
      </c>
      <c r="AY602" t="s">
        <v>546</v>
      </c>
      <c r="AZ602" t="s">
        <v>644</v>
      </c>
      <c r="BA602" s="1">
        <v>3788</v>
      </c>
      <c r="BC602" t="s">
        <v>546</v>
      </c>
      <c r="BD602" s="1">
        <v>3788</v>
      </c>
      <c r="BE602" t="s">
        <v>540</v>
      </c>
      <c r="BF602" s="1">
        <v>3788</v>
      </c>
      <c r="BH602" s="1">
        <v>3788</v>
      </c>
      <c r="BI602" t="s">
        <v>550</v>
      </c>
      <c r="BJ602" t="s">
        <v>551</v>
      </c>
      <c r="BK602" t="s">
        <v>551</v>
      </c>
      <c r="BL602" t="s">
        <v>552</v>
      </c>
      <c r="BM602" t="s">
        <v>3035</v>
      </c>
      <c r="BN602" t="s">
        <v>3418</v>
      </c>
      <c r="BO602" t="s">
        <v>3419</v>
      </c>
      <c r="BR602" t="s">
        <v>546</v>
      </c>
      <c r="BS602" s="1">
        <v>3788</v>
      </c>
      <c r="BW602" t="s">
        <v>536</v>
      </c>
      <c r="BX602" s="1">
        <v>3788</v>
      </c>
      <c r="BZ602" t="s">
        <v>535</v>
      </c>
      <c r="CA602" t="s">
        <v>546</v>
      </c>
      <c r="CB602" t="s">
        <v>3035</v>
      </c>
      <c r="CC602" t="s">
        <v>556</v>
      </c>
      <c r="CD602" t="s">
        <v>622</v>
      </c>
      <c r="CE602" t="s">
        <v>623</v>
      </c>
      <c r="CF602" t="s">
        <v>258</v>
      </c>
      <c r="CG602" s="4">
        <v>1</v>
      </c>
      <c r="CH602" t="s">
        <v>546</v>
      </c>
      <c r="CK602" t="s">
        <v>3420</v>
      </c>
      <c r="CL602" s="1">
        <v>3788</v>
      </c>
      <c r="CN602" t="s">
        <v>535</v>
      </c>
      <c r="CO602" t="s">
        <v>539</v>
      </c>
      <c r="CT602" t="s">
        <v>560</v>
      </c>
      <c r="CW602" t="s">
        <v>546</v>
      </c>
      <c r="DD602" t="s">
        <v>561</v>
      </c>
      <c r="DK602" t="s">
        <v>3421</v>
      </c>
      <c r="DL602" t="s">
        <v>3422</v>
      </c>
      <c r="DR602" t="s">
        <v>3423</v>
      </c>
    </row>
    <row r="603" ht="15" customHeight="1" spans="1:122">
      <c r="A603" t="s">
        <v>530</v>
      </c>
      <c r="B603" t="s">
        <v>3424</v>
      </c>
      <c r="C603" t="s">
        <v>532</v>
      </c>
      <c r="D603" t="s">
        <v>3384</v>
      </c>
      <c r="E603" t="s">
        <v>534</v>
      </c>
      <c r="F603" t="s">
        <v>534</v>
      </c>
      <c r="G603" t="s">
        <v>535</v>
      </c>
      <c r="H603" s="1">
        <v>5880.8</v>
      </c>
      <c r="I603" s="1">
        <v>5845.52</v>
      </c>
      <c r="J603" t="s">
        <v>536</v>
      </c>
      <c r="L603" t="s">
        <v>536</v>
      </c>
      <c r="M603" t="s">
        <v>377</v>
      </c>
      <c r="N603" t="s">
        <v>537</v>
      </c>
      <c r="P603" s="1">
        <v>5880.8</v>
      </c>
      <c r="Q603" t="s">
        <v>538</v>
      </c>
      <c r="R603" t="s">
        <v>535</v>
      </c>
      <c r="S603" t="s">
        <v>539</v>
      </c>
      <c r="T603" s="2">
        <v>1</v>
      </c>
      <c r="U603" s="1">
        <v>5880.8</v>
      </c>
      <c r="V603" s="1">
        <v>5845.52</v>
      </c>
      <c r="X603" t="s">
        <v>540</v>
      </c>
      <c r="Z603" t="s">
        <v>541</v>
      </c>
      <c r="AA603" t="s">
        <v>542</v>
      </c>
      <c r="AB603" t="s">
        <v>543</v>
      </c>
      <c r="AC603" t="s">
        <v>544</v>
      </c>
      <c r="AD603" t="s">
        <v>545</v>
      </c>
      <c r="AE603" s="3">
        <v>1</v>
      </c>
      <c r="AF603" t="s">
        <v>255</v>
      </c>
      <c r="AG603" s="1">
        <v>5880.8</v>
      </c>
      <c r="AI603" s="1">
        <v>5880.8</v>
      </c>
      <c r="AJ603" s="1">
        <v>5880.8</v>
      </c>
      <c r="AK603" s="1">
        <v>35.28</v>
      </c>
      <c r="AM603" s="1">
        <v>5845.52</v>
      </c>
      <c r="AN603" t="s">
        <v>536</v>
      </c>
      <c r="AO603" t="s">
        <v>546</v>
      </c>
      <c r="AP603" t="s">
        <v>547</v>
      </c>
      <c r="AQ603" t="s">
        <v>548</v>
      </c>
      <c r="AS603" t="s">
        <v>377</v>
      </c>
      <c r="AX603" s="1">
        <v>5880.8</v>
      </c>
      <c r="AY603" t="s">
        <v>546</v>
      </c>
      <c r="AZ603" t="s">
        <v>549</v>
      </c>
      <c r="BA603" s="1">
        <v>5880.8</v>
      </c>
      <c r="BC603" t="s">
        <v>546</v>
      </c>
      <c r="BD603" s="1">
        <v>5880.8</v>
      </c>
      <c r="BE603" t="s">
        <v>540</v>
      </c>
      <c r="BF603" s="1">
        <v>5880.8</v>
      </c>
      <c r="BG603" s="1">
        <v>35.28</v>
      </c>
      <c r="BH603" s="1">
        <v>5845.52</v>
      </c>
      <c r="BI603" t="s">
        <v>550</v>
      </c>
      <c r="BJ603" t="s">
        <v>551</v>
      </c>
      <c r="BK603" t="s">
        <v>552</v>
      </c>
      <c r="BL603" t="s">
        <v>552</v>
      </c>
      <c r="BM603" t="s">
        <v>3035</v>
      </c>
      <c r="BN603" t="s">
        <v>3425</v>
      </c>
      <c r="BO603" t="s">
        <v>3426</v>
      </c>
      <c r="BR603" t="s">
        <v>546</v>
      </c>
      <c r="BS603" s="1">
        <v>5880.8</v>
      </c>
      <c r="BW603" t="s">
        <v>536</v>
      </c>
      <c r="BX603" s="1">
        <v>5880.8</v>
      </c>
      <c r="BZ603" t="s">
        <v>535</v>
      </c>
      <c r="CA603" t="s">
        <v>546</v>
      </c>
      <c r="CB603" t="s">
        <v>3384</v>
      </c>
      <c r="CC603" t="s">
        <v>556</v>
      </c>
      <c r="CD603" t="s">
        <v>1223</v>
      </c>
      <c r="CE603" t="s">
        <v>1224</v>
      </c>
      <c r="CF603" t="s">
        <v>255</v>
      </c>
      <c r="CG603" s="4">
        <v>1</v>
      </c>
      <c r="CH603" t="s">
        <v>546</v>
      </c>
      <c r="CK603" t="s">
        <v>3427</v>
      </c>
      <c r="CL603" s="1">
        <v>5880.8</v>
      </c>
      <c r="CN603" t="s">
        <v>535</v>
      </c>
      <c r="CO603" t="s">
        <v>539</v>
      </c>
      <c r="CT603" t="s">
        <v>560</v>
      </c>
      <c r="CW603" t="s">
        <v>546</v>
      </c>
      <c r="DD603" t="s">
        <v>561</v>
      </c>
      <c r="DK603" t="s">
        <v>3428</v>
      </c>
      <c r="DL603" t="s">
        <v>3429</v>
      </c>
    </row>
    <row r="604" ht="15" customHeight="1" spans="1:122">
      <c r="A604" t="s">
        <v>530</v>
      </c>
      <c r="B604" t="s">
        <v>3430</v>
      </c>
      <c r="C604" t="s">
        <v>532</v>
      </c>
      <c r="D604" t="s">
        <v>3384</v>
      </c>
      <c r="E604" t="s">
        <v>534</v>
      </c>
      <c r="F604" t="s">
        <v>534</v>
      </c>
      <c r="G604" t="s">
        <v>535</v>
      </c>
      <c r="H604" s="1">
        <v>1470.2</v>
      </c>
      <c r="I604" s="1">
        <v>1470.2</v>
      </c>
      <c r="J604" t="s">
        <v>536</v>
      </c>
      <c r="L604" t="s">
        <v>536</v>
      </c>
      <c r="M604" t="s">
        <v>377</v>
      </c>
      <c r="N604" t="s">
        <v>537</v>
      </c>
      <c r="P604" s="1">
        <v>1470.2</v>
      </c>
      <c r="Q604" t="s">
        <v>538</v>
      </c>
      <c r="R604" t="s">
        <v>535</v>
      </c>
      <c r="S604" t="s">
        <v>539</v>
      </c>
      <c r="T604" s="2">
        <v>1</v>
      </c>
      <c r="U604" s="1">
        <v>1470.2</v>
      </c>
      <c r="V604" s="1">
        <v>1470.2</v>
      </c>
      <c r="X604" t="s">
        <v>540</v>
      </c>
      <c r="Z604" t="s">
        <v>541</v>
      </c>
      <c r="AA604" t="s">
        <v>542</v>
      </c>
      <c r="AB604" t="s">
        <v>543</v>
      </c>
      <c r="AC604" t="s">
        <v>544</v>
      </c>
      <c r="AD604" t="s">
        <v>545</v>
      </c>
      <c r="AE604" s="3">
        <v>1</v>
      </c>
      <c r="AF604" t="s">
        <v>255</v>
      </c>
      <c r="AG604" s="1">
        <v>1470.2</v>
      </c>
      <c r="AI604" s="1">
        <v>1470.2</v>
      </c>
      <c r="AJ604" s="1">
        <v>1470.2</v>
      </c>
      <c r="AM604" s="1">
        <v>1470.2</v>
      </c>
      <c r="AN604" t="s">
        <v>565</v>
      </c>
      <c r="AO604" t="s">
        <v>546</v>
      </c>
      <c r="AP604" t="s">
        <v>565</v>
      </c>
      <c r="AQ604" t="s">
        <v>548</v>
      </c>
      <c r="AS604" t="s">
        <v>377</v>
      </c>
      <c r="AX604" s="1">
        <v>1470.2</v>
      </c>
      <c r="AY604" t="s">
        <v>546</v>
      </c>
      <c r="AZ604" t="s">
        <v>566</v>
      </c>
      <c r="BA604" s="1">
        <v>1470.2</v>
      </c>
      <c r="BC604" t="s">
        <v>546</v>
      </c>
      <c r="BD604" s="1">
        <v>1470.2</v>
      </c>
      <c r="BE604" t="s">
        <v>540</v>
      </c>
      <c r="BF604" s="1">
        <v>1470.2</v>
      </c>
      <c r="BH604" s="1">
        <v>1470.2</v>
      </c>
      <c r="BI604" t="s">
        <v>550</v>
      </c>
      <c r="BJ604" t="s">
        <v>551</v>
      </c>
      <c r="BK604" t="s">
        <v>551</v>
      </c>
      <c r="BL604" t="s">
        <v>552</v>
      </c>
      <c r="BM604" t="s">
        <v>3035</v>
      </c>
      <c r="BN604" t="s">
        <v>3431</v>
      </c>
      <c r="BO604" t="s">
        <v>3432</v>
      </c>
      <c r="BR604" t="s">
        <v>546</v>
      </c>
      <c r="BS604" s="1">
        <v>1470.2</v>
      </c>
      <c r="BW604" t="s">
        <v>536</v>
      </c>
      <c r="BX604" s="1">
        <v>1470.2</v>
      </c>
      <c r="BZ604" t="s">
        <v>535</v>
      </c>
      <c r="CA604" t="s">
        <v>546</v>
      </c>
      <c r="CB604" t="s">
        <v>3384</v>
      </c>
      <c r="CC604" t="s">
        <v>556</v>
      </c>
      <c r="CD604" t="s">
        <v>1223</v>
      </c>
      <c r="CE604" t="s">
        <v>1224</v>
      </c>
      <c r="CF604" t="s">
        <v>255</v>
      </c>
      <c r="CG604" s="4">
        <v>1</v>
      </c>
      <c r="CH604" t="s">
        <v>546</v>
      </c>
      <c r="CK604" t="s">
        <v>3427</v>
      </c>
      <c r="CL604" s="1">
        <v>1470.2</v>
      </c>
      <c r="CN604" t="s">
        <v>535</v>
      </c>
      <c r="CO604" t="s">
        <v>539</v>
      </c>
      <c r="CT604" t="s">
        <v>560</v>
      </c>
      <c r="CW604" t="s">
        <v>546</v>
      </c>
      <c r="DD604" t="s">
        <v>561</v>
      </c>
      <c r="DK604" t="s">
        <v>3428</v>
      </c>
      <c r="DL604" t="s">
        <v>3429</v>
      </c>
    </row>
    <row r="605" ht="15" customHeight="1" spans="1:122">
      <c r="A605" t="s">
        <v>530</v>
      </c>
      <c r="B605" t="s">
        <v>3433</v>
      </c>
      <c r="C605" t="s">
        <v>532</v>
      </c>
      <c r="D605" t="s">
        <v>3035</v>
      </c>
      <c r="E605" t="s">
        <v>534</v>
      </c>
      <c r="F605" t="s">
        <v>534</v>
      </c>
      <c r="G605" t="s">
        <v>535</v>
      </c>
      <c r="H605" s="1">
        <v>2986</v>
      </c>
      <c r="I605" s="1">
        <v>2986</v>
      </c>
      <c r="J605" t="s">
        <v>536</v>
      </c>
      <c r="L605" t="s">
        <v>536</v>
      </c>
      <c r="M605" t="s">
        <v>377</v>
      </c>
      <c r="N605" t="s">
        <v>537</v>
      </c>
      <c r="P605" s="1">
        <v>2986</v>
      </c>
      <c r="Q605" t="s">
        <v>538</v>
      </c>
      <c r="R605" t="s">
        <v>535</v>
      </c>
      <c r="S605" t="s">
        <v>539</v>
      </c>
      <c r="T605" s="2">
        <v>1</v>
      </c>
      <c r="U605" s="1">
        <v>2986</v>
      </c>
      <c r="V605" s="1">
        <v>2986</v>
      </c>
      <c r="X605" t="s">
        <v>540</v>
      </c>
      <c r="Z605" t="s">
        <v>541</v>
      </c>
      <c r="AA605" t="s">
        <v>542</v>
      </c>
      <c r="AB605" t="s">
        <v>543</v>
      </c>
      <c r="AC605" t="s">
        <v>544</v>
      </c>
      <c r="AD605" t="s">
        <v>545</v>
      </c>
      <c r="AE605" s="3">
        <v>1</v>
      </c>
      <c r="AF605" t="s">
        <v>259</v>
      </c>
      <c r="AG605" s="1">
        <v>2986</v>
      </c>
      <c r="AI605" s="1">
        <v>2986</v>
      </c>
      <c r="AJ605" s="1">
        <v>2986</v>
      </c>
      <c r="AM605" s="1">
        <v>2986</v>
      </c>
      <c r="AN605" t="s">
        <v>643</v>
      </c>
      <c r="AO605" t="s">
        <v>546</v>
      </c>
      <c r="AP605" t="s">
        <v>643</v>
      </c>
      <c r="AQ605" t="s">
        <v>548</v>
      </c>
      <c r="AS605" t="s">
        <v>377</v>
      </c>
      <c r="AX605" s="1">
        <v>2986</v>
      </c>
      <c r="AY605" t="s">
        <v>546</v>
      </c>
      <c r="AZ605" t="s">
        <v>644</v>
      </c>
      <c r="BA605" s="1">
        <v>2986</v>
      </c>
      <c r="BC605" t="s">
        <v>546</v>
      </c>
      <c r="BD605" s="1">
        <v>2986</v>
      </c>
      <c r="BE605" t="s">
        <v>540</v>
      </c>
      <c r="BF605" s="1">
        <v>2986</v>
      </c>
      <c r="BH605" s="1">
        <v>2986</v>
      </c>
      <c r="BI605" t="s">
        <v>550</v>
      </c>
      <c r="BJ605" t="s">
        <v>551</v>
      </c>
      <c r="BK605" t="s">
        <v>551</v>
      </c>
      <c r="BL605" t="s">
        <v>552</v>
      </c>
      <c r="BM605" t="s">
        <v>3035</v>
      </c>
      <c r="BN605" t="s">
        <v>3434</v>
      </c>
      <c r="BO605" t="s">
        <v>3435</v>
      </c>
      <c r="BR605" t="s">
        <v>546</v>
      </c>
      <c r="BS605" s="1">
        <v>2986</v>
      </c>
      <c r="BW605" t="s">
        <v>536</v>
      </c>
      <c r="BX605" s="1">
        <v>2986</v>
      </c>
      <c r="BZ605" t="s">
        <v>535</v>
      </c>
      <c r="CA605" t="s">
        <v>546</v>
      </c>
      <c r="CB605" t="s">
        <v>3035</v>
      </c>
      <c r="CC605" t="s">
        <v>556</v>
      </c>
      <c r="CD605" t="s">
        <v>573</v>
      </c>
      <c r="CE605" t="s">
        <v>574</v>
      </c>
      <c r="CF605" t="s">
        <v>259</v>
      </c>
      <c r="CG605" s="4">
        <v>1</v>
      </c>
      <c r="CH605" t="s">
        <v>546</v>
      </c>
      <c r="CK605" t="s">
        <v>3436</v>
      </c>
      <c r="CL605" s="1">
        <v>2986</v>
      </c>
      <c r="CN605" t="s">
        <v>535</v>
      </c>
      <c r="CO605" t="s">
        <v>539</v>
      </c>
      <c r="CT605" t="s">
        <v>560</v>
      </c>
      <c r="CW605" t="s">
        <v>546</v>
      </c>
      <c r="DD605" t="s">
        <v>561</v>
      </c>
      <c r="DK605" t="s">
        <v>3437</v>
      </c>
      <c r="DL605" t="s">
        <v>3438</v>
      </c>
      <c r="DR605" t="s">
        <v>3439</v>
      </c>
    </row>
    <row r="606" ht="15" customHeight="1" spans="1:122">
      <c r="A606" t="s">
        <v>530</v>
      </c>
      <c r="B606" t="s">
        <v>3440</v>
      </c>
      <c r="C606" t="s">
        <v>532</v>
      </c>
      <c r="D606" t="s">
        <v>3384</v>
      </c>
      <c r="E606" t="s">
        <v>534</v>
      </c>
      <c r="F606" t="s">
        <v>534</v>
      </c>
      <c r="G606" t="s">
        <v>535</v>
      </c>
      <c r="H606" s="1">
        <v>3070</v>
      </c>
      <c r="I606" s="1">
        <v>3063.4</v>
      </c>
      <c r="J606" t="s">
        <v>536</v>
      </c>
      <c r="L606" t="s">
        <v>536</v>
      </c>
      <c r="M606" t="s">
        <v>377</v>
      </c>
      <c r="N606" t="s">
        <v>537</v>
      </c>
      <c r="P606" s="1">
        <v>3070</v>
      </c>
      <c r="Q606" t="s">
        <v>538</v>
      </c>
      <c r="R606" t="s">
        <v>535</v>
      </c>
      <c r="S606" t="s">
        <v>539</v>
      </c>
      <c r="T606" s="2">
        <v>1</v>
      </c>
      <c r="U606" s="1">
        <v>3070</v>
      </c>
      <c r="V606" s="1">
        <v>3063.4</v>
      </c>
      <c r="X606" t="s">
        <v>540</v>
      </c>
      <c r="Z606" t="s">
        <v>541</v>
      </c>
      <c r="AA606" t="s">
        <v>542</v>
      </c>
      <c r="AB606" t="s">
        <v>659</v>
      </c>
      <c r="AC606" t="s">
        <v>544</v>
      </c>
      <c r="AD606" t="s">
        <v>545</v>
      </c>
      <c r="AE606" s="3">
        <v>1</v>
      </c>
      <c r="AF606" t="s">
        <v>257</v>
      </c>
      <c r="AG606" s="1">
        <v>3070</v>
      </c>
      <c r="AI606" s="1">
        <v>3070</v>
      </c>
      <c r="AJ606" s="1">
        <v>3070</v>
      </c>
      <c r="AK606" s="1">
        <v>6.6</v>
      </c>
      <c r="AM606" s="1">
        <v>3063.4</v>
      </c>
      <c r="AN606" t="s">
        <v>536</v>
      </c>
      <c r="AO606" t="s">
        <v>546</v>
      </c>
      <c r="AP606" t="s">
        <v>547</v>
      </c>
      <c r="AQ606" t="s">
        <v>548</v>
      </c>
      <c r="AS606" t="s">
        <v>377</v>
      </c>
      <c r="AX606" s="1">
        <v>3070</v>
      </c>
      <c r="AY606" t="s">
        <v>546</v>
      </c>
      <c r="AZ606" t="s">
        <v>549</v>
      </c>
      <c r="BA606" s="1">
        <v>3070</v>
      </c>
      <c r="BC606" t="s">
        <v>546</v>
      </c>
      <c r="BD606" s="1">
        <v>3070</v>
      </c>
      <c r="BE606" t="s">
        <v>540</v>
      </c>
      <c r="BF606" s="1">
        <v>3070</v>
      </c>
      <c r="BG606" s="1">
        <v>6.6</v>
      </c>
      <c r="BH606" s="1">
        <v>3063.4</v>
      </c>
      <c r="BI606" t="s">
        <v>550</v>
      </c>
      <c r="BJ606" t="s">
        <v>551</v>
      </c>
      <c r="BK606" t="s">
        <v>552</v>
      </c>
      <c r="BL606" t="s">
        <v>552</v>
      </c>
      <c r="BM606" t="s">
        <v>3035</v>
      </c>
      <c r="BN606" t="s">
        <v>3441</v>
      </c>
      <c r="BO606" t="s">
        <v>3442</v>
      </c>
      <c r="BR606" t="s">
        <v>546</v>
      </c>
      <c r="BS606" s="1">
        <v>3070</v>
      </c>
      <c r="BW606" t="s">
        <v>536</v>
      </c>
      <c r="BX606" s="1">
        <v>3070</v>
      </c>
      <c r="BZ606" t="s">
        <v>535</v>
      </c>
      <c r="CA606" t="s">
        <v>546</v>
      </c>
      <c r="CB606" t="s">
        <v>3384</v>
      </c>
      <c r="CC606" t="s">
        <v>556</v>
      </c>
      <c r="CD606" t="s">
        <v>557</v>
      </c>
      <c r="CE606" t="s">
        <v>558</v>
      </c>
      <c r="CF606" t="s">
        <v>257</v>
      </c>
      <c r="CG606" s="4">
        <v>1</v>
      </c>
      <c r="CH606" t="s">
        <v>546</v>
      </c>
      <c r="CK606" t="s">
        <v>3443</v>
      </c>
      <c r="CL606" s="1">
        <v>3070</v>
      </c>
      <c r="CN606" t="s">
        <v>535</v>
      </c>
      <c r="CO606" t="s">
        <v>539</v>
      </c>
      <c r="CT606" t="s">
        <v>560</v>
      </c>
      <c r="CW606" t="s">
        <v>546</v>
      </c>
      <c r="DD606" t="s">
        <v>561</v>
      </c>
      <c r="DK606" t="s">
        <v>3444</v>
      </c>
      <c r="DL606" t="s">
        <v>3445</v>
      </c>
    </row>
    <row r="607" ht="15" customHeight="1" spans="1:122">
      <c r="A607" t="s">
        <v>530</v>
      </c>
      <c r="B607" t="s">
        <v>3446</v>
      </c>
      <c r="C607" t="s">
        <v>532</v>
      </c>
      <c r="D607" t="s">
        <v>3035</v>
      </c>
      <c r="E607" t="s">
        <v>534</v>
      </c>
      <c r="F607" t="s">
        <v>534</v>
      </c>
      <c r="G607" t="s">
        <v>535</v>
      </c>
      <c r="H607" s="1">
        <v>5880.8</v>
      </c>
      <c r="I607" s="1">
        <v>5880.8</v>
      </c>
      <c r="J607" t="s">
        <v>536</v>
      </c>
      <c r="L607" t="s">
        <v>536</v>
      </c>
      <c r="M607" t="s">
        <v>377</v>
      </c>
      <c r="N607" t="s">
        <v>537</v>
      </c>
      <c r="P607" s="1">
        <v>5880.8</v>
      </c>
      <c r="Q607" t="s">
        <v>538</v>
      </c>
      <c r="R607" t="s">
        <v>535</v>
      </c>
      <c r="S607" t="s">
        <v>539</v>
      </c>
      <c r="T607" s="2">
        <v>1</v>
      </c>
      <c r="U607" s="1">
        <v>5880.8</v>
      </c>
      <c r="V607" s="1">
        <v>5880.8</v>
      </c>
      <c r="X607" t="s">
        <v>540</v>
      </c>
      <c r="Z607" t="s">
        <v>541</v>
      </c>
      <c r="AA607" t="s">
        <v>542</v>
      </c>
      <c r="AB607" t="s">
        <v>543</v>
      </c>
      <c r="AC607" t="s">
        <v>544</v>
      </c>
      <c r="AD607" t="s">
        <v>545</v>
      </c>
      <c r="AE607" s="3">
        <v>1</v>
      </c>
      <c r="AF607" t="s">
        <v>22</v>
      </c>
      <c r="AG607" s="1">
        <v>5880.8</v>
      </c>
      <c r="AI607" s="1">
        <v>5880.8</v>
      </c>
      <c r="AJ607" s="1">
        <v>5880.8</v>
      </c>
      <c r="AM607" s="1">
        <v>5880.8</v>
      </c>
      <c r="AN607" t="s">
        <v>1316</v>
      </c>
      <c r="AO607" t="s">
        <v>546</v>
      </c>
      <c r="AP607" t="s">
        <v>1317</v>
      </c>
      <c r="AQ607" t="s">
        <v>548</v>
      </c>
      <c r="AS607" t="s">
        <v>377</v>
      </c>
      <c r="AX607" s="1">
        <v>5880.8</v>
      </c>
      <c r="AY607" t="s">
        <v>546</v>
      </c>
      <c r="AZ607" t="s">
        <v>1318</v>
      </c>
      <c r="BA607" s="1">
        <v>5880.8</v>
      </c>
      <c r="BC607" t="s">
        <v>546</v>
      </c>
      <c r="BD607" s="1">
        <v>5880.8</v>
      </c>
      <c r="BE607" t="s">
        <v>540</v>
      </c>
      <c r="BF607" s="1">
        <v>5880.8</v>
      </c>
      <c r="BH607" s="1">
        <v>5880.8</v>
      </c>
      <c r="BI607" t="s">
        <v>550</v>
      </c>
      <c r="BJ607" t="s">
        <v>551</v>
      </c>
      <c r="BK607" t="s">
        <v>551</v>
      </c>
      <c r="BL607" t="s">
        <v>552</v>
      </c>
      <c r="BM607" t="s">
        <v>3035</v>
      </c>
      <c r="BN607" t="s">
        <v>3447</v>
      </c>
      <c r="BO607" t="s">
        <v>3448</v>
      </c>
      <c r="BR607" t="s">
        <v>546</v>
      </c>
      <c r="BS607" s="1">
        <v>5880.8</v>
      </c>
      <c r="BW607" t="s">
        <v>536</v>
      </c>
      <c r="BX607" s="1">
        <v>5880.8</v>
      </c>
      <c r="BZ607" t="s">
        <v>535</v>
      </c>
      <c r="CA607" t="s">
        <v>546</v>
      </c>
      <c r="CB607" t="s">
        <v>3035</v>
      </c>
      <c r="CC607" t="s">
        <v>556</v>
      </c>
      <c r="CD607" t="s">
        <v>1223</v>
      </c>
      <c r="CE607" t="s">
        <v>1224</v>
      </c>
      <c r="CF607" t="s">
        <v>22</v>
      </c>
      <c r="CG607" s="4">
        <v>1</v>
      </c>
      <c r="CH607" t="s">
        <v>546</v>
      </c>
      <c r="CK607" t="s">
        <v>3449</v>
      </c>
      <c r="CL607" s="1">
        <v>5880.8</v>
      </c>
      <c r="CN607" t="s">
        <v>535</v>
      </c>
      <c r="CO607" t="s">
        <v>539</v>
      </c>
      <c r="CT607" t="s">
        <v>560</v>
      </c>
      <c r="CW607" t="s">
        <v>546</v>
      </c>
      <c r="DD607" t="s">
        <v>561</v>
      </c>
      <c r="DK607" t="s">
        <v>3450</v>
      </c>
      <c r="DL607" t="s">
        <v>3451</v>
      </c>
    </row>
    <row r="608" ht="15" customHeight="1" spans="1:122">
      <c r="A608" t="s">
        <v>530</v>
      </c>
      <c r="B608" t="s">
        <v>3452</v>
      </c>
      <c r="C608" t="s">
        <v>532</v>
      </c>
      <c r="D608" t="s">
        <v>3035</v>
      </c>
      <c r="E608" t="s">
        <v>534</v>
      </c>
      <c r="F608" t="s">
        <v>534</v>
      </c>
      <c r="G608" t="s">
        <v>535</v>
      </c>
      <c r="H608" s="1">
        <v>1470.2</v>
      </c>
      <c r="I608" s="1">
        <v>1470.2</v>
      </c>
      <c r="J608" t="s">
        <v>536</v>
      </c>
      <c r="L608" t="s">
        <v>536</v>
      </c>
      <c r="M608" t="s">
        <v>377</v>
      </c>
      <c r="N608" t="s">
        <v>537</v>
      </c>
      <c r="P608" s="1">
        <v>1470.2</v>
      </c>
      <c r="Q608" t="s">
        <v>538</v>
      </c>
      <c r="R608" t="s">
        <v>535</v>
      </c>
      <c r="S608" t="s">
        <v>539</v>
      </c>
      <c r="T608" s="2">
        <v>1</v>
      </c>
      <c r="U608" s="1">
        <v>1470.2</v>
      </c>
      <c r="V608" s="1">
        <v>1470.2</v>
      </c>
      <c r="X608" t="s">
        <v>540</v>
      </c>
      <c r="Z608" t="s">
        <v>541</v>
      </c>
      <c r="AA608" t="s">
        <v>542</v>
      </c>
      <c r="AB608" t="s">
        <v>1050</v>
      </c>
      <c r="AC608" t="s">
        <v>544</v>
      </c>
      <c r="AD608" t="s">
        <v>545</v>
      </c>
      <c r="AE608" s="3">
        <v>1</v>
      </c>
      <c r="AF608" t="s">
        <v>22</v>
      </c>
      <c r="AG608" s="1">
        <v>1470.2</v>
      </c>
      <c r="AI608" s="1">
        <v>1470.2</v>
      </c>
      <c r="AJ608" s="1">
        <v>1470.2</v>
      </c>
      <c r="AM608" s="1">
        <v>1470.2</v>
      </c>
      <c r="AN608" t="s">
        <v>1316</v>
      </c>
      <c r="AO608" t="s">
        <v>546</v>
      </c>
      <c r="AP608" t="s">
        <v>1317</v>
      </c>
      <c r="AQ608" t="s">
        <v>548</v>
      </c>
      <c r="AS608" t="s">
        <v>377</v>
      </c>
      <c r="AX608" s="1">
        <v>1470.2</v>
      </c>
      <c r="AY608" t="s">
        <v>546</v>
      </c>
      <c r="AZ608" t="s">
        <v>1318</v>
      </c>
      <c r="BA608" s="1">
        <v>1470.2</v>
      </c>
      <c r="BC608" t="s">
        <v>546</v>
      </c>
      <c r="BD608" s="1">
        <v>1470.2</v>
      </c>
      <c r="BE608" t="s">
        <v>540</v>
      </c>
      <c r="BF608" s="1">
        <v>1470.2</v>
      </c>
      <c r="BH608" s="1">
        <v>1470.2</v>
      </c>
      <c r="BI608" t="s">
        <v>550</v>
      </c>
      <c r="BJ608" t="s">
        <v>551</v>
      </c>
      <c r="BK608" t="s">
        <v>551</v>
      </c>
      <c r="BL608" t="s">
        <v>552</v>
      </c>
      <c r="BM608" t="s">
        <v>3035</v>
      </c>
      <c r="BN608" t="s">
        <v>3453</v>
      </c>
      <c r="BO608" t="s">
        <v>3454</v>
      </c>
      <c r="BR608" t="s">
        <v>546</v>
      </c>
      <c r="BS608" s="1">
        <v>1470.2</v>
      </c>
      <c r="BW608" t="s">
        <v>536</v>
      </c>
      <c r="BX608" s="1">
        <v>1470.2</v>
      </c>
      <c r="BZ608" t="s">
        <v>535</v>
      </c>
      <c r="CA608" t="s">
        <v>546</v>
      </c>
      <c r="CB608" t="s">
        <v>3035</v>
      </c>
      <c r="CC608" t="s">
        <v>556</v>
      </c>
      <c r="CD608" t="s">
        <v>1223</v>
      </c>
      <c r="CE608" t="s">
        <v>1224</v>
      </c>
      <c r="CF608" t="s">
        <v>22</v>
      </c>
      <c r="CG608" s="4">
        <v>1</v>
      </c>
      <c r="CH608" t="s">
        <v>546</v>
      </c>
      <c r="CK608" t="s">
        <v>3455</v>
      </c>
      <c r="CL608" s="1">
        <v>1470.2</v>
      </c>
      <c r="CN608" t="s">
        <v>535</v>
      </c>
      <c r="CO608" t="s">
        <v>539</v>
      </c>
      <c r="CT608" t="s">
        <v>560</v>
      </c>
      <c r="CW608" t="s">
        <v>546</v>
      </c>
      <c r="DD608" t="s">
        <v>561</v>
      </c>
      <c r="DK608" t="s">
        <v>3450</v>
      </c>
      <c r="DL608" t="s">
        <v>3451</v>
      </c>
    </row>
    <row r="609" ht="15" customHeight="1" spans="1:122">
      <c r="A609" t="s">
        <v>603</v>
      </c>
      <c r="B609" t="s">
        <v>3456</v>
      </c>
      <c r="C609" t="s">
        <v>656</v>
      </c>
      <c r="D609" t="s">
        <v>3035</v>
      </c>
      <c r="E609" t="s">
        <v>534</v>
      </c>
      <c r="F609" t="s">
        <v>534</v>
      </c>
      <c r="G609" t="s">
        <v>535</v>
      </c>
      <c r="H609" s="1">
        <v>4162</v>
      </c>
      <c r="I609" s="1">
        <v>4162</v>
      </c>
      <c r="J609" t="s">
        <v>536</v>
      </c>
      <c r="L609" t="s">
        <v>536</v>
      </c>
      <c r="M609" t="s">
        <v>397</v>
      </c>
      <c r="N609" t="s">
        <v>657</v>
      </c>
      <c r="P609" s="1">
        <v>4162</v>
      </c>
      <c r="Q609" t="s">
        <v>679</v>
      </c>
      <c r="R609" t="s">
        <v>535</v>
      </c>
      <c r="S609" t="s">
        <v>539</v>
      </c>
      <c r="T609" s="2">
        <v>1</v>
      </c>
      <c r="U609" s="1">
        <v>4162</v>
      </c>
      <c r="V609" s="1">
        <v>4162</v>
      </c>
      <c r="X609" t="s">
        <v>616</v>
      </c>
      <c r="Z609" t="s">
        <v>541</v>
      </c>
      <c r="AA609" t="s">
        <v>542</v>
      </c>
      <c r="AB609" t="s">
        <v>543</v>
      </c>
      <c r="AC609" t="s">
        <v>608</v>
      </c>
      <c r="AE609" s="3">
        <v>1</v>
      </c>
      <c r="AG609" s="1">
        <v>4162</v>
      </c>
      <c r="AI609" s="1">
        <v>4162</v>
      </c>
      <c r="AJ609" s="1">
        <v>4162</v>
      </c>
      <c r="AM609" s="1">
        <v>4162</v>
      </c>
      <c r="AN609" t="s">
        <v>680</v>
      </c>
      <c r="AO609" t="s">
        <v>546</v>
      </c>
      <c r="AP609" t="s">
        <v>681</v>
      </c>
      <c r="AQ609" t="s">
        <v>548</v>
      </c>
      <c r="AS609" t="s">
        <v>397</v>
      </c>
      <c r="AX609" s="1">
        <v>4162</v>
      </c>
      <c r="AY609" t="s">
        <v>546</v>
      </c>
      <c r="AZ609" t="s">
        <v>682</v>
      </c>
      <c r="BA609" s="1">
        <v>4162</v>
      </c>
      <c r="BC609" t="s">
        <v>546</v>
      </c>
      <c r="BE609" t="s">
        <v>616</v>
      </c>
      <c r="BH609" s="1">
        <v>4162</v>
      </c>
      <c r="BI609" t="s">
        <v>550</v>
      </c>
      <c r="BJ609" t="s">
        <v>683</v>
      </c>
      <c r="BK609" t="s">
        <v>683</v>
      </c>
      <c r="BL609" t="s">
        <v>552</v>
      </c>
      <c r="BM609" t="s">
        <v>3035</v>
      </c>
      <c r="BN609" t="s">
        <v>3457</v>
      </c>
      <c r="BO609" t="s">
        <v>3458</v>
      </c>
      <c r="BR609" t="s">
        <v>546</v>
      </c>
      <c r="BS609" s="1">
        <v>4162</v>
      </c>
      <c r="BW609" t="s">
        <v>536</v>
      </c>
      <c r="BZ609" t="s">
        <v>535</v>
      </c>
      <c r="CA609" t="s">
        <v>546</v>
      </c>
      <c r="CB609" t="s">
        <v>3035</v>
      </c>
      <c r="CC609" t="s">
        <v>556</v>
      </c>
      <c r="CH609" t="s">
        <v>546</v>
      </c>
      <c r="CK609" t="s">
        <v>3459</v>
      </c>
      <c r="CN609" t="s">
        <v>535</v>
      </c>
      <c r="CO609" t="s">
        <v>539</v>
      </c>
      <c r="CT609" t="s">
        <v>687</v>
      </c>
      <c r="CW609" t="s">
        <v>546</v>
      </c>
      <c r="DD609" t="s">
        <v>561</v>
      </c>
      <c r="DK609" t="s">
        <v>688</v>
      </c>
    </row>
    <row r="610" ht="15" customHeight="1" spans="1:122">
      <c r="A610" t="s">
        <v>530</v>
      </c>
      <c r="B610" t="s">
        <v>3460</v>
      </c>
      <c r="C610" t="s">
        <v>532</v>
      </c>
      <c r="D610" t="s">
        <v>3035</v>
      </c>
      <c r="E610" t="s">
        <v>534</v>
      </c>
      <c r="F610" t="s">
        <v>534</v>
      </c>
      <c r="G610" t="s">
        <v>535</v>
      </c>
      <c r="H610" s="1">
        <v>398</v>
      </c>
      <c r="I610" s="1">
        <v>398</v>
      </c>
      <c r="J610" t="s">
        <v>536</v>
      </c>
      <c r="L610" t="s">
        <v>536</v>
      </c>
      <c r="M610" t="s">
        <v>377</v>
      </c>
      <c r="N610" t="s">
        <v>537</v>
      </c>
      <c r="P610" s="1">
        <v>398</v>
      </c>
      <c r="Q610" t="s">
        <v>538</v>
      </c>
      <c r="R610" t="s">
        <v>535</v>
      </c>
      <c r="S610" t="s">
        <v>539</v>
      </c>
      <c r="T610" s="2">
        <v>1</v>
      </c>
      <c r="U610" s="1">
        <v>398</v>
      </c>
      <c r="V610" s="1">
        <v>398</v>
      </c>
      <c r="X610" t="s">
        <v>540</v>
      </c>
      <c r="Z610" t="s">
        <v>541</v>
      </c>
      <c r="AA610" t="s">
        <v>542</v>
      </c>
      <c r="AB610" t="s">
        <v>543</v>
      </c>
      <c r="AC610" t="s">
        <v>544</v>
      </c>
      <c r="AD610" t="s">
        <v>545</v>
      </c>
      <c r="AE610" s="3">
        <v>1</v>
      </c>
      <c r="AF610" t="s">
        <v>256</v>
      </c>
      <c r="AG610" s="1">
        <v>398</v>
      </c>
      <c r="AI610" s="1">
        <v>398</v>
      </c>
      <c r="AJ610" s="1">
        <v>398</v>
      </c>
      <c r="AM610" s="1">
        <v>398</v>
      </c>
      <c r="AN610" t="s">
        <v>643</v>
      </c>
      <c r="AO610" t="s">
        <v>546</v>
      </c>
      <c r="AP610" t="s">
        <v>643</v>
      </c>
      <c r="AQ610" t="s">
        <v>548</v>
      </c>
      <c r="AS610" t="s">
        <v>377</v>
      </c>
      <c r="AX610" s="1">
        <v>398</v>
      </c>
      <c r="AY610" t="s">
        <v>546</v>
      </c>
      <c r="AZ610" t="s">
        <v>644</v>
      </c>
      <c r="BA610" s="1">
        <v>398</v>
      </c>
      <c r="BC610" t="s">
        <v>546</v>
      </c>
      <c r="BD610" s="1">
        <v>398</v>
      </c>
      <c r="BE610" t="s">
        <v>540</v>
      </c>
      <c r="BF610" s="1">
        <v>398</v>
      </c>
      <c r="BH610" s="1">
        <v>398</v>
      </c>
      <c r="BI610" t="s">
        <v>550</v>
      </c>
      <c r="BJ610" t="s">
        <v>551</v>
      </c>
      <c r="BK610" t="s">
        <v>551</v>
      </c>
      <c r="BL610" t="s">
        <v>552</v>
      </c>
      <c r="BM610" t="s">
        <v>3035</v>
      </c>
      <c r="BN610" t="s">
        <v>3461</v>
      </c>
      <c r="BO610" t="s">
        <v>3462</v>
      </c>
      <c r="BR610" t="s">
        <v>546</v>
      </c>
      <c r="BS610" s="1">
        <v>398</v>
      </c>
      <c r="BW610" t="s">
        <v>536</v>
      </c>
      <c r="BX610" s="1">
        <v>398</v>
      </c>
      <c r="BZ610" t="s">
        <v>535</v>
      </c>
      <c r="CA610" t="s">
        <v>546</v>
      </c>
      <c r="CB610" t="s">
        <v>3035</v>
      </c>
      <c r="CC610" t="s">
        <v>556</v>
      </c>
      <c r="CD610" t="s">
        <v>922</v>
      </c>
      <c r="CE610" t="s">
        <v>923</v>
      </c>
      <c r="CF610" t="s">
        <v>256</v>
      </c>
      <c r="CG610" s="4">
        <v>1</v>
      </c>
      <c r="CH610" t="s">
        <v>546</v>
      </c>
      <c r="CK610" t="s">
        <v>3463</v>
      </c>
      <c r="CL610" s="1">
        <v>398</v>
      </c>
      <c r="CN610" t="s">
        <v>535</v>
      </c>
      <c r="CO610" t="s">
        <v>539</v>
      </c>
      <c r="CT610" t="s">
        <v>560</v>
      </c>
      <c r="CW610" t="s">
        <v>546</v>
      </c>
      <c r="DD610" t="s">
        <v>561</v>
      </c>
      <c r="DK610" t="s">
        <v>3428</v>
      </c>
      <c r="DL610" t="s">
        <v>3429</v>
      </c>
      <c r="DR610" t="s">
        <v>3464</v>
      </c>
    </row>
    <row r="611" ht="15" customHeight="1" spans="1:122">
      <c r="A611" t="s">
        <v>530</v>
      </c>
      <c r="B611" t="s">
        <v>3465</v>
      </c>
      <c r="C611" t="s">
        <v>532</v>
      </c>
      <c r="D611" t="s">
        <v>3384</v>
      </c>
      <c r="E611" t="s">
        <v>534</v>
      </c>
      <c r="F611" t="s">
        <v>534</v>
      </c>
      <c r="G611" t="s">
        <v>535</v>
      </c>
      <c r="H611" s="1">
        <v>6800</v>
      </c>
      <c r="I611" s="1">
        <v>6759.2</v>
      </c>
      <c r="J611" t="s">
        <v>536</v>
      </c>
      <c r="L611" t="s">
        <v>536</v>
      </c>
      <c r="M611" t="s">
        <v>375</v>
      </c>
      <c r="N611" t="s">
        <v>537</v>
      </c>
      <c r="P611" s="1">
        <v>6800</v>
      </c>
      <c r="Q611" t="s">
        <v>580</v>
      </c>
      <c r="R611" t="s">
        <v>535</v>
      </c>
      <c r="S611" t="s">
        <v>539</v>
      </c>
      <c r="T611" s="2">
        <v>1</v>
      </c>
      <c r="U611" s="1">
        <v>6800</v>
      </c>
      <c r="V611" s="1">
        <v>6759.2</v>
      </c>
      <c r="X611" t="s">
        <v>540</v>
      </c>
      <c r="Z611" t="s">
        <v>541</v>
      </c>
      <c r="AA611" t="s">
        <v>542</v>
      </c>
      <c r="AB611" t="s">
        <v>543</v>
      </c>
      <c r="AC611" t="s">
        <v>544</v>
      </c>
      <c r="AD611" t="s">
        <v>545</v>
      </c>
      <c r="AE611" s="3">
        <v>1</v>
      </c>
      <c r="AF611" t="s">
        <v>260</v>
      </c>
      <c r="AG611" s="1">
        <v>6800</v>
      </c>
      <c r="AI611" s="1">
        <v>6800</v>
      </c>
      <c r="AJ611" s="1">
        <v>6800</v>
      </c>
      <c r="AK611" s="1">
        <v>40.8</v>
      </c>
      <c r="AM611" s="1">
        <v>6759.2</v>
      </c>
      <c r="AN611" t="s">
        <v>536</v>
      </c>
      <c r="AO611" t="s">
        <v>546</v>
      </c>
      <c r="AP611" t="s">
        <v>547</v>
      </c>
      <c r="AQ611" t="s">
        <v>548</v>
      </c>
      <c r="AS611" t="s">
        <v>375</v>
      </c>
      <c r="AX611" s="1">
        <v>6800</v>
      </c>
      <c r="AY611" t="s">
        <v>546</v>
      </c>
      <c r="AZ611" t="s">
        <v>549</v>
      </c>
      <c r="BA611" s="1">
        <v>6800</v>
      </c>
      <c r="BC611" t="s">
        <v>546</v>
      </c>
      <c r="BD611" s="1">
        <v>6800</v>
      </c>
      <c r="BE611" t="s">
        <v>540</v>
      </c>
      <c r="BF611" s="1">
        <v>6800</v>
      </c>
      <c r="BG611" s="1">
        <v>40.8</v>
      </c>
      <c r="BH611" s="1">
        <v>6759.2</v>
      </c>
      <c r="BI611" t="s">
        <v>550</v>
      </c>
      <c r="BJ611" t="s">
        <v>551</v>
      </c>
      <c r="BK611" t="s">
        <v>552</v>
      </c>
      <c r="BL611" t="s">
        <v>552</v>
      </c>
      <c r="BM611" t="s">
        <v>3035</v>
      </c>
      <c r="BN611" t="s">
        <v>3466</v>
      </c>
      <c r="BO611" t="s">
        <v>3466</v>
      </c>
      <c r="BR611" t="s">
        <v>546</v>
      </c>
      <c r="BS611" s="1">
        <v>6800</v>
      </c>
      <c r="BW611" t="s">
        <v>536</v>
      </c>
      <c r="BX611" s="1">
        <v>6800</v>
      </c>
      <c r="BZ611" t="s">
        <v>535</v>
      </c>
      <c r="CA611" t="s">
        <v>546</v>
      </c>
      <c r="CB611" t="s">
        <v>3384</v>
      </c>
      <c r="CC611" t="s">
        <v>556</v>
      </c>
      <c r="CD611" t="s">
        <v>3467</v>
      </c>
      <c r="CE611" t="s">
        <v>3468</v>
      </c>
      <c r="CF611" t="s">
        <v>260</v>
      </c>
      <c r="CG611" s="4">
        <v>1</v>
      </c>
      <c r="CH611" t="s">
        <v>546</v>
      </c>
      <c r="CK611" t="s">
        <v>3469</v>
      </c>
      <c r="CL611" s="1">
        <v>6800</v>
      </c>
      <c r="CN611" t="s">
        <v>535</v>
      </c>
      <c r="CO611" t="s">
        <v>539</v>
      </c>
      <c r="CT611" t="s">
        <v>576</v>
      </c>
      <c r="CW611" t="s">
        <v>546</v>
      </c>
      <c r="DD611" t="s">
        <v>561</v>
      </c>
      <c r="DK611" t="s">
        <v>3470</v>
      </c>
      <c r="DL611" t="s">
        <v>3471</v>
      </c>
    </row>
    <row r="612" ht="15" customHeight="1" spans="1:122">
      <c r="A612" t="s">
        <v>530</v>
      </c>
      <c r="B612" t="s">
        <v>3472</v>
      </c>
      <c r="C612" t="s">
        <v>532</v>
      </c>
      <c r="D612" t="s">
        <v>3384</v>
      </c>
      <c r="E612" t="s">
        <v>534</v>
      </c>
      <c r="F612" t="s">
        <v>534</v>
      </c>
      <c r="G612" t="s">
        <v>535</v>
      </c>
      <c r="H612" s="1">
        <v>1200</v>
      </c>
      <c r="I612" s="1">
        <v>1200</v>
      </c>
      <c r="J612" t="s">
        <v>536</v>
      </c>
      <c r="L612" t="s">
        <v>536</v>
      </c>
      <c r="M612" t="s">
        <v>375</v>
      </c>
      <c r="N612" t="s">
        <v>537</v>
      </c>
      <c r="P612" s="1">
        <v>1200</v>
      </c>
      <c r="Q612" t="s">
        <v>580</v>
      </c>
      <c r="R612" t="s">
        <v>535</v>
      </c>
      <c r="S612" t="s">
        <v>539</v>
      </c>
      <c r="T612" s="2">
        <v>1</v>
      </c>
      <c r="U612" s="1">
        <v>1200</v>
      </c>
      <c r="V612" s="1">
        <v>1200</v>
      </c>
      <c r="X612" t="s">
        <v>540</v>
      </c>
      <c r="Z612" t="s">
        <v>541</v>
      </c>
      <c r="AA612" t="s">
        <v>542</v>
      </c>
      <c r="AB612" t="s">
        <v>543</v>
      </c>
      <c r="AC612" t="s">
        <v>544</v>
      </c>
      <c r="AD612" t="s">
        <v>545</v>
      </c>
      <c r="AE612" s="3">
        <v>1</v>
      </c>
      <c r="AF612" t="s">
        <v>260</v>
      </c>
      <c r="AG612" s="1">
        <v>1200</v>
      </c>
      <c r="AI612" s="1">
        <v>1200</v>
      </c>
      <c r="AJ612" s="1">
        <v>1200</v>
      </c>
      <c r="AM612" s="1">
        <v>1200</v>
      </c>
      <c r="AN612" t="s">
        <v>565</v>
      </c>
      <c r="AO612" t="s">
        <v>546</v>
      </c>
      <c r="AP612" t="s">
        <v>565</v>
      </c>
      <c r="AQ612" t="s">
        <v>548</v>
      </c>
      <c r="AS612" t="s">
        <v>375</v>
      </c>
      <c r="AX612" s="1">
        <v>1200</v>
      </c>
      <c r="AY612" t="s">
        <v>546</v>
      </c>
      <c r="AZ612" t="s">
        <v>566</v>
      </c>
      <c r="BA612" s="1">
        <v>1200</v>
      </c>
      <c r="BC612" t="s">
        <v>546</v>
      </c>
      <c r="BD612" s="1">
        <v>1200</v>
      </c>
      <c r="BE612" t="s">
        <v>540</v>
      </c>
      <c r="BF612" s="1">
        <v>1200</v>
      </c>
      <c r="BH612" s="1">
        <v>1200</v>
      </c>
      <c r="BI612" t="s">
        <v>550</v>
      </c>
      <c r="BJ612" t="s">
        <v>551</v>
      </c>
      <c r="BK612" t="s">
        <v>551</v>
      </c>
      <c r="BL612" t="s">
        <v>552</v>
      </c>
      <c r="BM612" t="s">
        <v>3035</v>
      </c>
      <c r="BN612" t="s">
        <v>3473</v>
      </c>
      <c r="BO612" t="s">
        <v>3474</v>
      </c>
      <c r="BR612" t="s">
        <v>546</v>
      </c>
      <c r="BS612" s="1">
        <v>1200</v>
      </c>
      <c r="BW612" t="s">
        <v>536</v>
      </c>
      <c r="BX612" s="1">
        <v>1200</v>
      </c>
      <c r="BZ612" t="s">
        <v>535</v>
      </c>
      <c r="CA612" t="s">
        <v>546</v>
      </c>
      <c r="CB612" t="s">
        <v>3384</v>
      </c>
      <c r="CC612" t="s">
        <v>556</v>
      </c>
      <c r="CD612" t="s">
        <v>3467</v>
      </c>
      <c r="CE612" t="s">
        <v>3468</v>
      </c>
      <c r="CF612" t="s">
        <v>260</v>
      </c>
      <c r="CG612" s="4">
        <v>1</v>
      </c>
      <c r="CH612" t="s">
        <v>546</v>
      </c>
      <c r="CK612" t="s">
        <v>3469</v>
      </c>
      <c r="CL612" s="1">
        <v>1200</v>
      </c>
      <c r="CN612" t="s">
        <v>535</v>
      </c>
      <c r="CO612" t="s">
        <v>539</v>
      </c>
      <c r="CT612" t="s">
        <v>576</v>
      </c>
      <c r="CW612" t="s">
        <v>546</v>
      </c>
      <c r="DD612" t="s">
        <v>561</v>
      </c>
      <c r="DK612" t="s">
        <v>3470</v>
      </c>
      <c r="DL612" t="s">
        <v>3471</v>
      </c>
    </row>
    <row r="613" ht="15" customHeight="1" spans="1:122">
      <c r="A613" t="s">
        <v>603</v>
      </c>
      <c r="B613" t="s">
        <v>3475</v>
      </c>
      <c r="C613" t="s">
        <v>532</v>
      </c>
      <c r="D613" t="s">
        <v>3016</v>
      </c>
      <c r="E613" t="s">
        <v>534</v>
      </c>
      <c r="F613" t="s">
        <v>534</v>
      </c>
      <c r="G613" t="s">
        <v>535</v>
      </c>
      <c r="H613" s="1">
        <v>3400</v>
      </c>
      <c r="I613" s="1">
        <v>3400</v>
      </c>
      <c r="J613" t="s">
        <v>536</v>
      </c>
      <c r="L613" t="s">
        <v>536</v>
      </c>
      <c r="M613" t="s">
        <v>375</v>
      </c>
      <c r="N613" t="s">
        <v>537</v>
      </c>
      <c r="P613" s="1">
        <v>3400</v>
      </c>
      <c r="Q613" t="s">
        <v>580</v>
      </c>
      <c r="R613" t="s">
        <v>535</v>
      </c>
      <c r="S613" t="s">
        <v>539</v>
      </c>
      <c r="T613" s="2">
        <v>1</v>
      </c>
      <c r="U613" s="1">
        <v>3400</v>
      </c>
      <c r="V613" s="1">
        <v>3400</v>
      </c>
      <c r="X613" t="s">
        <v>540</v>
      </c>
      <c r="Z613" t="s">
        <v>541</v>
      </c>
      <c r="AA613" t="s">
        <v>542</v>
      </c>
      <c r="AB613" t="s">
        <v>543</v>
      </c>
      <c r="AC613" t="s">
        <v>608</v>
      </c>
      <c r="AE613" s="3">
        <v>1</v>
      </c>
      <c r="AG613" s="1">
        <v>3400</v>
      </c>
      <c r="AI613" s="1">
        <v>3400</v>
      </c>
      <c r="AJ613" s="1">
        <v>3400</v>
      </c>
      <c r="AM613" s="1">
        <v>3400</v>
      </c>
      <c r="AN613" t="s">
        <v>643</v>
      </c>
      <c r="AO613" t="s">
        <v>546</v>
      </c>
      <c r="AP613" t="s">
        <v>643</v>
      </c>
      <c r="AQ613" t="s">
        <v>548</v>
      </c>
      <c r="AS613" t="s">
        <v>375</v>
      </c>
      <c r="AX613" s="1">
        <v>3400</v>
      </c>
      <c r="AY613" t="s">
        <v>546</v>
      </c>
      <c r="AZ613" t="s">
        <v>644</v>
      </c>
      <c r="BA613" s="1">
        <v>3400</v>
      </c>
      <c r="BC613" t="s">
        <v>546</v>
      </c>
      <c r="BE613" t="s">
        <v>540</v>
      </c>
      <c r="BF613" s="1">
        <v>3400</v>
      </c>
      <c r="BH613" s="1">
        <v>3400</v>
      </c>
      <c r="BI613" t="s">
        <v>550</v>
      </c>
      <c r="BJ613" t="s">
        <v>551</v>
      </c>
      <c r="BK613" t="s">
        <v>551</v>
      </c>
      <c r="BL613" t="s">
        <v>552</v>
      </c>
      <c r="BM613" t="s">
        <v>3384</v>
      </c>
      <c r="BN613" t="s">
        <v>3476</v>
      </c>
      <c r="BO613" t="s">
        <v>3477</v>
      </c>
      <c r="BR613" t="s">
        <v>546</v>
      </c>
      <c r="BS613" s="1">
        <v>3400</v>
      </c>
      <c r="BW613" t="s">
        <v>536</v>
      </c>
      <c r="BX613" s="1">
        <v>3400</v>
      </c>
      <c r="BZ613" t="s">
        <v>535</v>
      </c>
      <c r="CA613" t="s">
        <v>546</v>
      </c>
      <c r="CB613" t="s">
        <v>3016</v>
      </c>
      <c r="CC613" t="s">
        <v>556</v>
      </c>
      <c r="CH613" t="s">
        <v>546</v>
      </c>
      <c r="CK613" t="s">
        <v>3478</v>
      </c>
      <c r="CL613" s="1">
        <v>3400</v>
      </c>
      <c r="CN613" t="s">
        <v>535</v>
      </c>
      <c r="CO613" t="s">
        <v>539</v>
      </c>
      <c r="CT613" t="s">
        <v>576</v>
      </c>
      <c r="CW613" t="s">
        <v>546</v>
      </c>
      <c r="DD613" t="s">
        <v>561</v>
      </c>
      <c r="DK613" t="s">
        <v>3479</v>
      </c>
      <c r="DR613" t="s">
        <v>3480</v>
      </c>
    </row>
    <row r="614" ht="15" customHeight="1" spans="1:122">
      <c r="A614" t="s">
        <v>530</v>
      </c>
      <c r="B614" t="s">
        <v>3481</v>
      </c>
      <c r="C614" t="s">
        <v>532</v>
      </c>
      <c r="D614" t="s">
        <v>3035</v>
      </c>
      <c r="E614" t="s">
        <v>534</v>
      </c>
      <c r="F614" t="s">
        <v>534</v>
      </c>
      <c r="G614" t="s">
        <v>535</v>
      </c>
      <c r="H614" s="1">
        <v>850</v>
      </c>
      <c r="I614" s="1">
        <v>850</v>
      </c>
      <c r="J614" t="s">
        <v>536</v>
      </c>
      <c r="L614" t="s">
        <v>536</v>
      </c>
      <c r="M614" t="s">
        <v>375</v>
      </c>
      <c r="N614" t="s">
        <v>537</v>
      </c>
      <c r="P614" s="1">
        <v>850</v>
      </c>
      <c r="Q614" t="s">
        <v>580</v>
      </c>
      <c r="R614" t="s">
        <v>535</v>
      </c>
      <c r="S614" t="s">
        <v>539</v>
      </c>
      <c r="T614" s="2">
        <v>1</v>
      </c>
      <c r="U614" s="1">
        <v>850</v>
      </c>
      <c r="V614" s="1">
        <v>850</v>
      </c>
      <c r="X614" t="s">
        <v>616</v>
      </c>
      <c r="Z614" t="s">
        <v>541</v>
      </c>
      <c r="AA614" t="s">
        <v>542</v>
      </c>
      <c r="AB614" t="s">
        <v>543</v>
      </c>
      <c r="AC614" t="s">
        <v>544</v>
      </c>
      <c r="AD614" t="s">
        <v>545</v>
      </c>
      <c r="AE614" s="3">
        <v>1</v>
      </c>
      <c r="AF614" t="s">
        <v>265</v>
      </c>
      <c r="AG614" s="1">
        <v>850</v>
      </c>
      <c r="AI614" s="1">
        <v>850</v>
      </c>
      <c r="AJ614" s="1">
        <v>850</v>
      </c>
      <c r="AM614" s="1">
        <v>850</v>
      </c>
      <c r="AN614" t="s">
        <v>643</v>
      </c>
      <c r="AO614" t="s">
        <v>546</v>
      </c>
      <c r="AP614" t="s">
        <v>643</v>
      </c>
      <c r="AQ614" t="s">
        <v>548</v>
      </c>
      <c r="AS614" t="s">
        <v>375</v>
      </c>
      <c r="AX614" s="1">
        <v>850</v>
      </c>
      <c r="AY614" t="s">
        <v>546</v>
      </c>
      <c r="AZ614" t="s">
        <v>644</v>
      </c>
      <c r="BA614" s="1">
        <v>850</v>
      </c>
      <c r="BC614" t="s">
        <v>546</v>
      </c>
      <c r="BD614" s="1">
        <v>850</v>
      </c>
      <c r="BE614" t="s">
        <v>616</v>
      </c>
      <c r="BH614" s="1">
        <v>850</v>
      </c>
      <c r="BI614" t="s">
        <v>550</v>
      </c>
      <c r="BJ614" t="s">
        <v>551</v>
      </c>
      <c r="BK614" t="s">
        <v>551</v>
      </c>
      <c r="BL614" t="s">
        <v>552</v>
      </c>
      <c r="BM614" t="s">
        <v>3384</v>
      </c>
      <c r="BN614" t="s">
        <v>3482</v>
      </c>
      <c r="BO614" t="s">
        <v>3483</v>
      </c>
      <c r="BR614" t="s">
        <v>546</v>
      </c>
      <c r="BS614" s="1">
        <v>850</v>
      </c>
      <c r="BW614" t="s">
        <v>536</v>
      </c>
      <c r="BZ614" t="s">
        <v>535</v>
      </c>
      <c r="CA614" t="s">
        <v>546</v>
      </c>
      <c r="CB614" t="s">
        <v>3035</v>
      </c>
      <c r="CC614" t="s">
        <v>556</v>
      </c>
      <c r="CD614" t="s">
        <v>2879</v>
      </c>
      <c r="CE614" t="s">
        <v>2880</v>
      </c>
      <c r="CF614" t="s">
        <v>265</v>
      </c>
      <c r="CG614" s="4">
        <v>1</v>
      </c>
      <c r="CH614" t="s">
        <v>546</v>
      </c>
      <c r="CK614" t="s">
        <v>3484</v>
      </c>
      <c r="CN614" t="s">
        <v>535</v>
      </c>
      <c r="CO614" t="s">
        <v>539</v>
      </c>
      <c r="CT614" t="s">
        <v>576</v>
      </c>
      <c r="CW614" t="s">
        <v>546</v>
      </c>
      <c r="DD614" t="s">
        <v>561</v>
      </c>
      <c r="DK614" t="s">
        <v>3485</v>
      </c>
      <c r="DL614" t="s">
        <v>3486</v>
      </c>
      <c r="DR614" t="s">
        <v>3487</v>
      </c>
    </row>
    <row r="615" ht="15" customHeight="1" spans="1:122">
      <c r="A615" t="s">
        <v>530</v>
      </c>
      <c r="B615" t="s">
        <v>3488</v>
      </c>
      <c r="C615" t="s">
        <v>532</v>
      </c>
      <c r="D615" t="s">
        <v>3035</v>
      </c>
      <c r="E615" t="s">
        <v>534</v>
      </c>
      <c r="F615" t="s">
        <v>534</v>
      </c>
      <c r="G615" t="s">
        <v>535</v>
      </c>
      <c r="H615" s="1">
        <v>3888</v>
      </c>
      <c r="I615" s="1">
        <v>3888</v>
      </c>
      <c r="J615" t="s">
        <v>536</v>
      </c>
      <c r="L615" t="s">
        <v>536</v>
      </c>
      <c r="M615" t="s">
        <v>377</v>
      </c>
      <c r="N615" t="s">
        <v>537</v>
      </c>
      <c r="P615" s="1">
        <v>3888</v>
      </c>
      <c r="Q615" t="s">
        <v>538</v>
      </c>
      <c r="R615" t="s">
        <v>535</v>
      </c>
      <c r="S615" t="s">
        <v>539</v>
      </c>
      <c r="T615" s="2">
        <v>1</v>
      </c>
      <c r="U615" s="1">
        <v>3888</v>
      </c>
      <c r="V615" s="1">
        <v>3888</v>
      </c>
      <c r="X615" t="s">
        <v>540</v>
      </c>
      <c r="Z615" t="s">
        <v>541</v>
      </c>
      <c r="AA615" t="s">
        <v>542</v>
      </c>
      <c r="AB615" t="s">
        <v>934</v>
      </c>
      <c r="AC615" t="s">
        <v>544</v>
      </c>
      <c r="AD615" t="s">
        <v>545</v>
      </c>
      <c r="AE615" s="3">
        <v>1</v>
      </c>
      <c r="AF615" t="s">
        <v>267</v>
      </c>
      <c r="AG615" s="1">
        <v>3888</v>
      </c>
      <c r="AI615" s="1">
        <v>3888</v>
      </c>
      <c r="AJ615" s="1">
        <v>3888</v>
      </c>
      <c r="AM615" s="1">
        <v>3888</v>
      </c>
      <c r="AN615" t="s">
        <v>643</v>
      </c>
      <c r="AO615" t="s">
        <v>546</v>
      </c>
      <c r="AP615" t="s">
        <v>643</v>
      </c>
      <c r="AQ615" t="s">
        <v>548</v>
      </c>
      <c r="AS615" t="s">
        <v>377</v>
      </c>
      <c r="AX615" s="1">
        <v>3888</v>
      </c>
      <c r="AY615" t="s">
        <v>546</v>
      </c>
      <c r="AZ615" t="s">
        <v>644</v>
      </c>
      <c r="BA615" s="1">
        <v>3888</v>
      </c>
      <c r="BC615" t="s">
        <v>546</v>
      </c>
      <c r="BD615" s="1">
        <v>3888</v>
      </c>
      <c r="BE615" t="s">
        <v>540</v>
      </c>
      <c r="BF615" s="1">
        <v>3888</v>
      </c>
      <c r="BH615" s="1">
        <v>3888</v>
      </c>
      <c r="BI615" t="s">
        <v>550</v>
      </c>
      <c r="BJ615" t="s">
        <v>551</v>
      </c>
      <c r="BK615" t="s">
        <v>551</v>
      </c>
      <c r="BL615" t="s">
        <v>552</v>
      </c>
      <c r="BM615" t="s">
        <v>3384</v>
      </c>
      <c r="BN615" t="s">
        <v>3489</v>
      </c>
      <c r="BO615" t="s">
        <v>3490</v>
      </c>
      <c r="BR615" t="s">
        <v>546</v>
      </c>
      <c r="BS615" s="1">
        <v>3888</v>
      </c>
      <c r="BW615" t="s">
        <v>536</v>
      </c>
      <c r="BX615" s="1">
        <v>3888</v>
      </c>
      <c r="BZ615" t="s">
        <v>535</v>
      </c>
      <c r="CA615" t="s">
        <v>546</v>
      </c>
      <c r="CB615" t="s">
        <v>3035</v>
      </c>
      <c r="CC615" t="s">
        <v>556</v>
      </c>
      <c r="CD615" t="s">
        <v>622</v>
      </c>
      <c r="CE615" t="s">
        <v>623</v>
      </c>
      <c r="CF615" t="s">
        <v>267</v>
      </c>
      <c r="CG615" s="4">
        <v>1</v>
      </c>
      <c r="CH615" t="s">
        <v>546</v>
      </c>
      <c r="CK615" t="s">
        <v>3491</v>
      </c>
      <c r="CL615" s="1">
        <v>3888</v>
      </c>
      <c r="CN615" t="s">
        <v>535</v>
      </c>
      <c r="CO615" t="s">
        <v>539</v>
      </c>
      <c r="CT615" t="s">
        <v>560</v>
      </c>
      <c r="CW615" t="s">
        <v>546</v>
      </c>
      <c r="DD615" t="s">
        <v>561</v>
      </c>
      <c r="DK615" t="s">
        <v>3492</v>
      </c>
      <c r="DL615" t="s">
        <v>3493</v>
      </c>
      <c r="DR615" t="s">
        <v>3494</v>
      </c>
    </row>
    <row r="616" ht="15" customHeight="1" spans="1:122">
      <c r="A616" t="s">
        <v>530</v>
      </c>
      <c r="B616" t="s">
        <v>3495</v>
      </c>
      <c r="C616" t="s">
        <v>532</v>
      </c>
      <c r="D616" t="s">
        <v>3384</v>
      </c>
      <c r="E616" t="s">
        <v>534</v>
      </c>
      <c r="F616" t="s">
        <v>534</v>
      </c>
      <c r="G616" t="s">
        <v>535</v>
      </c>
      <c r="H616" s="1">
        <v>2594</v>
      </c>
      <c r="I616" s="1">
        <v>2594</v>
      </c>
      <c r="J616" t="s">
        <v>536</v>
      </c>
      <c r="L616" t="s">
        <v>536</v>
      </c>
      <c r="M616" t="s">
        <v>375</v>
      </c>
      <c r="N616" t="s">
        <v>537</v>
      </c>
      <c r="P616" s="1">
        <v>2594</v>
      </c>
      <c r="Q616" t="s">
        <v>580</v>
      </c>
      <c r="R616" t="s">
        <v>535</v>
      </c>
      <c r="S616" t="s">
        <v>539</v>
      </c>
      <c r="T616" s="2">
        <v>1</v>
      </c>
      <c r="U616" s="1">
        <v>2594</v>
      </c>
      <c r="V616" s="1">
        <v>2594</v>
      </c>
      <c r="X616" t="s">
        <v>540</v>
      </c>
      <c r="Z616" t="s">
        <v>541</v>
      </c>
      <c r="AA616" t="s">
        <v>542</v>
      </c>
      <c r="AB616" t="s">
        <v>543</v>
      </c>
      <c r="AC616" t="s">
        <v>544</v>
      </c>
      <c r="AD616" t="s">
        <v>545</v>
      </c>
      <c r="AE616" s="3">
        <v>1</v>
      </c>
      <c r="AF616" t="s">
        <v>266</v>
      </c>
      <c r="AG616" s="1">
        <v>2594</v>
      </c>
      <c r="AI616" s="1">
        <v>2594</v>
      </c>
      <c r="AJ616" s="1">
        <v>2594</v>
      </c>
      <c r="AM616" s="1">
        <v>2594</v>
      </c>
      <c r="AN616" t="s">
        <v>643</v>
      </c>
      <c r="AO616" t="s">
        <v>546</v>
      </c>
      <c r="AP616" t="s">
        <v>643</v>
      </c>
      <c r="AQ616" t="s">
        <v>548</v>
      </c>
      <c r="AS616" t="s">
        <v>375</v>
      </c>
      <c r="AX616" s="1">
        <v>2594</v>
      </c>
      <c r="AY616" t="s">
        <v>546</v>
      </c>
      <c r="AZ616" t="s">
        <v>644</v>
      </c>
      <c r="BA616" s="1">
        <v>2594</v>
      </c>
      <c r="BC616" t="s">
        <v>546</v>
      </c>
      <c r="BD616" s="1">
        <v>2594</v>
      </c>
      <c r="BE616" t="s">
        <v>540</v>
      </c>
      <c r="BF616" s="1">
        <v>2594</v>
      </c>
      <c r="BH616" s="1">
        <v>2594</v>
      </c>
      <c r="BI616" t="s">
        <v>550</v>
      </c>
      <c r="BJ616" t="s">
        <v>551</v>
      </c>
      <c r="BK616" t="s">
        <v>551</v>
      </c>
      <c r="BL616" t="s">
        <v>552</v>
      </c>
      <c r="BM616" t="s">
        <v>3384</v>
      </c>
      <c r="BN616" t="s">
        <v>3496</v>
      </c>
      <c r="BO616" t="s">
        <v>3497</v>
      </c>
      <c r="BR616" t="s">
        <v>546</v>
      </c>
      <c r="BS616" s="1">
        <v>2594</v>
      </c>
      <c r="BW616" t="s">
        <v>536</v>
      </c>
      <c r="BX616" s="1">
        <v>2594</v>
      </c>
      <c r="BZ616" t="s">
        <v>535</v>
      </c>
      <c r="CA616" t="s">
        <v>546</v>
      </c>
      <c r="CB616" t="s">
        <v>3384</v>
      </c>
      <c r="CC616" t="s">
        <v>556</v>
      </c>
      <c r="CD616" t="s">
        <v>633</v>
      </c>
      <c r="CE616" t="s">
        <v>634</v>
      </c>
      <c r="CF616" t="s">
        <v>266</v>
      </c>
      <c r="CG616" s="4">
        <v>1</v>
      </c>
      <c r="CH616" t="s">
        <v>546</v>
      </c>
      <c r="CK616" t="s">
        <v>3498</v>
      </c>
      <c r="CL616" s="1">
        <v>2594</v>
      </c>
      <c r="CN616" t="s">
        <v>535</v>
      </c>
      <c r="CO616" t="s">
        <v>539</v>
      </c>
      <c r="CT616" t="s">
        <v>576</v>
      </c>
      <c r="CW616" t="s">
        <v>546</v>
      </c>
      <c r="DD616" t="s">
        <v>561</v>
      </c>
      <c r="DK616" t="s">
        <v>3499</v>
      </c>
      <c r="DL616" t="s">
        <v>3500</v>
      </c>
      <c r="DR616" t="s">
        <v>3501</v>
      </c>
    </row>
    <row r="617" ht="15" customHeight="1" spans="1:122">
      <c r="A617" t="s">
        <v>603</v>
      </c>
      <c r="B617" t="s">
        <v>3502</v>
      </c>
      <c r="C617" t="s">
        <v>532</v>
      </c>
      <c r="D617" t="s">
        <v>3384</v>
      </c>
      <c r="E617" t="s">
        <v>534</v>
      </c>
      <c r="F617" t="s">
        <v>534</v>
      </c>
      <c r="G617" t="s">
        <v>535</v>
      </c>
      <c r="H617" s="1">
        <v>20000</v>
      </c>
      <c r="I617" s="1">
        <v>20000</v>
      </c>
      <c r="J617" t="s">
        <v>536</v>
      </c>
      <c r="L617" t="s">
        <v>536</v>
      </c>
      <c r="M617" t="s">
        <v>381</v>
      </c>
      <c r="N617" t="s">
        <v>537</v>
      </c>
      <c r="P617" s="1">
        <v>20000</v>
      </c>
      <c r="Q617" t="s">
        <v>905</v>
      </c>
      <c r="R617" t="s">
        <v>535</v>
      </c>
      <c r="S617" t="s">
        <v>539</v>
      </c>
      <c r="T617" s="2">
        <v>1</v>
      </c>
      <c r="U617" s="1">
        <v>20000</v>
      </c>
      <c r="V617" s="1">
        <v>20000</v>
      </c>
      <c r="X617" t="s">
        <v>616</v>
      </c>
      <c r="Z617" t="s">
        <v>541</v>
      </c>
      <c r="AA617" t="s">
        <v>542</v>
      </c>
      <c r="AB617" t="s">
        <v>543</v>
      </c>
      <c r="AC617" t="s">
        <v>608</v>
      </c>
      <c r="AE617" s="3">
        <v>1</v>
      </c>
      <c r="AG617" s="1">
        <v>20000</v>
      </c>
      <c r="AI617" s="1">
        <v>20000</v>
      </c>
      <c r="AJ617" s="1">
        <v>20000</v>
      </c>
      <c r="AM617" s="1">
        <v>20000</v>
      </c>
      <c r="AN617" t="s">
        <v>536</v>
      </c>
      <c r="AO617" t="s">
        <v>546</v>
      </c>
      <c r="AP617" t="s">
        <v>547</v>
      </c>
      <c r="AQ617" t="s">
        <v>548</v>
      </c>
      <c r="AS617" t="s">
        <v>381</v>
      </c>
      <c r="AX617" s="1">
        <v>20000</v>
      </c>
      <c r="AY617" t="s">
        <v>546</v>
      </c>
      <c r="AZ617" t="s">
        <v>549</v>
      </c>
      <c r="BA617" s="1">
        <v>20000</v>
      </c>
      <c r="BC617" t="s">
        <v>546</v>
      </c>
      <c r="BE617" t="s">
        <v>616</v>
      </c>
      <c r="BH617" s="1">
        <v>20000</v>
      </c>
      <c r="BI617" t="s">
        <v>550</v>
      </c>
      <c r="BJ617" t="s">
        <v>551</v>
      </c>
      <c r="BK617" t="s">
        <v>551</v>
      </c>
      <c r="BL617" t="s">
        <v>552</v>
      </c>
      <c r="BM617" t="s">
        <v>3384</v>
      </c>
      <c r="BN617" t="s">
        <v>3503</v>
      </c>
      <c r="BO617" t="s">
        <v>3504</v>
      </c>
      <c r="BR617" t="s">
        <v>546</v>
      </c>
      <c r="BS617" s="1">
        <v>20000</v>
      </c>
      <c r="BW617" t="s">
        <v>536</v>
      </c>
      <c r="BZ617" t="s">
        <v>535</v>
      </c>
      <c r="CA617" t="s">
        <v>546</v>
      </c>
      <c r="CB617" t="s">
        <v>3384</v>
      </c>
      <c r="CC617" t="s">
        <v>556</v>
      </c>
      <c r="CH617" t="s">
        <v>546</v>
      </c>
      <c r="CK617" t="s">
        <v>3505</v>
      </c>
      <c r="CN617" t="s">
        <v>535</v>
      </c>
      <c r="CO617" t="s">
        <v>539</v>
      </c>
      <c r="CT617" t="s">
        <v>2582</v>
      </c>
      <c r="CW617" t="s">
        <v>546</v>
      </c>
      <c r="DD617" t="s">
        <v>561</v>
      </c>
    </row>
    <row r="618" ht="15" customHeight="1" spans="1:122">
      <c r="A618" t="s">
        <v>530</v>
      </c>
      <c r="B618" t="s">
        <v>3506</v>
      </c>
      <c r="C618" t="s">
        <v>532</v>
      </c>
      <c r="D618" t="s">
        <v>3384</v>
      </c>
      <c r="E618" t="s">
        <v>534</v>
      </c>
      <c r="F618" t="s">
        <v>534</v>
      </c>
      <c r="G618" t="s">
        <v>535</v>
      </c>
      <c r="H618" s="1">
        <v>3209.2</v>
      </c>
      <c r="I618" s="1">
        <v>3209.2</v>
      </c>
      <c r="J618" t="s">
        <v>536</v>
      </c>
      <c r="L618" t="s">
        <v>536</v>
      </c>
      <c r="M618" t="s">
        <v>380</v>
      </c>
      <c r="N618" t="s">
        <v>369</v>
      </c>
      <c r="P618" s="1">
        <v>3209.2</v>
      </c>
      <c r="Q618" t="s">
        <v>996</v>
      </c>
      <c r="R618" t="s">
        <v>535</v>
      </c>
      <c r="S618" t="s">
        <v>539</v>
      </c>
      <c r="T618" s="2">
        <v>1</v>
      </c>
      <c r="U618" s="1">
        <v>3209.2</v>
      </c>
      <c r="V618" s="1">
        <v>3209.2</v>
      </c>
      <c r="X618" t="s">
        <v>540</v>
      </c>
      <c r="Z618" t="s">
        <v>541</v>
      </c>
      <c r="AA618" t="s">
        <v>542</v>
      </c>
      <c r="AB618" t="s">
        <v>543</v>
      </c>
      <c r="AC618" t="s">
        <v>544</v>
      </c>
      <c r="AD618" t="s">
        <v>545</v>
      </c>
      <c r="AE618" s="3">
        <v>1</v>
      </c>
      <c r="AF618" t="s">
        <v>347</v>
      </c>
      <c r="AG618" s="1">
        <v>3209.2</v>
      </c>
      <c r="AI618" s="1">
        <v>3209.2</v>
      </c>
      <c r="AJ618" s="1">
        <v>3209.2</v>
      </c>
      <c r="AM618" s="1">
        <v>3209.2</v>
      </c>
      <c r="AN618" t="s">
        <v>536</v>
      </c>
      <c r="AO618" t="s">
        <v>546</v>
      </c>
      <c r="AP618" t="s">
        <v>547</v>
      </c>
      <c r="AQ618" t="s">
        <v>548</v>
      </c>
      <c r="AS618" t="s">
        <v>380</v>
      </c>
      <c r="AX618" s="1">
        <v>3209.2</v>
      </c>
      <c r="AY618" t="s">
        <v>546</v>
      </c>
      <c r="AZ618" t="s">
        <v>549</v>
      </c>
      <c r="BA618" s="1">
        <v>3209.2</v>
      </c>
      <c r="BC618" t="s">
        <v>546</v>
      </c>
      <c r="BD618" s="1">
        <v>3209.2</v>
      </c>
      <c r="BE618" t="s">
        <v>540</v>
      </c>
      <c r="BF618" s="1">
        <v>3209.2</v>
      </c>
      <c r="BH618" s="1">
        <v>3209.2</v>
      </c>
      <c r="BI618" t="s">
        <v>550</v>
      </c>
      <c r="BJ618" t="s">
        <v>551</v>
      </c>
      <c r="BK618" t="s">
        <v>551</v>
      </c>
      <c r="BL618" t="s">
        <v>552</v>
      </c>
      <c r="BM618" t="s">
        <v>3384</v>
      </c>
      <c r="BN618" t="s">
        <v>3507</v>
      </c>
      <c r="BO618" t="s">
        <v>3508</v>
      </c>
      <c r="BR618" t="s">
        <v>546</v>
      </c>
      <c r="BS618" s="1">
        <v>3209.2</v>
      </c>
      <c r="BW618" t="s">
        <v>536</v>
      </c>
      <c r="BX618" s="1">
        <v>3209.2</v>
      </c>
      <c r="BZ618" t="s">
        <v>535</v>
      </c>
      <c r="CA618" t="s">
        <v>546</v>
      </c>
      <c r="CB618" t="s">
        <v>3384</v>
      </c>
      <c r="CC618" t="s">
        <v>556</v>
      </c>
      <c r="CD618" t="s">
        <v>1161</v>
      </c>
      <c r="CE618" t="s">
        <v>1162</v>
      </c>
      <c r="CF618" t="s">
        <v>347</v>
      </c>
      <c r="CG618" s="4">
        <v>1</v>
      </c>
      <c r="CH618" t="s">
        <v>546</v>
      </c>
      <c r="CK618" t="s">
        <v>3509</v>
      </c>
      <c r="CL618" s="1">
        <v>3209.2</v>
      </c>
      <c r="CN618" t="s">
        <v>535</v>
      </c>
      <c r="CO618" t="s">
        <v>539</v>
      </c>
      <c r="CT618" t="s">
        <v>576</v>
      </c>
      <c r="CW618" t="s">
        <v>546</v>
      </c>
      <c r="DD618" t="s">
        <v>561</v>
      </c>
      <c r="DK618" t="s">
        <v>2601</v>
      </c>
      <c r="DL618" t="s">
        <v>3510</v>
      </c>
    </row>
    <row r="619" ht="15" customHeight="1" spans="1:122">
      <c r="A619" t="s">
        <v>530</v>
      </c>
      <c r="B619" t="s">
        <v>3511</v>
      </c>
      <c r="C619" t="s">
        <v>532</v>
      </c>
      <c r="D619" t="s">
        <v>3035</v>
      </c>
      <c r="E619" t="s">
        <v>534</v>
      </c>
      <c r="F619" t="s">
        <v>534</v>
      </c>
      <c r="G619" t="s">
        <v>535</v>
      </c>
      <c r="H619" s="1">
        <v>8055</v>
      </c>
      <c r="I619" s="1">
        <v>8055</v>
      </c>
      <c r="J619" t="s">
        <v>536</v>
      </c>
      <c r="L619" t="s">
        <v>536</v>
      </c>
      <c r="M619" t="s">
        <v>371</v>
      </c>
      <c r="N619" t="s">
        <v>537</v>
      </c>
      <c r="P619" s="1">
        <v>8055</v>
      </c>
      <c r="Q619" t="s">
        <v>1060</v>
      </c>
      <c r="R619" t="s">
        <v>535</v>
      </c>
      <c r="S619" t="s">
        <v>539</v>
      </c>
      <c r="T619" s="2">
        <v>1</v>
      </c>
      <c r="U619" s="1">
        <v>8055</v>
      </c>
      <c r="V619" s="1">
        <v>8055</v>
      </c>
      <c r="X619" t="s">
        <v>540</v>
      </c>
      <c r="Z619" t="s">
        <v>541</v>
      </c>
      <c r="AA619" t="s">
        <v>542</v>
      </c>
      <c r="AB619" t="s">
        <v>543</v>
      </c>
      <c r="AC619" t="s">
        <v>544</v>
      </c>
      <c r="AD619" t="s">
        <v>545</v>
      </c>
      <c r="AE619" s="3">
        <v>1</v>
      </c>
      <c r="AF619" t="s">
        <v>3</v>
      </c>
      <c r="AG619" s="1">
        <v>8055</v>
      </c>
      <c r="AI619" s="1">
        <v>8055</v>
      </c>
      <c r="AJ619" s="1">
        <v>8055</v>
      </c>
      <c r="AM619" s="1">
        <v>8055</v>
      </c>
      <c r="AN619" t="s">
        <v>536</v>
      </c>
      <c r="AO619" t="s">
        <v>546</v>
      </c>
      <c r="AP619" t="s">
        <v>547</v>
      </c>
      <c r="AQ619" t="s">
        <v>548</v>
      </c>
      <c r="AS619" t="s">
        <v>371</v>
      </c>
      <c r="AX619" s="1">
        <v>8055</v>
      </c>
      <c r="AY619" t="s">
        <v>546</v>
      </c>
      <c r="AZ619" t="s">
        <v>549</v>
      </c>
      <c r="BA619" s="1">
        <v>8055</v>
      </c>
      <c r="BC619" t="s">
        <v>546</v>
      </c>
      <c r="BD619" s="1">
        <v>8055</v>
      </c>
      <c r="BE619" t="s">
        <v>540</v>
      </c>
      <c r="BF619" s="1">
        <v>8055</v>
      </c>
      <c r="BH619" s="1">
        <v>8055</v>
      </c>
      <c r="BI619" t="s">
        <v>550</v>
      </c>
      <c r="BJ619" t="s">
        <v>551</v>
      </c>
      <c r="BK619" t="s">
        <v>551</v>
      </c>
      <c r="BL619" t="s">
        <v>552</v>
      </c>
      <c r="BM619" t="s">
        <v>3384</v>
      </c>
      <c r="BN619" t="s">
        <v>3512</v>
      </c>
      <c r="BO619" t="s">
        <v>3513</v>
      </c>
      <c r="BR619" t="s">
        <v>546</v>
      </c>
      <c r="BS619" s="1">
        <v>8055</v>
      </c>
      <c r="BW619" t="s">
        <v>536</v>
      </c>
      <c r="BX619" s="1">
        <v>8055</v>
      </c>
      <c r="BZ619" t="s">
        <v>535</v>
      </c>
      <c r="CA619" t="s">
        <v>546</v>
      </c>
      <c r="CB619" t="s">
        <v>3035</v>
      </c>
      <c r="CC619" t="s">
        <v>556</v>
      </c>
      <c r="CD619" t="s">
        <v>1806</v>
      </c>
      <c r="CE619" t="s">
        <v>1807</v>
      </c>
      <c r="CF619" t="s">
        <v>3</v>
      </c>
      <c r="CG619" s="4">
        <v>1</v>
      </c>
      <c r="CH619" t="s">
        <v>546</v>
      </c>
      <c r="CK619" t="s">
        <v>3514</v>
      </c>
      <c r="CL619" s="1">
        <v>8055</v>
      </c>
      <c r="CN619" t="s">
        <v>535</v>
      </c>
      <c r="CO619" t="s">
        <v>539</v>
      </c>
      <c r="CT619" t="s">
        <v>576</v>
      </c>
      <c r="CW619" t="s">
        <v>546</v>
      </c>
      <c r="DD619" t="s">
        <v>561</v>
      </c>
      <c r="DK619" t="s">
        <v>3515</v>
      </c>
      <c r="DL619" t="s">
        <v>3516</v>
      </c>
    </row>
    <row r="620" ht="15" customHeight="1" spans="1:122">
      <c r="A620" t="s">
        <v>530</v>
      </c>
      <c r="B620" t="s">
        <v>3517</v>
      </c>
      <c r="C620" t="s">
        <v>532</v>
      </c>
      <c r="D620" t="s">
        <v>3384</v>
      </c>
      <c r="E620" t="s">
        <v>534</v>
      </c>
      <c r="F620" t="s">
        <v>534</v>
      </c>
      <c r="G620" t="s">
        <v>535</v>
      </c>
      <c r="H620" s="1">
        <v>2908.8</v>
      </c>
      <c r="I620" s="1">
        <v>2891.35</v>
      </c>
      <c r="J620" t="s">
        <v>536</v>
      </c>
      <c r="L620" t="s">
        <v>536</v>
      </c>
      <c r="M620" t="s">
        <v>377</v>
      </c>
      <c r="N620" t="s">
        <v>537</v>
      </c>
      <c r="P620" s="1">
        <v>2908.8</v>
      </c>
      <c r="Q620" t="s">
        <v>538</v>
      </c>
      <c r="R620" t="s">
        <v>535</v>
      </c>
      <c r="S620" t="s">
        <v>539</v>
      </c>
      <c r="T620" s="2">
        <v>1</v>
      </c>
      <c r="U620" s="1">
        <v>2908.8</v>
      </c>
      <c r="V620" s="1">
        <v>2891.35</v>
      </c>
      <c r="X620" t="s">
        <v>540</v>
      </c>
      <c r="Z620" t="s">
        <v>541</v>
      </c>
      <c r="AA620" t="s">
        <v>542</v>
      </c>
      <c r="AB620" t="s">
        <v>543</v>
      </c>
      <c r="AC620" t="s">
        <v>544</v>
      </c>
      <c r="AD620" t="s">
        <v>545</v>
      </c>
      <c r="AE620" s="3">
        <v>1</v>
      </c>
      <c r="AF620" t="s">
        <v>264</v>
      </c>
      <c r="AG620" s="1">
        <v>2908.8</v>
      </c>
      <c r="AI620" s="1">
        <v>2908.8</v>
      </c>
      <c r="AJ620" s="1">
        <v>2908.8</v>
      </c>
      <c r="AK620" s="1">
        <v>17.45</v>
      </c>
      <c r="AM620" s="1">
        <v>2891.35</v>
      </c>
      <c r="AN620" t="s">
        <v>536</v>
      </c>
      <c r="AO620" t="s">
        <v>546</v>
      </c>
      <c r="AP620" t="s">
        <v>547</v>
      </c>
      <c r="AQ620" t="s">
        <v>548</v>
      </c>
      <c r="AS620" t="s">
        <v>377</v>
      </c>
      <c r="AX620" s="1">
        <v>2908.8</v>
      </c>
      <c r="AY620" t="s">
        <v>546</v>
      </c>
      <c r="AZ620" t="s">
        <v>549</v>
      </c>
      <c r="BA620" s="1">
        <v>2908.8</v>
      </c>
      <c r="BC620" t="s">
        <v>546</v>
      </c>
      <c r="BD620" s="1">
        <v>2908.8</v>
      </c>
      <c r="BE620" t="s">
        <v>540</v>
      </c>
      <c r="BF620" s="1">
        <v>2908.8</v>
      </c>
      <c r="BG620" s="1">
        <v>17.45</v>
      </c>
      <c r="BH620" s="1">
        <v>2891.35</v>
      </c>
      <c r="BI620" t="s">
        <v>550</v>
      </c>
      <c r="BJ620" t="s">
        <v>551</v>
      </c>
      <c r="BK620" t="s">
        <v>552</v>
      </c>
      <c r="BL620" t="s">
        <v>552</v>
      </c>
      <c r="BM620" t="s">
        <v>3384</v>
      </c>
      <c r="BN620" t="s">
        <v>3518</v>
      </c>
      <c r="BO620" t="s">
        <v>3519</v>
      </c>
      <c r="BR620" t="s">
        <v>546</v>
      </c>
      <c r="BS620" s="1">
        <v>2908.8</v>
      </c>
      <c r="BW620" t="s">
        <v>536</v>
      </c>
      <c r="BX620" s="1">
        <v>2908.8</v>
      </c>
      <c r="BZ620" t="s">
        <v>535</v>
      </c>
      <c r="CA620" t="s">
        <v>546</v>
      </c>
      <c r="CB620" t="s">
        <v>3384</v>
      </c>
      <c r="CC620" t="s">
        <v>556</v>
      </c>
      <c r="CD620" t="s">
        <v>745</v>
      </c>
      <c r="CE620" t="s">
        <v>746</v>
      </c>
      <c r="CF620" t="s">
        <v>264</v>
      </c>
      <c r="CG620" s="4">
        <v>1</v>
      </c>
      <c r="CH620" t="s">
        <v>546</v>
      </c>
      <c r="CK620" t="s">
        <v>3520</v>
      </c>
      <c r="CL620" s="1">
        <v>2908.8</v>
      </c>
      <c r="CN620" t="s">
        <v>535</v>
      </c>
      <c r="CO620" t="s">
        <v>539</v>
      </c>
      <c r="CT620" t="s">
        <v>560</v>
      </c>
      <c r="CW620" t="s">
        <v>546</v>
      </c>
      <c r="DD620" t="s">
        <v>561</v>
      </c>
      <c r="DK620" t="s">
        <v>3521</v>
      </c>
      <c r="DL620" t="s">
        <v>3522</v>
      </c>
    </row>
    <row r="621" ht="15" customHeight="1" spans="1:122">
      <c r="A621" t="s">
        <v>530</v>
      </c>
      <c r="B621" t="s">
        <v>3523</v>
      </c>
      <c r="C621" t="s">
        <v>532</v>
      </c>
      <c r="D621" t="s">
        <v>3384</v>
      </c>
      <c r="E621" t="s">
        <v>534</v>
      </c>
      <c r="F621" t="s">
        <v>534</v>
      </c>
      <c r="G621" t="s">
        <v>535</v>
      </c>
      <c r="H621" s="1">
        <v>727.2</v>
      </c>
      <c r="I621" s="1">
        <v>727.2</v>
      </c>
      <c r="J621" t="s">
        <v>536</v>
      </c>
      <c r="L621" t="s">
        <v>536</v>
      </c>
      <c r="M621" t="s">
        <v>377</v>
      </c>
      <c r="N621" t="s">
        <v>537</v>
      </c>
      <c r="P621" s="1">
        <v>727.2</v>
      </c>
      <c r="Q621" t="s">
        <v>538</v>
      </c>
      <c r="R621" t="s">
        <v>535</v>
      </c>
      <c r="S621" t="s">
        <v>539</v>
      </c>
      <c r="T621" s="2">
        <v>1</v>
      </c>
      <c r="U621" s="1">
        <v>727.2</v>
      </c>
      <c r="V621" s="1">
        <v>727.2</v>
      </c>
      <c r="X621" t="s">
        <v>540</v>
      </c>
      <c r="Z621" t="s">
        <v>541</v>
      </c>
      <c r="AA621" t="s">
        <v>542</v>
      </c>
      <c r="AB621" t="s">
        <v>543</v>
      </c>
      <c r="AC621" t="s">
        <v>544</v>
      </c>
      <c r="AD621" t="s">
        <v>545</v>
      </c>
      <c r="AE621" s="3">
        <v>1</v>
      </c>
      <c r="AF621" t="s">
        <v>264</v>
      </c>
      <c r="AG621" s="1">
        <v>727.2</v>
      </c>
      <c r="AI621" s="1">
        <v>727.2</v>
      </c>
      <c r="AJ621" s="1">
        <v>727.2</v>
      </c>
      <c r="AM621" s="1">
        <v>727.2</v>
      </c>
      <c r="AN621" t="s">
        <v>565</v>
      </c>
      <c r="AO621" t="s">
        <v>546</v>
      </c>
      <c r="AP621" t="s">
        <v>565</v>
      </c>
      <c r="AQ621" t="s">
        <v>548</v>
      </c>
      <c r="AS621" t="s">
        <v>377</v>
      </c>
      <c r="AX621" s="1">
        <v>727.2</v>
      </c>
      <c r="AY621" t="s">
        <v>546</v>
      </c>
      <c r="AZ621" t="s">
        <v>566</v>
      </c>
      <c r="BA621" s="1">
        <v>727.2</v>
      </c>
      <c r="BC621" t="s">
        <v>546</v>
      </c>
      <c r="BD621" s="1">
        <v>727.2</v>
      </c>
      <c r="BE621" t="s">
        <v>540</v>
      </c>
      <c r="BF621" s="1">
        <v>727.2</v>
      </c>
      <c r="BH621" s="1">
        <v>727.2</v>
      </c>
      <c r="BI621" t="s">
        <v>550</v>
      </c>
      <c r="BJ621" t="s">
        <v>551</v>
      </c>
      <c r="BK621" t="s">
        <v>551</v>
      </c>
      <c r="BL621" t="s">
        <v>552</v>
      </c>
      <c r="BM621" t="s">
        <v>3384</v>
      </c>
      <c r="BN621" t="s">
        <v>3524</v>
      </c>
      <c r="BO621" t="s">
        <v>3525</v>
      </c>
      <c r="BR621" t="s">
        <v>546</v>
      </c>
      <c r="BS621" s="1">
        <v>727.2</v>
      </c>
      <c r="BW621" t="s">
        <v>536</v>
      </c>
      <c r="BX621" s="1">
        <v>727.2</v>
      </c>
      <c r="BZ621" t="s">
        <v>535</v>
      </c>
      <c r="CA621" t="s">
        <v>546</v>
      </c>
      <c r="CB621" t="s">
        <v>3384</v>
      </c>
      <c r="CC621" t="s">
        <v>556</v>
      </c>
      <c r="CD621" t="s">
        <v>745</v>
      </c>
      <c r="CE621" t="s">
        <v>746</v>
      </c>
      <c r="CF621" t="s">
        <v>264</v>
      </c>
      <c r="CG621" s="4">
        <v>1</v>
      </c>
      <c r="CH621" t="s">
        <v>546</v>
      </c>
      <c r="CK621" t="s">
        <v>3520</v>
      </c>
      <c r="CL621" s="1">
        <v>727.2</v>
      </c>
      <c r="CN621" t="s">
        <v>535</v>
      </c>
      <c r="CO621" t="s">
        <v>539</v>
      </c>
      <c r="CT621" t="s">
        <v>560</v>
      </c>
      <c r="CW621" t="s">
        <v>546</v>
      </c>
      <c r="DD621" t="s">
        <v>561</v>
      </c>
      <c r="DK621" t="s">
        <v>3521</v>
      </c>
      <c r="DL621" t="s">
        <v>3522</v>
      </c>
    </row>
    <row r="622" ht="15" customHeight="1" spans="1:122">
      <c r="A622" t="s">
        <v>530</v>
      </c>
      <c r="B622" t="s">
        <v>3526</v>
      </c>
      <c r="C622" t="s">
        <v>532</v>
      </c>
      <c r="D622" t="s">
        <v>3035</v>
      </c>
      <c r="E622" t="s">
        <v>534</v>
      </c>
      <c r="F622" t="s">
        <v>534</v>
      </c>
      <c r="G622" t="s">
        <v>535</v>
      </c>
      <c r="H622" s="1">
        <v>3908</v>
      </c>
      <c r="I622" s="1">
        <v>3908</v>
      </c>
      <c r="J622" t="s">
        <v>536</v>
      </c>
      <c r="L622" t="s">
        <v>536</v>
      </c>
      <c r="M622" t="s">
        <v>377</v>
      </c>
      <c r="N622" t="s">
        <v>537</v>
      </c>
      <c r="P622" s="1">
        <v>3908</v>
      </c>
      <c r="Q622" t="s">
        <v>538</v>
      </c>
      <c r="R622" t="s">
        <v>535</v>
      </c>
      <c r="S622" t="s">
        <v>539</v>
      </c>
      <c r="T622" s="2">
        <v>1</v>
      </c>
      <c r="U622" s="1">
        <v>3908</v>
      </c>
      <c r="V622" s="1">
        <v>3908</v>
      </c>
      <c r="X622" t="s">
        <v>540</v>
      </c>
      <c r="Z622" t="s">
        <v>541</v>
      </c>
      <c r="AA622" t="s">
        <v>542</v>
      </c>
      <c r="AB622" t="s">
        <v>543</v>
      </c>
      <c r="AC622" t="s">
        <v>544</v>
      </c>
      <c r="AD622" t="s">
        <v>545</v>
      </c>
      <c r="AE622" s="3">
        <v>1</v>
      </c>
      <c r="AF622" t="s">
        <v>263</v>
      </c>
      <c r="AG622" s="1">
        <v>3908</v>
      </c>
      <c r="AI622" s="1">
        <v>3908</v>
      </c>
      <c r="AJ622" s="1">
        <v>3908</v>
      </c>
      <c r="AM622" s="1">
        <v>3908</v>
      </c>
      <c r="AN622" t="s">
        <v>643</v>
      </c>
      <c r="AO622" t="s">
        <v>546</v>
      </c>
      <c r="AP622" t="s">
        <v>643</v>
      </c>
      <c r="AQ622" t="s">
        <v>548</v>
      </c>
      <c r="AS622" t="s">
        <v>377</v>
      </c>
      <c r="AX622" s="1">
        <v>3908</v>
      </c>
      <c r="AY622" t="s">
        <v>546</v>
      </c>
      <c r="AZ622" t="s">
        <v>644</v>
      </c>
      <c r="BA622" s="1">
        <v>3908</v>
      </c>
      <c r="BC622" t="s">
        <v>546</v>
      </c>
      <c r="BD622" s="1">
        <v>3908</v>
      </c>
      <c r="BE622" t="s">
        <v>540</v>
      </c>
      <c r="BF622" s="1">
        <v>3908</v>
      </c>
      <c r="BH622" s="1">
        <v>3908</v>
      </c>
      <c r="BI622" t="s">
        <v>550</v>
      </c>
      <c r="BJ622" t="s">
        <v>551</v>
      </c>
      <c r="BK622" t="s">
        <v>551</v>
      </c>
      <c r="BL622" t="s">
        <v>552</v>
      </c>
      <c r="BM622" t="s">
        <v>3384</v>
      </c>
      <c r="BN622" t="s">
        <v>3527</v>
      </c>
      <c r="BO622" t="s">
        <v>3528</v>
      </c>
      <c r="BR622" t="s">
        <v>546</v>
      </c>
      <c r="BS622" s="1">
        <v>3908</v>
      </c>
      <c r="BW622" t="s">
        <v>536</v>
      </c>
      <c r="BX622" s="1">
        <v>3908</v>
      </c>
      <c r="BZ622" t="s">
        <v>535</v>
      </c>
      <c r="CA622" t="s">
        <v>546</v>
      </c>
      <c r="CB622" t="s">
        <v>3035</v>
      </c>
      <c r="CC622" t="s">
        <v>556</v>
      </c>
      <c r="CD622" t="s">
        <v>2428</v>
      </c>
      <c r="CE622" t="s">
        <v>2429</v>
      </c>
      <c r="CF622" t="s">
        <v>263</v>
      </c>
      <c r="CG622" s="4">
        <v>1</v>
      </c>
      <c r="CH622" t="s">
        <v>546</v>
      </c>
      <c r="CK622" t="s">
        <v>3529</v>
      </c>
      <c r="CL622" s="1">
        <v>3908</v>
      </c>
      <c r="CN622" t="s">
        <v>535</v>
      </c>
      <c r="CO622" t="s">
        <v>539</v>
      </c>
      <c r="CT622" t="s">
        <v>560</v>
      </c>
      <c r="CW622" t="s">
        <v>546</v>
      </c>
      <c r="DD622" t="s">
        <v>561</v>
      </c>
      <c r="DK622" t="s">
        <v>3530</v>
      </c>
      <c r="DL622" t="s">
        <v>3531</v>
      </c>
      <c r="DR622" t="s">
        <v>3532</v>
      </c>
    </row>
    <row r="623" ht="15" customHeight="1" spans="1:122">
      <c r="A623" t="s">
        <v>530</v>
      </c>
      <c r="B623" t="s">
        <v>3533</v>
      </c>
      <c r="C623" t="s">
        <v>532</v>
      </c>
      <c r="D623" t="s">
        <v>3534</v>
      </c>
      <c r="E623" t="s">
        <v>534</v>
      </c>
      <c r="F623" t="s">
        <v>534</v>
      </c>
      <c r="G623" t="s">
        <v>535</v>
      </c>
      <c r="H623" s="1">
        <v>2856.8</v>
      </c>
      <c r="I623" s="1">
        <v>2839.66</v>
      </c>
      <c r="J623" t="s">
        <v>536</v>
      </c>
      <c r="L623" t="s">
        <v>536</v>
      </c>
      <c r="M623" t="s">
        <v>375</v>
      </c>
      <c r="N623" t="s">
        <v>537</v>
      </c>
      <c r="P623" s="1">
        <v>2856.8</v>
      </c>
      <c r="Q623" t="s">
        <v>580</v>
      </c>
      <c r="R623" t="s">
        <v>535</v>
      </c>
      <c r="S623" t="s">
        <v>539</v>
      </c>
      <c r="T623" s="2">
        <v>1</v>
      </c>
      <c r="U623" s="1">
        <v>2856.8</v>
      </c>
      <c r="V623" s="1">
        <v>2839.66</v>
      </c>
      <c r="X623" t="s">
        <v>540</v>
      </c>
      <c r="Z623" t="s">
        <v>541</v>
      </c>
      <c r="AA623" t="s">
        <v>542</v>
      </c>
      <c r="AB623" t="s">
        <v>543</v>
      </c>
      <c r="AC623" t="s">
        <v>544</v>
      </c>
      <c r="AD623" t="s">
        <v>545</v>
      </c>
      <c r="AE623" s="3">
        <v>1</v>
      </c>
      <c r="AF623" t="s">
        <v>268</v>
      </c>
      <c r="AG623" s="1">
        <v>2856.8</v>
      </c>
      <c r="AI623" s="1">
        <v>2856.8</v>
      </c>
      <c r="AJ623" s="1">
        <v>2856.8</v>
      </c>
      <c r="AK623" s="1">
        <v>17.14</v>
      </c>
      <c r="AM623" s="1">
        <v>2839.66</v>
      </c>
      <c r="AN623" t="s">
        <v>536</v>
      </c>
      <c r="AO623" t="s">
        <v>546</v>
      </c>
      <c r="AP623" t="s">
        <v>547</v>
      </c>
      <c r="AQ623" t="s">
        <v>548</v>
      </c>
      <c r="AS623" t="s">
        <v>375</v>
      </c>
      <c r="AX623" s="1">
        <v>2856.8</v>
      </c>
      <c r="AY623" t="s">
        <v>546</v>
      </c>
      <c r="AZ623" t="s">
        <v>549</v>
      </c>
      <c r="BA623" s="1">
        <v>2856.8</v>
      </c>
      <c r="BC623" t="s">
        <v>546</v>
      </c>
      <c r="BD623" s="1">
        <v>2856.8</v>
      </c>
      <c r="BE623" t="s">
        <v>540</v>
      </c>
      <c r="BF623" s="1">
        <v>2856.8</v>
      </c>
      <c r="BG623" s="1">
        <v>17.14</v>
      </c>
      <c r="BH623" s="1">
        <v>2839.66</v>
      </c>
      <c r="BI623" t="s">
        <v>550</v>
      </c>
      <c r="BJ623" t="s">
        <v>551</v>
      </c>
      <c r="BK623" t="s">
        <v>552</v>
      </c>
      <c r="BL623" t="s">
        <v>552</v>
      </c>
      <c r="BM623" t="s">
        <v>3384</v>
      </c>
      <c r="BN623" t="s">
        <v>3535</v>
      </c>
      <c r="BO623" t="s">
        <v>3536</v>
      </c>
      <c r="BR623" t="s">
        <v>546</v>
      </c>
      <c r="BS623" s="1">
        <v>2856.8</v>
      </c>
      <c r="BW623" t="s">
        <v>536</v>
      </c>
      <c r="BX623" s="1">
        <v>2856.8</v>
      </c>
      <c r="BZ623" t="s">
        <v>535</v>
      </c>
      <c r="CA623" t="s">
        <v>546</v>
      </c>
      <c r="CB623" t="s">
        <v>3534</v>
      </c>
      <c r="CC623" t="s">
        <v>556</v>
      </c>
      <c r="CD623" t="s">
        <v>3361</v>
      </c>
      <c r="CE623" t="s">
        <v>3362</v>
      </c>
      <c r="CF623" t="s">
        <v>268</v>
      </c>
      <c r="CG623" s="4">
        <v>1</v>
      </c>
      <c r="CH623" t="s">
        <v>546</v>
      </c>
      <c r="CK623" t="s">
        <v>3537</v>
      </c>
      <c r="CL623" s="1">
        <v>2856.8</v>
      </c>
      <c r="CN623" t="s">
        <v>535</v>
      </c>
      <c r="CO623" t="s">
        <v>539</v>
      </c>
      <c r="CT623" t="s">
        <v>576</v>
      </c>
      <c r="CW623" t="s">
        <v>546</v>
      </c>
      <c r="DD623" t="s">
        <v>561</v>
      </c>
      <c r="DK623" t="s">
        <v>3538</v>
      </c>
      <c r="DL623" t="s">
        <v>3539</v>
      </c>
    </row>
    <row r="624" ht="15" customHeight="1" spans="1:122">
      <c r="A624" t="s">
        <v>530</v>
      </c>
      <c r="B624" t="s">
        <v>3540</v>
      </c>
      <c r="C624" t="s">
        <v>532</v>
      </c>
      <c r="D624" t="s">
        <v>3534</v>
      </c>
      <c r="E624" t="s">
        <v>534</v>
      </c>
      <c r="F624" t="s">
        <v>534</v>
      </c>
      <c r="G624" t="s">
        <v>535</v>
      </c>
      <c r="H624" s="1">
        <v>714.2</v>
      </c>
      <c r="I624" s="1">
        <v>714.2</v>
      </c>
      <c r="J624" t="s">
        <v>536</v>
      </c>
      <c r="L624" t="s">
        <v>536</v>
      </c>
      <c r="M624" t="s">
        <v>375</v>
      </c>
      <c r="N624" t="s">
        <v>537</v>
      </c>
      <c r="P624" s="1">
        <v>714.2</v>
      </c>
      <c r="Q624" t="s">
        <v>580</v>
      </c>
      <c r="R624" t="s">
        <v>535</v>
      </c>
      <c r="S624" t="s">
        <v>539</v>
      </c>
      <c r="T624" s="2">
        <v>1</v>
      </c>
      <c r="U624" s="1">
        <v>714.2</v>
      </c>
      <c r="V624" s="1">
        <v>714.2</v>
      </c>
      <c r="X624" t="s">
        <v>540</v>
      </c>
      <c r="Z624" t="s">
        <v>541</v>
      </c>
      <c r="AA624" t="s">
        <v>542</v>
      </c>
      <c r="AB624" t="s">
        <v>543</v>
      </c>
      <c r="AC624" t="s">
        <v>544</v>
      </c>
      <c r="AD624" t="s">
        <v>545</v>
      </c>
      <c r="AE624" s="3">
        <v>1</v>
      </c>
      <c r="AF624" t="s">
        <v>268</v>
      </c>
      <c r="AG624" s="1">
        <v>714.2</v>
      </c>
      <c r="AI624" s="1">
        <v>714.2</v>
      </c>
      <c r="AJ624" s="1">
        <v>714.2</v>
      </c>
      <c r="AM624" s="1">
        <v>714.2</v>
      </c>
      <c r="AN624" t="s">
        <v>565</v>
      </c>
      <c r="AO624" t="s">
        <v>546</v>
      </c>
      <c r="AP624" t="s">
        <v>565</v>
      </c>
      <c r="AQ624" t="s">
        <v>548</v>
      </c>
      <c r="AS624" t="s">
        <v>375</v>
      </c>
      <c r="AX624" s="1">
        <v>714.2</v>
      </c>
      <c r="AY624" t="s">
        <v>546</v>
      </c>
      <c r="AZ624" t="s">
        <v>566</v>
      </c>
      <c r="BA624" s="1">
        <v>714.2</v>
      </c>
      <c r="BC624" t="s">
        <v>546</v>
      </c>
      <c r="BD624" s="1">
        <v>714.2</v>
      </c>
      <c r="BE624" t="s">
        <v>540</v>
      </c>
      <c r="BF624" s="1">
        <v>714.2</v>
      </c>
      <c r="BH624" s="1">
        <v>714.2</v>
      </c>
      <c r="BI624" t="s">
        <v>550</v>
      </c>
      <c r="BJ624" t="s">
        <v>551</v>
      </c>
      <c r="BK624" t="s">
        <v>551</v>
      </c>
      <c r="BL624" t="s">
        <v>552</v>
      </c>
      <c r="BM624" t="s">
        <v>3384</v>
      </c>
      <c r="BN624" t="s">
        <v>3541</v>
      </c>
      <c r="BO624" t="s">
        <v>3542</v>
      </c>
      <c r="BR624" t="s">
        <v>546</v>
      </c>
      <c r="BS624" s="1">
        <v>714.2</v>
      </c>
      <c r="BW624" t="s">
        <v>536</v>
      </c>
      <c r="BX624" s="1">
        <v>714.2</v>
      </c>
      <c r="BZ624" t="s">
        <v>535</v>
      </c>
      <c r="CA624" t="s">
        <v>546</v>
      </c>
      <c r="CB624" t="s">
        <v>3534</v>
      </c>
      <c r="CC624" t="s">
        <v>556</v>
      </c>
      <c r="CD624" t="s">
        <v>3361</v>
      </c>
      <c r="CE624" t="s">
        <v>3362</v>
      </c>
      <c r="CF624" t="s">
        <v>268</v>
      </c>
      <c r="CG624" s="4">
        <v>1</v>
      </c>
      <c r="CH624" t="s">
        <v>546</v>
      </c>
      <c r="CK624" t="s">
        <v>3537</v>
      </c>
      <c r="CL624" s="1">
        <v>714.2</v>
      </c>
      <c r="CN624" t="s">
        <v>535</v>
      </c>
      <c r="CO624" t="s">
        <v>539</v>
      </c>
      <c r="CT624" t="s">
        <v>576</v>
      </c>
      <c r="CW624" t="s">
        <v>546</v>
      </c>
      <c r="DD624" t="s">
        <v>561</v>
      </c>
      <c r="DK624" t="s">
        <v>3538</v>
      </c>
      <c r="DL624" t="s">
        <v>3539</v>
      </c>
    </row>
    <row r="625" ht="15" customHeight="1" spans="1:122">
      <c r="A625" t="s">
        <v>603</v>
      </c>
      <c r="B625" t="s">
        <v>3543</v>
      </c>
      <c r="C625" t="s">
        <v>532</v>
      </c>
      <c r="D625" t="s">
        <v>3384</v>
      </c>
      <c r="E625" t="s">
        <v>534</v>
      </c>
      <c r="F625" t="s">
        <v>534</v>
      </c>
      <c r="G625" t="s">
        <v>535</v>
      </c>
      <c r="H625" s="1">
        <v>15000</v>
      </c>
      <c r="I625" s="1">
        <v>15000</v>
      </c>
      <c r="J625" t="s">
        <v>536</v>
      </c>
      <c r="L625" t="s">
        <v>536</v>
      </c>
      <c r="M625" t="s">
        <v>401</v>
      </c>
      <c r="N625" t="s">
        <v>537</v>
      </c>
      <c r="P625" s="1">
        <v>15000</v>
      </c>
      <c r="Q625" t="s">
        <v>905</v>
      </c>
      <c r="R625" t="s">
        <v>535</v>
      </c>
      <c r="S625" t="s">
        <v>539</v>
      </c>
      <c r="T625" s="2">
        <v>1</v>
      </c>
      <c r="U625" s="1">
        <v>15000</v>
      </c>
      <c r="V625" s="1">
        <v>15000</v>
      </c>
      <c r="X625" t="s">
        <v>616</v>
      </c>
      <c r="Z625" t="s">
        <v>541</v>
      </c>
      <c r="AA625" t="s">
        <v>542</v>
      </c>
      <c r="AB625" t="s">
        <v>543</v>
      </c>
      <c r="AC625" t="s">
        <v>608</v>
      </c>
      <c r="AE625" s="3">
        <v>1</v>
      </c>
      <c r="AG625" s="1">
        <v>15000</v>
      </c>
      <c r="AI625" s="1">
        <v>15000</v>
      </c>
      <c r="AJ625" s="1">
        <v>15000</v>
      </c>
      <c r="AM625" s="1">
        <v>15000</v>
      </c>
      <c r="AN625" t="s">
        <v>536</v>
      </c>
      <c r="AO625" t="s">
        <v>546</v>
      </c>
      <c r="AP625" t="s">
        <v>547</v>
      </c>
      <c r="AQ625" t="s">
        <v>548</v>
      </c>
      <c r="AS625" t="s">
        <v>401</v>
      </c>
      <c r="AX625" s="1">
        <v>15000</v>
      </c>
      <c r="AY625" t="s">
        <v>546</v>
      </c>
      <c r="AZ625" t="s">
        <v>549</v>
      </c>
      <c r="BA625" s="1">
        <v>15000</v>
      </c>
      <c r="BC625" t="s">
        <v>546</v>
      </c>
      <c r="BE625" t="s">
        <v>616</v>
      </c>
      <c r="BH625" s="1">
        <v>15000</v>
      </c>
      <c r="BI625" t="s">
        <v>550</v>
      </c>
      <c r="BJ625" t="s">
        <v>551</v>
      </c>
      <c r="BK625" t="s">
        <v>551</v>
      </c>
      <c r="BL625" t="s">
        <v>552</v>
      </c>
      <c r="BM625" t="s">
        <v>3384</v>
      </c>
      <c r="BN625" t="s">
        <v>3544</v>
      </c>
      <c r="BO625" t="s">
        <v>3545</v>
      </c>
      <c r="BR625" t="s">
        <v>546</v>
      </c>
      <c r="BS625" s="1">
        <v>15000</v>
      </c>
      <c r="BW625" t="s">
        <v>536</v>
      </c>
      <c r="BZ625" t="s">
        <v>535</v>
      </c>
      <c r="CA625" t="s">
        <v>546</v>
      </c>
      <c r="CB625" t="s">
        <v>3384</v>
      </c>
      <c r="CC625" t="s">
        <v>556</v>
      </c>
      <c r="CH625" t="s">
        <v>546</v>
      </c>
      <c r="CK625" t="s">
        <v>3546</v>
      </c>
      <c r="CN625" t="s">
        <v>535</v>
      </c>
      <c r="CO625" t="s">
        <v>539</v>
      </c>
      <c r="CT625" t="s">
        <v>909</v>
      </c>
      <c r="CW625" t="s">
        <v>546</v>
      </c>
      <c r="DD625" t="s">
        <v>561</v>
      </c>
    </row>
    <row r="626" ht="15" customHeight="1" spans="1:122">
      <c r="A626" t="s">
        <v>530</v>
      </c>
      <c r="B626" t="s">
        <v>3547</v>
      </c>
      <c r="C626" t="s">
        <v>532</v>
      </c>
      <c r="D626" t="s">
        <v>3384</v>
      </c>
      <c r="E626" t="s">
        <v>534</v>
      </c>
      <c r="F626" t="s">
        <v>534</v>
      </c>
      <c r="G626" t="s">
        <v>535</v>
      </c>
      <c r="H626" s="1">
        <v>11317.8</v>
      </c>
      <c r="I626" s="1">
        <v>11317.8</v>
      </c>
      <c r="J626" t="s">
        <v>536</v>
      </c>
      <c r="L626" t="s">
        <v>536</v>
      </c>
      <c r="M626" t="s">
        <v>380</v>
      </c>
      <c r="N626" t="s">
        <v>369</v>
      </c>
      <c r="P626" s="1">
        <v>11317.8</v>
      </c>
      <c r="Q626" t="s">
        <v>996</v>
      </c>
      <c r="R626" t="s">
        <v>535</v>
      </c>
      <c r="S626" t="s">
        <v>539</v>
      </c>
      <c r="T626" s="2">
        <v>1</v>
      </c>
      <c r="U626" s="1">
        <v>11317.8</v>
      </c>
      <c r="V626" s="1">
        <v>11317.8</v>
      </c>
      <c r="X626" t="s">
        <v>540</v>
      </c>
      <c r="Z626" t="s">
        <v>541</v>
      </c>
      <c r="AA626" t="s">
        <v>542</v>
      </c>
      <c r="AB626" t="s">
        <v>543</v>
      </c>
      <c r="AC626" t="s">
        <v>544</v>
      </c>
      <c r="AD626" t="s">
        <v>545</v>
      </c>
      <c r="AE626" s="3">
        <v>1</v>
      </c>
      <c r="AF626" t="s">
        <v>352</v>
      </c>
      <c r="AG626" s="1">
        <v>2787.2</v>
      </c>
      <c r="AI626" s="1">
        <v>11317.8</v>
      </c>
      <c r="AJ626" s="1">
        <v>2787.2</v>
      </c>
      <c r="AM626" s="1">
        <v>2787.2</v>
      </c>
      <c r="AN626" t="s">
        <v>536</v>
      </c>
      <c r="AO626" t="s">
        <v>546</v>
      </c>
      <c r="AP626" t="s">
        <v>547</v>
      </c>
      <c r="AQ626" t="s">
        <v>548</v>
      </c>
      <c r="AS626" t="s">
        <v>380</v>
      </c>
      <c r="AX626" s="1">
        <v>2787.2</v>
      </c>
      <c r="AY626" t="s">
        <v>546</v>
      </c>
      <c r="AZ626" t="s">
        <v>549</v>
      </c>
      <c r="BA626" s="1">
        <v>2787.2</v>
      </c>
      <c r="BC626" t="s">
        <v>546</v>
      </c>
      <c r="BD626" s="1">
        <v>2787.2</v>
      </c>
      <c r="BE626" t="s">
        <v>540</v>
      </c>
      <c r="BF626" s="1">
        <v>2787.2</v>
      </c>
      <c r="BH626" s="1">
        <v>2787.2</v>
      </c>
      <c r="BI626" t="s">
        <v>550</v>
      </c>
      <c r="BJ626" t="s">
        <v>551</v>
      </c>
      <c r="BK626" t="s">
        <v>551</v>
      </c>
      <c r="BL626" t="s">
        <v>552</v>
      </c>
      <c r="BM626" t="s">
        <v>3384</v>
      </c>
      <c r="BN626" t="s">
        <v>3548</v>
      </c>
      <c r="BO626" t="s">
        <v>3549</v>
      </c>
      <c r="BR626" t="s">
        <v>546</v>
      </c>
      <c r="BS626" s="1">
        <v>2787.2</v>
      </c>
      <c r="BW626" t="s">
        <v>536</v>
      </c>
      <c r="BX626" s="1">
        <v>2787.2</v>
      </c>
      <c r="BZ626" t="s">
        <v>535</v>
      </c>
      <c r="CA626" t="s">
        <v>546</v>
      </c>
      <c r="CB626" t="s">
        <v>3384</v>
      </c>
      <c r="CC626" t="s">
        <v>556</v>
      </c>
      <c r="CD626" t="s">
        <v>3318</v>
      </c>
      <c r="CE626" t="s">
        <v>3319</v>
      </c>
      <c r="CF626" t="s">
        <v>352</v>
      </c>
      <c r="CG626" s="4">
        <v>1</v>
      </c>
      <c r="CH626" t="s">
        <v>546</v>
      </c>
      <c r="CK626" t="s">
        <v>3550</v>
      </c>
      <c r="CL626" s="1">
        <v>2787.2</v>
      </c>
      <c r="CN626" t="s">
        <v>535</v>
      </c>
      <c r="CO626" t="s">
        <v>539</v>
      </c>
      <c r="CT626" t="s">
        <v>576</v>
      </c>
      <c r="CW626" t="s">
        <v>546</v>
      </c>
      <c r="DD626" t="s">
        <v>561</v>
      </c>
      <c r="DK626" t="s">
        <v>1119</v>
      </c>
      <c r="DL626" t="s">
        <v>3551</v>
      </c>
    </row>
    <row r="627" ht="15" customHeight="1" spans="1:122">
      <c r="AB627" t="s">
        <v>543</v>
      </c>
      <c r="AC627" t="s">
        <v>544</v>
      </c>
      <c r="AD627" t="s">
        <v>545</v>
      </c>
      <c r="AF627" t="s">
        <v>351</v>
      </c>
      <c r="AG627" s="1">
        <v>2787.2</v>
      </c>
      <c r="AJ627" s="1">
        <v>2787.2</v>
      </c>
      <c r="AM627" s="1">
        <v>2787.2</v>
      </c>
      <c r="AN627" t="s">
        <v>536</v>
      </c>
      <c r="AP627" t="s">
        <v>547</v>
      </c>
      <c r="AX627" s="1">
        <v>2787.2</v>
      </c>
      <c r="AZ627" t="s">
        <v>549</v>
      </c>
      <c r="BA627" s="1">
        <v>2787.2</v>
      </c>
      <c r="BC627" t="s">
        <v>546</v>
      </c>
      <c r="BD627" s="1">
        <v>2787.2</v>
      </c>
      <c r="BE627" t="s">
        <v>540</v>
      </c>
      <c r="BF627" s="1">
        <v>2787.2</v>
      </c>
      <c r="BH627" s="1">
        <v>2787.2</v>
      </c>
      <c r="BS627" s="1">
        <v>2787.2</v>
      </c>
      <c r="BX627" s="1">
        <v>2787.2</v>
      </c>
      <c r="CB627" t="s">
        <v>3384</v>
      </c>
      <c r="CC627" t="s">
        <v>556</v>
      </c>
      <c r="CD627" t="s">
        <v>3318</v>
      </c>
      <c r="CE627" t="s">
        <v>3319</v>
      </c>
      <c r="CF627" t="s">
        <v>351</v>
      </c>
      <c r="CG627" s="4">
        <v>1</v>
      </c>
      <c r="CL627" s="1">
        <v>2787.2</v>
      </c>
      <c r="DD627" t="s">
        <v>561</v>
      </c>
    </row>
    <row r="628" ht="15" customHeight="1" spans="1:122">
      <c r="AB628" t="s">
        <v>543</v>
      </c>
      <c r="AC628" t="s">
        <v>544</v>
      </c>
      <c r="AD628" t="s">
        <v>545</v>
      </c>
      <c r="AF628" t="s">
        <v>350</v>
      </c>
      <c r="AG628" s="1">
        <v>2481.7</v>
      </c>
      <c r="AJ628" s="1">
        <v>2481.7</v>
      </c>
      <c r="AM628" s="1">
        <v>2481.7</v>
      </c>
      <c r="AN628" t="s">
        <v>536</v>
      </c>
      <c r="AP628" t="s">
        <v>547</v>
      </c>
      <c r="AX628" s="1">
        <v>2481.7</v>
      </c>
      <c r="AZ628" t="s">
        <v>549</v>
      </c>
      <c r="BA628" s="1">
        <v>2481.7</v>
      </c>
      <c r="BC628" t="s">
        <v>546</v>
      </c>
      <c r="BD628" s="1">
        <v>2481.7</v>
      </c>
      <c r="BE628" t="s">
        <v>540</v>
      </c>
      <c r="BF628" s="1">
        <v>2481.7</v>
      </c>
      <c r="BH628" s="1">
        <v>2481.7</v>
      </c>
      <c r="BS628" s="1">
        <v>2481.7</v>
      </c>
      <c r="BX628" s="1">
        <v>2481.7</v>
      </c>
      <c r="CB628" t="s">
        <v>3384</v>
      </c>
      <c r="CC628" t="s">
        <v>556</v>
      </c>
      <c r="CD628" t="s">
        <v>622</v>
      </c>
      <c r="CE628" t="s">
        <v>623</v>
      </c>
      <c r="CF628" t="s">
        <v>350</v>
      </c>
      <c r="CG628" s="4">
        <v>1</v>
      </c>
      <c r="CL628" s="1">
        <v>2481.7</v>
      </c>
      <c r="DD628" t="s">
        <v>561</v>
      </c>
    </row>
    <row r="629" ht="15" customHeight="1" spans="1:122">
      <c r="AB629" t="s">
        <v>543</v>
      </c>
      <c r="AC629" t="s">
        <v>544</v>
      </c>
      <c r="AD629" t="s">
        <v>545</v>
      </c>
      <c r="AF629" t="s">
        <v>349</v>
      </c>
      <c r="AG629" s="1">
        <v>3261.7</v>
      </c>
      <c r="AJ629" s="1">
        <v>3261.7</v>
      </c>
      <c r="AM629" s="1">
        <v>3261.7</v>
      </c>
      <c r="AN629" t="s">
        <v>536</v>
      </c>
      <c r="AP629" t="s">
        <v>547</v>
      </c>
      <c r="AX629" s="1">
        <v>3261.7</v>
      </c>
      <c r="AZ629" t="s">
        <v>549</v>
      </c>
      <c r="BA629" s="1">
        <v>3261.7</v>
      </c>
      <c r="BC629" t="s">
        <v>546</v>
      </c>
      <c r="BD629" s="1">
        <v>3261.7</v>
      </c>
      <c r="BE629" t="s">
        <v>540</v>
      </c>
      <c r="BF629" s="1">
        <v>3261.7</v>
      </c>
      <c r="BH629" s="1">
        <v>3261.7</v>
      </c>
      <c r="BS629" s="1">
        <v>3261.7</v>
      </c>
      <c r="BX629" s="1">
        <v>3261.7</v>
      </c>
      <c r="CB629" t="s">
        <v>3384</v>
      </c>
      <c r="CC629" t="s">
        <v>556</v>
      </c>
      <c r="CD629" t="s">
        <v>3552</v>
      </c>
      <c r="CE629" t="s">
        <v>3553</v>
      </c>
      <c r="CF629" t="s">
        <v>349</v>
      </c>
      <c r="CG629" s="4">
        <v>1</v>
      </c>
      <c r="CL629" s="1">
        <v>3261.7</v>
      </c>
      <c r="DD629" t="s">
        <v>561</v>
      </c>
    </row>
    <row r="630" ht="15" customHeight="1" spans="1:122">
      <c r="A630" t="s">
        <v>530</v>
      </c>
      <c r="B630" t="s">
        <v>3554</v>
      </c>
      <c r="C630" t="s">
        <v>532</v>
      </c>
      <c r="D630" t="s">
        <v>3534</v>
      </c>
      <c r="E630" t="s">
        <v>534</v>
      </c>
      <c r="F630" t="s">
        <v>534</v>
      </c>
      <c r="G630" t="s">
        <v>535</v>
      </c>
      <c r="H630" s="1">
        <v>5089.8</v>
      </c>
      <c r="I630" s="1">
        <v>5059.26</v>
      </c>
      <c r="J630" t="s">
        <v>536</v>
      </c>
      <c r="L630" t="s">
        <v>536</v>
      </c>
      <c r="M630" t="s">
        <v>404</v>
      </c>
      <c r="N630" t="s">
        <v>537</v>
      </c>
      <c r="P630" s="1">
        <v>5089.8</v>
      </c>
      <c r="Q630" t="s">
        <v>642</v>
      </c>
      <c r="R630" t="s">
        <v>535</v>
      </c>
      <c r="S630" t="s">
        <v>539</v>
      </c>
      <c r="T630" s="2">
        <v>1</v>
      </c>
      <c r="U630" s="1">
        <v>5089.8</v>
      </c>
      <c r="V630" s="1">
        <v>5059.26</v>
      </c>
      <c r="X630" t="s">
        <v>540</v>
      </c>
      <c r="Z630" t="s">
        <v>541</v>
      </c>
      <c r="AA630" t="s">
        <v>542</v>
      </c>
      <c r="AB630" t="s">
        <v>543</v>
      </c>
      <c r="AC630" t="s">
        <v>544</v>
      </c>
      <c r="AD630" t="s">
        <v>545</v>
      </c>
      <c r="AE630" s="3">
        <v>1</v>
      </c>
      <c r="AF630" t="s">
        <v>15</v>
      </c>
      <c r="AG630" s="1">
        <v>5089.8</v>
      </c>
      <c r="AI630" s="1">
        <v>5089.8</v>
      </c>
      <c r="AJ630" s="1">
        <v>5089.8</v>
      </c>
      <c r="AK630" s="1">
        <v>30.54</v>
      </c>
      <c r="AM630" s="1">
        <v>5059.26</v>
      </c>
      <c r="AN630" t="s">
        <v>536</v>
      </c>
      <c r="AO630" t="s">
        <v>546</v>
      </c>
      <c r="AP630" t="s">
        <v>547</v>
      </c>
      <c r="AQ630" t="s">
        <v>548</v>
      </c>
      <c r="AS630" t="s">
        <v>404</v>
      </c>
      <c r="AX630" s="1">
        <v>5089.8</v>
      </c>
      <c r="AY630" t="s">
        <v>546</v>
      </c>
      <c r="AZ630" t="s">
        <v>549</v>
      </c>
      <c r="BA630" s="1">
        <v>5089.8</v>
      </c>
      <c r="BC630" t="s">
        <v>546</v>
      </c>
      <c r="BD630" s="1">
        <v>5089.8</v>
      </c>
      <c r="BE630" t="s">
        <v>540</v>
      </c>
      <c r="BF630" s="1">
        <v>5089.8</v>
      </c>
      <c r="BG630" s="1">
        <v>30.54</v>
      </c>
      <c r="BH630" s="1">
        <v>5059.26</v>
      </c>
      <c r="BI630" t="s">
        <v>550</v>
      </c>
      <c r="BJ630" t="s">
        <v>642</v>
      </c>
      <c r="BK630" t="s">
        <v>552</v>
      </c>
      <c r="BL630" t="s">
        <v>552</v>
      </c>
      <c r="BM630" t="s">
        <v>3384</v>
      </c>
      <c r="BN630" t="s">
        <v>3555</v>
      </c>
      <c r="BO630" t="s">
        <v>3556</v>
      </c>
      <c r="BR630" t="s">
        <v>546</v>
      </c>
      <c r="BS630" s="1">
        <v>5089.8</v>
      </c>
      <c r="BW630" t="s">
        <v>536</v>
      </c>
      <c r="BX630" s="1">
        <v>5089.8</v>
      </c>
      <c r="BZ630" t="s">
        <v>535</v>
      </c>
      <c r="CA630" t="s">
        <v>546</v>
      </c>
      <c r="CB630" t="s">
        <v>3534</v>
      </c>
      <c r="CC630" t="s">
        <v>556</v>
      </c>
      <c r="CD630" t="s">
        <v>864</v>
      </c>
      <c r="CE630" t="s">
        <v>865</v>
      </c>
      <c r="CF630" t="s">
        <v>15</v>
      </c>
      <c r="CG630" s="4">
        <v>1</v>
      </c>
      <c r="CH630" t="s">
        <v>546</v>
      </c>
      <c r="CK630" t="s">
        <v>3557</v>
      </c>
      <c r="CL630" s="1">
        <v>5089.8</v>
      </c>
      <c r="CN630" t="s">
        <v>535</v>
      </c>
      <c r="CO630" t="s">
        <v>539</v>
      </c>
      <c r="CT630" t="s">
        <v>651</v>
      </c>
      <c r="CW630" t="s">
        <v>546</v>
      </c>
      <c r="DD630" t="s">
        <v>561</v>
      </c>
      <c r="DK630" t="s">
        <v>3558</v>
      </c>
      <c r="DL630" t="s">
        <v>3559</v>
      </c>
    </row>
    <row r="631" ht="15" customHeight="1" spans="1:122">
      <c r="A631" t="s">
        <v>530</v>
      </c>
      <c r="B631" t="s">
        <v>3560</v>
      </c>
      <c r="C631" t="s">
        <v>532</v>
      </c>
      <c r="D631" t="s">
        <v>3534</v>
      </c>
      <c r="E631" t="s">
        <v>534</v>
      </c>
      <c r="F631" t="s">
        <v>534</v>
      </c>
      <c r="G631" t="s">
        <v>535</v>
      </c>
      <c r="H631" s="1">
        <v>898.2</v>
      </c>
      <c r="I631" s="1">
        <v>898.2</v>
      </c>
      <c r="J631" t="s">
        <v>536</v>
      </c>
      <c r="L631" t="s">
        <v>536</v>
      </c>
      <c r="M631" t="s">
        <v>404</v>
      </c>
      <c r="N631" t="s">
        <v>537</v>
      </c>
      <c r="P631" s="1">
        <v>898.2</v>
      </c>
      <c r="Q631" t="s">
        <v>642</v>
      </c>
      <c r="R631" t="s">
        <v>535</v>
      </c>
      <c r="S631" t="s">
        <v>539</v>
      </c>
      <c r="T631" s="2">
        <v>1</v>
      </c>
      <c r="U631" s="1">
        <v>898.2</v>
      </c>
      <c r="V631" s="1">
        <v>898.2</v>
      </c>
      <c r="X631" t="s">
        <v>540</v>
      </c>
      <c r="Z631" t="s">
        <v>541</v>
      </c>
      <c r="AA631" t="s">
        <v>542</v>
      </c>
      <c r="AB631" t="s">
        <v>543</v>
      </c>
      <c r="AC631" t="s">
        <v>544</v>
      </c>
      <c r="AD631" t="s">
        <v>545</v>
      </c>
      <c r="AE631" s="3">
        <v>1</v>
      </c>
      <c r="AF631" t="s">
        <v>15</v>
      </c>
      <c r="AG631" s="1">
        <v>898.2</v>
      </c>
      <c r="AI631" s="1">
        <v>898.2</v>
      </c>
      <c r="AJ631" s="1">
        <v>898.2</v>
      </c>
      <c r="AM631" s="1">
        <v>898.2</v>
      </c>
      <c r="AN631" t="s">
        <v>565</v>
      </c>
      <c r="AO631" t="s">
        <v>546</v>
      </c>
      <c r="AP631" t="s">
        <v>565</v>
      </c>
      <c r="AQ631" t="s">
        <v>548</v>
      </c>
      <c r="AS631" t="s">
        <v>404</v>
      </c>
      <c r="AX631" s="1">
        <v>898.2</v>
      </c>
      <c r="AY631" t="s">
        <v>546</v>
      </c>
      <c r="AZ631" t="s">
        <v>566</v>
      </c>
      <c r="BA631" s="1">
        <v>898.2</v>
      </c>
      <c r="BC631" t="s">
        <v>546</v>
      </c>
      <c r="BD631" s="1">
        <v>898.2</v>
      </c>
      <c r="BE631" t="s">
        <v>540</v>
      </c>
      <c r="BF631" s="1">
        <v>898.2</v>
      </c>
      <c r="BH631" s="1">
        <v>898.2</v>
      </c>
      <c r="BI631" t="s">
        <v>550</v>
      </c>
      <c r="BJ631" t="s">
        <v>642</v>
      </c>
      <c r="BK631" t="s">
        <v>642</v>
      </c>
      <c r="BL631" t="s">
        <v>552</v>
      </c>
      <c r="BM631" t="s">
        <v>3384</v>
      </c>
      <c r="BN631" t="s">
        <v>3561</v>
      </c>
      <c r="BO631" t="s">
        <v>3562</v>
      </c>
      <c r="BR631" t="s">
        <v>546</v>
      </c>
      <c r="BS631" s="1">
        <v>898.2</v>
      </c>
      <c r="BW631" t="s">
        <v>536</v>
      </c>
      <c r="BX631" s="1">
        <v>898.2</v>
      </c>
      <c r="BZ631" t="s">
        <v>535</v>
      </c>
      <c r="CA631" t="s">
        <v>546</v>
      </c>
      <c r="CB631" t="s">
        <v>3534</v>
      </c>
      <c r="CC631" t="s">
        <v>556</v>
      </c>
      <c r="CD631" t="s">
        <v>864</v>
      </c>
      <c r="CE631" t="s">
        <v>865</v>
      </c>
      <c r="CF631" t="s">
        <v>15</v>
      </c>
      <c r="CG631" s="4">
        <v>1</v>
      </c>
      <c r="CH631" t="s">
        <v>546</v>
      </c>
      <c r="CK631" t="s">
        <v>3557</v>
      </c>
      <c r="CL631" s="1">
        <v>898.2</v>
      </c>
      <c r="CN631" t="s">
        <v>535</v>
      </c>
      <c r="CO631" t="s">
        <v>539</v>
      </c>
      <c r="CT631" t="s">
        <v>651</v>
      </c>
      <c r="CW631" t="s">
        <v>546</v>
      </c>
      <c r="DD631" t="s">
        <v>561</v>
      </c>
      <c r="DK631" t="s">
        <v>3558</v>
      </c>
      <c r="DL631" t="s">
        <v>3559</v>
      </c>
    </row>
    <row r="632" ht="15" customHeight="1" spans="1:122">
      <c r="A632" t="s">
        <v>530</v>
      </c>
      <c r="B632" t="s">
        <v>3563</v>
      </c>
      <c r="C632" t="s">
        <v>532</v>
      </c>
      <c r="D632" t="s">
        <v>3534</v>
      </c>
      <c r="E632" t="s">
        <v>534</v>
      </c>
      <c r="F632" t="s">
        <v>534</v>
      </c>
      <c r="G632" t="s">
        <v>535</v>
      </c>
      <c r="H632" s="1">
        <v>2033.6</v>
      </c>
      <c r="I632" s="1">
        <v>2021.4</v>
      </c>
      <c r="J632" t="s">
        <v>536</v>
      </c>
      <c r="L632" t="s">
        <v>536</v>
      </c>
      <c r="M632" t="s">
        <v>404</v>
      </c>
      <c r="N632" t="s">
        <v>537</v>
      </c>
      <c r="P632" s="1">
        <v>2033.6</v>
      </c>
      <c r="Q632" t="s">
        <v>642</v>
      </c>
      <c r="R632" t="s">
        <v>535</v>
      </c>
      <c r="S632" t="s">
        <v>539</v>
      </c>
      <c r="T632" s="2">
        <v>1</v>
      </c>
      <c r="U632" s="1">
        <v>2033.6</v>
      </c>
      <c r="V632" s="1">
        <v>2021.4</v>
      </c>
      <c r="X632" t="s">
        <v>540</v>
      </c>
      <c r="Z632" t="s">
        <v>541</v>
      </c>
      <c r="AA632" t="s">
        <v>542</v>
      </c>
      <c r="AB632" t="s">
        <v>543</v>
      </c>
      <c r="AC632" t="s">
        <v>544</v>
      </c>
      <c r="AD632" t="s">
        <v>545</v>
      </c>
      <c r="AE632" s="3">
        <v>1</v>
      </c>
      <c r="AF632" t="s">
        <v>9</v>
      </c>
      <c r="AG632" s="1">
        <v>2033.6</v>
      </c>
      <c r="AI632" s="1">
        <v>2033.6</v>
      </c>
      <c r="AJ632" s="1">
        <v>2033.6</v>
      </c>
      <c r="AK632" s="1">
        <v>12.2</v>
      </c>
      <c r="AM632" s="1">
        <v>2021.4</v>
      </c>
      <c r="AN632" t="s">
        <v>536</v>
      </c>
      <c r="AO632" t="s">
        <v>546</v>
      </c>
      <c r="AP632" t="s">
        <v>547</v>
      </c>
      <c r="AQ632" t="s">
        <v>548</v>
      </c>
      <c r="AS632" t="s">
        <v>404</v>
      </c>
      <c r="AX632" s="1">
        <v>2033.6</v>
      </c>
      <c r="AY632" t="s">
        <v>546</v>
      </c>
      <c r="AZ632" t="s">
        <v>549</v>
      </c>
      <c r="BA632" s="1">
        <v>2033.6</v>
      </c>
      <c r="BC632" t="s">
        <v>546</v>
      </c>
      <c r="BD632" s="1">
        <v>2033.6</v>
      </c>
      <c r="BE632" t="s">
        <v>540</v>
      </c>
      <c r="BF632" s="1">
        <v>2033.6</v>
      </c>
      <c r="BG632" s="1">
        <v>12.2</v>
      </c>
      <c r="BH632" s="1">
        <v>2021.4</v>
      </c>
      <c r="BI632" t="s">
        <v>550</v>
      </c>
      <c r="BJ632" t="s">
        <v>642</v>
      </c>
      <c r="BK632" t="s">
        <v>552</v>
      </c>
      <c r="BL632" t="s">
        <v>552</v>
      </c>
      <c r="BM632" t="s">
        <v>3384</v>
      </c>
      <c r="BN632" t="s">
        <v>3564</v>
      </c>
      <c r="BO632" t="s">
        <v>3565</v>
      </c>
      <c r="BR632" t="s">
        <v>546</v>
      </c>
      <c r="BS632" s="1">
        <v>2033.6</v>
      </c>
      <c r="BW632" t="s">
        <v>536</v>
      </c>
      <c r="BX632" s="1">
        <v>2033.6</v>
      </c>
      <c r="BZ632" t="s">
        <v>535</v>
      </c>
      <c r="CA632" t="s">
        <v>546</v>
      </c>
      <c r="CB632" t="s">
        <v>3534</v>
      </c>
      <c r="CC632" t="s">
        <v>556</v>
      </c>
      <c r="CD632" t="s">
        <v>1935</v>
      </c>
      <c r="CE632" t="s">
        <v>1936</v>
      </c>
      <c r="CF632" t="s">
        <v>9</v>
      </c>
      <c r="CG632" s="4">
        <v>1</v>
      </c>
      <c r="CH632" t="s">
        <v>546</v>
      </c>
      <c r="CK632" t="s">
        <v>3566</v>
      </c>
      <c r="CL632" s="1">
        <v>2033.6</v>
      </c>
      <c r="CN632" t="s">
        <v>535</v>
      </c>
      <c r="CO632" t="s">
        <v>539</v>
      </c>
      <c r="CT632" t="s">
        <v>651</v>
      </c>
      <c r="CW632" t="s">
        <v>546</v>
      </c>
      <c r="DD632" t="s">
        <v>561</v>
      </c>
      <c r="DK632" t="s">
        <v>3567</v>
      </c>
      <c r="DL632" t="s">
        <v>3568</v>
      </c>
    </row>
    <row r="633" ht="15" customHeight="1" spans="1:122">
      <c r="A633" t="s">
        <v>530</v>
      </c>
      <c r="B633" t="s">
        <v>3569</v>
      </c>
      <c r="C633" t="s">
        <v>532</v>
      </c>
      <c r="D633" t="s">
        <v>3534</v>
      </c>
      <c r="E633" t="s">
        <v>534</v>
      </c>
      <c r="F633" t="s">
        <v>534</v>
      </c>
      <c r="G633" t="s">
        <v>535</v>
      </c>
      <c r="H633" s="1">
        <v>508.4</v>
      </c>
      <c r="I633" s="1">
        <v>508.4</v>
      </c>
      <c r="J633" t="s">
        <v>536</v>
      </c>
      <c r="L633" t="s">
        <v>536</v>
      </c>
      <c r="M633" t="s">
        <v>404</v>
      </c>
      <c r="N633" t="s">
        <v>537</v>
      </c>
      <c r="P633" s="1">
        <v>508.4</v>
      </c>
      <c r="Q633" t="s">
        <v>642</v>
      </c>
      <c r="R633" t="s">
        <v>535</v>
      </c>
      <c r="S633" t="s">
        <v>539</v>
      </c>
      <c r="T633" s="2">
        <v>1</v>
      </c>
      <c r="U633" s="1">
        <v>508.4</v>
      </c>
      <c r="V633" s="1">
        <v>508.4</v>
      </c>
      <c r="X633" t="s">
        <v>540</v>
      </c>
      <c r="Z633" t="s">
        <v>541</v>
      </c>
      <c r="AA633" t="s">
        <v>542</v>
      </c>
      <c r="AB633" t="s">
        <v>543</v>
      </c>
      <c r="AC633" t="s">
        <v>544</v>
      </c>
      <c r="AD633" t="s">
        <v>545</v>
      </c>
      <c r="AE633" s="3">
        <v>1</v>
      </c>
      <c r="AF633" t="s">
        <v>9</v>
      </c>
      <c r="AG633" s="1">
        <v>508.4</v>
      </c>
      <c r="AI633" s="1">
        <v>508.4</v>
      </c>
      <c r="AJ633" s="1">
        <v>508.4</v>
      </c>
      <c r="AM633" s="1">
        <v>508.4</v>
      </c>
      <c r="AN633" t="s">
        <v>565</v>
      </c>
      <c r="AO633" t="s">
        <v>546</v>
      </c>
      <c r="AP633" t="s">
        <v>565</v>
      </c>
      <c r="AQ633" t="s">
        <v>548</v>
      </c>
      <c r="AS633" t="s">
        <v>404</v>
      </c>
      <c r="AX633" s="1">
        <v>508.4</v>
      </c>
      <c r="AY633" t="s">
        <v>546</v>
      </c>
      <c r="AZ633" t="s">
        <v>566</v>
      </c>
      <c r="BA633" s="1">
        <v>508.4</v>
      </c>
      <c r="BC633" t="s">
        <v>546</v>
      </c>
      <c r="BD633" s="1">
        <v>508.4</v>
      </c>
      <c r="BE633" t="s">
        <v>540</v>
      </c>
      <c r="BF633" s="1">
        <v>508.4</v>
      </c>
      <c r="BH633" s="1">
        <v>508.4</v>
      </c>
      <c r="BI633" t="s">
        <v>550</v>
      </c>
      <c r="BJ633" t="s">
        <v>642</v>
      </c>
      <c r="BK633" t="s">
        <v>642</v>
      </c>
      <c r="BL633" t="s">
        <v>552</v>
      </c>
      <c r="BM633" t="s">
        <v>3384</v>
      </c>
      <c r="BN633" t="s">
        <v>3570</v>
      </c>
      <c r="BO633" t="s">
        <v>3571</v>
      </c>
      <c r="BR633" t="s">
        <v>546</v>
      </c>
      <c r="BS633" s="1">
        <v>508.4</v>
      </c>
      <c r="BW633" t="s">
        <v>536</v>
      </c>
      <c r="BX633" s="1">
        <v>508.4</v>
      </c>
      <c r="BZ633" t="s">
        <v>535</v>
      </c>
      <c r="CA633" t="s">
        <v>546</v>
      </c>
      <c r="CB633" t="s">
        <v>3534</v>
      </c>
      <c r="CC633" t="s">
        <v>556</v>
      </c>
      <c r="CD633" t="s">
        <v>1935</v>
      </c>
      <c r="CE633" t="s">
        <v>1936</v>
      </c>
      <c r="CF633" t="s">
        <v>9</v>
      </c>
      <c r="CG633" s="4">
        <v>1</v>
      </c>
      <c r="CH633" t="s">
        <v>546</v>
      </c>
      <c r="CK633" t="s">
        <v>3566</v>
      </c>
      <c r="CL633" s="1">
        <v>508.4</v>
      </c>
      <c r="CN633" t="s">
        <v>535</v>
      </c>
      <c r="CO633" t="s">
        <v>539</v>
      </c>
      <c r="CT633" t="s">
        <v>651</v>
      </c>
      <c r="CW633" t="s">
        <v>546</v>
      </c>
      <c r="DD633" t="s">
        <v>561</v>
      </c>
      <c r="DK633" t="s">
        <v>3567</v>
      </c>
      <c r="DL633" t="s">
        <v>3568</v>
      </c>
    </row>
    <row r="634" ht="15" customHeight="1" spans="1:122">
      <c r="A634" t="s">
        <v>530</v>
      </c>
      <c r="B634" t="s">
        <v>3572</v>
      </c>
      <c r="C634" t="s">
        <v>532</v>
      </c>
      <c r="D634" t="s">
        <v>3384</v>
      </c>
      <c r="E634" t="s">
        <v>534</v>
      </c>
      <c r="F634" t="s">
        <v>534</v>
      </c>
      <c r="G634" t="s">
        <v>535</v>
      </c>
      <c r="H634" s="1">
        <v>23400</v>
      </c>
      <c r="I634" s="1">
        <v>23400</v>
      </c>
      <c r="J634" t="s">
        <v>536</v>
      </c>
      <c r="L634" t="s">
        <v>536</v>
      </c>
      <c r="M634" t="s">
        <v>380</v>
      </c>
      <c r="N634" t="s">
        <v>369</v>
      </c>
      <c r="P634" s="1">
        <v>23400</v>
      </c>
      <c r="Q634" t="s">
        <v>996</v>
      </c>
      <c r="R634" t="s">
        <v>535</v>
      </c>
      <c r="S634" t="s">
        <v>539</v>
      </c>
      <c r="T634" s="2">
        <v>1</v>
      </c>
      <c r="U634" s="1">
        <v>23400</v>
      </c>
      <c r="V634" s="1">
        <v>23400</v>
      </c>
      <c r="X634" t="s">
        <v>540</v>
      </c>
      <c r="Z634" t="s">
        <v>541</v>
      </c>
      <c r="AA634" t="s">
        <v>542</v>
      </c>
      <c r="AB634" t="s">
        <v>543</v>
      </c>
      <c r="AC634" t="s">
        <v>544</v>
      </c>
      <c r="AD634" t="s">
        <v>545</v>
      </c>
      <c r="AE634" s="3">
        <v>1</v>
      </c>
      <c r="AF634" t="s">
        <v>348</v>
      </c>
      <c r="AG634" s="1">
        <v>23400</v>
      </c>
      <c r="AI634" s="1">
        <v>23400</v>
      </c>
      <c r="AJ634" s="1">
        <v>23400</v>
      </c>
      <c r="AM634" s="1">
        <v>23400</v>
      </c>
      <c r="AN634" t="s">
        <v>536</v>
      </c>
      <c r="AO634" t="s">
        <v>546</v>
      </c>
      <c r="AP634" t="s">
        <v>547</v>
      </c>
      <c r="AQ634" t="s">
        <v>548</v>
      </c>
      <c r="AS634" t="s">
        <v>380</v>
      </c>
      <c r="AX634" s="1">
        <v>23400</v>
      </c>
      <c r="AY634" t="s">
        <v>546</v>
      </c>
      <c r="AZ634" t="s">
        <v>549</v>
      </c>
      <c r="BA634" s="1">
        <v>23400</v>
      </c>
      <c r="BC634" t="s">
        <v>546</v>
      </c>
      <c r="BD634" s="1">
        <v>23400</v>
      </c>
      <c r="BE634" t="s">
        <v>540</v>
      </c>
      <c r="BF634" s="1">
        <v>23400</v>
      </c>
      <c r="BH634" s="1">
        <v>23400</v>
      </c>
      <c r="BI634" t="s">
        <v>550</v>
      </c>
      <c r="BJ634" t="s">
        <v>551</v>
      </c>
      <c r="BK634" t="s">
        <v>551</v>
      </c>
      <c r="BL634" t="s">
        <v>552</v>
      </c>
      <c r="BM634" t="s">
        <v>3384</v>
      </c>
      <c r="BN634" t="s">
        <v>3573</v>
      </c>
      <c r="BO634" t="s">
        <v>3574</v>
      </c>
      <c r="BR634" t="s">
        <v>546</v>
      </c>
      <c r="BS634" s="1">
        <v>23400</v>
      </c>
      <c r="BW634" t="s">
        <v>536</v>
      </c>
      <c r="BX634" s="1">
        <v>23400</v>
      </c>
      <c r="BZ634" t="s">
        <v>535</v>
      </c>
      <c r="CA634" t="s">
        <v>546</v>
      </c>
      <c r="CB634" t="s">
        <v>3384</v>
      </c>
      <c r="CC634" t="s">
        <v>556</v>
      </c>
      <c r="CD634" t="s">
        <v>3575</v>
      </c>
      <c r="CE634" t="s">
        <v>3576</v>
      </c>
      <c r="CF634" t="s">
        <v>348</v>
      </c>
      <c r="CG634" s="4">
        <v>1</v>
      </c>
      <c r="CH634" t="s">
        <v>546</v>
      </c>
      <c r="CK634" t="s">
        <v>3577</v>
      </c>
      <c r="CL634" s="1">
        <v>23400</v>
      </c>
      <c r="CN634" t="s">
        <v>535</v>
      </c>
      <c r="CO634" t="s">
        <v>539</v>
      </c>
      <c r="CT634" t="s">
        <v>576</v>
      </c>
      <c r="CW634" t="s">
        <v>546</v>
      </c>
      <c r="DD634" t="s">
        <v>561</v>
      </c>
      <c r="DK634" t="s">
        <v>3578</v>
      </c>
      <c r="DL634" t="s">
        <v>3579</v>
      </c>
    </row>
    <row r="635" ht="15" customHeight="1" spans="1:122">
      <c r="A635" t="s">
        <v>603</v>
      </c>
      <c r="B635" t="s">
        <v>3580</v>
      </c>
      <c r="C635" t="s">
        <v>752</v>
      </c>
      <c r="D635" t="s">
        <v>3384</v>
      </c>
      <c r="E635" t="s">
        <v>534</v>
      </c>
      <c r="F635" t="s">
        <v>534</v>
      </c>
      <c r="G635" t="s">
        <v>535</v>
      </c>
      <c r="H635" s="1">
        <v>150000</v>
      </c>
      <c r="I635" s="1">
        <v>150000</v>
      </c>
      <c r="J635" t="s">
        <v>536</v>
      </c>
      <c r="L635" t="s">
        <v>536</v>
      </c>
      <c r="M635" t="s">
        <v>390</v>
      </c>
      <c r="N635" t="s">
        <v>753</v>
      </c>
      <c r="P635" s="1">
        <v>150000</v>
      </c>
      <c r="Q635" t="s">
        <v>3581</v>
      </c>
      <c r="R635" t="s">
        <v>535</v>
      </c>
      <c r="S635" t="s">
        <v>539</v>
      </c>
      <c r="T635" s="2">
        <v>1</v>
      </c>
      <c r="U635" s="1">
        <v>150000</v>
      </c>
      <c r="V635" s="1">
        <v>150000</v>
      </c>
      <c r="X635" t="s">
        <v>616</v>
      </c>
      <c r="Z635" t="s">
        <v>541</v>
      </c>
      <c r="AA635" t="s">
        <v>542</v>
      </c>
      <c r="AB635" t="s">
        <v>2854</v>
      </c>
      <c r="AC635" t="s">
        <v>608</v>
      </c>
      <c r="AE635" s="3">
        <v>1</v>
      </c>
      <c r="AG635" s="1">
        <v>150000</v>
      </c>
      <c r="AI635" s="1">
        <v>150000</v>
      </c>
      <c r="AJ635" s="1">
        <v>150000</v>
      </c>
      <c r="AM635" s="1">
        <v>150000</v>
      </c>
      <c r="AO635" t="s">
        <v>546</v>
      </c>
      <c r="AQ635" t="s">
        <v>548</v>
      </c>
      <c r="AS635" t="s">
        <v>390</v>
      </c>
      <c r="AX635" s="1">
        <v>150000</v>
      </c>
      <c r="AY635" t="s">
        <v>546</v>
      </c>
      <c r="BA635" s="1">
        <v>150000</v>
      </c>
      <c r="BB635" t="s">
        <v>3582</v>
      </c>
      <c r="BC635" t="s">
        <v>546</v>
      </c>
      <c r="BE635" t="s">
        <v>616</v>
      </c>
      <c r="BH635" s="1">
        <v>150000</v>
      </c>
      <c r="BI635" t="s">
        <v>550</v>
      </c>
      <c r="BJ635" t="s">
        <v>552</v>
      </c>
      <c r="BK635" t="s">
        <v>610</v>
      </c>
      <c r="BL635" t="s">
        <v>552</v>
      </c>
      <c r="BM635" t="s">
        <v>3384</v>
      </c>
      <c r="BN635" t="s">
        <v>3583</v>
      </c>
      <c r="BO635" t="s">
        <v>3584</v>
      </c>
      <c r="BR635" t="s">
        <v>546</v>
      </c>
      <c r="BS635" s="1">
        <v>150000</v>
      </c>
      <c r="BW635" t="s">
        <v>536</v>
      </c>
      <c r="BZ635" t="s">
        <v>535</v>
      </c>
      <c r="CA635" t="s">
        <v>546</v>
      </c>
      <c r="CB635" t="s">
        <v>3384</v>
      </c>
      <c r="CC635" t="s">
        <v>556</v>
      </c>
      <c r="CH635" t="s">
        <v>546</v>
      </c>
      <c r="CK635" t="s">
        <v>3585</v>
      </c>
      <c r="CN635" t="s">
        <v>535</v>
      </c>
      <c r="CO635" t="s">
        <v>539</v>
      </c>
      <c r="CT635" t="s">
        <v>760</v>
      </c>
      <c r="CW635" t="s">
        <v>546</v>
      </c>
      <c r="DR635" t="s">
        <v>3586</v>
      </c>
    </row>
    <row r="636" ht="15" customHeight="1" spans="1:122">
      <c r="A636" t="s">
        <v>530</v>
      </c>
      <c r="B636" t="s">
        <v>3587</v>
      </c>
      <c r="C636" t="s">
        <v>532</v>
      </c>
      <c r="D636" t="s">
        <v>3384</v>
      </c>
      <c r="E636" t="s">
        <v>534</v>
      </c>
      <c r="F636" t="s">
        <v>534</v>
      </c>
      <c r="G636" t="s">
        <v>535</v>
      </c>
      <c r="H636" s="1">
        <v>8006</v>
      </c>
      <c r="I636" s="1">
        <v>7988.79</v>
      </c>
      <c r="J636" t="s">
        <v>536</v>
      </c>
      <c r="L636" t="s">
        <v>536</v>
      </c>
      <c r="M636" t="s">
        <v>376</v>
      </c>
      <c r="N636" t="s">
        <v>537</v>
      </c>
      <c r="P636" s="1">
        <v>8006</v>
      </c>
      <c r="Q636" t="s">
        <v>1105</v>
      </c>
      <c r="R636" t="s">
        <v>535</v>
      </c>
      <c r="S636" t="s">
        <v>539</v>
      </c>
      <c r="T636" s="2">
        <v>1</v>
      </c>
      <c r="U636" s="1">
        <v>8006</v>
      </c>
      <c r="V636" s="1">
        <v>7988.79</v>
      </c>
      <c r="X636" t="s">
        <v>540</v>
      </c>
      <c r="Z636" t="s">
        <v>541</v>
      </c>
      <c r="AA636" t="s">
        <v>542</v>
      </c>
      <c r="AB636" t="s">
        <v>659</v>
      </c>
      <c r="AC636" t="s">
        <v>544</v>
      </c>
      <c r="AD636" t="s">
        <v>545</v>
      </c>
      <c r="AE636" s="3">
        <v>1</v>
      </c>
      <c r="AF636" t="s">
        <v>262</v>
      </c>
      <c r="AG636" s="1">
        <v>4003</v>
      </c>
      <c r="AI636" s="1">
        <v>8006</v>
      </c>
      <c r="AJ636" s="1">
        <v>4003</v>
      </c>
      <c r="AK636" s="1">
        <v>8.6</v>
      </c>
      <c r="AM636" s="1">
        <v>3994.4</v>
      </c>
      <c r="AN636" t="s">
        <v>536</v>
      </c>
      <c r="AO636" t="s">
        <v>546</v>
      </c>
      <c r="AP636" t="s">
        <v>547</v>
      </c>
      <c r="AQ636" t="s">
        <v>548</v>
      </c>
      <c r="AS636" t="s">
        <v>376</v>
      </c>
      <c r="AX636" s="1">
        <v>4003</v>
      </c>
      <c r="AY636" t="s">
        <v>546</v>
      </c>
      <c r="AZ636" t="s">
        <v>549</v>
      </c>
      <c r="BA636" s="1">
        <v>4003</v>
      </c>
      <c r="BC636" t="s">
        <v>546</v>
      </c>
      <c r="BD636" s="1">
        <v>4003</v>
      </c>
      <c r="BE636" t="s">
        <v>540</v>
      </c>
      <c r="BF636" s="1">
        <v>4003</v>
      </c>
      <c r="BG636" s="1">
        <v>8.6</v>
      </c>
      <c r="BH636" s="1">
        <v>3994.4</v>
      </c>
      <c r="BI636" t="s">
        <v>550</v>
      </c>
      <c r="BJ636" t="s">
        <v>551</v>
      </c>
      <c r="BK636" t="s">
        <v>552</v>
      </c>
      <c r="BL636" t="s">
        <v>552</v>
      </c>
      <c r="BM636" t="s">
        <v>3384</v>
      </c>
      <c r="BN636" t="s">
        <v>3588</v>
      </c>
      <c r="BO636" t="s">
        <v>3589</v>
      </c>
      <c r="BR636" t="s">
        <v>546</v>
      </c>
      <c r="BS636" s="1">
        <v>4003</v>
      </c>
      <c r="BW636" t="s">
        <v>536</v>
      </c>
      <c r="BX636" s="1">
        <v>4003</v>
      </c>
      <c r="BZ636" t="s">
        <v>535</v>
      </c>
      <c r="CA636" t="s">
        <v>546</v>
      </c>
      <c r="CB636" t="s">
        <v>3384</v>
      </c>
      <c r="CC636" t="s">
        <v>556</v>
      </c>
      <c r="CD636" t="s">
        <v>648</v>
      </c>
      <c r="CE636" t="s">
        <v>649</v>
      </c>
      <c r="CF636" t="s">
        <v>262</v>
      </c>
      <c r="CG636" s="4">
        <v>1</v>
      </c>
      <c r="CH636" t="s">
        <v>546</v>
      </c>
      <c r="CK636" t="s">
        <v>3590</v>
      </c>
      <c r="CL636" s="1">
        <v>4003</v>
      </c>
      <c r="CN636" t="s">
        <v>535</v>
      </c>
      <c r="CO636" t="s">
        <v>539</v>
      </c>
      <c r="CT636" t="s">
        <v>576</v>
      </c>
      <c r="CW636" t="s">
        <v>546</v>
      </c>
      <c r="DD636" t="s">
        <v>561</v>
      </c>
      <c r="DK636" t="s">
        <v>3591</v>
      </c>
      <c r="DL636" t="s">
        <v>3592</v>
      </c>
    </row>
    <row r="637" ht="15" customHeight="1" spans="1:122">
      <c r="AB637" t="s">
        <v>659</v>
      </c>
      <c r="AC637" t="s">
        <v>544</v>
      </c>
      <c r="AD637" t="s">
        <v>545</v>
      </c>
      <c r="AF637" t="s">
        <v>261</v>
      </c>
      <c r="AG637" s="1">
        <v>4003</v>
      </c>
      <c r="AJ637" s="1">
        <v>4003</v>
      </c>
      <c r="AK637" s="1">
        <v>8.61</v>
      </c>
      <c r="AM637" s="1">
        <v>3994.39</v>
      </c>
      <c r="AN637" t="s">
        <v>536</v>
      </c>
      <c r="AP637" t="s">
        <v>547</v>
      </c>
      <c r="AX637" s="1">
        <v>4003</v>
      </c>
      <c r="AZ637" t="s">
        <v>549</v>
      </c>
      <c r="BA637" s="1">
        <v>4003</v>
      </c>
      <c r="BC637" t="s">
        <v>546</v>
      </c>
      <c r="BD637" s="1">
        <v>4003</v>
      </c>
      <c r="BE637" t="s">
        <v>540</v>
      </c>
      <c r="BF637" s="1">
        <v>4003</v>
      </c>
      <c r="BG637" s="1">
        <v>8.61</v>
      </c>
      <c r="BH637" s="1">
        <v>3994.39</v>
      </c>
      <c r="BS637" s="1">
        <v>4003</v>
      </c>
      <c r="BX637" s="1">
        <v>4003</v>
      </c>
      <c r="CB637" t="s">
        <v>3384</v>
      </c>
      <c r="CC637" t="s">
        <v>556</v>
      </c>
      <c r="CD637" t="s">
        <v>648</v>
      </c>
      <c r="CE637" t="s">
        <v>649</v>
      </c>
      <c r="CF637" t="s">
        <v>261</v>
      </c>
      <c r="CG637" s="4">
        <v>1</v>
      </c>
      <c r="CL637" s="1">
        <v>4003</v>
      </c>
      <c r="DD637" t="s">
        <v>561</v>
      </c>
    </row>
    <row r="638" ht="15" customHeight="1" spans="1:122">
      <c r="A638" t="s">
        <v>530</v>
      </c>
      <c r="B638" t="s">
        <v>3593</v>
      </c>
      <c r="C638" t="s">
        <v>752</v>
      </c>
      <c r="D638" t="s">
        <v>3035</v>
      </c>
      <c r="E638" t="s">
        <v>534</v>
      </c>
      <c r="F638" t="s">
        <v>534</v>
      </c>
      <c r="G638" t="s">
        <v>535</v>
      </c>
      <c r="H638" s="1">
        <v>6983</v>
      </c>
      <c r="I638" s="1">
        <v>6983</v>
      </c>
      <c r="J638" t="s">
        <v>536</v>
      </c>
      <c r="L638" t="s">
        <v>536</v>
      </c>
      <c r="M638" t="s">
        <v>389</v>
      </c>
      <c r="N638" t="s">
        <v>753</v>
      </c>
      <c r="P638" s="1">
        <v>6983</v>
      </c>
      <c r="Q638" t="s">
        <v>754</v>
      </c>
      <c r="R638" t="s">
        <v>535</v>
      </c>
      <c r="S638" t="s">
        <v>539</v>
      </c>
      <c r="T638" s="2">
        <v>1</v>
      </c>
      <c r="U638" s="1">
        <v>6983</v>
      </c>
      <c r="V638" s="1">
        <v>6983</v>
      </c>
      <c r="X638" t="s">
        <v>540</v>
      </c>
      <c r="Z638" t="s">
        <v>541</v>
      </c>
      <c r="AA638" t="s">
        <v>542</v>
      </c>
      <c r="AB638" t="s">
        <v>543</v>
      </c>
      <c r="AC638" t="s">
        <v>544</v>
      </c>
      <c r="AD638" t="s">
        <v>545</v>
      </c>
      <c r="AE638" s="3">
        <v>1</v>
      </c>
      <c r="AF638" t="s">
        <v>346</v>
      </c>
      <c r="AG638" s="1">
        <v>4481</v>
      </c>
      <c r="AI638" s="1">
        <v>6983</v>
      </c>
      <c r="AJ638" s="1">
        <v>4481</v>
      </c>
      <c r="AM638" s="1">
        <v>4481</v>
      </c>
      <c r="AN638" t="s">
        <v>536</v>
      </c>
      <c r="AO638" t="s">
        <v>546</v>
      </c>
      <c r="AP638" t="s">
        <v>547</v>
      </c>
      <c r="AQ638" t="s">
        <v>548</v>
      </c>
      <c r="AS638" t="s">
        <v>389</v>
      </c>
      <c r="AX638" s="1">
        <v>4481</v>
      </c>
      <c r="AY638" t="s">
        <v>546</v>
      </c>
      <c r="AZ638" t="s">
        <v>549</v>
      </c>
      <c r="BA638" s="1">
        <v>4481</v>
      </c>
      <c r="BC638" t="s">
        <v>546</v>
      </c>
      <c r="BD638" s="1">
        <v>4481</v>
      </c>
      <c r="BE638" t="s">
        <v>540</v>
      </c>
      <c r="BF638" s="1">
        <v>4481</v>
      </c>
      <c r="BH638" s="1">
        <v>4481</v>
      </c>
      <c r="BI638" t="s">
        <v>550</v>
      </c>
      <c r="BJ638" t="s">
        <v>551</v>
      </c>
      <c r="BK638" t="s">
        <v>552</v>
      </c>
      <c r="BL638" t="s">
        <v>552</v>
      </c>
      <c r="BM638" t="s">
        <v>3384</v>
      </c>
      <c r="BN638" t="s">
        <v>3594</v>
      </c>
      <c r="BO638" t="s">
        <v>3595</v>
      </c>
      <c r="BR638" t="s">
        <v>546</v>
      </c>
      <c r="BS638" s="1">
        <v>4481</v>
      </c>
      <c r="BW638" t="s">
        <v>536</v>
      </c>
      <c r="BX638" s="1">
        <v>4481</v>
      </c>
      <c r="BZ638" t="s">
        <v>535</v>
      </c>
      <c r="CA638" t="s">
        <v>546</v>
      </c>
      <c r="CB638" t="s">
        <v>3035</v>
      </c>
      <c r="CC638" t="s">
        <v>556</v>
      </c>
      <c r="CD638" t="s">
        <v>757</v>
      </c>
      <c r="CE638" t="s">
        <v>758</v>
      </c>
      <c r="CF638" t="s">
        <v>346</v>
      </c>
      <c r="CG638" s="4">
        <v>1</v>
      </c>
      <c r="CH638" t="s">
        <v>546</v>
      </c>
      <c r="CK638" t="s">
        <v>3596</v>
      </c>
      <c r="CL638" s="1">
        <v>4481</v>
      </c>
      <c r="CN638" t="s">
        <v>535</v>
      </c>
      <c r="CO638" t="s">
        <v>539</v>
      </c>
      <c r="CT638" t="s">
        <v>760</v>
      </c>
      <c r="CW638" t="s">
        <v>546</v>
      </c>
      <c r="DD638" t="s">
        <v>561</v>
      </c>
      <c r="DK638" t="s">
        <v>761</v>
      </c>
      <c r="DL638" t="s">
        <v>3597</v>
      </c>
    </row>
    <row r="639" ht="15" customHeight="1" spans="1:122">
      <c r="AB639" t="s">
        <v>543</v>
      </c>
      <c r="AC639" t="s">
        <v>544</v>
      </c>
      <c r="AD639" t="s">
        <v>545</v>
      </c>
      <c r="AF639" t="s">
        <v>345</v>
      </c>
      <c r="AG639" s="1">
        <v>2502</v>
      </c>
      <c r="AJ639" s="1">
        <v>2502</v>
      </c>
      <c r="AM639" s="1">
        <v>2502</v>
      </c>
      <c r="AN639" t="s">
        <v>536</v>
      </c>
      <c r="AP639" t="s">
        <v>547</v>
      </c>
      <c r="AX639" s="1">
        <v>2502</v>
      </c>
      <c r="AZ639" t="s">
        <v>549</v>
      </c>
      <c r="BA639" s="1">
        <v>2502</v>
      </c>
      <c r="BC639" t="s">
        <v>546</v>
      </c>
      <c r="BD639" s="1">
        <v>2502</v>
      </c>
      <c r="BE639" t="s">
        <v>540</v>
      </c>
      <c r="BF639" s="1">
        <v>2502</v>
      </c>
      <c r="BH639" s="1">
        <v>2502</v>
      </c>
      <c r="BS639" s="1">
        <v>2502</v>
      </c>
      <c r="BX639" s="1">
        <v>2502</v>
      </c>
      <c r="CB639" t="s">
        <v>3035</v>
      </c>
      <c r="CC639" t="s">
        <v>556</v>
      </c>
      <c r="CD639" t="s">
        <v>720</v>
      </c>
      <c r="CE639" t="s">
        <v>721</v>
      </c>
      <c r="CF639" t="s">
        <v>345</v>
      </c>
      <c r="CG639" s="4">
        <v>1</v>
      </c>
      <c r="CL639" s="1">
        <v>2502</v>
      </c>
      <c r="DD639" t="s">
        <v>561</v>
      </c>
    </row>
    <row r="640" ht="15" customHeight="1" spans="1:122">
      <c r="A640" t="s">
        <v>530</v>
      </c>
      <c r="B640" t="s">
        <v>3598</v>
      </c>
      <c r="C640" t="s">
        <v>532</v>
      </c>
      <c r="D640" t="s">
        <v>3534</v>
      </c>
      <c r="E640" t="s">
        <v>534</v>
      </c>
      <c r="F640" t="s">
        <v>534</v>
      </c>
      <c r="G640" t="s">
        <v>535</v>
      </c>
      <c r="H640" s="1">
        <v>4160</v>
      </c>
      <c r="I640" s="1">
        <v>4135.04</v>
      </c>
      <c r="J640" t="s">
        <v>536</v>
      </c>
      <c r="L640" t="s">
        <v>536</v>
      </c>
      <c r="M640" t="s">
        <v>377</v>
      </c>
      <c r="N640" t="s">
        <v>537</v>
      </c>
      <c r="P640" s="1">
        <v>4160</v>
      </c>
      <c r="Q640" t="s">
        <v>538</v>
      </c>
      <c r="R640" t="s">
        <v>535</v>
      </c>
      <c r="S640" t="s">
        <v>539</v>
      </c>
      <c r="T640" s="2">
        <v>1</v>
      </c>
      <c r="U640" s="1">
        <v>4160</v>
      </c>
      <c r="V640" s="1">
        <v>4135.04</v>
      </c>
      <c r="X640" t="s">
        <v>540</v>
      </c>
      <c r="Z640" t="s">
        <v>541</v>
      </c>
      <c r="AA640" t="s">
        <v>542</v>
      </c>
      <c r="AB640" t="s">
        <v>543</v>
      </c>
      <c r="AC640" t="s">
        <v>544</v>
      </c>
      <c r="AD640" t="s">
        <v>545</v>
      </c>
      <c r="AE640" s="3">
        <v>1</v>
      </c>
      <c r="AF640" t="s">
        <v>269</v>
      </c>
      <c r="AG640" s="1">
        <v>4160</v>
      </c>
      <c r="AI640" s="1">
        <v>4160</v>
      </c>
      <c r="AJ640" s="1">
        <v>4160</v>
      </c>
      <c r="AK640" s="1">
        <v>24.96</v>
      </c>
      <c r="AM640" s="1">
        <v>4135.04</v>
      </c>
      <c r="AN640" t="s">
        <v>536</v>
      </c>
      <c r="AO640" t="s">
        <v>546</v>
      </c>
      <c r="AP640" t="s">
        <v>547</v>
      </c>
      <c r="AQ640" t="s">
        <v>548</v>
      </c>
      <c r="AS640" t="s">
        <v>377</v>
      </c>
      <c r="AX640" s="1">
        <v>4160</v>
      </c>
      <c r="AY640" t="s">
        <v>546</v>
      </c>
      <c r="AZ640" t="s">
        <v>549</v>
      </c>
      <c r="BA640" s="1">
        <v>4160</v>
      </c>
      <c r="BC640" t="s">
        <v>546</v>
      </c>
      <c r="BD640" s="1">
        <v>4160</v>
      </c>
      <c r="BE640" t="s">
        <v>540</v>
      </c>
      <c r="BF640" s="1">
        <v>4160</v>
      </c>
      <c r="BG640" s="1">
        <v>24.96</v>
      </c>
      <c r="BH640" s="1">
        <v>4135.04</v>
      </c>
      <c r="BI640" t="s">
        <v>550</v>
      </c>
      <c r="BJ640" t="s">
        <v>551</v>
      </c>
      <c r="BK640" t="s">
        <v>552</v>
      </c>
      <c r="BL640" t="s">
        <v>552</v>
      </c>
      <c r="BM640" t="s">
        <v>3384</v>
      </c>
      <c r="BN640" t="s">
        <v>3599</v>
      </c>
      <c r="BO640" t="s">
        <v>3600</v>
      </c>
      <c r="BR640" t="s">
        <v>546</v>
      </c>
      <c r="BS640" s="1">
        <v>4160</v>
      </c>
      <c r="BW640" t="s">
        <v>536</v>
      </c>
      <c r="BX640" s="1">
        <v>4160</v>
      </c>
      <c r="BZ640" t="s">
        <v>535</v>
      </c>
      <c r="CA640" t="s">
        <v>546</v>
      </c>
      <c r="CB640" t="s">
        <v>3534</v>
      </c>
      <c r="CC640" t="s">
        <v>556</v>
      </c>
      <c r="CD640" t="s">
        <v>1032</v>
      </c>
      <c r="CE640" t="s">
        <v>1033</v>
      </c>
      <c r="CF640" t="s">
        <v>269</v>
      </c>
      <c r="CG640" s="4">
        <v>1</v>
      </c>
      <c r="CH640" t="s">
        <v>546</v>
      </c>
      <c r="CK640" t="s">
        <v>3601</v>
      </c>
      <c r="CL640" s="1">
        <v>4160</v>
      </c>
      <c r="CN640" t="s">
        <v>535</v>
      </c>
      <c r="CO640" t="s">
        <v>539</v>
      </c>
      <c r="CT640" t="s">
        <v>560</v>
      </c>
      <c r="CW640" t="s">
        <v>546</v>
      </c>
      <c r="DD640" t="s">
        <v>561</v>
      </c>
      <c r="DK640" t="s">
        <v>3602</v>
      </c>
      <c r="DL640" t="s">
        <v>3603</v>
      </c>
    </row>
    <row r="641" ht="15" customHeight="1" spans="1:122">
      <c r="A641" t="s">
        <v>530</v>
      </c>
      <c r="B641" t="s">
        <v>3604</v>
      </c>
      <c r="C641" t="s">
        <v>532</v>
      </c>
      <c r="D641" t="s">
        <v>3534</v>
      </c>
      <c r="E641" t="s">
        <v>534</v>
      </c>
      <c r="F641" t="s">
        <v>534</v>
      </c>
      <c r="G641" t="s">
        <v>535</v>
      </c>
      <c r="H641" s="1">
        <v>1040</v>
      </c>
      <c r="I641" s="1">
        <v>1040</v>
      </c>
      <c r="J641" t="s">
        <v>536</v>
      </c>
      <c r="L641" t="s">
        <v>536</v>
      </c>
      <c r="M641" t="s">
        <v>377</v>
      </c>
      <c r="N641" t="s">
        <v>537</v>
      </c>
      <c r="P641" s="1">
        <v>1040</v>
      </c>
      <c r="Q641" t="s">
        <v>538</v>
      </c>
      <c r="R641" t="s">
        <v>535</v>
      </c>
      <c r="S641" t="s">
        <v>539</v>
      </c>
      <c r="T641" s="2">
        <v>1</v>
      </c>
      <c r="U641" s="1">
        <v>1040</v>
      </c>
      <c r="V641" s="1">
        <v>1040</v>
      </c>
      <c r="X641" t="s">
        <v>540</v>
      </c>
      <c r="Z641" t="s">
        <v>541</v>
      </c>
      <c r="AA641" t="s">
        <v>542</v>
      </c>
      <c r="AB641" t="s">
        <v>543</v>
      </c>
      <c r="AC641" t="s">
        <v>544</v>
      </c>
      <c r="AD641" t="s">
        <v>545</v>
      </c>
      <c r="AE641" s="3">
        <v>1</v>
      </c>
      <c r="AF641" t="s">
        <v>269</v>
      </c>
      <c r="AG641" s="1">
        <v>1040</v>
      </c>
      <c r="AI641" s="1">
        <v>1040</v>
      </c>
      <c r="AJ641" s="1">
        <v>1040</v>
      </c>
      <c r="AM641" s="1">
        <v>1040</v>
      </c>
      <c r="AN641" t="s">
        <v>565</v>
      </c>
      <c r="AO641" t="s">
        <v>546</v>
      </c>
      <c r="AP641" t="s">
        <v>565</v>
      </c>
      <c r="AQ641" t="s">
        <v>548</v>
      </c>
      <c r="AS641" t="s">
        <v>377</v>
      </c>
      <c r="AX641" s="1">
        <v>1040</v>
      </c>
      <c r="AY641" t="s">
        <v>546</v>
      </c>
      <c r="AZ641" t="s">
        <v>566</v>
      </c>
      <c r="BA641" s="1">
        <v>1040</v>
      </c>
      <c r="BC641" t="s">
        <v>546</v>
      </c>
      <c r="BD641" s="1">
        <v>1040</v>
      </c>
      <c r="BE641" t="s">
        <v>540</v>
      </c>
      <c r="BF641" s="1">
        <v>1040</v>
      </c>
      <c r="BH641" s="1">
        <v>1040</v>
      </c>
      <c r="BI641" t="s">
        <v>550</v>
      </c>
      <c r="BJ641" t="s">
        <v>551</v>
      </c>
      <c r="BK641" t="s">
        <v>551</v>
      </c>
      <c r="BL641" t="s">
        <v>552</v>
      </c>
      <c r="BM641" t="s">
        <v>3384</v>
      </c>
      <c r="BN641" t="s">
        <v>3605</v>
      </c>
      <c r="BO641" t="s">
        <v>3606</v>
      </c>
      <c r="BR641" t="s">
        <v>546</v>
      </c>
      <c r="BS641" s="1">
        <v>1040</v>
      </c>
      <c r="BW641" t="s">
        <v>536</v>
      </c>
      <c r="BX641" s="1">
        <v>1040</v>
      </c>
      <c r="BZ641" t="s">
        <v>535</v>
      </c>
      <c r="CA641" t="s">
        <v>546</v>
      </c>
      <c r="CB641" t="s">
        <v>3534</v>
      </c>
      <c r="CC641" t="s">
        <v>556</v>
      </c>
      <c r="CD641" t="s">
        <v>1032</v>
      </c>
      <c r="CE641" t="s">
        <v>1033</v>
      </c>
      <c r="CF641" t="s">
        <v>269</v>
      </c>
      <c r="CG641" s="4">
        <v>1</v>
      </c>
      <c r="CH641" t="s">
        <v>546</v>
      </c>
      <c r="CK641" t="s">
        <v>3601</v>
      </c>
      <c r="CL641" s="1">
        <v>1040</v>
      </c>
      <c r="CN641" t="s">
        <v>535</v>
      </c>
      <c r="CO641" t="s">
        <v>539</v>
      </c>
      <c r="CT641" t="s">
        <v>560</v>
      </c>
      <c r="CW641" t="s">
        <v>546</v>
      </c>
      <c r="DD641" t="s">
        <v>561</v>
      </c>
      <c r="DK641" t="s">
        <v>3602</v>
      </c>
      <c r="DL641" t="s">
        <v>3603</v>
      </c>
    </row>
    <row r="642" ht="15" customHeight="1" spans="1:122">
      <c r="A642" t="s">
        <v>603</v>
      </c>
      <c r="B642" t="s">
        <v>3607</v>
      </c>
      <c r="D642" t="s">
        <v>3035</v>
      </c>
      <c r="E642" t="s">
        <v>534</v>
      </c>
      <c r="F642" t="s">
        <v>534</v>
      </c>
      <c r="G642" t="s">
        <v>535</v>
      </c>
      <c r="H642" s="1">
        <v>30887.28</v>
      </c>
      <c r="I642" s="1">
        <v>30887.28</v>
      </c>
      <c r="J642" t="s">
        <v>536</v>
      </c>
      <c r="L642" t="s">
        <v>536</v>
      </c>
      <c r="M642" t="s">
        <v>387</v>
      </c>
      <c r="N642" t="s">
        <v>1341</v>
      </c>
      <c r="P642" s="1">
        <v>30887.28</v>
      </c>
      <c r="Q642" t="s">
        <v>1342</v>
      </c>
      <c r="R642" t="s">
        <v>535</v>
      </c>
      <c r="S642" t="s">
        <v>539</v>
      </c>
      <c r="T642" s="2">
        <v>1</v>
      </c>
      <c r="U642" s="1">
        <v>30887.28</v>
      </c>
      <c r="V642" s="1">
        <v>30887.28</v>
      </c>
      <c r="X642" t="s">
        <v>616</v>
      </c>
      <c r="Z642" t="s">
        <v>541</v>
      </c>
      <c r="AA642" t="s">
        <v>542</v>
      </c>
      <c r="AB642" t="s">
        <v>543</v>
      </c>
      <c r="AC642" t="s">
        <v>608</v>
      </c>
      <c r="AE642" s="3">
        <v>1</v>
      </c>
      <c r="AG642" s="1">
        <v>30887.28</v>
      </c>
      <c r="AI642" s="1">
        <v>30887.28</v>
      </c>
      <c r="AJ642" s="1">
        <v>30887.28</v>
      </c>
      <c r="AM642" s="1">
        <v>30887.28</v>
      </c>
      <c r="AN642" t="s">
        <v>536</v>
      </c>
      <c r="AO642" t="s">
        <v>546</v>
      </c>
      <c r="AP642" t="s">
        <v>547</v>
      </c>
      <c r="AQ642" t="s">
        <v>548</v>
      </c>
      <c r="AS642" t="s">
        <v>387</v>
      </c>
      <c r="AX642" s="1">
        <v>30887.28</v>
      </c>
      <c r="AY642" t="s">
        <v>546</v>
      </c>
      <c r="AZ642" t="s">
        <v>549</v>
      </c>
      <c r="BA642" s="1">
        <v>30887.28</v>
      </c>
      <c r="BC642" t="s">
        <v>546</v>
      </c>
      <c r="BE642" t="s">
        <v>616</v>
      </c>
      <c r="BH642" s="1">
        <v>30887.28</v>
      </c>
      <c r="BI642" t="s">
        <v>550</v>
      </c>
      <c r="BJ642" t="s">
        <v>552</v>
      </c>
      <c r="BK642" t="s">
        <v>552</v>
      </c>
      <c r="BL642" t="s">
        <v>552</v>
      </c>
      <c r="BM642" t="s">
        <v>3384</v>
      </c>
      <c r="BN642" t="s">
        <v>3608</v>
      </c>
      <c r="BO642" t="s">
        <v>3609</v>
      </c>
      <c r="BR642" t="s">
        <v>546</v>
      </c>
      <c r="BS642" s="1">
        <v>30887.28</v>
      </c>
      <c r="BW642" t="s">
        <v>536</v>
      </c>
      <c r="BZ642" t="s">
        <v>535</v>
      </c>
      <c r="CA642" t="s">
        <v>546</v>
      </c>
      <c r="CB642" t="s">
        <v>3035</v>
      </c>
      <c r="CC642" t="s">
        <v>556</v>
      </c>
      <c r="CH642" t="s">
        <v>546</v>
      </c>
      <c r="CK642" t="s">
        <v>3610</v>
      </c>
      <c r="CN642" t="s">
        <v>535</v>
      </c>
      <c r="CO642" t="s">
        <v>539</v>
      </c>
      <c r="CT642" t="s">
        <v>1789</v>
      </c>
      <c r="CW642" t="s">
        <v>546</v>
      </c>
      <c r="DD642" t="s">
        <v>561</v>
      </c>
    </row>
    <row r="643" ht="15" customHeight="1" spans="1:122">
      <c r="A643" t="s">
        <v>530</v>
      </c>
      <c r="B643" t="s">
        <v>3611</v>
      </c>
      <c r="C643" t="s">
        <v>532</v>
      </c>
      <c r="D643" t="s">
        <v>3384</v>
      </c>
      <c r="E643" t="s">
        <v>534</v>
      </c>
      <c r="F643" t="s">
        <v>534</v>
      </c>
      <c r="G643" t="s">
        <v>535</v>
      </c>
      <c r="H643" s="1">
        <v>873</v>
      </c>
      <c r="I643" s="1">
        <v>873</v>
      </c>
      <c r="J643" t="s">
        <v>536</v>
      </c>
      <c r="L643" t="s">
        <v>536</v>
      </c>
      <c r="M643" t="s">
        <v>377</v>
      </c>
      <c r="N643" t="s">
        <v>537</v>
      </c>
      <c r="P643" s="1">
        <v>873</v>
      </c>
      <c r="Q643" t="s">
        <v>538</v>
      </c>
      <c r="R643" t="s">
        <v>535</v>
      </c>
      <c r="S643" t="s">
        <v>539</v>
      </c>
      <c r="T643" s="2">
        <v>1</v>
      </c>
      <c r="U643" s="1">
        <v>873</v>
      </c>
      <c r="V643" s="1">
        <v>873</v>
      </c>
      <c r="X643" t="s">
        <v>540</v>
      </c>
      <c r="Z643" t="s">
        <v>541</v>
      </c>
      <c r="AA643" t="s">
        <v>542</v>
      </c>
      <c r="AB643" t="s">
        <v>543</v>
      </c>
      <c r="AC643" t="s">
        <v>544</v>
      </c>
      <c r="AD643" t="s">
        <v>545</v>
      </c>
      <c r="AE643" s="3">
        <v>1</v>
      </c>
      <c r="AF643" t="s">
        <v>353</v>
      </c>
      <c r="AG643" s="1">
        <v>873</v>
      </c>
      <c r="AI643" s="1">
        <v>873</v>
      </c>
      <c r="AJ643" s="1">
        <v>873</v>
      </c>
      <c r="AM643" s="1">
        <v>873</v>
      </c>
      <c r="AN643" t="s">
        <v>643</v>
      </c>
      <c r="AO643" t="s">
        <v>546</v>
      </c>
      <c r="AP643" t="s">
        <v>643</v>
      </c>
      <c r="AQ643" t="s">
        <v>548</v>
      </c>
      <c r="AS643" t="s">
        <v>377</v>
      </c>
      <c r="AX643" s="1">
        <v>873</v>
      </c>
      <c r="AY643" t="s">
        <v>546</v>
      </c>
      <c r="AZ643" t="s">
        <v>644</v>
      </c>
      <c r="BA643" s="1">
        <v>873</v>
      </c>
      <c r="BC643" t="s">
        <v>546</v>
      </c>
      <c r="BD643" s="1">
        <v>873</v>
      </c>
      <c r="BE643" t="s">
        <v>540</v>
      </c>
      <c r="BF643" s="1">
        <v>873</v>
      </c>
      <c r="BH643" s="1">
        <v>873</v>
      </c>
      <c r="BI643" t="s">
        <v>550</v>
      </c>
      <c r="BJ643" t="s">
        <v>551</v>
      </c>
      <c r="BK643" t="s">
        <v>551</v>
      </c>
      <c r="BL643" t="s">
        <v>552</v>
      </c>
      <c r="BM643" t="s">
        <v>3384</v>
      </c>
      <c r="BN643" t="s">
        <v>3612</v>
      </c>
      <c r="BO643" t="s">
        <v>3613</v>
      </c>
      <c r="BR643" t="s">
        <v>546</v>
      </c>
      <c r="BS643" s="1">
        <v>873</v>
      </c>
      <c r="BW643" t="s">
        <v>536</v>
      </c>
      <c r="BX643" s="1">
        <v>873</v>
      </c>
      <c r="BZ643" t="s">
        <v>535</v>
      </c>
      <c r="CA643" t="s">
        <v>546</v>
      </c>
      <c r="CB643" t="s">
        <v>3384</v>
      </c>
      <c r="CC643" t="s">
        <v>556</v>
      </c>
      <c r="CD643" t="s">
        <v>1411</v>
      </c>
      <c r="CE643" t="s">
        <v>1412</v>
      </c>
      <c r="CF643" t="s">
        <v>353</v>
      </c>
      <c r="CG643" s="4">
        <v>1</v>
      </c>
      <c r="CH643" t="s">
        <v>546</v>
      </c>
      <c r="CK643" t="s">
        <v>3614</v>
      </c>
      <c r="CL643" s="1">
        <v>873</v>
      </c>
      <c r="CN643" t="s">
        <v>535</v>
      </c>
      <c r="CO643" t="s">
        <v>539</v>
      </c>
      <c r="CT643" t="s">
        <v>560</v>
      </c>
      <c r="CW643" t="s">
        <v>546</v>
      </c>
      <c r="DD643" t="s">
        <v>561</v>
      </c>
      <c r="DK643" t="s">
        <v>3602</v>
      </c>
      <c r="DL643" t="s">
        <v>3603</v>
      </c>
      <c r="DR643" t="s">
        <v>3615</v>
      </c>
    </row>
    <row r="644" ht="15" customHeight="1" spans="1:122">
      <c r="A644" t="s">
        <v>603</v>
      </c>
      <c r="B644" t="s">
        <v>3616</v>
      </c>
      <c r="D644" t="s">
        <v>3384</v>
      </c>
      <c r="E644" t="s">
        <v>534</v>
      </c>
      <c r="F644" t="s">
        <v>534</v>
      </c>
      <c r="G644" t="s">
        <v>535</v>
      </c>
      <c r="H644" s="1">
        <v>10102.4</v>
      </c>
      <c r="I644" s="1">
        <v>10102.4</v>
      </c>
      <c r="J644" t="s">
        <v>536</v>
      </c>
      <c r="L644" t="s">
        <v>536</v>
      </c>
      <c r="M644" t="s">
        <v>400</v>
      </c>
      <c r="N644" t="s">
        <v>1341</v>
      </c>
      <c r="P644" s="1">
        <v>10102.4</v>
      </c>
      <c r="Q644" t="s">
        <v>1342</v>
      </c>
      <c r="R644" t="s">
        <v>535</v>
      </c>
      <c r="S644" t="s">
        <v>539</v>
      </c>
      <c r="T644" s="2">
        <v>1</v>
      </c>
      <c r="U644" s="1">
        <v>10102.4</v>
      </c>
      <c r="V644" s="1">
        <v>10102.4</v>
      </c>
      <c r="X644" t="s">
        <v>616</v>
      </c>
      <c r="Z644" t="s">
        <v>541</v>
      </c>
      <c r="AA644" t="s">
        <v>542</v>
      </c>
      <c r="AB644" t="s">
        <v>543</v>
      </c>
      <c r="AC644" t="s">
        <v>608</v>
      </c>
      <c r="AE644" s="3">
        <v>1</v>
      </c>
      <c r="AG644" s="1">
        <v>10102.4</v>
      </c>
      <c r="AI644" s="1">
        <v>10102.4</v>
      </c>
      <c r="AJ644" s="1">
        <v>10102.4</v>
      </c>
      <c r="AM644" s="1">
        <v>10102.4</v>
      </c>
      <c r="AN644" t="s">
        <v>536</v>
      </c>
      <c r="AO644" t="s">
        <v>546</v>
      </c>
      <c r="AP644" t="s">
        <v>547</v>
      </c>
      <c r="AQ644" t="s">
        <v>548</v>
      </c>
      <c r="AS644" t="s">
        <v>400</v>
      </c>
      <c r="AX644" s="1">
        <v>10102.4</v>
      </c>
      <c r="AY644" t="s">
        <v>546</v>
      </c>
      <c r="AZ644" t="s">
        <v>549</v>
      </c>
      <c r="BA644" s="1">
        <v>10102.4</v>
      </c>
      <c r="BC644" t="s">
        <v>546</v>
      </c>
      <c r="BE644" t="s">
        <v>616</v>
      </c>
      <c r="BH644" s="1">
        <v>10102.4</v>
      </c>
      <c r="BI644" t="s">
        <v>550</v>
      </c>
      <c r="BJ644" t="s">
        <v>552</v>
      </c>
      <c r="BK644" t="s">
        <v>552</v>
      </c>
      <c r="BL644" t="s">
        <v>552</v>
      </c>
      <c r="BM644" t="s">
        <v>3384</v>
      </c>
      <c r="BN644" t="s">
        <v>3617</v>
      </c>
      <c r="BO644" t="s">
        <v>3618</v>
      </c>
      <c r="BR644" t="s">
        <v>546</v>
      </c>
      <c r="BS644" s="1">
        <v>10102.4</v>
      </c>
      <c r="BW644" t="s">
        <v>536</v>
      </c>
      <c r="BZ644" t="s">
        <v>535</v>
      </c>
      <c r="CA644" t="s">
        <v>546</v>
      </c>
      <c r="CB644" t="s">
        <v>3384</v>
      </c>
      <c r="CC644" t="s">
        <v>556</v>
      </c>
      <c r="CH644" t="s">
        <v>546</v>
      </c>
      <c r="CK644" t="s">
        <v>3619</v>
      </c>
      <c r="CN644" t="s">
        <v>535</v>
      </c>
      <c r="CO644" t="s">
        <v>539</v>
      </c>
      <c r="CT644" t="s">
        <v>1789</v>
      </c>
      <c r="CW644" t="s">
        <v>546</v>
      </c>
      <c r="DD644" t="s">
        <v>561</v>
      </c>
    </row>
    <row r="645" ht="15" customHeight="1" spans="1:122">
      <c r="A645" t="s">
        <v>603</v>
      </c>
      <c r="B645" t="s">
        <v>3620</v>
      </c>
      <c r="C645" t="s">
        <v>532</v>
      </c>
      <c r="D645" t="s">
        <v>3384</v>
      </c>
      <c r="E645" t="s">
        <v>534</v>
      </c>
      <c r="F645" t="s">
        <v>534</v>
      </c>
      <c r="G645" t="s">
        <v>535</v>
      </c>
      <c r="H645" s="1">
        <v>416.63</v>
      </c>
      <c r="I645" s="1">
        <v>416.63</v>
      </c>
      <c r="J645" t="s">
        <v>536</v>
      </c>
      <c r="L645" t="s">
        <v>536</v>
      </c>
      <c r="M645" t="s">
        <v>385</v>
      </c>
      <c r="N645" t="s">
        <v>537</v>
      </c>
      <c r="P645" s="1">
        <v>416.63</v>
      </c>
      <c r="Q645" t="s">
        <v>2414</v>
      </c>
      <c r="R645" t="s">
        <v>535</v>
      </c>
      <c r="S645" t="s">
        <v>539</v>
      </c>
      <c r="T645" s="2">
        <v>1</v>
      </c>
      <c r="U645" s="1">
        <v>416.63</v>
      </c>
      <c r="V645" s="1">
        <v>416.63</v>
      </c>
      <c r="X645" t="s">
        <v>616</v>
      </c>
      <c r="Z645" t="s">
        <v>541</v>
      </c>
      <c r="AA645" t="s">
        <v>542</v>
      </c>
      <c r="AB645" t="s">
        <v>543</v>
      </c>
      <c r="AC645" t="s">
        <v>608</v>
      </c>
      <c r="AE645" s="3">
        <v>1</v>
      </c>
      <c r="AG645" s="1">
        <v>416.63</v>
      </c>
      <c r="AI645" s="1">
        <v>416.63</v>
      </c>
      <c r="AJ645" s="1">
        <v>416.63</v>
      </c>
      <c r="AM645" s="1">
        <v>416.63</v>
      </c>
      <c r="AN645" t="s">
        <v>536</v>
      </c>
      <c r="AO645" t="s">
        <v>546</v>
      </c>
      <c r="AP645" t="s">
        <v>547</v>
      </c>
      <c r="AQ645" t="s">
        <v>548</v>
      </c>
      <c r="AS645" t="s">
        <v>385</v>
      </c>
      <c r="AX645" s="1">
        <v>416.63</v>
      </c>
      <c r="AY645" t="s">
        <v>546</v>
      </c>
      <c r="AZ645" t="s">
        <v>549</v>
      </c>
      <c r="BA645" s="1">
        <v>416.63</v>
      </c>
      <c r="BC645" t="s">
        <v>546</v>
      </c>
      <c r="BE645" t="s">
        <v>616</v>
      </c>
      <c r="BH645" s="1">
        <v>416.63</v>
      </c>
      <c r="BI645" t="s">
        <v>550</v>
      </c>
      <c r="BJ645" t="s">
        <v>551</v>
      </c>
      <c r="BK645" t="s">
        <v>552</v>
      </c>
      <c r="BL645" t="s">
        <v>552</v>
      </c>
      <c r="BM645" t="s">
        <v>3384</v>
      </c>
      <c r="BN645" t="s">
        <v>3621</v>
      </c>
      <c r="BO645" t="s">
        <v>3622</v>
      </c>
      <c r="BR645" t="s">
        <v>546</v>
      </c>
      <c r="BS645" s="1">
        <v>416.63</v>
      </c>
      <c r="BW645" t="s">
        <v>536</v>
      </c>
      <c r="BZ645" t="s">
        <v>535</v>
      </c>
      <c r="CA645" t="s">
        <v>546</v>
      </c>
      <c r="CB645" t="s">
        <v>3384</v>
      </c>
      <c r="CC645" t="s">
        <v>556</v>
      </c>
      <c r="CH645" t="s">
        <v>546</v>
      </c>
      <c r="CK645" t="s">
        <v>3623</v>
      </c>
      <c r="CN645" t="s">
        <v>535</v>
      </c>
      <c r="CO645" t="s">
        <v>539</v>
      </c>
      <c r="CT645" t="s">
        <v>1816</v>
      </c>
      <c r="CW645" t="s">
        <v>546</v>
      </c>
      <c r="DD645" t="s">
        <v>561</v>
      </c>
      <c r="DK645" t="s">
        <v>385</v>
      </c>
      <c r="DL645" t="s">
        <v>1817</v>
      </c>
    </row>
    <row r="646" ht="15" customHeight="1" spans="1:122">
      <c r="A646" t="s">
        <v>603</v>
      </c>
      <c r="B646" t="s">
        <v>3624</v>
      </c>
      <c r="C646" t="s">
        <v>532</v>
      </c>
      <c r="D646" t="s">
        <v>3035</v>
      </c>
      <c r="E646" t="s">
        <v>534</v>
      </c>
      <c r="F646" t="s">
        <v>534</v>
      </c>
      <c r="G646" t="s">
        <v>535</v>
      </c>
      <c r="H646" s="1">
        <v>24350</v>
      </c>
      <c r="I646" s="1">
        <v>24350</v>
      </c>
      <c r="J646" t="s">
        <v>536</v>
      </c>
      <c r="L646" t="s">
        <v>536</v>
      </c>
      <c r="M646" t="s">
        <v>385</v>
      </c>
      <c r="N646" t="s">
        <v>537</v>
      </c>
      <c r="P646" s="1">
        <v>24350</v>
      </c>
      <c r="Q646" t="s">
        <v>2414</v>
      </c>
      <c r="R646" t="s">
        <v>535</v>
      </c>
      <c r="S646" t="s">
        <v>539</v>
      </c>
      <c r="T646" s="2">
        <v>1</v>
      </c>
      <c r="U646" s="1">
        <v>24350</v>
      </c>
      <c r="V646" s="1">
        <v>24350</v>
      </c>
      <c r="X646" t="s">
        <v>616</v>
      </c>
      <c r="Z646" t="s">
        <v>541</v>
      </c>
      <c r="AA646" t="s">
        <v>542</v>
      </c>
      <c r="AB646" t="s">
        <v>543</v>
      </c>
      <c r="AC646" t="s">
        <v>608</v>
      </c>
      <c r="AE646" s="3">
        <v>1</v>
      </c>
      <c r="AG646" s="1">
        <v>24350</v>
      </c>
      <c r="AI646" s="1">
        <v>24350</v>
      </c>
      <c r="AJ646" s="1">
        <v>24350</v>
      </c>
      <c r="AM646" s="1">
        <v>24350</v>
      </c>
      <c r="AN646" t="s">
        <v>536</v>
      </c>
      <c r="AO646" t="s">
        <v>546</v>
      </c>
      <c r="AP646" t="s">
        <v>547</v>
      </c>
      <c r="AQ646" t="s">
        <v>548</v>
      </c>
      <c r="AS646" t="s">
        <v>385</v>
      </c>
      <c r="AX646" s="1">
        <v>24350</v>
      </c>
      <c r="AY646" t="s">
        <v>546</v>
      </c>
      <c r="AZ646" t="s">
        <v>549</v>
      </c>
      <c r="BA646" s="1">
        <v>24350</v>
      </c>
      <c r="BC646" t="s">
        <v>546</v>
      </c>
      <c r="BE646" t="s">
        <v>616</v>
      </c>
      <c r="BH646" s="1">
        <v>24350</v>
      </c>
      <c r="BI646" t="s">
        <v>550</v>
      </c>
      <c r="BJ646" t="s">
        <v>551</v>
      </c>
      <c r="BK646" t="s">
        <v>551</v>
      </c>
      <c r="BL646" t="s">
        <v>552</v>
      </c>
      <c r="BM646" t="s">
        <v>3384</v>
      </c>
      <c r="BN646" t="s">
        <v>3625</v>
      </c>
      <c r="BO646" t="s">
        <v>3626</v>
      </c>
      <c r="BR646" t="s">
        <v>546</v>
      </c>
      <c r="BS646" s="1">
        <v>24350</v>
      </c>
      <c r="BW646" t="s">
        <v>536</v>
      </c>
      <c r="BZ646" t="s">
        <v>535</v>
      </c>
      <c r="CA646" t="s">
        <v>546</v>
      </c>
      <c r="CB646" t="s">
        <v>3035</v>
      </c>
      <c r="CC646" t="s">
        <v>556</v>
      </c>
      <c r="CH646" t="s">
        <v>546</v>
      </c>
      <c r="CK646" t="s">
        <v>3627</v>
      </c>
      <c r="CN646" t="s">
        <v>535</v>
      </c>
      <c r="CO646" t="s">
        <v>539</v>
      </c>
      <c r="CT646" t="s">
        <v>1816</v>
      </c>
      <c r="CW646" t="s">
        <v>546</v>
      </c>
      <c r="DD646" t="s">
        <v>561</v>
      </c>
      <c r="DK646" t="s">
        <v>385</v>
      </c>
      <c r="DL646" t="s">
        <v>1817</v>
      </c>
    </row>
    <row r="647" ht="15" customHeight="1" spans="1:122">
      <c r="A647" t="s">
        <v>603</v>
      </c>
      <c r="B647" t="s">
        <v>3628</v>
      </c>
      <c r="C647" t="s">
        <v>752</v>
      </c>
      <c r="D647" t="s">
        <v>3035</v>
      </c>
      <c r="E647" t="s">
        <v>534</v>
      </c>
      <c r="F647" t="s">
        <v>534</v>
      </c>
      <c r="G647" t="s">
        <v>535</v>
      </c>
      <c r="H647" s="1">
        <v>24339</v>
      </c>
      <c r="I647" s="1">
        <v>24339</v>
      </c>
      <c r="J647" t="s">
        <v>536</v>
      </c>
      <c r="L647" t="s">
        <v>536</v>
      </c>
      <c r="M647" t="s">
        <v>391</v>
      </c>
      <c r="N647" t="s">
        <v>753</v>
      </c>
      <c r="P647" s="1">
        <v>24339</v>
      </c>
      <c r="Q647" t="s">
        <v>3581</v>
      </c>
      <c r="R647" t="s">
        <v>535</v>
      </c>
      <c r="S647" t="s">
        <v>539</v>
      </c>
      <c r="T647" s="2">
        <v>1</v>
      </c>
      <c r="U647" s="1">
        <v>24339</v>
      </c>
      <c r="V647" s="1">
        <v>24339</v>
      </c>
      <c r="X647" t="s">
        <v>616</v>
      </c>
      <c r="Z647" t="s">
        <v>541</v>
      </c>
      <c r="AA647" t="s">
        <v>542</v>
      </c>
      <c r="AB647" t="s">
        <v>543</v>
      </c>
      <c r="AC647" t="s">
        <v>608</v>
      </c>
      <c r="AE647" s="3">
        <v>1</v>
      </c>
      <c r="AG647" s="1">
        <v>24339</v>
      </c>
      <c r="AI647" s="1">
        <v>24339</v>
      </c>
      <c r="AJ647" s="1">
        <v>24339</v>
      </c>
      <c r="AM647" s="1">
        <v>24339</v>
      </c>
      <c r="AN647" t="s">
        <v>536</v>
      </c>
      <c r="AO647" t="s">
        <v>546</v>
      </c>
      <c r="AP647" t="s">
        <v>547</v>
      </c>
      <c r="AQ647" t="s">
        <v>548</v>
      </c>
      <c r="AS647" t="s">
        <v>391</v>
      </c>
      <c r="AX647" s="1">
        <v>24339</v>
      </c>
      <c r="AY647" t="s">
        <v>546</v>
      </c>
      <c r="AZ647" t="s">
        <v>549</v>
      </c>
      <c r="BA647" s="1">
        <v>24339</v>
      </c>
      <c r="BC647" t="s">
        <v>546</v>
      </c>
      <c r="BE647" t="s">
        <v>616</v>
      </c>
      <c r="BH647" s="1">
        <v>24339</v>
      </c>
      <c r="BI647" t="s">
        <v>550</v>
      </c>
      <c r="BJ647" t="s">
        <v>551</v>
      </c>
      <c r="BK647" t="s">
        <v>551</v>
      </c>
      <c r="BL647" t="s">
        <v>552</v>
      </c>
      <c r="BM647" t="s">
        <v>3384</v>
      </c>
      <c r="BN647" t="s">
        <v>3629</v>
      </c>
      <c r="BO647" t="s">
        <v>3630</v>
      </c>
      <c r="BR647" t="s">
        <v>546</v>
      </c>
      <c r="BS647" s="1">
        <v>24339</v>
      </c>
      <c r="BW647" t="s">
        <v>536</v>
      </c>
      <c r="BZ647" t="s">
        <v>535</v>
      </c>
      <c r="CA647" t="s">
        <v>546</v>
      </c>
      <c r="CB647" t="s">
        <v>3035</v>
      </c>
      <c r="CC647" t="s">
        <v>556</v>
      </c>
      <c r="CH647" t="s">
        <v>546</v>
      </c>
      <c r="CK647" t="s">
        <v>3631</v>
      </c>
      <c r="CN647" t="s">
        <v>535</v>
      </c>
      <c r="CO647" t="s">
        <v>539</v>
      </c>
      <c r="CT647" t="s">
        <v>760</v>
      </c>
      <c r="CW647" t="s">
        <v>546</v>
      </c>
      <c r="DD647" t="s">
        <v>561</v>
      </c>
    </row>
    <row r="648" ht="15" customHeight="1" spans="1:122">
      <c r="A648" t="s">
        <v>603</v>
      </c>
      <c r="B648" t="s">
        <v>3632</v>
      </c>
      <c r="D648" t="s">
        <v>3384</v>
      </c>
      <c r="E648" t="s">
        <v>534</v>
      </c>
      <c r="F648" t="s">
        <v>534</v>
      </c>
      <c r="G648" t="s">
        <v>535</v>
      </c>
      <c r="H648" s="1">
        <v>9767.4</v>
      </c>
      <c r="I648" s="1">
        <v>9767.4</v>
      </c>
      <c r="J648" t="s">
        <v>536</v>
      </c>
      <c r="L648" t="s">
        <v>536</v>
      </c>
      <c r="M648" t="s">
        <v>392</v>
      </c>
      <c r="N648" t="s">
        <v>1341</v>
      </c>
      <c r="P648" s="1">
        <v>9767.4</v>
      </c>
      <c r="Q648" t="s">
        <v>1342</v>
      </c>
      <c r="R648" t="s">
        <v>535</v>
      </c>
      <c r="S648" t="s">
        <v>539</v>
      </c>
      <c r="T648" s="2">
        <v>1</v>
      </c>
      <c r="U648" s="1">
        <v>9767.4</v>
      </c>
      <c r="V648" s="1">
        <v>9767.4</v>
      </c>
      <c r="X648" t="s">
        <v>616</v>
      </c>
      <c r="Z648" t="s">
        <v>541</v>
      </c>
      <c r="AA648" t="s">
        <v>542</v>
      </c>
      <c r="AB648" t="s">
        <v>543</v>
      </c>
      <c r="AC648" t="s">
        <v>608</v>
      </c>
      <c r="AE648" s="3">
        <v>1</v>
      </c>
      <c r="AG648" s="1">
        <v>9767.4</v>
      </c>
      <c r="AI648" s="1">
        <v>9767.4</v>
      </c>
      <c r="AJ648" s="1">
        <v>9767.4</v>
      </c>
      <c r="AM648" s="1">
        <v>9767.4</v>
      </c>
      <c r="AN648" t="s">
        <v>536</v>
      </c>
      <c r="AO648" t="s">
        <v>546</v>
      </c>
      <c r="AP648" t="s">
        <v>547</v>
      </c>
      <c r="AQ648" t="s">
        <v>548</v>
      </c>
      <c r="AS648" t="s">
        <v>392</v>
      </c>
      <c r="AX648" s="1">
        <v>9767.4</v>
      </c>
      <c r="AY648" t="s">
        <v>546</v>
      </c>
      <c r="AZ648" t="s">
        <v>549</v>
      </c>
      <c r="BA648" s="1">
        <v>9767.4</v>
      </c>
      <c r="BC648" t="s">
        <v>546</v>
      </c>
      <c r="BE648" t="s">
        <v>616</v>
      </c>
      <c r="BH648" s="1">
        <v>9767.4</v>
      </c>
      <c r="BI648" t="s">
        <v>550</v>
      </c>
      <c r="BJ648" t="s">
        <v>552</v>
      </c>
      <c r="BK648" t="s">
        <v>552</v>
      </c>
      <c r="BL648" t="s">
        <v>552</v>
      </c>
      <c r="BM648" t="s">
        <v>3384</v>
      </c>
      <c r="BN648" t="s">
        <v>3633</v>
      </c>
      <c r="BO648" t="s">
        <v>3634</v>
      </c>
      <c r="BR648" t="s">
        <v>546</v>
      </c>
      <c r="BS648" s="1">
        <v>9767.4</v>
      </c>
      <c r="BW648" t="s">
        <v>536</v>
      </c>
      <c r="BZ648" t="s">
        <v>535</v>
      </c>
      <c r="CA648" t="s">
        <v>546</v>
      </c>
      <c r="CB648" t="s">
        <v>3384</v>
      </c>
      <c r="CC648" t="s">
        <v>556</v>
      </c>
      <c r="CH648" t="s">
        <v>546</v>
      </c>
      <c r="CK648" t="s">
        <v>3635</v>
      </c>
      <c r="CN648" t="s">
        <v>535</v>
      </c>
      <c r="CO648" t="s">
        <v>539</v>
      </c>
      <c r="CT648" t="s">
        <v>1789</v>
      </c>
      <c r="CW648" t="s">
        <v>546</v>
      </c>
      <c r="DD648" t="s">
        <v>561</v>
      </c>
    </row>
    <row r="649" ht="15" customHeight="1" spans="1:122">
      <c r="A649" t="s">
        <v>530</v>
      </c>
      <c r="B649" t="s">
        <v>3636</v>
      </c>
      <c r="C649" t="s">
        <v>532</v>
      </c>
      <c r="D649" t="s">
        <v>3637</v>
      </c>
      <c r="E649" t="s">
        <v>534</v>
      </c>
      <c r="F649" t="s">
        <v>534</v>
      </c>
      <c r="G649" t="s">
        <v>535</v>
      </c>
      <c r="H649" s="1">
        <v>2680</v>
      </c>
      <c r="I649" s="1">
        <v>2663.92</v>
      </c>
      <c r="J649" t="s">
        <v>536</v>
      </c>
      <c r="L649" t="s">
        <v>536</v>
      </c>
      <c r="M649" t="s">
        <v>375</v>
      </c>
      <c r="N649" t="s">
        <v>537</v>
      </c>
      <c r="P649" s="1">
        <v>2680</v>
      </c>
      <c r="Q649" t="s">
        <v>580</v>
      </c>
      <c r="R649" t="s">
        <v>535</v>
      </c>
      <c r="S649" t="s">
        <v>539</v>
      </c>
      <c r="T649" s="2">
        <v>1</v>
      </c>
      <c r="U649" s="1">
        <v>2680</v>
      </c>
      <c r="V649" s="1">
        <v>2663.92</v>
      </c>
      <c r="X649" t="s">
        <v>540</v>
      </c>
      <c r="Z649" t="s">
        <v>541</v>
      </c>
      <c r="AA649" t="s">
        <v>542</v>
      </c>
      <c r="AB649" t="s">
        <v>543</v>
      </c>
      <c r="AC649" t="s">
        <v>544</v>
      </c>
      <c r="AD649" t="s">
        <v>545</v>
      </c>
      <c r="AE649" s="3">
        <v>1</v>
      </c>
      <c r="AF649" t="s">
        <v>270</v>
      </c>
      <c r="AG649" s="1">
        <v>2680</v>
      </c>
      <c r="AI649" s="1">
        <v>2680</v>
      </c>
      <c r="AJ649" s="1">
        <v>2680</v>
      </c>
      <c r="AK649" s="1">
        <v>16.08</v>
      </c>
      <c r="AM649" s="1">
        <v>2663.92</v>
      </c>
      <c r="AN649" t="s">
        <v>536</v>
      </c>
      <c r="AO649" t="s">
        <v>546</v>
      </c>
      <c r="AP649" t="s">
        <v>547</v>
      </c>
      <c r="AQ649" t="s">
        <v>548</v>
      </c>
      <c r="AS649" t="s">
        <v>375</v>
      </c>
      <c r="AX649" s="1">
        <v>2680</v>
      </c>
      <c r="AY649" t="s">
        <v>546</v>
      </c>
      <c r="AZ649" t="s">
        <v>549</v>
      </c>
      <c r="BA649" s="1">
        <v>2680</v>
      </c>
      <c r="BC649" t="s">
        <v>546</v>
      </c>
      <c r="BD649" s="1">
        <v>2680</v>
      </c>
      <c r="BE649" t="s">
        <v>540</v>
      </c>
      <c r="BF649" s="1">
        <v>2680</v>
      </c>
      <c r="BG649" s="1">
        <v>16.08</v>
      </c>
      <c r="BH649" s="1">
        <v>2663.92</v>
      </c>
      <c r="BI649" t="s">
        <v>550</v>
      </c>
      <c r="BJ649" t="s">
        <v>551</v>
      </c>
      <c r="BK649" t="s">
        <v>552</v>
      </c>
      <c r="BL649" t="s">
        <v>552</v>
      </c>
      <c r="BM649" t="s">
        <v>3534</v>
      </c>
      <c r="BN649" t="s">
        <v>3638</v>
      </c>
      <c r="BO649" t="s">
        <v>3639</v>
      </c>
      <c r="BR649" t="s">
        <v>546</v>
      </c>
      <c r="BS649" s="1">
        <v>2680</v>
      </c>
      <c r="BW649" t="s">
        <v>536</v>
      </c>
      <c r="BX649" s="1">
        <v>2680</v>
      </c>
      <c r="BZ649" t="s">
        <v>535</v>
      </c>
      <c r="CA649" t="s">
        <v>546</v>
      </c>
      <c r="CB649" t="s">
        <v>3637</v>
      </c>
      <c r="CC649" t="s">
        <v>556</v>
      </c>
      <c r="CD649" t="s">
        <v>1891</v>
      </c>
      <c r="CE649" t="s">
        <v>1892</v>
      </c>
      <c r="CF649" t="s">
        <v>270</v>
      </c>
      <c r="CG649" s="4">
        <v>1</v>
      </c>
      <c r="CH649" t="s">
        <v>546</v>
      </c>
      <c r="CK649" t="s">
        <v>3640</v>
      </c>
      <c r="CL649" s="1">
        <v>2680</v>
      </c>
      <c r="CN649" t="s">
        <v>535</v>
      </c>
      <c r="CO649" t="s">
        <v>539</v>
      </c>
      <c r="CT649" t="s">
        <v>576</v>
      </c>
      <c r="CW649" t="s">
        <v>546</v>
      </c>
      <c r="DD649" t="s">
        <v>561</v>
      </c>
      <c r="DK649" t="s">
        <v>3641</v>
      </c>
      <c r="DL649" t="s">
        <v>3642</v>
      </c>
    </row>
    <row r="650" ht="15" customHeight="1" spans="1:122">
      <c r="A650" t="s">
        <v>530</v>
      </c>
      <c r="B650" t="s">
        <v>3643</v>
      </c>
      <c r="C650" t="s">
        <v>532</v>
      </c>
      <c r="D650" t="s">
        <v>3637</v>
      </c>
      <c r="E650" t="s">
        <v>534</v>
      </c>
      <c r="F650" t="s">
        <v>534</v>
      </c>
      <c r="G650" t="s">
        <v>535</v>
      </c>
      <c r="H650" s="1">
        <v>670</v>
      </c>
      <c r="I650" s="1">
        <v>670</v>
      </c>
      <c r="J650" t="s">
        <v>536</v>
      </c>
      <c r="L650" t="s">
        <v>536</v>
      </c>
      <c r="M650" t="s">
        <v>375</v>
      </c>
      <c r="N650" t="s">
        <v>537</v>
      </c>
      <c r="P650" s="1">
        <v>670</v>
      </c>
      <c r="Q650" t="s">
        <v>580</v>
      </c>
      <c r="R650" t="s">
        <v>535</v>
      </c>
      <c r="S650" t="s">
        <v>539</v>
      </c>
      <c r="T650" s="2">
        <v>1</v>
      </c>
      <c r="U650" s="1">
        <v>670</v>
      </c>
      <c r="V650" s="1">
        <v>670</v>
      </c>
      <c r="X650" t="s">
        <v>540</v>
      </c>
      <c r="Z650" t="s">
        <v>541</v>
      </c>
      <c r="AA650" t="s">
        <v>542</v>
      </c>
      <c r="AB650" t="s">
        <v>543</v>
      </c>
      <c r="AC650" t="s">
        <v>544</v>
      </c>
      <c r="AD650" t="s">
        <v>545</v>
      </c>
      <c r="AE650" s="3">
        <v>1</v>
      </c>
      <c r="AF650" t="s">
        <v>270</v>
      </c>
      <c r="AG650" s="1">
        <v>670</v>
      </c>
      <c r="AI650" s="1">
        <v>670</v>
      </c>
      <c r="AJ650" s="1">
        <v>670</v>
      </c>
      <c r="AM650" s="1">
        <v>670</v>
      </c>
      <c r="AN650" t="s">
        <v>565</v>
      </c>
      <c r="AO650" t="s">
        <v>546</v>
      </c>
      <c r="AP650" t="s">
        <v>565</v>
      </c>
      <c r="AQ650" t="s">
        <v>548</v>
      </c>
      <c r="AS650" t="s">
        <v>375</v>
      </c>
      <c r="AX650" s="1">
        <v>670</v>
      </c>
      <c r="AY650" t="s">
        <v>546</v>
      </c>
      <c r="AZ650" t="s">
        <v>566</v>
      </c>
      <c r="BA650" s="1">
        <v>670</v>
      </c>
      <c r="BC650" t="s">
        <v>546</v>
      </c>
      <c r="BD650" s="1">
        <v>670</v>
      </c>
      <c r="BE650" t="s">
        <v>540</v>
      </c>
      <c r="BF650" s="1">
        <v>670</v>
      </c>
      <c r="BH650" s="1">
        <v>670</v>
      </c>
      <c r="BI650" t="s">
        <v>550</v>
      </c>
      <c r="BJ650" t="s">
        <v>551</v>
      </c>
      <c r="BK650" t="s">
        <v>552</v>
      </c>
      <c r="BL650" t="s">
        <v>552</v>
      </c>
      <c r="BM650" t="s">
        <v>3534</v>
      </c>
      <c r="BN650" t="s">
        <v>3644</v>
      </c>
      <c r="BO650" t="s">
        <v>3645</v>
      </c>
      <c r="BR650" t="s">
        <v>546</v>
      </c>
      <c r="BS650" s="1">
        <v>670</v>
      </c>
      <c r="BW650" t="s">
        <v>536</v>
      </c>
      <c r="BX650" s="1">
        <v>670</v>
      </c>
      <c r="BZ650" t="s">
        <v>535</v>
      </c>
      <c r="CA650" t="s">
        <v>546</v>
      </c>
      <c r="CB650" t="s">
        <v>3637</v>
      </c>
      <c r="CC650" t="s">
        <v>556</v>
      </c>
      <c r="CD650" t="s">
        <v>1891</v>
      </c>
      <c r="CE650" t="s">
        <v>1892</v>
      </c>
      <c r="CF650" t="s">
        <v>270</v>
      </c>
      <c r="CG650" s="4">
        <v>1</v>
      </c>
      <c r="CH650" t="s">
        <v>546</v>
      </c>
      <c r="CK650" t="s">
        <v>3640</v>
      </c>
      <c r="CL650" s="1">
        <v>670</v>
      </c>
      <c r="CN650" t="s">
        <v>535</v>
      </c>
      <c r="CO650" t="s">
        <v>539</v>
      </c>
      <c r="CT650" t="s">
        <v>576</v>
      </c>
      <c r="CW650" t="s">
        <v>546</v>
      </c>
      <c r="DD650" t="s">
        <v>561</v>
      </c>
      <c r="DK650" t="s">
        <v>3641</v>
      </c>
      <c r="DL650" t="s">
        <v>3642</v>
      </c>
    </row>
    <row r="651" ht="15" customHeight="1" spans="1:122">
      <c r="A651" t="s">
        <v>603</v>
      </c>
      <c r="B651" t="s">
        <v>3646</v>
      </c>
      <c r="C651" t="s">
        <v>532</v>
      </c>
      <c r="D651" t="s">
        <v>3534</v>
      </c>
      <c r="E651" t="s">
        <v>534</v>
      </c>
      <c r="F651" t="s">
        <v>534</v>
      </c>
      <c r="G651" t="s">
        <v>535</v>
      </c>
      <c r="H651" s="1">
        <v>5000</v>
      </c>
      <c r="I651" s="1">
        <v>5000</v>
      </c>
      <c r="J651" t="s">
        <v>536</v>
      </c>
      <c r="L651" t="s">
        <v>536</v>
      </c>
      <c r="M651" t="s">
        <v>378</v>
      </c>
      <c r="N651" t="s">
        <v>537</v>
      </c>
      <c r="P651" s="1">
        <v>5000</v>
      </c>
      <c r="Q651" t="s">
        <v>905</v>
      </c>
      <c r="R651" t="s">
        <v>535</v>
      </c>
      <c r="S651" t="s">
        <v>539</v>
      </c>
      <c r="T651" s="2">
        <v>1</v>
      </c>
      <c r="U651" s="1">
        <v>5000</v>
      </c>
      <c r="V651" s="1">
        <v>5000</v>
      </c>
      <c r="X651" t="s">
        <v>616</v>
      </c>
      <c r="Z651" t="s">
        <v>541</v>
      </c>
      <c r="AA651" t="s">
        <v>542</v>
      </c>
      <c r="AB651" t="s">
        <v>543</v>
      </c>
      <c r="AC651" t="s">
        <v>608</v>
      </c>
      <c r="AE651" s="3">
        <v>1</v>
      </c>
      <c r="AG651" s="1">
        <v>5000</v>
      </c>
      <c r="AI651" s="1">
        <v>5000</v>
      </c>
      <c r="AJ651" s="1">
        <v>5000</v>
      </c>
      <c r="AM651" s="1">
        <v>5000</v>
      </c>
      <c r="AN651" t="s">
        <v>536</v>
      </c>
      <c r="AO651" t="s">
        <v>546</v>
      </c>
      <c r="AP651" t="s">
        <v>547</v>
      </c>
      <c r="AQ651" t="s">
        <v>548</v>
      </c>
      <c r="AS651" t="s">
        <v>378</v>
      </c>
      <c r="AX651" s="1">
        <v>5000</v>
      </c>
      <c r="AY651" t="s">
        <v>546</v>
      </c>
      <c r="AZ651" t="s">
        <v>549</v>
      </c>
      <c r="BA651" s="1">
        <v>5000</v>
      </c>
      <c r="BC651" t="s">
        <v>546</v>
      </c>
      <c r="BE651" t="s">
        <v>616</v>
      </c>
      <c r="BH651" s="1">
        <v>5000</v>
      </c>
      <c r="BI651" t="s">
        <v>550</v>
      </c>
      <c r="BJ651" t="s">
        <v>551</v>
      </c>
      <c r="BK651" t="s">
        <v>551</v>
      </c>
      <c r="BL651" t="s">
        <v>552</v>
      </c>
      <c r="BM651" t="s">
        <v>3534</v>
      </c>
      <c r="BN651" t="s">
        <v>3647</v>
      </c>
      <c r="BO651" t="s">
        <v>3648</v>
      </c>
      <c r="BR651" t="s">
        <v>546</v>
      </c>
      <c r="BS651" s="1">
        <v>5000</v>
      </c>
      <c r="BW651" t="s">
        <v>536</v>
      </c>
      <c r="BZ651" t="s">
        <v>535</v>
      </c>
      <c r="CA651" t="s">
        <v>546</v>
      </c>
      <c r="CB651" t="s">
        <v>3534</v>
      </c>
      <c r="CC651" t="s">
        <v>556</v>
      </c>
      <c r="CH651" t="s">
        <v>546</v>
      </c>
      <c r="CK651" t="s">
        <v>3649</v>
      </c>
      <c r="CN651" t="s">
        <v>535</v>
      </c>
      <c r="CO651" t="s">
        <v>539</v>
      </c>
      <c r="CT651" t="s">
        <v>1125</v>
      </c>
      <c r="CW651" t="s">
        <v>546</v>
      </c>
      <c r="DD651" t="s">
        <v>561</v>
      </c>
    </row>
    <row r="652" ht="15" customHeight="1" spans="1:122">
      <c r="A652" t="s">
        <v>603</v>
      </c>
      <c r="B652" t="s">
        <v>3650</v>
      </c>
      <c r="C652" t="s">
        <v>532</v>
      </c>
      <c r="D652" t="s">
        <v>3534</v>
      </c>
      <c r="E652" t="s">
        <v>534</v>
      </c>
      <c r="F652" t="s">
        <v>534</v>
      </c>
      <c r="G652" t="s">
        <v>535</v>
      </c>
      <c r="H652" s="1">
        <v>18473</v>
      </c>
      <c r="I652" s="1">
        <v>18362.15</v>
      </c>
      <c r="J652" t="s">
        <v>536</v>
      </c>
      <c r="L652" t="s">
        <v>536</v>
      </c>
      <c r="M652" t="s">
        <v>411</v>
      </c>
      <c r="N652" t="s">
        <v>369</v>
      </c>
      <c r="P652" s="1">
        <v>18473</v>
      </c>
      <c r="Q652" t="s">
        <v>606</v>
      </c>
      <c r="R652" t="s">
        <v>535</v>
      </c>
      <c r="S652" t="s">
        <v>539</v>
      </c>
      <c r="T652" s="2">
        <v>1</v>
      </c>
      <c r="U652" s="1">
        <v>18473</v>
      </c>
      <c r="V652" s="1">
        <v>18362.15</v>
      </c>
      <c r="X652" t="s">
        <v>616</v>
      </c>
      <c r="Z652" t="s">
        <v>541</v>
      </c>
      <c r="AA652" t="s">
        <v>542</v>
      </c>
      <c r="AB652" t="s">
        <v>543</v>
      </c>
      <c r="AC652" t="s">
        <v>608</v>
      </c>
      <c r="AE652" s="3">
        <v>1</v>
      </c>
      <c r="AG652" s="1">
        <v>2686</v>
      </c>
      <c r="AI652" s="1">
        <v>18473</v>
      </c>
      <c r="AJ652" s="1">
        <v>2686</v>
      </c>
      <c r="AK652" s="1">
        <v>16.12</v>
      </c>
      <c r="AM652" s="1">
        <v>2669.88</v>
      </c>
      <c r="AN652" t="s">
        <v>536</v>
      </c>
      <c r="AO652" t="s">
        <v>546</v>
      </c>
      <c r="AP652" t="s">
        <v>547</v>
      </c>
      <c r="AQ652" t="s">
        <v>548</v>
      </c>
      <c r="AS652" t="s">
        <v>411</v>
      </c>
      <c r="AX652" s="1">
        <v>2686</v>
      </c>
      <c r="AY652" t="s">
        <v>546</v>
      </c>
      <c r="AZ652" t="s">
        <v>549</v>
      </c>
      <c r="BA652" s="1">
        <v>2686</v>
      </c>
      <c r="BB652" t="s">
        <v>3651</v>
      </c>
      <c r="BC652" t="s">
        <v>546</v>
      </c>
      <c r="BE652" t="s">
        <v>616</v>
      </c>
      <c r="BG652" s="1">
        <v>16.12</v>
      </c>
      <c r="BH652" s="1">
        <v>2669.88</v>
      </c>
      <c r="BI652" t="s">
        <v>550</v>
      </c>
      <c r="BJ652" t="s">
        <v>610</v>
      </c>
      <c r="BK652" t="s">
        <v>552</v>
      </c>
      <c r="BL652" t="s">
        <v>552</v>
      </c>
      <c r="BM652" t="s">
        <v>3534</v>
      </c>
      <c r="BN652" t="s">
        <v>3652</v>
      </c>
      <c r="BO652" t="s">
        <v>3653</v>
      </c>
      <c r="BR652" t="s">
        <v>546</v>
      </c>
      <c r="BS652" s="1">
        <v>2686</v>
      </c>
      <c r="BW652" t="s">
        <v>536</v>
      </c>
      <c r="BZ652" t="s">
        <v>535</v>
      </c>
      <c r="CA652" t="s">
        <v>546</v>
      </c>
      <c r="CB652" t="s">
        <v>3534</v>
      </c>
      <c r="CC652" t="s">
        <v>556</v>
      </c>
      <c r="CH652" t="s">
        <v>546</v>
      </c>
      <c r="CK652" t="s">
        <v>3654</v>
      </c>
      <c r="CN652" t="s">
        <v>535</v>
      </c>
      <c r="CO652" t="s">
        <v>539</v>
      </c>
      <c r="CT652" t="s">
        <v>576</v>
      </c>
      <c r="CW652" t="s">
        <v>546</v>
      </c>
      <c r="DD652" t="s">
        <v>561</v>
      </c>
      <c r="DK652" t="s">
        <v>3655</v>
      </c>
      <c r="DR652" t="s">
        <v>3655</v>
      </c>
    </row>
    <row r="653" ht="15" customHeight="1" spans="1:122">
      <c r="AB653" t="s">
        <v>543</v>
      </c>
      <c r="AC653" t="s">
        <v>608</v>
      </c>
      <c r="AG653" s="1">
        <v>3460</v>
      </c>
      <c r="AJ653" s="1">
        <v>3460</v>
      </c>
      <c r="AK653" s="1">
        <v>20.76</v>
      </c>
      <c r="AM653" s="1">
        <v>3439.24</v>
      </c>
      <c r="AN653" t="s">
        <v>536</v>
      </c>
      <c r="AP653" t="s">
        <v>547</v>
      </c>
      <c r="AX653" s="1">
        <v>3460</v>
      </c>
      <c r="AZ653" t="s">
        <v>549</v>
      </c>
      <c r="BA653" s="1">
        <v>3460</v>
      </c>
      <c r="BB653" t="s">
        <v>3656</v>
      </c>
      <c r="BC653" t="s">
        <v>546</v>
      </c>
      <c r="BE653" t="s">
        <v>616</v>
      </c>
      <c r="BG653" s="1">
        <v>20.76</v>
      </c>
      <c r="BH653" s="1">
        <v>3439.24</v>
      </c>
      <c r="BS653" s="1">
        <v>3460</v>
      </c>
      <c r="CB653" t="s">
        <v>3534</v>
      </c>
      <c r="CC653" t="s">
        <v>556</v>
      </c>
      <c r="DD653" t="s">
        <v>561</v>
      </c>
    </row>
    <row r="654" ht="15" customHeight="1" spans="1:122">
      <c r="AB654" t="s">
        <v>543</v>
      </c>
      <c r="AC654" t="s">
        <v>608</v>
      </c>
      <c r="AG654" s="1">
        <v>2764</v>
      </c>
      <c r="AJ654" s="1">
        <v>2764</v>
      </c>
      <c r="AK654" s="1">
        <v>16.58</v>
      </c>
      <c r="AM654" s="1">
        <v>2747.42</v>
      </c>
      <c r="AN654" t="s">
        <v>536</v>
      </c>
      <c r="AP654" t="s">
        <v>547</v>
      </c>
      <c r="AX654" s="1">
        <v>2764</v>
      </c>
      <c r="AZ654" t="s">
        <v>549</v>
      </c>
      <c r="BA654" s="1">
        <v>2764</v>
      </c>
      <c r="BB654" t="s">
        <v>3657</v>
      </c>
      <c r="BC654" t="s">
        <v>546</v>
      </c>
      <c r="BE654" t="s">
        <v>616</v>
      </c>
      <c r="BG654" s="1">
        <v>16.58</v>
      </c>
      <c r="BH654" s="1">
        <v>2747.42</v>
      </c>
      <c r="BS654" s="1">
        <v>2764</v>
      </c>
      <c r="CB654" t="s">
        <v>3534</v>
      </c>
      <c r="CC654" t="s">
        <v>556</v>
      </c>
      <c r="DD654" t="s">
        <v>561</v>
      </c>
    </row>
    <row r="655" ht="15" customHeight="1" spans="1:122">
      <c r="AB655" t="s">
        <v>543</v>
      </c>
      <c r="AC655" t="s">
        <v>608</v>
      </c>
      <c r="AG655" s="1">
        <v>2686</v>
      </c>
      <c r="AJ655" s="1">
        <v>2686</v>
      </c>
      <c r="AK655" s="1">
        <v>16.12</v>
      </c>
      <c r="AM655" s="1">
        <v>2669.88</v>
      </c>
      <c r="AN655" t="s">
        <v>536</v>
      </c>
      <c r="AP655" t="s">
        <v>547</v>
      </c>
      <c r="AX655" s="1">
        <v>2686</v>
      </c>
      <c r="AZ655" t="s">
        <v>549</v>
      </c>
      <c r="BA655" s="1">
        <v>2686</v>
      </c>
      <c r="BB655" t="s">
        <v>3658</v>
      </c>
      <c r="BC655" t="s">
        <v>546</v>
      </c>
      <c r="BE655" t="s">
        <v>616</v>
      </c>
      <c r="BG655" s="1">
        <v>16.12</v>
      </c>
      <c r="BH655" s="1">
        <v>2669.88</v>
      </c>
      <c r="BS655" s="1">
        <v>2686</v>
      </c>
      <c r="CB655" t="s">
        <v>3534</v>
      </c>
      <c r="CC655" t="s">
        <v>556</v>
      </c>
      <c r="DD655" t="s">
        <v>561</v>
      </c>
    </row>
    <row r="656" ht="15" customHeight="1" spans="1:122">
      <c r="AB656" t="s">
        <v>543</v>
      </c>
      <c r="AC656" t="s">
        <v>608</v>
      </c>
      <c r="AG656" s="1">
        <v>2976</v>
      </c>
      <c r="AJ656" s="1">
        <v>2976</v>
      </c>
      <c r="AK656" s="1">
        <v>17.86</v>
      </c>
      <c r="AM656" s="1">
        <v>2958.14</v>
      </c>
      <c r="AN656" t="s">
        <v>536</v>
      </c>
      <c r="AP656" t="s">
        <v>547</v>
      </c>
      <c r="AX656" s="1">
        <v>2976</v>
      </c>
      <c r="AZ656" t="s">
        <v>549</v>
      </c>
      <c r="BA656" s="1">
        <v>2976</v>
      </c>
      <c r="BB656" t="s">
        <v>3659</v>
      </c>
      <c r="BC656" t="s">
        <v>546</v>
      </c>
      <c r="BE656" t="s">
        <v>616</v>
      </c>
      <c r="BG656" s="1">
        <v>17.86</v>
      </c>
      <c r="BH656" s="1">
        <v>2958.14</v>
      </c>
      <c r="BS656" s="1">
        <v>2976</v>
      </c>
      <c r="CB656" t="s">
        <v>3534</v>
      </c>
      <c r="CC656" t="s">
        <v>556</v>
      </c>
      <c r="DD656" t="s">
        <v>561</v>
      </c>
    </row>
    <row r="657" ht="15" customHeight="1" spans="1:122">
      <c r="AB657" t="s">
        <v>543</v>
      </c>
      <c r="AC657" t="s">
        <v>608</v>
      </c>
      <c r="AG657" s="1">
        <v>3901</v>
      </c>
      <c r="AJ657" s="1">
        <v>3901</v>
      </c>
      <c r="AK657" s="1">
        <v>23.41</v>
      </c>
      <c r="AM657" s="1">
        <v>3877.59</v>
      </c>
      <c r="AN657" t="s">
        <v>536</v>
      </c>
      <c r="AP657" t="s">
        <v>547</v>
      </c>
      <c r="AX657" s="1">
        <v>3901</v>
      </c>
      <c r="AZ657" t="s">
        <v>549</v>
      </c>
      <c r="BA657" s="1">
        <v>3901</v>
      </c>
      <c r="BB657" t="s">
        <v>3660</v>
      </c>
      <c r="BC657" t="s">
        <v>546</v>
      </c>
      <c r="BE657" t="s">
        <v>616</v>
      </c>
      <c r="BG657" s="1">
        <v>23.41</v>
      </c>
      <c r="BH657" s="1">
        <v>3877.59</v>
      </c>
      <c r="BS657" s="1">
        <v>3901</v>
      </c>
      <c r="CB657" t="s">
        <v>3534</v>
      </c>
      <c r="CC657" t="s">
        <v>556</v>
      </c>
      <c r="DD657" t="s">
        <v>561</v>
      </c>
    </row>
    <row r="658" ht="15" customHeight="1" spans="1:122">
      <c r="A658" t="s">
        <v>603</v>
      </c>
      <c r="B658" t="s">
        <v>3661</v>
      </c>
      <c r="C658" t="s">
        <v>532</v>
      </c>
      <c r="D658" t="s">
        <v>3637</v>
      </c>
      <c r="E658" t="s">
        <v>534</v>
      </c>
      <c r="F658" t="s">
        <v>534</v>
      </c>
      <c r="G658" t="s">
        <v>535</v>
      </c>
      <c r="H658" s="1">
        <v>32317</v>
      </c>
      <c r="I658" s="1">
        <v>32123.07</v>
      </c>
      <c r="J658" t="s">
        <v>536</v>
      </c>
      <c r="L658" t="s">
        <v>536</v>
      </c>
      <c r="M658" t="s">
        <v>411</v>
      </c>
      <c r="N658" t="s">
        <v>369</v>
      </c>
      <c r="P658" s="1">
        <v>32317</v>
      </c>
      <c r="Q658" t="s">
        <v>606</v>
      </c>
      <c r="R658" t="s">
        <v>535</v>
      </c>
      <c r="S658" t="s">
        <v>539</v>
      </c>
      <c r="T658" s="2">
        <v>1</v>
      </c>
      <c r="U658" s="1">
        <v>32317</v>
      </c>
      <c r="V658" s="1">
        <v>32123.07</v>
      </c>
      <c r="X658" t="s">
        <v>616</v>
      </c>
      <c r="Z658" t="s">
        <v>541</v>
      </c>
      <c r="AA658" t="s">
        <v>542</v>
      </c>
      <c r="AB658" t="s">
        <v>543</v>
      </c>
      <c r="AC658" t="s">
        <v>608</v>
      </c>
      <c r="AE658" s="3">
        <v>1</v>
      </c>
      <c r="AG658" s="1">
        <v>2686</v>
      </c>
      <c r="AI658" s="1">
        <v>32317</v>
      </c>
      <c r="AJ658" s="1">
        <v>2686</v>
      </c>
      <c r="AK658" s="1">
        <v>16.12</v>
      </c>
      <c r="AM658" s="1">
        <v>2669.88</v>
      </c>
      <c r="AN658" t="s">
        <v>536</v>
      </c>
      <c r="AO658" t="s">
        <v>546</v>
      </c>
      <c r="AP658" t="s">
        <v>547</v>
      </c>
      <c r="AQ658" t="s">
        <v>548</v>
      </c>
      <c r="AS658" t="s">
        <v>411</v>
      </c>
      <c r="AX658" s="1">
        <v>2686</v>
      </c>
      <c r="AY658" t="s">
        <v>546</v>
      </c>
      <c r="AZ658" t="s">
        <v>549</v>
      </c>
      <c r="BA658" s="1">
        <v>2686</v>
      </c>
      <c r="BB658" t="s">
        <v>3662</v>
      </c>
      <c r="BC658" t="s">
        <v>546</v>
      </c>
      <c r="BE658" t="s">
        <v>616</v>
      </c>
      <c r="BG658" s="1">
        <v>16.12</v>
      </c>
      <c r="BH658" s="1">
        <v>2669.88</v>
      </c>
      <c r="BI658" t="s">
        <v>550</v>
      </c>
      <c r="BJ658" t="s">
        <v>610</v>
      </c>
      <c r="BK658" t="s">
        <v>552</v>
      </c>
      <c r="BL658" t="s">
        <v>552</v>
      </c>
      <c r="BM658" t="s">
        <v>3534</v>
      </c>
      <c r="BN658" t="s">
        <v>3663</v>
      </c>
      <c r="BO658" t="s">
        <v>3664</v>
      </c>
      <c r="BR658" t="s">
        <v>546</v>
      </c>
      <c r="BS658" s="1">
        <v>2686</v>
      </c>
      <c r="BW658" t="s">
        <v>536</v>
      </c>
      <c r="BZ658" t="s">
        <v>535</v>
      </c>
      <c r="CA658" t="s">
        <v>546</v>
      </c>
      <c r="CB658" t="s">
        <v>3637</v>
      </c>
      <c r="CC658" t="s">
        <v>556</v>
      </c>
      <c r="CH658" t="s">
        <v>546</v>
      </c>
      <c r="CK658" t="s">
        <v>3665</v>
      </c>
      <c r="CN658" t="s">
        <v>535</v>
      </c>
      <c r="CO658" t="s">
        <v>539</v>
      </c>
      <c r="CT658" t="s">
        <v>576</v>
      </c>
      <c r="CW658" t="s">
        <v>546</v>
      </c>
      <c r="DD658" t="s">
        <v>561</v>
      </c>
      <c r="DK658" t="s">
        <v>3666</v>
      </c>
      <c r="DR658" t="s">
        <v>3666</v>
      </c>
    </row>
    <row r="659" ht="15" customHeight="1" spans="1:122">
      <c r="AB659" t="s">
        <v>543</v>
      </c>
      <c r="AC659" t="s">
        <v>608</v>
      </c>
      <c r="AG659" s="1">
        <v>2686</v>
      </c>
      <c r="AJ659" s="1">
        <v>2686</v>
      </c>
      <c r="AK659" s="1">
        <v>16.12</v>
      </c>
      <c r="AM659" s="1">
        <v>2669.88</v>
      </c>
      <c r="AN659" t="s">
        <v>536</v>
      </c>
      <c r="AP659" t="s">
        <v>547</v>
      </c>
      <c r="AX659" s="1">
        <v>2686</v>
      </c>
      <c r="AZ659" t="s">
        <v>549</v>
      </c>
      <c r="BA659" s="1">
        <v>2686</v>
      </c>
      <c r="BB659" t="s">
        <v>3667</v>
      </c>
      <c r="BC659" t="s">
        <v>546</v>
      </c>
      <c r="BE659" t="s">
        <v>616</v>
      </c>
      <c r="BG659" s="1">
        <v>16.12</v>
      </c>
      <c r="BH659" s="1">
        <v>2669.88</v>
      </c>
      <c r="BS659" s="1">
        <v>2686</v>
      </c>
      <c r="CB659" t="s">
        <v>3637</v>
      </c>
      <c r="CC659" t="s">
        <v>556</v>
      </c>
      <c r="DD659" t="s">
        <v>561</v>
      </c>
    </row>
    <row r="660" ht="15" customHeight="1" spans="1:122">
      <c r="AB660" t="s">
        <v>543</v>
      </c>
      <c r="AC660" t="s">
        <v>608</v>
      </c>
      <c r="AG660" s="1">
        <v>2686</v>
      </c>
      <c r="AJ660" s="1">
        <v>2686</v>
      </c>
      <c r="AK660" s="1">
        <v>16.12</v>
      </c>
      <c r="AM660" s="1">
        <v>2669.88</v>
      </c>
      <c r="AN660" t="s">
        <v>536</v>
      </c>
      <c r="AP660" t="s">
        <v>547</v>
      </c>
      <c r="AX660" s="1">
        <v>2686</v>
      </c>
      <c r="AZ660" t="s">
        <v>549</v>
      </c>
      <c r="BA660" s="1">
        <v>2686</v>
      </c>
      <c r="BB660" t="s">
        <v>3668</v>
      </c>
      <c r="BC660" t="s">
        <v>546</v>
      </c>
      <c r="BE660" t="s">
        <v>616</v>
      </c>
      <c r="BG660" s="1">
        <v>16.12</v>
      </c>
      <c r="BH660" s="1">
        <v>2669.88</v>
      </c>
      <c r="BS660" s="1">
        <v>2686</v>
      </c>
      <c r="CB660" t="s">
        <v>3637</v>
      </c>
      <c r="CC660" t="s">
        <v>556</v>
      </c>
      <c r="DD660" t="s">
        <v>561</v>
      </c>
    </row>
    <row r="661" ht="15" customHeight="1" spans="1:122">
      <c r="AB661" t="s">
        <v>543</v>
      </c>
      <c r="AC661" t="s">
        <v>608</v>
      </c>
      <c r="AG661" s="1">
        <v>3701</v>
      </c>
      <c r="AJ661" s="1">
        <v>3701</v>
      </c>
      <c r="AK661" s="1">
        <v>22.21</v>
      </c>
      <c r="AM661" s="1">
        <v>3678.79</v>
      </c>
      <c r="AN661" t="s">
        <v>536</v>
      </c>
      <c r="AP661" t="s">
        <v>547</v>
      </c>
      <c r="AX661" s="1">
        <v>3701</v>
      </c>
      <c r="AZ661" t="s">
        <v>549</v>
      </c>
      <c r="BA661" s="1">
        <v>3701</v>
      </c>
      <c r="BB661" t="s">
        <v>3669</v>
      </c>
      <c r="BC661" t="s">
        <v>546</v>
      </c>
      <c r="BE661" t="s">
        <v>616</v>
      </c>
      <c r="BG661" s="1">
        <v>22.21</v>
      </c>
      <c r="BH661" s="1">
        <v>3678.79</v>
      </c>
      <c r="BS661" s="1">
        <v>3701</v>
      </c>
      <c r="CB661" t="s">
        <v>3637</v>
      </c>
      <c r="CC661" t="s">
        <v>556</v>
      </c>
      <c r="DD661" t="s">
        <v>561</v>
      </c>
    </row>
    <row r="662" ht="15" customHeight="1" spans="1:122">
      <c r="AB662" t="s">
        <v>543</v>
      </c>
      <c r="AC662" t="s">
        <v>608</v>
      </c>
      <c r="AG662" s="1">
        <v>3590</v>
      </c>
      <c r="AJ662" s="1">
        <v>3590</v>
      </c>
      <c r="AK662" s="1">
        <v>21.54</v>
      </c>
      <c r="AM662" s="1">
        <v>3568.46</v>
      </c>
      <c r="AN662" t="s">
        <v>536</v>
      </c>
      <c r="AP662" t="s">
        <v>547</v>
      </c>
      <c r="AX662" s="1">
        <v>3590</v>
      </c>
      <c r="AZ662" t="s">
        <v>549</v>
      </c>
      <c r="BA662" s="1">
        <v>3590</v>
      </c>
      <c r="BB662" t="s">
        <v>3670</v>
      </c>
      <c r="BC662" t="s">
        <v>546</v>
      </c>
      <c r="BE662" t="s">
        <v>616</v>
      </c>
      <c r="BG662" s="1">
        <v>21.54</v>
      </c>
      <c r="BH662" s="1">
        <v>3568.46</v>
      </c>
      <c r="BS662" s="1">
        <v>3590</v>
      </c>
      <c r="CB662" t="s">
        <v>3637</v>
      </c>
      <c r="CC662" t="s">
        <v>556</v>
      </c>
      <c r="DD662" t="s">
        <v>561</v>
      </c>
    </row>
    <row r="663" ht="15" customHeight="1" spans="1:122">
      <c r="AB663" t="s">
        <v>543</v>
      </c>
      <c r="AC663" t="s">
        <v>608</v>
      </c>
      <c r="AG663" s="1">
        <v>2686</v>
      </c>
      <c r="AJ663" s="1">
        <v>2686</v>
      </c>
      <c r="AK663" s="1">
        <v>16.12</v>
      </c>
      <c r="AM663" s="1">
        <v>2669.88</v>
      </c>
      <c r="AN663" t="s">
        <v>536</v>
      </c>
      <c r="AP663" t="s">
        <v>547</v>
      </c>
      <c r="AX663" s="1">
        <v>2686</v>
      </c>
      <c r="AZ663" t="s">
        <v>549</v>
      </c>
      <c r="BA663" s="1">
        <v>2686</v>
      </c>
      <c r="BB663" t="s">
        <v>3671</v>
      </c>
      <c r="BC663" t="s">
        <v>546</v>
      </c>
      <c r="BE663" t="s">
        <v>616</v>
      </c>
      <c r="BG663" s="1">
        <v>16.12</v>
      </c>
      <c r="BH663" s="1">
        <v>2669.88</v>
      </c>
      <c r="BS663" s="1">
        <v>2686</v>
      </c>
      <c r="CB663" t="s">
        <v>3637</v>
      </c>
      <c r="CC663" t="s">
        <v>556</v>
      </c>
      <c r="DD663" t="s">
        <v>561</v>
      </c>
    </row>
    <row r="664" ht="15" customHeight="1" spans="1:122">
      <c r="AB664" t="s">
        <v>543</v>
      </c>
      <c r="AC664" t="s">
        <v>608</v>
      </c>
      <c r="AG664" s="1">
        <v>3460</v>
      </c>
      <c r="AJ664" s="1">
        <v>3460</v>
      </c>
      <c r="AK664" s="1">
        <v>20.76</v>
      </c>
      <c r="AM664" s="1">
        <v>3439.24</v>
      </c>
      <c r="AN664" t="s">
        <v>536</v>
      </c>
      <c r="AP664" t="s">
        <v>547</v>
      </c>
      <c r="AX664" s="1">
        <v>3460</v>
      </c>
      <c r="AZ664" t="s">
        <v>549</v>
      </c>
      <c r="BA664" s="1">
        <v>3460</v>
      </c>
      <c r="BB664" t="s">
        <v>3672</v>
      </c>
      <c r="BC664" t="s">
        <v>546</v>
      </c>
      <c r="BE664" t="s">
        <v>616</v>
      </c>
      <c r="BG664" s="1">
        <v>20.76</v>
      </c>
      <c r="BH664" s="1">
        <v>3439.24</v>
      </c>
      <c r="BS664" s="1">
        <v>3460</v>
      </c>
      <c r="CB664" t="s">
        <v>3637</v>
      </c>
      <c r="CC664" t="s">
        <v>556</v>
      </c>
      <c r="DD664" t="s">
        <v>561</v>
      </c>
    </row>
    <row r="665" ht="15" customHeight="1" spans="1:122">
      <c r="AB665" t="s">
        <v>543</v>
      </c>
      <c r="AC665" t="s">
        <v>608</v>
      </c>
      <c r="AG665" s="1">
        <v>2686</v>
      </c>
      <c r="AJ665" s="1">
        <v>2686</v>
      </c>
      <c r="AK665" s="1">
        <v>16.12</v>
      </c>
      <c r="AM665" s="1">
        <v>2669.88</v>
      </c>
      <c r="AN665" t="s">
        <v>536</v>
      </c>
      <c r="AP665" t="s">
        <v>547</v>
      </c>
      <c r="AX665" s="1">
        <v>2686</v>
      </c>
      <c r="AZ665" t="s">
        <v>549</v>
      </c>
      <c r="BA665" s="1">
        <v>2686</v>
      </c>
      <c r="BB665" t="s">
        <v>3673</v>
      </c>
      <c r="BC665" t="s">
        <v>546</v>
      </c>
      <c r="BE665" t="s">
        <v>616</v>
      </c>
      <c r="BG665" s="1">
        <v>16.12</v>
      </c>
      <c r="BH665" s="1">
        <v>2669.88</v>
      </c>
      <c r="BS665" s="1">
        <v>2686</v>
      </c>
      <c r="CB665" t="s">
        <v>3637</v>
      </c>
      <c r="CC665" t="s">
        <v>556</v>
      </c>
      <c r="DD665" t="s">
        <v>561</v>
      </c>
    </row>
    <row r="666" ht="15" customHeight="1" spans="1:122">
      <c r="AB666" t="s">
        <v>543</v>
      </c>
      <c r="AC666" t="s">
        <v>608</v>
      </c>
      <c r="AG666" s="1">
        <v>2686</v>
      </c>
      <c r="AJ666" s="1">
        <v>2686</v>
      </c>
      <c r="AK666" s="1">
        <v>16.12</v>
      </c>
      <c r="AM666" s="1">
        <v>2669.88</v>
      </c>
      <c r="AN666" t="s">
        <v>536</v>
      </c>
      <c r="AP666" t="s">
        <v>547</v>
      </c>
      <c r="AX666" s="1">
        <v>2686</v>
      </c>
      <c r="AZ666" t="s">
        <v>549</v>
      </c>
      <c r="BA666" s="1">
        <v>2686</v>
      </c>
      <c r="BB666" t="s">
        <v>3674</v>
      </c>
      <c r="BC666" t="s">
        <v>546</v>
      </c>
      <c r="BE666" t="s">
        <v>616</v>
      </c>
      <c r="BG666" s="1">
        <v>16.12</v>
      </c>
      <c r="BH666" s="1">
        <v>2669.88</v>
      </c>
      <c r="BS666" s="1">
        <v>2686</v>
      </c>
      <c r="CB666" t="s">
        <v>3637</v>
      </c>
      <c r="CC666" t="s">
        <v>556</v>
      </c>
      <c r="DD666" t="s">
        <v>561</v>
      </c>
    </row>
    <row r="667" ht="15" customHeight="1" spans="1:122">
      <c r="AB667" t="s">
        <v>543</v>
      </c>
      <c r="AC667" t="s">
        <v>608</v>
      </c>
      <c r="AG667" s="1">
        <v>2686</v>
      </c>
      <c r="AJ667" s="1">
        <v>2686</v>
      </c>
      <c r="AK667" s="1">
        <v>16.12</v>
      </c>
      <c r="AM667" s="1">
        <v>2669.88</v>
      </c>
      <c r="AN667" t="s">
        <v>536</v>
      </c>
      <c r="AP667" t="s">
        <v>547</v>
      </c>
      <c r="AX667" s="1">
        <v>2686</v>
      </c>
      <c r="AZ667" t="s">
        <v>549</v>
      </c>
      <c r="BA667" s="1">
        <v>2686</v>
      </c>
      <c r="BB667" t="s">
        <v>3675</v>
      </c>
      <c r="BC667" t="s">
        <v>546</v>
      </c>
      <c r="BE667" t="s">
        <v>616</v>
      </c>
      <c r="BG667" s="1">
        <v>16.12</v>
      </c>
      <c r="BH667" s="1">
        <v>2669.88</v>
      </c>
      <c r="BS667" s="1">
        <v>2686</v>
      </c>
      <c r="CB667" t="s">
        <v>3637</v>
      </c>
      <c r="CC667" t="s">
        <v>556</v>
      </c>
      <c r="DD667" t="s">
        <v>561</v>
      </c>
    </row>
    <row r="668" ht="15" customHeight="1" spans="1:122">
      <c r="AB668" t="s">
        <v>543</v>
      </c>
      <c r="AC668" t="s">
        <v>608</v>
      </c>
      <c r="AG668" s="1">
        <v>2764</v>
      </c>
      <c r="AJ668" s="1">
        <v>2764</v>
      </c>
      <c r="AK668" s="1">
        <v>16.58</v>
      </c>
      <c r="AM668" s="1">
        <v>2747.42</v>
      </c>
      <c r="AN668" t="s">
        <v>536</v>
      </c>
      <c r="AP668" t="s">
        <v>547</v>
      </c>
      <c r="AX668" s="1">
        <v>2764</v>
      </c>
      <c r="AZ668" t="s">
        <v>549</v>
      </c>
      <c r="BA668" s="1">
        <v>2764</v>
      </c>
      <c r="BB668" t="s">
        <v>3676</v>
      </c>
      <c r="BC668" t="s">
        <v>546</v>
      </c>
      <c r="BE668" t="s">
        <v>616</v>
      </c>
      <c r="BG668" s="1">
        <v>16.58</v>
      </c>
      <c r="BH668" s="1">
        <v>2747.42</v>
      </c>
      <c r="BS668" s="1">
        <v>2764</v>
      </c>
      <c r="CB668" t="s">
        <v>3637</v>
      </c>
      <c r="CC668" t="s">
        <v>556</v>
      </c>
      <c r="DD668" t="s">
        <v>561</v>
      </c>
    </row>
    <row r="669" ht="15" customHeight="1" spans="1:122">
      <c r="A669" t="s">
        <v>603</v>
      </c>
      <c r="B669" t="s">
        <v>3677</v>
      </c>
      <c r="C669" t="s">
        <v>656</v>
      </c>
      <c r="D669" t="s">
        <v>3035</v>
      </c>
      <c r="E669" t="s">
        <v>534</v>
      </c>
      <c r="F669" t="s">
        <v>534</v>
      </c>
      <c r="G669" t="s">
        <v>535</v>
      </c>
      <c r="H669" s="1">
        <v>136.9</v>
      </c>
      <c r="I669" s="1">
        <v>136.9</v>
      </c>
      <c r="J669" t="s">
        <v>536</v>
      </c>
      <c r="L669" t="s">
        <v>536</v>
      </c>
      <c r="M669" t="s">
        <v>394</v>
      </c>
      <c r="N669" t="s">
        <v>657</v>
      </c>
      <c r="P669" s="1">
        <v>136.9</v>
      </c>
      <c r="Q669" t="s">
        <v>658</v>
      </c>
      <c r="R669" t="s">
        <v>535</v>
      </c>
      <c r="S669" t="s">
        <v>539</v>
      </c>
      <c r="T669" s="2">
        <v>1</v>
      </c>
      <c r="U669" s="1">
        <v>136.9</v>
      </c>
      <c r="V669" s="1">
        <v>136.9</v>
      </c>
      <c r="X669" t="s">
        <v>616</v>
      </c>
      <c r="Z669" t="s">
        <v>541</v>
      </c>
      <c r="AA669" t="s">
        <v>542</v>
      </c>
      <c r="AB669" t="s">
        <v>543</v>
      </c>
      <c r="AC669" t="s">
        <v>608</v>
      </c>
      <c r="AE669" s="3">
        <v>1</v>
      </c>
      <c r="AG669" s="1">
        <v>136.9</v>
      </c>
      <c r="AI669" s="1">
        <v>136.9</v>
      </c>
      <c r="AJ669" s="1">
        <v>136.9</v>
      </c>
      <c r="AM669" s="1">
        <v>136.9</v>
      </c>
      <c r="AN669" t="s">
        <v>536</v>
      </c>
      <c r="AO669" t="s">
        <v>546</v>
      </c>
      <c r="AP669" t="s">
        <v>547</v>
      </c>
      <c r="AQ669" t="s">
        <v>548</v>
      </c>
      <c r="AS669" t="s">
        <v>394</v>
      </c>
      <c r="AX669" s="1">
        <v>136.9</v>
      </c>
      <c r="AY669" t="s">
        <v>546</v>
      </c>
      <c r="AZ669" t="s">
        <v>549</v>
      </c>
      <c r="BA669" s="1">
        <v>136.9</v>
      </c>
      <c r="BC669" t="s">
        <v>546</v>
      </c>
      <c r="BE669" t="s">
        <v>616</v>
      </c>
      <c r="BH669" s="1">
        <v>136.9</v>
      </c>
      <c r="BI669" t="s">
        <v>550</v>
      </c>
      <c r="BJ669" t="s">
        <v>683</v>
      </c>
      <c r="BK669" t="s">
        <v>552</v>
      </c>
      <c r="BL669" t="s">
        <v>552</v>
      </c>
      <c r="BM669" t="s">
        <v>3534</v>
      </c>
      <c r="BN669" t="s">
        <v>3678</v>
      </c>
      <c r="BO669" t="s">
        <v>3679</v>
      </c>
      <c r="BR669" t="s">
        <v>546</v>
      </c>
      <c r="BS669" s="1">
        <v>136.9</v>
      </c>
      <c r="BW669" t="s">
        <v>536</v>
      </c>
      <c r="BZ669" t="s">
        <v>535</v>
      </c>
      <c r="CA669" t="s">
        <v>546</v>
      </c>
      <c r="CB669" t="s">
        <v>3035</v>
      </c>
      <c r="CC669" t="s">
        <v>556</v>
      </c>
      <c r="CH669" t="s">
        <v>546</v>
      </c>
      <c r="CK669" t="s">
        <v>3680</v>
      </c>
      <c r="CN669" t="s">
        <v>535</v>
      </c>
      <c r="CO669" t="s">
        <v>539</v>
      </c>
      <c r="CT669" t="s">
        <v>666</v>
      </c>
      <c r="CW669" t="s">
        <v>546</v>
      </c>
      <c r="DD669" t="s">
        <v>561</v>
      </c>
      <c r="DK669" t="s">
        <v>394</v>
      </c>
      <c r="DR669" t="s">
        <v>3681</v>
      </c>
    </row>
    <row r="670" ht="15" customHeight="1" spans="1:122">
      <c r="A670" t="s">
        <v>530</v>
      </c>
      <c r="B670" t="s">
        <v>3682</v>
      </c>
      <c r="C670" t="s">
        <v>532</v>
      </c>
      <c r="D670" t="s">
        <v>3637</v>
      </c>
      <c r="E670" t="s">
        <v>534</v>
      </c>
      <c r="F670" t="s">
        <v>534</v>
      </c>
      <c r="G670" t="s">
        <v>535</v>
      </c>
      <c r="H670" s="1">
        <v>4699</v>
      </c>
      <c r="I670" s="1">
        <v>4688.9</v>
      </c>
      <c r="J670" t="s">
        <v>536</v>
      </c>
      <c r="L670" t="s">
        <v>536</v>
      </c>
      <c r="M670" t="s">
        <v>377</v>
      </c>
      <c r="N670" t="s">
        <v>537</v>
      </c>
      <c r="P670" s="1">
        <v>4699</v>
      </c>
      <c r="Q670" t="s">
        <v>538</v>
      </c>
      <c r="R670" t="s">
        <v>535</v>
      </c>
      <c r="S670" t="s">
        <v>539</v>
      </c>
      <c r="T670" s="2">
        <v>1</v>
      </c>
      <c r="U670" s="1">
        <v>4699</v>
      </c>
      <c r="V670" s="1">
        <v>4688.9</v>
      </c>
      <c r="X670" t="s">
        <v>540</v>
      </c>
      <c r="Z670" t="s">
        <v>541</v>
      </c>
      <c r="AA670" t="s">
        <v>542</v>
      </c>
      <c r="AB670" t="s">
        <v>659</v>
      </c>
      <c r="AC670" t="s">
        <v>544</v>
      </c>
      <c r="AD670" t="s">
        <v>545</v>
      </c>
      <c r="AE670" s="3">
        <v>1</v>
      </c>
      <c r="AF670" t="s">
        <v>272</v>
      </c>
      <c r="AG670" s="1">
        <v>4699</v>
      </c>
      <c r="AI670" s="1">
        <v>4699</v>
      </c>
      <c r="AJ670" s="1">
        <v>4699</v>
      </c>
      <c r="AK670" s="1">
        <v>10.1</v>
      </c>
      <c r="AM670" s="1">
        <v>4688.9</v>
      </c>
      <c r="AN670" t="s">
        <v>536</v>
      </c>
      <c r="AO670" t="s">
        <v>546</v>
      </c>
      <c r="AP670" t="s">
        <v>547</v>
      </c>
      <c r="AQ670" t="s">
        <v>548</v>
      </c>
      <c r="AS670" t="s">
        <v>377</v>
      </c>
      <c r="AX670" s="1">
        <v>4699</v>
      </c>
      <c r="AY670" t="s">
        <v>546</v>
      </c>
      <c r="AZ670" t="s">
        <v>549</v>
      </c>
      <c r="BA670" s="1">
        <v>4699</v>
      </c>
      <c r="BC670" t="s">
        <v>546</v>
      </c>
      <c r="BD670" s="1">
        <v>4699</v>
      </c>
      <c r="BE670" t="s">
        <v>540</v>
      </c>
      <c r="BF670" s="1">
        <v>4699</v>
      </c>
      <c r="BG670" s="1">
        <v>10.1</v>
      </c>
      <c r="BH670" s="1">
        <v>4688.9</v>
      </c>
      <c r="BI670" t="s">
        <v>550</v>
      </c>
      <c r="BJ670" t="s">
        <v>551</v>
      </c>
      <c r="BK670" t="s">
        <v>552</v>
      </c>
      <c r="BL670" t="s">
        <v>552</v>
      </c>
      <c r="BM670" t="s">
        <v>3534</v>
      </c>
      <c r="BN670" t="s">
        <v>3683</v>
      </c>
      <c r="BO670" t="s">
        <v>3684</v>
      </c>
      <c r="BR670" t="s">
        <v>546</v>
      </c>
      <c r="BS670" s="1">
        <v>4699</v>
      </c>
      <c r="BW670" t="s">
        <v>536</v>
      </c>
      <c r="BX670" s="1">
        <v>4699</v>
      </c>
      <c r="BZ670" t="s">
        <v>535</v>
      </c>
      <c r="CA670" t="s">
        <v>546</v>
      </c>
      <c r="CB670" t="s">
        <v>3637</v>
      </c>
      <c r="CC670" t="s">
        <v>556</v>
      </c>
      <c r="CD670" t="s">
        <v>711</v>
      </c>
      <c r="CE670" t="s">
        <v>712</v>
      </c>
      <c r="CF670" t="s">
        <v>272</v>
      </c>
      <c r="CG670" s="4">
        <v>1</v>
      </c>
      <c r="CH670" t="s">
        <v>546</v>
      </c>
      <c r="CK670" t="s">
        <v>3685</v>
      </c>
      <c r="CL670" s="1">
        <v>4699</v>
      </c>
      <c r="CN670" t="s">
        <v>535</v>
      </c>
      <c r="CO670" t="s">
        <v>539</v>
      </c>
      <c r="CT670" t="s">
        <v>560</v>
      </c>
      <c r="CW670" t="s">
        <v>546</v>
      </c>
      <c r="DD670" t="s">
        <v>561</v>
      </c>
      <c r="DK670" t="s">
        <v>3686</v>
      </c>
      <c r="DL670" t="s">
        <v>3687</v>
      </c>
    </row>
    <row r="671" ht="15" customHeight="1" spans="1:122">
      <c r="A671" t="s">
        <v>530</v>
      </c>
      <c r="B671" t="s">
        <v>3688</v>
      </c>
      <c r="C671" t="s">
        <v>532</v>
      </c>
      <c r="D671" t="s">
        <v>3534</v>
      </c>
      <c r="E671" t="s">
        <v>534</v>
      </c>
      <c r="F671" t="s">
        <v>534</v>
      </c>
      <c r="G671" t="s">
        <v>535</v>
      </c>
      <c r="H671" s="1">
        <v>2071</v>
      </c>
      <c r="I671" s="1">
        <v>2071</v>
      </c>
      <c r="J671" t="s">
        <v>536</v>
      </c>
      <c r="L671" t="s">
        <v>536</v>
      </c>
      <c r="M671" t="s">
        <v>377</v>
      </c>
      <c r="N671" t="s">
        <v>537</v>
      </c>
      <c r="P671" s="1">
        <v>2071</v>
      </c>
      <c r="Q671" t="s">
        <v>538</v>
      </c>
      <c r="R671" t="s">
        <v>535</v>
      </c>
      <c r="S671" t="s">
        <v>539</v>
      </c>
      <c r="T671" s="2">
        <v>1</v>
      </c>
      <c r="U671" s="1">
        <v>2071</v>
      </c>
      <c r="V671" s="1">
        <v>2071</v>
      </c>
      <c r="X671" t="s">
        <v>540</v>
      </c>
      <c r="Z671" t="s">
        <v>541</v>
      </c>
      <c r="AA671" t="s">
        <v>542</v>
      </c>
      <c r="AB671" t="s">
        <v>543</v>
      </c>
      <c r="AC671" t="s">
        <v>544</v>
      </c>
      <c r="AD671" t="s">
        <v>545</v>
      </c>
      <c r="AE671" s="3">
        <v>1</v>
      </c>
      <c r="AF671" t="s">
        <v>273</v>
      </c>
      <c r="AG671" s="1">
        <v>2071</v>
      </c>
      <c r="AI671" s="1">
        <v>2071</v>
      </c>
      <c r="AJ671" s="1">
        <v>2071</v>
      </c>
      <c r="AM671" s="1">
        <v>2071</v>
      </c>
      <c r="AN671" t="s">
        <v>643</v>
      </c>
      <c r="AO671" t="s">
        <v>546</v>
      </c>
      <c r="AP671" t="s">
        <v>643</v>
      </c>
      <c r="AQ671" t="s">
        <v>548</v>
      </c>
      <c r="AS671" t="s">
        <v>377</v>
      </c>
      <c r="AX671" s="1">
        <v>2071</v>
      </c>
      <c r="AY671" t="s">
        <v>546</v>
      </c>
      <c r="AZ671" t="s">
        <v>644</v>
      </c>
      <c r="BA671" s="1">
        <v>2071</v>
      </c>
      <c r="BC671" t="s">
        <v>546</v>
      </c>
      <c r="BD671" s="1">
        <v>2071</v>
      </c>
      <c r="BE671" t="s">
        <v>540</v>
      </c>
      <c r="BF671" s="1">
        <v>2071</v>
      </c>
      <c r="BH671" s="1">
        <v>2071</v>
      </c>
      <c r="BI671" t="s">
        <v>550</v>
      </c>
      <c r="BJ671" t="s">
        <v>551</v>
      </c>
      <c r="BK671" t="s">
        <v>551</v>
      </c>
      <c r="BL671" t="s">
        <v>552</v>
      </c>
      <c r="BM671" t="s">
        <v>3534</v>
      </c>
      <c r="BN671" t="s">
        <v>3689</v>
      </c>
      <c r="BO671" t="s">
        <v>3690</v>
      </c>
      <c r="BR671" t="s">
        <v>546</v>
      </c>
      <c r="BS671" s="1">
        <v>2071</v>
      </c>
      <c r="BW671" t="s">
        <v>536</v>
      </c>
      <c r="BX671" s="1">
        <v>2071</v>
      </c>
      <c r="BZ671" t="s">
        <v>535</v>
      </c>
      <c r="CA671" t="s">
        <v>546</v>
      </c>
      <c r="CB671" t="s">
        <v>3534</v>
      </c>
      <c r="CC671" t="s">
        <v>556</v>
      </c>
      <c r="CD671" t="s">
        <v>692</v>
      </c>
      <c r="CE671" t="s">
        <v>693</v>
      </c>
      <c r="CF671" t="s">
        <v>273</v>
      </c>
      <c r="CG671" s="4">
        <v>1</v>
      </c>
      <c r="CH671" t="s">
        <v>546</v>
      </c>
      <c r="CK671" t="s">
        <v>3691</v>
      </c>
      <c r="CL671" s="1">
        <v>2071</v>
      </c>
      <c r="CN671" t="s">
        <v>535</v>
      </c>
      <c r="CO671" t="s">
        <v>539</v>
      </c>
      <c r="CT671" t="s">
        <v>560</v>
      </c>
      <c r="CW671" t="s">
        <v>546</v>
      </c>
      <c r="DD671" t="s">
        <v>561</v>
      </c>
      <c r="DK671" t="s">
        <v>3692</v>
      </c>
      <c r="DL671" t="s">
        <v>3693</v>
      </c>
      <c r="DR671" t="s">
        <v>3694</v>
      </c>
    </row>
    <row r="672" ht="15" customHeight="1" spans="1:122">
      <c r="A672" t="s">
        <v>530</v>
      </c>
      <c r="B672" t="s">
        <v>3695</v>
      </c>
      <c r="C672" t="s">
        <v>532</v>
      </c>
      <c r="D672" t="s">
        <v>3534</v>
      </c>
      <c r="E672" t="s">
        <v>534</v>
      </c>
      <c r="F672" t="s">
        <v>534</v>
      </c>
      <c r="G672" t="s">
        <v>535</v>
      </c>
      <c r="H672" s="1">
        <v>4800</v>
      </c>
      <c r="I672" s="1">
        <v>4800</v>
      </c>
      <c r="J672" t="s">
        <v>536</v>
      </c>
      <c r="L672" t="s">
        <v>536</v>
      </c>
      <c r="M672" t="s">
        <v>375</v>
      </c>
      <c r="N672" t="s">
        <v>537</v>
      </c>
      <c r="P672" s="1">
        <v>4800</v>
      </c>
      <c r="Q672" t="s">
        <v>580</v>
      </c>
      <c r="R672" t="s">
        <v>535</v>
      </c>
      <c r="S672" t="s">
        <v>539</v>
      </c>
      <c r="T672" s="2">
        <v>1</v>
      </c>
      <c r="U672" s="1">
        <v>4800</v>
      </c>
      <c r="V672" s="1">
        <v>4800</v>
      </c>
      <c r="X672" t="s">
        <v>540</v>
      </c>
      <c r="Z672" t="s">
        <v>541</v>
      </c>
      <c r="AA672" t="s">
        <v>542</v>
      </c>
      <c r="AB672" t="s">
        <v>543</v>
      </c>
      <c r="AC672" t="s">
        <v>544</v>
      </c>
      <c r="AD672" t="s">
        <v>545</v>
      </c>
      <c r="AE672" s="3">
        <v>1</v>
      </c>
      <c r="AF672" t="s">
        <v>275</v>
      </c>
      <c r="AG672" s="1">
        <v>4800</v>
      </c>
      <c r="AI672" s="1">
        <v>4800</v>
      </c>
      <c r="AJ672" s="1">
        <v>4800</v>
      </c>
      <c r="AM672" s="1">
        <v>4800</v>
      </c>
      <c r="AN672" t="s">
        <v>643</v>
      </c>
      <c r="AO672" t="s">
        <v>546</v>
      </c>
      <c r="AP672" t="s">
        <v>643</v>
      </c>
      <c r="AQ672" t="s">
        <v>548</v>
      </c>
      <c r="AS672" t="s">
        <v>375</v>
      </c>
      <c r="AX672" s="1">
        <v>4800</v>
      </c>
      <c r="AY672" t="s">
        <v>546</v>
      </c>
      <c r="AZ672" t="s">
        <v>644</v>
      </c>
      <c r="BA672" s="1">
        <v>4800</v>
      </c>
      <c r="BC672" t="s">
        <v>546</v>
      </c>
      <c r="BD672" s="1">
        <v>4800</v>
      </c>
      <c r="BE672" t="s">
        <v>540</v>
      </c>
      <c r="BF672" s="1">
        <v>4800</v>
      </c>
      <c r="BH672" s="1">
        <v>4800</v>
      </c>
      <c r="BI672" t="s">
        <v>550</v>
      </c>
      <c r="BJ672" t="s">
        <v>551</v>
      </c>
      <c r="BK672" t="s">
        <v>551</v>
      </c>
      <c r="BL672" t="s">
        <v>552</v>
      </c>
      <c r="BM672" t="s">
        <v>3637</v>
      </c>
      <c r="BN672" t="s">
        <v>3696</v>
      </c>
      <c r="BO672" t="s">
        <v>3697</v>
      </c>
      <c r="BR672" t="s">
        <v>546</v>
      </c>
      <c r="BS672" s="1">
        <v>4800</v>
      </c>
      <c r="BW672" t="s">
        <v>536</v>
      </c>
      <c r="BX672" s="1">
        <v>4800</v>
      </c>
      <c r="BZ672" t="s">
        <v>535</v>
      </c>
      <c r="CA672" t="s">
        <v>546</v>
      </c>
      <c r="CB672" t="s">
        <v>3534</v>
      </c>
      <c r="CC672" t="s">
        <v>556</v>
      </c>
      <c r="CD672" t="s">
        <v>3184</v>
      </c>
      <c r="CE672" t="s">
        <v>3185</v>
      </c>
      <c r="CF672" t="s">
        <v>275</v>
      </c>
      <c r="CG672" s="4">
        <v>1</v>
      </c>
      <c r="CH672" t="s">
        <v>546</v>
      </c>
      <c r="CK672" t="s">
        <v>3698</v>
      </c>
      <c r="CL672" s="1">
        <v>4800</v>
      </c>
      <c r="CN672" t="s">
        <v>535</v>
      </c>
      <c r="CO672" t="s">
        <v>539</v>
      </c>
      <c r="CT672" t="s">
        <v>576</v>
      </c>
      <c r="CW672" t="s">
        <v>546</v>
      </c>
      <c r="DD672" t="s">
        <v>561</v>
      </c>
      <c r="DK672" t="s">
        <v>3699</v>
      </c>
      <c r="DL672" t="s">
        <v>3700</v>
      </c>
      <c r="DR672" t="s">
        <v>3701</v>
      </c>
    </row>
    <row r="673" ht="15" customHeight="1" spans="1:122">
      <c r="A673" t="s">
        <v>530</v>
      </c>
      <c r="B673" t="s">
        <v>3702</v>
      </c>
      <c r="C673" t="s">
        <v>532</v>
      </c>
      <c r="D673" t="s">
        <v>3534</v>
      </c>
      <c r="E673" t="s">
        <v>534</v>
      </c>
      <c r="F673" t="s">
        <v>534</v>
      </c>
      <c r="G673" t="s">
        <v>535</v>
      </c>
      <c r="H673" s="1">
        <v>47</v>
      </c>
      <c r="I673" s="1">
        <v>47</v>
      </c>
      <c r="J673" t="s">
        <v>536</v>
      </c>
      <c r="L673" t="s">
        <v>536</v>
      </c>
      <c r="M673" t="s">
        <v>375</v>
      </c>
      <c r="N673" t="s">
        <v>537</v>
      </c>
      <c r="P673" s="1">
        <v>47</v>
      </c>
      <c r="Q673" t="s">
        <v>580</v>
      </c>
      <c r="R673" t="s">
        <v>535</v>
      </c>
      <c r="S673" t="s">
        <v>539</v>
      </c>
      <c r="T673" s="2">
        <v>1</v>
      </c>
      <c r="U673" s="1">
        <v>47</v>
      </c>
      <c r="V673" s="1">
        <v>47</v>
      </c>
      <c r="X673" t="s">
        <v>540</v>
      </c>
      <c r="Z673" t="s">
        <v>541</v>
      </c>
      <c r="AA673" t="s">
        <v>542</v>
      </c>
      <c r="AB673" t="s">
        <v>543</v>
      </c>
      <c r="AC673" t="s">
        <v>544</v>
      </c>
      <c r="AD673" t="s">
        <v>545</v>
      </c>
      <c r="AE673" s="3">
        <v>1</v>
      </c>
      <c r="AF673" t="s">
        <v>275</v>
      </c>
      <c r="AG673" s="1">
        <v>47</v>
      </c>
      <c r="AI673" s="1">
        <v>47</v>
      </c>
      <c r="AJ673" s="1">
        <v>47</v>
      </c>
      <c r="AM673" s="1">
        <v>47</v>
      </c>
      <c r="AN673" t="s">
        <v>643</v>
      </c>
      <c r="AO673" t="s">
        <v>546</v>
      </c>
      <c r="AP673" t="s">
        <v>643</v>
      </c>
      <c r="AQ673" t="s">
        <v>548</v>
      </c>
      <c r="AS673" t="s">
        <v>375</v>
      </c>
      <c r="AX673" s="1">
        <v>47</v>
      </c>
      <c r="AY673" t="s">
        <v>546</v>
      </c>
      <c r="AZ673" t="s">
        <v>644</v>
      </c>
      <c r="BA673" s="1">
        <v>47</v>
      </c>
      <c r="BC673" t="s">
        <v>546</v>
      </c>
      <c r="BD673" s="1">
        <v>47</v>
      </c>
      <c r="BE673" t="s">
        <v>540</v>
      </c>
      <c r="BF673" s="1">
        <v>47</v>
      </c>
      <c r="BH673" s="1">
        <v>47</v>
      </c>
      <c r="BI673" t="s">
        <v>550</v>
      </c>
      <c r="BJ673" t="s">
        <v>551</v>
      </c>
      <c r="BK673" t="s">
        <v>551</v>
      </c>
      <c r="BL673" t="s">
        <v>552</v>
      </c>
      <c r="BM673" t="s">
        <v>3637</v>
      </c>
      <c r="BN673" t="s">
        <v>3703</v>
      </c>
      <c r="BO673" t="s">
        <v>3704</v>
      </c>
      <c r="BR673" t="s">
        <v>546</v>
      </c>
      <c r="BS673" s="1">
        <v>47</v>
      </c>
      <c r="BW673" t="s">
        <v>536</v>
      </c>
      <c r="BX673" s="1">
        <v>47</v>
      </c>
      <c r="BZ673" t="s">
        <v>535</v>
      </c>
      <c r="CA673" t="s">
        <v>546</v>
      </c>
      <c r="CB673" t="s">
        <v>3534</v>
      </c>
      <c r="CC673" t="s">
        <v>556</v>
      </c>
      <c r="CD673" t="s">
        <v>3184</v>
      </c>
      <c r="CE673" t="s">
        <v>3185</v>
      </c>
      <c r="CF673" t="s">
        <v>275</v>
      </c>
      <c r="CG673" s="4">
        <v>1</v>
      </c>
      <c r="CH673" t="s">
        <v>546</v>
      </c>
      <c r="CK673" t="s">
        <v>3705</v>
      </c>
      <c r="CL673" s="1">
        <v>47</v>
      </c>
      <c r="CN673" t="s">
        <v>535</v>
      </c>
      <c r="CO673" t="s">
        <v>539</v>
      </c>
      <c r="CT673" t="s">
        <v>576</v>
      </c>
      <c r="CW673" t="s">
        <v>546</v>
      </c>
      <c r="DD673" t="s">
        <v>561</v>
      </c>
      <c r="DK673" t="s">
        <v>3699</v>
      </c>
      <c r="DL673" t="s">
        <v>3700</v>
      </c>
      <c r="DR673" t="s">
        <v>3706</v>
      </c>
    </row>
    <row r="674" ht="15" customHeight="1" spans="1:122">
      <c r="A674" t="s">
        <v>530</v>
      </c>
      <c r="B674" t="s">
        <v>3707</v>
      </c>
      <c r="C674" t="s">
        <v>532</v>
      </c>
      <c r="D674" t="s">
        <v>3637</v>
      </c>
      <c r="E674" t="s">
        <v>534</v>
      </c>
      <c r="F674" t="s">
        <v>534</v>
      </c>
      <c r="G674" t="s">
        <v>535</v>
      </c>
      <c r="H674" s="1">
        <v>2908.8</v>
      </c>
      <c r="I674" s="1">
        <v>2891.35</v>
      </c>
      <c r="J674" t="s">
        <v>536</v>
      </c>
      <c r="L674" t="s">
        <v>536</v>
      </c>
      <c r="M674" t="s">
        <v>377</v>
      </c>
      <c r="N674" t="s">
        <v>537</v>
      </c>
      <c r="P674" s="1">
        <v>2908.8</v>
      </c>
      <c r="Q674" t="s">
        <v>538</v>
      </c>
      <c r="R674" t="s">
        <v>535</v>
      </c>
      <c r="S674" t="s">
        <v>539</v>
      </c>
      <c r="T674" s="2">
        <v>1</v>
      </c>
      <c r="U674" s="1">
        <v>2908.8</v>
      </c>
      <c r="V674" s="1">
        <v>2891.35</v>
      </c>
      <c r="X674" t="s">
        <v>540</v>
      </c>
      <c r="Z674" t="s">
        <v>541</v>
      </c>
      <c r="AA674" t="s">
        <v>542</v>
      </c>
      <c r="AB674" t="s">
        <v>543</v>
      </c>
      <c r="AC674" t="s">
        <v>544</v>
      </c>
      <c r="AD674" t="s">
        <v>545</v>
      </c>
      <c r="AE674" s="3">
        <v>1</v>
      </c>
      <c r="AF674" t="s">
        <v>274</v>
      </c>
      <c r="AG674" s="1">
        <v>2908.8</v>
      </c>
      <c r="AI674" s="1">
        <v>2908.8</v>
      </c>
      <c r="AJ674" s="1">
        <v>2908.8</v>
      </c>
      <c r="AK674" s="1">
        <v>17.45</v>
      </c>
      <c r="AM674" s="1">
        <v>2891.35</v>
      </c>
      <c r="AN674" t="s">
        <v>536</v>
      </c>
      <c r="AO674" t="s">
        <v>546</v>
      </c>
      <c r="AP674" t="s">
        <v>547</v>
      </c>
      <c r="AQ674" t="s">
        <v>548</v>
      </c>
      <c r="AS674" t="s">
        <v>377</v>
      </c>
      <c r="AX674" s="1">
        <v>2908.8</v>
      </c>
      <c r="AY674" t="s">
        <v>546</v>
      </c>
      <c r="AZ674" t="s">
        <v>549</v>
      </c>
      <c r="BA674" s="1">
        <v>2908.8</v>
      </c>
      <c r="BC674" t="s">
        <v>546</v>
      </c>
      <c r="BD674" s="1">
        <v>2908.8</v>
      </c>
      <c r="BE674" t="s">
        <v>540</v>
      </c>
      <c r="BF674" s="1">
        <v>2908.8</v>
      </c>
      <c r="BG674" s="1">
        <v>17.45</v>
      </c>
      <c r="BH674" s="1">
        <v>2891.35</v>
      </c>
      <c r="BI674" t="s">
        <v>550</v>
      </c>
      <c r="BJ674" t="s">
        <v>551</v>
      </c>
      <c r="BK674" t="s">
        <v>552</v>
      </c>
      <c r="BL674" t="s">
        <v>552</v>
      </c>
      <c r="BM674" t="s">
        <v>3637</v>
      </c>
      <c r="BN674" t="s">
        <v>3708</v>
      </c>
      <c r="BO674" t="s">
        <v>3709</v>
      </c>
      <c r="BR674" t="s">
        <v>546</v>
      </c>
      <c r="BS674" s="1">
        <v>2908.8</v>
      </c>
      <c r="BW674" t="s">
        <v>536</v>
      </c>
      <c r="BX674" s="1">
        <v>2908.8</v>
      </c>
      <c r="BZ674" t="s">
        <v>535</v>
      </c>
      <c r="CA674" t="s">
        <v>546</v>
      </c>
      <c r="CB674" t="s">
        <v>3637</v>
      </c>
      <c r="CC674" t="s">
        <v>556</v>
      </c>
      <c r="CD674" t="s">
        <v>745</v>
      </c>
      <c r="CE674" t="s">
        <v>746</v>
      </c>
      <c r="CF674" t="s">
        <v>274</v>
      </c>
      <c r="CG674" s="4">
        <v>1</v>
      </c>
      <c r="CH674" t="s">
        <v>546</v>
      </c>
      <c r="CK674" t="s">
        <v>3710</v>
      </c>
      <c r="CL674" s="1">
        <v>2908.8</v>
      </c>
      <c r="CN674" t="s">
        <v>535</v>
      </c>
      <c r="CO674" t="s">
        <v>539</v>
      </c>
      <c r="CT674" t="s">
        <v>560</v>
      </c>
      <c r="CW674" t="s">
        <v>546</v>
      </c>
      <c r="DD674" t="s">
        <v>561</v>
      </c>
      <c r="DK674" t="s">
        <v>3711</v>
      </c>
      <c r="DL674" t="s">
        <v>3693</v>
      </c>
    </row>
    <row r="675" ht="15" customHeight="1" spans="1:122">
      <c r="A675" t="s">
        <v>530</v>
      </c>
      <c r="B675" t="s">
        <v>3712</v>
      </c>
      <c r="C675" t="s">
        <v>532</v>
      </c>
      <c r="D675" t="s">
        <v>3637</v>
      </c>
      <c r="E675" t="s">
        <v>534</v>
      </c>
      <c r="F675" t="s">
        <v>534</v>
      </c>
      <c r="G675" t="s">
        <v>535</v>
      </c>
      <c r="H675" s="1">
        <v>727.2</v>
      </c>
      <c r="I675" s="1">
        <v>727.2</v>
      </c>
      <c r="J675" t="s">
        <v>536</v>
      </c>
      <c r="L675" t="s">
        <v>536</v>
      </c>
      <c r="M675" t="s">
        <v>377</v>
      </c>
      <c r="N675" t="s">
        <v>537</v>
      </c>
      <c r="P675" s="1">
        <v>727.2</v>
      </c>
      <c r="Q675" t="s">
        <v>538</v>
      </c>
      <c r="R675" t="s">
        <v>535</v>
      </c>
      <c r="S675" t="s">
        <v>539</v>
      </c>
      <c r="T675" s="2">
        <v>1</v>
      </c>
      <c r="U675" s="1">
        <v>727.2</v>
      </c>
      <c r="V675" s="1">
        <v>727.2</v>
      </c>
      <c r="X675" t="s">
        <v>540</v>
      </c>
      <c r="Z675" t="s">
        <v>541</v>
      </c>
      <c r="AA675" t="s">
        <v>542</v>
      </c>
      <c r="AB675" t="s">
        <v>543</v>
      </c>
      <c r="AC675" t="s">
        <v>544</v>
      </c>
      <c r="AD675" t="s">
        <v>545</v>
      </c>
      <c r="AE675" s="3">
        <v>1</v>
      </c>
      <c r="AF675" t="s">
        <v>274</v>
      </c>
      <c r="AG675" s="1">
        <v>727.2</v>
      </c>
      <c r="AI675" s="1">
        <v>727.2</v>
      </c>
      <c r="AJ675" s="1">
        <v>727.2</v>
      </c>
      <c r="AM675" s="1">
        <v>727.2</v>
      </c>
      <c r="AN675" t="s">
        <v>565</v>
      </c>
      <c r="AO675" t="s">
        <v>546</v>
      </c>
      <c r="AP675" t="s">
        <v>565</v>
      </c>
      <c r="AQ675" t="s">
        <v>548</v>
      </c>
      <c r="AS675" t="s">
        <v>377</v>
      </c>
      <c r="AX675" s="1">
        <v>727.2</v>
      </c>
      <c r="AY675" t="s">
        <v>546</v>
      </c>
      <c r="AZ675" t="s">
        <v>566</v>
      </c>
      <c r="BA675" s="1">
        <v>727.2</v>
      </c>
      <c r="BC675" t="s">
        <v>546</v>
      </c>
      <c r="BD675" s="1">
        <v>727.2</v>
      </c>
      <c r="BE675" t="s">
        <v>540</v>
      </c>
      <c r="BF675" s="1">
        <v>727.2</v>
      </c>
      <c r="BH675" s="1">
        <v>727.2</v>
      </c>
      <c r="BI675" t="s">
        <v>550</v>
      </c>
      <c r="BJ675" t="s">
        <v>551</v>
      </c>
      <c r="BK675" t="s">
        <v>551</v>
      </c>
      <c r="BL675" t="s">
        <v>552</v>
      </c>
      <c r="BM675" t="s">
        <v>3637</v>
      </c>
      <c r="BN675" t="s">
        <v>3713</v>
      </c>
      <c r="BO675" t="s">
        <v>3714</v>
      </c>
      <c r="BR675" t="s">
        <v>546</v>
      </c>
      <c r="BS675" s="1">
        <v>727.2</v>
      </c>
      <c r="BW675" t="s">
        <v>536</v>
      </c>
      <c r="BX675" s="1">
        <v>727.2</v>
      </c>
      <c r="BZ675" t="s">
        <v>535</v>
      </c>
      <c r="CA675" t="s">
        <v>546</v>
      </c>
      <c r="CB675" t="s">
        <v>3637</v>
      </c>
      <c r="CC675" t="s">
        <v>556</v>
      </c>
      <c r="CD675" t="s">
        <v>745</v>
      </c>
      <c r="CE675" t="s">
        <v>746</v>
      </c>
      <c r="CF675" t="s">
        <v>274</v>
      </c>
      <c r="CG675" s="4">
        <v>1</v>
      </c>
      <c r="CH675" t="s">
        <v>546</v>
      </c>
      <c r="CK675" t="s">
        <v>3710</v>
      </c>
      <c r="CL675" s="1">
        <v>727.2</v>
      </c>
      <c r="CN675" t="s">
        <v>535</v>
      </c>
      <c r="CO675" t="s">
        <v>539</v>
      </c>
      <c r="CT675" t="s">
        <v>560</v>
      </c>
      <c r="CW675" t="s">
        <v>546</v>
      </c>
      <c r="DD675" t="s">
        <v>561</v>
      </c>
      <c r="DK675" t="s">
        <v>3711</v>
      </c>
      <c r="DL675" t="s">
        <v>3693</v>
      </c>
    </row>
    <row r="676" ht="15" customHeight="1" spans="1:122">
      <c r="A676" t="s">
        <v>530</v>
      </c>
      <c r="B676" t="s">
        <v>3715</v>
      </c>
      <c r="C676" t="s">
        <v>532</v>
      </c>
      <c r="D676" t="s">
        <v>3637</v>
      </c>
      <c r="E676" t="s">
        <v>534</v>
      </c>
      <c r="F676" t="s">
        <v>534</v>
      </c>
      <c r="G676" t="s">
        <v>535</v>
      </c>
      <c r="H676" s="1">
        <v>4781.4</v>
      </c>
      <c r="I676" s="1">
        <v>4781.4</v>
      </c>
      <c r="J676" t="s">
        <v>536</v>
      </c>
      <c r="L676" t="s">
        <v>536</v>
      </c>
      <c r="M676" t="s">
        <v>380</v>
      </c>
      <c r="N676" t="s">
        <v>369</v>
      </c>
      <c r="P676" s="1">
        <v>4781.4</v>
      </c>
      <c r="Q676" t="s">
        <v>996</v>
      </c>
      <c r="R676" t="s">
        <v>535</v>
      </c>
      <c r="S676" t="s">
        <v>539</v>
      </c>
      <c r="T676" s="2">
        <v>1</v>
      </c>
      <c r="U676" s="1">
        <v>4781.4</v>
      </c>
      <c r="V676" s="1">
        <v>4781.4</v>
      </c>
      <c r="X676" t="s">
        <v>540</v>
      </c>
      <c r="Z676" t="s">
        <v>541</v>
      </c>
      <c r="AA676" t="s">
        <v>542</v>
      </c>
      <c r="AB676" t="s">
        <v>543</v>
      </c>
      <c r="AC676" t="s">
        <v>544</v>
      </c>
      <c r="AD676" t="s">
        <v>545</v>
      </c>
      <c r="AE676" s="3">
        <v>1</v>
      </c>
      <c r="AF676" t="s">
        <v>355</v>
      </c>
      <c r="AG676" s="1">
        <v>1968.2</v>
      </c>
      <c r="AI676" s="1">
        <v>4781.4</v>
      </c>
      <c r="AJ676" s="1">
        <v>1968.2</v>
      </c>
      <c r="AM676" s="1">
        <v>1968.2</v>
      </c>
      <c r="AN676" t="s">
        <v>536</v>
      </c>
      <c r="AO676" t="s">
        <v>546</v>
      </c>
      <c r="AP676" t="s">
        <v>547</v>
      </c>
      <c r="AQ676" t="s">
        <v>548</v>
      </c>
      <c r="AS676" t="s">
        <v>380</v>
      </c>
      <c r="AX676" s="1">
        <v>1968.2</v>
      </c>
      <c r="AY676" t="s">
        <v>546</v>
      </c>
      <c r="AZ676" t="s">
        <v>549</v>
      </c>
      <c r="BA676" s="1">
        <v>1968.2</v>
      </c>
      <c r="BC676" t="s">
        <v>546</v>
      </c>
      <c r="BD676" s="1">
        <v>1968.2</v>
      </c>
      <c r="BE676" t="s">
        <v>540</v>
      </c>
      <c r="BF676" s="1">
        <v>1968.2</v>
      </c>
      <c r="BH676" s="1">
        <v>1968.2</v>
      </c>
      <c r="BI676" t="s">
        <v>550</v>
      </c>
      <c r="BJ676" t="s">
        <v>551</v>
      </c>
      <c r="BK676" t="s">
        <v>551</v>
      </c>
      <c r="BL676" t="s">
        <v>552</v>
      </c>
      <c r="BM676" t="s">
        <v>3637</v>
      </c>
      <c r="BN676" t="s">
        <v>3716</v>
      </c>
      <c r="BO676" t="s">
        <v>3717</v>
      </c>
      <c r="BR676" t="s">
        <v>546</v>
      </c>
      <c r="BS676" s="1">
        <v>1968.2</v>
      </c>
      <c r="BW676" t="s">
        <v>536</v>
      </c>
      <c r="BX676" s="1">
        <v>1968.2</v>
      </c>
      <c r="BZ676" t="s">
        <v>535</v>
      </c>
      <c r="CA676" t="s">
        <v>546</v>
      </c>
      <c r="CB676" t="s">
        <v>3637</v>
      </c>
      <c r="CC676" t="s">
        <v>556</v>
      </c>
      <c r="CD676" t="s">
        <v>1353</v>
      </c>
      <c r="CE676" t="s">
        <v>1354</v>
      </c>
      <c r="CF676" t="s">
        <v>355</v>
      </c>
      <c r="CG676" s="4">
        <v>1</v>
      </c>
      <c r="CH676" t="s">
        <v>546</v>
      </c>
      <c r="CK676" t="s">
        <v>3718</v>
      </c>
      <c r="CL676" s="1">
        <v>1968.2</v>
      </c>
      <c r="CN676" t="s">
        <v>535</v>
      </c>
      <c r="CO676" t="s">
        <v>539</v>
      </c>
      <c r="CT676" t="s">
        <v>576</v>
      </c>
      <c r="CW676" t="s">
        <v>546</v>
      </c>
      <c r="DD676" t="s">
        <v>561</v>
      </c>
      <c r="DK676" t="s">
        <v>1119</v>
      </c>
      <c r="DL676" t="s">
        <v>3083</v>
      </c>
    </row>
    <row r="677" ht="15" customHeight="1" spans="1:122">
      <c r="AB677" t="s">
        <v>543</v>
      </c>
      <c r="AC677" t="s">
        <v>544</v>
      </c>
      <c r="AD677" t="s">
        <v>545</v>
      </c>
      <c r="AF677" t="s">
        <v>354</v>
      </c>
      <c r="AG677" s="1">
        <v>2813.2</v>
      </c>
      <c r="AJ677" s="1">
        <v>2813.2</v>
      </c>
      <c r="AM677" s="1">
        <v>2813.2</v>
      </c>
      <c r="AN677" t="s">
        <v>536</v>
      </c>
      <c r="AP677" t="s">
        <v>547</v>
      </c>
      <c r="AX677" s="1">
        <v>2813.2</v>
      </c>
      <c r="AZ677" t="s">
        <v>549</v>
      </c>
      <c r="BA677" s="1">
        <v>2813.2</v>
      </c>
      <c r="BC677" t="s">
        <v>546</v>
      </c>
      <c r="BD677" s="1">
        <v>2813.2</v>
      </c>
      <c r="BE677" t="s">
        <v>540</v>
      </c>
      <c r="BF677" s="1">
        <v>2813.2</v>
      </c>
      <c r="BH677" s="1">
        <v>2813.2</v>
      </c>
      <c r="BS677" s="1">
        <v>2813.2</v>
      </c>
      <c r="BX677" s="1">
        <v>2813.2</v>
      </c>
      <c r="CB677" t="s">
        <v>3637</v>
      </c>
      <c r="CC677" t="s">
        <v>556</v>
      </c>
      <c r="CD677" t="s">
        <v>3719</v>
      </c>
      <c r="CE677" t="s">
        <v>3720</v>
      </c>
      <c r="CF677" t="s">
        <v>354</v>
      </c>
      <c r="CG677" s="4">
        <v>1</v>
      </c>
      <c r="CL677" s="1">
        <v>2813.2</v>
      </c>
      <c r="DD677" t="s">
        <v>561</v>
      </c>
    </row>
    <row r="678" ht="15" customHeight="1" spans="1:122">
      <c r="A678" t="s">
        <v>530</v>
      </c>
      <c r="B678" t="s">
        <v>3721</v>
      </c>
      <c r="C678" t="s">
        <v>532</v>
      </c>
      <c r="D678" t="s">
        <v>3722</v>
      </c>
      <c r="E678" t="s">
        <v>534</v>
      </c>
      <c r="F678" t="s">
        <v>534</v>
      </c>
      <c r="G678" t="s">
        <v>535</v>
      </c>
      <c r="H678" s="1">
        <v>2936.8</v>
      </c>
      <c r="I678" s="1">
        <v>2919.18</v>
      </c>
      <c r="J678" t="s">
        <v>536</v>
      </c>
      <c r="L678" t="s">
        <v>536</v>
      </c>
      <c r="M678" t="s">
        <v>375</v>
      </c>
      <c r="N678" t="s">
        <v>537</v>
      </c>
      <c r="P678" s="1">
        <v>2936.8</v>
      </c>
      <c r="Q678" t="s">
        <v>580</v>
      </c>
      <c r="R678" t="s">
        <v>535</v>
      </c>
      <c r="S678" t="s">
        <v>539</v>
      </c>
      <c r="T678" s="2">
        <v>1</v>
      </c>
      <c r="U678" s="1">
        <v>2936.8</v>
      </c>
      <c r="V678" s="1">
        <v>2919.18</v>
      </c>
      <c r="X678" t="s">
        <v>540</v>
      </c>
      <c r="Z678" t="s">
        <v>541</v>
      </c>
      <c r="AA678" t="s">
        <v>542</v>
      </c>
      <c r="AB678" t="s">
        <v>543</v>
      </c>
      <c r="AC678" t="s">
        <v>544</v>
      </c>
      <c r="AD678" t="s">
        <v>545</v>
      </c>
      <c r="AE678" s="3">
        <v>1</v>
      </c>
      <c r="AF678" t="s">
        <v>281</v>
      </c>
      <c r="AG678" s="1">
        <v>2936.8</v>
      </c>
      <c r="AI678" s="1">
        <v>2936.8</v>
      </c>
      <c r="AJ678" s="1">
        <v>2936.8</v>
      </c>
      <c r="AK678" s="1">
        <v>17.62</v>
      </c>
      <c r="AM678" s="1">
        <v>2919.18</v>
      </c>
      <c r="AN678" t="s">
        <v>536</v>
      </c>
      <c r="AO678" t="s">
        <v>546</v>
      </c>
      <c r="AP678" t="s">
        <v>547</v>
      </c>
      <c r="AQ678" t="s">
        <v>548</v>
      </c>
      <c r="AS678" t="s">
        <v>375</v>
      </c>
      <c r="AX678" s="1">
        <v>2936.8</v>
      </c>
      <c r="AY678" t="s">
        <v>546</v>
      </c>
      <c r="AZ678" t="s">
        <v>549</v>
      </c>
      <c r="BA678" s="1">
        <v>2936.8</v>
      </c>
      <c r="BC678" t="s">
        <v>546</v>
      </c>
      <c r="BD678" s="1">
        <v>2936.8</v>
      </c>
      <c r="BE678" t="s">
        <v>540</v>
      </c>
      <c r="BF678" s="1">
        <v>2936.8</v>
      </c>
      <c r="BG678" s="1">
        <v>17.62</v>
      </c>
      <c r="BH678" s="1">
        <v>2919.18</v>
      </c>
      <c r="BI678" t="s">
        <v>550</v>
      </c>
      <c r="BJ678" t="s">
        <v>570</v>
      </c>
      <c r="BK678" t="s">
        <v>552</v>
      </c>
      <c r="BL678" t="s">
        <v>552</v>
      </c>
      <c r="BM678" t="s">
        <v>3637</v>
      </c>
      <c r="BN678" t="s">
        <v>3723</v>
      </c>
      <c r="BO678" t="s">
        <v>3724</v>
      </c>
      <c r="BR678" t="s">
        <v>546</v>
      </c>
      <c r="BS678" s="1">
        <v>2936.8</v>
      </c>
      <c r="BW678" t="s">
        <v>536</v>
      </c>
      <c r="BX678" s="1">
        <v>2936.8</v>
      </c>
      <c r="BZ678" t="s">
        <v>535</v>
      </c>
      <c r="CA678" t="s">
        <v>546</v>
      </c>
      <c r="CB678" t="s">
        <v>3722</v>
      </c>
      <c r="CC678" t="s">
        <v>556</v>
      </c>
      <c r="CD678" t="s">
        <v>3361</v>
      </c>
      <c r="CE678" t="s">
        <v>3362</v>
      </c>
      <c r="CF678" t="s">
        <v>281</v>
      </c>
      <c r="CG678" s="4">
        <v>1</v>
      </c>
      <c r="CH678" t="s">
        <v>546</v>
      </c>
      <c r="CK678" t="s">
        <v>3725</v>
      </c>
      <c r="CL678" s="1">
        <v>2936.8</v>
      </c>
      <c r="CN678" t="s">
        <v>535</v>
      </c>
      <c r="CO678" t="s">
        <v>539</v>
      </c>
      <c r="CT678" t="s">
        <v>576</v>
      </c>
      <c r="CW678" t="s">
        <v>546</v>
      </c>
      <c r="DD678" t="s">
        <v>561</v>
      </c>
      <c r="DK678" t="s">
        <v>3726</v>
      </c>
      <c r="DL678" t="s">
        <v>3335</v>
      </c>
    </row>
    <row r="679" ht="15" customHeight="1" spans="1:122">
      <c r="A679" t="s">
        <v>530</v>
      </c>
      <c r="B679" t="s">
        <v>3727</v>
      </c>
      <c r="C679" t="s">
        <v>532</v>
      </c>
      <c r="D679" t="s">
        <v>3722</v>
      </c>
      <c r="E679" t="s">
        <v>534</v>
      </c>
      <c r="F679" t="s">
        <v>534</v>
      </c>
      <c r="G679" t="s">
        <v>535</v>
      </c>
      <c r="H679" s="1">
        <v>734.2</v>
      </c>
      <c r="I679" s="1">
        <v>734.2</v>
      </c>
      <c r="J679" t="s">
        <v>536</v>
      </c>
      <c r="L679" t="s">
        <v>536</v>
      </c>
      <c r="M679" t="s">
        <v>375</v>
      </c>
      <c r="N679" t="s">
        <v>537</v>
      </c>
      <c r="P679" s="1">
        <v>734.2</v>
      </c>
      <c r="Q679" t="s">
        <v>580</v>
      </c>
      <c r="R679" t="s">
        <v>535</v>
      </c>
      <c r="S679" t="s">
        <v>539</v>
      </c>
      <c r="T679" s="2">
        <v>1</v>
      </c>
      <c r="U679" s="1">
        <v>734.2</v>
      </c>
      <c r="V679" s="1">
        <v>734.2</v>
      </c>
      <c r="X679" t="s">
        <v>540</v>
      </c>
      <c r="Z679" t="s">
        <v>541</v>
      </c>
      <c r="AA679" t="s">
        <v>542</v>
      </c>
      <c r="AB679" t="s">
        <v>543</v>
      </c>
      <c r="AC679" t="s">
        <v>544</v>
      </c>
      <c r="AD679" t="s">
        <v>545</v>
      </c>
      <c r="AE679" s="3">
        <v>1</v>
      </c>
      <c r="AF679" t="s">
        <v>281</v>
      </c>
      <c r="AG679" s="1">
        <v>734.2</v>
      </c>
      <c r="AI679" s="1">
        <v>734.2</v>
      </c>
      <c r="AJ679" s="1">
        <v>734.2</v>
      </c>
      <c r="AM679" s="1">
        <v>734.2</v>
      </c>
      <c r="AN679" t="s">
        <v>565</v>
      </c>
      <c r="AO679" t="s">
        <v>546</v>
      </c>
      <c r="AP679" t="s">
        <v>565</v>
      </c>
      <c r="AQ679" t="s">
        <v>548</v>
      </c>
      <c r="AS679" t="s">
        <v>375</v>
      </c>
      <c r="AX679" s="1">
        <v>734.2</v>
      </c>
      <c r="AY679" t="s">
        <v>546</v>
      </c>
      <c r="AZ679" t="s">
        <v>566</v>
      </c>
      <c r="BA679" s="1">
        <v>734.2</v>
      </c>
      <c r="BC679" t="s">
        <v>546</v>
      </c>
      <c r="BD679" s="1">
        <v>734.2</v>
      </c>
      <c r="BE679" t="s">
        <v>540</v>
      </c>
      <c r="BF679" s="1">
        <v>734.2</v>
      </c>
      <c r="BH679" s="1">
        <v>734.2</v>
      </c>
      <c r="BI679" t="s">
        <v>550</v>
      </c>
      <c r="BJ679" t="s">
        <v>570</v>
      </c>
      <c r="BK679" t="s">
        <v>552</v>
      </c>
      <c r="BL679" t="s">
        <v>552</v>
      </c>
      <c r="BM679" t="s">
        <v>3637</v>
      </c>
      <c r="BN679" t="s">
        <v>3728</v>
      </c>
      <c r="BO679" t="s">
        <v>3729</v>
      </c>
      <c r="BR679" t="s">
        <v>546</v>
      </c>
      <c r="BS679" s="1">
        <v>734.2</v>
      </c>
      <c r="BW679" t="s">
        <v>536</v>
      </c>
      <c r="BX679" s="1">
        <v>734.2</v>
      </c>
      <c r="BZ679" t="s">
        <v>535</v>
      </c>
      <c r="CA679" t="s">
        <v>546</v>
      </c>
      <c r="CB679" t="s">
        <v>3722</v>
      </c>
      <c r="CC679" t="s">
        <v>556</v>
      </c>
      <c r="CD679" t="s">
        <v>3361</v>
      </c>
      <c r="CE679" t="s">
        <v>3362</v>
      </c>
      <c r="CF679" t="s">
        <v>281</v>
      </c>
      <c r="CG679" s="4">
        <v>1</v>
      </c>
      <c r="CH679" t="s">
        <v>546</v>
      </c>
      <c r="CK679" t="s">
        <v>3725</v>
      </c>
      <c r="CL679" s="1">
        <v>734.2</v>
      </c>
      <c r="CN679" t="s">
        <v>535</v>
      </c>
      <c r="CO679" t="s">
        <v>539</v>
      </c>
      <c r="CT679" t="s">
        <v>576</v>
      </c>
      <c r="CW679" t="s">
        <v>546</v>
      </c>
      <c r="DD679" t="s">
        <v>561</v>
      </c>
      <c r="DK679" t="s">
        <v>3726</v>
      </c>
      <c r="DL679" t="s">
        <v>3335</v>
      </c>
    </row>
    <row r="680" ht="15" customHeight="1" spans="1:122">
      <c r="A680" t="s">
        <v>530</v>
      </c>
      <c r="B680" t="s">
        <v>3730</v>
      </c>
      <c r="C680" t="s">
        <v>656</v>
      </c>
      <c r="D680" t="s">
        <v>3637</v>
      </c>
      <c r="E680" t="s">
        <v>534</v>
      </c>
      <c r="F680" t="s">
        <v>534</v>
      </c>
      <c r="G680" t="s">
        <v>535</v>
      </c>
      <c r="H680" s="1">
        <v>3311</v>
      </c>
      <c r="I680" s="1">
        <v>3303.88</v>
      </c>
      <c r="J680" t="s">
        <v>536</v>
      </c>
      <c r="L680" t="s">
        <v>536</v>
      </c>
      <c r="M680" t="s">
        <v>393</v>
      </c>
      <c r="N680" t="s">
        <v>657</v>
      </c>
      <c r="P680" s="1">
        <v>3311</v>
      </c>
      <c r="Q680" t="s">
        <v>658</v>
      </c>
      <c r="R680" t="s">
        <v>535</v>
      </c>
      <c r="S680" t="s">
        <v>539</v>
      </c>
      <c r="T680" s="2">
        <v>1</v>
      </c>
      <c r="U680" s="1">
        <v>3311</v>
      </c>
      <c r="V680" s="1">
        <v>3303.88</v>
      </c>
      <c r="X680" t="s">
        <v>540</v>
      </c>
      <c r="Z680" t="s">
        <v>541</v>
      </c>
      <c r="AA680" t="s">
        <v>542</v>
      </c>
      <c r="AB680" t="s">
        <v>659</v>
      </c>
      <c r="AC680" t="s">
        <v>544</v>
      </c>
      <c r="AD680" t="s">
        <v>545</v>
      </c>
      <c r="AE680" s="3">
        <v>1</v>
      </c>
      <c r="AF680" t="s">
        <v>277</v>
      </c>
      <c r="AG680" s="1">
        <v>3311</v>
      </c>
      <c r="AI680" s="1">
        <v>3311</v>
      </c>
      <c r="AJ680" s="1">
        <v>3311</v>
      </c>
      <c r="AK680" s="1">
        <v>7.12</v>
      </c>
      <c r="AM680" s="1">
        <v>3303.88</v>
      </c>
      <c r="AN680" t="s">
        <v>536</v>
      </c>
      <c r="AO680" t="s">
        <v>546</v>
      </c>
      <c r="AP680" t="s">
        <v>547</v>
      </c>
      <c r="AQ680" t="s">
        <v>548</v>
      </c>
      <c r="AS680" t="s">
        <v>393</v>
      </c>
      <c r="AX680" s="1">
        <v>3311</v>
      </c>
      <c r="AY680" t="s">
        <v>546</v>
      </c>
      <c r="AZ680" t="s">
        <v>549</v>
      </c>
      <c r="BA680" s="1">
        <v>3311</v>
      </c>
      <c r="BC680" t="s">
        <v>546</v>
      </c>
      <c r="BD680" s="1">
        <v>3311</v>
      </c>
      <c r="BE680" t="s">
        <v>540</v>
      </c>
      <c r="BF680" s="1">
        <v>3311</v>
      </c>
      <c r="BG680" s="1">
        <v>7.12</v>
      </c>
      <c r="BH680" s="1">
        <v>3303.88</v>
      </c>
      <c r="BI680" t="s">
        <v>550</v>
      </c>
      <c r="BJ680" t="s">
        <v>660</v>
      </c>
      <c r="BK680" t="s">
        <v>552</v>
      </c>
      <c r="BL680" t="s">
        <v>552</v>
      </c>
      <c r="BM680" t="s">
        <v>3637</v>
      </c>
      <c r="BN680" t="s">
        <v>3731</v>
      </c>
      <c r="BO680" t="s">
        <v>3732</v>
      </c>
      <c r="BR680" t="s">
        <v>546</v>
      </c>
      <c r="BS680" s="1">
        <v>3311</v>
      </c>
      <c r="BW680" t="s">
        <v>536</v>
      </c>
      <c r="BX680" s="1">
        <v>3311</v>
      </c>
      <c r="BZ680" t="s">
        <v>535</v>
      </c>
      <c r="CA680" t="s">
        <v>546</v>
      </c>
      <c r="CB680" t="s">
        <v>3637</v>
      </c>
      <c r="CC680" t="s">
        <v>556</v>
      </c>
      <c r="CD680" t="s">
        <v>944</v>
      </c>
      <c r="CE680" t="s">
        <v>945</v>
      </c>
      <c r="CF680" t="s">
        <v>277</v>
      </c>
      <c r="CG680" s="4">
        <v>1</v>
      </c>
      <c r="CH680" t="s">
        <v>546</v>
      </c>
      <c r="CK680" t="s">
        <v>3733</v>
      </c>
      <c r="CL680" s="1">
        <v>3311</v>
      </c>
      <c r="CN680" t="s">
        <v>535</v>
      </c>
      <c r="CO680" t="s">
        <v>539</v>
      </c>
      <c r="CT680" t="s">
        <v>666</v>
      </c>
      <c r="CW680" t="s">
        <v>546</v>
      </c>
      <c r="DD680" t="s">
        <v>561</v>
      </c>
      <c r="DK680" t="s">
        <v>3734</v>
      </c>
      <c r="DL680" t="s">
        <v>3735</v>
      </c>
    </row>
    <row r="681" ht="15" customHeight="1" spans="1:122">
      <c r="A681" t="s">
        <v>530</v>
      </c>
      <c r="B681" t="s">
        <v>3736</v>
      </c>
      <c r="C681" t="s">
        <v>532</v>
      </c>
      <c r="D681" t="s">
        <v>3637</v>
      </c>
      <c r="E681" t="s">
        <v>534</v>
      </c>
      <c r="F681" t="s">
        <v>534</v>
      </c>
      <c r="G681" t="s">
        <v>535</v>
      </c>
      <c r="H681" s="1">
        <v>3150</v>
      </c>
      <c r="I681" s="1">
        <v>3150</v>
      </c>
      <c r="J681" t="s">
        <v>536</v>
      </c>
      <c r="L681" t="s">
        <v>536</v>
      </c>
      <c r="M681" t="s">
        <v>375</v>
      </c>
      <c r="N681" t="s">
        <v>537</v>
      </c>
      <c r="P681" s="1">
        <v>3150</v>
      </c>
      <c r="Q681" t="s">
        <v>580</v>
      </c>
      <c r="R681" t="s">
        <v>535</v>
      </c>
      <c r="S681" t="s">
        <v>539</v>
      </c>
      <c r="T681" s="2">
        <v>1</v>
      </c>
      <c r="U681" s="1">
        <v>3150</v>
      </c>
      <c r="V681" s="1">
        <v>3150</v>
      </c>
      <c r="X681" t="s">
        <v>540</v>
      </c>
      <c r="Z681" t="s">
        <v>541</v>
      </c>
      <c r="AA681" t="s">
        <v>542</v>
      </c>
      <c r="AB681" t="s">
        <v>543</v>
      </c>
      <c r="AC681" t="s">
        <v>544</v>
      </c>
      <c r="AD681" t="s">
        <v>545</v>
      </c>
      <c r="AE681" s="3">
        <v>1</v>
      </c>
      <c r="AF681" t="s">
        <v>283</v>
      </c>
      <c r="AG681" s="1">
        <v>3150</v>
      </c>
      <c r="AI681" s="1">
        <v>3150</v>
      </c>
      <c r="AJ681" s="1">
        <v>3150</v>
      </c>
      <c r="AM681" s="1">
        <v>3150</v>
      </c>
      <c r="AN681" t="s">
        <v>643</v>
      </c>
      <c r="AO681" t="s">
        <v>546</v>
      </c>
      <c r="AP681" t="s">
        <v>643</v>
      </c>
      <c r="AQ681" t="s">
        <v>548</v>
      </c>
      <c r="AS681" t="s">
        <v>375</v>
      </c>
      <c r="AX681" s="1">
        <v>3150</v>
      </c>
      <c r="AY681" t="s">
        <v>546</v>
      </c>
      <c r="AZ681" t="s">
        <v>644</v>
      </c>
      <c r="BA681" s="1">
        <v>3150</v>
      </c>
      <c r="BC681" t="s">
        <v>546</v>
      </c>
      <c r="BD681" s="1">
        <v>3150</v>
      </c>
      <c r="BE681" t="s">
        <v>540</v>
      </c>
      <c r="BF681" s="1">
        <v>3150</v>
      </c>
      <c r="BH681" s="1">
        <v>3150</v>
      </c>
      <c r="BI681" t="s">
        <v>550</v>
      </c>
      <c r="BJ681" t="s">
        <v>570</v>
      </c>
      <c r="BK681" t="s">
        <v>552</v>
      </c>
      <c r="BL681" t="s">
        <v>552</v>
      </c>
      <c r="BM681" t="s">
        <v>3637</v>
      </c>
      <c r="BN681" t="s">
        <v>3737</v>
      </c>
      <c r="BO681" t="s">
        <v>3738</v>
      </c>
      <c r="BR681" t="s">
        <v>546</v>
      </c>
      <c r="BS681" s="1">
        <v>3150</v>
      </c>
      <c r="BW681" t="s">
        <v>536</v>
      </c>
      <c r="BX681" s="1">
        <v>3150</v>
      </c>
      <c r="BZ681" t="s">
        <v>535</v>
      </c>
      <c r="CA681" t="s">
        <v>546</v>
      </c>
      <c r="CB681" t="s">
        <v>3637</v>
      </c>
      <c r="CC681" t="s">
        <v>556</v>
      </c>
      <c r="CD681" t="s">
        <v>622</v>
      </c>
      <c r="CE681" t="s">
        <v>623</v>
      </c>
      <c r="CF681" t="s">
        <v>283</v>
      </c>
      <c r="CG681" s="4">
        <v>1</v>
      </c>
      <c r="CH681" t="s">
        <v>546</v>
      </c>
      <c r="CK681" t="s">
        <v>3739</v>
      </c>
      <c r="CL681" s="1">
        <v>3150</v>
      </c>
      <c r="CN681" t="s">
        <v>535</v>
      </c>
      <c r="CO681" t="s">
        <v>539</v>
      </c>
      <c r="CT681" t="s">
        <v>576</v>
      </c>
      <c r="CW681" t="s">
        <v>546</v>
      </c>
      <c r="DD681" t="s">
        <v>561</v>
      </c>
      <c r="DK681" t="s">
        <v>3740</v>
      </c>
      <c r="DL681" t="s">
        <v>3741</v>
      </c>
      <c r="DR681" t="s">
        <v>3742</v>
      </c>
    </row>
    <row r="682" ht="15" customHeight="1" spans="1:122">
      <c r="A682" t="s">
        <v>530</v>
      </c>
      <c r="B682" t="s">
        <v>3743</v>
      </c>
      <c r="C682" t="s">
        <v>532</v>
      </c>
      <c r="D682" t="s">
        <v>3637</v>
      </c>
      <c r="E682" t="s">
        <v>534</v>
      </c>
      <c r="F682" t="s">
        <v>534</v>
      </c>
      <c r="G682" t="s">
        <v>535</v>
      </c>
      <c r="H682" s="1">
        <v>2576</v>
      </c>
      <c r="I682" s="1">
        <v>2576</v>
      </c>
      <c r="J682" t="s">
        <v>536</v>
      </c>
      <c r="L682" t="s">
        <v>536</v>
      </c>
      <c r="M682" t="s">
        <v>375</v>
      </c>
      <c r="N682" t="s">
        <v>537</v>
      </c>
      <c r="P682" s="1">
        <v>2576</v>
      </c>
      <c r="Q682" t="s">
        <v>580</v>
      </c>
      <c r="R682" t="s">
        <v>535</v>
      </c>
      <c r="S682" t="s">
        <v>539</v>
      </c>
      <c r="T682" s="2">
        <v>1</v>
      </c>
      <c r="U682" s="1">
        <v>2576</v>
      </c>
      <c r="V682" s="1">
        <v>2576</v>
      </c>
      <c r="X682" t="s">
        <v>540</v>
      </c>
      <c r="Z682" t="s">
        <v>541</v>
      </c>
      <c r="AA682" t="s">
        <v>542</v>
      </c>
      <c r="AB682" t="s">
        <v>543</v>
      </c>
      <c r="AC682" t="s">
        <v>544</v>
      </c>
      <c r="AD682" t="s">
        <v>545</v>
      </c>
      <c r="AE682" s="3">
        <v>1</v>
      </c>
      <c r="AF682" t="s">
        <v>278</v>
      </c>
      <c r="AG682" s="1">
        <v>2576</v>
      </c>
      <c r="AI682" s="1">
        <v>2576</v>
      </c>
      <c r="AJ682" s="1">
        <v>2576</v>
      </c>
      <c r="AM682" s="1">
        <v>2576</v>
      </c>
      <c r="AN682" t="s">
        <v>2084</v>
      </c>
      <c r="AO682" t="s">
        <v>546</v>
      </c>
      <c r="AP682" t="s">
        <v>2085</v>
      </c>
      <c r="AQ682" t="s">
        <v>548</v>
      </c>
      <c r="AS682" t="s">
        <v>375</v>
      </c>
      <c r="AX682" s="1">
        <v>2576</v>
      </c>
      <c r="AY682" t="s">
        <v>546</v>
      </c>
      <c r="AZ682" t="s">
        <v>2086</v>
      </c>
      <c r="BA682" s="1">
        <v>2576</v>
      </c>
      <c r="BC682" t="s">
        <v>546</v>
      </c>
      <c r="BD682" s="1">
        <v>2576</v>
      </c>
      <c r="BE682" t="s">
        <v>540</v>
      </c>
      <c r="BF682" s="1">
        <v>2576</v>
      </c>
      <c r="BH682" s="1">
        <v>2576</v>
      </c>
      <c r="BI682" t="s">
        <v>550</v>
      </c>
      <c r="BJ682" t="s">
        <v>551</v>
      </c>
      <c r="BK682" t="s">
        <v>551</v>
      </c>
      <c r="BL682" t="s">
        <v>552</v>
      </c>
      <c r="BM682" t="s">
        <v>3637</v>
      </c>
      <c r="BN682" t="s">
        <v>3744</v>
      </c>
      <c r="BO682" t="s">
        <v>3745</v>
      </c>
      <c r="BR682" t="s">
        <v>546</v>
      </c>
      <c r="BS682" s="1">
        <v>2576</v>
      </c>
      <c r="BW682" t="s">
        <v>536</v>
      </c>
      <c r="BX682" s="1">
        <v>2576</v>
      </c>
      <c r="BZ682" t="s">
        <v>535</v>
      </c>
      <c r="CA682" t="s">
        <v>546</v>
      </c>
      <c r="CB682" t="s">
        <v>3637</v>
      </c>
      <c r="CC682" t="s">
        <v>556</v>
      </c>
      <c r="CD682" t="s">
        <v>3746</v>
      </c>
      <c r="CE682" t="s">
        <v>3747</v>
      </c>
      <c r="CF682" t="s">
        <v>278</v>
      </c>
      <c r="CG682" s="4">
        <v>1</v>
      </c>
      <c r="CH682" t="s">
        <v>546</v>
      </c>
      <c r="CK682" t="s">
        <v>3748</v>
      </c>
      <c r="CL682" s="1">
        <v>2576</v>
      </c>
      <c r="CN682" t="s">
        <v>535</v>
      </c>
      <c r="CO682" t="s">
        <v>539</v>
      </c>
      <c r="CT682" t="s">
        <v>576</v>
      </c>
      <c r="CW682" t="s">
        <v>546</v>
      </c>
      <c r="DD682" t="s">
        <v>561</v>
      </c>
      <c r="DK682" t="s">
        <v>2628</v>
      </c>
      <c r="DL682" t="s">
        <v>3749</v>
      </c>
    </row>
    <row r="683" ht="15" customHeight="1" spans="1:122">
      <c r="A683" t="s">
        <v>530</v>
      </c>
      <c r="B683" t="s">
        <v>3750</v>
      </c>
      <c r="C683" t="s">
        <v>532</v>
      </c>
      <c r="D683" t="s">
        <v>3637</v>
      </c>
      <c r="E683" t="s">
        <v>534</v>
      </c>
      <c r="F683" t="s">
        <v>534</v>
      </c>
      <c r="G683" t="s">
        <v>535</v>
      </c>
      <c r="H683" s="1">
        <v>6272</v>
      </c>
      <c r="I683" s="1">
        <v>6258.52</v>
      </c>
      <c r="J683" t="s">
        <v>536</v>
      </c>
      <c r="L683" t="s">
        <v>536</v>
      </c>
      <c r="M683" t="s">
        <v>404</v>
      </c>
      <c r="N683" t="s">
        <v>537</v>
      </c>
      <c r="P683" s="1">
        <v>6272</v>
      </c>
      <c r="Q683" t="s">
        <v>642</v>
      </c>
      <c r="R683" t="s">
        <v>535</v>
      </c>
      <c r="S683" t="s">
        <v>539</v>
      </c>
      <c r="T683" s="2">
        <v>1</v>
      </c>
      <c r="U683" s="1">
        <v>6272</v>
      </c>
      <c r="V683" s="1">
        <v>6258.52</v>
      </c>
      <c r="X683" t="s">
        <v>540</v>
      </c>
      <c r="Z683" t="s">
        <v>541</v>
      </c>
      <c r="AA683" t="s">
        <v>542</v>
      </c>
      <c r="AB683" t="s">
        <v>659</v>
      </c>
      <c r="AC683" t="s">
        <v>544</v>
      </c>
      <c r="AD683" t="s">
        <v>545</v>
      </c>
      <c r="AE683" s="3">
        <v>1</v>
      </c>
      <c r="AF683" t="s">
        <v>279</v>
      </c>
      <c r="AG683" s="1">
        <v>6272</v>
      </c>
      <c r="AI683" s="1">
        <v>6272</v>
      </c>
      <c r="AJ683" s="1">
        <v>6272</v>
      </c>
      <c r="AK683" s="1">
        <v>13.48</v>
      </c>
      <c r="AM683" s="1">
        <v>6258.52</v>
      </c>
      <c r="AN683" t="s">
        <v>536</v>
      </c>
      <c r="AO683" t="s">
        <v>546</v>
      </c>
      <c r="AP683" t="s">
        <v>547</v>
      </c>
      <c r="AQ683" t="s">
        <v>548</v>
      </c>
      <c r="AS683" t="s">
        <v>404</v>
      </c>
      <c r="AX683" s="1">
        <v>6272</v>
      </c>
      <c r="AY683" t="s">
        <v>546</v>
      </c>
      <c r="AZ683" t="s">
        <v>549</v>
      </c>
      <c r="BA683" s="1">
        <v>6272</v>
      </c>
      <c r="BC683" t="s">
        <v>546</v>
      </c>
      <c r="BD683" s="1">
        <v>6272</v>
      </c>
      <c r="BE683" t="s">
        <v>540</v>
      </c>
      <c r="BF683" s="1">
        <v>6272</v>
      </c>
      <c r="BG683" s="1">
        <v>13.48</v>
      </c>
      <c r="BH683" s="1">
        <v>6258.52</v>
      </c>
      <c r="BI683" t="s">
        <v>550</v>
      </c>
      <c r="BJ683" t="s">
        <v>551</v>
      </c>
      <c r="BK683" t="s">
        <v>552</v>
      </c>
      <c r="BL683" t="s">
        <v>552</v>
      </c>
      <c r="BM683" t="s">
        <v>3637</v>
      </c>
      <c r="BN683" t="s">
        <v>3751</v>
      </c>
      <c r="BO683" t="s">
        <v>3752</v>
      </c>
      <c r="BR683" t="s">
        <v>546</v>
      </c>
      <c r="BS683" s="1">
        <v>6272</v>
      </c>
      <c r="BW683" t="s">
        <v>536</v>
      </c>
      <c r="BX683" s="1">
        <v>6272</v>
      </c>
      <c r="BZ683" t="s">
        <v>535</v>
      </c>
      <c r="CA683" t="s">
        <v>546</v>
      </c>
      <c r="CB683" t="s">
        <v>3637</v>
      </c>
      <c r="CC683" t="s">
        <v>556</v>
      </c>
      <c r="CD683" t="s">
        <v>1684</v>
      </c>
      <c r="CE683" t="s">
        <v>1685</v>
      </c>
      <c r="CF683" t="s">
        <v>279</v>
      </c>
      <c r="CG683" s="4">
        <v>1</v>
      </c>
      <c r="CH683" t="s">
        <v>546</v>
      </c>
      <c r="CK683" t="s">
        <v>3753</v>
      </c>
      <c r="CL683" s="1">
        <v>6272</v>
      </c>
      <c r="CN683" t="s">
        <v>535</v>
      </c>
      <c r="CO683" t="s">
        <v>539</v>
      </c>
      <c r="CT683" t="s">
        <v>651</v>
      </c>
      <c r="CW683" t="s">
        <v>546</v>
      </c>
      <c r="DD683" t="s">
        <v>561</v>
      </c>
      <c r="DK683" t="s">
        <v>2689</v>
      </c>
      <c r="DL683" t="s">
        <v>2690</v>
      </c>
    </row>
    <row r="684" ht="15" customHeight="1" spans="1:122">
      <c r="A684" t="s">
        <v>530</v>
      </c>
      <c r="B684" t="s">
        <v>3754</v>
      </c>
      <c r="C684" t="s">
        <v>532</v>
      </c>
      <c r="D684" t="s">
        <v>3637</v>
      </c>
      <c r="E684" t="s">
        <v>534</v>
      </c>
      <c r="F684" t="s">
        <v>534</v>
      </c>
      <c r="G684" t="s">
        <v>535</v>
      </c>
      <c r="H684" s="1">
        <v>2400</v>
      </c>
      <c r="I684" s="1">
        <v>2385.6</v>
      </c>
      <c r="J684" t="s">
        <v>536</v>
      </c>
      <c r="L684" t="s">
        <v>536</v>
      </c>
      <c r="M684" t="s">
        <v>377</v>
      </c>
      <c r="N684" t="s">
        <v>537</v>
      </c>
      <c r="P684" s="1">
        <v>2400</v>
      </c>
      <c r="Q684" t="s">
        <v>538</v>
      </c>
      <c r="R684" t="s">
        <v>535</v>
      </c>
      <c r="S684" t="s">
        <v>539</v>
      </c>
      <c r="T684" s="2">
        <v>1</v>
      </c>
      <c r="U684" s="1">
        <v>2400</v>
      </c>
      <c r="V684" s="1">
        <v>2385.6</v>
      </c>
      <c r="X684" t="s">
        <v>540</v>
      </c>
      <c r="Z684" t="s">
        <v>541</v>
      </c>
      <c r="AA684" t="s">
        <v>542</v>
      </c>
      <c r="AB684" t="s">
        <v>543</v>
      </c>
      <c r="AC684" t="s">
        <v>544</v>
      </c>
      <c r="AD684" t="s">
        <v>545</v>
      </c>
      <c r="AE684" s="3">
        <v>1</v>
      </c>
      <c r="AF684" t="s">
        <v>280</v>
      </c>
      <c r="AG684" s="1">
        <v>2400</v>
      </c>
      <c r="AI684" s="1">
        <v>2400</v>
      </c>
      <c r="AJ684" s="1">
        <v>2400</v>
      </c>
      <c r="AK684" s="1">
        <v>14.4</v>
      </c>
      <c r="AM684" s="1">
        <v>2385.6</v>
      </c>
      <c r="AN684" t="s">
        <v>536</v>
      </c>
      <c r="AO684" t="s">
        <v>546</v>
      </c>
      <c r="AP684" t="s">
        <v>547</v>
      </c>
      <c r="AQ684" t="s">
        <v>548</v>
      </c>
      <c r="AS684" t="s">
        <v>377</v>
      </c>
      <c r="AX684" s="1">
        <v>2400</v>
      </c>
      <c r="AY684" t="s">
        <v>546</v>
      </c>
      <c r="AZ684" t="s">
        <v>549</v>
      </c>
      <c r="BA684" s="1">
        <v>2400</v>
      </c>
      <c r="BC684" t="s">
        <v>546</v>
      </c>
      <c r="BD684" s="1">
        <v>2400</v>
      </c>
      <c r="BE684" t="s">
        <v>540</v>
      </c>
      <c r="BF684" s="1">
        <v>2400</v>
      </c>
      <c r="BG684" s="1">
        <v>14.4</v>
      </c>
      <c r="BH684" s="1">
        <v>2385.6</v>
      </c>
      <c r="BI684" t="s">
        <v>550</v>
      </c>
      <c r="BJ684" t="s">
        <v>551</v>
      </c>
      <c r="BK684" t="s">
        <v>552</v>
      </c>
      <c r="BL684" t="s">
        <v>552</v>
      </c>
      <c r="BM684" t="s">
        <v>3637</v>
      </c>
      <c r="BN684" t="s">
        <v>3755</v>
      </c>
      <c r="BO684" t="s">
        <v>3756</v>
      </c>
      <c r="BR684" t="s">
        <v>546</v>
      </c>
      <c r="BS684" s="1">
        <v>2400</v>
      </c>
      <c r="BW684" t="s">
        <v>536</v>
      </c>
      <c r="BX684" s="1">
        <v>2400</v>
      </c>
      <c r="BZ684" t="s">
        <v>535</v>
      </c>
      <c r="CA684" t="s">
        <v>546</v>
      </c>
      <c r="CB684" t="s">
        <v>3637</v>
      </c>
      <c r="CC684" t="s">
        <v>556</v>
      </c>
      <c r="CD684" t="s">
        <v>944</v>
      </c>
      <c r="CE684" t="s">
        <v>945</v>
      </c>
      <c r="CF684" t="s">
        <v>280</v>
      </c>
      <c r="CG684" s="4">
        <v>1</v>
      </c>
      <c r="CH684" t="s">
        <v>546</v>
      </c>
      <c r="CK684" t="s">
        <v>3757</v>
      </c>
      <c r="CL684" s="1">
        <v>2400</v>
      </c>
      <c r="CN684" t="s">
        <v>535</v>
      </c>
      <c r="CO684" t="s">
        <v>539</v>
      </c>
      <c r="CT684" t="s">
        <v>560</v>
      </c>
      <c r="CW684" t="s">
        <v>546</v>
      </c>
      <c r="DD684" t="s">
        <v>561</v>
      </c>
      <c r="DK684" t="s">
        <v>2046</v>
      </c>
      <c r="DL684" t="s">
        <v>2047</v>
      </c>
    </row>
    <row r="685" ht="15" customHeight="1" spans="1:122">
      <c r="A685" t="s">
        <v>530</v>
      </c>
      <c r="B685" t="s">
        <v>3758</v>
      </c>
      <c r="C685" t="s">
        <v>532</v>
      </c>
      <c r="D685" t="s">
        <v>3637</v>
      </c>
      <c r="E685" t="s">
        <v>534</v>
      </c>
      <c r="F685" t="s">
        <v>534</v>
      </c>
      <c r="G685" t="s">
        <v>535</v>
      </c>
      <c r="H685" s="1">
        <v>600</v>
      </c>
      <c r="I685" s="1">
        <v>600</v>
      </c>
      <c r="J685" t="s">
        <v>536</v>
      </c>
      <c r="L685" t="s">
        <v>536</v>
      </c>
      <c r="M685" t="s">
        <v>377</v>
      </c>
      <c r="N685" t="s">
        <v>537</v>
      </c>
      <c r="P685" s="1">
        <v>600</v>
      </c>
      <c r="Q685" t="s">
        <v>538</v>
      </c>
      <c r="R685" t="s">
        <v>535</v>
      </c>
      <c r="S685" t="s">
        <v>539</v>
      </c>
      <c r="T685" s="2">
        <v>1</v>
      </c>
      <c r="U685" s="1">
        <v>600</v>
      </c>
      <c r="V685" s="1">
        <v>600</v>
      </c>
      <c r="X685" t="s">
        <v>540</v>
      </c>
      <c r="Z685" t="s">
        <v>541</v>
      </c>
      <c r="AA685" t="s">
        <v>542</v>
      </c>
      <c r="AB685" t="s">
        <v>543</v>
      </c>
      <c r="AC685" t="s">
        <v>544</v>
      </c>
      <c r="AD685" t="s">
        <v>545</v>
      </c>
      <c r="AE685" s="3">
        <v>1</v>
      </c>
      <c r="AF685" t="s">
        <v>280</v>
      </c>
      <c r="AG685" s="1">
        <v>600</v>
      </c>
      <c r="AI685" s="1">
        <v>600</v>
      </c>
      <c r="AJ685" s="1">
        <v>600</v>
      </c>
      <c r="AM685" s="1">
        <v>600</v>
      </c>
      <c r="AN685" t="s">
        <v>565</v>
      </c>
      <c r="AO685" t="s">
        <v>546</v>
      </c>
      <c r="AP685" t="s">
        <v>565</v>
      </c>
      <c r="AQ685" t="s">
        <v>548</v>
      </c>
      <c r="AS685" t="s">
        <v>377</v>
      </c>
      <c r="AX685" s="1">
        <v>600</v>
      </c>
      <c r="AY685" t="s">
        <v>546</v>
      </c>
      <c r="AZ685" t="s">
        <v>566</v>
      </c>
      <c r="BA685" s="1">
        <v>600</v>
      </c>
      <c r="BC685" t="s">
        <v>546</v>
      </c>
      <c r="BD685" s="1">
        <v>600</v>
      </c>
      <c r="BE685" t="s">
        <v>540</v>
      </c>
      <c r="BF685" s="1">
        <v>600</v>
      </c>
      <c r="BH685" s="1">
        <v>600</v>
      </c>
      <c r="BI685" t="s">
        <v>550</v>
      </c>
      <c r="BJ685" t="s">
        <v>551</v>
      </c>
      <c r="BK685" t="s">
        <v>551</v>
      </c>
      <c r="BL685" t="s">
        <v>552</v>
      </c>
      <c r="BM685" t="s">
        <v>3637</v>
      </c>
      <c r="BN685" t="s">
        <v>3759</v>
      </c>
      <c r="BO685" t="s">
        <v>3760</v>
      </c>
      <c r="BR685" t="s">
        <v>546</v>
      </c>
      <c r="BS685" s="1">
        <v>600</v>
      </c>
      <c r="BW685" t="s">
        <v>536</v>
      </c>
      <c r="BX685" s="1">
        <v>600</v>
      </c>
      <c r="BZ685" t="s">
        <v>535</v>
      </c>
      <c r="CA685" t="s">
        <v>546</v>
      </c>
      <c r="CB685" t="s">
        <v>3637</v>
      </c>
      <c r="CC685" t="s">
        <v>556</v>
      </c>
      <c r="CD685" t="s">
        <v>944</v>
      </c>
      <c r="CE685" t="s">
        <v>945</v>
      </c>
      <c r="CF685" t="s">
        <v>280</v>
      </c>
      <c r="CG685" s="4">
        <v>1</v>
      </c>
      <c r="CH685" t="s">
        <v>546</v>
      </c>
      <c r="CK685" t="s">
        <v>3757</v>
      </c>
      <c r="CL685" s="1">
        <v>600</v>
      </c>
      <c r="CN685" t="s">
        <v>535</v>
      </c>
      <c r="CO685" t="s">
        <v>539</v>
      </c>
      <c r="CT685" t="s">
        <v>560</v>
      </c>
      <c r="CW685" t="s">
        <v>546</v>
      </c>
      <c r="DD685" t="s">
        <v>561</v>
      </c>
      <c r="DK685" t="s">
        <v>2046</v>
      </c>
      <c r="DL685" t="s">
        <v>2047</v>
      </c>
    </row>
    <row r="686" ht="15" customHeight="1" spans="1:122">
      <c r="A686" t="s">
        <v>530</v>
      </c>
      <c r="B686" t="s">
        <v>3761</v>
      </c>
      <c r="C686" t="s">
        <v>532</v>
      </c>
      <c r="D686" t="s">
        <v>3534</v>
      </c>
      <c r="E686" t="s">
        <v>534</v>
      </c>
      <c r="F686" t="s">
        <v>534</v>
      </c>
      <c r="G686" t="s">
        <v>535</v>
      </c>
      <c r="H686" s="1">
        <v>543</v>
      </c>
      <c r="I686" s="1">
        <v>543</v>
      </c>
      <c r="J686" t="s">
        <v>536</v>
      </c>
      <c r="L686" t="s">
        <v>536</v>
      </c>
      <c r="M686" t="s">
        <v>377</v>
      </c>
      <c r="N686" t="s">
        <v>537</v>
      </c>
      <c r="P686" s="1">
        <v>543</v>
      </c>
      <c r="Q686" t="s">
        <v>538</v>
      </c>
      <c r="R686" t="s">
        <v>535</v>
      </c>
      <c r="S686" t="s">
        <v>539</v>
      </c>
      <c r="T686" s="2">
        <v>1</v>
      </c>
      <c r="U686" s="1">
        <v>543</v>
      </c>
      <c r="V686" s="1">
        <v>543</v>
      </c>
      <c r="X686" t="s">
        <v>616</v>
      </c>
      <c r="Z686" t="s">
        <v>541</v>
      </c>
      <c r="AA686" t="s">
        <v>542</v>
      </c>
      <c r="AB686" t="s">
        <v>543</v>
      </c>
      <c r="AC686" t="s">
        <v>544</v>
      </c>
      <c r="AD686" t="s">
        <v>545</v>
      </c>
      <c r="AE686" s="3">
        <v>1</v>
      </c>
      <c r="AF686" t="s">
        <v>356</v>
      </c>
      <c r="AG686" s="1">
        <v>543</v>
      </c>
      <c r="AI686" s="1">
        <v>543</v>
      </c>
      <c r="AJ686" s="1">
        <v>543</v>
      </c>
      <c r="AM686" s="1">
        <v>543</v>
      </c>
      <c r="AN686" t="s">
        <v>643</v>
      </c>
      <c r="AO686" t="s">
        <v>546</v>
      </c>
      <c r="AP686" t="s">
        <v>643</v>
      </c>
      <c r="AQ686" t="s">
        <v>548</v>
      </c>
      <c r="AS686" t="s">
        <v>377</v>
      </c>
      <c r="AX686" s="1">
        <v>543</v>
      </c>
      <c r="AY686" t="s">
        <v>546</v>
      </c>
      <c r="AZ686" t="s">
        <v>644</v>
      </c>
      <c r="BA686" s="1">
        <v>543</v>
      </c>
      <c r="BC686" t="s">
        <v>546</v>
      </c>
      <c r="BD686" s="1">
        <v>543</v>
      </c>
      <c r="BE686" t="s">
        <v>616</v>
      </c>
      <c r="BH686" s="1">
        <v>543</v>
      </c>
      <c r="BI686" t="s">
        <v>550</v>
      </c>
      <c r="BJ686" t="s">
        <v>551</v>
      </c>
      <c r="BK686" t="s">
        <v>552</v>
      </c>
      <c r="BL686" t="s">
        <v>552</v>
      </c>
      <c r="BM686" t="s">
        <v>3637</v>
      </c>
      <c r="BN686" t="s">
        <v>3762</v>
      </c>
      <c r="BO686" t="s">
        <v>3763</v>
      </c>
      <c r="BR686" t="s">
        <v>546</v>
      </c>
      <c r="BS686" s="1">
        <v>543</v>
      </c>
      <c r="BW686" t="s">
        <v>536</v>
      </c>
      <c r="BZ686" t="s">
        <v>535</v>
      </c>
      <c r="CA686" t="s">
        <v>546</v>
      </c>
      <c r="CB686" t="s">
        <v>3534</v>
      </c>
      <c r="CC686" t="s">
        <v>556</v>
      </c>
      <c r="CD686" t="s">
        <v>1411</v>
      </c>
      <c r="CE686" t="s">
        <v>1412</v>
      </c>
      <c r="CF686" t="s">
        <v>356</v>
      </c>
      <c r="CG686" s="4">
        <v>1</v>
      </c>
      <c r="CH686" t="s">
        <v>546</v>
      </c>
      <c r="CK686" t="s">
        <v>3764</v>
      </c>
      <c r="CN686" t="s">
        <v>535</v>
      </c>
      <c r="CO686" t="s">
        <v>539</v>
      </c>
      <c r="CT686" t="s">
        <v>560</v>
      </c>
      <c r="CW686" t="s">
        <v>546</v>
      </c>
      <c r="DD686" t="s">
        <v>561</v>
      </c>
      <c r="DK686" t="s">
        <v>2046</v>
      </c>
      <c r="DL686" t="s">
        <v>2047</v>
      </c>
      <c r="DR686" t="s">
        <v>3765</v>
      </c>
    </row>
    <row r="687" ht="15" customHeight="1" spans="1:122">
      <c r="A687" t="s">
        <v>530</v>
      </c>
      <c r="B687" t="s">
        <v>3766</v>
      </c>
      <c r="C687" t="s">
        <v>532</v>
      </c>
      <c r="D687" t="s">
        <v>3637</v>
      </c>
      <c r="E687" t="s">
        <v>534</v>
      </c>
      <c r="F687" t="s">
        <v>534</v>
      </c>
      <c r="G687" t="s">
        <v>535</v>
      </c>
      <c r="H687" s="1">
        <v>850</v>
      </c>
      <c r="I687" s="1">
        <v>850</v>
      </c>
      <c r="J687" t="s">
        <v>536</v>
      </c>
      <c r="L687" t="s">
        <v>536</v>
      </c>
      <c r="M687" t="s">
        <v>382</v>
      </c>
      <c r="N687" t="s">
        <v>537</v>
      </c>
      <c r="P687" s="1">
        <v>850</v>
      </c>
      <c r="Q687" t="s">
        <v>785</v>
      </c>
      <c r="R687" t="s">
        <v>535</v>
      </c>
      <c r="S687" t="s">
        <v>539</v>
      </c>
      <c r="T687" s="2">
        <v>1</v>
      </c>
      <c r="U687" s="1">
        <v>850</v>
      </c>
      <c r="V687" s="1">
        <v>850</v>
      </c>
      <c r="X687" t="s">
        <v>540</v>
      </c>
      <c r="Z687" t="s">
        <v>541</v>
      </c>
      <c r="AA687" t="s">
        <v>542</v>
      </c>
      <c r="AB687" t="s">
        <v>543</v>
      </c>
      <c r="AC687" t="s">
        <v>544</v>
      </c>
      <c r="AD687" t="s">
        <v>545</v>
      </c>
      <c r="AE687" s="3">
        <v>1</v>
      </c>
      <c r="AF687" t="s">
        <v>286</v>
      </c>
      <c r="AG687" s="1">
        <v>850</v>
      </c>
      <c r="AI687" s="1">
        <v>850</v>
      </c>
      <c r="AJ687" s="1">
        <v>850</v>
      </c>
      <c r="AM687" s="1">
        <v>850</v>
      </c>
      <c r="AN687" t="s">
        <v>643</v>
      </c>
      <c r="AO687" t="s">
        <v>546</v>
      </c>
      <c r="AP687" t="s">
        <v>643</v>
      </c>
      <c r="AQ687" t="s">
        <v>548</v>
      </c>
      <c r="AS687" t="s">
        <v>382</v>
      </c>
      <c r="AX687" s="1">
        <v>850</v>
      </c>
      <c r="AY687" t="s">
        <v>546</v>
      </c>
      <c r="AZ687" t="s">
        <v>644</v>
      </c>
      <c r="BA687" s="1">
        <v>850</v>
      </c>
      <c r="BC687" t="s">
        <v>546</v>
      </c>
      <c r="BD687" s="1">
        <v>850</v>
      </c>
      <c r="BE687" t="s">
        <v>540</v>
      </c>
      <c r="BF687" s="1">
        <v>850</v>
      </c>
      <c r="BH687" s="1">
        <v>850</v>
      </c>
      <c r="BI687" t="s">
        <v>550</v>
      </c>
      <c r="BJ687" t="s">
        <v>785</v>
      </c>
      <c r="BK687" t="s">
        <v>785</v>
      </c>
      <c r="BL687" t="s">
        <v>552</v>
      </c>
      <c r="BM687" t="s">
        <v>3637</v>
      </c>
      <c r="BN687" t="s">
        <v>3767</v>
      </c>
      <c r="BO687" t="s">
        <v>3768</v>
      </c>
      <c r="BR687" t="s">
        <v>546</v>
      </c>
      <c r="BS687" s="1">
        <v>850</v>
      </c>
      <c r="BW687" t="s">
        <v>536</v>
      </c>
      <c r="BX687" s="1">
        <v>850</v>
      </c>
      <c r="BZ687" t="s">
        <v>535</v>
      </c>
      <c r="CA687" t="s">
        <v>546</v>
      </c>
      <c r="CB687" t="s">
        <v>3637</v>
      </c>
      <c r="CC687" t="s">
        <v>556</v>
      </c>
      <c r="CD687" t="s">
        <v>1108</v>
      </c>
      <c r="CE687" t="s">
        <v>1109</v>
      </c>
      <c r="CF687" t="s">
        <v>286</v>
      </c>
      <c r="CG687" s="4">
        <v>1</v>
      </c>
      <c r="CH687" t="s">
        <v>546</v>
      </c>
      <c r="CK687" t="s">
        <v>3769</v>
      </c>
      <c r="CL687" s="1">
        <v>850</v>
      </c>
      <c r="CN687" t="s">
        <v>535</v>
      </c>
      <c r="CO687" t="s">
        <v>539</v>
      </c>
      <c r="CT687" t="s">
        <v>791</v>
      </c>
      <c r="CW687" t="s">
        <v>546</v>
      </c>
      <c r="DD687" t="s">
        <v>561</v>
      </c>
      <c r="DK687" t="s">
        <v>3770</v>
      </c>
      <c r="DL687" t="s">
        <v>3771</v>
      </c>
      <c r="DR687" t="s">
        <v>3772</v>
      </c>
    </row>
    <row r="688" ht="15" customHeight="1" spans="1:122">
      <c r="A688" t="s">
        <v>530</v>
      </c>
      <c r="B688" t="s">
        <v>3773</v>
      </c>
      <c r="C688" t="s">
        <v>532</v>
      </c>
      <c r="D688" t="s">
        <v>3722</v>
      </c>
      <c r="E688" t="s">
        <v>534</v>
      </c>
      <c r="F688" t="s">
        <v>534</v>
      </c>
      <c r="G688" t="s">
        <v>535</v>
      </c>
      <c r="H688" s="1">
        <v>1840</v>
      </c>
      <c r="I688" s="1">
        <v>1828.96</v>
      </c>
      <c r="J688" t="s">
        <v>536</v>
      </c>
      <c r="L688" t="s">
        <v>536</v>
      </c>
      <c r="M688" t="s">
        <v>375</v>
      </c>
      <c r="N688" t="s">
        <v>537</v>
      </c>
      <c r="P688" s="1">
        <v>1840</v>
      </c>
      <c r="Q688" t="s">
        <v>580</v>
      </c>
      <c r="R688" t="s">
        <v>535</v>
      </c>
      <c r="S688" t="s">
        <v>539</v>
      </c>
      <c r="T688" s="2">
        <v>1</v>
      </c>
      <c r="U688" s="1">
        <v>1840</v>
      </c>
      <c r="V688" s="1">
        <v>1828.96</v>
      </c>
      <c r="X688" t="s">
        <v>540</v>
      </c>
      <c r="Z688" t="s">
        <v>541</v>
      </c>
      <c r="AA688" t="s">
        <v>542</v>
      </c>
      <c r="AB688" t="s">
        <v>543</v>
      </c>
      <c r="AC688" t="s">
        <v>544</v>
      </c>
      <c r="AD688" t="s">
        <v>545</v>
      </c>
      <c r="AE688" s="3">
        <v>1</v>
      </c>
      <c r="AF688" t="s">
        <v>271</v>
      </c>
      <c r="AG688" s="1">
        <v>1840</v>
      </c>
      <c r="AI688" s="1">
        <v>1840</v>
      </c>
      <c r="AJ688" s="1">
        <v>1840</v>
      </c>
      <c r="AK688" s="1">
        <v>11.04</v>
      </c>
      <c r="AM688" s="1">
        <v>1828.96</v>
      </c>
      <c r="AN688" t="s">
        <v>536</v>
      </c>
      <c r="AO688" t="s">
        <v>546</v>
      </c>
      <c r="AP688" t="s">
        <v>547</v>
      </c>
      <c r="AQ688" t="s">
        <v>548</v>
      </c>
      <c r="AS688" t="s">
        <v>375</v>
      </c>
      <c r="AX688" s="1">
        <v>1840</v>
      </c>
      <c r="AY688" t="s">
        <v>546</v>
      </c>
      <c r="AZ688" t="s">
        <v>549</v>
      </c>
      <c r="BA688" s="1">
        <v>1840</v>
      </c>
      <c r="BC688" t="s">
        <v>546</v>
      </c>
      <c r="BD688" s="1">
        <v>1840</v>
      </c>
      <c r="BE688" t="s">
        <v>540</v>
      </c>
      <c r="BF688" s="1">
        <v>1840</v>
      </c>
      <c r="BG688" s="1">
        <v>11.04</v>
      </c>
      <c r="BH688" s="1">
        <v>1828.96</v>
      </c>
      <c r="BI688" t="s">
        <v>550</v>
      </c>
      <c r="BJ688" t="s">
        <v>570</v>
      </c>
      <c r="BK688" t="s">
        <v>552</v>
      </c>
      <c r="BL688" t="s">
        <v>552</v>
      </c>
      <c r="BM688" t="s">
        <v>3637</v>
      </c>
      <c r="BN688" t="s">
        <v>3774</v>
      </c>
      <c r="BO688" t="s">
        <v>3775</v>
      </c>
      <c r="BR688" t="s">
        <v>546</v>
      </c>
      <c r="BS688" s="1">
        <v>1840</v>
      </c>
      <c r="BW688" t="s">
        <v>536</v>
      </c>
      <c r="BX688" s="1">
        <v>1840</v>
      </c>
      <c r="BZ688" t="s">
        <v>535</v>
      </c>
      <c r="CA688" t="s">
        <v>546</v>
      </c>
      <c r="CB688" t="s">
        <v>3722</v>
      </c>
      <c r="CC688" t="s">
        <v>556</v>
      </c>
      <c r="CD688" t="s">
        <v>1238</v>
      </c>
      <c r="CE688" t="s">
        <v>1239</v>
      </c>
      <c r="CF688" t="s">
        <v>271</v>
      </c>
      <c r="CG688" s="4">
        <v>1</v>
      </c>
      <c r="CH688" t="s">
        <v>546</v>
      </c>
      <c r="CK688" t="s">
        <v>3776</v>
      </c>
      <c r="CL688" s="1">
        <v>1840</v>
      </c>
      <c r="CN688" t="s">
        <v>535</v>
      </c>
      <c r="CO688" t="s">
        <v>539</v>
      </c>
      <c r="CT688" t="s">
        <v>576</v>
      </c>
      <c r="CW688" t="s">
        <v>546</v>
      </c>
      <c r="DD688" t="s">
        <v>561</v>
      </c>
      <c r="DK688" t="s">
        <v>3777</v>
      </c>
      <c r="DL688" t="s">
        <v>3778</v>
      </c>
    </row>
    <row r="689" ht="15" customHeight="1" spans="1:122">
      <c r="A689" t="s">
        <v>530</v>
      </c>
      <c r="B689" t="s">
        <v>3779</v>
      </c>
      <c r="C689" t="s">
        <v>532</v>
      </c>
      <c r="D689" t="s">
        <v>3722</v>
      </c>
      <c r="E689" t="s">
        <v>534</v>
      </c>
      <c r="F689" t="s">
        <v>534</v>
      </c>
      <c r="G689" t="s">
        <v>535</v>
      </c>
      <c r="H689" s="1">
        <v>460</v>
      </c>
      <c r="I689" s="1">
        <v>460</v>
      </c>
      <c r="J689" t="s">
        <v>536</v>
      </c>
      <c r="L689" t="s">
        <v>536</v>
      </c>
      <c r="M689" t="s">
        <v>375</v>
      </c>
      <c r="N689" t="s">
        <v>537</v>
      </c>
      <c r="P689" s="1">
        <v>460</v>
      </c>
      <c r="Q689" t="s">
        <v>580</v>
      </c>
      <c r="R689" t="s">
        <v>535</v>
      </c>
      <c r="S689" t="s">
        <v>539</v>
      </c>
      <c r="T689" s="2">
        <v>1</v>
      </c>
      <c r="U689" s="1">
        <v>460</v>
      </c>
      <c r="V689" s="1">
        <v>460</v>
      </c>
      <c r="X689" t="s">
        <v>540</v>
      </c>
      <c r="Z689" t="s">
        <v>541</v>
      </c>
      <c r="AA689" t="s">
        <v>542</v>
      </c>
      <c r="AB689" t="s">
        <v>543</v>
      </c>
      <c r="AC689" t="s">
        <v>544</v>
      </c>
      <c r="AD689" t="s">
        <v>545</v>
      </c>
      <c r="AE689" s="3">
        <v>1</v>
      </c>
      <c r="AF689" t="s">
        <v>271</v>
      </c>
      <c r="AG689" s="1">
        <v>460</v>
      </c>
      <c r="AI689" s="1">
        <v>460</v>
      </c>
      <c r="AJ689" s="1">
        <v>460</v>
      </c>
      <c r="AM689" s="1">
        <v>460</v>
      </c>
      <c r="AN689" t="s">
        <v>565</v>
      </c>
      <c r="AO689" t="s">
        <v>546</v>
      </c>
      <c r="AP689" t="s">
        <v>565</v>
      </c>
      <c r="AQ689" t="s">
        <v>548</v>
      </c>
      <c r="AS689" t="s">
        <v>375</v>
      </c>
      <c r="AX689" s="1">
        <v>460</v>
      </c>
      <c r="AY689" t="s">
        <v>546</v>
      </c>
      <c r="AZ689" t="s">
        <v>566</v>
      </c>
      <c r="BA689" s="1">
        <v>460</v>
      </c>
      <c r="BC689" t="s">
        <v>546</v>
      </c>
      <c r="BD689" s="1">
        <v>460</v>
      </c>
      <c r="BE689" t="s">
        <v>540</v>
      </c>
      <c r="BF689" s="1">
        <v>460</v>
      </c>
      <c r="BH689" s="1">
        <v>460</v>
      </c>
      <c r="BI689" t="s">
        <v>550</v>
      </c>
      <c r="BJ689" t="s">
        <v>570</v>
      </c>
      <c r="BK689" t="s">
        <v>552</v>
      </c>
      <c r="BL689" t="s">
        <v>552</v>
      </c>
      <c r="BM689" t="s">
        <v>3637</v>
      </c>
      <c r="BN689" t="s">
        <v>3780</v>
      </c>
      <c r="BO689" t="s">
        <v>3781</v>
      </c>
      <c r="BR689" t="s">
        <v>546</v>
      </c>
      <c r="BS689" s="1">
        <v>460</v>
      </c>
      <c r="BW689" t="s">
        <v>536</v>
      </c>
      <c r="BX689" s="1">
        <v>460</v>
      </c>
      <c r="BZ689" t="s">
        <v>535</v>
      </c>
      <c r="CA689" t="s">
        <v>546</v>
      </c>
      <c r="CB689" t="s">
        <v>3722</v>
      </c>
      <c r="CC689" t="s">
        <v>556</v>
      </c>
      <c r="CD689" t="s">
        <v>1238</v>
      </c>
      <c r="CE689" t="s">
        <v>1239</v>
      </c>
      <c r="CF689" t="s">
        <v>271</v>
      </c>
      <c r="CG689" s="4">
        <v>1</v>
      </c>
      <c r="CH689" t="s">
        <v>546</v>
      </c>
      <c r="CK689" t="s">
        <v>3776</v>
      </c>
      <c r="CL689" s="1">
        <v>460</v>
      </c>
      <c r="CN689" t="s">
        <v>535</v>
      </c>
      <c r="CO689" t="s">
        <v>539</v>
      </c>
      <c r="CT689" t="s">
        <v>576</v>
      </c>
      <c r="CW689" t="s">
        <v>546</v>
      </c>
      <c r="DD689" t="s">
        <v>561</v>
      </c>
      <c r="DK689" t="s">
        <v>3777</v>
      </c>
      <c r="DL689" t="s">
        <v>3778</v>
      </c>
    </row>
    <row r="690" ht="15" customHeight="1" spans="1:122">
      <c r="A690" t="s">
        <v>603</v>
      </c>
      <c r="B690" t="s">
        <v>3782</v>
      </c>
      <c r="D690" t="s">
        <v>3534</v>
      </c>
      <c r="E690" t="s">
        <v>534</v>
      </c>
      <c r="F690" t="s">
        <v>534</v>
      </c>
      <c r="G690" t="s">
        <v>535</v>
      </c>
      <c r="H690" s="1">
        <v>10102.4</v>
      </c>
      <c r="I690" s="1">
        <v>10102.4</v>
      </c>
      <c r="J690" t="s">
        <v>536</v>
      </c>
      <c r="L690" t="s">
        <v>536</v>
      </c>
      <c r="M690" t="s">
        <v>398</v>
      </c>
      <c r="N690" t="s">
        <v>1341</v>
      </c>
      <c r="P690" s="1">
        <v>10102.4</v>
      </c>
      <c r="Q690" t="s">
        <v>1342</v>
      </c>
      <c r="R690" t="s">
        <v>535</v>
      </c>
      <c r="S690" t="s">
        <v>539</v>
      </c>
      <c r="T690" s="2">
        <v>1</v>
      </c>
      <c r="U690" s="1">
        <v>10102.4</v>
      </c>
      <c r="V690" s="1">
        <v>10102.4</v>
      </c>
      <c r="X690" t="s">
        <v>616</v>
      </c>
      <c r="Z690" t="s">
        <v>541</v>
      </c>
      <c r="AA690" t="s">
        <v>542</v>
      </c>
      <c r="AB690" t="s">
        <v>543</v>
      </c>
      <c r="AC690" t="s">
        <v>608</v>
      </c>
      <c r="AE690" s="3">
        <v>1</v>
      </c>
      <c r="AG690" s="1">
        <v>10102.4</v>
      </c>
      <c r="AI690" s="1">
        <v>10102.4</v>
      </c>
      <c r="AJ690" s="1">
        <v>10102.4</v>
      </c>
      <c r="AM690" s="1">
        <v>10102.4</v>
      </c>
      <c r="AN690" t="s">
        <v>536</v>
      </c>
      <c r="AO690" t="s">
        <v>546</v>
      </c>
      <c r="AP690" t="s">
        <v>547</v>
      </c>
      <c r="AQ690" t="s">
        <v>548</v>
      </c>
      <c r="AS690" t="s">
        <v>398</v>
      </c>
      <c r="AX690" s="1">
        <v>10102.4</v>
      </c>
      <c r="AY690" t="s">
        <v>546</v>
      </c>
      <c r="AZ690" t="s">
        <v>549</v>
      </c>
      <c r="BA690" s="1">
        <v>10102.4</v>
      </c>
      <c r="BC690" t="s">
        <v>546</v>
      </c>
      <c r="BE690" t="s">
        <v>616</v>
      </c>
      <c r="BH690" s="1">
        <v>10102.4</v>
      </c>
      <c r="BI690" t="s">
        <v>550</v>
      </c>
      <c r="BJ690" t="s">
        <v>552</v>
      </c>
      <c r="BK690" t="s">
        <v>552</v>
      </c>
      <c r="BL690" t="s">
        <v>552</v>
      </c>
      <c r="BM690" t="s">
        <v>3637</v>
      </c>
      <c r="BN690" t="s">
        <v>3783</v>
      </c>
      <c r="BO690" t="s">
        <v>3784</v>
      </c>
      <c r="BR690" t="s">
        <v>546</v>
      </c>
      <c r="BS690" s="1">
        <v>10102.4</v>
      </c>
      <c r="BW690" t="s">
        <v>536</v>
      </c>
      <c r="BZ690" t="s">
        <v>535</v>
      </c>
      <c r="CA690" t="s">
        <v>546</v>
      </c>
      <c r="CB690" t="s">
        <v>3534</v>
      </c>
      <c r="CC690" t="s">
        <v>556</v>
      </c>
      <c r="CH690" t="s">
        <v>546</v>
      </c>
      <c r="CK690" t="s">
        <v>3785</v>
      </c>
      <c r="CN690" t="s">
        <v>535</v>
      </c>
      <c r="CO690" t="s">
        <v>539</v>
      </c>
      <c r="CT690" t="s">
        <v>1789</v>
      </c>
      <c r="CW690" t="s">
        <v>546</v>
      </c>
      <c r="DD690" t="s">
        <v>561</v>
      </c>
    </row>
    <row r="691" ht="15" customHeight="1" spans="1:122">
      <c r="A691" t="s">
        <v>603</v>
      </c>
      <c r="B691" t="s">
        <v>3786</v>
      </c>
      <c r="D691" t="s">
        <v>3637</v>
      </c>
      <c r="E691" t="s">
        <v>534</v>
      </c>
      <c r="F691" t="s">
        <v>534</v>
      </c>
      <c r="G691" t="s">
        <v>535</v>
      </c>
      <c r="H691" s="1">
        <v>9431.92</v>
      </c>
      <c r="I691" s="1">
        <v>9431.92</v>
      </c>
      <c r="J691" t="s">
        <v>536</v>
      </c>
      <c r="L691" t="s">
        <v>536</v>
      </c>
      <c r="M691" t="s">
        <v>402</v>
      </c>
      <c r="N691" t="s">
        <v>1341</v>
      </c>
      <c r="P691" s="1">
        <v>9431.92</v>
      </c>
      <c r="Q691" t="s">
        <v>1342</v>
      </c>
      <c r="R691" t="s">
        <v>535</v>
      </c>
      <c r="S691" t="s">
        <v>539</v>
      </c>
      <c r="T691" s="2">
        <v>1</v>
      </c>
      <c r="U691" s="1">
        <v>9431.92</v>
      </c>
      <c r="V691" s="1">
        <v>9431.92</v>
      </c>
      <c r="X691" t="s">
        <v>616</v>
      </c>
      <c r="Z691" t="s">
        <v>541</v>
      </c>
      <c r="AA691" t="s">
        <v>542</v>
      </c>
      <c r="AB691" t="s">
        <v>543</v>
      </c>
      <c r="AC691" t="s">
        <v>608</v>
      </c>
      <c r="AE691" s="3">
        <v>1</v>
      </c>
      <c r="AG691" s="1">
        <v>9431.92</v>
      </c>
      <c r="AI691" s="1">
        <v>9431.92</v>
      </c>
      <c r="AJ691" s="1">
        <v>9431.92</v>
      </c>
      <c r="AM691" s="1">
        <v>9431.92</v>
      </c>
      <c r="AN691" t="s">
        <v>536</v>
      </c>
      <c r="AO691" t="s">
        <v>546</v>
      </c>
      <c r="AP691" t="s">
        <v>547</v>
      </c>
      <c r="AQ691" t="s">
        <v>548</v>
      </c>
      <c r="AS691" t="s">
        <v>402</v>
      </c>
      <c r="AX691" s="1">
        <v>9431.92</v>
      </c>
      <c r="AY691" t="s">
        <v>546</v>
      </c>
      <c r="AZ691" t="s">
        <v>549</v>
      </c>
      <c r="BA691" s="1">
        <v>9431.92</v>
      </c>
      <c r="BC691" t="s">
        <v>546</v>
      </c>
      <c r="BE691" t="s">
        <v>616</v>
      </c>
      <c r="BH691" s="1">
        <v>9431.92</v>
      </c>
      <c r="BI691" t="s">
        <v>550</v>
      </c>
      <c r="BJ691" t="s">
        <v>552</v>
      </c>
      <c r="BK691" t="s">
        <v>552</v>
      </c>
      <c r="BL691" t="s">
        <v>552</v>
      </c>
      <c r="BM691" t="s">
        <v>3637</v>
      </c>
      <c r="BN691" t="s">
        <v>3787</v>
      </c>
      <c r="BO691" t="s">
        <v>3788</v>
      </c>
      <c r="BR691" t="s">
        <v>546</v>
      </c>
      <c r="BS691" s="1">
        <v>9431.92</v>
      </c>
      <c r="BW691" t="s">
        <v>536</v>
      </c>
      <c r="BZ691" t="s">
        <v>535</v>
      </c>
      <c r="CA691" t="s">
        <v>546</v>
      </c>
      <c r="CB691" t="s">
        <v>3637</v>
      </c>
      <c r="CC691" t="s">
        <v>556</v>
      </c>
      <c r="CH691" t="s">
        <v>546</v>
      </c>
      <c r="CK691" t="s">
        <v>3789</v>
      </c>
      <c r="CN691" t="s">
        <v>535</v>
      </c>
      <c r="CO691" t="s">
        <v>539</v>
      </c>
      <c r="CT691" t="s">
        <v>1789</v>
      </c>
      <c r="CW691" t="s">
        <v>546</v>
      </c>
      <c r="DD691" t="s">
        <v>561</v>
      </c>
    </row>
    <row r="692" ht="15" customHeight="1" spans="1:122">
      <c r="A692" t="s">
        <v>530</v>
      </c>
      <c r="B692" t="s">
        <v>3790</v>
      </c>
      <c r="C692" t="s">
        <v>532</v>
      </c>
      <c r="D692" t="s">
        <v>3637</v>
      </c>
      <c r="E692" t="s">
        <v>534</v>
      </c>
      <c r="F692" t="s">
        <v>534</v>
      </c>
      <c r="G692" t="s">
        <v>535</v>
      </c>
      <c r="H692" s="1">
        <v>8145</v>
      </c>
      <c r="I692" s="1">
        <v>8145</v>
      </c>
      <c r="J692" t="s">
        <v>536</v>
      </c>
      <c r="L692" t="s">
        <v>536</v>
      </c>
      <c r="M692" t="s">
        <v>404</v>
      </c>
      <c r="N692" t="s">
        <v>537</v>
      </c>
      <c r="P692" s="1">
        <v>8145</v>
      </c>
      <c r="Q692" t="s">
        <v>642</v>
      </c>
      <c r="R692" t="s">
        <v>535</v>
      </c>
      <c r="S692" t="s">
        <v>539</v>
      </c>
      <c r="T692" s="2">
        <v>1</v>
      </c>
      <c r="U692" s="1">
        <v>8145</v>
      </c>
      <c r="V692" s="1">
        <v>8145</v>
      </c>
      <c r="X692" t="s">
        <v>540</v>
      </c>
      <c r="Z692" t="s">
        <v>541</v>
      </c>
      <c r="AA692" t="s">
        <v>542</v>
      </c>
      <c r="AB692" t="s">
        <v>543</v>
      </c>
      <c r="AC692" t="s">
        <v>544</v>
      </c>
      <c r="AD692" t="s">
        <v>545</v>
      </c>
      <c r="AE692" s="3">
        <v>1</v>
      </c>
      <c r="AF692" t="s">
        <v>287</v>
      </c>
      <c r="AG692" s="1">
        <v>8145</v>
      </c>
      <c r="AI692" s="1">
        <v>8145</v>
      </c>
      <c r="AJ692" s="1">
        <v>8145</v>
      </c>
      <c r="AM692" s="1">
        <v>8145</v>
      </c>
      <c r="AN692" t="s">
        <v>643</v>
      </c>
      <c r="AO692" t="s">
        <v>546</v>
      </c>
      <c r="AP692" t="s">
        <v>643</v>
      </c>
      <c r="AQ692" t="s">
        <v>548</v>
      </c>
      <c r="AS692" t="s">
        <v>404</v>
      </c>
      <c r="AX692" s="1">
        <v>8145</v>
      </c>
      <c r="AY692" t="s">
        <v>546</v>
      </c>
      <c r="AZ692" t="s">
        <v>644</v>
      </c>
      <c r="BA692" s="1">
        <v>8145</v>
      </c>
      <c r="BC692" t="s">
        <v>546</v>
      </c>
      <c r="BD692" s="1">
        <v>8145</v>
      </c>
      <c r="BE692" t="s">
        <v>540</v>
      </c>
      <c r="BF692" s="1">
        <v>8145</v>
      </c>
      <c r="BH692" s="1">
        <v>8145</v>
      </c>
      <c r="BI692" t="s">
        <v>550</v>
      </c>
      <c r="BJ692" t="s">
        <v>551</v>
      </c>
      <c r="BK692" t="s">
        <v>551</v>
      </c>
      <c r="BL692" t="s">
        <v>552</v>
      </c>
      <c r="BM692" t="s">
        <v>3637</v>
      </c>
      <c r="BN692" t="s">
        <v>3791</v>
      </c>
      <c r="BO692" t="s">
        <v>3792</v>
      </c>
      <c r="BR692" t="s">
        <v>546</v>
      </c>
      <c r="BS692" s="1">
        <v>8145</v>
      </c>
      <c r="BW692" t="s">
        <v>536</v>
      </c>
      <c r="BX692" s="1">
        <v>8145</v>
      </c>
      <c r="BZ692" t="s">
        <v>535</v>
      </c>
      <c r="CA692" t="s">
        <v>546</v>
      </c>
      <c r="CB692" t="s">
        <v>3637</v>
      </c>
      <c r="CC692" t="s">
        <v>556</v>
      </c>
      <c r="CD692" t="s">
        <v>1400</v>
      </c>
      <c r="CE692" t="s">
        <v>1401</v>
      </c>
      <c r="CF692" t="s">
        <v>287</v>
      </c>
      <c r="CG692" s="4">
        <v>1</v>
      </c>
      <c r="CH692" t="s">
        <v>546</v>
      </c>
      <c r="CK692" t="s">
        <v>3793</v>
      </c>
      <c r="CL692" s="1">
        <v>8145</v>
      </c>
      <c r="CN692" t="s">
        <v>535</v>
      </c>
      <c r="CO692" t="s">
        <v>539</v>
      </c>
      <c r="CT692" t="s">
        <v>651</v>
      </c>
      <c r="CW692" t="s">
        <v>546</v>
      </c>
      <c r="DD692" t="s">
        <v>561</v>
      </c>
      <c r="DK692" t="s">
        <v>3794</v>
      </c>
      <c r="DL692" t="s">
        <v>3795</v>
      </c>
      <c r="DR692" t="s">
        <v>3796</v>
      </c>
    </row>
    <row r="693" ht="15" customHeight="1" spans="1:122">
      <c r="A693" t="s">
        <v>530</v>
      </c>
      <c r="B693" t="s">
        <v>3797</v>
      </c>
      <c r="C693" t="s">
        <v>532</v>
      </c>
      <c r="D693" t="s">
        <v>3722</v>
      </c>
      <c r="E693" t="s">
        <v>534</v>
      </c>
      <c r="F693" t="s">
        <v>534</v>
      </c>
      <c r="G693" t="s">
        <v>535</v>
      </c>
      <c r="H693" s="1">
        <v>3680</v>
      </c>
      <c r="I693" s="1">
        <v>3657.92</v>
      </c>
      <c r="J693" t="s">
        <v>536</v>
      </c>
      <c r="L693" t="s">
        <v>536</v>
      </c>
      <c r="M693" t="s">
        <v>377</v>
      </c>
      <c r="N693" t="s">
        <v>537</v>
      </c>
      <c r="P693" s="1">
        <v>3680</v>
      </c>
      <c r="Q693" t="s">
        <v>538</v>
      </c>
      <c r="R693" t="s">
        <v>535</v>
      </c>
      <c r="S693" t="s">
        <v>539</v>
      </c>
      <c r="T693" s="2">
        <v>1</v>
      </c>
      <c r="U693" s="1">
        <v>3680</v>
      </c>
      <c r="V693" s="1">
        <v>3657.92</v>
      </c>
      <c r="X693" t="s">
        <v>540</v>
      </c>
      <c r="Z693" t="s">
        <v>541</v>
      </c>
      <c r="AA693" t="s">
        <v>542</v>
      </c>
      <c r="AB693" t="s">
        <v>543</v>
      </c>
      <c r="AC693" t="s">
        <v>544</v>
      </c>
      <c r="AD693" t="s">
        <v>545</v>
      </c>
      <c r="AE693" s="3">
        <v>1</v>
      </c>
      <c r="AF693" t="s">
        <v>284</v>
      </c>
      <c r="AG693" s="1">
        <v>3680</v>
      </c>
      <c r="AI693" s="1">
        <v>3680</v>
      </c>
      <c r="AJ693" s="1">
        <v>3680</v>
      </c>
      <c r="AK693" s="1">
        <v>22.08</v>
      </c>
      <c r="AM693" s="1">
        <v>3657.92</v>
      </c>
      <c r="AN693" t="s">
        <v>536</v>
      </c>
      <c r="AO693" t="s">
        <v>546</v>
      </c>
      <c r="AP693" t="s">
        <v>547</v>
      </c>
      <c r="AQ693" t="s">
        <v>548</v>
      </c>
      <c r="AS693" t="s">
        <v>377</v>
      </c>
      <c r="AX693" s="1">
        <v>3680</v>
      </c>
      <c r="AY693" t="s">
        <v>546</v>
      </c>
      <c r="AZ693" t="s">
        <v>549</v>
      </c>
      <c r="BA693" s="1">
        <v>3680</v>
      </c>
      <c r="BC693" t="s">
        <v>546</v>
      </c>
      <c r="BD693" s="1">
        <v>3680</v>
      </c>
      <c r="BE693" t="s">
        <v>540</v>
      </c>
      <c r="BF693" s="1">
        <v>3680</v>
      </c>
      <c r="BG693" s="1">
        <v>22.08</v>
      </c>
      <c r="BH693" s="1">
        <v>3657.92</v>
      </c>
      <c r="BI693" t="s">
        <v>550</v>
      </c>
      <c r="BJ693" t="s">
        <v>551</v>
      </c>
      <c r="BK693" t="s">
        <v>552</v>
      </c>
      <c r="BL693" t="s">
        <v>552</v>
      </c>
      <c r="BM693" t="s">
        <v>3637</v>
      </c>
      <c r="BN693" t="s">
        <v>3798</v>
      </c>
      <c r="BO693" t="s">
        <v>3799</v>
      </c>
      <c r="BR693" t="s">
        <v>546</v>
      </c>
      <c r="BS693" s="1">
        <v>3680</v>
      </c>
      <c r="BW693" t="s">
        <v>536</v>
      </c>
      <c r="BX693" s="1">
        <v>3680</v>
      </c>
      <c r="BZ693" t="s">
        <v>535</v>
      </c>
      <c r="CA693" t="s">
        <v>546</v>
      </c>
      <c r="CB693" t="s">
        <v>3722</v>
      </c>
      <c r="CC693" t="s">
        <v>556</v>
      </c>
      <c r="CD693" t="s">
        <v>788</v>
      </c>
      <c r="CE693" t="s">
        <v>789</v>
      </c>
      <c r="CF693" t="s">
        <v>284</v>
      </c>
      <c r="CG693" s="4">
        <v>1</v>
      </c>
      <c r="CH693" t="s">
        <v>546</v>
      </c>
      <c r="CK693" t="s">
        <v>3800</v>
      </c>
      <c r="CL693" s="1">
        <v>3680</v>
      </c>
      <c r="CN693" t="s">
        <v>535</v>
      </c>
      <c r="CO693" t="s">
        <v>539</v>
      </c>
      <c r="CT693" t="s">
        <v>560</v>
      </c>
      <c r="CW693" t="s">
        <v>546</v>
      </c>
      <c r="DD693" t="s">
        <v>561</v>
      </c>
      <c r="DK693" t="s">
        <v>3801</v>
      </c>
      <c r="DL693" t="s">
        <v>2919</v>
      </c>
    </row>
    <row r="694" ht="15" customHeight="1" spans="1:122">
      <c r="A694" t="s">
        <v>530</v>
      </c>
      <c r="B694" t="s">
        <v>3802</v>
      </c>
      <c r="C694" t="s">
        <v>532</v>
      </c>
      <c r="D694" t="s">
        <v>3722</v>
      </c>
      <c r="E694" t="s">
        <v>534</v>
      </c>
      <c r="F694" t="s">
        <v>534</v>
      </c>
      <c r="G694" t="s">
        <v>535</v>
      </c>
      <c r="H694" s="1">
        <v>920</v>
      </c>
      <c r="I694" s="1">
        <v>920</v>
      </c>
      <c r="J694" t="s">
        <v>536</v>
      </c>
      <c r="L694" t="s">
        <v>536</v>
      </c>
      <c r="M694" t="s">
        <v>377</v>
      </c>
      <c r="N694" t="s">
        <v>537</v>
      </c>
      <c r="P694" s="1">
        <v>920</v>
      </c>
      <c r="Q694" t="s">
        <v>538</v>
      </c>
      <c r="R694" t="s">
        <v>535</v>
      </c>
      <c r="S694" t="s">
        <v>539</v>
      </c>
      <c r="T694" s="2">
        <v>1</v>
      </c>
      <c r="U694" s="1">
        <v>920</v>
      </c>
      <c r="V694" s="1">
        <v>920</v>
      </c>
      <c r="X694" t="s">
        <v>540</v>
      </c>
      <c r="Z694" t="s">
        <v>541</v>
      </c>
      <c r="AA694" t="s">
        <v>542</v>
      </c>
      <c r="AB694" t="s">
        <v>543</v>
      </c>
      <c r="AC694" t="s">
        <v>544</v>
      </c>
      <c r="AD694" t="s">
        <v>545</v>
      </c>
      <c r="AE694" s="3">
        <v>1</v>
      </c>
      <c r="AF694" t="s">
        <v>284</v>
      </c>
      <c r="AG694" s="1">
        <v>920</v>
      </c>
      <c r="AI694" s="1">
        <v>920</v>
      </c>
      <c r="AJ694" s="1">
        <v>920</v>
      </c>
      <c r="AM694" s="1">
        <v>920</v>
      </c>
      <c r="AN694" t="s">
        <v>565</v>
      </c>
      <c r="AO694" t="s">
        <v>546</v>
      </c>
      <c r="AP694" t="s">
        <v>565</v>
      </c>
      <c r="AQ694" t="s">
        <v>548</v>
      </c>
      <c r="AS694" t="s">
        <v>377</v>
      </c>
      <c r="AX694" s="1">
        <v>920</v>
      </c>
      <c r="AY694" t="s">
        <v>546</v>
      </c>
      <c r="AZ694" t="s">
        <v>566</v>
      </c>
      <c r="BA694" s="1">
        <v>920</v>
      </c>
      <c r="BC694" t="s">
        <v>546</v>
      </c>
      <c r="BD694" s="1">
        <v>920</v>
      </c>
      <c r="BE694" t="s">
        <v>540</v>
      </c>
      <c r="BF694" s="1">
        <v>920</v>
      </c>
      <c r="BH694" s="1">
        <v>920</v>
      </c>
      <c r="BI694" t="s">
        <v>550</v>
      </c>
      <c r="BJ694" t="s">
        <v>551</v>
      </c>
      <c r="BK694" t="s">
        <v>551</v>
      </c>
      <c r="BL694" t="s">
        <v>552</v>
      </c>
      <c r="BM694" t="s">
        <v>3637</v>
      </c>
      <c r="BN694" t="s">
        <v>3803</v>
      </c>
      <c r="BO694" t="s">
        <v>3804</v>
      </c>
      <c r="BR694" t="s">
        <v>546</v>
      </c>
      <c r="BS694" s="1">
        <v>920</v>
      </c>
      <c r="BW694" t="s">
        <v>536</v>
      </c>
      <c r="BX694" s="1">
        <v>920</v>
      </c>
      <c r="BZ694" t="s">
        <v>535</v>
      </c>
      <c r="CA694" t="s">
        <v>546</v>
      </c>
      <c r="CB694" t="s">
        <v>3722</v>
      </c>
      <c r="CC694" t="s">
        <v>556</v>
      </c>
      <c r="CD694" t="s">
        <v>788</v>
      </c>
      <c r="CE694" t="s">
        <v>789</v>
      </c>
      <c r="CF694" t="s">
        <v>284</v>
      </c>
      <c r="CG694" s="4">
        <v>1</v>
      </c>
      <c r="CH694" t="s">
        <v>546</v>
      </c>
      <c r="CK694" t="s">
        <v>3800</v>
      </c>
      <c r="CL694" s="1">
        <v>920</v>
      </c>
      <c r="CN694" t="s">
        <v>535</v>
      </c>
      <c r="CO694" t="s">
        <v>539</v>
      </c>
      <c r="CT694" t="s">
        <v>560</v>
      </c>
      <c r="CW694" t="s">
        <v>546</v>
      </c>
      <c r="DD694" t="s">
        <v>561</v>
      </c>
      <c r="DK694" t="s">
        <v>3801</v>
      </c>
      <c r="DL694" t="s">
        <v>2919</v>
      </c>
    </row>
    <row r="695" ht="15" customHeight="1" spans="1:122">
      <c r="A695" t="s">
        <v>530</v>
      </c>
      <c r="B695" t="s">
        <v>3805</v>
      </c>
      <c r="C695" t="s">
        <v>532</v>
      </c>
      <c r="D695" t="s">
        <v>3637</v>
      </c>
      <c r="E695" t="s">
        <v>534</v>
      </c>
      <c r="F695" t="s">
        <v>534</v>
      </c>
      <c r="G695" t="s">
        <v>535</v>
      </c>
      <c r="H695" s="1">
        <v>508</v>
      </c>
      <c r="I695" s="1">
        <v>508</v>
      </c>
      <c r="J695" t="s">
        <v>536</v>
      </c>
      <c r="L695" t="s">
        <v>536</v>
      </c>
      <c r="M695" t="s">
        <v>377</v>
      </c>
      <c r="N695" t="s">
        <v>537</v>
      </c>
      <c r="P695" s="1">
        <v>508</v>
      </c>
      <c r="Q695" t="s">
        <v>538</v>
      </c>
      <c r="R695" t="s">
        <v>535</v>
      </c>
      <c r="S695" t="s">
        <v>539</v>
      </c>
      <c r="T695" s="2">
        <v>1</v>
      </c>
      <c r="U695" s="1">
        <v>508</v>
      </c>
      <c r="V695" s="1">
        <v>508</v>
      </c>
      <c r="X695" t="s">
        <v>540</v>
      </c>
      <c r="Z695" t="s">
        <v>541</v>
      </c>
      <c r="AA695" t="s">
        <v>542</v>
      </c>
      <c r="AB695" t="s">
        <v>543</v>
      </c>
      <c r="AC695" t="s">
        <v>544</v>
      </c>
      <c r="AD695" t="s">
        <v>545</v>
      </c>
      <c r="AE695" s="3">
        <v>1</v>
      </c>
      <c r="AF695" t="s">
        <v>357</v>
      </c>
      <c r="AG695" s="1">
        <v>508</v>
      </c>
      <c r="AI695" s="1">
        <v>508</v>
      </c>
      <c r="AJ695" s="1">
        <v>508</v>
      </c>
      <c r="AM695" s="1">
        <v>508</v>
      </c>
      <c r="AN695" t="s">
        <v>643</v>
      </c>
      <c r="AO695" t="s">
        <v>546</v>
      </c>
      <c r="AP695" t="s">
        <v>643</v>
      </c>
      <c r="AQ695" t="s">
        <v>548</v>
      </c>
      <c r="AS695" t="s">
        <v>377</v>
      </c>
      <c r="AX695" s="1">
        <v>508</v>
      </c>
      <c r="AY695" t="s">
        <v>546</v>
      </c>
      <c r="AZ695" t="s">
        <v>644</v>
      </c>
      <c r="BA695" s="1">
        <v>508</v>
      </c>
      <c r="BC695" t="s">
        <v>546</v>
      </c>
      <c r="BD695" s="1">
        <v>508</v>
      </c>
      <c r="BE695" t="s">
        <v>540</v>
      </c>
      <c r="BF695" s="1">
        <v>508</v>
      </c>
      <c r="BH695" s="1">
        <v>508</v>
      </c>
      <c r="BI695" t="s">
        <v>550</v>
      </c>
      <c r="BJ695" t="s">
        <v>551</v>
      </c>
      <c r="BK695" t="s">
        <v>551</v>
      </c>
      <c r="BL695" t="s">
        <v>552</v>
      </c>
      <c r="BM695" t="s">
        <v>3637</v>
      </c>
      <c r="BN695" t="s">
        <v>3806</v>
      </c>
      <c r="BO695" t="s">
        <v>3807</v>
      </c>
      <c r="BR695" t="s">
        <v>546</v>
      </c>
      <c r="BS695" s="1">
        <v>508</v>
      </c>
      <c r="BW695" t="s">
        <v>536</v>
      </c>
      <c r="BX695" s="1">
        <v>508</v>
      </c>
      <c r="BZ695" t="s">
        <v>535</v>
      </c>
      <c r="CA695" t="s">
        <v>546</v>
      </c>
      <c r="CB695" t="s">
        <v>3637</v>
      </c>
      <c r="CC695" t="s">
        <v>556</v>
      </c>
      <c r="CD695" t="s">
        <v>1411</v>
      </c>
      <c r="CE695" t="s">
        <v>1412</v>
      </c>
      <c r="CF695" t="s">
        <v>357</v>
      </c>
      <c r="CG695" s="4">
        <v>1</v>
      </c>
      <c r="CH695" t="s">
        <v>546</v>
      </c>
      <c r="CK695" t="s">
        <v>3808</v>
      </c>
      <c r="CL695" s="1">
        <v>508</v>
      </c>
      <c r="CN695" t="s">
        <v>535</v>
      </c>
      <c r="CO695" t="s">
        <v>539</v>
      </c>
      <c r="CT695" t="s">
        <v>560</v>
      </c>
      <c r="CW695" t="s">
        <v>546</v>
      </c>
      <c r="DD695" t="s">
        <v>561</v>
      </c>
      <c r="DK695" t="s">
        <v>3801</v>
      </c>
      <c r="DL695" t="s">
        <v>2919</v>
      </c>
      <c r="DR695" t="s">
        <v>3809</v>
      </c>
    </row>
    <row r="696" ht="15" customHeight="1" spans="1:122">
      <c r="A696" t="s">
        <v>530</v>
      </c>
      <c r="B696" t="s">
        <v>3810</v>
      </c>
      <c r="C696" t="s">
        <v>532</v>
      </c>
      <c r="D696" t="s">
        <v>3637</v>
      </c>
      <c r="E696" t="s">
        <v>534</v>
      </c>
      <c r="F696" t="s">
        <v>534</v>
      </c>
      <c r="G696" t="s">
        <v>535</v>
      </c>
      <c r="H696" s="1">
        <v>3788</v>
      </c>
      <c r="I696" s="1">
        <v>3788</v>
      </c>
      <c r="J696" t="s">
        <v>536</v>
      </c>
      <c r="L696" t="s">
        <v>536</v>
      </c>
      <c r="M696" t="s">
        <v>377</v>
      </c>
      <c r="N696" t="s">
        <v>537</v>
      </c>
      <c r="P696" s="1">
        <v>3788</v>
      </c>
      <c r="Q696" t="s">
        <v>538</v>
      </c>
      <c r="R696" t="s">
        <v>535</v>
      </c>
      <c r="S696" t="s">
        <v>539</v>
      </c>
      <c r="T696" s="2">
        <v>1</v>
      </c>
      <c r="U696" s="1">
        <v>3788</v>
      </c>
      <c r="V696" s="1">
        <v>3788</v>
      </c>
      <c r="X696" t="s">
        <v>540</v>
      </c>
      <c r="Z696" t="s">
        <v>541</v>
      </c>
      <c r="AA696" t="s">
        <v>542</v>
      </c>
      <c r="AB696" t="s">
        <v>543</v>
      </c>
      <c r="AC696" t="s">
        <v>544</v>
      </c>
      <c r="AD696" t="s">
        <v>545</v>
      </c>
      <c r="AE696" s="3">
        <v>1</v>
      </c>
      <c r="AF696" t="s">
        <v>288</v>
      </c>
      <c r="AG696" s="1">
        <v>3788</v>
      </c>
      <c r="AI696" s="1">
        <v>3788</v>
      </c>
      <c r="AJ696" s="1">
        <v>3788</v>
      </c>
      <c r="AM696" s="1">
        <v>3788</v>
      </c>
      <c r="AN696" t="s">
        <v>536</v>
      </c>
      <c r="AO696" t="s">
        <v>546</v>
      </c>
      <c r="AP696" t="s">
        <v>547</v>
      </c>
      <c r="AQ696" t="s">
        <v>548</v>
      </c>
      <c r="AS696" t="s">
        <v>377</v>
      </c>
      <c r="AX696" s="1">
        <v>3788</v>
      </c>
      <c r="AY696" t="s">
        <v>546</v>
      </c>
      <c r="AZ696" t="s">
        <v>549</v>
      </c>
      <c r="BA696" s="1">
        <v>3788</v>
      </c>
      <c r="BC696" t="s">
        <v>546</v>
      </c>
      <c r="BD696" s="1">
        <v>3788</v>
      </c>
      <c r="BE696" t="s">
        <v>540</v>
      </c>
      <c r="BF696" s="1">
        <v>3788</v>
      </c>
      <c r="BH696" s="1">
        <v>3788</v>
      </c>
      <c r="BI696" t="s">
        <v>550</v>
      </c>
      <c r="BJ696" t="s">
        <v>551</v>
      </c>
      <c r="BK696" t="s">
        <v>551</v>
      </c>
      <c r="BL696" t="s">
        <v>552</v>
      </c>
      <c r="BM696" t="s">
        <v>3637</v>
      </c>
      <c r="BN696" t="s">
        <v>3811</v>
      </c>
      <c r="BO696" t="s">
        <v>3812</v>
      </c>
      <c r="BR696" t="s">
        <v>546</v>
      </c>
      <c r="BS696" s="1">
        <v>3788</v>
      </c>
      <c r="BW696" t="s">
        <v>536</v>
      </c>
      <c r="BX696" s="1">
        <v>3788</v>
      </c>
      <c r="BZ696" t="s">
        <v>535</v>
      </c>
      <c r="CA696" t="s">
        <v>546</v>
      </c>
      <c r="CB696" t="s">
        <v>3637</v>
      </c>
      <c r="CC696" t="s">
        <v>556</v>
      </c>
      <c r="CD696" t="s">
        <v>622</v>
      </c>
      <c r="CE696" t="s">
        <v>623</v>
      </c>
      <c r="CF696" t="s">
        <v>288</v>
      </c>
      <c r="CG696" s="4">
        <v>1</v>
      </c>
      <c r="CH696" t="s">
        <v>546</v>
      </c>
      <c r="CK696" t="s">
        <v>3813</v>
      </c>
      <c r="CL696" s="1">
        <v>3788</v>
      </c>
      <c r="CN696" t="s">
        <v>535</v>
      </c>
      <c r="CO696" t="s">
        <v>539</v>
      </c>
      <c r="CT696" t="s">
        <v>560</v>
      </c>
      <c r="CW696" t="s">
        <v>546</v>
      </c>
      <c r="DD696" t="s">
        <v>561</v>
      </c>
      <c r="DK696" t="s">
        <v>3814</v>
      </c>
      <c r="DL696" t="s">
        <v>3815</v>
      </c>
    </row>
    <row r="697" ht="15" customHeight="1" spans="1:122">
      <c r="A697" t="s">
        <v>530</v>
      </c>
      <c r="B697" t="s">
        <v>3816</v>
      </c>
      <c r="C697" t="s">
        <v>532</v>
      </c>
      <c r="D697" t="s">
        <v>3722</v>
      </c>
      <c r="E697" t="s">
        <v>534</v>
      </c>
      <c r="F697" t="s">
        <v>534</v>
      </c>
      <c r="G697" t="s">
        <v>535</v>
      </c>
      <c r="H697" s="1">
        <v>3130</v>
      </c>
      <c r="I697" s="1">
        <v>3123.27</v>
      </c>
      <c r="J697" t="s">
        <v>536</v>
      </c>
      <c r="L697" t="s">
        <v>536</v>
      </c>
      <c r="M697" t="s">
        <v>375</v>
      </c>
      <c r="N697" t="s">
        <v>537</v>
      </c>
      <c r="P697" s="1">
        <v>3130</v>
      </c>
      <c r="Q697" t="s">
        <v>580</v>
      </c>
      <c r="R697" t="s">
        <v>535</v>
      </c>
      <c r="S697" t="s">
        <v>539</v>
      </c>
      <c r="T697" s="2">
        <v>1</v>
      </c>
      <c r="U697" s="1">
        <v>3130</v>
      </c>
      <c r="V697" s="1">
        <v>3123.27</v>
      </c>
      <c r="X697" t="s">
        <v>540</v>
      </c>
      <c r="Z697" t="s">
        <v>541</v>
      </c>
      <c r="AA697" t="s">
        <v>542</v>
      </c>
      <c r="AB697" t="s">
        <v>543</v>
      </c>
      <c r="AC697" t="s">
        <v>544</v>
      </c>
      <c r="AD697" t="s">
        <v>545</v>
      </c>
      <c r="AE697" s="3">
        <v>1</v>
      </c>
      <c r="AF697" t="s">
        <v>285</v>
      </c>
      <c r="AG697" s="1">
        <v>3130</v>
      </c>
      <c r="AI697" s="1">
        <v>3130</v>
      </c>
      <c r="AJ697" s="1">
        <v>3130</v>
      </c>
      <c r="AK697" s="1">
        <v>6.73</v>
      </c>
      <c r="AM697" s="1">
        <v>3123.27</v>
      </c>
      <c r="AN697" t="s">
        <v>536</v>
      </c>
      <c r="AO697" t="s">
        <v>546</v>
      </c>
      <c r="AP697" t="s">
        <v>547</v>
      </c>
      <c r="AQ697" t="s">
        <v>548</v>
      </c>
      <c r="AS697" t="s">
        <v>375</v>
      </c>
      <c r="AX697" s="1">
        <v>3130</v>
      </c>
      <c r="AY697" t="s">
        <v>546</v>
      </c>
      <c r="AZ697" t="s">
        <v>549</v>
      </c>
      <c r="BA697" s="1">
        <v>3130</v>
      </c>
      <c r="BC697" t="s">
        <v>546</v>
      </c>
      <c r="BD697" s="1">
        <v>3130</v>
      </c>
      <c r="BE697" t="s">
        <v>540</v>
      </c>
      <c r="BF697" s="1">
        <v>3130</v>
      </c>
      <c r="BG697" s="1">
        <v>6.73</v>
      </c>
      <c r="BH697" s="1">
        <v>3123.27</v>
      </c>
      <c r="BI697" t="s">
        <v>550</v>
      </c>
      <c r="BJ697" t="s">
        <v>551</v>
      </c>
      <c r="BK697" t="s">
        <v>552</v>
      </c>
      <c r="BL697" t="s">
        <v>552</v>
      </c>
      <c r="BM697" t="s">
        <v>3637</v>
      </c>
      <c r="BN697" t="s">
        <v>3817</v>
      </c>
      <c r="BO697" t="s">
        <v>3818</v>
      </c>
      <c r="BR697" t="s">
        <v>546</v>
      </c>
      <c r="BS697" s="1">
        <v>3130</v>
      </c>
      <c r="BW697" t="s">
        <v>536</v>
      </c>
      <c r="BX697" s="1">
        <v>3130</v>
      </c>
      <c r="BZ697" t="s">
        <v>535</v>
      </c>
      <c r="CA697" t="s">
        <v>546</v>
      </c>
      <c r="CB697" t="s">
        <v>3722</v>
      </c>
      <c r="CC697" t="s">
        <v>556</v>
      </c>
      <c r="CD697" t="s">
        <v>622</v>
      </c>
      <c r="CE697" t="s">
        <v>623</v>
      </c>
      <c r="CF697" t="s">
        <v>285</v>
      </c>
      <c r="CG697" s="4">
        <v>1</v>
      </c>
      <c r="CH697" t="s">
        <v>546</v>
      </c>
      <c r="CK697" t="s">
        <v>3819</v>
      </c>
      <c r="CL697" s="1">
        <v>3130</v>
      </c>
      <c r="CN697" t="s">
        <v>535</v>
      </c>
      <c r="CO697" t="s">
        <v>539</v>
      </c>
      <c r="CT697" t="s">
        <v>576</v>
      </c>
      <c r="CW697" t="s">
        <v>546</v>
      </c>
      <c r="DD697" t="s">
        <v>561</v>
      </c>
      <c r="DK697" t="s">
        <v>3820</v>
      </c>
      <c r="DL697" t="s">
        <v>3821</v>
      </c>
    </row>
    <row r="698" ht="15" customHeight="1" spans="1:122">
      <c r="A698" t="s">
        <v>530</v>
      </c>
      <c r="B698" t="s">
        <v>3822</v>
      </c>
      <c r="C698" t="s">
        <v>656</v>
      </c>
      <c r="D698" t="s">
        <v>3637</v>
      </c>
      <c r="E698" t="s">
        <v>534</v>
      </c>
      <c r="F698" t="s">
        <v>534</v>
      </c>
      <c r="G698" t="s">
        <v>535</v>
      </c>
      <c r="H698" s="1">
        <v>2654</v>
      </c>
      <c r="I698" s="1">
        <v>2648.29</v>
      </c>
      <c r="J698" t="s">
        <v>536</v>
      </c>
      <c r="L698" t="s">
        <v>536</v>
      </c>
      <c r="M698" t="s">
        <v>393</v>
      </c>
      <c r="N698" t="s">
        <v>657</v>
      </c>
      <c r="P698" s="1">
        <v>2654</v>
      </c>
      <c r="Q698" t="s">
        <v>658</v>
      </c>
      <c r="R698" t="s">
        <v>535</v>
      </c>
      <c r="S698" t="s">
        <v>539</v>
      </c>
      <c r="T698" s="2">
        <v>1</v>
      </c>
      <c r="U698" s="1">
        <v>2654</v>
      </c>
      <c r="V698" s="1">
        <v>2648.29</v>
      </c>
      <c r="X698" t="s">
        <v>540</v>
      </c>
      <c r="Z698" t="s">
        <v>541</v>
      </c>
      <c r="AA698" t="s">
        <v>542</v>
      </c>
      <c r="AB698" t="s">
        <v>659</v>
      </c>
      <c r="AC698" t="s">
        <v>544</v>
      </c>
      <c r="AD698" t="s">
        <v>545</v>
      </c>
      <c r="AE698" s="3">
        <v>1</v>
      </c>
      <c r="AF698" t="s">
        <v>276</v>
      </c>
      <c r="AG698" s="1">
        <v>2654</v>
      </c>
      <c r="AI698" s="1">
        <v>2654</v>
      </c>
      <c r="AJ698" s="1">
        <v>2654</v>
      </c>
      <c r="AK698" s="1">
        <v>5.71</v>
      </c>
      <c r="AM698" s="1">
        <v>2648.29</v>
      </c>
      <c r="AN698" t="s">
        <v>536</v>
      </c>
      <c r="AO698" t="s">
        <v>546</v>
      </c>
      <c r="AP698" t="s">
        <v>547</v>
      </c>
      <c r="AQ698" t="s">
        <v>548</v>
      </c>
      <c r="AS698" t="s">
        <v>393</v>
      </c>
      <c r="AX698" s="1">
        <v>2654</v>
      </c>
      <c r="AY698" t="s">
        <v>546</v>
      </c>
      <c r="AZ698" t="s">
        <v>549</v>
      </c>
      <c r="BA698" s="1">
        <v>2654</v>
      </c>
      <c r="BC698" t="s">
        <v>546</v>
      </c>
      <c r="BD698" s="1">
        <v>2654</v>
      </c>
      <c r="BE698" t="s">
        <v>540</v>
      </c>
      <c r="BF698" s="1">
        <v>2654</v>
      </c>
      <c r="BG698" s="1">
        <v>5.71</v>
      </c>
      <c r="BH698" s="1">
        <v>2648.29</v>
      </c>
      <c r="BI698" t="s">
        <v>550</v>
      </c>
      <c r="BJ698" t="s">
        <v>660</v>
      </c>
      <c r="BK698" t="s">
        <v>552</v>
      </c>
      <c r="BL698" t="s">
        <v>552</v>
      </c>
      <c r="BM698" t="s">
        <v>3722</v>
      </c>
      <c r="BN698" t="s">
        <v>3823</v>
      </c>
      <c r="BO698" t="s">
        <v>3824</v>
      </c>
      <c r="BR698" t="s">
        <v>546</v>
      </c>
      <c r="BS698" s="1">
        <v>2654</v>
      </c>
      <c r="BW698" t="s">
        <v>536</v>
      </c>
      <c r="BX698" s="1">
        <v>2654</v>
      </c>
      <c r="BZ698" t="s">
        <v>535</v>
      </c>
      <c r="CA698" t="s">
        <v>546</v>
      </c>
      <c r="CB698" t="s">
        <v>3637</v>
      </c>
      <c r="CC698" t="s">
        <v>556</v>
      </c>
      <c r="CD698" t="s">
        <v>3080</v>
      </c>
      <c r="CE698" t="s">
        <v>3081</v>
      </c>
      <c r="CF698" t="s">
        <v>276</v>
      </c>
      <c r="CG698" s="4">
        <v>1</v>
      </c>
      <c r="CH698" t="s">
        <v>546</v>
      </c>
      <c r="CK698" t="s">
        <v>3825</v>
      </c>
      <c r="CL698" s="1">
        <v>2654</v>
      </c>
      <c r="CN698" t="s">
        <v>535</v>
      </c>
      <c r="CO698" t="s">
        <v>539</v>
      </c>
      <c r="CT698" t="s">
        <v>666</v>
      </c>
      <c r="CW698" t="s">
        <v>546</v>
      </c>
      <c r="DD698" t="s">
        <v>561</v>
      </c>
      <c r="DK698" t="s">
        <v>3826</v>
      </c>
      <c r="DL698" t="s">
        <v>3827</v>
      </c>
    </row>
    <row r="699" ht="15" customHeight="1" spans="1:122">
      <c r="A699" t="s">
        <v>530</v>
      </c>
      <c r="B699" t="s">
        <v>3828</v>
      </c>
      <c r="C699" t="s">
        <v>532</v>
      </c>
      <c r="D699" t="s">
        <v>3637</v>
      </c>
      <c r="E699" t="s">
        <v>534</v>
      </c>
      <c r="F699" t="s">
        <v>534</v>
      </c>
      <c r="G699" t="s">
        <v>535</v>
      </c>
      <c r="H699" s="1">
        <v>3688</v>
      </c>
      <c r="I699" s="1">
        <v>3688</v>
      </c>
      <c r="J699" t="s">
        <v>536</v>
      </c>
      <c r="L699" t="s">
        <v>536</v>
      </c>
      <c r="M699" t="s">
        <v>377</v>
      </c>
      <c r="N699" t="s">
        <v>537</v>
      </c>
      <c r="P699" s="1">
        <v>3688</v>
      </c>
      <c r="Q699" t="s">
        <v>538</v>
      </c>
      <c r="R699" t="s">
        <v>535</v>
      </c>
      <c r="S699" t="s">
        <v>539</v>
      </c>
      <c r="T699" s="2">
        <v>1</v>
      </c>
      <c r="U699" s="1">
        <v>3688</v>
      </c>
      <c r="V699" s="1">
        <v>3688</v>
      </c>
      <c r="X699" t="s">
        <v>540</v>
      </c>
      <c r="Z699" t="s">
        <v>541</v>
      </c>
      <c r="AA699" t="s">
        <v>542</v>
      </c>
      <c r="AB699" t="s">
        <v>543</v>
      </c>
      <c r="AC699" t="s">
        <v>544</v>
      </c>
      <c r="AD699" t="s">
        <v>545</v>
      </c>
      <c r="AE699" s="3">
        <v>1</v>
      </c>
      <c r="AF699" t="s">
        <v>289</v>
      </c>
      <c r="AG699" s="1">
        <v>3688</v>
      </c>
      <c r="AI699" s="1">
        <v>3688</v>
      </c>
      <c r="AJ699" s="1">
        <v>3688</v>
      </c>
      <c r="AM699" s="1">
        <v>3688</v>
      </c>
      <c r="AN699" t="s">
        <v>643</v>
      </c>
      <c r="AO699" t="s">
        <v>546</v>
      </c>
      <c r="AP699" t="s">
        <v>643</v>
      </c>
      <c r="AQ699" t="s">
        <v>548</v>
      </c>
      <c r="AS699" t="s">
        <v>377</v>
      </c>
      <c r="AX699" s="1">
        <v>3688</v>
      </c>
      <c r="AY699" t="s">
        <v>546</v>
      </c>
      <c r="AZ699" t="s">
        <v>644</v>
      </c>
      <c r="BA699" s="1">
        <v>3688</v>
      </c>
      <c r="BC699" t="s">
        <v>546</v>
      </c>
      <c r="BD699" s="1">
        <v>3688</v>
      </c>
      <c r="BE699" t="s">
        <v>540</v>
      </c>
      <c r="BF699" s="1">
        <v>3688</v>
      </c>
      <c r="BH699" s="1">
        <v>3688</v>
      </c>
      <c r="BI699" t="s">
        <v>550</v>
      </c>
      <c r="BJ699" t="s">
        <v>551</v>
      </c>
      <c r="BK699" t="s">
        <v>551</v>
      </c>
      <c r="BL699" t="s">
        <v>552</v>
      </c>
      <c r="BM699" t="s">
        <v>3722</v>
      </c>
      <c r="BN699" t="s">
        <v>3829</v>
      </c>
      <c r="BO699" t="s">
        <v>3830</v>
      </c>
      <c r="BR699" t="s">
        <v>546</v>
      </c>
      <c r="BS699" s="1">
        <v>3688</v>
      </c>
      <c r="BW699" t="s">
        <v>536</v>
      </c>
      <c r="BX699" s="1">
        <v>3688</v>
      </c>
      <c r="BZ699" t="s">
        <v>535</v>
      </c>
      <c r="CA699" t="s">
        <v>546</v>
      </c>
      <c r="CB699" t="s">
        <v>3637</v>
      </c>
      <c r="CC699" t="s">
        <v>556</v>
      </c>
      <c r="CD699" t="s">
        <v>1806</v>
      </c>
      <c r="CE699" t="s">
        <v>1807</v>
      </c>
      <c r="CF699" t="s">
        <v>289</v>
      </c>
      <c r="CG699" s="4">
        <v>1</v>
      </c>
      <c r="CH699" t="s">
        <v>546</v>
      </c>
      <c r="CK699" t="s">
        <v>3831</v>
      </c>
      <c r="CL699" s="1">
        <v>3688</v>
      </c>
      <c r="CN699" t="s">
        <v>535</v>
      </c>
      <c r="CO699" t="s">
        <v>539</v>
      </c>
      <c r="CT699" t="s">
        <v>560</v>
      </c>
      <c r="CW699" t="s">
        <v>546</v>
      </c>
      <c r="DD699" t="s">
        <v>561</v>
      </c>
      <c r="DK699" t="s">
        <v>3832</v>
      </c>
      <c r="DL699" t="s">
        <v>3833</v>
      </c>
      <c r="DR699" t="s">
        <v>3834</v>
      </c>
    </row>
    <row r="700" ht="15" customHeight="1" spans="1:122">
      <c r="A700" t="s">
        <v>530</v>
      </c>
      <c r="B700" t="s">
        <v>3835</v>
      </c>
      <c r="C700" t="s">
        <v>656</v>
      </c>
      <c r="D700" t="s">
        <v>3722</v>
      </c>
      <c r="E700" t="s">
        <v>534</v>
      </c>
      <c r="F700" t="s">
        <v>534</v>
      </c>
      <c r="G700" t="s">
        <v>535</v>
      </c>
      <c r="H700" s="1">
        <v>2300</v>
      </c>
      <c r="I700" s="1">
        <v>2295.05</v>
      </c>
      <c r="J700" t="s">
        <v>536</v>
      </c>
      <c r="L700" t="s">
        <v>536</v>
      </c>
      <c r="M700" t="s">
        <v>393</v>
      </c>
      <c r="N700" t="s">
        <v>657</v>
      </c>
      <c r="P700" s="1">
        <v>2300</v>
      </c>
      <c r="Q700" t="s">
        <v>658</v>
      </c>
      <c r="R700" t="s">
        <v>535</v>
      </c>
      <c r="S700" t="s">
        <v>539</v>
      </c>
      <c r="T700" s="2">
        <v>1</v>
      </c>
      <c r="U700" s="1">
        <v>2300</v>
      </c>
      <c r="V700" s="1">
        <v>2295.05</v>
      </c>
      <c r="X700" t="s">
        <v>540</v>
      </c>
      <c r="Z700" t="s">
        <v>541</v>
      </c>
      <c r="AA700" t="s">
        <v>542</v>
      </c>
      <c r="AB700" t="s">
        <v>659</v>
      </c>
      <c r="AC700" t="s">
        <v>544</v>
      </c>
      <c r="AD700" t="s">
        <v>545</v>
      </c>
      <c r="AE700" s="3">
        <v>1</v>
      </c>
      <c r="AF700" t="s">
        <v>282</v>
      </c>
      <c r="AG700" s="1">
        <v>2300</v>
      </c>
      <c r="AI700" s="1">
        <v>2300</v>
      </c>
      <c r="AJ700" s="1">
        <v>2300</v>
      </c>
      <c r="AK700" s="1">
        <v>4.95</v>
      </c>
      <c r="AM700" s="1">
        <v>2295.05</v>
      </c>
      <c r="AN700" t="s">
        <v>536</v>
      </c>
      <c r="AO700" t="s">
        <v>546</v>
      </c>
      <c r="AP700" t="s">
        <v>547</v>
      </c>
      <c r="AQ700" t="s">
        <v>548</v>
      </c>
      <c r="AS700" t="s">
        <v>393</v>
      </c>
      <c r="AX700" s="1">
        <v>2300</v>
      </c>
      <c r="AY700" t="s">
        <v>546</v>
      </c>
      <c r="AZ700" t="s">
        <v>549</v>
      </c>
      <c r="BA700" s="1">
        <v>2300</v>
      </c>
      <c r="BC700" t="s">
        <v>546</v>
      </c>
      <c r="BD700" s="1">
        <v>2300</v>
      </c>
      <c r="BE700" t="s">
        <v>540</v>
      </c>
      <c r="BF700" s="1">
        <v>2300</v>
      </c>
      <c r="BG700" s="1">
        <v>4.95</v>
      </c>
      <c r="BH700" s="1">
        <v>2295.05</v>
      </c>
      <c r="BI700" t="s">
        <v>550</v>
      </c>
      <c r="BJ700" t="s">
        <v>660</v>
      </c>
      <c r="BK700" t="s">
        <v>552</v>
      </c>
      <c r="BL700" t="s">
        <v>552</v>
      </c>
      <c r="BM700" t="s">
        <v>3722</v>
      </c>
      <c r="BN700" t="s">
        <v>3836</v>
      </c>
      <c r="BO700" t="s">
        <v>3837</v>
      </c>
      <c r="BR700" t="s">
        <v>546</v>
      </c>
      <c r="BS700" s="1">
        <v>2300</v>
      </c>
      <c r="BW700" t="s">
        <v>536</v>
      </c>
      <c r="BX700" s="1">
        <v>2300</v>
      </c>
      <c r="BZ700" t="s">
        <v>535</v>
      </c>
      <c r="CA700" t="s">
        <v>546</v>
      </c>
      <c r="CB700" t="s">
        <v>3722</v>
      </c>
      <c r="CC700" t="s">
        <v>556</v>
      </c>
      <c r="CD700" t="s">
        <v>3084</v>
      </c>
      <c r="CE700" t="s">
        <v>3085</v>
      </c>
      <c r="CF700" t="s">
        <v>282</v>
      </c>
      <c r="CG700" s="4">
        <v>1</v>
      </c>
      <c r="CH700" t="s">
        <v>546</v>
      </c>
      <c r="CK700" t="s">
        <v>3838</v>
      </c>
      <c r="CL700" s="1">
        <v>2300</v>
      </c>
      <c r="CN700" t="s">
        <v>535</v>
      </c>
      <c r="CO700" t="s">
        <v>539</v>
      </c>
      <c r="CT700" t="s">
        <v>666</v>
      </c>
      <c r="CW700" t="s">
        <v>546</v>
      </c>
      <c r="DD700" t="s">
        <v>561</v>
      </c>
      <c r="DK700" t="s">
        <v>3839</v>
      </c>
      <c r="DL700" t="s">
        <v>3840</v>
      </c>
    </row>
    <row r="701" ht="15" customHeight="1" spans="1:122">
      <c r="A701" t="s">
        <v>530</v>
      </c>
      <c r="B701" t="s">
        <v>3841</v>
      </c>
      <c r="C701" t="s">
        <v>656</v>
      </c>
      <c r="D701" t="s">
        <v>3722</v>
      </c>
      <c r="E701" t="s">
        <v>534</v>
      </c>
      <c r="F701" t="s">
        <v>534</v>
      </c>
      <c r="G701" t="s">
        <v>535</v>
      </c>
      <c r="H701" s="1">
        <v>3848</v>
      </c>
      <c r="I701" s="1">
        <v>3839.73</v>
      </c>
      <c r="J701" t="s">
        <v>536</v>
      </c>
      <c r="L701" t="s">
        <v>536</v>
      </c>
      <c r="M701" t="s">
        <v>393</v>
      </c>
      <c r="N701" t="s">
        <v>657</v>
      </c>
      <c r="P701" s="1">
        <v>3848</v>
      </c>
      <c r="Q701" t="s">
        <v>658</v>
      </c>
      <c r="R701" t="s">
        <v>535</v>
      </c>
      <c r="S701" t="s">
        <v>539</v>
      </c>
      <c r="T701" s="2">
        <v>1</v>
      </c>
      <c r="U701" s="1">
        <v>3848</v>
      </c>
      <c r="V701" s="1">
        <v>3839.73</v>
      </c>
      <c r="X701" t="s">
        <v>540</v>
      </c>
      <c r="Z701" t="s">
        <v>541</v>
      </c>
      <c r="AA701" t="s">
        <v>542</v>
      </c>
      <c r="AB701" t="s">
        <v>659</v>
      </c>
      <c r="AC701" t="s">
        <v>544</v>
      </c>
      <c r="AD701" t="s">
        <v>545</v>
      </c>
      <c r="AE701" s="3">
        <v>1</v>
      </c>
      <c r="AF701" t="s">
        <v>358</v>
      </c>
      <c r="AG701" s="1">
        <v>3848</v>
      </c>
      <c r="AI701" s="1">
        <v>3848</v>
      </c>
      <c r="AJ701" s="1">
        <v>3848</v>
      </c>
      <c r="AK701" s="1">
        <v>8.27</v>
      </c>
      <c r="AM701" s="1">
        <v>3839.73</v>
      </c>
      <c r="AN701" t="s">
        <v>536</v>
      </c>
      <c r="AO701" t="s">
        <v>546</v>
      </c>
      <c r="AP701" t="s">
        <v>547</v>
      </c>
      <c r="AQ701" t="s">
        <v>548</v>
      </c>
      <c r="AS701" t="s">
        <v>393</v>
      </c>
      <c r="AX701" s="1">
        <v>3848</v>
      </c>
      <c r="AY701" t="s">
        <v>546</v>
      </c>
      <c r="AZ701" t="s">
        <v>549</v>
      </c>
      <c r="BA701" s="1">
        <v>3848</v>
      </c>
      <c r="BC701" t="s">
        <v>546</v>
      </c>
      <c r="BD701" s="1">
        <v>3848</v>
      </c>
      <c r="BE701" t="s">
        <v>540</v>
      </c>
      <c r="BF701" s="1">
        <v>3848</v>
      </c>
      <c r="BG701" s="1">
        <v>8.27</v>
      </c>
      <c r="BH701" s="1">
        <v>3839.73</v>
      </c>
      <c r="BI701" t="s">
        <v>550</v>
      </c>
      <c r="BJ701" t="s">
        <v>660</v>
      </c>
      <c r="BK701" t="s">
        <v>552</v>
      </c>
      <c r="BL701" t="s">
        <v>552</v>
      </c>
      <c r="BM701" t="s">
        <v>3722</v>
      </c>
      <c r="BN701" t="s">
        <v>3842</v>
      </c>
      <c r="BO701" t="s">
        <v>3843</v>
      </c>
      <c r="BR701" t="s">
        <v>546</v>
      </c>
      <c r="BS701" s="1">
        <v>3848</v>
      </c>
      <c r="BW701" t="s">
        <v>536</v>
      </c>
      <c r="BX701" s="1">
        <v>3848</v>
      </c>
      <c r="BZ701" t="s">
        <v>535</v>
      </c>
      <c r="CA701" t="s">
        <v>546</v>
      </c>
      <c r="CB701" t="s">
        <v>3722</v>
      </c>
      <c r="CC701" t="s">
        <v>556</v>
      </c>
      <c r="CD701" t="s">
        <v>648</v>
      </c>
      <c r="CE701" t="s">
        <v>649</v>
      </c>
      <c r="CF701" t="s">
        <v>358</v>
      </c>
      <c r="CG701" s="4">
        <v>1</v>
      </c>
      <c r="CH701" t="s">
        <v>546</v>
      </c>
      <c r="CK701" t="s">
        <v>3844</v>
      </c>
      <c r="CL701" s="1">
        <v>3848</v>
      </c>
      <c r="CN701" t="s">
        <v>535</v>
      </c>
      <c r="CO701" t="s">
        <v>539</v>
      </c>
      <c r="CT701" t="s">
        <v>666</v>
      </c>
      <c r="CW701" t="s">
        <v>546</v>
      </c>
      <c r="DD701" t="s">
        <v>561</v>
      </c>
      <c r="DK701" t="s">
        <v>3845</v>
      </c>
      <c r="DL701" t="s">
        <v>3846</v>
      </c>
    </row>
    <row r="702" ht="15" customHeight="1" spans="1:122">
      <c r="A702" t="s">
        <v>603</v>
      </c>
      <c r="B702" t="s">
        <v>3847</v>
      </c>
      <c r="C702" t="s">
        <v>532</v>
      </c>
      <c r="D702" t="s">
        <v>3637</v>
      </c>
      <c r="E702" t="s">
        <v>534</v>
      </c>
      <c r="F702" t="s">
        <v>534</v>
      </c>
      <c r="G702" t="s">
        <v>535</v>
      </c>
      <c r="H702" s="1">
        <v>8980</v>
      </c>
      <c r="I702" s="1">
        <v>8980</v>
      </c>
      <c r="J702" t="s">
        <v>536</v>
      </c>
      <c r="L702" t="s">
        <v>536</v>
      </c>
      <c r="M702" t="s">
        <v>385</v>
      </c>
      <c r="N702" t="s">
        <v>537</v>
      </c>
      <c r="P702" s="1">
        <v>8980</v>
      </c>
      <c r="Q702" t="s">
        <v>2414</v>
      </c>
      <c r="R702" t="s">
        <v>535</v>
      </c>
      <c r="S702" t="s">
        <v>539</v>
      </c>
      <c r="T702" s="2">
        <v>1</v>
      </c>
      <c r="U702" s="1">
        <v>8980</v>
      </c>
      <c r="V702" s="1">
        <v>8980</v>
      </c>
      <c r="X702" t="s">
        <v>616</v>
      </c>
      <c r="Z702" t="s">
        <v>541</v>
      </c>
      <c r="AA702" t="s">
        <v>542</v>
      </c>
      <c r="AB702" t="s">
        <v>543</v>
      </c>
      <c r="AC702" t="s">
        <v>608</v>
      </c>
      <c r="AE702" s="3">
        <v>1</v>
      </c>
      <c r="AG702" s="1">
        <v>8980</v>
      </c>
      <c r="AI702" s="1">
        <v>8980</v>
      </c>
      <c r="AJ702" s="1">
        <v>8980</v>
      </c>
      <c r="AM702" s="1">
        <v>8980</v>
      </c>
      <c r="AN702" t="s">
        <v>536</v>
      </c>
      <c r="AO702" t="s">
        <v>546</v>
      </c>
      <c r="AP702" t="s">
        <v>547</v>
      </c>
      <c r="AQ702" t="s">
        <v>548</v>
      </c>
      <c r="AS702" t="s">
        <v>385</v>
      </c>
      <c r="AX702" s="1">
        <v>8980</v>
      </c>
      <c r="AY702" t="s">
        <v>546</v>
      </c>
      <c r="AZ702" t="s">
        <v>549</v>
      </c>
      <c r="BA702" s="1">
        <v>8980</v>
      </c>
      <c r="BC702" t="s">
        <v>546</v>
      </c>
      <c r="BE702" t="s">
        <v>616</v>
      </c>
      <c r="BH702" s="1">
        <v>8980</v>
      </c>
      <c r="BI702" t="s">
        <v>550</v>
      </c>
      <c r="BJ702" t="s">
        <v>551</v>
      </c>
      <c r="BK702" t="s">
        <v>551</v>
      </c>
      <c r="BL702" t="s">
        <v>552</v>
      </c>
      <c r="BM702" t="s">
        <v>3722</v>
      </c>
      <c r="BN702" t="s">
        <v>3848</v>
      </c>
      <c r="BO702" t="s">
        <v>3849</v>
      </c>
      <c r="BR702" t="s">
        <v>546</v>
      </c>
      <c r="BS702" s="1">
        <v>8980</v>
      </c>
      <c r="BW702" t="s">
        <v>536</v>
      </c>
      <c r="BZ702" t="s">
        <v>535</v>
      </c>
      <c r="CA702" t="s">
        <v>546</v>
      </c>
      <c r="CB702" t="s">
        <v>3637</v>
      </c>
      <c r="CC702" t="s">
        <v>556</v>
      </c>
      <c r="CH702" t="s">
        <v>546</v>
      </c>
      <c r="CK702" t="s">
        <v>3850</v>
      </c>
      <c r="CN702" t="s">
        <v>535</v>
      </c>
      <c r="CO702" t="s">
        <v>539</v>
      </c>
      <c r="CT702" t="s">
        <v>1816</v>
      </c>
      <c r="CW702" t="s">
        <v>546</v>
      </c>
      <c r="DD702" t="s">
        <v>561</v>
      </c>
      <c r="DK702" t="s">
        <v>385</v>
      </c>
      <c r="DL702" t="s">
        <v>1817</v>
      </c>
    </row>
    <row r="703" ht="15" customHeight="1" spans="1:122">
      <c r="A703" t="s">
        <v>603</v>
      </c>
      <c r="B703" t="s">
        <v>3851</v>
      </c>
      <c r="C703" t="s">
        <v>656</v>
      </c>
      <c r="D703" t="s">
        <v>3722</v>
      </c>
      <c r="E703" t="s">
        <v>534</v>
      </c>
      <c r="F703" t="s">
        <v>534</v>
      </c>
      <c r="G703" t="s">
        <v>535</v>
      </c>
      <c r="H703" s="1">
        <v>1839</v>
      </c>
      <c r="I703" s="1">
        <v>1839</v>
      </c>
      <c r="J703" t="s">
        <v>536</v>
      </c>
      <c r="L703" t="s">
        <v>536</v>
      </c>
      <c r="M703" t="s">
        <v>396</v>
      </c>
      <c r="N703" t="s">
        <v>657</v>
      </c>
      <c r="P703" s="1">
        <v>1839</v>
      </c>
      <c r="Q703" t="s">
        <v>658</v>
      </c>
      <c r="R703" t="s">
        <v>535</v>
      </c>
      <c r="S703" t="s">
        <v>539</v>
      </c>
      <c r="T703" s="2">
        <v>1</v>
      </c>
      <c r="U703" s="1">
        <v>1839</v>
      </c>
      <c r="V703" s="1">
        <v>1839</v>
      </c>
      <c r="X703" t="s">
        <v>616</v>
      </c>
      <c r="Z703" t="s">
        <v>541</v>
      </c>
      <c r="AA703" t="s">
        <v>542</v>
      </c>
      <c r="AB703" t="s">
        <v>543</v>
      </c>
      <c r="AC703" t="s">
        <v>608</v>
      </c>
      <c r="AE703" s="3">
        <v>1</v>
      </c>
      <c r="AG703" s="1">
        <v>1839</v>
      </c>
      <c r="AI703" s="1">
        <v>1839</v>
      </c>
      <c r="AJ703" s="1">
        <v>1839</v>
      </c>
      <c r="AM703" s="1">
        <v>1839</v>
      </c>
      <c r="AN703" t="s">
        <v>680</v>
      </c>
      <c r="AO703" t="s">
        <v>546</v>
      </c>
      <c r="AP703" t="s">
        <v>681</v>
      </c>
      <c r="AQ703" t="s">
        <v>548</v>
      </c>
      <c r="AS703" t="s">
        <v>396</v>
      </c>
      <c r="AX703" s="1">
        <v>1839</v>
      </c>
      <c r="AY703" t="s">
        <v>546</v>
      </c>
      <c r="AZ703" t="s">
        <v>682</v>
      </c>
      <c r="BA703" s="1">
        <v>1839</v>
      </c>
      <c r="BC703" t="s">
        <v>546</v>
      </c>
      <c r="BE703" t="s">
        <v>616</v>
      </c>
      <c r="BH703" s="1">
        <v>1839</v>
      </c>
      <c r="BI703" t="s">
        <v>550</v>
      </c>
      <c r="BJ703" t="s">
        <v>683</v>
      </c>
      <c r="BK703" t="s">
        <v>683</v>
      </c>
      <c r="BL703" t="s">
        <v>552</v>
      </c>
      <c r="BM703" t="s">
        <v>3722</v>
      </c>
      <c r="BN703" t="s">
        <v>3852</v>
      </c>
      <c r="BO703" t="s">
        <v>3853</v>
      </c>
      <c r="BR703" t="s">
        <v>546</v>
      </c>
      <c r="BS703" s="1">
        <v>1839</v>
      </c>
      <c r="BW703" t="s">
        <v>536</v>
      </c>
      <c r="BZ703" t="s">
        <v>535</v>
      </c>
      <c r="CA703" t="s">
        <v>546</v>
      </c>
      <c r="CB703" t="s">
        <v>3722</v>
      </c>
      <c r="CC703" t="s">
        <v>556</v>
      </c>
      <c r="CH703" t="s">
        <v>546</v>
      </c>
      <c r="CK703" t="s">
        <v>3854</v>
      </c>
      <c r="CN703" t="s">
        <v>535</v>
      </c>
      <c r="CO703" t="s">
        <v>539</v>
      </c>
      <c r="CT703" t="s">
        <v>1444</v>
      </c>
      <c r="CW703" t="s">
        <v>546</v>
      </c>
      <c r="DD703" t="s">
        <v>561</v>
      </c>
      <c r="DK703" t="s">
        <v>1445</v>
      </c>
    </row>
    <row r="704" ht="15" customHeight="1" spans="1:122">
      <c r="A704" t="s">
        <v>530</v>
      </c>
      <c r="B704" t="s">
        <v>3855</v>
      </c>
      <c r="C704" t="s">
        <v>532</v>
      </c>
      <c r="D704" t="s">
        <v>3722</v>
      </c>
      <c r="E704" t="s">
        <v>534</v>
      </c>
      <c r="F704" t="s">
        <v>534</v>
      </c>
      <c r="G704" t="s">
        <v>535</v>
      </c>
      <c r="H704" s="1">
        <v>4239</v>
      </c>
      <c r="I704" s="1">
        <v>4239</v>
      </c>
      <c r="J704" t="s">
        <v>536</v>
      </c>
      <c r="L704" t="s">
        <v>536</v>
      </c>
      <c r="M704" t="s">
        <v>404</v>
      </c>
      <c r="N704" t="s">
        <v>537</v>
      </c>
      <c r="P704" s="1">
        <v>4239</v>
      </c>
      <c r="Q704" t="s">
        <v>642</v>
      </c>
      <c r="R704" t="s">
        <v>535</v>
      </c>
      <c r="S704" t="s">
        <v>539</v>
      </c>
      <c r="T704" s="2">
        <v>1</v>
      </c>
      <c r="U704" s="1">
        <v>4239</v>
      </c>
      <c r="V704" s="1">
        <v>4239</v>
      </c>
      <c r="X704" t="s">
        <v>540</v>
      </c>
      <c r="Z704" t="s">
        <v>541</v>
      </c>
      <c r="AA704" t="s">
        <v>542</v>
      </c>
      <c r="AB704" t="s">
        <v>543</v>
      </c>
      <c r="AC704" t="s">
        <v>544</v>
      </c>
      <c r="AD704" t="s">
        <v>545</v>
      </c>
      <c r="AE704" s="3">
        <v>1</v>
      </c>
      <c r="AF704" t="s">
        <v>292</v>
      </c>
      <c r="AG704" s="1">
        <v>4239</v>
      </c>
      <c r="AI704" s="1">
        <v>4239</v>
      </c>
      <c r="AJ704" s="1">
        <v>4239</v>
      </c>
      <c r="AM704" s="1">
        <v>4239</v>
      </c>
      <c r="AN704" t="s">
        <v>536</v>
      </c>
      <c r="AO704" t="s">
        <v>546</v>
      </c>
      <c r="AP704" t="s">
        <v>547</v>
      </c>
      <c r="AQ704" t="s">
        <v>548</v>
      </c>
      <c r="AS704" t="s">
        <v>404</v>
      </c>
      <c r="AX704" s="1">
        <v>4239</v>
      </c>
      <c r="AY704" t="s">
        <v>546</v>
      </c>
      <c r="AZ704" t="s">
        <v>549</v>
      </c>
      <c r="BA704" s="1">
        <v>4239</v>
      </c>
      <c r="BC704" t="s">
        <v>546</v>
      </c>
      <c r="BD704" s="1">
        <v>4239</v>
      </c>
      <c r="BE704" t="s">
        <v>540</v>
      </c>
      <c r="BF704" s="1">
        <v>4239</v>
      </c>
      <c r="BH704" s="1">
        <v>4239</v>
      </c>
      <c r="BI704" t="s">
        <v>550</v>
      </c>
      <c r="BJ704" t="s">
        <v>551</v>
      </c>
      <c r="BK704" t="s">
        <v>551</v>
      </c>
      <c r="BL704" t="s">
        <v>552</v>
      </c>
      <c r="BM704" t="s">
        <v>3722</v>
      </c>
      <c r="BN704" t="s">
        <v>3856</v>
      </c>
      <c r="BO704" t="s">
        <v>3857</v>
      </c>
      <c r="BR704" t="s">
        <v>546</v>
      </c>
      <c r="BS704" s="1">
        <v>4239</v>
      </c>
      <c r="BW704" t="s">
        <v>536</v>
      </c>
      <c r="BX704" s="1">
        <v>4239</v>
      </c>
      <c r="BZ704" t="s">
        <v>535</v>
      </c>
      <c r="CA704" t="s">
        <v>546</v>
      </c>
      <c r="CB704" t="s">
        <v>3722</v>
      </c>
      <c r="CC704" t="s">
        <v>556</v>
      </c>
      <c r="CD704" t="s">
        <v>663</v>
      </c>
      <c r="CE704" t="s">
        <v>664</v>
      </c>
      <c r="CF704" t="s">
        <v>292</v>
      </c>
      <c r="CG704" s="4">
        <v>1</v>
      </c>
      <c r="CH704" t="s">
        <v>546</v>
      </c>
      <c r="CK704" t="s">
        <v>3858</v>
      </c>
      <c r="CL704" s="1">
        <v>4239</v>
      </c>
      <c r="CN704" t="s">
        <v>535</v>
      </c>
      <c r="CO704" t="s">
        <v>539</v>
      </c>
      <c r="CT704" t="s">
        <v>651</v>
      </c>
      <c r="CW704" t="s">
        <v>546</v>
      </c>
      <c r="DD704" t="s">
        <v>561</v>
      </c>
      <c r="DK704" t="s">
        <v>3859</v>
      </c>
      <c r="DL704" t="s">
        <v>3860</v>
      </c>
    </row>
    <row r="705" ht="15" customHeight="1" spans="1:122">
      <c r="A705" t="s">
        <v>530</v>
      </c>
      <c r="B705" t="s">
        <v>3861</v>
      </c>
      <c r="C705" t="s">
        <v>532</v>
      </c>
      <c r="D705" t="s">
        <v>3722</v>
      </c>
      <c r="E705" t="s">
        <v>534</v>
      </c>
      <c r="F705" t="s">
        <v>534</v>
      </c>
      <c r="G705" t="s">
        <v>535</v>
      </c>
      <c r="H705" s="1">
        <v>5430.4</v>
      </c>
      <c r="I705" s="1">
        <v>5430.4</v>
      </c>
      <c r="J705" t="s">
        <v>536</v>
      </c>
      <c r="L705" t="s">
        <v>536</v>
      </c>
      <c r="M705" t="s">
        <v>377</v>
      </c>
      <c r="N705" t="s">
        <v>537</v>
      </c>
      <c r="P705" s="1">
        <v>5430.4</v>
      </c>
      <c r="Q705" t="s">
        <v>538</v>
      </c>
      <c r="R705" t="s">
        <v>535</v>
      </c>
      <c r="S705" t="s">
        <v>539</v>
      </c>
      <c r="T705" s="2">
        <v>1</v>
      </c>
      <c r="U705" s="1">
        <v>5430.4</v>
      </c>
      <c r="V705" s="1">
        <v>5430.4</v>
      </c>
      <c r="X705" t="s">
        <v>540</v>
      </c>
      <c r="Z705" t="s">
        <v>541</v>
      </c>
      <c r="AA705" t="s">
        <v>542</v>
      </c>
      <c r="AB705" t="s">
        <v>543</v>
      </c>
      <c r="AC705" t="s">
        <v>544</v>
      </c>
      <c r="AD705" t="s">
        <v>545</v>
      </c>
      <c r="AE705" s="3">
        <v>1</v>
      </c>
      <c r="AF705" t="s">
        <v>201</v>
      </c>
      <c r="AG705" s="1">
        <v>5430.4</v>
      </c>
      <c r="AI705" s="1">
        <v>5430.4</v>
      </c>
      <c r="AJ705" s="1">
        <v>5430.4</v>
      </c>
      <c r="AM705" s="1">
        <v>5430.4</v>
      </c>
      <c r="AN705" t="s">
        <v>1316</v>
      </c>
      <c r="AO705" t="s">
        <v>546</v>
      </c>
      <c r="AP705" t="s">
        <v>1317</v>
      </c>
      <c r="AQ705" t="s">
        <v>548</v>
      </c>
      <c r="AS705" t="s">
        <v>377</v>
      </c>
      <c r="AX705" s="1">
        <v>5430.4</v>
      </c>
      <c r="AY705" t="s">
        <v>546</v>
      </c>
      <c r="AZ705" t="s">
        <v>1318</v>
      </c>
      <c r="BA705" s="1">
        <v>5430.4</v>
      </c>
      <c r="BC705" t="s">
        <v>546</v>
      </c>
      <c r="BD705" s="1">
        <v>6788</v>
      </c>
      <c r="BE705" t="s">
        <v>540</v>
      </c>
      <c r="BF705" s="1">
        <v>5430.4</v>
      </c>
      <c r="BH705" s="1">
        <v>5430.4</v>
      </c>
      <c r="BI705" t="s">
        <v>550</v>
      </c>
      <c r="BJ705" t="s">
        <v>551</v>
      </c>
      <c r="BK705" t="s">
        <v>551</v>
      </c>
      <c r="BL705" t="s">
        <v>552</v>
      </c>
      <c r="BM705" t="s">
        <v>3722</v>
      </c>
      <c r="BN705" t="s">
        <v>3862</v>
      </c>
      <c r="BO705" t="s">
        <v>3863</v>
      </c>
      <c r="BR705" t="s">
        <v>546</v>
      </c>
      <c r="BS705" s="1">
        <v>5430.4</v>
      </c>
      <c r="BW705" t="s">
        <v>536</v>
      </c>
      <c r="BX705" s="1">
        <v>5430.4</v>
      </c>
      <c r="BZ705" t="s">
        <v>535</v>
      </c>
      <c r="CA705" t="s">
        <v>546</v>
      </c>
      <c r="CB705" t="s">
        <v>3722</v>
      </c>
      <c r="CC705" t="s">
        <v>556</v>
      </c>
      <c r="CD705" t="s">
        <v>2915</v>
      </c>
      <c r="CE705" t="s">
        <v>2916</v>
      </c>
      <c r="CF705" t="s">
        <v>201</v>
      </c>
      <c r="CG705" s="4">
        <v>1</v>
      </c>
      <c r="CH705" t="s">
        <v>546</v>
      </c>
      <c r="CK705" t="s">
        <v>3864</v>
      </c>
      <c r="CL705" s="1">
        <v>5430.4</v>
      </c>
      <c r="CN705" t="s">
        <v>535</v>
      </c>
      <c r="CO705" t="s">
        <v>539</v>
      </c>
      <c r="CT705" t="s">
        <v>560</v>
      </c>
      <c r="CW705" t="s">
        <v>546</v>
      </c>
      <c r="DD705" t="s">
        <v>561</v>
      </c>
      <c r="DK705" t="s">
        <v>2918</v>
      </c>
      <c r="DL705" t="s">
        <v>2919</v>
      </c>
    </row>
    <row r="706" ht="15" customHeight="1" spans="1:122">
      <c r="A706" t="s">
        <v>530</v>
      </c>
      <c r="B706" t="s">
        <v>3865</v>
      </c>
      <c r="C706" t="s">
        <v>532</v>
      </c>
      <c r="D706" t="s">
        <v>3722</v>
      </c>
      <c r="E706" t="s">
        <v>534</v>
      </c>
      <c r="F706" t="s">
        <v>534</v>
      </c>
      <c r="G706" t="s">
        <v>535</v>
      </c>
      <c r="H706" s="1">
        <v>1357.6</v>
      </c>
      <c r="I706" s="1">
        <v>1357.6</v>
      </c>
      <c r="J706" t="s">
        <v>536</v>
      </c>
      <c r="L706" t="s">
        <v>536</v>
      </c>
      <c r="M706" t="s">
        <v>377</v>
      </c>
      <c r="N706" t="s">
        <v>537</v>
      </c>
      <c r="P706" s="1">
        <v>1357.6</v>
      </c>
      <c r="Q706" t="s">
        <v>538</v>
      </c>
      <c r="R706" t="s">
        <v>535</v>
      </c>
      <c r="S706" t="s">
        <v>539</v>
      </c>
      <c r="T706" s="2">
        <v>1</v>
      </c>
      <c r="U706" s="1">
        <v>1357.6</v>
      </c>
      <c r="V706" s="1">
        <v>1357.6</v>
      </c>
      <c r="X706" t="s">
        <v>540</v>
      </c>
      <c r="Z706" t="s">
        <v>541</v>
      </c>
      <c r="AA706" t="s">
        <v>542</v>
      </c>
      <c r="AB706" t="s">
        <v>543</v>
      </c>
      <c r="AC706" t="s">
        <v>544</v>
      </c>
      <c r="AD706" t="s">
        <v>545</v>
      </c>
      <c r="AE706" s="3">
        <v>1</v>
      </c>
      <c r="AF706" t="s">
        <v>201</v>
      </c>
      <c r="AG706" s="1">
        <v>1357.6</v>
      </c>
      <c r="AI706" s="1">
        <v>1357.6</v>
      </c>
      <c r="AJ706" s="1">
        <v>1357.6</v>
      </c>
      <c r="AM706" s="1">
        <v>1357.6</v>
      </c>
      <c r="AN706" t="s">
        <v>1316</v>
      </c>
      <c r="AO706" t="s">
        <v>546</v>
      </c>
      <c r="AP706" t="s">
        <v>1317</v>
      </c>
      <c r="AQ706" t="s">
        <v>548</v>
      </c>
      <c r="AS706" t="s">
        <v>377</v>
      </c>
      <c r="AX706" s="1">
        <v>1357.6</v>
      </c>
      <c r="AY706" t="s">
        <v>546</v>
      </c>
      <c r="AZ706" t="s">
        <v>1318</v>
      </c>
      <c r="BA706" s="1">
        <v>1357.6</v>
      </c>
      <c r="BC706" t="s">
        <v>546</v>
      </c>
      <c r="BD706" s="1">
        <v>1357.6</v>
      </c>
      <c r="BE706" t="s">
        <v>540</v>
      </c>
      <c r="BF706" s="1">
        <v>1357.6</v>
      </c>
      <c r="BH706" s="1">
        <v>1357.6</v>
      </c>
      <c r="BI706" t="s">
        <v>550</v>
      </c>
      <c r="BJ706" t="s">
        <v>551</v>
      </c>
      <c r="BK706" t="s">
        <v>551</v>
      </c>
      <c r="BL706" t="s">
        <v>552</v>
      </c>
      <c r="BM706" t="s">
        <v>3722</v>
      </c>
      <c r="BN706" t="s">
        <v>3866</v>
      </c>
      <c r="BO706" t="s">
        <v>3867</v>
      </c>
      <c r="BR706" t="s">
        <v>546</v>
      </c>
      <c r="BS706" s="1">
        <v>1357.6</v>
      </c>
      <c r="BW706" t="s">
        <v>536</v>
      </c>
      <c r="BX706" s="1">
        <v>1357.6</v>
      </c>
      <c r="BZ706" t="s">
        <v>535</v>
      </c>
      <c r="CA706" t="s">
        <v>546</v>
      </c>
      <c r="CB706" t="s">
        <v>3722</v>
      </c>
      <c r="CC706" t="s">
        <v>556</v>
      </c>
      <c r="CD706" t="s">
        <v>2915</v>
      </c>
      <c r="CE706" t="s">
        <v>2916</v>
      </c>
      <c r="CF706" t="s">
        <v>201</v>
      </c>
      <c r="CG706" s="4">
        <v>1</v>
      </c>
      <c r="CH706" t="s">
        <v>546</v>
      </c>
      <c r="CK706" t="s">
        <v>3868</v>
      </c>
      <c r="CL706" s="1">
        <v>1357.6</v>
      </c>
      <c r="CN706" t="s">
        <v>535</v>
      </c>
      <c r="CO706" t="s">
        <v>539</v>
      </c>
      <c r="CT706" t="s">
        <v>560</v>
      </c>
      <c r="CW706" t="s">
        <v>546</v>
      </c>
      <c r="DD706" t="s">
        <v>561</v>
      </c>
      <c r="DK706" t="s">
        <v>2918</v>
      </c>
      <c r="DL706" t="s">
        <v>2919</v>
      </c>
    </row>
    <row r="707" ht="15" customHeight="1" spans="1:122">
      <c r="A707" t="s">
        <v>530</v>
      </c>
      <c r="B707" t="s">
        <v>3869</v>
      </c>
      <c r="C707" t="s">
        <v>532</v>
      </c>
      <c r="D707" t="s">
        <v>3722</v>
      </c>
      <c r="E707" t="s">
        <v>534</v>
      </c>
      <c r="F707" t="s">
        <v>534</v>
      </c>
      <c r="G707" t="s">
        <v>535</v>
      </c>
      <c r="H707" s="1">
        <v>700</v>
      </c>
      <c r="I707" s="1">
        <v>700</v>
      </c>
      <c r="J707" t="s">
        <v>536</v>
      </c>
      <c r="L707" t="s">
        <v>536</v>
      </c>
      <c r="M707" t="s">
        <v>377</v>
      </c>
      <c r="N707" t="s">
        <v>537</v>
      </c>
      <c r="P707" s="1">
        <v>700</v>
      </c>
      <c r="Q707" t="s">
        <v>538</v>
      </c>
      <c r="R707" t="s">
        <v>535</v>
      </c>
      <c r="S707" t="s">
        <v>539</v>
      </c>
      <c r="T707" s="2">
        <v>1</v>
      </c>
      <c r="U707" s="1">
        <v>700</v>
      </c>
      <c r="V707" s="1">
        <v>700</v>
      </c>
      <c r="X707" t="s">
        <v>540</v>
      </c>
      <c r="Z707" t="s">
        <v>541</v>
      </c>
      <c r="AA707" t="s">
        <v>542</v>
      </c>
      <c r="AB707" t="s">
        <v>543</v>
      </c>
      <c r="AC707" t="s">
        <v>544</v>
      </c>
      <c r="AD707" t="s">
        <v>545</v>
      </c>
      <c r="AE707" s="3">
        <v>1</v>
      </c>
      <c r="AF707" t="s">
        <v>203</v>
      </c>
      <c r="AG707" s="1">
        <v>700</v>
      </c>
      <c r="AI707" s="1">
        <v>700</v>
      </c>
      <c r="AJ707" s="1">
        <v>700</v>
      </c>
      <c r="AM707" s="1">
        <v>700</v>
      </c>
      <c r="AN707" t="s">
        <v>1316</v>
      </c>
      <c r="AO707" t="s">
        <v>546</v>
      </c>
      <c r="AP707" t="s">
        <v>1317</v>
      </c>
      <c r="AQ707" t="s">
        <v>548</v>
      </c>
      <c r="AS707" t="s">
        <v>377</v>
      </c>
      <c r="AX707" s="1">
        <v>700</v>
      </c>
      <c r="AY707" t="s">
        <v>546</v>
      </c>
      <c r="AZ707" t="s">
        <v>1318</v>
      </c>
      <c r="BA707" s="1">
        <v>700</v>
      </c>
      <c r="BC707" t="s">
        <v>546</v>
      </c>
      <c r="BD707" s="1">
        <v>700</v>
      </c>
      <c r="BE707" t="s">
        <v>540</v>
      </c>
      <c r="BF707" s="1">
        <v>700</v>
      </c>
      <c r="BH707" s="1">
        <v>700</v>
      </c>
      <c r="BI707" t="s">
        <v>550</v>
      </c>
      <c r="BJ707" t="s">
        <v>551</v>
      </c>
      <c r="BK707" t="s">
        <v>551</v>
      </c>
      <c r="BL707" t="s">
        <v>552</v>
      </c>
      <c r="BM707" t="s">
        <v>3722</v>
      </c>
      <c r="BN707" t="s">
        <v>3870</v>
      </c>
      <c r="BO707" t="s">
        <v>3871</v>
      </c>
      <c r="BR707" t="s">
        <v>546</v>
      </c>
      <c r="BS707" s="1">
        <v>700</v>
      </c>
      <c r="BW707" t="s">
        <v>536</v>
      </c>
      <c r="BX707" s="1">
        <v>700</v>
      </c>
      <c r="BZ707" t="s">
        <v>535</v>
      </c>
      <c r="CA707" t="s">
        <v>546</v>
      </c>
      <c r="CB707" t="s">
        <v>3722</v>
      </c>
      <c r="CC707" t="s">
        <v>556</v>
      </c>
      <c r="CD707" t="s">
        <v>3048</v>
      </c>
      <c r="CE707" t="s">
        <v>3049</v>
      </c>
      <c r="CF707" t="s">
        <v>203</v>
      </c>
      <c r="CG707" s="4">
        <v>1</v>
      </c>
      <c r="CH707" t="s">
        <v>546</v>
      </c>
      <c r="CK707" t="s">
        <v>3872</v>
      </c>
      <c r="CL707" s="1">
        <v>700</v>
      </c>
      <c r="CN707" t="s">
        <v>535</v>
      </c>
      <c r="CO707" t="s">
        <v>539</v>
      </c>
      <c r="CT707" t="s">
        <v>560</v>
      </c>
      <c r="CW707" t="s">
        <v>546</v>
      </c>
      <c r="DD707" t="s">
        <v>561</v>
      </c>
      <c r="DK707" t="s">
        <v>2918</v>
      </c>
      <c r="DL707" t="s">
        <v>2919</v>
      </c>
    </row>
    <row r="708" ht="15" customHeight="1" spans="1:122">
      <c r="A708" t="s">
        <v>530</v>
      </c>
      <c r="B708" t="s">
        <v>3873</v>
      </c>
      <c r="C708" t="s">
        <v>532</v>
      </c>
      <c r="D708" t="s">
        <v>3722</v>
      </c>
      <c r="E708" t="s">
        <v>534</v>
      </c>
      <c r="F708" t="s">
        <v>534</v>
      </c>
      <c r="G708" t="s">
        <v>535</v>
      </c>
      <c r="H708" s="1">
        <v>8229</v>
      </c>
      <c r="I708" s="1">
        <v>8229</v>
      </c>
      <c r="J708" t="s">
        <v>536</v>
      </c>
      <c r="L708" t="s">
        <v>536</v>
      </c>
      <c r="M708" t="s">
        <v>375</v>
      </c>
      <c r="N708" t="s">
        <v>537</v>
      </c>
      <c r="P708" s="1">
        <v>8229</v>
      </c>
      <c r="Q708" t="s">
        <v>580</v>
      </c>
      <c r="R708" t="s">
        <v>535</v>
      </c>
      <c r="S708" t="s">
        <v>539</v>
      </c>
      <c r="T708" s="2">
        <v>1</v>
      </c>
      <c r="U708" s="1">
        <v>8229</v>
      </c>
      <c r="V708" s="1">
        <v>8229</v>
      </c>
      <c r="X708" t="s">
        <v>540</v>
      </c>
      <c r="Z708" t="s">
        <v>541</v>
      </c>
      <c r="AA708" t="s">
        <v>542</v>
      </c>
      <c r="AB708" t="s">
        <v>543</v>
      </c>
      <c r="AC708" t="s">
        <v>544</v>
      </c>
      <c r="AD708" t="s">
        <v>545</v>
      </c>
      <c r="AE708" s="3">
        <v>1</v>
      </c>
      <c r="AF708" t="s">
        <v>291</v>
      </c>
      <c r="AG708" s="1">
        <v>8229</v>
      </c>
      <c r="AI708" s="1">
        <v>8229</v>
      </c>
      <c r="AJ708" s="1">
        <v>8229</v>
      </c>
      <c r="AM708" s="1">
        <v>8229</v>
      </c>
      <c r="AN708" t="s">
        <v>1316</v>
      </c>
      <c r="AO708" t="s">
        <v>546</v>
      </c>
      <c r="AP708" t="s">
        <v>1317</v>
      </c>
      <c r="AQ708" t="s">
        <v>548</v>
      </c>
      <c r="AS708" t="s">
        <v>375</v>
      </c>
      <c r="AX708" s="1">
        <v>8229</v>
      </c>
      <c r="AY708" t="s">
        <v>546</v>
      </c>
      <c r="AZ708" t="s">
        <v>1318</v>
      </c>
      <c r="BA708" s="1">
        <v>8229</v>
      </c>
      <c r="BC708" t="s">
        <v>546</v>
      </c>
      <c r="BD708" s="1">
        <v>8229</v>
      </c>
      <c r="BE708" t="s">
        <v>540</v>
      </c>
      <c r="BF708" s="1">
        <v>8229</v>
      </c>
      <c r="BH708" s="1">
        <v>8229</v>
      </c>
      <c r="BI708" t="s">
        <v>550</v>
      </c>
      <c r="BJ708" t="s">
        <v>551</v>
      </c>
      <c r="BK708" t="s">
        <v>551</v>
      </c>
      <c r="BL708" t="s">
        <v>552</v>
      </c>
      <c r="BM708" t="s">
        <v>3722</v>
      </c>
      <c r="BN708" t="s">
        <v>3874</v>
      </c>
      <c r="BO708" t="s">
        <v>3875</v>
      </c>
      <c r="BR708" t="s">
        <v>546</v>
      </c>
      <c r="BS708" s="1">
        <v>8229</v>
      </c>
      <c r="BW708" t="s">
        <v>536</v>
      </c>
      <c r="BX708" s="1">
        <v>8229</v>
      </c>
      <c r="BZ708" t="s">
        <v>535</v>
      </c>
      <c r="CA708" t="s">
        <v>546</v>
      </c>
      <c r="CB708" t="s">
        <v>3722</v>
      </c>
      <c r="CC708" t="s">
        <v>556</v>
      </c>
      <c r="CD708" t="s">
        <v>2929</v>
      </c>
      <c r="CE708" t="s">
        <v>2930</v>
      </c>
      <c r="CF708" t="s">
        <v>291</v>
      </c>
      <c r="CG708" s="4">
        <v>1</v>
      </c>
      <c r="CH708" t="s">
        <v>546</v>
      </c>
      <c r="CK708" t="s">
        <v>3876</v>
      </c>
      <c r="CL708" s="1">
        <v>8229</v>
      </c>
      <c r="CN708" t="s">
        <v>535</v>
      </c>
      <c r="CO708" t="s">
        <v>539</v>
      </c>
      <c r="CT708" t="s">
        <v>576</v>
      </c>
      <c r="CW708" t="s">
        <v>546</v>
      </c>
      <c r="DD708" t="s">
        <v>561</v>
      </c>
      <c r="DK708" t="s">
        <v>1848</v>
      </c>
      <c r="DL708" t="s">
        <v>1849</v>
      </c>
    </row>
    <row r="709" ht="15" customHeight="1" spans="1:122">
      <c r="A709" t="s">
        <v>530</v>
      </c>
      <c r="B709" t="s">
        <v>3877</v>
      </c>
      <c r="C709" t="s">
        <v>532</v>
      </c>
      <c r="D709" t="s">
        <v>3722</v>
      </c>
      <c r="E709" t="s">
        <v>534</v>
      </c>
      <c r="F709" t="s">
        <v>534</v>
      </c>
      <c r="G709" t="s">
        <v>535</v>
      </c>
      <c r="H709" s="1">
        <v>2231.2</v>
      </c>
      <c r="I709" s="1">
        <v>2217.81</v>
      </c>
      <c r="J709" t="s">
        <v>536</v>
      </c>
      <c r="L709" t="s">
        <v>536</v>
      </c>
      <c r="M709" t="s">
        <v>404</v>
      </c>
      <c r="N709" t="s">
        <v>537</v>
      </c>
      <c r="P709" s="1">
        <v>2231.2</v>
      </c>
      <c r="Q709" t="s">
        <v>642</v>
      </c>
      <c r="R709" t="s">
        <v>535</v>
      </c>
      <c r="S709" t="s">
        <v>539</v>
      </c>
      <c r="T709" s="2">
        <v>1</v>
      </c>
      <c r="U709" s="1">
        <v>2231.2</v>
      </c>
      <c r="V709" s="1">
        <v>2217.81</v>
      </c>
      <c r="X709" t="s">
        <v>540</v>
      </c>
      <c r="Z709" t="s">
        <v>541</v>
      </c>
      <c r="AA709" t="s">
        <v>542</v>
      </c>
      <c r="AB709" t="s">
        <v>543</v>
      </c>
      <c r="AC709" t="s">
        <v>544</v>
      </c>
      <c r="AD709" t="s">
        <v>545</v>
      </c>
      <c r="AE709" s="3">
        <v>1</v>
      </c>
      <c r="AF709" t="s">
        <v>17</v>
      </c>
      <c r="AG709" s="1">
        <v>2231.2</v>
      </c>
      <c r="AI709" s="1">
        <v>2231.2</v>
      </c>
      <c r="AJ709" s="1">
        <v>2231.2</v>
      </c>
      <c r="AK709" s="1">
        <v>13.39</v>
      </c>
      <c r="AM709" s="1">
        <v>2217.81</v>
      </c>
      <c r="AN709" t="s">
        <v>536</v>
      </c>
      <c r="AO709" t="s">
        <v>546</v>
      </c>
      <c r="AP709" t="s">
        <v>547</v>
      </c>
      <c r="AQ709" t="s">
        <v>548</v>
      </c>
      <c r="AS709" t="s">
        <v>404</v>
      </c>
      <c r="AX709" s="1">
        <v>2231.2</v>
      </c>
      <c r="AY709" t="s">
        <v>546</v>
      </c>
      <c r="AZ709" t="s">
        <v>549</v>
      </c>
      <c r="BA709" s="1">
        <v>2231.2</v>
      </c>
      <c r="BC709" t="s">
        <v>546</v>
      </c>
      <c r="BD709" s="1">
        <v>2231.2</v>
      </c>
      <c r="BE709" t="s">
        <v>540</v>
      </c>
      <c r="BF709" s="1">
        <v>2231.2</v>
      </c>
      <c r="BG709" s="1">
        <v>13.39</v>
      </c>
      <c r="BH709" s="1">
        <v>2217.81</v>
      </c>
      <c r="BI709" t="s">
        <v>550</v>
      </c>
      <c r="BJ709" t="s">
        <v>551</v>
      </c>
      <c r="BK709" t="s">
        <v>552</v>
      </c>
      <c r="BL709" t="s">
        <v>552</v>
      </c>
      <c r="BM709" t="s">
        <v>3722</v>
      </c>
      <c r="BN709" t="s">
        <v>3878</v>
      </c>
      <c r="BO709" t="s">
        <v>3879</v>
      </c>
      <c r="BR709" t="s">
        <v>546</v>
      </c>
      <c r="BS709" s="1">
        <v>2231.2</v>
      </c>
      <c r="BW709" t="s">
        <v>536</v>
      </c>
      <c r="BX709" s="1">
        <v>2231.2</v>
      </c>
      <c r="BZ709" t="s">
        <v>535</v>
      </c>
      <c r="CA709" t="s">
        <v>546</v>
      </c>
      <c r="CB709" t="s">
        <v>3722</v>
      </c>
      <c r="CC709" t="s">
        <v>556</v>
      </c>
      <c r="CD709" t="s">
        <v>1247</v>
      </c>
      <c r="CE709" t="s">
        <v>1248</v>
      </c>
      <c r="CF709" t="s">
        <v>17</v>
      </c>
      <c r="CG709" s="4">
        <v>1</v>
      </c>
      <c r="CH709" t="s">
        <v>546</v>
      </c>
      <c r="CK709" t="s">
        <v>3880</v>
      </c>
      <c r="CL709" s="1">
        <v>2231.2</v>
      </c>
      <c r="CN709" t="s">
        <v>535</v>
      </c>
      <c r="CO709" t="s">
        <v>539</v>
      </c>
      <c r="CT709" t="s">
        <v>651</v>
      </c>
      <c r="CW709" t="s">
        <v>546</v>
      </c>
      <c r="DD709" t="s">
        <v>561</v>
      </c>
      <c r="DK709" t="s">
        <v>3881</v>
      </c>
      <c r="DL709" t="s">
        <v>3882</v>
      </c>
    </row>
    <row r="710" ht="15" customHeight="1" spans="1:122">
      <c r="A710" t="s">
        <v>530</v>
      </c>
      <c r="B710" t="s">
        <v>3883</v>
      </c>
      <c r="C710" t="s">
        <v>532</v>
      </c>
      <c r="D710" t="s">
        <v>3722</v>
      </c>
      <c r="E710" t="s">
        <v>534</v>
      </c>
      <c r="F710" t="s">
        <v>534</v>
      </c>
      <c r="G710" t="s">
        <v>535</v>
      </c>
      <c r="H710" s="1">
        <v>557.8</v>
      </c>
      <c r="I710" s="1">
        <v>557.8</v>
      </c>
      <c r="J710" t="s">
        <v>536</v>
      </c>
      <c r="L710" t="s">
        <v>536</v>
      </c>
      <c r="M710" t="s">
        <v>404</v>
      </c>
      <c r="N710" t="s">
        <v>537</v>
      </c>
      <c r="P710" s="1">
        <v>557.8</v>
      </c>
      <c r="Q710" t="s">
        <v>642</v>
      </c>
      <c r="R710" t="s">
        <v>535</v>
      </c>
      <c r="S710" t="s">
        <v>539</v>
      </c>
      <c r="T710" s="2">
        <v>1</v>
      </c>
      <c r="U710" s="1">
        <v>557.8</v>
      </c>
      <c r="V710" s="1">
        <v>557.8</v>
      </c>
      <c r="X710" t="s">
        <v>540</v>
      </c>
      <c r="Z710" t="s">
        <v>541</v>
      </c>
      <c r="AA710" t="s">
        <v>542</v>
      </c>
      <c r="AB710" t="s">
        <v>543</v>
      </c>
      <c r="AC710" t="s">
        <v>544</v>
      </c>
      <c r="AD710" t="s">
        <v>545</v>
      </c>
      <c r="AE710" s="3">
        <v>1</v>
      </c>
      <c r="AF710" t="s">
        <v>17</v>
      </c>
      <c r="AG710" s="1">
        <v>557.8</v>
      </c>
      <c r="AI710" s="1">
        <v>557.8</v>
      </c>
      <c r="AJ710" s="1">
        <v>557.8</v>
      </c>
      <c r="AM710" s="1">
        <v>557.8</v>
      </c>
      <c r="AN710" t="s">
        <v>565</v>
      </c>
      <c r="AO710" t="s">
        <v>546</v>
      </c>
      <c r="AP710" t="s">
        <v>565</v>
      </c>
      <c r="AQ710" t="s">
        <v>548</v>
      </c>
      <c r="AS710" t="s">
        <v>404</v>
      </c>
      <c r="AX710" s="1">
        <v>557.8</v>
      </c>
      <c r="AY710" t="s">
        <v>546</v>
      </c>
      <c r="AZ710" t="s">
        <v>566</v>
      </c>
      <c r="BA710" s="1">
        <v>557.8</v>
      </c>
      <c r="BC710" t="s">
        <v>546</v>
      </c>
      <c r="BD710" s="1">
        <v>557.8</v>
      </c>
      <c r="BE710" t="s">
        <v>540</v>
      </c>
      <c r="BF710" s="1">
        <v>557.8</v>
      </c>
      <c r="BH710" s="1">
        <v>557.8</v>
      </c>
      <c r="BI710" t="s">
        <v>550</v>
      </c>
      <c r="BJ710" t="s">
        <v>551</v>
      </c>
      <c r="BK710" t="s">
        <v>551</v>
      </c>
      <c r="BL710" t="s">
        <v>552</v>
      </c>
      <c r="BM710" t="s">
        <v>3722</v>
      </c>
      <c r="BN710" t="s">
        <v>3884</v>
      </c>
      <c r="BO710" t="s">
        <v>3885</v>
      </c>
      <c r="BR710" t="s">
        <v>546</v>
      </c>
      <c r="BS710" s="1">
        <v>557.8</v>
      </c>
      <c r="BW710" t="s">
        <v>536</v>
      </c>
      <c r="BX710" s="1">
        <v>557.8</v>
      </c>
      <c r="BZ710" t="s">
        <v>535</v>
      </c>
      <c r="CA710" t="s">
        <v>546</v>
      </c>
      <c r="CB710" t="s">
        <v>3722</v>
      </c>
      <c r="CC710" t="s">
        <v>556</v>
      </c>
      <c r="CD710" t="s">
        <v>1247</v>
      </c>
      <c r="CE710" t="s">
        <v>1248</v>
      </c>
      <c r="CF710" t="s">
        <v>17</v>
      </c>
      <c r="CG710" s="4">
        <v>1</v>
      </c>
      <c r="CH710" t="s">
        <v>546</v>
      </c>
      <c r="CK710" t="s">
        <v>3880</v>
      </c>
      <c r="CL710" s="1">
        <v>557.8</v>
      </c>
      <c r="CN710" t="s">
        <v>535</v>
      </c>
      <c r="CO710" t="s">
        <v>539</v>
      </c>
      <c r="CT710" t="s">
        <v>651</v>
      </c>
      <c r="CW710" t="s">
        <v>546</v>
      </c>
      <c r="DD710" t="s">
        <v>561</v>
      </c>
      <c r="DK710" t="s">
        <v>3881</v>
      </c>
      <c r="DL710" t="s">
        <v>3882</v>
      </c>
    </row>
    <row r="711" ht="15" customHeight="1" spans="1:122">
      <c r="A711" t="s">
        <v>530</v>
      </c>
      <c r="B711" t="s">
        <v>3886</v>
      </c>
      <c r="C711" t="s">
        <v>532</v>
      </c>
      <c r="D711" t="s">
        <v>3722</v>
      </c>
      <c r="E711" t="s">
        <v>534</v>
      </c>
      <c r="F711" t="s">
        <v>534</v>
      </c>
      <c r="G711" t="s">
        <v>535</v>
      </c>
      <c r="H711" s="1">
        <v>3150</v>
      </c>
      <c r="I711" s="1">
        <v>3150</v>
      </c>
      <c r="J711" t="s">
        <v>536</v>
      </c>
      <c r="L711" t="s">
        <v>536</v>
      </c>
      <c r="M711" t="s">
        <v>375</v>
      </c>
      <c r="N711" t="s">
        <v>537</v>
      </c>
      <c r="P711" s="1">
        <v>3150</v>
      </c>
      <c r="Q711" t="s">
        <v>580</v>
      </c>
      <c r="R711" t="s">
        <v>535</v>
      </c>
      <c r="S711" t="s">
        <v>539</v>
      </c>
      <c r="T711" s="2">
        <v>1</v>
      </c>
      <c r="U711" s="1">
        <v>3150</v>
      </c>
      <c r="V711" s="1">
        <v>3150</v>
      </c>
      <c r="X711" t="s">
        <v>540</v>
      </c>
      <c r="Z711" t="s">
        <v>541</v>
      </c>
      <c r="AA711" t="s">
        <v>542</v>
      </c>
      <c r="AB711" t="s">
        <v>543</v>
      </c>
      <c r="AC711" t="s">
        <v>544</v>
      </c>
      <c r="AD711" t="s">
        <v>545</v>
      </c>
      <c r="AE711" s="3">
        <v>1</v>
      </c>
      <c r="AF711" t="s">
        <v>290</v>
      </c>
      <c r="AG711" s="1">
        <v>3150</v>
      </c>
      <c r="AI711" s="1">
        <v>3150</v>
      </c>
      <c r="AJ711" s="1">
        <v>3150</v>
      </c>
      <c r="AM711" s="1">
        <v>3150</v>
      </c>
      <c r="AN711" t="s">
        <v>643</v>
      </c>
      <c r="AO711" t="s">
        <v>546</v>
      </c>
      <c r="AP711" t="s">
        <v>643</v>
      </c>
      <c r="AQ711" t="s">
        <v>548</v>
      </c>
      <c r="AS711" t="s">
        <v>375</v>
      </c>
      <c r="AX711" s="1">
        <v>3150</v>
      </c>
      <c r="AY711" t="s">
        <v>546</v>
      </c>
      <c r="AZ711" t="s">
        <v>644</v>
      </c>
      <c r="BA711" s="1">
        <v>3150</v>
      </c>
      <c r="BC711" t="s">
        <v>546</v>
      </c>
      <c r="BD711" s="1">
        <v>3150</v>
      </c>
      <c r="BE711" t="s">
        <v>540</v>
      </c>
      <c r="BF711" s="1">
        <v>3150</v>
      </c>
      <c r="BH711" s="1">
        <v>3150</v>
      </c>
      <c r="BI711" t="s">
        <v>550</v>
      </c>
      <c r="BJ711" t="s">
        <v>551</v>
      </c>
      <c r="BK711" t="s">
        <v>570</v>
      </c>
      <c r="BL711" t="s">
        <v>552</v>
      </c>
      <c r="BM711" t="s">
        <v>3722</v>
      </c>
      <c r="BN711" t="s">
        <v>3887</v>
      </c>
      <c r="BO711" t="s">
        <v>3888</v>
      </c>
      <c r="BR711" t="s">
        <v>546</v>
      </c>
      <c r="BS711" s="1">
        <v>3150</v>
      </c>
      <c r="BW711" t="s">
        <v>536</v>
      </c>
      <c r="BX711" s="1">
        <v>3150</v>
      </c>
      <c r="BZ711" t="s">
        <v>535</v>
      </c>
      <c r="CA711" t="s">
        <v>546</v>
      </c>
      <c r="CB711" t="s">
        <v>3722</v>
      </c>
      <c r="CC711" t="s">
        <v>556</v>
      </c>
      <c r="CD711" t="s">
        <v>622</v>
      </c>
      <c r="CE711" t="s">
        <v>623</v>
      </c>
      <c r="CF711" t="s">
        <v>290</v>
      </c>
      <c r="CG711" s="4">
        <v>1</v>
      </c>
      <c r="CH711" t="s">
        <v>546</v>
      </c>
      <c r="CK711" t="s">
        <v>3889</v>
      </c>
      <c r="CL711" s="1">
        <v>3150</v>
      </c>
      <c r="CN711" t="s">
        <v>535</v>
      </c>
      <c r="CO711" t="s">
        <v>539</v>
      </c>
      <c r="CT711" t="s">
        <v>576</v>
      </c>
      <c r="CW711" t="s">
        <v>546</v>
      </c>
      <c r="DD711" t="s">
        <v>561</v>
      </c>
      <c r="DK711" t="s">
        <v>3890</v>
      </c>
      <c r="DL711" t="s">
        <v>3891</v>
      </c>
      <c r="DR711" t="s">
        <v>3892</v>
      </c>
    </row>
    <row r="712" ht="15" customHeight="1" spans="1:122">
      <c r="A712" t="s">
        <v>530</v>
      </c>
      <c r="B712" t="s">
        <v>3893</v>
      </c>
      <c r="C712" t="s">
        <v>532</v>
      </c>
      <c r="D712" t="s">
        <v>3722</v>
      </c>
      <c r="E712" t="s">
        <v>534</v>
      </c>
      <c r="F712" t="s">
        <v>534</v>
      </c>
      <c r="G712" t="s">
        <v>535</v>
      </c>
      <c r="H712" s="1">
        <v>3138</v>
      </c>
      <c r="I712" s="1">
        <v>3138</v>
      </c>
      <c r="J712" t="s">
        <v>536</v>
      </c>
      <c r="L712" t="s">
        <v>536</v>
      </c>
      <c r="M712" t="s">
        <v>375</v>
      </c>
      <c r="N712" t="s">
        <v>537</v>
      </c>
      <c r="P712" s="1">
        <v>3138</v>
      </c>
      <c r="Q712" t="s">
        <v>580</v>
      </c>
      <c r="R712" t="s">
        <v>535</v>
      </c>
      <c r="S712" t="s">
        <v>539</v>
      </c>
      <c r="T712" s="2">
        <v>1</v>
      </c>
      <c r="U712" s="1">
        <v>3138</v>
      </c>
      <c r="V712" s="1">
        <v>3138</v>
      </c>
      <c r="X712" t="s">
        <v>540</v>
      </c>
      <c r="Z712" t="s">
        <v>541</v>
      </c>
      <c r="AA712" t="s">
        <v>542</v>
      </c>
      <c r="AB712" t="s">
        <v>543</v>
      </c>
      <c r="AC712" t="s">
        <v>544</v>
      </c>
      <c r="AD712" t="s">
        <v>545</v>
      </c>
      <c r="AE712" s="3">
        <v>1</v>
      </c>
      <c r="AF712" t="s">
        <v>293</v>
      </c>
      <c r="AG712" s="1">
        <v>3138</v>
      </c>
      <c r="AI712" s="1">
        <v>3138</v>
      </c>
      <c r="AJ712" s="1">
        <v>3138</v>
      </c>
      <c r="AM712" s="1">
        <v>3138</v>
      </c>
      <c r="AN712" t="s">
        <v>643</v>
      </c>
      <c r="AO712" t="s">
        <v>546</v>
      </c>
      <c r="AP712" t="s">
        <v>643</v>
      </c>
      <c r="AQ712" t="s">
        <v>548</v>
      </c>
      <c r="AS712" t="s">
        <v>375</v>
      </c>
      <c r="AX712" s="1">
        <v>3138</v>
      </c>
      <c r="AY712" t="s">
        <v>546</v>
      </c>
      <c r="AZ712" t="s">
        <v>644</v>
      </c>
      <c r="BA712" s="1">
        <v>3138</v>
      </c>
      <c r="BC712" t="s">
        <v>546</v>
      </c>
      <c r="BD712" s="1">
        <v>3138</v>
      </c>
      <c r="BE712" t="s">
        <v>540</v>
      </c>
      <c r="BF712" s="1">
        <v>3138</v>
      </c>
      <c r="BH712" s="1">
        <v>3138</v>
      </c>
      <c r="BI712" t="s">
        <v>550</v>
      </c>
      <c r="BJ712" t="s">
        <v>551</v>
      </c>
      <c r="BK712" t="s">
        <v>551</v>
      </c>
      <c r="BL712" t="s">
        <v>552</v>
      </c>
      <c r="BM712" t="s">
        <v>3722</v>
      </c>
      <c r="BN712" t="s">
        <v>3894</v>
      </c>
      <c r="BO712" t="s">
        <v>3895</v>
      </c>
      <c r="BR712" t="s">
        <v>546</v>
      </c>
      <c r="BS712" s="1">
        <v>3138</v>
      </c>
      <c r="BW712" t="s">
        <v>536</v>
      </c>
      <c r="BX712" s="1">
        <v>3138</v>
      </c>
      <c r="BZ712" t="s">
        <v>535</v>
      </c>
      <c r="CA712" t="s">
        <v>546</v>
      </c>
      <c r="CB712" t="s">
        <v>3722</v>
      </c>
      <c r="CC712" t="s">
        <v>556</v>
      </c>
      <c r="CD712" t="s">
        <v>944</v>
      </c>
      <c r="CE712" t="s">
        <v>945</v>
      </c>
      <c r="CF712" t="s">
        <v>293</v>
      </c>
      <c r="CG712" s="4">
        <v>1</v>
      </c>
      <c r="CH712" t="s">
        <v>546</v>
      </c>
      <c r="CK712" t="s">
        <v>3896</v>
      </c>
      <c r="CL712" s="1">
        <v>3138</v>
      </c>
      <c r="CN712" t="s">
        <v>535</v>
      </c>
      <c r="CO712" t="s">
        <v>539</v>
      </c>
      <c r="CT712" t="s">
        <v>576</v>
      </c>
      <c r="CW712" t="s">
        <v>546</v>
      </c>
      <c r="DD712" t="s">
        <v>561</v>
      </c>
      <c r="DK712" t="s">
        <v>3897</v>
      </c>
      <c r="DL712" t="s">
        <v>3898</v>
      </c>
      <c r="DR712" t="s">
        <v>3899</v>
      </c>
    </row>
    <row r="713" ht="15" customHeight="1" spans="1:122">
      <c r="A713" t="s">
        <v>530</v>
      </c>
      <c r="B713" t="s">
        <v>3900</v>
      </c>
      <c r="C713" t="s">
        <v>532</v>
      </c>
      <c r="D713" t="s">
        <v>3722</v>
      </c>
      <c r="E713" t="s">
        <v>534</v>
      </c>
      <c r="F713" t="s">
        <v>534</v>
      </c>
      <c r="G713" t="s">
        <v>535</v>
      </c>
      <c r="H713" s="1">
        <v>222</v>
      </c>
      <c r="I713" s="1">
        <v>222</v>
      </c>
      <c r="J713" t="s">
        <v>536</v>
      </c>
      <c r="L713" t="s">
        <v>536</v>
      </c>
      <c r="M713" t="s">
        <v>375</v>
      </c>
      <c r="N713" t="s">
        <v>537</v>
      </c>
      <c r="P713" s="1">
        <v>222</v>
      </c>
      <c r="Q713" t="s">
        <v>580</v>
      </c>
      <c r="R713" t="s">
        <v>535</v>
      </c>
      <c r="S713" t="s">
        <v>539</v>
      </c>
      <c r="T713" s="2">
        <v>1</v>
      </c>
      <c r="U713" s="1">
        <v>222</v>
      </c>
      <c r="V713" s="1">
        <v>222</v>
      </c>
      <c r="X713" t="s">
        <v>540</v>
      </c>
      <c r="Z713" t="s">
        <v>541</v>
      </c>
      <c r="AA713" t="s">
        <v>542</v>
      </c>
      <c r="AB713" t="s">
        <v>543</v>
      </c>
      <c r="AC713" t="s">
        <v>544</v>
      </c>
      <c r="AD713" t="s">
        <v>545</v>
      </c>
      <c r="AE713" s="3">
        <v>1</v>
      </c>
      <c r="AF713" t="s">
        <v>293</v>
      </c>
      <c r="AG713" s="1">
        <v>222</v>
      </c>
      <c r="AI713" s="1">
        <v>222</v>
      </c>
      <c r="AJ713" s="1">
        <v>222</v>
      </c>
      <c r="AM713" s="1">
        <v>222</v>
      </c>
      <c r="AN713" t="s">
        <v>643</v>
      </c>
      <c r="AO713" t="s">
        <v>546</v>
      </c>
      <c r="AP713" t="s">
        <v>643</v>
      </c>
      <c r="AQ713" t="s">
        <v>548</v>
      </c>
      <c r="AS713" t="s">
        <v>375</v>
      </c>
      <c r="AX713" s="1">
        <v>222</v>
      </c>
      <c r="AY713" t="s">
        <v>546</v>
      </c>
      <c r="AZ713" t="s">
        <v>644</v>
      </c>
      <c r="BA713" s="1">
        <v>222</v>
      </c>
      <c r="BC713" t="s">
        <v>546</v>
      </c>
      <c r="BD713" s="1">
        <v>222</v>
      </c>
      <c r="BE713" t="s">
        <v>540</v>
      </c>
      <c r="BF713" s="1">
        <v>222</v>
      </c>
      <c r="BH713" s="1">
        <v>222</v>
      </c>
      <c r="BI713" t="s">
        <v>550</v>
      </c>
      <c r="BJ713" t="s">
        <v>551</v>
      </c>
      <c r="BK713" t="s">
        <v>551</v>
      </c>
      <c r="BL713" t="s">
        <v>552</v>
      </c>
      <c r="BM713" t="s">
        <v>3722</v>
      </c>
      <c r="BN713" t="s">
        <v>3901</v>
      </c>
      <c r="BO713" t="s">
        <v>3902</v>
      </c>
      <c r="BR713" t="s">
        <v>546</v>
      </c>
      <c r="BS713" s="1">
        <v>222</v>
      </c>
      <c r="BW713" t="s">
        <v>536</v>
      </c>
      <c r="BX713" s="1">
        <v>222</v>
      </c>
      <c r="BZ713" t="s">
        <v>535</v>
      </c>
      <c r="CA713" t="s">
        <v>546</v>
      </c>
      <c r="CB713" t="s">
        <v>3722</v>
      </c>
      <c r="CC713" t="s">
        <v>556</v>
      </c>
      <c r="CD713" t="s">
        <v>944</v>
      </c>
      <c r="CE713" t="s">
        <v>945</v>
      </c>
      <c r="CF713" t="s">
        <v>293</v>
      </c>
      <c r="CG713" s="4">
        <v>1</v>
      </c>
      <c r="CH713" t="s">
        <v>546</v>
      </c>
      <c r="CK713" t="s">
        <v>3903</v>
      </c>
      <c r="CL713" s="1">
        <v>222</v>
      </c>
      <c r="CN713" t="s">
        <v>535</v>
      </c>
      <c r="CO713" t="s">
        <v>539</v>
      </c>
      <c r="CT713" t="s">
        <v>576</v>
      </c>
      <c r="CW713" t="s">
        <v>546</v>
      </c>
      <c r="DD713" t="s">
        <v>561</v>
      </c>
      <c r="DK713" t="s">
        <v>3897</v>
      </c>
      <c r="DL713" t="s">
        <v>3898</v>
      </c>
      <c r="DR713" t="s">
        <v>3904</v>
      </c>
    </row>
    <row r="714" ht="15" customHeight="1" spans="1:122">
      <c r="A714" t="s">
        <v>530</v>
      </c>
      <c r="B714" t="s">
        <v>3905</v>
      </c>
      <c r="C714" t="s">
        <v>532</v>
      </c>
      <c r="D714" t="s">
        <v>3722</v>
      </c>
      <c r="E714" t="s">
        <v>534</v>
      </c>
      <c r="F714" t="s">
        <v>534</v>
      </c>
      <c r="G714" t="s">
        <v>535</v>
      </c>
      <c r="H714" s="1">
        <v>1618</v>
      </c>
      <c r="I714" s="1">
        <v>1618</v>
      </c>
      <c r="J714" t="s">
        <v>536</v>
      </c>
      <c r="L714" t="s">
        <v>536</v>
      </c>
      <c r="M714" t="s">
        <v>380</v>
      </c>
      <c r="N714" t="s">
        <v>369</v>
      </c>
      <c r="P714" s="1">
        <v>1618</v>
      </c>
      <c r="Q714" t="s">
        <v>996</v>
      </c>
      <c r="R714" t="s">
        <v>535</v>
      </c>
      <c r="S714" t="s">
        <v>539</v>
      </c>
      <c r="T714" s="2">
        <v>1</v>
      </c>
      <c r="U714" s="1">
        <v>1618</v>
      </c>
      <c r="V714" s="1">
        <v>1618</v>
      </c>
      <c r="X714" t="s">
        <v>540</v>
      </c>
      <c r="Z714" t="s">
        <v>541</v>
      </c>
      <c r="AA714" t="s">
        <v>542</v>
      </c>
      <c r="AB714" t="s">
        <v>543</v>
      </c>
      <c r="AC714" t="s">
        <v>544</v>
      </c>
      <c r="AD714" t="s">
        <v>545</v>
      </c>
      <c r="AE714" s="3">
        <v>1</v>
      </c>
      <c r="AF714" t="s">
        <v>361</v>
      </c>
      <c r="AG714" s="1">
        <v>1618</v>
      </c>
      <c r="AI714" s="1">
        <v>1618</v>
      </c>
      <c r="AJ714" s="1">
        <v>1618</v>
      </c>
      <c r="AM714" s="1">
        <v>1618</v>
      </c>
      <c r="AN714" t="s">
        <v>536</v>
      </c>
      <c r="AO714" t="s">
        <v>546</v>
      </c>
      <c r="AP714" t="s">
        <v>547</v>
      </c>
      <c r="AQ714" t="s">
        <v>548</v>
      </c>
      <c r="AS714" t="s">
        <v>380</v>
      </c>
      <c r="AX714" s="1">
        <v>1618</v>
      </c>
      <c r="AY714" t="s">
        <v>546</v>
      </c>
      <c r="AZ714" t="s">
        <v>549</v>
      </c>
      <c r="BA714" s="1">
        <v>1618</v>
      </c>
      <c r="BC714" t="s">
        <v>546</v>
      </c>
      <c r="BD714" s="1">
        <v>1618</v>
      </c>
      <c r="BE714" t="s">
        <v>540</v>
      </c>
      <c r="BF714" s="1">
        <v>1618</v>
      </c>
      <c r="BH714" s="1">
        <v>1618</v>
      </c>
      <c r="BI714" t="s">
        <v>550</v>
      </c>
      <c r="BJ714" t="s">
        <v>551</v>
      </c>
      <c r="BK714" t="s">
        <v>551</v>
      </c>
      <c r="BL714" t="s">
        <v>552</v>
      </c>
      <c r="BM714" t="s">
        <v>3722</v>
      </c>
      <c r="BN714" t="s">
        <v>3906</v>
      </c>
      <c r="BO714" t="s">
        <v>3907</v>
      </c>
      <c r="BR714" t="s">
        <v>546</v>
      </c>
      <c r="BS714" s="1">
        <v>1618</v>
      </c>
      <c r="BW714" t="s">
        <v>536</v>
      </c>
      <c r="BX714" s="1">
        <v>1618</v>
      </c>
      <c r="BZ714" t="s">
        <v>535</v>
      </c>
      <c r="CA714" t="s">
        <v>546</v>
      </c>
      <c r="CB714" t="s">
        <v>3722</v>
      </c>
      <c r="CC714" t="s">
        <v>556</v>
      </c>
      <c r="CD714" t="s">
        <v>2333</v>
      </c>
      <c r="CE714" t="s">
        <v>2334</v>
      </c>
      <c r="CF714" t="s">
        <v>361</v>
      </c>
      <c r="CG714" s="4">
        <v>1</v>
      </c>
      <c r="CH714" t="s">
        <v>546</v>
      </c>
      <c r="CK714" t="s">
        <v>3908</v>
      </c>
      <c r="CL714" s="1">
        <v>1618</v>
      </c>
      <c r="CN714" t="s">
        <v>535</v>
      </c>
      <c r="CO714" t="s">
        <v>539</v>
      </c>
      <c r="CT714" t="s">
        <v>576</v>
      </c>
      <c r="CW714" t="s">
        <v>546</v>
      </c>
      <c r="DD714" t="s">
        <v>561</v>
      </c>
      <c r="DK714" t="s">
        <v>1421</v>
      </c>
      <c r="DL714" t="s">
        <v>3909</v>
      </c>
    </row>
    <row r="715" ht="15" customHeight="1" spans="1:122">
      <c r="A715" t="s">
        <v>530</v>
      </c>
      <c r="B715" t="s">
        <v>3910</v>
      </c>
      <c r="C715" t="s">
        <v>532</v>
      </c>
      <c r="D715" t="s">
        <v>3722</v>
      </c>
      <c r="E715" t="s">
        <v>534</v>
      </c>
      <c r="F715" t="s">
        <v>534</v>
      </c>
      <c r="G715" t="s">
        <v>535</v>
      </c>
      <c r="H715" s="1">
        <v>1500</v>
      </c>
      <c r="I715" s="1">
        <v>1500</v>
      </c>
      <c r="J715" t="s">
        <v>536</v>
      </c>
      <c r="L715" t="s">
        <v>536</v>
      </c>
      <c r="M715" t="s">
        <v>380</v>
      </c>
      <c r="N715" t="s">
        <v>537</v>
      </c>
      <c r="P715" s="1">
        <v>1500</v>
      </c>
      <c r="Q715" t="s">
        <v>905</v>
      </c>
      <c r="R715" t="s">
        <v>535</v>
      </c>
      <c r="S715" t="s">
        <v>539</v>
      </c>
      <c r="T715" s="2">
        <v>1</v>
      </c>
      <c r="U715" s="1">
        <v>1500</v>
      </c>
      <c r="V715" s="1">
        <v>1500</v>
      </c>
      <c r="X715" t="s">
        <v>540</v>
      </c>
      <c r="Z715" t="s">
        <v>541</v>
      </c>
      <c r="AA715" t="s">
        <v>542</v>
      </c>
      <c r="AB715" t="s">
        <v>543</v>
      </c>
      <c r="AC715" t="s">
        <v>544</v>
      </c>
      <c r="AD715" t="s">
        <v>545</v>
      </c>
      <c r="AE715" s="3">
        <v>1</v>
      </c>
      <c r="AF715" t="s">
        <v>359</v>
      </c>
      <c r="AG715" s="1">
        <v>1500</v>
      </c>
      <c r="AI715" s="1">
        <v>1500</v>
      </c>
      <c r="AJ715" s="1">
        <v>1500</v>
      </c>
      <c r="AM715" s="1">
        <v>1500</v>
      </c>
      <c r="AN715" t="s">
        <v>2084</v>
      </c>
      <c r="AO715" t="s">
        <v>546</v>
      </c>
      <c r="AP715" t="s">
        <v>2085</v>
      </c>
      <c r="AQ715" t="s">
        <v>548</v>
      </c>
      <c r="AS715" t="s">
        <v>380</v>
      </c>
      <c r="AX715" s="1">
        <v>1500</v>
      </c>
      <c r="AY715" t="s">
        <v>546</v>
      </c>
      <c r="AZ715" t="s">
        <v>2086</v>
      </c>
      <c r="BA715" s="1">
        <v>1500</v>
      </c>
      <c r="BC715" t="s">
        <v>546</v>
      </c>
      <c r="BD715" s="1">
        <v>1500</v>
      </c>
      <c r="BE715" t="s">
        <v>540</v>
      </c>
      <c r="BF715" s="1">
        <v>1500</v>
      </c>
      <c r="BH715" s="1">
        <v>1500</v>
      </c>
      <c r="BI715" t="s">
        <v>550</v>
      </c>
      <c r="BJ715" t="s">
        <v>551</v>
      </c>
      <c r="BK715" t="s">
        <v>551</v>
      </c>
      <c r="BL715" t="s">
        <v>552</v>
      </c>
      <c r="BM715" t="s">
        <v>3722</v>
      </c>
      <c r="BN715" t="s">
        <v>3911</v>
      </c>
      <c r="BO715" t="s">
        <v>3912</v>
      </c>
      <c r="BR715" t="s">
        <v>546</v>
      </c>
      <c r="BS715" s="1">
        <v>1500</v>
      </c>
      <c r="BW715" t="s">
        <v>536</v>
      </c>
      <c r="BX715" s="1">
        <v>1500</v>
      </c>
      <c r="BZ715" t="s">
        <v>535</v>
      </c>
      <c r="CA715" t="s">
        <v>546</v>
      </c>
      <c r="CB715" t="s">
        <v>3722</v>
      </c>
      <c r="CC715" t="s">
        <v>556</v>
      </c>
      <c r="CD715" t="s">
        <v>1079</v>
      </c>
      <c r="CE715" t="s">
        <v>1080</v>
      </c>
      <c r="CF715" t="s">
        <v>359</v>
      </c>
      <c r="CG715" s="4">
        <v>1</v>
      </c>
      <c r="CH715" t="s">
        <v>546</v>
      </c>
      <c r="CK715" t="s">
        <v>3913</v>
      </c>
      <c r="CL715" s="1">
        <v>1500</v>
      </c>
      <c r="CN715" t="s">
        <v>535</v>
      </c>
      <c r="CO715" t="s">
        <v>539</v>
      </c>
      <c r="CT715" t="s">
        <v>576</v>
      </c>
      <c r="CW715" t="s">
        <v>546</v>
      </c>
      <c r="DD715" t="s">
        <v>561</v>
      </c>
      <c r="DK715" t="s">
        <v>3914</v>
      </c>
      <c r="DL715" t="s">
        <v>3915</v>
      </c>
    </row>
    <row r="716" ht="15" customHeight="1" spans="1:122">
      <c r="A716" t="s">
        <v>530</v>
      </c>
      <c r="B716" t="s">
        <v>3916</v>
      </c>
      <c r="C716" t="s">
        <v>532</v>
      </c>
      <c r="D716" t="s">
        <v>3722</v>
      </c>
      <c r="E716" t="s">
        <v>534</v>
      </c>
      <c r="F716" t="s">
        <v>534</v>
      </c>
      <c r="G716" t="s">
        <v>535</v>
      </c>
      <c r="H716" s="1">
        <v>4238</v>
      </c>
      <c r="I716" s="1">
        <v>4238</v>
      </c>
      <c r="J716" t="s">
        <v>536</v>
      </c>
      <c r="L716" t="s">
        <v>536</v>
      </c>
      <c r="M716" t="s">
        <v>380</v>
      </c>
      <c r="N716" t="s">
        <v>369</v>
      </c>
      <c r="P716" s="1">
        <v>4238</v>
      </c>
      <c r="Q716" t="s">
        <v>996</v>
      </c>
      <c r="R716" t="s">
        <v>535</v>
      </c>
      <c r="S716" t="s">
        <v>539</v>
      </c>
      <c r="T716" s="2">
        <v>1</v>
      </c>
      <c r="U716" s="1">
        <v>4238</v>
      </c>
      <c r="V716" s="1">
        <v>4238</v>
      </c>
      <c r="X716" t="s">
        <v>540</v>
      </c>
      <c r="Z716" t="s">
        <v>541</v>
      </c>
      <c r="AA716" t="s">
        <v>542</v>
      </c>
      <c r="AB716" t="s">
        <v>543</v>
      </c>
      <c r="AC716" t="s">
        <v>544</v>
      </c>
      <c r="AD716" t="s">
        <v>545</v>
      </c>
      <c r="AE716" s="3">
        <v>1</v>
      </c>
      <c r="AF716" t="s">
        <v>360</v>
      </c>
      <c r="AG716" s="1">
        <v>4238</v>
      </c>
      <c r="AI716" s="1">
        <v>4238</v>
      </c>
      <c r="AJ716" s="1">
        <v>4238</v>
      </c>
      <c r="AM716" s="1">
        <v>4238</v>
      </c>
      <c r="AN716" t="s">
        <v>536</v>
      </c>
      <c r="AO716" t="s">
        <v>546</v>
      </c>
      <c r="AP716" t="s">
        <v>547</v>
      </c>
      <c r="AQ716" t="s">
        <v>548</v>
      </c>
      <c r="AS716" t="s">
        <v>380</v>
      </c>
      <c r="AX716" s="1">
        <v>4238</v>
      </c>
      <c r="AY716" t="s">
        <v>546</v>
      </c>
      <c r="AZ716" t="s">
        <v>549</v>
      </c>
      <c r="BA716" s="1">
        <v>4238</v>
      </c>
      <c r="BC716" t="s">
        <v>546</v>
      </c>
      <c r="BD716" s="1">
        <v>4238</v>
      </c>
      <c r="BE716" t="s">
        <v>540</v>
      </c>
      <c r="BF716" s="1">
        <v>4238</v>
      </c>
      <c r="BH716" s="1">
        <v>4238</v>
      </c>
      <c r="BI716" t="s">
        <v>550</v>
      </c>
      <c r="BJ716" t="s">
        <v>551</v>
      </c>
      <c r="BK716" t="s">
        <v>551</v>
      </c>
      <c r="BL716" t="s">
        <v>552</v>
      </c>
      <c r="BM716" t="s">
        <v>3722</v>
      </c>
      <c r="BN716" t="s">
        <v>3917</v>
      </c>
      <c r="BO716" t="s">
        <v>3918</v>
      </c>
      <c r="BR716" t="s">
        <v>546</v>
      </c>
      <c r="BS716" s="1">
        <v>4238</v>
      </c>
      <c r="BW716" t="s">
        <v>536</v>
      </c>
      <c r="BX716" s="1">
        <v>4238</v>
      </c>
      <c r="BZ716" t="s">
        <v>535</v>
      </c>
      <c r="CA716" t="s">
        <v>546</v>
      </c>
      <c r="CB716" t="s">
        <v>3722</v>
      </c>
      <c r="CC716" t="s">
        <v>556</v>
      </c>
      <c r="CD716" t="s">
        <v>3919</v>
      </c>
      <c r="CE716" t="s">
        <v>3920</v>
      </c>
      <c r="CF716" t="s">
        <v>360</v>
      </c>
      <c r="CG716" s="4">
        <v>1</v>
      </c>
      <c r="CH716" t="s">
        <v>546</v>
      </c>
      <c r="CK716" t="s">
        <v>3921</v>
      </c>
      <c r="CL716" s="1">
        <v>4238</v>
      </c>
      <c r="CN716" t="s">
        <v>535</v>
      </c>
      <c r="CO716" t="s">
        <v>539</v>
      </c>
      <c r="CT716" t="s">
        <v>576</v>
      </c>
      <c r="CW716" t="s">
        <v>546</v>
      </c>
      <c r="DD716" t="s">
        <v>561</v>
      </c>
      <c r="DK716" t="s">
        <v>3922</v>
      </c>
      <c r="DL716" t="s">
        <v>3923</v>
      </c>
    </row>
    <row r="717" ht="15" customHeight="1" spans="1:122">
      <c r="A717" t="s">
        <v>603</v>
      </c>
      <c r="B717" t="s">
        <v>3924</v>
      </c>
      <c r="C717" t="s">
        <v>532</v>
      </c>
      <c r="D717" t="s">
        <v>3722</v>
      </c>
      <c r="E717" t="s">
        <v>534</v>
      </c>
      <c r="F717" t="s">
        <v>534</v>
      </c>
      <c r="G717" t="s">
        <v>535</v>
      </c>
      <c r="H717" s="1">
        <v>8559</v>
      </c>
      <c r="I717" s="1">
        <v>8507.64</v>
      </c>
      <c r="J717" t="s">
        <v>536</v>
      </c>
      <c r="L717" t="s">
        <v>536</v>
      </c>
      <c r="M717" t="s">
        <v>411</v>
      </c>
      <c r="N717" t="s">
        <v>369</v>
      </c>
      <c r="P717" s="1">
        <v>8559</v>
      </c>
      <c r="Q717" t="s">
        <v>606</v>
      </c>
      <c r="R717" t="s">
        <v>535</v>
      </c>
      <c r="S717" t="s">
        <v>539</v>
      </c>
      <c r="T717" s="2">
        <v>1</v>
      </c>
      <c r="U717" s="1">
        <v>8559</v>
      </c>
      <c r="V717" s="1">
        <v>8507.64</v>
      </c>
      <c r="X717" t="s">
        <v>616</v>
      </c>
      <c r="Z717" t="s">
        <v>541</v>
      </c>
      <c r="AA717" t="s">
        <v>542</v>
      </c>
      <c r="AB717" t="s">
        <v>543</v>
      </c>
      <c r="AC717" t="s">
        <v>608</v>
      </c>
      <c r="AE717" s="3">
        <v>1</v>
      </c>
      <c r="AG717" s="1">
        <v>3701</v>
      </c>
      <c r="AI717" s="1">
        <v>8559</v>
      </c>
      <c r="AJ717" s="1">
        <v>3701</v>
      </c>
      <c r="AK717" s="1">
        <v>22.21</v>
      </c>
      <c r="AM717" s="1">
        <v>3678.79</v>
      </c>
      <c r="AN717" t="s">
        <v>536</v>
      </c>
      <c r="AO717" t="s">
        <v>546</v>
      </c>
      <c r="AP717" t="s">
        <v>547</v>
      </c>
      <c r="AQ717" t="s">
        <v>548</v>
      </c>
      <c r="AS717" t="s">
        <v>411</v>
      </c>
      <c r="AX717" s="1">
        <v>3701</v>
      </c>
      <c r="AY717" t="s">
        <v>546</v>
      </c>
      <c r="AZ717" t="s">
        <v>549</v>
      </c>
      <c r="BA717" s="1">
        <v>3701</v>
      </c>
      <c r="BB717" t="s">
        <v>3925</v>
      </c>
      <c r="BC717" t="s">
        <v>546</v>
      </c>
      <c r="BE717" t="s">
        <v>616</v>
      </c>
      <c r="BG717" s="1">
        <v>22.21</v>
      </c>
      <c r="BH717" s="1">
        <v>3678.79</v>
      </c>
      <c r="BI717" t="s">
        <v>550</v>
      </c>
      <c r="BJ717" t="s">
        <v>610</v>
      </c>
      <c r="BK717" t="s">
        <v>552</v>
      </c>
      <c r="BL717" t="s">
        <v>552</v>
      </c>
      <c r="BM717" t="s">
        <v>3722</v>
      </c>
      <c r="BN717" t="s">
        <v>3926</v>
      </c>
      <c r="BO717" t="s">
        <v>3927</v>
      </c>
      <c r="BR717" t="s">
        <v>546</v>
      </c>
      <c r="BS717" s="1">
        <v>3701</v>
      </c>
      <c r="BW717" t="s">
        <v>536</v>
      </c>
      <c r="BZ717" t="s">
        <v>535</v>
      </c>
      <c r="CA717" t="s">
        <v>546</v>
      </c>
      <c r="CB717" t="s">
        <v>3722</v>
      </c>
      <c r="CC717" t="s">
        <v>556</v>
      </c>
      <c r="CH717" t="s">
        <v>546</v>
      </c>
      <c r="CK717" t="s">
        <v>3928</v>
      </c>
      <c r="CN717" t="s">
        <v>535</v>
      </c>
      <c r="CO717" t="s">
        <v>539</v>
      </c>
      <c r="CT717" t="s">
        <v>576</v>
      </c>
      <c r="CW717" t="s">
        <v>546</v>
      </c>
      <c r="DD717" t="s">
        <v>561</v>
      </c>
      <c r="DK717" t="s">
        <v>3929</v>
      </c>
      <c r="DR717" t="s">
        <v>3929</v>
      </c>
    </row>
    <row r="718" ht="15" customHeight="1" spans="1:122">
      <c r="AB718" t="s">
        <v>543</v>
      </c>
      <c r="AC718" t="s">
        <v>608</v>
      </c>
      <c r="AG718" s="1">
        <v>2686</v>
      </c>
      <c r="AJ718" s="1">
        <v>2686</v>
      </c>
      <c r="AK718" s="1">
        <v>16.12</v>
      </c>
      <c r="AM718" s="1">
        <v>2669.88</v>
      </c>
      <c r="AN718" t="s">
        <v>536</v>
      </c>
      <c r="AP718" t="s">
        <v>547</v>
      </c>
      <c r="AX718" s="1">
        <v>2686</v>
      </c>
      <c r="AZ718" t="s">
        <v>549</v>
      </c>
      <c r="BA718" s="1">
        <v>2686</v>
      </c>
      <c r="BB718" t="s">
        <v>3930</v>
      </c>
      <c r="BC718" t="s">
        <v>546</v>
      </c>
      <c r="BE718" t="s">
        <v>616</v>
      </c>
      <c r="BG718" s="1">
        <v>16.12</v>
      </c>
      <c r="BH718" s="1">
        <v>2669.88</v>
      </c>
      <c r="BS718" s="1">
        <v>2686</v>
      </c>
      <c r="CB718" t="s">
        <v>3722</v>
      </c>
      <c r="CC718" t="s">
        <v>556</v>
      </c>
      <c r="DD718" t="s">
        <v>561</v>
      </c>
    </row>
    <row r="719" ht="15" customHeight="1" spans="1:122">
      <c r="AB719" t="s">
        <v>543</v>
      </c>
      <c r="AC719" t="s">
        <v>608</v>
      </c>
      <c r="AG719" s="1">
        <v>2172</v>
      </c>
      <c r="AJ719" s="1">
        <v>2172</v>
      </c>
      <c r="AK719" s="1">
        <v>13.03</v>
      </c>
      <c r="AM719" s="1">
        <v>2158.97</v>
      </c>
      <c r="AN719" t="s">
        <v>536</v>
      </c>
      <c r="AP719" t="s">
        <v>547</v>
      </c>
      <c r="AX719" s="1">
        <v>2172</v>
      </c>
      <c r="AZ719" t="s">
        <v>549</v>
      </c>
      <c r="BA719" s="1">
        <v>2172</v>
      </c>
      <c r="BB719" t="s">
        <v>3931</v>
      </c>
      <c r="BC719" t="s">
        <v>546</v>
      </c>
      <c r="BE719" t="s">
        <v>616</v>
      </c>
      <c r="BG719" s="1">
        <v>13.03</v>
      </c>
      <c r="BH719" s="1">
        <v>2158.97</v>
      </c>
      <c r="BS719" s="1">
        <v>2172</v>
      </c>
      <c r="CB719" t="s">
        <v>3722</v>
      </c>
      <c r="CC719" t="s">
        <v>556</v>
      </c>
      <c r="DD719" t="s">
        <v>561</v>
      </c>
    </row>
    <row r="720" ht="15" customHeight="1" spans="1:122">
      <c r="A720" t="s">
        <v>603</v>
      </c>
      <c r="B720" t="s">
        <v>3932</v>
      </c>
      <c r="C720" t="s">
        <v>656</v>
      </c>
      <c r="D720" t="s">
        <v>3722</v>
      </c>
      <c r="E720" t="s">
        <v>534</v>
      </c>
      <c r="F720" t="s">
        <v>534</v>
      </c>
      <c r="G720" t="s">
        <v>535</v>
      </c>
      <c r="H720" s="1">
        <v>7490</v>
      </c>
      <c r="I720" s="1">
        <v>7490</v>
      </c>
      <c r="J720" t="s">
        <v>536</v>
      </c>
      <c r="L720" t="s">
        <v>536</v>
      </c>
      <c r="M720" t="s">
        <v>408</v>
      </c>
      <c r="N720" t="s">
        <v>657</v>
      </c>
      <c r="P720" s="1">
        <v>7490</v>
      </c>
      <c r="Q720" t="s">
        <v>658</v>
      </c>
      <c r="R720" t="s">
        <v>535</v>
      </c>
      <c r="S720" t="s">
        <v>539</v>
      </c>
      <c r="T720" s="2">
        <v>1</v>
      </c>
      <c r="U720" s="1">
        <v>7490</v>
      </c>
      <c r="V720" s="1">
        <v>7490</v>
      </c>
      <c r="X720" t="s">
        <v>616</v>
      </c>
      <c r="Z720" t="s">
        <v>541</v>
      </c>
      <c r="AA720" t="s">
        <v>542</v>
      </c>
      <c r="AB720" t="s">
        <v>543</v>
      </c>
      <c r="AC720" t="s">
        <v>608</v>
      </c>
      <c r="AE720" s="3">
        <v>1</v>
      </c>
      <c r="AG720" s="1">
        <v>7490</v>
      </c>
      <c r="AI720" s="1">
        <v>7490</v>
      </c>
      <c r="AJ720" s="1">
        <v>7490</v>
      </c>
      <c r="AM720" s="1">
        <v>7490</v>
      </c>
      <c r="AN720" t="s">
        <v>536</v>
      </c>
      <c r="AO720" t="s">
        <v>546</v>
      </c>
      <c r="AP720" t="s">
        <v>547</v>
      </c>
      <c r="AQ720" t="s">
        <v>548</v>
      </c>
      <c r="AS720" t="s">
        <v>408</v>
      </c>
      <c r="AX720" s="1">
        <v>7490</v>
      </c>
      <c r="AY720" t="s">
        <v>546</v>
      </c>
      <c r="AZ720" t="s">
        <v>549</v>
      </c>
      <c r="BA720" s="1">
        <v>7490</v>
      </c>
      <c r="BC720" t="s">
        <v>546</v>
      </c>
      <c r="BE720" t="s">
        <v>616</v>
      </c>
      <c r="BH720" s="1">
        <v>7490</v>
      </c>
      <c r="BI720" t="s">
        <v>550</v>
      </c>
      <c r="BJ720" t="s">
        <v>683</v>
      </c>
      <c r="BK720" t="s">
        <v>683</v>
      </c>
      <c r="BL720" t="s">
        <v>552</v>
      </c>
      <c r="BM720" t="s">
        <v>3722</v>
      </c>
      <c r="BN720" t="s">
        <v>3933</v>
      </c>
      <c r="BO720" t="s">
        <v>3934</v>
      </c>
      <c r="BR720" t="s">
        <v>546</v>
      </c>
      <c r="BS720" s="1">
        <v>7490</v>
      </c>
      <c r="BW720" t="s">
        <v>536</v>
      </c>
      <c r="BZ720" t="s">
        <v>535</v>
      </c>
      <c r="CA720" t="s">
        <v>546</v>
      </c>
      <c r="CB720" t="s">
        <v>3722</v>
      </c>
      <c r="CC720" t="s">
        <v>556</v>
      </c>
      <c r="CH720" t="s">
        <v>546</v>
      </c>
      <c r="CK720" t="s">
        <v>3935</v>
      </c>
      <c r="CN720" t="s">
        <v>535</v>
      </c>
      <c r="CO720" t="s">
        <v>539</v>
      </c>
      <c r="CT720" t="s">
        <v>3936</v>
      </c>
      <c r="CW720" t="s">
        <v>546</v>
      </c>
      <c r="DD720" t="s">
        <v>561</v>
      </c>
      <c r="DK720" t="s">
        <v>408</v>
      </c>
    </row>
    <row r="721" ht="15" customHeight="1" spans="1:122">
      <c r="A721" t="s">
        <v>530</v>
      </c>
      <c r="B721" t="s">
        <v>3937</v>
      </c>
      <c r="C721" t="s">
        <v>532</v>
      </c>
      <c r="D721" t="s">
        <v>3722</v>
      </c>
      <c r="E721" t="s">
        <v>534</v>
      </c>
      <c r="F721" t="s">
        <v>534</v>
      </c>
      <c r="G721" t="s">
        <v>535</v>
      </c>
      <c r="H721" s="1">
        <v>854</v>
      </c>
      <c r="I721" s="1">
        <v>854</v>
      </c>
      <c r="J721" t="s">
        <v>536</v>
      </c>
      <c r="L721" t="s">
        <v>536</v>
      </c>
      <c r="M721" t="s">
        <v>377</v>
      </c>
      <c r="N721" t="s">
        <v>537</v>
      </c>
      <c r="P721" s="1">
        <v>854</v>
      </c>
      <c r="Q721" t="s">
        <v>538</v>
      </c>
      <c r="R721" t="s">
        <v>535</v>
      </c>
      <c r="S721" t="s">
        <v>539</v>
      </c>
      <c r="T721" s="2">
        <v>1</v>
      </c>
      <c r="U721" s="1">
        <v>854</v>
      </c>
      <c r="V721" s="1">
        <v>854</v>
      </c>
      <c r="X721" t="s">
        <v>540</v>
      </c>
      <c r="Z721" t="s">
        <v>541</v>
      </c>
      <c r="AA721" t="s">
        <v>542</v>
      </c>
      <c r="AB721" t="s">
        <v>543</v>
      </c>
      <c r="AC721" t="s">
        <v>544</v>
      </c>
      <c r="AD721" t="s">
        <v>545</v>
      </c>
      <c r="AE721" s="3">
        <v>1</v>
      </c>
      <c r="AF721" t="s">
        <v>362</v>
      </c>
      <c r="AG721" s="1">
        <v>854</v>
      </c>
      <c r="AI721" s="1">
        <v>854</v>
      </c>
      <c r="AJ721" s="1">
        <v>854</v>
      </c>
      <c r="AM721" s="1">
        <v>854</v>
      </c>
      <c r="AN721" t="s">
        <v>643</v>
      </c>
      <c r="AO721" t="s">
        <v>546</v>
      </c>
      <c r="AP721" t="s">
        <v>643</v>
      </c>
      <c r="AQ721" t="s">
        <v>548</v>
      </c>
      <c r="AS721" t="s">
        <v>377</v>
      </c>
      <c r="AX721" s="1">
        <v>854</v>
      </c>
      <c r="AY721" t="s">
        <v>546</v>
      </c>
      <c r="AZ721" t="s">
        <v>644</v>
      </c>
      <c r="BA721" s="1">
        <v>854</v>
      </c>
      <c r="BC721" t="s">
        <v>546</v>
      </c>
      <c r="BD721" s="1">
        <v>854</v>
      </c>
      <c r="BE721" t="s">
        <v>540</v>
      </c>
      <c r="BF721" s="1">
        <v>854</v>
      </c>
      <c r="BH721" s="1">
        <v>854</v>
      </c>
      <c r="BI721" t="s">
        <v>550</v>
      </c>
      <c r="BJ721" t="s">
        <v>551</v>
      </c>
      <c r="BK721" t="s">
        <v>551</v>
      </c>
      <c r="BL721" t="s">
        <v>552</v>
      </c>
      <c r="BM721" t="s">
        <v>3722</v>
      </c>
      <c r="BN721" t="s">
        <v>3938</v>
      </c>
      <c r="BO721" t="s">
        <v>3939</v>
      </c>
      <c r="BR721" t="s">
        <v>546</v>
      </c>
      <c r="BS721" s="1">
        <v>854</v>
      </c>
      <c r="BW721" t="s">
        <v>536</v>
      </c>
      <c r="BX721" s="1">
        <v>854</v>
      </c>
      <c r="BZ721" t="s">
        <v>535</v>
      </c>
      <c r="CA721" t="s">
        <v>546</v>
      </c>
      <c r="CB721" t="s">
        <v>3722</v>
      </c>
      <c r="CC721" t="s">
        <v>556</v>
      </c>
      <c r="CD721" t="s">
        <v>1411</v>
      </c>
      <c r="CE721" t="s">
        <v>1412</v>
      </c>
      <c r="CF721" t="s">
        <v>362</v>
      </c>
      <c r="CG721" s="4">
        <v>1</v>
      </c>
      <c r="CH721" t="s">
        <v>546</v>
      </c>
      <c r="CK721" t="s">
        <v>3940</v>
      </c>
      <c r="CL721" s="1">
        <v>854</v>
      </c>
      <c r="CN721" t="s">
        <v>535</v>
      </c>
      <c r="CO721" t="s">
        <v>539</v>
      </c>
      <c r="CT721" t="s">
        <v>560</v>
      </c>
      <c r="CW721" t="s">
        <v>546</v>
      </c>
      <c r="DD721" t="s">
        <v>561</v>
      </c>
      <c r="DK721" t="s">
        <v>3941</v>
      </c>
      <c r="DL721" t="s">
        <v>3942</v>
      </c>
      <c r="DR721" t="s">
        <v>3943</v>
      </c>
    </row>
    <row r="722" ht="15" customHeight="1" spans="1:122">
      <c r="A722" t="s">
        <v>530</v>
      </c>
      <c r="B722" t="s">
        <v>3944</v>
      </c>
      <c r="C722" t="s">
        <v>532</v>
      </c>
      <c r="D722" t="s">
        <v>3722</v>
      </c>
      <c r="E722" t="s">
        <v>534</v>
      </c>
      <c r="F722" t="s">
        <v>534</v>
      </c>
      <c r="G722" t="s">
        <v>535</v>
      </c>
      <c r="H722" s="1">
        <v>16098</v>
      </c>
      <c r="I722" s="1">
        <v>16098</v>
      </c>
      <c r="J722" t="s">
        <v>536</v>
      </c>
      <c r="L722" t="s">
        <v>536</v>
      </c>
      <c r="M722" t="s">
        <v>380</v>
      </c>
      <c r="N722" t="s">
        <v>537</v>
      </c>
      <c r="P722" s="1">
        <v>16098</v>
      </c>
      <c r="Q722" t="s">
        <v>970</v>
      </c>
      <c r="R722" t="s">
        <v>535</v>
      </c>
      <c r="S722" t="s">
        <v>539</v>
      </c>
      <c r="T722" s="2">
        <v>1</v>
      </c>
      <c r="U722" s="1">
        <v>16098</v>
      </c>
      <c r="V722" s="1">
        <v>16098</v>
      </c>
      <c r="X722" t="s">
        <v>540</v>
      </c>
      <c r="Z722" t="s">
        <v>541</v>
      </c>
      <c r="AA722" t="s">
        <v>542</v>
      </c>
      <c r="AB722" t="s">
        <v>543</v>
      </c>
      <c r="AC722" t="s">
        <v>544</v>
      </c>
      <c r="AD722" t="s">
        <v>545</v>
      </c>
      <c r="AE722" s="3">
        <v>1</v>
      </c>
      <c r="AF722" t="s">
        <v>297</v>
      </c>
      <c r="AG722" s="1">
        <v>5480</v>
      </c>
      <c r="AI722" s="1">
        <v>16098</v>
      </c>
      <c r="AJ722" s="1">
        <v>5480</v>
      </c>
      <c r="AM722" s="1">
        <v>5480</v>
      </c>
      <c r="AN722" t="s">
        <v>643</v>
      </c>
      <c r="AO722" t="s">
        <v>546</v>
      </c>
      <c r="AP722" t="s">
        <v>643</v>
      </c>
      <c r="AQ722" t="s">
        <v>548</v>
      </c>
      <c r="AS722" t="s">
        <v>380</v>
      </c>
      <c r="AX722" s="1">
        <v>5480</v>
      </c>
      <c r="AY722" t="s">
        <v>546</v>
      </c>
      <c r="AZ722" t="s">
        <v>644</v>
      </c>
      <c r="BA722" s="1">
        <v>5480</v>
      </c>
      <c r="BC722" t="s">
        <v>546</v>
      </c>
      <c r="BD722" s="1">
        <v>5480</v>
      </c>
      <c r="BE722" t="s">
        <v>540</v>
      </c>
      <c r="BF722" s="1">
        <v>5480</v>
      </c>
      <c r="BH722" s="1">
        <v>5480</v>
      </c>
      <c r="BI722" t="s">
        <v>550</v>
      </c>
      <c r="BJ722" t="s">
        <v>551</v>
      </c>
      <c r="BK722" t="s">
        <v>551</v>
      </c>
      <c r="BL722" t="s">
        <v>552</v>
      </c>
      <c r="BM722" t="s">
        <v>3722</v>
      </c>
      <c r="BN722" t="s">
        <v>3945</v>
      </c>
      <c r="BO722" t="s">
        <v>3946</v>
      </c>
      <c r="BR722" t="s">
        <v>546</v>
      </c>
      <c r="BS722" s="1">
        <v>5480</v>
      </c>
      <c r="BW722" t="s">
        <v>536</v>
      </c>
      <c r="BX722" s="1">
        <v>5480</v>
      </c>
      <c r="BZ722" t="s">
        <v>535</v>
      </c>
      <c r="CA722" t="s">
        <v>546</v>
      </c>
      <c r="CB722" t="s">
        <v>3722</v>
      </c>
      <c r="CC722" t="s">
        <v>556</v>
      </c>
      <c r="CD722" t="s">
        <v>3947</v>
      </c>
      <c r="CE722" t="s">
        <v>3948</v>
      </c>
      <c r="CF722" t="s">
        <v>297</v>
      </c>
      <c r="CG722" s="4">
        <v>1</v>
      </c>
      <c r="CH722" t="s">
        <v>546</v>
      </c>
      <c r="CK722" t="s">
        <v>3949</v>
      </c>
      <c r="CL722" s="1">
        <v>5480</v>
      </c>
      <c r="CN722" t="s">
        <v>535</v>
      </c>
      <c r="CO722" t="s">
        <v>539</v>
      </c>
      <c r="CT722" t="s">
        <v>576</v>
      </c>
      <c r="CW722" t="s">
        <v>546</v>
      </c>
      <c r="DD722" t="s">
        <v>561</v>
      </c>
      <c r="DK722" t="s">
        <v>3950</v>
      </c>
      <c r="DL722" t="s">
        <v>3951</v>
      </c>
      <c r="DR722" t="s">
        <v>3952</v>
      </c>
    </row>
    <row r="723" ht="15" customHeight="1" spans="1:122">
      <c r="AB723" t="s">
        <v>543</v>
      </c>
      <c r="AC723" t="s">
        <v>544</v>
      </c>
      <c r="AD723" t="s">
        <v>545</v>
      </c>
      <c r="AF723" t="s">
        <v>296</v>
      </c>
      <c r="AG723" s="1">
        <v>4128</v>
      </c>
      <c r="AJ723" s="1">
        <v>4128</v>
      </c>
      <c r="AM723" s="1">
        <v>4128</v>
      </c>
      <c r="AN723" t="s">
        <v>643</v>
      </c>
      <c r="AP723" t="s">
        <v>643</v>
      </c>
      <c r="AX723" s="1">
        <v>4128</v>
      </c>
      <c r="AZ723" t="s">
        <v>644</v>
      </c>
      <c r="BA723" s="1">
        <v>4128</v>
      </c>
      <c r="BC723" t="s">
        <v>546</v>
      </c>
      <c r="BD723" s="1">
        <v>4128</v>
      </c>
      <c r="BE723" t="s">
        <v>540</v>
      </c>
      <c r="BF723" s="1">
        <v>4128</v>
      </c>
      <c r="BH723" s="1">
        <v>4128</v>
      </c>
      <c r="BS723" s="1">
        <v>4128</v>
      </c>
      <c r="BX723" s="1">
        <v>4128</v>
      </c>
      <c r="CB723" t="s">
        <v>3722</v>
      </c>
      <c r="CC723" t="s">
        <v>556</v>
      </c>
      <c r="CD723" t="s">
        <v>1597</v>
      </c>
      <c r="CE723" t="s">
        <v>1598</v>
      </c>
      <c r="CF723" t="s">
        <v>296</v>
      </c>
      <c r="CG723" s="4">
        <v>1</v>
      </c>
      <c r="CL723" s="1">
        <v>4128</v>
      </c>
      <c r="DD723" t="s">
        <v>561</v>
      </c>
    </row>
    <row r="724" ht="15" customHeight="1" spans="1:122">
      <c r="AB724" t="s">
        <v>543</v>
      </c>
      <c r="AC724" t="s">
        <v>544</v>
      </c>
      <c r="AD724" t="s">
        <v>545</v>
      </c>
      <c r="AF724" t="s">
        <v>295</v>
      </c>
      <c r="AG724" s="1">
        <v>1765</v>
      </c>
      <c r="AJ724" s="1">
        <v>1765</v>
      </c>
      <c r="AM724" s="1">
        <v>1765</v>
      </c>
      <c r="AN724" t="s">
        <v>643</v>
      </c>
      <c r="AP724" t="s">
        <v>643</v>
      </c>
      <c r="AX724" s="1">
        <v>1765</v>
      </c>
      <c r="AZ724" t="s">
        <v>644</v>
      </c>
      <c r="BA724" s="1">
        <v>1765</v>
      </c>
      <c r="BC724" t="s">
        <v>546</v>
      </c>
      <c r="BD724" s="1">
        <v>1765</v>
      </c>
      <c r="BE724" t="s">
        <v>540</v>
      </c>
      <c r="BF724" s="1">
        <v>1765</v>
      </c>
      <c r="BH724" s="1">
        <v>1765</v>
      </c>
      <c r="BS724" s="1">
        <v>1765</v>
      </c>
      <c r="BX724" s="1">
        <v>1765</v>
      </c>
      <c r="CB724" t="s">
        <v>3722</v>
      </c>
      <c r="CC724" t="s">
        <v>556</v>
      </c>
      <c r="CD724" t="s">
        <v>2465</v>
      </c>
      <c r="CE724" t="s">
        <v>2466</v>
      </c>
      <c r="CF724" t="s">
        <v>295</v>
      </c>
      <c r="CG724" s="4">
        <v>1</v>
      </c>
      <c r="CL724" s="1">
        <v>1765</v>
      </c>
      <c r="DD724" t="s">
        <v>561</v>
      </c>
    </row>
    <row r="725" ht="15" customHeight="1" spans="1:122">
      <c r="AB725" t="s">
        <v>543</v>
      </c>
      <c r="AC725" t="s">
        <v>544</v>
      </c>
      <c r="AD725" t="s">
        <v>545</v>
      </c>
      <c r="AF725" t="s">
        <v>294</v>
      </c>
      <c r="AG725" s="1">
        <v>4725</v>
      </c>
      <c r="AJ725" s="1">
        <v>4725</v>
      </c>
      <c r="AM725" s="1">
        <v>4725</v>
      </c>
      <c r="AN725" t="s">
        <v>643</v>
      </c>
      <c r="AP725" t="s">
        <v>643</v>
      </c>
      <c r="AX725" s="1">
        <v>4725</v>
      </c>
      <c r="AZ725" t="s">
        <v>644</v>
      </c>
      <c r="BA725" s="1">
        <v>4725</v>
      </c>
      <c r="BC725" t="s">
        <v>546</v>
      </c>
      <c r="BD725" s="1">
        <v>4725</v>
      </c>
      <c r="BE725" t="s">
        <v>540</v>
      </c>
      <c r="BF725" s="1">
        <v>4725</v>
      </c>
      <c r="BH725" s="1">
        <v>4725</v>
      </c>
      <c r="BS725" s="1">
        <v>4725</v>
      </c>
      <c r="BX725" s="1">
        <v>4725</v>
      </c>
      <c r="CB725" t="s">
        <v>3722</v>
      </c>
      <c r="CC725" t="s">
        <v>556</v>
      </c>
      <c r="CD725" t="s">
        <v>2915</v>
      </c>
      <c r="CE725" t="s">
        <v>2916</v>
      </c>
      <c r="CF725" t="s">
        <v>294</v>
      </c>
      <c r="CG725" s="4">
        <v>1</v>
      </c>
      <c r="CL725" s="1">
        <v>4725</v>
      </c>
      <c r="DD725" t="s">
        <v>561</v>
      </c>
    </row>
    <row r="726" ht="15" customHeight="1" spans="1:122">
      <c r="A726" t="s">
        <v>603</v>
      </c>
      <c r="B726" t="s">
        <v>3953</v>
      </c>
      <c r="C726" t="s">
        <v>532</v>
      </c>
      <c r="D726" t="s">
        <v>3722</v>
      </c>
      <c r="E726" t="s">
        <v>534</v>
      </c>
      <c r="F726" t="s">
        <v>534</v>
      </c>
      <c r="G726" t="s">
        <v>535</v>
      </c>
      <c r="H726" s="1">
        <v>50000</v>
      </c>
      <c r="I726" s="1">
        <v>50000</v>
      </c>
      <c r="J726" t="s">
        <v>536</v>
      </c>
      <c r="L726" t="s">
        <v>536</v>
      </c>
      <c r="M726" t="s">
        <v>384</v>
      </c>
      <c r="N726" t="s">
        <v>537</v>
      </c>
      <c r="P726" s="1">
        <v>50000</v>
      </c>
      <c r="Q726" t="s">
        <v>905</v>
      </c>
      <c r="R726" t="s">
        <v>535</v>
      </c>
      <c r="S726" t="s">
        <v>539</v>
      </c>
      <c r="T726" s="2">
        <v>1</v>
      </c>
      <c r="U726" s="1">
        <v>50000</v>
      </c>
      <c r="V726" s="1">
        <v>50000</v>
      </c>
      <c r="X726" t="s">
        <v>616</v>
      </c>
      <c r="Z726" t="s">
        <v>541</v>
      </c>
      <c r="AA726" t="s">
        <v>542</v>
      </c>
      <c r="AB726" t="s">
        <v>543</v>
      </c>
      <c r="AC726" t="s">
        <v>608</v>
      </c>
      <c r="AE726" s="3">
        <v>1</v>
      </c>
      <c r="AG726" s="1">
        <v>50000</v>
      </c>
      <c r="AJ726" s="1">
        <v>50000</v>
      </c>
      <c r="AM726" s="1">
        <v>50000</v>
      </c>
      <c r="AN726" t="s">
        <v>536</v>
      </c>
      <c r="AO726" t="s">
        <v>546</v>
      </c>
      <c r="AP726" t="s">
        <v>547</v>
      </c>
      <c r="AQ726" t="s">
        <v>548</v>
      </c>
      <c r="AS726" t="s">
        <v>384</v>
      </c>
      <c r="AX726" s="1">
        <v>50000</v>
      </c>
      <c r="AY726" t="s">
        <v>546</v>
      </c>
      <c r="AZ726" t="s">
        <v>549</v>
      </c>
      <c r="BA726" s="1">
        <v>50000</v>
      </c>
      <c r="BC726" t="s">
        <v>546</v>
      </c>
      <c r="BE726" t="s">
        <v>616</v>
      </c>
      <c r="BH726" s="1">
        <v>50000</v>
      </c>
      <c r="BI726" t="s">
        <v>550</v>
      </c>
      <c r="BJ726" t="s">
        <v>551</v>
      </c>
      <c r="BK726" t="s">
        <v>551</v>
      </c>
      <c r="BL726" t="s">
        <v>1905</v>
      </c>
      <c r="BM726" t="s">
        <v>3954</v>
      </c>
      <c r="BN726" t="s">
        <v>3955</v>
      </c>
      <c r="BO726" t="s">
        <v>3956</v>
      </c>
      <c r="BR726" t="s">
        <v>546</v>
      </c>
      <c r="BS726" s="1">
        <v>50000</v>
      </c>
      <c r="BW726" t="s">
        <v>536</v>
      </c>
      <c r="BZ726" t="s">
        <v>535</v>
      </c>
      <c r="CA726" t="s">
        <v>546</v>
      </c>
      <c r="CB726" t="s">
        <v>3722</v>
      </c>
      <c r="CC726" t="s">
        <v>556</v>
      </c>
      <c r="CH726" t="s">
        <v>546</v>
      </c>
      <c r="CK726" t="s">
        <v>3957</v>
      </c>
      <c r="CN726" t="s">
        <v>535</v>
      </c>
      <c r="CO726" t="s">
        <v>539</v>
      </c>
      <c r="CT726" t="s">
        <v>791</v>
      </c>
      <c r="CW726" t="s">
        <v>546</v>
      </c>
      <c r="DD726" t="s">
        <v>561</v>
      </c>
    </row>
    <row r="727" ht="15" customHeight="1" spans="1:122">
      <c r="A727" t="s">
        <v>530</v>
      </c>
      <c r="B727" t="s">
        <v>3958</v>
      </c>
      <c r="C727" t="s">
        <v>532</v>
      </c>
      <c r="D727" t="s">
        <v>3722</v>
      </c>
      <c r="E727" t="s">
        <v>534</v>
      </c>
      <c r="F727" t="s">
        <v>534</v>
      </c>
      <c r="G727" t="s">
        <v>535</v>
      </c>
      <c r="H727" s="1">
        <v>2860</v>
      </c>
      <c r="I727" s="1">
        <v>2860</v>
      </c>
      <c r="J727" t="s">
        <v>536</v>
      </c>
      <c r="L727" t="s">
        <v>536</v>
      </c>
      <c r="M727" t="s">
        <v>377</v>
      </c>
      <c r="N727" t="s">
        <v>537</v>
      </c>
      <c r="P727" s="1">
        <v>2860</v>
      </c>
      <c r="Q727" t="s">
        <v>538</v>
      </c>
      <c r="R727" t="s">
        <v>535</v>
      </c>
      <c r="S727" t="s">
        <v>539</v>
      </c>
      <c r="T727" s="2">
        <v>1</v>
      </c>
      <c r="U727" s="1">
        <v>2860</v>
      </c>
      <c r="V727" s="1">
        <v>2860</v>
      </c>
      <c r="X727" t="s">
        <v>616</v>
      </c>
      <c r="Z727" t="s">
        <v>541</v>
      </c>
      <c r="AA727" t="s">
        <v>542</v>
      </c>
      <c r="AB727" t="s">
        <v>543</v>
      </c>
      <c r="AC727" t="s">
        <v>544</v>
      </c>
      <c r="AD727" t="s">
        <v>545</v>
      </c>
      <c r="AE727" s="3">
        <v>1</v>
      </c>
      <c r="AF727" t="s">
        <v>298</v>
      </c>
      <c r="AG727" s="1">
        <v>2860</v>
      </c>
      <c r="AI727" s="1">
        <v>2860</v>
      </c>
      <c r="AJ727" s="1">
        <v>2860</v>
      </c>
      <c r="AM727" s="1">
        <v>2860</v>
      </c>
      <c r="AN727" t="s">
        <v>643</v>
      </c>
      <c r="AO727" t="s">
        <v>546</v>
      </c>
      <c r="AP727" t="s">
        <v>643</v>
      </c>
      <c r="AQ727" t="s">
        <v>548</v>
      </c>
      <c r="AS727" t="s">
        <v>377</v>
      </c>
      <c r="AX727" s="1">
        <v>2860</v>
      </c>
      <c r="AY727" t="s">
        <v>546</v>
      </c>
      <c r="AZ727" t="s">
        <v>644</v>
      </c>
      <c r="BA727" s="1">
        <v>2860</v>
      </c>
      <c r="BC727" t="s">
        <v>546</v>
      </c>
      <c r="BD727" s="1">
        <v>2860</v>
      </c>
      <c r="BE727" t="s">
        <v>616</v>
      </c>
      <c r="BH727" s="1">
        <v>2860</v>
      </c>
      <c r="BI727" t="s">
        <v>550</v>
      </c>
      <c r="BJ727" t="s">
        <v>551</v>
      </c>
      <c r="BK727" t="s">
        <v>551</v>
      </c>
      <c r="BL727" t="s">
        <v>1905</v>
      </c>
      <c r="BM727" t="s">
        <v>3954</v>
      </c>
      <c r="BN727" t="s">
        <v>3959</v>
      </c>
      <c r="BO727" t="s">
        <v>3960</v>
      </c>
      <c r="BR727" t="s">
        <v>546</v>
      </c>
      <c r="BS727" s="1">
        <v>2860</v>
      </c>
      <c r="BW727" t="s">
        <v>536</v>
      </c>
      <c r="BZ727" t="s">
        <v>535</v>
      </c>
      <c r="CA727" t="s">
        <v>546</v>
      </c>
      <c r="CB727" t="s">
        <v>3722</v>
      </c>
      <c r="CC727" t="s">
        <v>556</v>
      </c>
      <c r="CD727" t="s">
        <v>633</v>
      </c>
      <c r="CE727" t="s">
        <v>634</v>
      </c>
      <c r="CF727" t="s">
        <v>298</v>
      </c>
      <c r="CG727" s="4">
        <v>1</v>
      </c>
      <c r="CH727" t="s">
        <v>546</v>
      </c>
      <c r="CK727" t="s">
        <v>3961</v>
      </c>
      <c r="CN727" t="s">
        <v>535</v>
      </c>
      <c r="CO727" t="s">
        <v>539</v>
      </c>
      <c r="CT727" t="s">
        <v>560</v>
      </c>
      <c r="CW727" t="s">
        <v>546</v>
      </c>
      <c r="DD727" t="s">
        <v>561</v>
      </c>
      <c r="DK727" t="s">
        <v>3962</v>
      </c>
      <c r="DL727" t="s">
        <v>3963</v>
      </c>
      <c r="DR727" t="s">
        <v>3964</v>
      </c>
    </row>
    <row r="728" ht="15" customHeight="1" spans="1:122">
      <c r="A728" t="s">
        <v>530</v>
      </c>
      <c r="B728" t="s">
        <v>3965</v>
      </c>
      <c r="C728" t="s">
        <v>532</v>
      </c>
      <c r="D728" t="s">
        <v>3722</v>
      </c>
      <c r="E728" t="s">
        <v>534</v>
      </c>
      <c r="F728" t="s">
        <v>534</v>
      </c>
      <c r="G728" t="s">
        <v>535</v>
      </c>
      <c r="H728" s="1">
        <v>3788</v>
      </c>
      <c r="I728" s="1">
        <v>3788</v>
      </c>
      <c r="J728" t="s">
        <v>536</v>
      </c>
      <c r="L728" t="s">
        <v>536</v>
      </c>
      <c r="M728" t="s">
        <v>377</v>
      </c>
      <c r="N728" t="s">
        <v>537</v>
      </c>
      <c r="P728" s="1">
        <v>3788</v>
      </c>
      <c r="Q728" t="s">
        <v>538</v>
      </c>
      <c r="R728" t="s">
        <v>535</v>
      </c>
      <c r="S728" t="s">
        <v>539</v>
      </c>
      <c r="T728" s="2">
        <v>1</v>
      </c>
      <c r="U728" s="1">
        <v>3788</v>
      </c>
      <c r="V728" s="1">
        <v>3788</v>
      </c>
      <c r="X728" t="s">
        <v>616</v>
      </c>
      <c r="Z728" t="s">
        <v>541</v>
      </c>
      <c r="AA728" t="s">
        <v>542</v>
      </c>
      <c r="AB728" t="s">
        <v>543</v>
      </c>
      <c r="AC728" t="s">
        <v>544</v>
      </c>
      <c r="AD728" t="s">
        <v>545</v>
      </c>
      <c r="AE728" s="3">
        <v>1</v>
      </c>
      <c r="AF728" t="s">
        <v>299</v>
      </c>
      <c r="AG728" s="1">
        <v>3788</v>
      </c>
      <c r="AI728" s="1">
        <v>3788</v>
      </c>
      <c r="AJ728" s="1">
        <v>3788</v>
      </c>
      <c r="AM728" s="1">
        <v>3788</v>
      </c>
      <c r="AN728" t="s">
        <v>643</v>
      </c>
      <c r="AO728" t="s">
        <v>546</v>
      </c>
      <c r="AP728" t="s">
        <v>643</v>
      </c>
      <c r="AQ728" t="s">
        <v>548</v>
      </c>
      <c r="AS728" t="s">
        <v>377</v>
      </c>
      <c r="AX728" s="1">
        <v>3788</v>
      </c>
      <c r="AY728" t="s">
        <v>546</v>
      </c>
      <c r="AZ728" t="s">
        <v>644</v>
      </c>
      <c r="BA728" s="1">
        <v>3788</v>
      </c>
      <c r="BC728" t="s">
        <v>546</v>
      </c>
      <c r="BD728" s="1">
        <v>3788</v>
      </c>
      <c r="BE728" t="s">
        <v>616</v>
      </c>
      <c r="BH728" s="1">
        <v>3788</v>
      </c>
      <c r="BI728" t="s">
        <v>550</v>
      </c>
      <c r="BJ728" t="s">
        <v>551</v>
      </c>
      <c r="BK728" t="s">
        <v>551</v>
      </c>
      <c r="BL728" t="s">
        <v>1905</v>
      </c>
      <c r="BM728" t="s">
        <v>3954</v>
      </c>
      <c r="BN728" t="s">
        <v>3966</v>
      </c>
      <c r="BO728" t="s">
        <v>3967</v>
      </c>
      <c r="BR728" t="s">
        <v>546</v>
      </c>
      <c r="BS728" s="1">
        <v>3788</v>
      </c>
      <c r="BW728" t="s">
        <v>536</v>
      </c>
      <c r="BZ728" t="s">
        <v>535</v>
      </c>
      <c r="CA728" t="s">
        <v>546</v>
      </c>
      <c r="CB728" t="s">
        <v>3722</v>
      </c>
      <c r="CC728" t="s">
        <v>556</v>
      </c>
      <c r="CD728" t="s">
        <v>622</v>
      </c>
      <c r="CE728" t="s">
        <v>623</v>
      </c>
      <c r="CF728" t="s">
        <v>299</v>
      </c>
      <c r="CG728" s="4">
        <v>1</v>
      </c>
      <c r="CH728" t="s">
        <v>546</v>
      </c>
      <c r="CK728" t="s">
        <v>3968</v>
      </c>
      <c r="CN728" t="s">
        <v>535</v>
      </c>
      <c r="CO728" t="s">
        <v>539</v>
      </c>
      <c r="CT728" t="s">
        <v>560</v>
      </c>
      <c r="CW728" t="s">
        <v>546</v>
      </c>
      <c r="DD728" t="s">
        <v>561</v>
      </c>
      <c r="DK728" t="s">
        <v>3969</v>
      </c>
      <c r="DL728" t="s">
        <v>3970</v>
      </c>
      <c r="DR728" t="s">
        <v>3971</v>
      </c>
    </row>
    <row r="729" ht="15" customHeight="1" spans="1:122">
      <c r="A729" t="s">
        <v>530</v>
      </c>
      <c r="B729" t="s">
        <v>3972</v>
      </c>
      <c r="C729" t="s">
        <v>532</v>
      </c>
      <c r="D729" t="s">
        <v>3722</v>
      </c>
      <c r="E729" t="s">
        <v>534</v>
      </c>
      <c r="F729" t="s">
        <v>534</v>
      </c>
      <c r="G729" t="s">
        <v>535</v>
      </c>
      <c r="H729" s="1">
        <v>1488</v>
      </c>
      <c r="I729" s="1">
        <v>1488</v>
      </c>
      <c r="J729" t="s">
        <v>536</v>
      </c>
      <c r="L729" t="s">
        <v>536</v>
      </c>
      <c r="M729" t="s">
        <v>371</v>
      </c>
      <c r="N729" t="s">
        <v>537</v>
      </c>
      <c r="P729" s="1">
        <v>1488</v>
      </c>
      <c r="Q729" t="s">
        <v>1060</v>
      </c>
      <c r="R729" t="s">
        <v>535</v>
      </c>
      <c r="S729" t="s">
        <v>539</v>
      </c>
      <c r="T729" s="2">
        <v>1</v>
      </c>
      <c r="U729" s="1">
        <v>1488</v>
      </c>
      <c r="V729" s="1">
        <v>1488</v>
      </c>
      <c r="X729" t="s">
        <v>616</v>
      </c>
      <c r="Z729" t="s">
        <v>541</v>
      </c>
      <c r="AA729" t="s">
        <v>542</v>
      </c>
      <c r="AB729" t="s">
        <v>543</v>
      </c>
      <c r="AC729" t="s">
        <v>544</v>
      </c>
      <c r="AD729" t="s">
        <v>545</v>
      </c>
      <c r="AE729" s="3">
        <v>1</v>
      </c>
      <c r="AF729" t="s">
        <v>300</v>
      </c>
      <c r="AG729" s="1">
        <v>1488</v>
      </c>
      <c r="AI729" s="1">
        <v>1488</v>
      </c>
      <c r="AJ729" s="1">
        <v>1488</v>
      </c>
      <c r="AM729" s="1">
        <v>1488</v>
      </c>
      <c r="AN729" t="s">
        <v>536</v>
      </c>
      <c r="AO729" t="s">
        <v>546</v>
      </c>
      <c r="AP729" t="s">
        <v>547</v>
      </c>
      <c r="AQ729" t="s">
        <v>548</v>
      </c>
      <c r="AS729" t="s">
        <v>371</v>
      </c>
      <c r="AX729" s="1">
        <v>1488</v>
      </c>
      <c r="AY729" t="s">
        <v>546</v>
      </c>
      <c r="AZ729" t="s">
        <v>549</v>
      </c>
      <c r="BA729" s="1">
        <v>1488</v>
      </c>
      <c r="BC729" t="s">
        <v>546</v>
      </c>
      <c r="BD729" s="1">
        <v>1488</v>
      </c>
      <c r="BE729" t="s">
        <v>616</v>
      </c>
      <c r="BH729" s="1">
        <v>1488</v>
      </c>
      <c r="BI729" t="s">
        <v>550</v>
      </c>
      <c r="BJ729" t="s">
        <v>551</v>
      </c>
      <c r="BK729" t="s">
        <v>551</v>
      </c>
      <c r="BL729" t="s">
        <v>552</v>
      </c>
      <c r="BM729" t="s">
        <v>3973</v>
      </c>
      <c r="BN729" t="s">
        <v>3974</v>
      </c>
      <c r="BO729" t="s">
        <v>3975</v>
      </c>
      <c r="BR729" t="s">
        <v>546</v>
      </c>
      <c r="BS729" s="1">
        <v>1488</v>
      </c>
      <c r="BW729" t="s">
        <v>536</v>
      </c>
      <c r="BZ729" t="s">
        <v>535</v>
      </c>
      <c r="CA729" t="s">
        <v>546</v>
      </c>
      <c r="CB729" t="s">
        <v>3722</v>
      </c>
      <c r="CC729" t="s">
        <v>556</v>
      </c>
      <c r="CD729" t="s">
        <v>1197</v>
      </c>
      <c r="CE729" t="s">
        <v>1198</v>
      </c>
      <c r="CF729" t="s">
        <v>300</v>
      </c>
      <c r="CG729" s="4">
        <v>1</v>
      </c>
      <c r="CH729" t="s">
        <v>546</v>
      </c>
      <c r="CK729" t="s">
        <v>3976</v>
      </c>
      <c r="CN729" t="s">
        <v>535</v>
      </c>
      <c r="CO729" t="s">
        <v>539</v>
      </c>
      <c r="CT729" t="s">
        <v>576</v>
      </c>
      <c r="CW729" t="s">
        <v>546</v>
      </c>
      <c r="DD729" t="s">
        <v>561</v>
      </c>
      <c r="DK729" t="s">
        <v>3977</v>
      </c>
      <c r="DL729" t="s">
        <v>3978</v>
      </c>
    </row>
    <row r="730" ht="15" customHeight="1" spans="1:122">
      <c r="A730" t="s">
        <v>3979</v>
      </c>
      <c r="H730" s="1">
        <v>3687940.63</v>
      </c>
      <c r="I730" s="1">
        <v>3682577.51</v>
      </c>
      <c r="P730" s="1">
        <v>3687940.63</v>
      </c>
      <c r="U730" s="1">
        <v>3687940.63</v>
      </c>
      <c r="V730" s="1">
        <v>3682577.51</v>
      </c>
      <c r="AG730" s="1">
        <v>3687940.63</v>
      </c>
      <c r="AI730" s="1">
        <v>3531536.63</v>
      </c>
      <c r="AM730" s="1">
        <v>3682577.51</v>
      </c>
      <c r="BA730" s="1">
        <v>3687940.63</v>
      </c>
      <c r="BD730" s="1">
        <v>1457570.96</v>
      </c>
      <c r="BF730" s="1">
        <v>1488065.36</v>
      </c>
      <c r="BS730" s="1">
        <v>3687940.63</v>
      </c>
      <c r="BX730" s="1">
        <v>1488065.36</v>
      </c>
      <c r="DF730" s="4">
        <v>0</v>
      </c>
      <c r="DG730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两两</cp:lastModifiedBy>
  <dcterms:created xsi:type="dcterms:W3CDTF">2025-11-05T13:06:00Z</dcterms:created>
  <dcterms:modified xsi:type="dcterms:W3CDTF">2025-11-10T08:56:40Z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KSOProductBuildVer">
    <vt:lpwstr>2052-12.1.0.23542</vt:lpwstr>
  </property>
  <property fmtid="{D5CDD505-2E9C-101B-9397-08002B2CF9AE}" pid="5" name="ICV">
    <vt:lpwstr>D749A6F2D8A149059686F881F4AA8DE0_12</vt:lpwstr>
  </property>
</Properties>
</file>