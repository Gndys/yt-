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tabRatio="561" firstSheet="1" activeTab="1"/>
  </bookViews>
  <sheets>
    <sheet name="汇总1" sheetId="15" r:id="rId1"/>
    <sheet name="杭州" sheetId="1" r:id="rId2"/>
    <sheet name="湖州" sheetId="2" r:id="rId3"/>
    <sheet name="嘉兴" sheetId="67" r:id="rId4"/>
    <sheet name="金衢" sheetId="4" r:id="rId5"/>
    <sheet name="台州" sheetId="5" r:id="rId6"/>
    <sheet name="绍兴" sheetId="68" r:id="rId7"/>
    <sheet name="温丽 " sheetId="58" r:id="rId8"/>
    <sheet name="电商 以旧换新" sheetId="9" r:id="rId9"/>
    <sheet name="区域数据" sheetId="65" r:id="rId10"/>
    <sheet name="Sheet2" sheetId="69" state="hidden" r:id="rId11"/>
    <sheet name="Sheet1" sheetId="70" state="hidden" r:id="rId12"/>
  </sheets>
  <definedNames>
    <definedName name="_xlnm._FilterDatabase" localSheetId="1" hidden="1">杭州!$A$2:$BU$48</definedName>
    <definedName name="_xlnm._FilterDatabase" localSheetId="2" hidden="1">湖州!$A$2:$BS$22</definedName>
    <definedName name="_xlnm._FilterDatabase" localSheetId="4" hidden="1">金衢!$A$2:$BT$31</definedName>
    <definedName name="_xlnm._FilterDatabase" localSheetId="6" hidden="1">绍兴!$A$2:$BS$60</definedName>
    <definedName name="_xlnm._FilterDatabase" localSheetId="7" hidden="1">'温丽 '!$A$2:$BR$84</definedName>
    <definedName name="_xlnm._FilterDatabase" localSheetId="5" hidden="1">台州!$A$2:$BT$35</definedName>
    <definedName name="_xlnm._FilterDatabase" localSheetId="8" hidden="1">'电商 以旧换新'!#REF!</definedName>
    <definedName name="_xlnm._FilterDatabase" localSheetId="9" hidden="1">区域数据!$A$3:$O$77</definedName>
    <definedName name="_xlnm._FilterDatabase" localSheetId="3" hidden="1">嘉兴!$A$2:$BT$79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Z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萧山旗舰30000元 汇德隆市心店42800元</t>
        </r>
      </text>
    </comment>
    <comment ref="A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场地费
</t>
        </r>
      </text>
    </comment>
    <comment ref="A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61019工补贴</t>
        </r>
      </text>
    </comment>
    <comment ref="C7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原杭州新容机电有限公司</t>
        </r>
      </text>
    </comment>
    <comment ref="A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106933元工厂补贴</t>
        </r>
      </text>
    </comment>
    <comment ref="A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50253元工厂补贴</t>
        </r>
      </text>
    </comment>
    <comment ref="C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淳安县爱满屋家电商行</t>
        </r>
      </text>
    </comment>
    <comment ref="Z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41000元五星元茂店</t>
        </r>
      </text>
    </comment>
    <comment ref="AE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场地费</t>
        </r>
      </text>
    </comment>
    <comment ref="BO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44000元为场地费</t>
        </r>
      </text>
    </comment>
    <comment ref="BT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杭州五星秋涛店37300 杭州五星佳源店10700元
五星元茂41000</t>
        </r>
      </text>
    </comment>
    <comment ref="BU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此笔费用为绍兴场地费，货款扣掉，绍兴打入我司4月6万5月1.7万</t>
        </r>
      </text>
    </comment>
    <comment ref="C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杭州萧山华祥家电有限公司</t>
        </r>
      </text>
    </comment>
    <comment ref="Z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46612二轻专卖店以旧换新</t>
        </r>
      </text>
    </comment>
    <comment ref="AF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二轻以旧换新</t>
        </r>
      </text>
    </comment>
    <comment ref="AL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141304二轻以旧换新</t>
        </r>
      </text>
    </comment>
    <comment ref="AR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二轻25131</t>
        </r>
      </text>
    </comment>
    <comment ref="BD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24037 二轻以旧换新24037元</t>
        </r>
      </text>
    </comment>
    <comment ref="C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杭州殊晟机电设备有限公司</t>
        </r>
      </text>
    </comment>
    <comment ref="AX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（新）滨江第六空间专卖店 5061
二轻17758</t>
        </r>
      </text>
    </comment>
    <comment ref="BT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杭州古墩路天猫优品旗舰店 1月 暂时没计算</t>
        </r>
      </text>
    </comment>
    <comment ref="T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其他渠道回进来的  是圣都</t>
        </r>
      </text>
    </comment>
    <comment ref="AX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二轻11274元</t>
        </r>
      </text>
    </comment>
    <comment ref="BD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二轻以旧换新下12823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湖州瑷嘉冷暖设备有限公司</t>
        </r>
      </text>
    </comment>
    <comment ref="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场地费170000</t>
        </r>
      </text>
    </comment>
    <comment ref="A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170000万是场地费</t>
        </r>
      </text>
    </comment>
    <comment ref="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德清智跃电子科技有限公司
浙江郡德环境科技有限公司</t>
        </r>
      </text>
    </comment>
    <comment ref="AL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长兴专卖店7600元为翁昕回款转零售
</t>
        </r>
      </text>
    </comment>
    <comment ref="AL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长兴专卖店7600元为翁昕回款转零售</t>
        </r>
      </text>
    </comment>
    <comment ref="C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湖州浙北五交化有限公司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作者</author>
  </authors>
  <commentList>
    <comment ref="A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39300元场地费</t>
        </r>
      </text>
    </comment>
    <comment ref="A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场地费</t>
        </r>
      </text>
    </commen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海宁程信电器有限公司</t>
        </r>
      </text>
    </comment>
    <comment ref="B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60304场地费</t>
        </r>
      </text>
    </comment>
    <comment ref="A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22700元场地费</t>
        </r>
      </text>
    </comment>
    <comment ref="C6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原单位是海宁市五金交电化工有限公司</t>
        </r>
      </text>
    </comment>
    <comment ref="BT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海宁五交化海昌路店20000</t>
        </r>
      </text>
    </comment>
    <comment ref="C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嘉兴汇越商贸有限公司</t>
        </r>
      </text>
    </comment>
    <comment ref="C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嘉兴嘉善体育路专卖店直营店</t>
        </r>
      </text>
    </comment>
    <comment ref="AK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3798.1 合斯满</t>
        </r>
      </text>
    </comment>
    <comment ref="AW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杭州金蝶零售1.5万 众凌</t>
        </r>
      </text>
    </comment>
    <comment ref="K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20000嘉兴浙北江南永乐大厦店
</t>
        </r>
      </text>
    </comment>
    <comment ref="BJ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嘉兴浙北江南永乐大厦店2万</t>
        </r>
      </text>
    </comment>
    <comment ref="BT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嘉兴浙北江南永乐大厦店20000元
嘉兴浙北江南永乐大厦店2万元</t>
        </r>
      </text>
    </comment>
    <comment ref="G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吴月芳
</t>
        </r>
      </text>
    </comment>
    <comment ref="G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吴月芳
</t>
        </r>
      </text>
    </comment>
    <comment ref="D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零售云</t>
        </r>
      </text>
    </comment>
    <comment ref="D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零售云
</t>
        </r>
      </text>
    </comment>
    <comment ref="F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通元镇</t>
        </r>
      </text>
    </comment>
    <comment ref="G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通元镇</t>
        </r>
      </text>
    </comment>
    <comment ref="D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零售云
</t>
        </r>
      </text>
    </comment>
    <comment ref="D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零售云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义乌颖亿贸易有限公司</t>
        </r>
      </text>
    </comment>
    <comment ref="T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15078元计入龙腾</t>
        </r>
      </text>
    </comment>
    <comment ref="A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63600 工厂补贴</t>
        </r>
      </text>
    </comment>
    <comment ref="A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40500场地费
</t>
        </r>
      </text>
    </comment>
    <comment ref="BD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衢州普农龙游店---家用电20000元</t>
        </r>
      </text>
    </comment>
    <comment ref="B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衢州普农三衢路店20200元</t>
        </r>
      </text>
    </comment>
    <comment ref="BT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衢州普农三衢路店 20500 +衢州普农龙游店 20000元
衢州普农龙游店---家用电20000元
衢州普农三衢路店20200</t>
        </r>
      </text>
    </comment>
    <comment ref="A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场地费46300</t>
        </r>
      </text>
    </comment>
    <comment ref="A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16000场地费
</t>
        </r>
      </text>
    </comment>
    <comment ref="B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金华五星人民广场店---家用电10000元</t>
        </r>
      </text>
    </comment>
    <comment ref="B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39700
五星人民广场场地费</t>
        </r>
      </text>
    </comment>
    <comment ref="B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金华五星人民广场店 10000+金华五星八一南街店6000
金华五星人民广场店---家用电10000元
金华义乌五星天成大厦旗舰 39700</t>
        </r>
      </text>
    </comment>
    <comment ref="A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37953元工厂补贴</t>
        </r>
      </text>
    </comment>
    <comment ref="C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23.5有兰溪专卖店 直营转加盟</t>
        </r>
      </text>
    </comment>
    <comment ref="AE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29947工厂补贴</t>
        </r>
      </text>
    </comment>
    <comment ref="K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26880元属于汇鑫划走</t>
        </r>
      </text>
    </comment>
    <comment ref="T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15078元在义乌荣昌 转成龙腾</t>
        </r>
      </text>
    </comment>
    <comment ref="C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兰溪市盈顺贸易商行</t>
        </r>
      </text>
    </comment>
    <comment ref="C15" authorId="0">
      <text>
        <r>
          <rPr>
            <sz val="9"/>
            <rFont val="宋体"/>
            <charset val="134"/>
          </rPr>
          <t>义乌丹溪路专卖店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A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开业联合促销---SS167347台州临海耀达靖江中路店---家用电</t>
        </r>
      </text>
    </comment>
    <comment ref="B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台州临海耀达靖江中路店
7台州临海耀达靖江中路店---家用电 2万</t>
        </r>
      </text>
    </comment>
    <comment ref="C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黄岩百货有限公司</t>
        </r>
      </text>
    </comment>
    <comment ref="AL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	开业联合促销---S115005椒江国商广场---家用电</t>
        </r>
      </text>
    </comment>
    <comment ref="AR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13421东海国补</t>
        </r>
      </text>
    </comment>
    <comment ref="AF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34862房补人补</t>
        </r>
      </text>
    </comment>
    <comment ref="T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13980.32合斯满 代结算</t>
        </r>
      </text>
    </comment>
    <comment ref="C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仙居品悦电器有限公司</t>
        </r>
      </text>
    </comment>
    <comment ref="A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仙居大周 45659</t>
        </r>
      </text>
    </comment>
    <comment ref="AF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33866房补人补</t>
        </r>
      </text>
    </comment>
    <comment ref="AF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10000场地费</t>
        </r>
      </text>
    </comment>
    <comment ref="BO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1万场地费</t>
        </r>
      </text>
    </comment>
    <comment ref="AE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48949元天台汇泉</t>
        </r>
      </text>
    </comment>
    <comment ref="C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台州市圆丰暖通设备有限公司</t>
        </r>
      </text>
    </comment>
    <comment ref="AE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锦屏场地费34635</t>
        </r>
      </text>
    </comment>
    <comment ref="AF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26151房补</t>
        </r>
      </text>
    </comment>
    <comment ref="AR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以旧换新</t>
        </r>
      </text>
    </comment>
    <comment ref="BS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锦屏场地费</t>
        </r>
      </text>
    </comment>
    <comment ref="AE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路桥月星场地费11238</t>
        </r>
      </text>
    </comment>
    <comment ref="AF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33725房补人补</t>
        </r>
      </text>
    </comment>
    <comment ref="T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87500元工程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诸暨雄风电器有限公司</t>
        </r>
      </text>
    </comment>
    <comment ref="C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绍兴大通购物中心有限公司</t>
        </r>
      </text>
    </comment>
    <comment ref="C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南京合斯满网络科技有限公司</t>
        </r>
      </text>
    </comment>
    <comment ref="BO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10938 合斯满</t>
        </r>
      </text>
    </comment>
    <comment ref="AQ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139715 场地费</t>
        </r>
      </text>
    </comment>
    <comment ref="AW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1598杭州金蝶  278320 借款 先不算  1113280工程</t>
        </r>
      </text>
    </comment>
    <comment ref="BO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剔除工程1065000元</t>
        </r>
      </text>
    </comment>
    <comment ref="AQ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46222场地费</t>
        </r>
      </text>
    </comment>
    <comment ref="C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绍兴市上虞区东关供销合作社购物中心</t>
        </r>
      </text>
    </comment>
    <comment ref="AQ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27642 场地费</t>
        </r>
      </text>
    </comment>
    <comment ref="C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嵊州市卓然家电有限公司</t>
        </r>
      </text>
    </comment>
    <comment ref="AQ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9051 场地费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I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王娜</t>
        </r>
      </text>
    </comment>
    <comment ref="I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徐丽映</t>
        </r>
      </text>
    </comment>
    <comment ref="C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温州龙港站港路专卖店</t>
        </r>
      </text>
    </comment>
    <comment ref="I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罗玉丽</t>
        </r>
      </text>
    </comment>
    <comment ref="C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  24.11月转成加盟商</t>
        </r>
      </text>
    </comment>
    <comment ref="I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王苗苗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福州中科创电器有限公司10505.1</t>
        </r>
      </text>
    </comment>
  </commentList>
</comments>
</file>

<file path=xl/sharedStrings.xml><?xml version="1.0" encoding="utf-8"?>
<sst xmlns="http://schemas.openxmlformats.org/spreadsheetml/2006/main" count="3855" uniqueCount="572">
  <si>
    <t>公司</t>
  </si>
  <si>
    <t>地区</t>
  </si>
  <si>
    <t>25年任务</t>
  </si>
  <si>
    <t>1月</t>
  </si>
  <si>
    <t>同比</t>
  </si>
  <si>
    <t>2月</t>
  </si>
  <si>
    <t>3月</t>
  </si>
  <si>
    <t>1-3月</t>
  </si>
  <si>
    <t>4月</t>
  </si>
  <si>
    <t>1-4月</t>
  </si>
  <si>
    <t>5月</t>
  </si>
  <si>
    <t>1-5月</t>
  </si>
  <si>
    <t>6月</t>
  </si>
  <si>
    <t>1-6月</t>
  </si>
  <si>
    <t>7月</t>
  </si>
  <si>
    <t>8月</t>
  </si>
  <si>
    <t>9月</t>
  </si>
  <si>
    <t>Q3</t>
  </si>
  <si>
    <t>1-9月</t>
  </si>
  <si>
    <t>10月</t>
  </si>
  <si>
    <t>1-10月</t>
  </si>
  <si>
    <t>完成率</t>
  </si>
  <si>
    <t>2024年</t>
  </si>
  <si>
    <t>2025年</t>
  </si>
  <si>
    <t>中冠</t>
  </si>
  <si>
    <t>杭州</t>
  </si>
  <si>
    <t>自营以旧换新</t>
  </si>
  <si>
    <t>金衢</t>
  </si>
  <si>
    <t>湖州</t>
  </si>
  <si>
    <t>小计2</t>
  </si>
  <si>
    <t>嘉兴</t>
  </si>
  <si>
    <t>台州</t>
  </si>
  <si>
    <t>合计</t>
  </si>
  <si>
    <t>晨涛</t>
  </si>
  <si>
    <t>绍兴</t>
  </si>
  <si>
    <t>吉远</t>
  </si>
  <si>
    <t>温丽</t>
  </si>
  <si>
    <t>汇总</t>
  </si>
  <si>
    <t>电商</t>
  </si>
  <si>
    <t>合同任务</t>
  </si>
  <si>
    <t>1-2月</t>
  </si>
  <si>
    <t>1-7月</t>
  </si>
  <si>
    <t>1-8月</t>
  </si>
  <si>
    <t>11月</t>
  </si>
  <si>
    <t>12月</t>
  </si>
  <si>
    <t>全年</t>
  </si>
  <si>
    <t>大地区</t>
  </si>
  <si>
    <t>序号</t>
  </si>
  <si>
    <t>门店</t>
  </si>
  <si>
    <t>渠道</t>
  </si>
  <si>
    <t>渠道细分</t>
  </si>
  <si>
    <t>大区</t>
  </si>
  <si>
    <t>市/区/县</t>
  </si>
  <si>
    <t>业务员</t>
  </si>
  <si>
    <t>24年场地费</t>
  </si>
  <si>
    <t>25年场地费</t>
  </si>
  <si>
    <t>25年特殊</t>
  </si>
  <si>
    <t>汇德隆</t>
  </si>
  <si>
    <t>TOP渠道</t>
  </si>
  <si>
    <t>萧山区</t>
  </si>
  <si>
    <t>董培培</t>
  </si>
  <si>
    <t>萧山汇德隆净水</t>
  </si>
  <si>
    <t>杭州兴达京昀电器有限公司</t>
  </si>
  <si>
    <t>经销</t>
  </si>
  <si>
    <t>临平区</t>
  </si>
  <si>
    <t>吴海林</t>
  </si>
  <si>
    <t>杭州临安一栋电器有限公司</t>
  </si>
  <si>
    <t>加盟</t>
  </si>
  <si>
    <t>临安区</t>
  </si>
  <si>
    <t>杭州宏信机电有限公司</t>
  </si>
  <si>
    <t>富阳区</t>
  </si>
  <si>
    <t>桐庐佳尼特水处理设备有限公司</t>
  </si>
  <si>
    <t>桐庐县</t>
  </si>
  <si>
    <t>杭州佳威信息科技有限公司</t>
  </si>
  <si>
    <t>建德市</t>
  </si>
  <si>
    <t>杭州京品满屋家电有限公司</t>
  </si>
  <si>
    <t>淳安县</t>
  </si>
  <si>
    <t>杭州司亿博环境设备有限公司</t>
  </si>
  <si>
    <t>杭州市区</t>
  </si>
  <si>
    <t>钱塘区</t>
  </si>
  <si>
    <t>杭州五星</t>
  </si>
  <si>
    <t>五星</t>
  </si>
  <si>
    <t>市区</t>
  </si>
  <si>
    <t>李燕霞</t>
  </si>
  <si>
    <t>6+1.7</t>
  </si>
  <si>
    <t>杭州临平江南家居专卖店</t>
  </si>
  <si>
    <t>直营</t>
  </si>
  <si>
    <t>专卖店</t>
  </si>
  <si>
    <t>杭州华泓电器有限公司</t>
  </si>
  <si>
    <t>杭州金蝶零售</t>
  </si>
  <si>
    <t>零售</t>
  </si>
  <si>
    <t>杭州零售</t>
  </si>
  <si>
    <t>杭州金蝶零售（李燕霞）</t>
  </si>
  <si>
    <t>萧山世纪龙建材专卖店</t>
  </si>
  <si>
    <t>（新）古墩新时代专卖店</t>
  </si>
  <si>
    <t>西湖风景名胜区</t>
  </si>
  <si>
    <t>（新）宏丰专卖店</t>
  </si>
  <si>
    <t>杭州月星家居超级旗舰店</t>
  </si>
  <si>
    <t>拱墅区</t>
  </si>
  <si>
    <t>杭州恒大建材超级旗舰店</t>
  </si>
  <si>
    <t>二轻爱威专卖店</t>
  </si>
  <si>
    <t>（新）滨江第六空间专卖店</t>
  </si>
  <si>
    <t>滨江区</t>
  </si>
  <si>
    <t>杭州日新人工环境工程有限公司</t>
  </si>
  <si>
    <t>暖通</t>
  </si>
  <si>
    <t>陈雪君</t>
  </si>
  <si>
    <t>杭州汇意商贸有限公司</t>
  </si>
  <si>
    <t>浙江初韵供应链管理有限公司</t>
  </si>
  <si>
    <t>上城区</t>
  </si>
  <si>
    <t>杭州红星美凯龙一号店</t>
  </si>
  <si>
    <t>杭州德业电器有限公司</t>
  </si>
  <si>
    <t>杭州市余杭区临平街道泽晨材料商行</t>
  </si>
  <si>
    <t>浙江顶戴环境设备有限公司</t>
  </si>
  <si>
    <t>浙江元天电子商务有限公司</t>
  </si>
  <si>
    <t>黄颖</t>
  </si>
  <si>
    <t>杭州澎湃电器有限公司</t>
  </si>
  <si>
    <t>家装</t>
  </si>
  <si>
    <t>杭州中博智能电器有限公司</t>
  </si>
  <si>
    <t>浙江都都装饰有限公司</t>
  </si>
  <si>
    <t>桐庐县城南街道正亿家电经营部</t>
  </si>
  <si>
    <t>杭州中瑞工程技术有限公司</t>
  </si>
  <si>
    <t>苏宁易购集团股份有限公司苏宁采购中心</t>
  </si>
  <si>
    <t>杭州华东家电市场铁人电器商行</t>
  </si>
  <si>
    <t>滨江六空8090店</t>
  </si>
  <si>
    <t>萧山第六空间专卖店</t>
  </si>
  <si>
    <t>政采云</t>
  </si>
  <si>
    <t>杭州装家百科电器有限公司</t>
  </si>
  <si>
    <t>西湖区</t>
  </si>
  <si>
    <t>贝壳美家供应链管理（浙江）有限责任公司</t>
  </si>
  <si>
    <t>杭州平野实业有限公司</t>
  </si>
  <si>
    <t>杭州速简优装饰工程有限公司</t>
  </si>
  <si>
    <t>杭州恒大建材超级旗舰店（浙江云顶贸易有限公司）</t>
  </si>
  <si>
    <t>杭州允选科技有限公司</t>
  </si>
  <si>
    <t>北京天坛装饰工程有限责任公司杭州分公司</t>
  </si>
  <si>
    <t>系统门店</t>
  </si>
  <si>
    <t>1-12月</t>
  </si>
  <si>
    <t>长兴百诚天龙电器有限公司</t>
  </si>
  <si>
    <t>长兴县</t>
  </si>
  <si>
    <t>张正芳</t>
  </si>
  <si>
    <t>南浔力恒电器商行</t>
  </si>
  <si>
    <t>南浔区</t>
  </si>
  <si>
    <t>陈中元</t>
  </si>
  <si>
    <t>湖州浙北大厦家电有限公司</t>
  </si>
  <si>
    <t>湖州市区</t>
  </si>
  <si>
    <t>翁昕</t>
  </si>
  <si>
    <t>德清县武康镇佳通制冷设备商行</t>
  </si>
  <si>
    <t>德清县</t>
  </si>
  <si>
    <t>湖州长兴之窗专卖店</t>
  </si>
  <si>
    <t>湖州金蝶零售</t>
  </si>
  <si>
    <t>吴兴新丰豪厨卫热水器商店</t>
  </si>
  <si>
    <t>吴兴区</t>
  </si>
  <si>
    <t>湖州晓宇冷暖设备工程有限公司</t>
  </si>
  <si>
    <t>长兴银海电器有限公司</t>
  </si>
  <si>
    <t>长兴小浙北家电（长兴县浙北家用电器有限公司）</t>
  </si>
  <si>
    <t>湖州东邦商贸有限公司</t>
  </si>
  <si>
    <t>安吉方润家电有限公司</t>
  </si>
  <si>
    <t>安吉县</t>
  </si>
  <si>
    <t>湖州魁联电器有限公司</t>
  </si>
  <si>
    <t>湖州菱通冷暖设备有限公司</t>
  </si>
  <si>
    <t>长兴纵跃机电有限公司</t>
  </si>
  <si>
    <t>湖州浙北网格家电有限公司</t>
  </si>
  <si>
    <t>湖州乐曜贸易有限公司</t>
  </si>
  <si>
    <t>湖州浔海电器销售有限公司</t>
  </si>
  <si>
    <t>区域</t>
  </si>
  <si>
    <t>合同完成率</t>
  </si>
  <si>
    <t>海宁市华联大厦集团有限公司</t>
  </si>
  <si>
    <t>海宁市</t>
  </si>
  <si>
    <t>王军杰</t>
  </si>
  <si>
    <t>海宁市硖石程信节能电器商店</t>
  </si>
  <si>
    <t>嘉兴市戴梦得购物中心有限公司</t>
  </si>
  <si>
    <t>嘉兴市区</t>
  </si>
  <si>
    <t>南湖区</t>
  </si>
  <si>
    <t>吴月芳</t>
  </si>
  <si>
    <t>海宁市零壹家电有限公司</t>
  </si>
  <si>
    <t>平湖市汇达电器商行</t>
  </si>
  <si>
    <t>平湖市</t>
  </si>
  <si>
    <t>胡昊天</t>
  </si>
  <si>
    <t>嘉兴纺工路专卖店</t>
  </si>
  <si>
    <t>桐乡红星美凯龙直营店</t>
  </si>
  <si>
    <t>桐乡市</t>
  </si>
  <si>
    <t>嘉兴建陶市场直营专卖店</t>
  </si>
  <si>
    <t>桐乡凤鸣专卖店</t>
  </si>
  <si>
    <t>嘉善华东建材专卖店</t>
  </si>
  <si>
    <t>嘉善县</t>
  </si>
  <si>
    <t>嘉兴百亿电器有限公司</t>
  </si>
  <si>
    <t>海盐县</t>
  </si>
  <si>
    <t>桐乡市博诚电器有限公司</t>
  </si>
  <si>
    <t>嘉兴市秀洲区王店金桥家电商店</t>
  </si>
  <si>
    <t>秀洲区</t>
  </si>
  <si>
    <t>嘉兴市秀洲区新塍东庆家用电器商店</t>
  </si>
  <si>
    <t>嘉兴金蝶零售</t>
  </si>
  <si>
    <t>嘉善县西塘镇物美家电商行</t>
  </si>
  <si>
    <t>桐乡市三合电器有限公司</t>
  </si>
  <si>
    <t>嘉兴市龙辰暖通工程有限公司</t>
  </si>
  <si>
    <t>嘉兴市良盖电器有限公司</t>
  </si>
  <si>
    <t>海盐县峰达建材店</t>
  </si>
  <si>
    <t>海宁市马桥日兴电器商行</t>
  </si>
  <si>
    <t>桐乡市龙翔大晴天家电经营部</t>
  </si>
  <si>
    <t>湖州浙北大厦家电有限公司（嘉兴）</t>
  </si>
  <si>
    <t>桐乡市崇福路驰电器商行</t>
  </si>
  <si>
    <t>海宁巨工暖通设备有限公司</t>
  </si>
  <si>
    <t>海宁市许村镇小吴家电经营部</t>
  </si>
  <si>
    <t>平湖市汇升暖通建材商行</t>
  </si>
  <si>
    <t>上海大暖机电工程有限公司嘉兴分公司</t>
  </si>
  <si>
    <t>嘉兴爱建暖通工程有限公司</t>
  </si>
  <si>
    <t>浙江铭品装饰工程有限公司嘉兴分公司</t>
  </si>
  <si>
    <t>嘉兴赛威机电设备有限公司</t>
  </si>
  <si>
    <t>嘉兴市汇银电器有限公司</t>
  </si>
  <si>
    <t>圣都家居装饰有限公司海宁分公司</t>
  </si>
  <si>
    <t>梧桐鼎立家用电器商行</t>
  </si>
  <si>
    <t>嘉兴市凯昇暖通工程有限公司</t>
  </si>
  <si>
    <t>桐乡市百宏家电有限公司</t>
  </si>
  <si>
    <t>嘉兴市勇信暖通设备有限公司</t>
  </si>
  <si>
    <t>上海集美楼宇设备有限公司嘉兴分公司</t>
  </si>
  <si>
    <t>嘉兴嘉越电器有限公司</t>
  </si>
  <si>
    <t>嘉兴市尚源商贸有限公司</t>
  </si>
  <si>
    <t>经济技术开发区</t>
  </si>
  <si>
    <t>杭州中博智能电器有限公司（嘉兴）</t>
  </si>
  <si>
    <t>浙江久慧智能工程有限公司</t>
  </si>
  <si>
    <t>海宁市百信家电有限公司</t>
  </si>
  <si>
    <t>嘉兴市秀洲区新塍张建新五金管道经营部</t>
  </si>
  <si>
    <t>桐乡姜山机电工程有限公司</t>
  </si>
  <si>
    <t>海盐县通元军峰建材店</t>
  </si>
  <si>
    <t>海宁市许村镇正鑫电器商行</t>
  </si>
  <si>
    <t>海宁勤锋家电有限公司</t>
  </si>
  <si>
    <t>嘉兴市明锐整装有限公司</t>
  </si>
  <si>
    <t>嘉兴信良装饰有限公司</t>
  </si>
  <si>
    <t>海宁市长安镇联联通讯商店</t>
  </si>
  <si>
    <t>海宁市铭亮贸易有限公司</t>
  </si>
  <si>
    <t>嘉兴爱多暖通科技有限公司</t>
  </si>
  <si>
    <t>海盐县百步镇羽恬电器店</t>
  </si>
  <si>
    <t>海盐县洪波商贸有限公司</t>
  </si>
  <si>
    <t>海宁市长安镇双川电器商行</t>
  </si>
  <si>
    <t>旭阳家电（桐乡）有限公司</t>
  </si>
  <si>
    <t>嘉善永华电器有限公司</t>
  </si>
  <si>
    <t>嘉兴市和家电器有限公司</t>
  </si>
  <si>
    <t>嘉兴市吉耀工程管理有限公司</t>
  </si>
  <si>
    <t>嘉兴市乍浦镇美诚家电有限公司</t>
  </si>
  <si>
    <t>桐乡强鑫电器有限公司</t>
  </si>
  <si>
    <t>嘉兴浙里通电子科技有限公司</t>
  </si>
  <si>
    <t>下沉渠道</t>
  </si>
  <si>
    <t>嘉兴市六通电器有限公司</t>
  </si>
  <si>
    <t>嘉兴市易家商贸有限公司</t>
  </si>
  <si>
    <t>嘉兴金亚装饰工程有限公司</t>
  </si>
  <si>
    <t>桐乡市旭晨家用电器有限公司是</t>
  </si>
  <si>
    <t>嘉兴五星</t>
  </si>
  <si>
    <t>嘉兴星米商贸有限公司</t>
  </si>
  <si>
    <t>下沉渠道-天猫</t>
  </si>
  <si>
    <t>桐乡市建富电器有限公司</t>
  </si>
  <si>
    <t>桐乡市湘溪科技有限公司</t>
  </si>
  <si>
    <t>海盐百商家电城有限公司</t>
  </si>
  <si>
    <t>海盐大桥新区精诚家电商店</t>
  </si>
  <si>
    <t>海盐县星汇家电有公司</t>
  </si>
  <si>
    <t>嘉兴匠品名媛智能家居有限公司</t>
  </si>
  <si>
    <t>嘉兴龙赢机电有限公司</t>
  </si>
  <si>
    <t>系统名称</t>
  </si>
  <si>
    <t>场地费24年</t>
  </si>
  <si>
    <t>场地费25年</t>
  </si>
  <si>
    <t>金华</t>
  </si>
  <si>
    <t>义乌市荣昌家电维修部</t>
  </si>
  <si>
    <t>义乌市</t>
  </si>
  <si>
    <t>林青云</t>
  </si>
  <si>
    <t>衢州</t>
  </si>
  <si>
    <t>浙江普农家电有限公司</t>
  </si>
  <si>
    <t>衢州市区</t>
  </si>
  <si>
    <t>衢州市</t>
  </si>
  <si>
    <t>江雯</t>
  </si>
  <si>
    <t>金华五星</t>
  </si>
  <si>
    <t>金华市区</t>
  </si>
  <si>
    <t>潘杏</t>
  </si>
  <si>
    <t>（新）金华八一南街专卖店</t>
  </si>
  <si>
    <t>婺城区</t>
  </si>
  <si>
    <t>姜卫</t>
  </si>
  <si>
    <t>衢州市柯城汇鑫家用电器商行</t>
  </si>
  <si>
    <t>柯城区</t>
  </si>
  <si>
    <t>东阳市国美电器有限公司</t>
  </si>
  <si>
    <t>东阳市</t>
  </si>
  <si>
    <t>兰溪市福祥家电经营部</t>
  </si>
  <si>
    <t>兰溪市</t>
  </si>
  <si>
    <t>金华龙腾建材市场专卖店</t>
  </si>
  <si>
    <t>兰溪市小严家电经营部</t>
  </si>
  <si>
    <t>金华金蝶零售</t>
  </si>
  <si>
    <t>磐安县洪昌家电商场</t>
  </si>
  <si>
    <t>磐安县</t>
  </si>
  <si>
    <t>江山硕邦家电有限公司</t>
  </si>
  <si>
    <t>江山市</t>
  </si>
  <si>
    <t>义乌艾欧机电设备有限公司</t>
  </si>
  <si>
    <t>东阳市大中商贸有限公司</t>
  </si>
  <si>
    <t>金华市万普电器销售有限公司</t>
  </si>
  <si>
    <t>金东区</t>
  </si>
  <si>
    <t>龙游博美电器有限公司</t>
  </si>
  <si>
    <t>龙游县</t>
  </si>
  <si>
    <t>衢州众冠电器有限公司</t>
  </si>
  <si>
    <t>常山县</t>
  </si>
  <si>
    <t>金华市婺美电器有限公司</t>
  </si>
  <si>
    <t>兰溪市升美电器商行</t>
  </si>
  <si>
    <t>衢州万恒电器有限公司</t>
  </si>
  <si>
    <t>金华市汇诚电器有限公司</t>
  </si>
  <si>
    <t>兰溪市泽胜电器有限公司</t>
  </si>
  <si>
    <t>义乌国创空调设备有限公司</t>
  </si>
  <si>
    <t>永康立格暖通设备有限公司</t>
  </si>
  <si>
    <t>金华一启家电有限公司</t>
  </si>
  <si>
    <t>衢州柯城明怡科技有限公司</t>
  </si>
  <si>
    <t>永康市荣浪家用电器有限公司</t>
  </si>
  <si>
    <t>台州市路桥华林家电有限公司</t>
  </si>
  <si>
    <t>台州市区</t>
  </si>
  <si>
    <t>路桥区</t>
  </si>
  <si>
    <t>潘琼瑶</t>
  </si>
  <si>
    <t>台州市富城电器有限公司</t>
  </si>
  <si>
    <t>耀达集团有限公司</t>
  </si>
  <si>
    <t>临海市</t>
  </si>
  <si>
    <t>何田</t>
  </si>
  <si>
    <t>台州市阳光购物广场有限公司</t>
  </si>
  <si>
    <t>仙居县三峰五交化有限公司</t>
  </si>
  <si>
    <t>仙居县</t>
  </si>
  <si>
    <t>台州黄岩百青电器有限公司</t>
  </si>
  <si>
    <t>黄岩区</t>
  </si>
  <si>
    <t>张斌</t>
  </si>
  <si>
    <t>临海市先锋贸易有限公司</t>
  </si>
  <si>
    <t>浙江国商实业股份有限公司</t>
  </si>
  <si>
    <t>椒江区</t>
  </si>
  <si>
    <t>东海大道专卖店</t>
  </si>
  <si>
    <t>台州洪家红星美凯龙专卖店</t>
  </si>
  <si>
    <t>天台及时雨贸易有限公司</t>
  </si>
  <si>
    <t>天台县</t>
  </si>
  <si>
    <t>台州朗全装饰工程有限公司</t>
  </si>
  <si>
    <t>台州金蝶零售</t>
  </si>
  <si>
    <t>仙居县小锌建材商行</t>
  </si>
  <si>
    <t>浙江丰阁暖通设备工程有限公司</t>
  </si>
  <si>
    <t>台州市展宏空调设备安装有限公司</t>
  </si>
  <si>
    <t>台州惠捷环境设备有限公司</t>
  </si>
  <si>
    <t>台州五星</t>
  </si>
  <si>
    <t>天台县轩懿暖通设备有限公司</t>
  </si>
  <si>
    <t>温岭市新启电器有限公司</t>
  </si>
  <si>
    <t>温岭市</t>
  </si>
  <si>
    <t>临海锦里机电设备工程有限公司</t>
  </si>
  <si>
    <t>临海市勇利电器有限公司</t>
  </si>
  <si>
    <t>台州市路桥景丰家电有限公司</t>
  </si>
  <si>
    <t>玉环家合家电商行</t>
  </si>
  <si>
    <t>玉环市</t>
  </si>
  <si>
    <t>玉环欣美电器销售有限公司</t>
  </si>
  <si>
    <t>台州品诺电器设备有限公司</t>
  </si>
  <si>
    <t>台州市林斌电器有限公司</t>
  </si>
  <si>
    <t>杭州亿桥工程勘察设计有限公司</t>
  </si>
  <si>
    <t>台州可慕环境有限公司</t>
  </si>
  <si>
    <t>三门县</t>
  </si>
  <si>
    <t>台州正方燃气物资有限公司</t>
  </si>
  <si>
    <t>杭州中博智能电器有限公司宁波分公司(</t>
  </si>
  <si>
    <t>台州市来创电器有限公司</t>
  </si>
  <si>
    <t>诸暨鹏程电器有限公司</t>
  </si>
  <si>
    <t>诸暨市</t>
  </si>
  <si>
    <t>朱海燕</t>
  </si>
  <si>
    <t>诸暨万风家电有限公司</t>
  </si>
  <si>
    <t>浙江上百贸易有限公司</t>
  </si>
  <si>
    <t>上虞区</t>
  </si>
  <si>
    <t>徐枫</t>
  </si>
  <si>
    <t>诸暨市雄城数码家电有限公司</t>
  </si>
  <si>
    <t>绍兴大通购物中心有限公司</t>
  </si>
  <si>
    <t>新昌县世纪百诚新苗家电有限公司</t>
  </si>
  <si>
    <t>新昌县</t>
  </si>
  <si>
    <t>绍兴市上虞迪氏电子商务有限公司</t>
  </si>
  <si>
    <t>绍兴五星</t>
  </si>
  <si>
    <t>绍兴市区</t>
  </si>
  <si>
    <t>竹国龙</t>
  </si>
  <si>
    <t>绍兴汇政电器销售有限公司</t>
  </si>
  <si>
    <t>绍兴大通商城股份有限公司</t>
  </si>
  <si>
    <t>绍兴正大建材城专卖店</t>
  </si>
  <si>
    <t>越城区</t>
  </si>
  <si>
    <t>绍兴市柯桥区钱清永达电器商店</t>
  </si>
  <si>
    <t>柯桥区</t>
  </si>
  <si>
    <t>诸暨市艾欧电器有限公司</t>
  </si>
  <si>
    <t>绍兴金蝶零售</t>
  </si>
  <si>
    <t>柯桥红星美凯龙专卖店</t>
  </si>
  <si>
    <t>绍兴徽舜贸易有限公司</t>
  </si>
  <si>
    <t>绍兴市柯桥区安昌琪美电器商店</t>
  </si>
  <si>
    <t>绍兴市柯桥区柯桥优良家电有限公司</t>
  </si>
  <si>
    <t>绍兴市柯桥区杨汛桥振兴家电商店</t>
  </si>
  <si>
    <t>绍兴市柯桥区众利家电有限公司</t>
  </si>
  <si>
    <t>绍兴市袍江华祥家电商店</t>
  </si>
  <si>
    <t>嵊州市</t>
  </si>
  <si>
    <t>绍兴市山水电器有限公司</t>
  </si>
  <si>
    <t>绍兴市上虞区东关街道贺记电器经营部</t>
  </si>
  <si>
    <t>绍兴市上虞区军富家电经营部</t>
  </si>
  <si>
    <t>绍兴市上虞润泽贸易有限公司</t>
  </si>
  <si>
    <t>绍兴海速贸易有限公司</t>
  </si>
  <si>
    <t>绍兴上虞元宸电器有限公司</t>
  </si>
  <si>
    <t>绍兴上虞易诚商贸有限公司</t>
  </si>
  <si>
    <t>绍兴市上虞区百官秀氏家电维修中心</t>
  </si>
  <si>
    <t>绍兴源源家电有限公司</t>
  </si>
  <si>
    <t>新昌县心镁家电有限公司</t>
  </si>
  <si>
    <t>绍兴市柯桥区齐贤韩吉电器商行</t>
  </si>
  <si>
    <t>嵊州市怡口家电商行</t>
  </si>
  <si>
    <t>绍兴市柯桥区兰亭建伟电器商行</t>
  </si>
  <si>
    <t>浙江晋安家电有限公司（嵊州今日）</t>
  </si>
  <si>
    <t>绍兴嵊州军伟家电有限公司</t>
  </si>
  <si>
    <t>嵊州市浙东空调电器工程有限公司</t>
  </si>
  <si>
    <t>嵊州市美都家电有限公司</t>
  </si>
  <si>
    <t>浙江绍兴市蓝斯智慧家居科技有限公司</t>
  </si>
  <si>
    <t>嵊州市章军家用电器经营部</t>
  </si>
  <si>
    <t>绍兴市上虞区章镇虞南家电商行</t>
  </si>
  <si>
    <t>绍兴市舒康电器有限公司</t>
  </si>
  <si>
    <t>浙江宏轩暖通工程有限公司</t>
  </si>
  <si>
    <t>绍兴市越城区晨飞电器商行</t>
  </si>
  <si>
    <t>绍兴市柯桥区老胡电器有限公司</t>
  </si>
  <si>
    <t>绍兴易诚达商贸有限公司</t>
  </si>
  <si>
    <t>绍兴市柯桥区杨汛桥波哥电器商店</t>
  </si>
  <si>
    <t>绍兴市天弘电器有限公司</t>
  </si>
  <si>
    <t>绍兴市柯桥区阿炜电器有限公司</t>
  </si>
  <si>
    <t>绍兴市滨海新城阿莲家电商行</t>
  </si>
  <si>
    <t>绍兴澜鑫家电有限公司</t>
  </si>
  <si>
    <t>绍兴艾欧中嘉环境设备有限公司</t>
  </si>
  <si>
    <t>绍兴鼎旺电器有限公司</t>
  </si>
  <si>
    <t>绍兴鼎优品电器有限公司</t>
  </si>
  <si>
    <t>绍兴柯桥聪芮家电有限公司</t>
  </si>
  <si>
    <t>绍兴卓旭电器有限公司</t>
  </si>
  <si>
    <t>诸暨市嘉德电器有限公司</t>
  </si>
  <si>
    <t>温州</t>
  </si>
  <si>
    <t>瑞安市李祥电器有限公司</t>
  </si>
  <si>
    <t>瑞安市</t>
  </si>
  <si>
    <t>李宾</t>
  </si>
  <si>
    <t>温州电星商贸有限公司</t>
  </si>
  <si>
    <t>乐清市声达家电有限公司</t>
  </si>
  <si>
    <t>乐清市</t>
  </si>
  <si>
    <t>滕炜昌</t>
  </si>
  <si>
    <t>浙江汇丰家电有限公司</t>
  </si>
  <si>
    <t>乐清市安力家电超市有限公司</t>
  </si>
  <si>
    <t>乐清市翁垟华特家电商行</t>
  </si>
  <si>
    <t>乐清柳市瑞华家电超市</t>
  </si>
  <si>
    <t>浙江文星经贸有限公司</t>
  </si>
  <si>
    <t>温州五星</t>
  </si>
  <si>
    <t>温州市区</t>
  </si>
  <si>
    <t>浙江宏美经贸有限公司</t>
  </si>
  <si>
    <t>永嘉县信立电器销售有限公司</t>
  </si>
  <si>
    <t>永嘉县</t>
  </si>
  <si>
    <t>温州新族商贸有限公司</t>
  </si>
  <si>
    <t>平阳浩和家电经营部</t>
  </si>
  <si>
    <t>平阳县</t>
  </si>
  <si>
    <t>章华泉</t>
  </si>
  <si>
    <t>温州永中京顺路专卖店</t>
  </si>
  <si>
    <t>龙湾区</t>
  </si>
  <si>
    <t>乐清旭阳路专卖店</t>
  </si>
  <si>
    <t>永嘉县桥头银河家电有限公司</t>
  </si>
  <si>
    <t>乐清市乐健家电销售中心</t>
  </si>
  <si>
    <t>温州瑞安陈虬路专卖店</t>
  </si>
  <si>
    <t>苍南县龙港镇德快家用电器经营部</t>
  </si>
  <si>
    <t>龙港市</t>
  </si>
  <si>
    <t>温州市瓯海郭溪尚如小家电店</t>
  </si>
  <si>
    <t>瓯海区</t>
  </si>
  <si>
    <t>温州乐清红星美凯龙专卖店</t>
  </si>
  <si>
    <t>温州市速修电子商务有限公司</t>
  </si>
  <si>
    <t>鹿城区</t>
  </si>
  <si>
    <t>温州红星国际家居专卖店</t>
  </si>
  <si>
    <t>温州金蝶零售</t>
  </si>
  <si>
    <t>邱耀辉</t>
  </si>
  <si>
    <t>温州龙港喜盈门加盟店</t>
  </si>
  <si>
    <t>丽水</t>
  </si>
  <si>
    <t>丽水市联诚家电有限公司</t>
  </si>
  <si>
    <t>丽水市区</t>
  </si>
  <si>
    <t>莲都区</t>
  </si>
  <si>
    <t>游健</t>
  </si>
  <si>
    <t>松华控股有限公司丽水分公司</t>
  </si>
  <si>
    <t>乐清零散客户</t>
  </si>
  <si>
    <t>丽水零散客户</t>
  </si>
  <si>
    <t>柳市专卖店</t>
  </si>
  <si>
    <t>龙港零散客户</t>
  </si>
  <si>
    <t>温州苍南灵溪居然之家专卖店</t>
  </si>
  <si>
    <t>苍南县</t>
  </si>
  <si>
    <t>温州金拱门电器有限公司</t>
  </si>
  <si>
    <t>温州瑞安零散客户</t>
  </si>
  <si>
    <t>温州市鹿城区文静家电商行</t>
  </si>
  <si>
    <t>永嘉瓯北双塔路店</t>
  </si>
  <si>
    <t>灵溪零散客户</t>
  </si>
  <si>
    <t>泰顺县齐日景水暖商行</t>
  </si>
  <si>
    <t>泰顺县</t>
  </si>
  <si>
    <t>浙江金蜜锋暖通工程设备有限公司</t>
  </si>
  <si>
    <t>青田县红静家电总汇有限公司</t>
  </si>
  <si>
    <t>青田县</t>
  </si>
  <si>
    <t>温州虎特家电销售有限公司</t>
  </si>
  <si>
    <t>苍南县龙港扬航家用电器经营部</t>
  </si>
  <si>
    <t>遂昌灵匠暖通商行</t>
  </si>
  <si>
    <t>遂昌县</t>
  </si>
  <si>
    <t>乐清市七里港新达家电销售中心</t>
  </si>
  <si>
    <t>龙泉市建全家电有限公司</t>
  </si>
  <si>
    <t>龙泉市</t>
  </si>
  <si>
    <t>乐清白象店</t>
  </si>
  <si>
    <t>浙江润昌节能科技有限公司</t>
  </si>
  <si>
    <t>沪川集团乐清家电有限公司</t>
  </si>
  <si>
    <t>温州市瓯海娄桥军发家电经营部</t>
  </si>
  <si>
    <t>景宁新鑫家电商行</t>
  </si>
  <si>
    <t>景宁畲族自治县</t>
  </si>
  <si>
    <t>丽水市莲都区意友电器经营部</t>
  </si>
  <si>
    <t>龙泉市凯哥机电设备经营部</t>
  </si>
  <si>
    <t>瑞安市烽烟家电商行</t>
  </si>
  <si>
    <t>松阳县双龙家用电器经营部</t>
  </si>
  <si>
    <t>松阳县</t>
  </si>
  <si>
    <t>温州腾享贸易有限公司</t>
  </si>
  <si>
    <t>温州周林楼宇设备有限公司</t>
  </si>
  <si>
    <t>丽水市松泰电器有限公司</t>
  </si>
  <si>
    <t>温州智信经贸有限公司</t>
  </si>
  <si>
    <t>温州百弘暖通工程设备有限公司</t>
  </si>
  <si>
    <t>永嘉县明财家电有限公司</t>
  </si>
  <si>
    <t>永嘉县音像家电公司</t>
  </si>
  <si>
    <t>苍南鑫睿电子商务商行</t>
  </si>
  <si>
    <t>乐清白象方太专卖店</t>
  </si>
  <si>
    <t>平阳居然之家专卖店</t>
  </si>
  <si>
    <t>乐清金茂广场店</t>
  </si>
  <si>
    <t>乐清市城东余进家电商行</t>
  </si>
  <si>
    <t>温州瑞安罗阳大道专卖店</t>
  </si>
  <si>
    <t>瑞安市瑞荣家电服务部</t>
  </si>
  <si>
    <t>龙泉市金嘟家电有限责任公司</t>
  </si>
  <si>
    <t>龙泉松秦家电有限公司</t>
  </si>
  <si>
    <t>瑞安市百好电器有限公司</t>
  </si>
  <si>
    <t>温州启城电器有限公司</t>
  </si>
  <si>
    <t>青田油竹庆丰家电店</t>
  </si>
  <si>
    <t>平阳鳌江居然之家专卖店</t>
  </si>
  <si>
    <t>温州余海家电贸易有限公司</t>
  </si>
  <si>
    <t>云和县金景电器有限公司</t>
  </si>
  <si>
    <t>云和县</t>
  </si>
  <si>
    <t>丽水市有谊电器销售有限公司</t>
  </si>
  <si>
    <t>遂昌中振商贸有限公司</t>
  </si>
  <si>
    <t>松阳县玮莱暖通有限公司</t>
  </si>
  <si>
    <t>温州瑞辉暖通设备工程有限公司</t>
  </si>
  <si>
    <t>去年</t>
  </si>
  <si>
    <t>自营以旧换新特别账户</t>
  </si>
  <si>
    <t xml:space="preserve"> 二轻专卖店以旧换新（中瑞）</t>
  </si>
  <si>
    <t>1-10月地区到区域回款及同比</t>
  </si>
  <si>
    <t>24年人口数</t>
  </si>
  <si>
    <t>25年</t>
  </si>
  <si>
    <t>环比</t>
  </si>
  <si>
    <t>Q1</t>
  </si>
  <si>
    <t>Q2</t>
  </si>
  <si>
    <t>24年</t>
  </si>
  <si>
    <t>余杭区</t>
  </si>
  <si>
    <t>浦江县</t>
  </si>
  <si>
    <t>武义县</t>
  </si>
  <si>
    <t>永康市</t>
  </si>
  <si>
    <t>开化县</t>
  </si>
  <si>
    <t>文成县</t>
  </si>
  <si>
    <t>缙云县</t>
  </si>
  <si>
    <t>景宁县</t>
  </si>
  <si>
    <t>庆元县</t>
  </si>
  <si>
    <t>总计</t>
  </si>
  <si>
    <t>客户所属区域</t>
  </si>
  <si>
    <t>往来单位</t>
  </si>
  <si>
    <t>求和项:表头-应收金额</t>
  </si>
  <si>
    <t>史密斯官方商城</t>
  </si>
  <si>
    <t xml:space="preserve"> 二轻专卖店以旧换新</t>
  </si>
  <si>
    <t>萧山汇德隆家电超市</t>
  </si>
  <si>
    <t>海宁程信电器有限公司</t>
  </si>
  <si>
    <t>嘉兴汇越商贸有限公司</t>
  </si>
  <si>
    <t xml:space="preserve">嘉兴市易家商贸有限公司  </t>
  </si>
  <si>
    <t>:衢州市柯城汇鑫家用电器商行以旧换新</t>
  </si>
  <si>
    <t>义乌颖亿贸易有限公司</t>
  </si>
  <si>
    <t>京东五星电器集团浙江电器有限公司</t>
  </si>
  <si>
    <t>嵊州市卓然家电有限公司</t>
  </si>
  <si>
    <t>浙江上百集团有限公司（万和城）</t>
  </si>
  <si>
    <t>黄岩百货有限公司</t>
  </si>
  <si>
    <t>京东五星电器集团宁波电器有限公司（台州）</t>
  </si>
  <si>
    <t>以旧换新</t>
  </si>
  <si>
    <t>(空白)</t>
  </si>
  <si>
    <t>艾欧史密斯（中国）水系统有限公司</t>
  </si>
  <si>
    <t>杭州瑞艾工程技术服务有限公司</t>
  </si>
  <si>
    <t>杭州中冠电器有限公司</t>
  </si>
  <si>
    <t>嘉兴艾通电器有限公司</t>
  </si>
  <si>
    <t>绍兴晨涛电器有限公司</t>
  </si>
  <si>
    <t>台州中嘉电器有限公司</t>
  </si>
  <si>
    <t>温州吉远电器有限公司</t>
  </si>
  <si>
    <t>无人认领</t>
  </si>
  <si>
    <t>求和项:2024年10月</t>
  </si>
  <si>
    <t>求和项:2025年10月</t>
  </si>
  <si>
    <t>求和项:2024年1-10月</t>
  </si>
  <si>
    <t>求和项:2025年1-10月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</si>
</sst>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%"/>
    <numFmt numFmtId="178" formatCode="0.00_ "/>
    <numFmt numFmtId="179" formatCode="0.00_);[Red]\(0.00\)"/>
    <numFmt numFmtId="180" formatCode="0_ "/>
  </numFmts>
  <fonts count="5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9"/>
      <color indexed="8"/>
      <name val="宋体"/>
      <charset val="134"/>
      <scheme val="minor"/>
    </font>
    <font>
      <sz val="9"/>
      <color rgb="FF000000"/>
      <name val="宋体"/>
      <charset val="134"/>
    </font>
    <font>
      <sz val="9"/>
      <color indexed="8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1"/>
      <color indexed="8"/>
      <name val="宋体"/>
      <charset val="134"/>
      <scheme val="minor"/>
    </font>
    <font>
      <sz val="10"/>
      <color rgb="FF333333"/>
      <name val="宋体"/>
      <charset val="134"/>
    </font>
    <font>
      <sz val="9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0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8"/>
      <name val="宋体"/>
      <charset val="134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7" fillId="9" borderId="20" applyNumberFormat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10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5" fillId="0" borderId="0"/>
    <xf numFmtId="0" fontId="0" fillId="0" borderId="0"/>
    <xf numFmtId="9" fontId="8" fillId="0" borderId="0" applyFont="0" applyFill="0" applyBorder="0" applyAlignment="0" applyProtection="0"/>
    <xf numFmtId="0" fontId="47" fillId="0" borderId="0"/>
    <xf numFmtId="0" fontId="6" fillId="0" borderId="0">
      <alignment vertical="top"/>
      <protection locked="0"/>
    </xf>
    <xf numFmtId="0" fontId="8" fillId="0" borderId="0"/>
    <xf numFmtId="0" fontId="48" fillId="0" borderId="0">
      <alignment vertical="center"/>
    </xf>
    <xf numFmtId="0" fontId="8" fillId="0" borderId="0"/>
    <xf numFmtId="0" fontId="49" fillId="0" borderId="0"/>
    <xf numFmtId="0" fontId="8" fillId="0" borderId="0"/>
    <xf numFmtId="0" fontId="8" fillId="0" borderId="0"/>
    <xf numFmtId="0" fontId="2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</cellStyleXfs>
  <cellXfs count="26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3" fillId="3" borderId="2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/>
    </xf>
    <xf numFmtId="177" fontId="3" fillId="0" borderId="2" xfId="3" applyNumberFormat="1" applyFont="1" applyBorder="1" applyAlignment="1">
      <alignment horizontal="center" vertical="center"/>
    </xf>
    <xf numFmtId="176" fontId="3" fillId="0" borderId="2" xfId="3" applyNumberFormat="1" applyFont="1" applyFill="1" applyBorder="1" applyAlignment="1">
      <alignment horizontal="center" vertical="center"/>
    </xf>
    <xf numFmtId="177" fontId="3" fillId="4" borderId="2" xfId="3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177" fontId="3" fillId="3" borderId="2" xfId="3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5" fillId="0" borderId="2" xfId="58" applyNumberFormat="1" applyFont="1" applyBorder="1" applyAlignment="1">
      <alignment horizontal="center" vertical="center"/>
    </xf>
    <xf numFmtId="0" fontId="5" fillId="0" borderId="2" xfId="66" applyNumberFormat="1" applyFont="1" applyBorder="1" applyAlignment="1">
      <alignment horizontal="center"/>
    </xf>
    <xf numFmtId="0" fontId="5" fillId="0" borderId="2" xfId="66" applyNumberFormat="1" applyFont="1" applyBorder="1" applyAlignment="1">
      <alignment horizontal="center" wrapText="1"/>
    </xf>
    <xf numFmtId="178" fontId="5" fillId="0" borderId="3" xfId="58" applyNumberFormat="1" applyFont="1" applyBorder="1" applyAlignment="1">
      <alignment horizontal="center" vertical="center"/>
    </xf>
    <xf numFmtId="178" fontId="5" fillId="0" borderId="4" xfId="58" applyNumberFormat="1" applyFont="1" applyBorder="1" applyAlignment="1">
      <alignment horizontal="center" vertical="center"/>
    </xf>
    <xf numFmtId="178" fontId="5" fillId="0" borderId="2" xfId="58" applyNumberFormat="1" applyFont="1" applyBorder="1" applyAlignment="1">
      <alignment vertical="center"/>
    </xf>
    <xf numFmtId="178" fontId="6" fillId="0" borderId="0" xfId="66" applyNumberFormat="1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65" applyFont="1" applyBorder="1" applyAlignment="1">
      <alignment horizontal="center" vertical="center" shrinkToFit="1"/>
    </xf>
    <xf numFmtId="178" fontId="4" fillId="0" borderId="2" xfId="66" applyNumberFormat="1" applyFont="1" applyBorder="1" applyAlignment="1">
      <alignment horizontal="center" vertical="center"/>
    </xf>
    <xf numFmtId="177" fontId="4" fillId="0" borderId="2" xfId="3" applyNumberFormat="1" applyFont="1" applyBorder="1" applyAlignment="1">
      <alignment horizontal="center" vertical="center"/>
    </xf>
    <xf numFmtId="178" fontId="7" fillId="0" borderId="2" xfId="66" applyNumberFormat="1" applyFont="1" applyBorder="1" applyAlignment="1">
      <alignment horizontal="center" vertical="center"/>
    </xf>
    <xf numFmtId="179" fontId="7" fillId="0" borderId="2" xfId="51" applyNumberFormat="1" applyFont="1" applyBorder="1" applyAlignment="1">
      <alignment horizontal="center" vertical="center"/>
    </xf>
    <xf numFmtId="0" fontId="0" fillId="0" borderId="2" xfId="0" applyFill="1" applyBorder="1">
      <alignment vertical="center"/>
    </xf>
    <xf numFmtId="178" fontId="5" fillId="0" borderId="2" xfId="51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2" xfId="0" applyFont="1" applyBorder="1">
      <alignment vertical="center"/>
    </xf>
    <xf numFmtId="178" fontId="7" fillId="0" borderId="0" xfId="66" applyNumberFormat="1" applyFont="1" applyAlignment="1">
      <alignment horizontal="center" vertical="center"/>
    </xf>
    <xf numFmtId="0" fontId="8" fillId="0" borderId="0" xfId="66"/>
    <xf numFmtId="0" fontId="8" fillId="0" borderId="0" xfId="66" applyAlignment="1">
      <alignment horizontal="center"/>
    </xf>
    <xf numFmtId="0" fontId="8" fillId="0" borderId="0" xfId="66" applyFill="1"/>
    <xf numFmtId="0" fontId="9" fillId="0" borderId="3" xfId="66" applyFont="1" applyBorder="1"/>
    <xf numFmtId="179" fontId="5" fillId="0" borderId="2" xfId="51" applyNumberFormat="1" applyFont="1" applyBorder="1" applyAlignment="1">
      <alignment horizontal="center" vertical="center"/>
    </xf>
    <xf numFmtId="177" fontId="5" fillId="0" borderId="2" xfId="3" applyNumberFormat="1" applyFont="1" applyBorder="1" applyAlignment="1">
      <alignment horizontal="center" vertical="center"/>
    </xf>
    <xf numFmtId="178" fontId="5" fillId="0" borderId="2" xfId="51" applyNumberFormat="1" applyFont="1" applyBorder="1" applyAlignment="1">
      <alignment horizontal="center" vertical="center"/>
    </xf>
    <xf numFmtId="178" fontId="5" fillId="0" borderId="4" xfId="51" applyNumberFormat="1" applyFont="1" applyFill="1" applyBorder="1" applyAlignment="1">
      <alignment horizontal="center"/>
    </xf>
    <xf numFmtId="179" fontId="5" fillId="0" borderId="2" xfId="51" applyNumberFormat="1" applyFont="1" applyBorder="1" applyAlignment="1">
      <alignment horizontal="center"/>
    </xf>
    <xf numFmtId="0" fontId="6" fillId="0" borderId="0" xfId="66" applyFont="1"/>
    <xf numFmtId="0" fontId="8" fillId="0" borderId="2" xfId="66" applyBorder="1" applyAlignment="1">
      <alignment horizontal="center"/>
    </xf>
    <xf numFmtId="0" fontId="8" fillId="0" borderId="2" xfId="66" applyFill="1" applyBorder="1" applyAlignment="1">
      <alignment horizontal="center"/>
    </xf>
    <xf numFmtId="0" fontId="9" fillId="0" borderId="0" xfId="66" applyFont="1" applyAlignment="1">
      <alignment horizontal="center"/>
    </xf>
    <xf numFmtId="0" fontId="5" fillId="0" borderId="0" xfId="66" applyFont="1"/>
    <xf numFmtId="0" fontId="5" fillId="0" borderId="2" xfId="66" applyFont="1" applyBorder="1" applyAlignment="1">
      <alignment horizontal="center"/>
    </xf>
    <xf numFmtId="178" fontId="6" fillId="0" borderId="0" xfId="58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2" xfId="0" applyFont="1" applyBorder="1">
      <alignment vertical="center"/>
    </xf>
    <xf numFmtId="0" fontId="6" fillId="0" borderId="2" xfId="66" applyFont="1" applyBorder="1" applyAlignment="1">
      <alignment horizontal="center"/>
    </xf>
    <xf numFmtId="0" fontId="6" fillId="0" borderId="2" xfId="66" applyFont="1" applyFill="1" applyBorder="1" applyAlignment="1">
      <alignment horizontal="center"/>
    </xf>
    <xf numFmtId="0" fontId="6" fillId="0" borderId="5" xfId="66" applyFont="1" applyBorder="1" applyAlignment="1">
      <alignment horizontal="center"/>
    </xf>
    <xf numFmtId="0" fontId="6" fillId="0" borderId="6" xfId="66" applyFont="1" applyFill="1" applyBorder="1" applyAlignment="1">
      <alignment horizontal="center" vertical="center"/>
    </xf>
    <xf numFmtId="0" fontId="6" fillId="0" borderId="4" xfId="66" applyFont="1" applyFill="1" applyBorder="1" applyAlignment="1">
      <alignment horizontal="center" vertical="center"/>
    </xf>
    <xf numFmtId="0" fontId="6" fillId="0" borderId="7" xfId="66" applyFont="1" applyFill="1" applyBorder="1" applyAlignment="1">
      <alignment horizontal="center" vertical="center"/>
    </xf>
    <xf numFmtId="0" fontId="6" fillId="0" borderId="2" xfId="66" applyNumberFormat="1" applyFont="1" applyBorder="1" applyAlignment="1">
      <alignment horizontal="center"/>
    </xf>
    <xf numFmtId="0" fontId="6" fillId="0" borderId="2" xfId="66" applyNumberFormat="1" applyFont="1" applyBorder="1" applyAlignment="1">
      <alignment horizontal="center" wrapText="1"/>
    </xf>
    <xf numFmtId="0" fontId="5" fillId="0" borderId="3" xfId="66" applyNumberFormat="1" applyFont="1" applyBorder="1" applyAlignment="1">
      <alignment horizontal="center" wrapText="1"/>
    </xf>
    <xf numFmtId="0" fontId="5" fillId="0" borderId="6" xfId="66" applyNumberFormat="1" applyFont="1" applyFill="1" applyBorder="1" applyAlignment="1">
      <alignment horizontal="center" vertical="center"/>
    </xf>
    <xf numFmtId="0" fontId="5" fillId="0" borderId="4" xfId="66" applyNumberFormat="1" applyFont="1" applyFill="1" applyBorder="1" applyAlignment="1">
      <alignment horizontal="center" vertical="center"/>
    </xf>
    <xf numFmtId="0" fontId="6" fillId="0" borderId="2" xfId="66" applyFont="1" applyBorder="1" applyAlignment="1">
      <alignment horizontal="center" vertical="center"/>
    </xf>
    <xf numFmtId="0" fontId="6" fillId="0" borderId="7" xfId="66" applyFont="1" applyBorder="1" applyAlignment="1">
      <alignment horizontal="center" vertical="center"/>
    </xf>
    <xf numFmtId="0" fontId="6" fillId="0" borderId="8" xfId="66" applyFont="1" applyBorder="1" applyAlignment="1">
      <alignment horizontal="center"/>
    </xf>
    <xf numFmtId="0" fontId="6" fillId="0" borderId="2" xfId="66" applyFont="1" applyFill="1" applyBorder="1" applyAlignment="1">
      <alignment horizontal="center" vertical="center"/>
    </xf>
    <xf numFmtId="0" fontId="6" fillId="0" borderId="9" xfId="66" applyFont="1" applyFill="1" applyBorder="1" applyAlignment="1">
      <alignment horizontal="center" vertical="center"/>
    </xf>
    <xf numFmtId="0" fontId="6" fillId="0" borderId="2" xfId="65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6" fillId="0" borderId="10" xfId="66" applyFont="1" applyBorder="1" applyAlignment="1">
      <alignment horizontal="center" vertical="center"/>
    </xf>
    <xf numFmtId="0" fontId="6" fillId="0" borderId="2" xfId="66" applyFont="1" applyBorder="1" applyAlignment="1">
      <alignment horizontal="left"/>
    </xf>
    <xf numFmtId="0" fontId="10" fillId="0" borderId="2" xfId="0" applyFont="1" applyFill="1" applyBorder="1" applyAlignment="1">
      <alignment horizontal="center" vertical="center"/>
    </xf>
    <xf numFmtId="177" fontId="6" fillId="0" borderId="4" xfId="3" applyNumberFormat="1" applyFont="1" applyBorder="1" applyAlignment="1">
      <alignment horizontal="center" vertical="center"/>
    </xf>
    <xf numFmtId="178" fontId="6" fillId="0" borderId="2" xfId="51" applyNumberFormat="1" applyFont="1" applyBorder="1" applyAlignment="1">
      <alignment horizontal="center" vertical="center"/>
    </xf>
    <xf numFmtId="178" fontId="6" fillId="0" borderId="2" xfId="5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177" fontId="7" fillId="0" borderId="2" xfId="3" applyNumberFormat="1" applyFont="1" applyBorder="1" applyAlignment="1">
      <alignment horizontal="center" vertical="center"/>
    </xf>
    <xf numFmtId="0" fontId="11" fillId="0" borderId="2" xfId="66" applyFont="1" applyBorder="1" applyAlignment="1">
      <alignment horizontal="left"/>
    </xf>
    <xf numFmtId="0" fontId="12" fillId="5" borderId="2" xfId="56" applyFont="1" applyFill="1" applyBorder="1" applyAlignment="1">
      <alignment horizontal="left" vertical="center" wrapText="1"/>
    </xf>
    <xf numFmtId="0" fontId="12" fillId="0" borderId="2" xfId="54" applyFont="1" applyBorder="1" applyAlignment="1">
      <alignment horizontal="left" vertical="center" wrapText="1"/>
    </xf>
    <xf numFmtId="0" fontId="6" fillId="0" borderId="2" xfId="66" applyFont="1" applyBorder="1" applyAlignment="1">
      <alignment horizontal="left" vertical="center"/>
    </xf>
    <xf numFmtId="0" fontId="12" fillId="0" borderId="2" xfId="54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wrapText="1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66" applyFont="1" applyFill="1" applyBorder="1" applyAlignment="1">
      <alignment horizontal="center" vertical="center"/>
    </xf>
    <xf numFmtId="0" fontId="5" fillId="0" borderId="2" xfId="66" applyFont="1" applyFill="1" applyBorder="1" applyAlignment="1">
      <alignment horizontal="left" vertical="center"/>
    </xf>
    <xf numFmtId="0" fontId="5" fillId="0" borderId="2" xfId="66" applyFont="1" applyFill="1" applyBorder="1" applyAlignment="1">
      <alignment horizontal="center" vertical="center" wrapText="1"/>
    </xf>
    <xf numFmtId="0" fontId="5" fillId="0" borderId="5" xfId="66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0" borderId="8" xfId="66" applyFont="1" applyFill="1" applyBorder="1" applyAlignment="1">
      <alignment horizontal="center" vertical="center" wrapText="1"/>
    </xf>
    <xf numFmtId="0" fontId="5" fillId="0" borderId="2" xfId="65" applyFont="1" applyFill="1" applyBorder="1" applyAlignment="1">
      <alignment horizontal="center" vertical="center"/>
    </xf>
    <xf numFmtId="0" fontId="5" fillId="0" borderId="2" xfId="66" applyFont="1" applyFill="1" applyBorder="1" applyAlignment="1">
      <alignment horizontal="left"/>
    </xf>
    <xf numFmtId="0" fontId="5" fillId="0" borderId="2" xfId="66" applyFont="1" applyFill="1" applyBorder="1" applyAlignment="1">
      <alignment horizontal="center"/>
    </xf>
    <xf numFmtId="2" fontId="5" fillId="0" borderId="2" xfId="65" applyNumberFormat="1" applyFont="1" applyFill="1" applyBorder="1" applyAlignment="1">
      <alignment horizontal="center" vertical="center"/>
    </xf>
    <xf numFmtId="177" fontId="5" fillId="0" borderId="4" xfId="3" applyNumberFormat="1" applyFont="1" applyBorder="1" applyAlignment="1">
      <alignment horizontal="center" vertical="center"/>
    </xf>
    <xf numFmtId="177" fontId="4" fillId="0" borderId="2" xfId="3" applyNumberFormat="1" applyFont="1" applyFill="1" applyBorder="1" applyAlignment="1">
      <alignment horizontal="center" vertical="center"/>
    </xf>
    <xf numFmtId="0" fontId="5" fillId="0" borderId="2" xfId="66" applyFont="1" applyFill="1" applyBorder="1" applyAlignment="1">
      <alignment horizontal="left" wrapText="1"/>
    </xf>
    <xf numFmtId="0" fontId="5" fillId="6" borderId="2" xfId="66" applyFont="1" applyFill="1" applyBorder="1" applyAlignment="1">
      <alignment horizontal="left"/>
    </xf>
    <xf numFmtId="0" fontId="13" fillId="0" borderId="2" xfId="65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center" vertical="center"/>
    </xf>
    <xf numFmtId="0" fontId="15" fillId="0" borderId="2" xfId="66" applyFont="1" applyFill="1" applyBorder="1" applyAlignment="1">
      <alignment horizontal="center"/>
    </xf>
    <xf numFmtId="180" fontId="4" fillId="0" borderId="2" xfId="0" applyNumberFormat="1" applyFont="1" applyBorder="1" applyAlignment="1">
      <alignment horizontal="center" vertical="center"/>
    </xf>
    <xf numFmtId="2" fontId="5" fillId="0" borderId="2" xfId="66" applyNumberFormat="1" applyFont="1" applyFill="1" applyBorder="1" applyAlignment="1">
      <alignment horizontal="center"/>
    </xf>
    <xf numFmtId="0" fontId="5" fillId="0" borderId="0" xfId="66" applyFont="1" applyFill="1"/>
    <xf numFmtId="0" fontId="5" fillId="0" borderId="0" xfId="66" applyFont="1" applyFill="1" applyAlignment="1">
      <alignment horizontal="left"/>
    </xf>
    <xf numFmtId="0" fontId="5" fillId="0" borderId="0" xfId="66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5" fillId="0" borderId="4" xfId="66" applyFont="1" applyBorder="1" applyAlignment="1">
      <alignment horizontal="center" vertical="center"/>
    </xf>
    <xf numFmtId="0" fontId="5" fillId="0" borderId="7" xfId="66" applyFont="1" applyFill="1" applyBorder="1" applyAlignment="1">
      <alignment horizontal="center" vertical="center"/>
    </xf>
    <xf numFmtId="0" fontId="5" fillId="0" borderId="2" xfId="66" applyFont="1" applyFill="1" applyBorder="1" applyAlignment="1">
      <alignment horizontal="center" wrapText="1"/>
    </xf>
    <xf numFmtId="0" fontId="5" fillId="0" borderId="7" xfId="66" applyFont="1" applyFill="1" applyBorder="1" applyAlignment="1">
      <alignment horizontal="center" wrapText="1"/>
    </xf>
    <xf numFmtId="0" fontId="5" fillId="0" borderId="5" xfId="66" applyFont="1" applyFill="1" applyBorder="1" applyAlignment="1">
      <alignment horizontal="center" wrapText="1"/>
    </xf>
    <xf numFmtId="0" fontId="5" fillId="0" borderId="2" xfId="66" applyFont="1" applyBorder="1" applyAlignment="1">
      <alignment horizontal="center" vertical="center"/>
    </xf>
    <xf numFmtId="0" fontId="5" fillId="0" borderId="9" xfId="66" applyFont="1" applyFill="1" applyBorder="1" applyAlignment="1">
      <alignment horizontal="center" vertical="center"/>
    </xf>
    <xf numFmtId="0" fontId="5" fillId="0" borderId="9" xfId="66" applyFont="1" applyFill="1" applyBorder="1" applyAlignment="1">
      <alignment horizontal="center" wrapText="1"/>
    </xf>
    <xf numFmtId="0" fontId="5" fillId="0" borderId="11" xfId="66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6" borderId="2" xfId="66" applyFont="1" applyFill="1" applyBorder="1" applyAlignment="1">
      <alignment horizontal="left" vertical="center"/>
    </xf>
    <xf numFmtId="0" fontId="16" fillId="0" borderId="2" xfId="54" applyFont="1" applyFill="1" applyBorder="1" applyAlignment="1">
      <alignment horizontal="left" vertical="center" wrapText="1"/>
    </xf>
    <xf numFmtId="179" fontId="6" fillId="0" borderId="2" xfId="51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9" fontId="5" fillId="0" borderId="2" xfId="66" applyNumberFormat="1" applyFont="1" applyBorder="1" applyAlignment="1">
      <alignment horizontal="center"/>
    </xf>
    <xf numFmtId="179" fontId="5" fillId="0" borderId="2" xfId="66" applyNumberFormat="1" applyFont="1" applyBorder="1" applyAlignment="1">
      <alignment horizontal="center" vertical="center"/>
    </xf>
    <xf numFmtId="0" fontId="17" fillId="0" borderId="2" xfId="66" applyFont="1" applyBorder="1" applyAlignment="1">
      <alignment horizontal="center" vertical="center"/>
    </xf>
    <xf numFmtId="0" fontId="18" fillId="0" borderId="0" xfId="66" applyFont="1" applyAlignment="1">
      <alignment horizontal="center" vertical="center"/>
    </xf>
    <xf numFmtId="0" fontId="18" fillId="0" borderId="0" xfId="66" applyFont="1" applyAlignment="1">
      <alignment horizontal="center" vertical="center" wrapText="1"/>
    </xf>
    <xf numFmtId="0" fontId="5" fillId="0" borderId="0" xfId="66" applyFont="1" applyFill="1" applyAlignment="1">
      <alignment horizontal="center" vertical="center"/>
    </xf>
    <xf numFmtId="0" fontId="5" fillId="0" borderId="0" xfId="66" applyFont="1" applyAlignment="1">
      <alignment horizontal="center"/>
    </xf>
    <xf numFmtId="0" fontId="5" fillId="0" borderId="12" xfId="66" applyFont="1" applyBorder="1" applyAlignment="1">
      <alignment horizontal="center" vertical="center"/>
    </xf>
    <xf numFmtId="0" fontId="6" fillId="0" borderId="3" xfId="66" applyFont="1" applyFill="1" applyBorder="1" applyAlignment="1">
      <alignment horizontal="center" vertical="center"/>
    </xf>
    <xf numFmtId="0" fontId="5" fillId="0" borderId="13" xfId="66" applyFont="1" applyBorder="1" applyAlignment="1">
      <alignment horizontal="center" vertical="center"/>
    </xf>
    <xf numFmtId="0" fontId="18" fillId="0" borderId="2" xfId="66" applyFont="1" applyBorder="1" applyAlignment="1">
      <alignment horizontal="center" vertical="center"/>
    </xf>
    <xf numFmtId="0" fontId="18" fillId="0" borderId="0" xfId="66" applyFont="1" applyBorder="1" applyAlignment="1">
      <alignment horizontal="center" vertical="center"/>
    </xf>
    <xf numFmtId="0" fontId="5" fillId="0" borderId="0" xfId="66" applyFont="1" applyBorder="1"/>
    <xf numFmtId="0" fontId="5" fillId="0" borderId="0" xfId="66" applyFont="1" applyAlignment="1">
      <alignment horizontal="center" vertical="center"/>
    </xf>
    <xf numFmtId="0" fontId="5" fillId="0" borderId="4" xfId="66" applyFont="1" applyBorder="1" applyAlignment="1">
      <alignment horizontal="center"/>
    </xf>
    <xf numFmtId="0" fontId="5" fillId="5" borderId="2" xfId="66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19" fillId="0" borderId="2" xfId="62" applyFont="1" applyFill="1" applyBorder="1" applyAlignment="1">
      <alignment horizontal="center" vertical="center"/>
    </xf>
    <xf numFmtId="0" fontId="5" fillId="0" borderId="4" xfId="66" applyFont="1" applyFill="1" applyBorder="1" applyAlignment="1">
      <alignment horizontal="center"/>
    </xf>
    <xf numFmtId="0" fontId="4" fillId="0" borderId="2" xfId="0" applyFont="1" applyFill="1" applyBorder="1">
      <alignment vertical="center"/>
    </xf>
    <xf numFmtId="180" fontId="5" fillId="0" borderId="2" xfId="51" applyNumberFormat="1" applyFont="1" applyBorder="1" applyAlignment="1">
      <alignment horizontal="center" vertical="center"/>
    </xf>
    <xf numFmtId="178" fontId="5" fillId="0" borderId="2" xfId="66" applyNumberFormat="1" applyFont="1" applyBorder="1" applyAlignment="1">
      <alignment horizontal="center"/>
    </xf>
    <xf numFmtId="0" fontId="8" fillId="0" borderId="0" xfId="66" applyFill="1" applyAlignment="1">
      <alignment horizontal="center"/>
    </xf>
    <xf numFmtId="178" fontId="4" fillId="0" borderId="0" xfId="0" applyNumberFormat="1" applyFont="1" applyFill="1" applyAlignment="1">
      <alignment horizontal="center" vertical="center"/>
    </xf>
    <xf numFmtId="0" fontId="17" fillId="0" borderId="2" xfId="65" applyFont="1" applyFill="1" applyBorder="1" applyAlignment="1">
      <alignment horizontal="center" vertical="center" shrinkToFit="1"/>
    </xf>
    <xf numFmtId="0" fontId="17" fillId="0" borderId="2" xfId="65" applyFont="1" applyFill="1" applyBorder="1" applyAlignment="1">
      <alignment horizontal="left" vertical="center" shrinkToFit="1"/>
    </xf>
    <xf numFmtId="180" fontId="5" fillId="0" borderId="2" xfId="66" applyNumberFormat="1" applyFont="1" applyFill="1" applyBorder="1" applyAlignment="1">
      <alignment horizontal="center"/>
    </xf>
    <xf numFmtId="179" fontId="5" fillId="0" borderId="2" xfId="51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2" fillId="0" borderId="2" xfId="60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7" fillId="0" borderId="2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17" fillId="0" borderId="2" xfId="65" applyFont="1" applyBorder="1" applyAlignment="1">
      <alignment horizontal="center" vertical="center" shrinkToFit="1"/>
    </xf>
    <xf numFmtId="0" fontId="5" fillId="0" borderId="5" xfId="66" applyFont="1" applyBorder="1" applyAlignment="1">
      <alignment horizontal="center"/>
    </xf>
    <xf numFmtId="0" fontId="5" fillId="0" borderId="8" xfId="66" applyFont="1" applyBorder="1" applyAlignment="1">
      <alignment horizontal="center"/>
    </xf>
    <xf numFmtId="0" fontId="5" fillId="0" borderId="2" xfId="65" applyFont="1" applyBorder="1" applyAlignment="1">
      <alignment horizontal="center" vertical="center"/>
    </xf>
    <xf numFmtId="178" fontId="6" fillId="0" borderId="2" xfId="66" applyNumberFormat="1" applyFont="1" applyBorder="1" applyAlignment="1">
      <alignment horizontal="center" vertical="center"/>
    </xf>
    <xf numFmtId="178" fontId="5" fillId="0" borderId="2" xfId="51" applyNumberFormat="1" applyFont="1" applyBorder="1" applyAlignment="1">
      <alignment vertical="center"/>
    </xf>
    <xf numFmtId="178" fontId="6" fillId="0" borderId="2" xfId="66" applyNumberFormat="1" applyFont="1" applyFill="1" applyBorder="1" applyAlignment="1">
      <alignment horizontal="center" vertical="center"/>
    </xf>
    <xf numFmtId="177" fontId="5" fillId="0" borderId="4" xfId="3" applyNumberFormat="1" applyFont="1" applyFill="1" applyBorder="1" applyAlignment="1">
      <alignment horizontal="center" vertical="center"/>
    </xf>
    <xf numFmtId="178" fontId="5" fillId="0" borderId="2" xfId="51" applyNumberFormat="1" applyFont="1" applyFill="1" applyBorder="1" applyAlignment="1">
      <alignment vertical="center"/>
    </xf>
    <xf numFmtId="178" fontId="6" fillId="0" borderId="2" xfId="66" applyNumberFormat="1" applyFont="1" applyFill="1" applyBorder="1" applyAlignment="1">
      <alignment horizontal="left" vertical="center"/>
    </xf>
    <xf numFmtId="178" fontId="6" fillId="0" borderId="2" xfId="66" applyNumberFormat="1" applyFont="1" applyFill="1" applyBorder="1" applyAlignment="1">
      <alignment horizontal="left" vertical="center" wrapText="1"/>
    </xf>
    <xf numFmtId="0" fontId="5" fillId="0" borderId="2" xfId="66" applyFont="1" applyBorder="1" applyAlignment="1">
      <alignment horizontal="left"/>
    </xf>
    <xf numFmtId="178" fontId="5" fillId="0" borderId="2" xfId="64" applyNumberFormat="1" applyFont="1" applyBorder="1" applyAlignment="1">
      <alignment vertical="center"/>
    </xf>
    <xf numFmtId="178" fontId="5" fillId="0" borderId="2" xfId="64" applyNumberFormat="1" applyFont="1" applyBorder="1" applyAlignment="1">
      <alignment horizontal="center" vertical="center"/>
    </xf>
    <xf numFmtId="178" fontId="6" fillId="0" borderId="2" xfId="64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2" xfId="66" applyNumberFormat="1" applyFont="1" applyBorder="1" applyAlignment="1">
      <alignment horizontal="left"/>
    </xf>
    <xf numFmtId="0" fontId="5" fillId="0" borderId="2" xfId="66" applyNumberFormat="1" applyFont="1" applyFill="1" applyBorder="1" applyAlignment="1">
      <alignment horizontal="center"/>
    </xf>
    <xf numFmtId="0" fontId="5" fillId="0" borderId="2" xfId="66" applyNumberFormat="1" applyFont="1" applyFill="1" applyBorder="1" applyAlignment="1">
      <alignment horizontal="center" vertical="center"/>
    </xf>
    <xf numFmtId="0" fontId="5" fillId="0" borderId="7" xfId="66" applyNumberFormat="1" applyFont="1" applyFill="1" applyBorder="1" applyAlignment="1">
      <alignment horizontal="center" vertical="center"/>
    </xf>
    <xf numFmtId="0" fontId="5" fillId="0" borderId="0" xfId="66" applyNumberFormat="1" applyFont="1" applyAlignment="1">
      <alignment horizontal="center" vertical="center"/>
    </xf>
    <xf numFmtId="0" fontId="5" fillId="0" borderId="14" xfId="66" applyNumberFormat="1" applyFont="1" applyFill="1" applyBorder="1" applyAlignment="1">
      <alignment horizontal="center" vertical="center"/>
    </xf>
    <xf numFmtId="0" fontId="5" fillId="0" borderId="2" xfId="65" applyFont="1" applyFill="1" applyBorder="1" applyAlignment="1">
      <alignment horizontal="center" vertical="center" shrinkToFit="1"/>
    </xf>
    <xf numFmtId="0" fontId="5" fillId="0" borderId="10" xfId="66" applyNumberFormat="1" applyFont="1" applyFill="1" applyBorder="1" applyAlignment="1">
      <alignment horizontal="center" vertical="center"/>
    </xf>
    <xf numFmtId="0" fontId="5" fillId="0" borderId="15" xfId="66" applyNumberFormat="1" applyFont="1" applyFill="1" applyBorder="1" applyAlignment="1">
      <alignment horizontal="center" vertical="center"/>
    </xf>
    <xf numFmtId="0" fontId="5" fillId="0" borderId="2" xfId="65" applyFont="1" applyBorder="1" applyAlignment="1">
      <alignment horizontal="left" vertical="center"/>
    </xf>
    <xf numFmtId="178" fontId="5" fillId="0" borderId="4" xfId="51" applyNumberFormat="1" applyFont="1" applyBorder="1" applyAlignment="1">
      <alignment horizontal="center" vertical="center"/>
    </xf>
    <xf numFmtId="179" fontId="5" fillId="0" borderId="4" xfId="51" applyNumberFormat="1" applyFont="1" applyBorder="1" applyAlignment="1">
      <alignment horizontal="center" vertical="center"/>
    </xf>
    <xf numFmtId="177" fontId="5" fillId="0" borderId="2" xfId="3" applyNumberFormat="1" applyFont="1" applyFill="1" applyBorder="1" applyAlignment="1">
      <alignment horizontal="center" vertical="center"/>
    </xf>
    <xf numFmtId="178" fontId="5" fillId="0" borderId="4" xfId="51" applyNumberFormat="1" applyFont="1" applyFill="1" applyBorder="1" applyAlignment="1">
      <alignment horizontal="center" vertical="center"/>
    </xf>
    <xf numFmtId="0" fontId="5" fillId="5" borderId="2" xfId="65" applyFont="1" applyFill="1" applyBorder="1" applyAlignment="1">
      <alignment horizontal="left" vertical="center"/>
    </xf>
    <xf numFmtId="0" fontId="20" fillId="0" borderId="2" xfId="66" applyFont="1" applyBorder="1" applyAlignment="1">
      <alignment horizontal="left"/>
    </xf>
    <xf numFmtId="0" fontId="4" fillId="5" borderId="2" xfId="65" applyFont="1" applyFill="1" applyBorder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5" fillId="0" borderId="2" xfId="66" applyFont="1" applyBorder="1" applyAlignment="1">
      <alignment horizontal="left" vertical="center"/>
    </xf>
    <xf numFmtId="0" fontId="5" fillId="0" borderId="2" xfId="58" applyFont="1" applyFill="1" applyBorder="1" applyAlignment="1">
      <alignment horizontal="left" vertical="center"/>
    </xf>
    <xf numFmtId="0" fontId="5" fillId="0" borderId="2" xfId="58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179" fontId="5" fillId="0" borderId="4" xfId="51" applyNumberFormat="1" applyFont="1" applyFill="1" applyBorder="1" applyAlignment="1">
      <alignment horizontal="center" vertical="center"/>
    </xf>
    <xf numFmtId="178" fontId="5" fillId="0" borderId="2" xfId="51" applyNumberFormat="1" applyFont="1" applyFill="1" applyBorder="1" applyAlignment="1">
      <alignment horizontal="center"/>
    </xf>
    <xf numFmtId="179" fontId="5" fillId="0" borderId="2" xfId="51" applyNumberFormat="1" applyFont="1" applyFill="1" applyBorder="1" applyAlignment="1">
      <alignment horizontal="center"/>
    </xf>
    <xf numFmtId="178" fontId="5" fillId="0" borderId="2" xfId="66" applyNumberFormat="1" applyFont="1" applyBorder="1" applyAlignment="1">
      <alignment horizontal="left" vertical="center"/>
    </xf>
    <xf numFmtId="0" fontId="16" fillId="0" borderId="2" xfId="66" applyFont="1" applyBorder="1" applyAlignment="1">
      <alignment horizontal="left" vertical="center"/>
    </xf>
    <xf numFmtId="0" fontId="16" fillId="0" borderId="2" xfId="66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0" fontId="5" fillId="0" borderId="10" xfId="66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178" fontId="23" fillId="0" borderId="2" xfId="59" applyNumberFormat="1" applyFont="1" applyFill="1" applyBorder="1" applyAlignment="1">
      <alignment horizontal="center" vertical="center"/>
    </xf>
    <xf numFmtId="178" fontId="23" fillId="0" borderId="2" xfId="59" applyNumberFormat="1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vertical="center"/>
    </xf>
    <xf numFmtId="178" fontId="25" fillId="0" borderId="2" xfId="3" applyNumberFormat="1" applyFont="1" applyFill="1" applyBorder="1" applyAlignment="1">
      <alignment horizontal="center" vertical="center"/>
    </xf>
    <xf numFmtId="177" fontId="25" fillId="0" borderId="2" xfId="3" applyNumberFormat="1" applyFont="1" applyFill="1" applyBorder="1" applyAlignment="1">
      <alignment horizontal="center" vertical="center"/>
    </xf>
    <xf numFmtId="176" fontId="25" fillId="0" borderId="2" xfId="3" applyNumberFormat="1" applyFont="1" applyFill="1" applyBorder="1" applyAlignment="1">
      <alignment horizontal="center" vertical="center"/>
    </xf>
    <xf numFmtId="177" fontId="3" fillId="0" borderId="2" xfId="3" applyNumberFormat="1" applyFont="1" applyFill="1" applyBorder="1" applyAlignment="1">
      <alignment horizontal="center" vertical="center"/>
    </xf>
    <xf numFmtId="178" fontId="23" fillId="5" borderId="2" xfId="59" applyNumberFormat="1" applyFont="1" applyFill="1" applyBorder="1" applyAlignment="1">
      <alignment horizontal="center" vertical="center"/>
    </xf>
    <xf numFmtId="180" fontId="26" fillId="5" borderId="2" xfId="59" applyNumberFormat="1" applyFont="1" applyFill="1" applyBorder="1" applyAlignment="1">
      <alignment vertical="center"/>
    </xf>
    <xf numFmtId="180" fontId="23" fillId="5" borderId="2" xfId="59" applyNumberFormat="1" applyFont="1" applyFill="1" applyBorder="1" applyAlignment="1">
      <alignment horizontal="center" vertical="center"/>
    </xf>
    <xf numFmtId="177" fontId="25" fillId="5" borderId="2" xfId="3" applyNumberFormat="1" applyFont="1" applyFill="1" applyBorder="1" applyAlignment="1">
      <alignment horizontal="center" vertical="center"/>
    </xf>
    <xf numFmtId="177" fontId="3" fillId="5" borderId="2" xfId="3" applyNumberFormat="1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7" fillId="0" borderId="0" xfId="60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2" xfId="0" applyFont="1" applyFill="1" applyBorder="1">
      <alignment vertical="center"/>
    </xf>
    <xf numFmtId="178" fontId="24" fillId="0" borderId="2" xfId="0" applyNumberFormat="1" applyFont="1" applyFill="1" applyBorder="1" applyAlignment="1">
      <alignment horizontal="center" vertical="center"/>
    </xf>
    <xf numFmtId="177" fontId="24" fillId="0" borderId="2" xfId="3" applyNumberFormat="1" applyFont="1" applyFill="1" applyBorder="1" applyAlignment="1">
      <alignment horizontal="center" vertical="center"/>
    </xf>
    <xf numFmtId="178" fontId="24" fillId="0" borderId="2" xfId="3" applyNumberFormat="1" applyFont="1" applyFill="1" applyBorder="1" applyAlignment="1">
      <alignment horizontal="center" vertical="center"/>
    </xf>
    <xf numFmtId="176" fontId="24" fillId="0" borderId="2" xfId="3" applyNumberFormat="1" applyFont="1" applyFill="1" applyBorder="1" applyAlignment="1">
      <alignment horizontal="center" vertical="center"/>
    </xf>
    <xf numFmtId="0" fontId="5" fillId="0" borderId="2" xfId="66" applyFont="1" applyBorder="1" applyAlignment="1" quotePrefix="1">
      <alignment horizontal="left"/>
    </xf>
    <xf numFmtId="0" fontId="5" fillId="0" borderId="2" xfId="66" applyFont="1" applyFill="1" applyBorder="1" applyAlignment="1" quotePrefix="1">
      <alignment horizontal="left"/>
    </xf>
    <xf numFmtId="178" fontId="6" fillId="0" borderId="2" xfId="66" applyNumberFormat="1" applyFont="1" applyBorder="1" applyAlignment="1" quotePrefix="1">
      <alignment horizontal="center" vertical="center"/>
    </xf>
    <xf numFmtId="0" fontId="5" fillId="0" borderId="2" xfId="66" applyFont="1" applyBorder="1" applyAlignment="1" quotePrefix="1">
      <alignment horizontal="center"/>
    </xf>
    <xf numFmtId="178" fontId="6" fillId="0" borderId="2" xfId="66" applyNumberFormat="1" applyFont="1" applyFill="1" applyBorder="1" applyAlignment="1" quotePrefix="1">
      <alignment horizontal="center" vertical="center"/>
    </xf>
    <xf numFmtId="0" fontId="5" fillId="0" borderId="2" xfId="66" applyFont="1" applyFill="1" applyBorder="1" applyAlignment="1" quotePrefix="1">
      <alignment horizontal="center"/>
    </xf>
    <xf numFmtId="0" fontId="7" fillId="0" borderId="2" xfId="0" applyFont="1" applyFill="1" applyBorder="1" applyAlignment="1" quotePrefix="1">
      <alignment horizontal="center" vertical="center"/>
    </xf>
    <xf numFmtId="0" fontId="7" fillId="0" borderId="2" xfId="0" applyFont="1" applyFill="1" applyBorder="1" quotePrefix="1">
      <alignment vertical="center"/>
    </xf>
    <xf numFmtId="0" fontId="5" fillId="0" borderId="2" xfId="66" applyFont="1" applyFill="1" applyBorder="1" applyAlignment="1" quotePrefix="1">
      <alignment horizontal="left" vertical="center"/>
    </xf>
    <xf numFmtId="0" fontId="5" fillId="6" borderId="2" xfId="66" applyFont="1" applyFill="1" applyBorder="1" applyAlignment="1" quotePrefix="1">
      <alignment horizontal="left"/>
    </xf>
    <xf numFmtId="0" fontId="10" fillId="0" borderId="2" xfId="0" applyFont="1" applyFill="1" applyBorder="1" applyAlignment="1" quotePrefix="1">
      <alignment horizontal="center" vertical="center"/>
    </xf>
    <xf numFmtId="0" fontId="6" fillId="0" borderId="2" xfId="66" applyFont="1" applyBorder="1" applyAlignment="1" quotePrefix="1">
      <alignment horizontal="center"/>
    </xf>
    <xf numFmtId="0" fontId="6" fillId="0" borderId="2" xfId="66" applyFont="1" applyFill="1" applyBorder="1" applyAlignment="1" quotePrefix="1">
      <alignment horizont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4 3" xfId="49"/>
    <cellStyle name="常规 2 5 3 2" xfId="50"/>
    <cellStyle name="百分比 2" xfId="51"/>
    <cellStyle name="_ET_STYLE_NoName_00_" xfId="52"/>
    <cellStyle name="Normal" xfId="53"/>
    <cellStyle name="常规 3" xfId="54"/>
    <cellStyle name="常规_Sheet1" xfId="55"/>
    <cellStyle name="常规 3 29" xfId="56"/>
    <cellStyle name="常规 12" xfId="57"/>
    <cellStyle name="常规 10" xfId="58"/>
    <cellStyle name="常规 10 10 2 2 2 2" xfId="59"/>
    <cellStyle name="常规 16" xfId="60"/>
    <cellStyle name="常规 2 11" xfId="61"/>
    <cellStyle name="常规 60 2" xfId="62"/>
    <cellStyle name="常规 60 3" xfId="63"/>
    <cellStyle name="常规 15" xfId="64"/>
    <cellStyle name="常规 2" xfId="65"/>
    <cellStyle name="常规 66" xfId="66"/>
    <cellStyle name="常规 5" xfId="67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C19"/>
  <sheetViews>
    <sheetView zoomScale="90" zoomScaleNormal="90" workbookViewId="0">
      <selection activeCell="BA11" sqref="BA3 BA5:BA6 BA8:BA9 BA11:BA12"/>
    </sheetView>
  </sheetViews>
  <sheetFormatPr defaultColWidth="9" defaultRowHeight="16.5"/>
  <cols>
    <col min="1" max="1" width="9" style="237"/>
    <col min="2" max="2" width="13.3272727272727" style="237" customWidth="1"/>
    <col min="3" max="3" width="11.8090909090909" style="237" customWidth="1"/>
    <col min="4" max="4" width="11.1272727272727" style="237" hidden="1" customWidth="1"/>
    <col min="5" max="5" width="12.1272727272727" style="237" hidden="1" customWidth="1"/>
    <col min="6" max="6" width="9" style="237" hidden="1" customWidth="1"/>
    <col min="7" max="7" width="11.1272727272727" style="237" hidden="1" customWidth="1"/>
    <col min="8" max="8" width="12.1272727272727" style="237" hidden="1" customWidth="1"/>
    <col min="9" max="9" width="9" style="237" hidden="1" customWidth="1"/>
    <col min="10" max="10" width="11.1272727272727" style="237" hidden="1" customWidth="1"/>
    <col min="11" max="11" width="12.1272727272727" style="237" hidden="1" customWidth="1"/>
    <col min="12" max="12" width="9" style="237" hidden="1" customWidth="1"/>
    <col min="13" max="13" width="10.8363636363636" style="235" hidden="1" customWidth="1"/>
    <col min="14" max="14" width="11.1272727272727" style="235" hidden="1" customWidth="1"/>
    <col min="15" max="15" width="9" style="235" hidden="1" customWidth="1"/>
    <col min="16" max="16" width="11.1272727272727" style="237" hidden="1" customWidth="1"/>
    <col min="17" max="17" width="12.1272727272727" style="237" hidden="1" customWidth="1"/>
    <col min="18" max="18" width="9" style="237" hidden="1" customWidth="1"/>
    <col min="19" max="19" width="10.8363636363636" style="235" hidden="1" customWidth="1"/>
    <col min="20" max="20" width="11.1272727272727" style="235" hidden="1" customWidth="1"/>
    <col min="21" max="21" width="9" style="235" hidden="1" customWidth="1"/>
    <col min="22" max="22" width="11.1272727272727" style="237" hidden="1" customWidth="1"/>
    <col min="23" max="23" width="12.1272727272727" style="237" hidden="1" customWidth="1"/>
    <col min="24" max="24" width="9" style="237" hidden="1" customWidth="1"/>
    <col min="25" max="25" width="10.8363636363636" style="235" hidden="1" customWidth="1"/>
    <col min="26" max="26" width="11.1272727272727" style="235" hidden="1" customWidth="1"/>
    <col min="27" max="27" width="9" style="235" hidden="1" customWidth="1"/>
    <col min="28" max="28" width="11.1272727272727" style="237" hidden="1" customWidth="1"/>
    <col min="29" max="29" width="12.1272727272727" style="237" hidden="1" customWidth="1"/>
    <col min="30" max="30" width="9" style="237" hidden="1" customWidth="1"/>
    <col min="31" max="31" width="10.8363636363636" style="235" hidden="1" customWidth="1"/>
    <col min="32" max="32" width="11.1272727272727" style="235" hidden="1" customWidth="1"/>
    <col min="33" max="33" width="9" style="235" hidden="1" customWidth="1"/>
    <col min="34" max="34" width="11.1272727272727" style="237" hidden="1" customWidth="1"/>
    <col min="35" max="35" width="12.1272727272727" style="237" hidden="1" customWidth="1"/>
    <col min="36" max="36" width="9" style="237" hidden="1" customWidth="1"/>
    <col min="37" max="37" width="11.1272727272727" style="237" hidden="1" customWidth="1"/>
    <col min="38" max="38" width="12.1272727272727" style="237" hidden="1" customWidth="1"/>
    <col min="39" max="39" width="9" style="237" hidden="1" customWidth="1"/>
    <col min="40" max="40" width="11.1272727272727" style="237" hidden="1" customWidth="1"/>
    <col min="41" max="41" width="12.1272727272727" style="237" hidden="1" customWidth="1"/>
    <col min="42" max="42" width="9" style="237" hidden="1" customWidth="1"/>
    <col min="43" max="43" width="12.1272727272727" style="237" customWidth="1"/>
    <col min="44" max="45" width="9" style="237" customWidth="1"/>
    <col min="46" max="46" width="10.8363636363636" style="235" customWidth="1"/>
    <col min="47" max="47" width="11.1272727272727" style="235" customWidth="1"/>
    <col min="48" max="48" width="9" style="235"/>
    <col min="49" max="49" width="12.1272727272727" style="237" customWidth="1"/>
    <col min="50" max="51" width="9" style="237" customWidth="1"/>
    <col min="52" max="52" width="10.8363636363636" style="235" customWidth="1"/>
    <col min="53" max="53" width="11.1272727272727" style="235" customWidth="1"/>
    <col min="54" max="54" width="9" style="235"/>
    <col min="55" max="55" width="14.1272727272727" style="235"/>
    <col min="56" max="16384" width="9" style="235"/>
  </cols>
  <sheetData>
    <row r="1" s="235" customFormat="1" spans="1:55">
      <c r="A1" s="11" t="s">
        <v>0</v>
      </c>
      <c r="B1" s="238" t="s">
        <v>1</v>
      </c>
      <c r="C1" s="11" t="s">
        <v>2</v>
      </c>
      <c r="D1" s="239" t="s">
        <v>3</v>
      </c>
      <c r="E1" s="239"/>
      <c r="F1" s="239" t="s">
        <v>4</v>
      </c>
      <c r="G1" s="239" t="s">
        <v>5</v>
      </c>
      <c r="H1" s="239"/>
      <c r="I1" s="239" t="s">
        <v>4</v>
      </c>
      <c r="J1" s="239" t="s">
        <v>6</v>
      </c>
      <c r="K1" s="239"/>
      <c r="L1" s="239" t="s">
        <v>4</v>
      </c>
      <c r="M1" s="239" t="s">
        <v>7</v>
      </c>
      <c r="N1" s="239"/>
      <c r="O1" s="239" t="s">
        <v>4</v>
      </c>
      <c r="P1" s="239" t="s">
        <v>8</v>
      </c>
      <c r="Q1" s="239"/>
      <c r="R1" s="239" t="s">
        <v>4</v>
      </c>
      <c r="S1" s="239" t="s">
        <v>9</v>
      </c>
      <c r="T1" s="239"/>
      <c r="U1" s="239" t="s">
        <v>4</v>
      </c>
      <c r="V1" s="239" t="s">
        <v>10</v>
      </c>
      <c r="W1" s="239"/>
      <c r="X1" s="239" t="s">
        <v>4</v>
      </c>
      <c r="Y1" s="239" t="s">
        <v>11</v>
      </c>
      <c r="Z1" s="239"/>
      <c r="AA1" s="239" t="s">
        <v>4</v>
      </c>
      <c r="AB1" s="239" t="s">
        <v>12</v>
      </c>
      <c r="AC1" s="239"/>
      <c r="AD1" s="239" t="s">
        <v>4</v>
      </c>
      <c r="AE1" s="239" t="s">
        <v>13</v>
      </c>
      <c r="AF1" s="239"/>
      <c r="AG1" s="239" t="s">
        <v>4</v>
      </c>
      <c r="AH1" s="239" t="s">
        <v>14</v>
      </c>
      <c r="AI1" s="239"/>
      <c r="AJ1" s="239" t="s">
        <v>4</v>
      </c>
      <c r="AK1" s="239" t="s">
        <v>15</v>
      </c>
      <c r="AL1" s="239"/>
      <c r="AM1" s="239" t="s">
        <v>4</v>
      </c>
      <c r="AN1" s="239" t="s">
        <v>16</v>
      </c>
      <c r="AO1" s="239"/>
      <c r="AP1" s="239" t="s">
        <v>4</v>
      </c>
      <c r="AQ1" s="239" t="s">
        <v>17</v>
      </c>
      <c r="AR1" s="239"/>
      <c r="AS1" s="239" t="s">
        <v>4</v>
      </c>
      <c r="AT1" s="239" t="s">
        <v>18</v>
      </c>
      <c r="AU1" s="239"/>
      <c r="AV1" s="239" t="s">
        <v>4</v>
      </c>
      <c r="AW1" s="239" t="s">
        <v>19</v>
      </c>
      <c r="AX1" s="239"/>
      <c r="AY1" s="239" t="s">
        <v>4</v>
      </c>
      <c r="AZ1" s="239" t="s">
        <v>20</v>
      </c>
      <c r="BA1" s="239"/>
      <c r="BB1" s="239" t="s">
        <v>4</v>
      </c>
      <c r="BC1" s="11" t="s">
        <v>21</v>
      </c>
    </row>
    <row r="2" s="235" customFormat="1" spans="1:55">
      <c r="A2" s="11"/>
      <c r="B2" s="238"/>
      <c r="C2" s="11"/>
      <c r="D2" s="239" t="s">
        <v>22</v>
      </c>
      <c r="E2" s="239" t="s">
        <v>23</v>
      </c>
      <c r="F2" s="239"/>
      <c r="G2" s="239" t="s">
        <v>22</v>
      </c>
      <c r="H2" s="239" t="s">
        <v>23</v>
      </c>
      <c r="I2" s="239"/>
      <c r="J2" s="239" t="s">
        <v>22</v>
      </c>
      <c r="K2" s="239" t="s">
        <v>23</v>
      </c>
      <c r="L2" s="239"/>
      <c r="M2" s="239" t="s">
        <v>22</v>
      </c>
      <c r="N2" s="239" t="s">
        <v>23</v>
      </c>
      <c r="O2" s="239"/>
      <c r="P2" s="239" t="s">
        <v>22</v>
      </c>
      <c r="Q2" s="239" t="s">
        <v>23</v>
      </c>
      <c r="R2" s="239"/>
      <c r="S2" s="239" t="s">
        <v>22</v>
      </c>
      <c r="T2" s="239" t="s">
        <v>23</v>
      </c>
      <c r="U2" s="239"/>
      <c r="V2" s="239" t="s">
        <v>22</v>
      </c>
      <c r="W2" s="239" t="s">
        <v>23</v>
      </c>
      <c r="X2" s="239"/>
      <c r="Y2" s="239" t="s">
        <v>22</v>
      </c>
      <c r="Z2" s="239" t="s">
        <v>23</v>
      </c>
      <c r="AA2" s="239"/>
      <c r="AB2" s="239" t="s">
        <v>22</v>
      </c>
      <c r="AC2" s="239" t="s">
        <v>23</v>
      </c>
      <c r="AD2" s="239"/>
      <c r="AE2" s="239" t="s">
        <v>22</v>
      </c>
      <c r="AF2" s="239" t="s">
        <v>23</v>
      </c>
      <c r="AG2" s="239"/>
      <c r="AH2" s="239" t="s">
        <v>22</v>
      </c>
      <c r="AI2" s="239" t="s">
        <v>23</v>
      </c>
      <c r="AJ2" s="239"/>
      <c r="AK2" s="239" t="s">
        <v>22</v>
      </c>
      <c r="AL2" s="239" t="s">
        <v>23</v>
      </c>
      <c r="AM2" s="239"/>
      <c r="AN2" s="239" t="s">
        <v>22</v>
      </c>
      <c r="AO2" s="239" t="s">
        <v>23</v>
      </c>
      <c r="AP2" s="239"/>
      <c r="AQ2" s="239" t="s">
        <v>22</v>
      </c>
      <c r="AR2" s="239" t="s">
        <v>23</v>
      </c>
      <c r="AS2" s="239"/>
      <c r="AT2" s="239" t="s">
        <v>22</v>
      </c>
      <c r="AU2" s="239" t="s">
        <v>23</v>
      </c>
      <c r="AV2" s="239"/>
      <c r="AW2" s="239" t="s">
        <v>22</v>
      </c>
      <c r="AX2" s="239" t="s">
        <v>23</v>
      </c>
      <c r="AY2" s="239"/>
      <c r="AZ2" s="239" t="s">
        <v>22</v>
      </c>
      <c r="BA2" s="239" t="s">
        <v>23</v>
      </c>
      <c r="BB2" s="239"/>
      <c r="BC2" s="11"/>
    </row>
    <row r="3" s="235" customFormat="1" ht="15" customHeight="1" spans="1:55">
      <c r="A3" s="11" t="s">
        <v>24</v>
      </c>
      <c r="B3" s="238" t="s">
        <v>25</v>
      </c>
      <c r="C3" s="240">
        <v>43500000</v>
      </c>
      <c r="D3" s="241">
        <v>1820726.47</v>
      </c>
      <c r="E3" s="241">
        <v>2134133.92</v>
      </c>
      <c r="F3" s="242">
        <f>E3/D3-1</f>
        <v>0.172133187034953</v>
      </c>
      <c r="G3" s="241">
        <v>665632</v>
      </c>
      <c r="H3" s="241">
        <v>2030936.03</v>
      </c>
      <c r="I3" s="242">
        <f>H3/G3-1</f>
        <v>2.05113941336955</v>
      </c>
      <c r="J3" s="241">
        <v>2335229.55</v>
      </c>
      <c r="K3" s="241">
        <v>3216768.37</v>
      </c>
      <c r="L3" s="242">
        <f t="shared" ref="L3:L13" si="0">K3/J3-1</f>
        <v>0.377495574257357</v>
      </c>
      <c r="M3" s="241">
        <v>4821588.02</v>
      </c>
      <c r="N3" s="241">
        <v>7381838.32</v>
      </c>
      <c r="O3" s="242">
        <f t="shared" ref="O3:O13" si="1">N3/M3-1</f>
        <v>0.530997316523115</v>
      </c>
      <c r="P3" s="241">
        <v>2932936.84</v>
      </c>
      <c r="Q3" s="241">
        <v>3545274.19</v>
      </c>
      <c r="R3" s="242">
        <f t="shared" ref="R3:R13" si="2">Q3/P3-1</f>
        <v>0.208779589675719</v>
      </c>
      <c r="S3" s="241">
        <v>7754524.86</v>
      </c>
      <c r="T3" s="241">
        <v>10927112.51</v>
      </c>
      <c r="U3" s="242">
        <f t="shared" ref="U3:U13" si="3">T3/S3-1</f>
        <v>0.409127278237909</v>
      </c>
      <c r="V3" s="241">
        <v>2754128.27</v>
      </c>
      <c r="W3" s="241">
        <v>2967729.72</v>
      </c>
      <c r="X3" s="242">
        <f t="shared" ref="X3:X13" si="4">W3/V3-1</f>
        <v>0.0775568270827125</v>
      </c>
      <c r="Y3" s="241">
        <v>10508653.13</v>
      </c>
      <c r="Z3" s="241">
        <v>13954842.23</v>
      </c>
      <c r="AA3" s="242">
        <f t="shared" ref="AA3:AA13" si="5">Z3/Y3-1</f>
        <v>0.327938229320925</v>
      </c>
      <c r="AB3" s="241">
        <v>3834503.49</v>
      </c>
      <c r="AC3" s="241">
        <v>3744100.99</v>
      </c>
      <c r="AD3" s="242">
        <f t="shared" ref="AD3:AD13" si="6">AC3/AB3-1</f>
        <v>-0.0235760640812456</v>
      </c>
      <c r="AE3" s="241">
        <v>14343156.62</v>
      </c>
      <c r="AF3" s="241">
        <v>17698368.22</v>
      </c>
      <c r="AG3" s="242">
        <f t="shared" ref="AG3:AG13" si="7">AF3/AE3-1</f>
        <v>0.233924211307957</v>
      </c>
      <c r="AH3" s="241">
        <v>2104345.24</v>
      </c>
      <c r="AI3" s="241">
        <v>2351069.78</v>
      </c>
      <c r="AJ3" s="242">
        <f t="shared" ref="AJ3:AJ13" si="8">AI3/AH3-1</f>
        <v>0.117245276730352</v>
      </c>
      <c r="AK3" s="241">
        <v>1930214.36</v>
      </c>
      <c r="AL3" s="241">
        <v>1841887.65</v>
      </c>
      <c r="AM3" s="242">
        <f t="shared" ref="AM3:AM13" si="9">AL3/AK3-1</f>
        <v>-0.045760052266941</v>
      </c>
      <c r="AN3" s="241">
        <v>2928380.34</v>
      </c>
      <c r="AO3" s="241">
        <v>1665365.53</v>
      </c>
      <c r="AP3" s="242">
        <f t="shared" ref="AP3:AP13" si="10">AO3/AN3-1</f>
        <v>-0.43130149207326</v>
      </c>
      <c r="AQ3" s="243">
        <f t="shared" ref="AQ3:AQ9" si="11">AH3+AK3+AN3</f>
        <v>6962939.94</v>
      </c>
      <c r="AR3" s="243">
        <f t="shared" ref="AR3:AR9" si="12">AI3+AL3+AO3</f>
        <v>5858322.96</v>
      </c>
      <c r="AS3" s="242">
        <f t="shared" ref="AS3:AS13" si="13">AR3/AQ3-1</f>
        <v>-0.158642324868309</v>
      </c>
      <c r="AT3" s="241">
        <v>21306096.56</v>
      </c>
      <c r="AU3" s="241">
        <v>23556691.18</v>
      </c>
      <c r="AV3" s="242">
        <f t="shared" ref="AV3:AV13" si="14">AU3/AT3-1</f>
        <v>0.105631485038196</v>
      </c>
      <c r="AW3" s="243">
        <v>4365273.73</v>
      </c>
      <c r="AX3" s="243">
        <v>2242104.59</v>
      </c>
      <c r="AY3" s="242">
        <f t="shared" ref="AY3:AY13" si="15">AX3/AW3-1</f>
        <v>-0.486377091408653</v>
      </c>
      <c r="AZ3" s="241">
        <v>25671370.29</v>
      </c>
      <c r="BA3" s="241">
        <v>25798795.77</v>
      </c>
      <c r="BB3" s="242">
        <f t="shared" ref="BB3:BB13" si="16">BA3/AZ3-1</f>
        <v>0.00496371944935237</v>
      </c>
      <c r="BC3" s="244">
        <f>BA3/C3</f>
        <v>0.593075764827586</v>
      </c>
    </row>
    <row r="4" s="235" customFormat="1" ht="15" customHeight="1" spans="1:55">
      <c r="A4" s="11"/>
      <c r="B4" s="238" t="s">
        <v>26</v>
      </c>
      <c r="C4" s="240"/>
      <c r="D4" s="241"/>
      <c r="E4" s="241">
        <v>646534</v>
      </c>
      <c r="F4" s="242" t="e">
        <f>E4/D4-1</f>
        <v>#DIV/0!</v>
      </c>
      <c r="G4" s="241"/>
      <c r="H4" s="241">
        <v>486138</v>
      </c>
      <c r="I4" s="242" t="e">
        <f>H4/G4-1</f>
        <v>#DIV/0!</v>
      </c>
      <c r="J4" s="241"/>
      <c r="K4" s="241">
        <v>376210</v>
      </c>
      <c r="L4" s="242" t="e">
        <f t="shared" si="0"/>
        <v>#DIV/0!</v>
      </c>
      <c r="M4" s="241"/>
      <c r="N4" s="241">
        <v>1508882</v>
      </c>
      <c r="O4" s="242" t="e">
        <f t="shared" si="1"/>
        <v>#DIV/0!</v>
      </c>
      <c r="P4" s="241">
        <v>127164</v>
      </c>
      <c r="Q4" s="241">
        <v>332230</v>
      </c>
      <c r="R4" s="242">
        <f t="shared" si="2"/>
        <v>1.61261048724482</v>
      </c>
      <c r="S4" s="241">
        <v>127164</v>
      </c>
      <c r="T4" s="241">
        <v>1841112</v>
      </c>
      <c r="U4" s="242">
        <f t="shared" si="3"/>
        <v>13.4782485609135</v>
      </c>
      <c r="V4" s="241">
        <v>237373</v>
      </c>
      <c r="W4" s="241">
        <v>272632</v>
      </c>
      <c r="X4" s="242">
        <f t="shared" si="4"/>
        <v>0.148538376310701</v>
      </c>
      <c r="Y4" s="241">
        <v>364537</v>
      </c>
      <c r="Z4" s="241">
        <v>2113744</v>
      </c>
      <c r="AA4" s="242">
        <f t="shared" si="5"/>
        <v>4.79843472679042</v>
      </c>
      <c r="AB4" s="241">
        <v>205722</v>
      </c>
      <c r="AC4" s="241">
        <v>351814</v>
      </c>
      <c r="AD4" s="242">
        <f t="shared" si="6"/>
        <v>0.710142814088916</v>
      </c>
      <c r="AE4" s="241">
        <v>570259</v>
      </c>
      <c r="AF4" s="241">
        <v>2466133</v>
      </c>
      <c r="AG4" s="242">
        <f t="shared" si="7"/>
        <v>3.32458409249131</v>
      </c>
      <c r="AH4" s="241">
        <v>377153</v>
      </c>
      <c r="AI4" s="241">
        <v>310892</v>
      </c>
      <c r="AJ4" s="242">
        <f t="shared" si="8"/>
        <v>-0.175687320530395</v>
      </c>
      <c r="AK4" s="241">
        <v>425201</v>
      </c>
      <c r="AL4" s="241">
        <v>351404</v>
      </c>
      <c r="AM4" s="242">
        <f t="shared" si="9"/>
        <v>-0.1735579173144</v>
      </c>
      <c r="AN4" s="241">
        <v>574651.12</v>
      </c>
      <c r="AO4" s="241">
        <v>534045</v>
      </c>
      <c r="AP4" s="242">
        <f t="shared" si="10"/>
        <v>-0.0706622132747257</v>
      </c>
      <c r="AQ4" s="243">
        <f t="shared" si="11"/>
        <v>1377005.12</v>
      </c>
      <c r="AR4" s="243">
        <f t="shared" si="12"/>
        <v>1196341</v>
      </c>
      <c r="AS4" s="242">
        <f t="shared" si="13"/>
        <v>-0.131200761257881</v>
      </c>
      <c r="AT4" s="241">
        <v>1947264.12</v>
      </c>
      <c r="AU4" s="241">
        <v>3662474</v>
      </c>
      <c r="AV4" s="242">
        <f t="shared" si="14"/>
        <v>0.880830629180391</v>
      </c>
      <c r="AW4" s="243">
        <v>522761</v>
      </c>
      <c r="AX4" s="243">
        <v>532345</v>
      </c>
      <c r="AY4" s="242">
        <f t="shared" si="15"/>
        <v>0.0183334257911358</v>
      </c>
      <c r="AZ4" s="241">
        <v>2470025.12</v>
      </c>
      <c r="BA4" s="241">
        <v>4194819</v>
      </c>
      <c r="BB4" s="242">
        <f t="shared" si="16"/>
        <v>0.698290015771176</v>
      </c>
      <c r="BC4" s="244" t="e">
        <f t="shared" ref="BC4:BC13" si="17">BA4/C4</f>
        <v>#DIV/0!</v>
      </c>
    </row>
    <row r="5" s="235" customFormat="1" ht="15" customHeight="1" spans="1:55">
      <c r="A5" s="11"/>
      <c r="B5" s="238" t="s">
        <v>27</v>
      </c>
      <c r="C5" s="240">
        <v>12000000</v>
      </c>
      <c r="D5" s="241">
        <v>1110866.71</v>
      </c>
      <c r="E5" s="241">
        <v>802311.19</v>
      </c>
      <c r="F5" s="242">
        <f t="shared" ref="F5:F13" si="18">E5/D5-1</f>
        <v>-0.277761064601531</v>
      </c>
      <c r="G5" s="241">
        <v>225264</v>
      </c>
      <c r="H5" s="241">
        <v>353390.48</v>
      </c>
      <c r="I5" s="242">
        <f t="shared" ref="I5:I13" si="19">H5/G5-1</f>
        <v>0.568783649406918</v>
      </c>
      <c r="J5" s="241">
        <v>365888</v>
      </c>
      <c r="K5" s="241">
        <v>969353.65</v>
      </c>
      <c r="L5" s="242">
        <f t="shared" si="0"/>
        <v>1.64931796068742</v>
      </c>
      <c r="M5" s="241">
        <v>1702018.71</v>
      </c>
      <c r="N5" s="241">
        <v>2125055.32</v>
      </c>
      <c r="O5" s="242">
        <f t="shared" si="1"/>
        <v>0.248549917527052</v>
      </c>
      <c r="P5" s="241">
        <v>648379.45</v>
      </c>
      <c r="Q5" s="241">
        <v>857787.1</v>
      </c>
      <c r="R5" s="242">
        <f t="shared" si="2"/>
        <v>0.322970831355004</v>
      </c>
      <c r="S5" s="241">
        <v>2350398.16</v>
      </c>
      <c r="T5" s="241">
        <v>2982842.42</v>
      </c>
      <c r="U5" s="242">
        <f t="shared" si="3"/>
        <v>0.269079626917339</v>
      </c>
      <c r="V5" s="241">
        <v>639095.81</v>
      </c>
      <c r="W5" s="241">
        <v>661714.03</v>
      </c>
      <c r="X5" s="242">
        <f t="shared" si="4"/>
        <v>0.0353909690004071</v>
      </c>
      <c r="Y5" s="241">
        <v>2989493.97</v>
      </c>
      <c r="Z5" s="241">
        <v>3644556.45</v>
      </c>
      <c r="AA5" s="242">
        <f t="shared" si="5"/>
        <v>0.219121525774477</v>
      </c>
      <c r="AB5" s="241">
        <v>677171.21</v>
      </c>
      <c r="AC5" s="241">
        <v>970845.98</v>
      </c>
      <c r="AD5" s="242">
        <f t="shared" si="6"/>
        <v>0.43367875902462</v>
      </c>
      <c r="AE5" s="241">
        <v>3666665.18</v>
      </c>
      <c r="AF5" s="241">
        <v>4615402.43</v>
      </c>
      <c r="AG5" s="242">
        <f t="shared" si="7"/>
        <v>0.258746627637269</v>
      </c>
      <c r="AH5" s="241">
        <v>658308.08</v>
      </c>
      <c r="AI5" s="241">
        <v>383538.42</v>
      </c>
      <c r="AJ5" s="242">
        <f t="shared" si="8"/>
        <v>-0.417387646221811</v>
      </c>
      <c r="AK5" s="241">
        <v>452837.18</v>
      </c>
      <c r="AL5" s="241">
        <v>243092</v>
      </c>
      <c r="AM5" s="242">
        <f t="shared" si="9"/>
        <v>-0.463180121384909</v>
      </c>
      <c r="AN5" s="241">
        <v>672163.76</v>
      </c>
      <c r="AO5" s="241">
        <v>347351.48</v>
      </c>
      <c r="AP5" s="242">
        <f t="shared" si="10"/>
        <v>-0.48323384765641</v>
      </c>
      <c r="AQ5" s="243">
        <f t="shared" si="11"/>
        <v>1783309.02</v>
      </c>
      <c r="AR5" s="243">
        <f t="shared" si="12"/>
        <v>973981.9</v>
      </c>
      <c r="AS5" s="242">
        <f t="shared" si="13"/>
        <v>-0.453834479006897</v>
      </c>
      <c r="AT5" s="241">
        <v>5449974.2</v>
      </c>
      <c r="AU5" s="241">
        <v>5589384.33</v>
      </c>
      <c r="AV5" s="242">
        <f t="shared" si="14"/>
        <v>0.0255799614611019</v>
      </c>
      <c r="AW5" s="243">
        <v>1095150.97</v>
      </c>
      <c r="AX5" s="243">
        <v>262859.9</v>
      </c>
      <c r="AY5" s="242">
        <f t="shared" si="15"/>
        <v>-0.759978389098263</v>
      </c>
      <c r="AZ5" s="241">
        <v>6545125.17</v>
      </c>
      <c r="BA5" s="241">
        <v>5852244.23</v>
      </c>
      <c r="BB5" s="242">
        <f t="shared" si="16"/>
        <v>-0.105862137392859</v>
      </c>
      <c r="BC5" s="244">
        <f t="shared" si="17"/>
        <v>0.487687019166667</v>
      </c>
    </row>
    <row r="6" s="235" customFormat="1" ht="15" customHeight="1" spans="1:55">
      <c r="A6" s="11"/>
      <c r="B6" s="238" t="s">
        <v>28</v>
      </c>
      <c r="C6" s="240">
        <v>10000000</v>
      </c>
      <c r="D6" s="241">
        <v>578458.28</v>
      </c>
      <c r="E6" s="241">
        <v>474052</v>
      </c>
      <c r="F6" s="242">
        <f t="shared" si="18"/>
        <v>-0.180490596486924</v>
      </c>
      <c r="G6" s="241">
        <v>382921</v>
      </c>
      <c r="H6" s="241">
        <v>390891.04</v>
      </c>
      <c r="I6" s="242">
        <f t="shared" si="19"/>
        <v>0.0208137971017519</v>
      </c>
      <c r="J6" s="241">
        <v>427042.28</v>
      </c>
      <c r="K6" s="241">
        <v>414836.06</v>
      </c>
      <c r="L6" s="242">
        <f t="shared" si="0"/>
        <v>-0.0285831651142365</v>
      </c>
      <c r="M6" s="241">
        <v>1388421.56</v>
      </c>
      <c r="N6" s="241">
        <v>1279779.1</v>
      </c>
      <c r="O6" s="242">
        <f t="shared" si="1"/>
        <v>-0.0782489001395225</v>
      </c>
      <c r="P6" s="241">
        <v>399949</v>
      </c>
      <c r="Q6" s="241">
        <v>411808.08</v>
      </c>
      <c r="R6" s="242">
        <f t="shared" si="2"/>
        <v>0.029651480563772</v>
      </c>
      <c r="S6" s="241">
        <v>1788370.56</v>
      </c>
      <c r="T6" s="241">
        <v>1691587.18</v>
      </c>
      <c r="U6" s="242">
        <f t="shared" si="3"/>
        <v>-0.0541181912545016</v>
      </c>
      <c r="V6" s="241">
        <v>597544</v>
      </c>
      <c r="W6" s="241">
        <v>404990</v>
      </c>
      <c r="X6" s="242">
        <f t="shared" si="4"/>
        <v>-0.322242378803904</v>
      </c>
      <c r="Y6" s="241">
        <v>2385914.56</v>
      </c>
      <c r="Z6" s="241">
        <v>2096577.18</v>
      </c>
      <c r="AA6" s="242">
        <f t="shared" si="5"/>
        <v>-0.121268961114852</v>
      </c>
      <c r="AB6" s="241">
        <v>442447</v>
      </c>
      <c r="AC6" s="241">
        <v>273945</v>
      </c>
      <c r="AD6" s="242">
        <f t="shared" si="6"/>
        <v>-0.380841095091615</v>
      </c>
      <c r="AE6" s="241">
        <v>2828361.56</v>
      </c>
      <c r="AF6" s="241">
        <v>2370522.18</v>
      </c>
      <c r="AG6" s="242">
        <f t="shared" si="7"/>
        <v>-0.161874417498447</v>
      </c>
      <c r="AH6" s="241">
        <v>267076.26</v>
      </c>
      <c r="AI6" s="241">
        <v>314396</v>
      </c>
      <c r="AJ6" s="242">
        <f t="shared" si="8"/>
        <v>0.177176885732936</v>
      </c>
      <c r="AK6" s="241">
        <v>297074.56</v>
      </c>
      <c r="AL6" s="241">
        <v>301382.6</v>
      </c>
      <c r="AM6" s="242">
        <f t="shared" si="9"/>
        <v>0.014501544662727</v>
      </c>
      <c r="AN6" s="241">
        <v>493686.14</v>
      </c>
      <c r="AO6" s="241">
        <v>220016</v>
      </c>
      <c r="AP6" s="242">
        <f t="shared" si="10"/>
        <v>-0.55434033452914</v>
      </c>
      <c r="AQ6" s="243">
        <f t="shared" si="11"/>
        <v>1057836.96</v>
      </c>
      <c r="AR6" s="243">
        <f t="shared" si="12"/>
        <v>835794.6</v>
      </c>
      <c r="AS6" s="242">
        <f t="shared" si="13"/>
        <v>-0.209902251855522</v>
      </c>
      <c r="AT6" s="241">
        <v>3886198.52</v>
      </c>
      <c r="AU6" s="241">
        <v>3206316.78</v>
      </c>
      <c r="AV6" s="242">
        <f t="shared" si="14"/>
        <v>-0.174947763605242</v>
      </c>
      <c r="AW6" s="243">
        <v>594994.64</v>
      </c>
      <c r="AX6" s="243">
        <v>196308</v>
      </c>
      <c r="AY6" s="242">
        <f t="shared" si="15"/>
        <v>-0.670067616071298</v>
      </c>
      <c r="AZ6" s="241">
        <v>4481193.16</v>
      </c>
      <c r="BA6" s="241">
        <v>3402624.78</v>
      </c>
      <c r="BB6" s="242">
        <f t="shared" si="16"/>
        <v>-0.240687768076483</v>
      </c>
      <c r="BC6" s="244">
        <f t="shared" si="17"/>
        <v>0.340262478</v>
      </c>
    </row>
    <row r="7" s="236" customFormat="1" ht="15" customHeight="1" spans="1:55">
      <c r="A7" s="11"/>
      <c r="B7" s="245" t="s">
        <v>29</v>
      </c>
      <c r="C7" s="246">
        <f>SUM(C3:C6)</f>
        <v>65500000</v>
      </c>
      <c r="D7" s="247">
        <f>SUM(D3:D6)</f>
        <v>3510051.46</v>
      </c>
      <c r="E7" s="247">
        <f t="shared" ref="E7:K7" si="20">SUM(E3:E6)</f>
        <v>4057031.11</v>
      </c>
      <c r="F7" s="248">
        <f t="shared" si="18"/>
        <v>0.155832373466114</v>
      </c>
      <c r="G7" s="247">
        <f t="shared" si="20"/>
        <v>1273817</v>
      </c>
      <c r="H7" s="247">
        <f t="shared" si="20"/>
        <v>3261355.55</v>
      </c>
      <c r="I7" s="248">
        <f t="shared" si="19"/>
        <v>1.56030147972589</v>
      </c>
      <c r="J7" s="247">
        <f t="shared" ref="J7:N7" si="21">SUM(J3:J6)</f>
        <v>3128159.83</v>
      </c>
      <c r="K7" s="247">
        <f t="shared" si="21"/>
        <v>4977168.08</v>
      </c>
      <c r="L7" s="248">
        <f t="shared" si="0"/>
        <v>0.591084967036355</v>
      </c>
      <c r="M7" s="247">
        <f t="shared" si="21"/>
        <v>7912028.29</v>
      </c>
      <c r="N7" s="247">
        <f t="shared" si="21"/>
        <v>12295554.74</v>
      </c>
      <c r="O7" s="248">
        <f t="shared" si="1"/>
        <v>0.554033212386302</v>
      </c>
      <c r="P7" s="247">
        <f t="shared" ref="P7:T7" si="22">SUM(P3:P6)</f>
        <v>4108429.29</v>
      </c>
      <c r="Q7" s="247">
        <f t="shared" si="22"/>
        <v>5147099.37</v>
      </c>
      <c r="R7" s="248">
        <f t="shared" si="2"/>
        <v>0.252814398565443</v>
      </c>
      <c r="S7" s="247">
        <f t="shared" si="22"/>
        <v>12020457.58</v>
      </c>
      <c r="T7" s="247">
        <f t="shared" si="22"/>
        <v>17442654.11</v>
      </c>
      <c r="U7" s="248">
        <f t="shared" si="3"/>
        <v>0.451080709192104</v>
      </c>
      <c r="V7" s="247">
        <f t="shared" ref="V7:Z7" si="23">SUM(V3:V6)</f>
        <v>4228141.08</v>
      </c>
      <c r="W7" s="247">
        <f t="shared" si="23"/>
        <v>4307065.75</v>
      </c>
      <c r="X7" s="248">
        <f t="shared" si="4"/>
        <v>0.0186665176271743</v>
      </c>
      <c r="Y7" s="247">
        <f t="shared" si="23"/>
        <v>16248598.66</v>
      </c>
      <c r="Z7" s="247">
        <f t="shared" si="23"/>
        <v>21809719.86</v>
      </c>
      <c r="AA7" s="248">
        <f t="shared" si="5"/>
        <v>0.342252357656546</v>
      </c>
      <c r="AB7" s="247">
        <f t="shared" ref="AB7:AF7" si="24">SUM(AB3:AB6)</f>
        <v>5159843.7</v>
      </c>
      <c r="AC7" s="247">
        <f t="shared" si="24"/>
        <v>5340705.97</v>
      </c>
      <c r="AD7" s="248">
        <f t="shared" si="6"/>
        <v>0.0350518892655607</v>
      </c>
      <c r="AE7" s="247">
        <f t="shared" si="24"/>
        <v>21408442.36</v>
      </c>
      <c r="AF7" s="247">
        <f t="shared" si="24"/>
        <v>27150425.83</v>
      </c>
      <c r="AG7" s="248">
        <f t="shared" si="7"/>
        <v>0.268211174519097</v>
      </c>
      <c r="AH7" s="247">
        <f>SUM(AH3:AH6)</f>
        <v>3406882.58</v>
      </c>
      <c r="AI7" s="247">
        <f>SUM(AI3:AI6)</f>
        <v>3359896.2</v>
      </c>
      <c r="AJ7" s="248">
        <f t="shared" si="8"/>
        <v>-0.0137916053449663</v>
      </c>
      <c r="AK7" s="247">
        <f>SUM(AK3:AK6)</f>
        <v>3105327.1</v>
      </c>
      <c r="AL7" s="247">
        <f t="shared" ref="AL7:AR7" si="25">SUM(AL3:AL6)</f>
        <v>2737766.25</v>
      </c>
      <c r="AM7" s="248">
        <f t="shared" si="9"/>
        <v>-0.118364616081829</v>
      </c>
      <c r="AN7" s="247">
        <f t="shared" si="25"/>
        <v>4668881.36</v>
      </c>
      <c r="AO7" s="247">
        <f t="shared" si="25"/>
        <v>2766778.01</v>
      </c>
      <c r="AP7" s="248">
        <f t="shared" si="10"/>
        <v>-0.407400232161821</v>
      </c>
      <c r="AQ7" s="247">
        <f t="shared" si="25"/>
        <v>11181091.04</v>
      </c>
      <c r="AR7" s="247">
        <f t="shared" si="25"/>
        <v>8864440.46</v>
      </c>
      <c r="AS7" s="248">
        <f t="shared" si="13"/>
        <v>-0.207193606751994</v>
      </c>
      <c r="AT7" s="247">
        <f t="shared" ref="AT7:AX7" si="26">SUM(AT3:AT6)</f>
        <v>32589533.4</v>
      </c>
      <c r="AU7" s="247">
        <f t="shared" si="26"/>
        <v>36014866.29</v>
      </c>
      <c r="AV7" s="248">
        <f t="shared" si="14"/>
        <v>0.105105306294444</v>
      </c>
      <c r="AW7" s="247">
        <f t="shared" si="26"/>
        <v>6578180.34</v>
      </c>
      <c r="AX7" s="247">
        <f t="shared" si="26"/>
        <v>3233617.49</v>
      </c>
      <c r="AY7" s="248">
        <f t="shared" si="15"/>
        <v>-0.508432830529544</v>
      </c>
      <c r="AZ7" s="247">
        <f>SUM(AZ3:AZ6)</f>
        <v>39167713.74</v>
      </c>
      <c r="BA7" s="247">
        <f>SUM(BA3:BA6)</f>
        <v>39248483.78</v>
      </c>
      <c r="BB7" s="248">
        <f t="shared" si="16"/>
        <v>0.00206215865792347</v>
      </c>
      <c r="BC7" s="249">
        <f t="shared" si="17"/>
        <v>0.599213492824427</v>
      </c>
    </row>
    <row r="8" s="235" customFormat="1" ht="15" customHeight="1" spans="1:55">
      <c r="A8" s="11"/>
      <c r="B8" s="238" t="s">
        <v>30</v>
      </c>
      <c r="C8" s="240">
        <v>18000000</v>
      </c>
      <c r="D8" s="241">
        <v>757967.7</v>
      </c>
      <c r="E8" s="241">
        <v>1042811.5</v>
      </c>
      <c r="F8" s="242">
        <f t="shared" si="18"/>
        <v>0.375799390923914</v>
      </c>
      <c r="G8" s="241">
        <v>650701</v>
      </c>
      <c r="H8" s="241">
        <v>654682.86</v>
      </c>
      <c r="I8" s="242">
        <f t="shared" si="19"/>
        <v>0.00611933898979711</v>
      </c>
      <c r="J8" s="241">
        <v>834107.08</v>
      </c>
      <c r="K8" s="241">
        <v>1262815.5</v>
      </c>
      <c r="L8" s="242">
        <f t="shared" si="0"/>
        <v>0.513972882234737</v>
      </c>
      <c r="M8" s="241">
        <v>2242775.78</v>
      </c>
      <c r="N8" s="241">
        <v>2979548.1</v>
      </c>
      <c r="O8" s="242">
        <f t="shared" si="1"/>
        <v>0.328509129878333</v>
      </c>
      <c r="P8" s="241">
        <v>1174295.4</v>
      </c>
      <c r="Q8" s="241">
        <v>591900.56</v>
      </c>
      <c r="R8" s="242">
        <f t="shared" si="2"/>
        <v>-0.495952585695218</v>
      </c>
      <c r="S8" s="241">
        <v>3417071.18</v>
      </c>
      <c r="T8" s="241">
        <v>3571448.66</v>
      </c>
      <c r="U8" s="242">
        <f t="shared" si="3"/>
        <v>0.045178303836211</v>
      </c>
      <c r="V8" s="241">
        <v>841508.5</v>
      </c>
      <c r="W8" s="241">
        <v>1004931.65</v>
      </c>
      <c r="X8" s="242">
        <f t="shared" si="4"/>
        <v>0.194202613520838</v>
      </c>
      <c r="Y8" s="241">
        <v>4258579.68</v>
      </c>
      <c r="Z8" s="241">
        <v>4576380.31</v>
      </c>
      <c r="AA8" s="242">
        <f t="shared" si="5"/>
        <v>0.0746259677827608</v>
      </c>
      <c r="AB8" s="241">
        <v>1079235.6</v>
      </c>
      <c r="AC8" s="241">
        <v>1526485.73</v>
      </c>
      <c r="AD8" s="242">
        <f t="shared" si="6"/>
        <v>0.414413803621748</v>
      </c>
      <c r="AE8" s="241">
        <v>5337815.28</v>
      </c>
      <c r="AF8" s="241">
        <v>6102866.04</v>
      </c>
      <c r="AG8" s="242">
        <f t="shared" si="7"/>
        <v>0.143326570866274</v>
      </c>
      <c r="AH8" s="241">
        <v>767814</v>
      </c>
      <c r="AI8" s="241">
        <v>1057782.99</v>
      </c>
      <c r="AJ8" s="242">
        <f t="shared" si="8"/>
        <v>0.377655252443951</v>
      </c>
      <c r="AK8" s="241">
        <v>611076.9</v>
      </c>
      <c r="AL8" s="241">
        <v>976642.51</v>
      </c>
      <c r="AM8" s="242">
        <f t="shared" si="9"/>
        <v>0.598231761010766</v>
      </c>
      <c r="AN8" s="241">
        <v>1467492.09</v>
      </c>
      <c r="AO8" s="241">
        <v>781228.93</v>
      </c>
      <c r="AP8" s="242">
        <f t="shared" si="10"/>
        <v>-0.467643515543583</v>
      </c>
      <c r="AQ8" s="243">
        <f t="shared" si="11"/>
        <v>2846382.99</v>
      </c>
      <c r="AR8" s="243">
        <f t="shared" si="12"/>
        <v>2815654.43</v>
      </c>
      <c r="AS8" s="242">
        <f t="shared" si="13"/>
        <v>-0.0107956519231448</v>
      </c>
      <c r="AT8" s="241">
        <v>8184198.27</v>
      </c>
      <c r="AU8" s="241">
        <v>8919205.37</v>
      </c>
      <c r="AV8" s="242">
        <f t="shared" si="14"/>
        <v>0.089808075971747</v>
      </c>
      <c r="AW8" s="243">
        <v>2289433.89</v>
      </c>
      <c r="AX8" s="243">
        <v>911115.36</v>
      </c>
      <c r="AY8" s="242">
        <f t="shared" si="15"/>
        <v>-0.602034649709846</v>
      </c>
      <c r="AZ8" s="241">
        <v>10473632.16</v>
      </c>
      <c r="BA8" s="241">
        <v>9830320.73</v>
      </c>
      <c r="BB8" s="242">
        <f t="shared" si="16"/>
        <v>-0.0614219995673402</v>
      </c>
      <c r="BC8" s="244">
        <f t="shared" si="17"/>
        <v>0.546128929444444</v>
      </c>
    </row>
    <row r="9" s="235" customFormat="1" ht="15" customHeight="1" spans="1:55">
      <c r="A9" s="11"/>
      <c r="B9" s="238" t="s">
        <v>31</v>
      </c>
      <c r="C9" s="240">
        <v>13000000</v>
      </c>
      <c r="D9" s="241">
        <v>987273</v>
      </c>
      <c r="E9" s="241">
        <v>979673.76</v>
      </c>
      <c r="F9" s="242">
        <f t="shared" si="18"/>
        <v>-0.0076972022935905</v>
      </c>
      <c r="G9" s="241">
        <v>496989.73</v>
      </c>
      <c r="H9" s="241">
        <v>426348.02</v>
      </c>
      <c r="I9" s="242">
        <f t="shared" si="19"/>
        <v>-0.142139174586163</v>
      </c>
      <c r="J9" s="241">
        <v>704817.31</v>
      </c>
      <c r="K9" s="241">
        <v>895972.45</v>
      </c>
      <c r="L9" s="242">
        <f t="shared" si="0"/>
        <v>0.271212323091214</v>
      </c>
      <c r="M9" s="241">
        <v>2189080.04</v>
      </c>
      <c r="N9" s="241">
        <v>2301994.23</v>
      </c>
      <c r="O9" s="242">
        <f t="shared" si="1"/>
        <v>0.0515806585126051</v>
      </c>
      <c r="P9" s="241">
        <v>634914</v>
      </c>
      <c r="Q9" s="241">
        <v>940883.01</v>
      </c>
      <c r="R9" s="242">
        <f t="shared" si="2"/>
        <v>0.481906226670069</v>
      </c>
      <c r="S9" s="241">
        <v>2823994.04</v>
      </c>
      <c r="T9" s="241">
        <v>3242877.24</v>
      </c>
      <c r="U9" s="242">
        <f t="shared" si="3"/>
        <v>0.148330058090349</v>
      </c>
      <c r="V9" s="241">
        <v>730473.41</v>
      </c>
      <c r="W9" s="241">
        <v>967383.15</v>
      </c>
      <c r="X9" s="242">
        <f t="shared" si="4"/>
        <v>0.324323564358078</v>
      </c>
      <c r="Y9" s="241">
        <v>3554467.45</v>
      </c>
      <c r="Z9" s="241">
        <v>4210260.39</v>
      </c>
      <c r="AA9" s="242">
        <f t="shared" si="5"/>
        <v>0.184498226309542</v>
      </c>
      <c r="AB9" s="241">
        <v>396701.38</v>
      </c>
      <c r="AC9" s="241">
        <v>995385.52</v>
      </c>
      <c r="AD9" s="242">
        <f t="shared" si="6"/>
        <v>1.50915567775439</v>
      </c>
      <c r="AE9" s="241">
        <v>3951168.83</v>
      </c>
      <c r="AF9" s="241">
        <v>5205645.91</v>
      </c>
      <c r="AG9" s="242">
        <f t="shared" si="7"/>
        <v>0.317495185342409</v>
      </c>
      <c r="AH9" s="241">
        <v>528805.98</v>
      </c>
      <c r="AI9" s="241">
        <v>665570.61</v>
      </c>
      <c r="AJ9" s="242">
        <f t="shared" si="8"/>
        <v>0.258629128967112</v>
      </c>
      <c r="AK9" s="241">
        <v>747759.2</v>
      </c>
      <c r="AL9" s="241">
        <v>600199.76</v>
      </c>
      <c r="AM9" s="242">
        <f t="shared" si="9"/>
        <v>-0.197335505868734</v>
      </c>
      <c r="AN9" s="241">
        <v>1304515.76</v>
      </c>
      <c r="AO9" s="241">
        <v>463720.7</v>
      </c>
      <c r="AP9" s="242">
        <f t="shared" si="10"/>
        <v>-0.644526563634616</v>
      </c>
      <c r="AQ9" s="243">
        <f t="shared" si="11"/>
        <v>2581080.94</v>
      </c>
      <c r="AR9" s="243">
        <f t="shared" si="12"/>
        <v>1729491.07</v>
      </c>
      <c r="AS9" s="242">
        <f t="shared" si="13"/>
        <v>-0.329935360337828</v>
      </c>
      <c r="AT9" s="241">
        <v>6532249.77</v>
      </c>
      <c r="AU9" s="241">
        <v>6935136.98</v>
      </c>
      <c r="AV9" s="242">
        <f t="shared" si="14"/>
        <v>0.0616766388588355</v>
      </c>
      <c r="AW9" s="243">
        <v>768318.57</v>
      </c>
      <c r="AX9" s="243">
        <v>666246.78</v>
      </c>
      <c r="AY9" s="242">
        <f t="shared" si="15"/>
        <v>-0.132850869399135</v>
      </c>
      <c r="AZ9" s="241">
        <v>7300568.34</v>
      </c>
      <c r="BA9" s="241">
        <v>7601383.76</v>
      </c>
      <c r="BB9" s="242">
        <f t="shared" si="16"/>
        <v>0.0412043838219862</v>
      </c>
      <c r="BC9" s="244">
        <f t="shared" si="17"/>
        <v>0.584721827692308</v>
      </c>
    </row>
    <row r="10" s="235" customFormat="1" ht="15" customHeight="1" spans="1:55">
      <c r="A10" s="11"/>
      <c r="B10" s="245" t="s">
        <v>32</v>
      </c>
      <c r="C10" s="250">
        <f>SUM(C7:C9)</f>
        <v>96500000</v>
      </c>
      <c r="D10" s="251">
        <f>SUM(D7:D9)</f>
        <v>5255292.16</v>
      </c>
      <c r="E10" s="251">
        <f t="shared" ref="E10:K10" si="27">SUM(E7:E9)</f>
        <v>6079516.37</v>
      </c>
      <c r="F10" s="248">
        <f t="shared" si="18"/>
        <v>0.156836991152172</v>
      </c>
      <c r="G10" s="251">
        <f t="shared" si="27"/>
        <v>2421507.73</v>
      </c>
      <c r="H10" s="251">
        <f t="shared" si="27"/>
        <v>4342386.43</v>
      </c>
      <c r="I10" s="248">
        <f t="shared" si="19"/>
        <v>0.7932573066781</v>
      </c>
      <c r="J10" s="251">
        <f t="shared" ref="J10:N10" si="28">SUM(J7:J9)</f>
        <v>4667084.22</v>
      </c>
      <c r="K10" s="251">
        <f t="shared" si="28"/>
        <v>7135956.03</v>
      </c>
      <c r="L10" s="248">
        <f t="shared" si="0"/>
        <v>0.528996626934664</v>
      </c>
      <c r="M10" s="251">
        <f t="shared" si="28"/>
        <v>12343884.11</v>
      </c>
      <c r="N10" s="251">
        <f t="shared" si="28"/>
        <v>17577097.07</v>
      </c>
      <c r="O10" s="248">
        <f t="shared" si="1"/>
        <v>0.423951886891135</v>
      </c>
      <c r="P10" s="251">
        <f t="shared" ref="P10:T10" si="29">SUM(P7:P9)</f>
        <v>5917638.69</v>
      </c>
      <c r="Q10" s="251">
        <f t="shared" si="29"/>
        <v>6679882.94</v>
      </c>
      <c r="R10" s="248">
        <f t="shared" si="2"/>
        <v>0.128808852640512</v>
      </c>
      <c r="S10" s="251">
        <f t="shared" si="29"/>
        <v>18261522.8</v>
      </c>
      <c r="T10" s="251">
        <f t="shared" si="29"/>
        <v>24256980.01</v>
      </c>
      <c r="U10" s="248">
        <f t="shared" si="3"/>
        <v>0.32831091227507</v>
      </c>
      <c r="V10" s="251">
        <f t="shared" ref="V10:Z10" si="30">SUM(V7:V9)</f>
        <v>5800122.99</v>
      </c>
      <c r="W10" s="251">
        <f t="shared" si="30"/>
        <v>6279380.55</v>
      </c>
      <c r="X10" s="248">
        <f t="shared" si="4"/>
        <v>0.0826288616338462</v>
      </c>
      <c r="Y10" s="251">
        <f t="shared" si="30"/>
        <v>24061645.79</v>
      </c>
      <c r="Z10" s="251">
        <f t="shared" si="30"/>
        <v>30596360.56</v>
      </c>
      <c r="AA10" s="248">
        <f t="shared" si="5"/>
        <v>0.271582202939577</v>
      </c>
      <c r="AB10" s="251">
        <f t="shared" ref="AB10:AF10" si="31">SUM(AB7:AB9)</f>
        <v>6635780.68</v>
      </c>
      <c r="AC10" s="251">
        <f t="shared" si="31"/>
        <v>7862577.22</v>
      </c>
      <c r="AD10" s="248">
        <f t="shared" si="6"/>
        <v>0.184875992616441</v>
      </c>
      <c r="AE10" s="251">
        <f t="shared" si="31"/>
        <v>30697426.47</v>
      </c>
      <c r="AF10" s="251">
        <f t="shared" si="31"/>
        <v>38458937.78</v>
      </c>
      <c r="AG10" s="248">
        <f t="shared" si="7"/>
        <v>0.252839153066632</v>
      </c>
      <c r="AH10" s="251">
        <f>SUM(AH7:AH9)</f>
        <v>4703502.56</v>
      </c>
      <c r="AI10" s="251">
        <f>SUM(AI7:AI9)</f>
        <v>5083249.8</v>
      </c>
      <c r="AJ10" s="248">
        <f t="shared" si="8"/>
        <v>0.0807371177448661</v>
      </c>
      <c r="AK10" s="251">
        <f>SUM(AK7:AK9)</f>
        <v>4464163.2</v>
      </c>
      <c r="AL10" s="251">
        <f t="shared" ref="AL10:AR10" si="32">SUM(AL7:AL9)</f>
        <v>4314608.52</v>
      </c>
      <c r="AM10" s="248">
        <f t="shared" si="9"/>
        <v>-0.0335011676992455</v>
      </c>
      <c r="AN10" s="251">
        <f t="shared" si="32"/>
        <v>7440889.21</v>
      </c>
      <c r="AO10" s="251">
        <f t="shared" si="32"/>
        <v>4011727.64</v>
      </c>
      <c r="AP10" s="248">
        <f t="shared" si="10"/>
        <v>-0.460853733098386</v>
      </c>
      <c r="AQ10" s="251">
        <f t="shared" si="32"/>
        <v>16608554.97</v>
      </c>
      <c r="AR10" s="251">
        <f t="shared" si="32"/>
        <v>13409585.96</v>
      </c>
      <c r="AS10" s="248">
        <f t="shared" si="13"/>
        <v>-0.19260971323383</v>
      </c>
      <c r="AT10" s="251">
        <f t="shared" ref="AT10:AX10" si="33">SUM(AT7:AT9)</f>
        <v>47305981.44</v>
      </c>
      <c r="AU10" s="251">
        <f t="shared" si="33"/>
        <v>51869208.64</v>
      </c>
      <c r="AV10" s="248">
        <f t="shared" si="14"/>
        <v>0.0964619496540351</v>
      </c>
      <c r="AW10" s="251">
        <f t="shared" si="33"/>
        <v>9635932.8</v>
      </c>
      <c r="AX10" s="251">
        <f t="shared" si="33"/>
        <v>4810979.63</v>
      </c>
      <c r="AY10" s="248">
        <f t="shared" si="15"/>
        <v>-0.500725074587486</v>
      </c>
      <c r="AZ10" s="251">
        <f>SUM(AZ7:AZ9)</f>
        <v>56941914.24</v>
      </c>
      <c r="BA10" s="251">
        <f>SUM(BA7:BA9)</f>
        <v>56680188.27</v>
      </c>
      <c r="BB10" s="248">
        <f t="shared" si="16"/>
        <v>-0.0045963676053612</v>
      </c>
      <c r="BC10" s="249">
        <f t="shared" si="17"/>
        <v>0.587359463937824</v>
      </c>
    </row>
    <row r="11" s="235" customFormat="1" ht="15" customHeight="1" spans="1:55">
      <c r="A11" s="11" t="s">
        <v>33</v>
      </c>
      <c r="B11" s="238" t="s">
        <v>34</v>
      </c>
      <c r="C11" s="240">
        <v>26000000</v>
      </c>
      <c r="D11" s="241">
        <v>1971859.46</v>
      </c>
      <c r="E11" s="241">
        <v>1683228.28</v>
      </c>
      <c r="F11" s="242">
        <f t="shared" si="18"/>
        <v>-0.14637512756614</v>
      </c>
      <c r="G11" s="241">
        <v>862585.12</v>
      </c>
      <c r="H11" s="241">
        <v>832659.54</v>
      </c>
      <c r="I11" s="242">
        <f t="shared" si="19"/>
        <v>-0.0346929008003291</v>
      </c>
      <c r="J11" s="241">
        <v>1454016.01</v>
      </c>
      <c r="K11" s="241">
        <v>2188918.41</v>
      </c>
      <c r="L11" s="242">
        <f t="shared" si="0"/>
        <v>0.505429372816879</v>
      </c>
      <c r="M11" s="241">
        <v>4288460.59</v>
      </c>
      <c r="N11" s="241">
        <v>4704806.23</v>
      </c>
      <c r="O11" s="242">
        <f t="shared" si="1"/>
        <v>0.0970851034450104</v>
      </c>
      <c r="P11" s="241">
        <v>1189993.77</v>
      </c>
      <c r="Q11" s="241">
        <v>1508708.25</v>
      </c>
      <c r="R11" s="242">
        <f t="shared" si="2"/>
        <v>0.267828696279645</v>
      </c>
      <c r="S11" s="241">
        <v>5478454.36</v>
      </c>
      <c r="T11" s="241">
        <v>6213514.48</v>
      </c>
      <c r="U11" s="242">
        <f t="shared" si="3"/>
        <v>0.134172902008077</v>
      </c>
      <c r="V11" s="241">
        <v>1649605.21</v>
      </c>
      <c r="W11" s="241">
        <v>1736224.19</v>
      </c>
      <c r="X11" s="242">
        <f t="shared" si="4"/>
        <v>0.0525089151482494</v>
      </c>
      <c r="Y11" s="241">
        <v>7128059.57</v>
      </c>
      <c r="Z11" s="241">
        <v>7949738.67</v>
      </c>
      <c r="AA11" s="242">
        <f t="shared" si="5"/>
        <v>0.11527388231409</v>
      </c>
      <c r="AB11" s="241">
        <v>1202502.84</v>
      </c>
      <c r="AC11" s="241">
        <v>2136560.09</v>
      </c>
      <c r="AD11" s="242">
        <f t="shared" si="6"/>
        <v>0.776760951350435</v>
      </c>
      <c r="AE11" s="241">
        <v>8330562.41</v>
      </c>
      <c r="AF11" s="241">
        <v>10086298.76</v>
      </c>
      <c r="AG11" s="242">
        <f t="shared" si="7"/>
        <v>0.210758441457976</v>
      </c>
      <c r="AH11" s="241">
        <v>1775233.87</v>
      </c>
      <c r="AI11" s="241">
        <v>1520600.24</v>
      </c>
      <c r="AJ11" s="242">
        <f t="shared" si="8"/>
        <v>-0.143436667305137</v>
      </c>
      <c r="AK11" s="241">
        <v>1110802.6</v>
      </c>
      <c r="AL11" s="241">
        <v>748570.86</v>
      </c>
      <c r="AM11" s="242">
        <f t="shared" si="9"/>
        <v>-0.326099110679071</v>
      </c>
      <c r="AN11" s="241">
        <v>2053571.01</v>
      </c>
      <c r="AO11" s="241">
        <v>1180401.65</v>
      </c>
      <c r="AP11" s="242">
        <f t="shared" si="10"/>
        <v>-0.425195601100738</v>
      </c>
      <c r="AQ11" s="243">
        <f>AH11+AK11+AN11</f>
        <v>4939607.48</v>
      </c>
      <c r="AR11" s="243">
        <f>AI11+AL11+AO11</f>
        <v>3449572.75</v>
      </c>
      <c r="AS11" s="242">
        <f t="shared" si="13"/>
        <v>-0.301650431948897</v>
      </c>
      <c r="AT11" s="241">
        <v>13270169.89</v>
      </c>
      <c r="AU11" s="241">
        <v>13535871.51</v>
      </c>
      <c r="AV11" s="242">
        <f t="shared" si="14"/>
        <v>0.0200224731260015</v>
      </c>
      <c r="AW11" s="243">
        <v>2117929.23</v>
      </c>
      <c r="AX11" s="243">
        <v>1637345.37</v>
      </c>
      <c r="AY11" s="242">
        <f t="shared" si="15"/>
        <v>-0.226912142857578</v>
      </c>
      <c r="AZ11" s="241">
        <v>15388099.12</v>
      </c>
      <c r="BA11" s="241">
        <v>15173216.88</v>
      </c>
      <c r="BB11" s="242">
        <f t="shared" si="16"/>
        <v>-0.0139641835111859</v>
      </c>
      <c r="BC11" s="244">
        <f t="shared" si="17"/>
        <v>0.583585264615385</v>
      </c>
    </row>
    <row r="12" s="235" customFormat="1" ht="15" customHeight="1" spans="1:55">
      <c r="A12" s="11" t="s">
        <v>35</v>
      </c>
      <c r="B12" s="238" t="s">
        <v>36</v>
      </c>
      <c r="C12" s="240">
        <v>15700000</v>
      </c>
      <c r="D12" s="241">
        <v>1223845.6</v>
      </c>
      <c r="E12" s="241">
        <v>595578.3</v>
      </c>
      <c r="F12" s="242">
        <f t="shared" si="18"/>
        <v>-0.51335503432786</v>
      </c>
      <c r="G12" s="241">
        <v>355310.4</v>
      </c>
      <c r="H12" s="241">
        <v>470333.56</v>
      </c>
      <c r="I12" s="242">
        <f t="shared" si="19"/>
        <v>0.323725846471142</v>
      </c>
      <c r="J12" s="241">
        <v>756633.2</v>
      </c>
      <c r="K12" s="241">
        <v>1014927.78</v>
      </c>
      <c r="L12" s="242">
        <f t="shared" si="0"/>
        <v>0.341373574408313</v>
      </c>
      <c r="M12" s="241">
        <v>2335789.2</v>
      </c>
      <c r="N12" s="241">
        <v>2080839.64</v>
      </c>
      <c r="O12" s="242">
        <f t="shared" si="1"/>
        <v>-0.109149216033707</v>
      </c>
      <c r="P12" s="241">
        <v>683687.2</v>
      </c>
      <c r="Q12" s="241">
        <v>937105.26</v>
      </c>
      <c r="R12" s="242">
        <f t="shared" si="2"/>
        <v>0.370663747982996</v>
      </c>
      <c r="S12" s="241">
        <v>3019476.4</v>
      </c>
      <c r="T12" s="241">
        <v>3017944.9</v>
      </c>
      <c r="U12" s="242">
        <f t="shared" si="3"/>
        <v>-0.0005072071435962</v>
      </c>
      <c r="V12" s="241">
        <v>541949.88</v>
      </c>
      <c r="W12" s="241">
        <v>706896</v>
      </c>
      <c r="X12" s="242">
        <f t="shared" si="4"/>
        <v>0.304356779265271</v>
      </c>
      <c r="Y12" s="241">
        <v>3561426.28</v>
      </c>
      <c r="Z12" s="241">
        <v>3724840.9</v>
      </c>
      <c r="AA12" s="242">
        <f t="shared" si="5"/>
        <v>0.0458845999193336</v>
      </c>
      <c r="AB12" s="241">
        <v>565078.8</v>
      </c>
      <c r="AC12" s="241">
        <v>1078704.88</v>
      </c>
      <c r="AD12" s="242">
        <f t="shared" si="6"/>
        <v>0.908945938159421</v>
      </c>
      <c r="AE12" s="241">
        <v>4126505.08</v>
      </c>
      <c r="AF12" s="241">
        <v>4801339.78</v>
      </c>
      <c r="AG12" s="242">
        <f t="shared" si="7"/>
        <v>0.163536621648846</v>
      </c>
      <c r="AH12" s="241">
        <v>611348.06</v>
      </c>
      <c r="AI12" s="241">
        <v>1116779.66</v>
      </c>
      <c r="AJ12" s="242">
        <f t="shared" si="8"/>
        <v>0.826749331632785</v>
      </c>
      <c r="AK12" s="241">
        <v>565935</v>
      </c>
      <c r="AL12" s="241">
        <v>529250</v>
      </c>
      <c r="AM12" s="242">
        <f t="shared" si="9"/>
        <v>-0.0648219318472969</v>
      </c>
      <c r="AN12" s="241">
        <v>1201478.64</v>
      </c>
      <c r="AO12" s="241">
        <v>574943.16</v>
      </c>
      <c r="AP12" s="242">
        <f t="shared" si="10"/>
        <v>-0.521470344241825</v>
      </c>
      <c r="AQ12" s="243">
        <f>AH12+AK12+AN12</f>
        <v>2378761.7</v>
      </c>
      <c r="AR12" s="243">
        <f>AI12+AL12+AO12</f>
        <v>2220972.82</v>
      </c>
      <c r="AS12" s="242">
        <f t="shared" si="13"/>
        <v>-0.0663323610767739</v>
      </c>
      <c r="AT12" s="241">
        <v>6505266.78</v>
      </c>
      <c r="AU12" s="241">
        <v>7023603.6</v>
      </c>
      <c r="AV12" s="242">
        <f t="shared" si="14"/>
        <v>0.0796795638871552</v>
      </c>
      <c r="AW12" s="243">
        <v>2091707.07</v>
      </c>
      <c r="AX12" s="243">
        <v>407028.36</v>
      </c>
      <c r="AY12" s="242">
        <f t="shared" si="15"/>
        <v>-0.805408526921506</v>
      </c>
      <c r="AZ12" s="241">
        <v>8596973.85</v>
      </c>
      <c r="BA12" s="241">
        <v>7430631.96</v>
      </c>
      <c r="BB12" s="242">
        <f t="shared" si="16"/>
        <v>-0.135668888884663</v>
      </c>
      <c r="BC12" s="244">
        <f t="shared" si="17"/>
        <v>0.473288659872611</v>
      </c>
    </row>
    <row r="13" s="236" customFormat="1" ht="15" customHeight="1" spans="1:55">
      <c r="A13" s="245" t="s">
        <v>37</v>
      </c>
      <c r="B13" s="245"/>
      <c r="C13" s="246">
        <f>SUM(C10:C12)</f>
        <v>138200000</v>
      </c>
      <c r="D13" s="245">
        <f>SUM(D10:D12)</f>
        <v>8450997.22</v>
      </c>
      <c r="E13" s="245">
        <f t="shared" ref="E13:K13" si="34">SUM(E10:E12)</f>
        <v>8358322.95</v>
      </c>
      <c r="F13" s="248">
        <f t="shared" si="18"/>
        <v>-0.0109660750781789</v>
      </c>
      <c r="G13" s="245">
        <f t="shared" si="34"/>
        <v>3639403.25</v>
      </c>
      <c r="H13" s="245">
        <f t="shared" si="34"/>
        <v>5645379.53</v>
      </c>
      <c r="I13" s="248">
        <f t="shared" si="19"/>
        <v>0.551182746786853</v>
      </c>
      <c r="J13" s="245">
        <f t="shared" ref="J13:N13" si="35">SUM(J10:J12)</f>
        <v>6877733.43</v>
      </c>
      <c r="K13" s="245">
        <f t="shared" si="35"/>
        <v>10339802.22</v>
      </c>
      <c r="L13" s="248">
        <f t="shared" si="0"/>
        <v>0.50337350600109</v>
      </c>
      <c r="M13" s="245">
        <f t="shared" si="35"/>
        <v>18968133.9</v>
      </c>
      <c r="N13" s="245">
        <f t="shared" si="35"/>
        <v>24362742.94</v>
      </c>
      <c r="O13" s="248">
        <f t="shared" si="1"/>
        <v>0.284403783125972</v>
      </c>
      <c r="P13" s="245">
        <f t="shared" ref="P13:T13" si="36">SUM(P10:P12)</f>
        <v>7791319.66</v>
      </c>
      <c r="Q13" s="245">
        <f t="shared" si="36"/>
        <v>9125696.45</v>
      </c>
      <c r="R13" s="248">
        <f t="shared" si="2"/>
        <v>0.171264541596282</v>
      </c>
      <c r="S13" s="245">
        <f t="shared" si="36"/>
        <v>26759453.56</v>
      </c>
      <c r="T13" s="245">
        <f t="shared" si="36"/>
        <v>33488439.39</v>
      </c>
      <c r="U13" s="248">
        <f t="shared" si="3"/>
        <v>0.251462004443113</v>
      </c>
      <c r="V13" s="245">
        <f t="shared" ref="V13:Z13" si="37">SUM(V10:V12)</f>
        <v>7991678.08</v>
      </c>
      <c r="W13" s="245">
        <f t="shared" si="37"/>
        <v>8722500.74</v>
      </c>
      <c r="X13" s="248">
        <f t="shared" si="4"/>
        <v>0.0914479603262497</v>
      </c>
      <c r="Y13" s="245">
        <f t="shared" si="37"/>
        <v>34751131.64</v>
      </c>
      <c r="Z13" s="245">
        <f t="shared" si="37"/>
        <v>42270940.13</v>
      </c>
      <c r="AA13" s="248">
        <f t="shared" si="5"/>
        <v>0.21639031982902</v>
      </c>
      <c r="AB13" s="245">
        <f t="shared" ref="AB13:AF13" si="38">SUM(AB10:AB12)</f>
        <v>8403362.32</v>
      </c>
      <c r="AC13" s="245">
        <f t="shared" si="38"/>
        <v>11077842.19</v>
      </c>
      <c r="AD13" s="248">
        <f t="shared" si="6"/>
        <v>0.318263067586023</v>
      </c>
      <c r="AE13" s="245">
        <f t="shared" si="38"/>
        <v>43154493.96</v>
      </c>
      <c r="AF13" s="245">
        <f t="shared" si="38"/>
        <v>53346576.32</v>
      </c>
      <c r="AG13" s="248">
        <f t="shared" si="7"/>
        <v>0.236176616262656</v>
      </c>
      <c r="AH13" s="245">
        <f>SUM(AH10:AH12)</f>
        <v>7090084.49</v>
      </c>
      <c r="AI13" s="245">
        <f>SUM(AI10:AI12)</f>
        <v>7720629.7</v>
      </c>
      <c r="AJ13" s="248">
        <f t="shared" si="8"/>
        <v>0.0889333844877778</v>
      </c>
      <c r="AK13" s="245">
        <f>SUM(AK10:AK12)</f>
        <v>6140900.8</v>
      </c>
      <c r="AL13" s="245">
        <f t="shared" ref="AL13:AR13" si="39">SUM(AL10:AL12)</f>
        <v>5592429.38</v>
      </c>
      <c r="AM13" s="248">
        <f t="shared" si="9"/>
        <v>-0.0893144894963945</v>
      </c>
      <c r="AN13" s="245">
        <f t="shared" si="39"/>
        <v>10695938.86</v>
      </c>
      <c r="AO13" s="245">
        <f t="shared" si="39"/>
        <v>5767072.45</v>
      </c>
      <c r="AP13" s="248">
        <f t="shared" si="10"/>
        <v>-0.460816621571451</v>
      </c>
      <c r="AQ13" s="251">
        <f t="shared" si="39"/>
        <v>23926924.15</v>
      </c>
      <c r="AR13" s="251">
        <f t="shared" si="39"/>
        <v>19080131.53</v>
      </c>
      <c r="AS13" s="248">
        <f t="shared" si="13"/>
        <v>-0.202566472381282</v>
      </c>
      <c r="AT13" s="245">
        <f t="shared" ref="AT13:AX13" si="40">SUM(AT10:AT12)</f>
        <v>67081418.11</v>
      </c>
      <c r="AU13" s="245">
        <f t="shared" si="40"/>
        <v>72428683.75</v>
      </c>
      <c r="AV13" s="248">
        <f t="shared" si="14"/>
        <v>0.0797130679502267</v>
      </c>
      <c r="AW13" s="251">
        <f t="shared" si="40"/>
        <v>13845569.1</v>
      </c>
      <c r="AX13" s="251">
        <f t="shared" si="40"/>
        <v>6855353.36</v>
      </c>
      <c r="AY13" s="248">
        <f t="shared" si="15"/>
        <v>-0.504870236067075</v>
      </c>
      <c r="AZ13" s="245">
        <f>SUM(AZ10:AZ12)</f>
        <v>80926987.21</v>
      </c>
      <c r="BA13" s="245">
        <f>SUM(BA10:BA12)</f>
        <v>79284037.11</v>
      </c>
      <c r="BB13" s="248">
        <f t="shared" si="16"/>
        <v>-0.0203016343081777</v>
      </c>
      <c r="BC13" s="249">
        <f t="shared" si="17"/>
        <v>0.573690572431259</v>
      </c>
    </row>
    <row r="14" s="235" customFormat="1" spans="1:55">
      <c r="A14" s="237"/>
      <c r="B14" s="252"/>
      <c r="C14" s="252"/>
      <c r="D14" s="253"/>
      <c r="E14" s="253"/>
      <c r="F14" s="254"/>
      <c r="G14" s="253"/>
      <c r="H14" s="253"/>
      <c r="I14" s="254"/>
      <c r="J14" s="253"/>
      <c r="K14" s="253"/>
      <c r="L14" s="254"/>
      <c r="P14" s="253"/>
      <c r="Q14" s="253"/>
      <c r="R14" s="254"/>
      <c r="V14" s="253"/>
      <c r="W14" s="253"/>
      <c r="X14" s="254"/>
      <c r="AB14" s="253"/>
      <c r="AC14" s="253"/>
      <c r="AD14" s="254"/>
      <c r="AH14" s="253"/>
      <c r="AI14" s="253"/>
      <c r="AJ14" s="254"/>
      <c r="AK14" s="253"/>
      <c r="AL14" s="253"/>
      <c r="AM14" s="254"/>
      <c r="AN14" s="253"/>
      <c r="AO14" s="253"/>
      <c r="AP14" s="254"/>
      <c r="AQ14" s="254"/>
      <c r="AR14" s="254"/>
      <c r="AS14" s="254"/>
      <c r="AW14" s="254"/>
      <c r="AX14" s="254"/>
      <c r="AY14" s="254"/>
    </row>
    <row r="15" s="235" customFormat="1" spans="1:55">
      <c r="A15" s="237"/>
      <c r="B15" s="237"/>
      <c r="C15" s="237"/>
      <c r="D15" s="253"/>
      <c r="E15" s="253"/>
      <c r="F15" s="254"/>
      <c r="G15" s="253"/>
      <c r="H15" s="253"/>
      <c r="I15" s="254"/>
      <c r="J15" s="253"/>
      <c r="K15" s="253"/>
      <c r="L15" s="254"/>
      <c r="P15" s="253"/>
      <c r="Q15" s="253"/>
      <c r="R15" s="254"/>
      <c r="V15" s="253"/>
      <c r="W15" s="253"/>
      <c r="X15" s="254"/>
      <c r="AB15" s="253"/>
      <c r="AC15" s="253"/>
      <c r="AD15" s="254"/>
      <c r="AH15" s="253"/>
      <c r="AI15" s="253"/>
      <c r="AJ15" s="254"/>
      <c r="AK15" s="253"/>
      <c r="AL15" s="253"/>
      <c r="AM15" s="254"/>
      <c r="AN15" s="253"/>
      <c r="AO15" s="253"/>
      <c r="AP15" s="254"/>
      <c r="AQ15" s="254"/>
      <c r="AR15" s="254"/>
      <c r="AS15" s="254"/>
      <c r="AW15" s="254"/>
      <c r="AX15" s="254"/>
      <c r="AY15" s="254"/>
    </row>
    <row r="16" s="235" customFormat="1" spans="1:55">
      <c r="A16" s="237"/>
      <c r="B16" s="255" t="s">
        <v>38</v>
      </c>
      <c r="C16" s="256"/>
      <c r="D16" s="255">
        <v>159223.48</v>
      </c>
      <c r="E16" s="257">
        <v>10985.2</v>
      </c>
      <c r="F16" s="258">
        <f>E16/D16-1</f>
        <v>-0.931007662940164</v>
      </c>
      <c r="G16" s="257">
        <v>17619.22</v>
      </c>
      <c r="H16" s="257">
        <v>3564.8</v>
      </c>
      <c r="I16" s="258">
        <f>H16/G16-1</f>
        <v>-0.797675493012744</v>
      </c>
      <c r="J16" s="259">
        <v>15307.5</v>
      </c>
      <c r="K16" s="259">
        <v>165.6</v>
      </c>
      <c r="L16" s="258">
        <f>K16/J16-1</f>
        <v>-0.989181773640372</v>
      </c>
      <c r="M16" s="256">
        <v>192150.2</v>
      </c>
      <c r="N16" s="256">
        <v>14715.6</v>
      </c>
      <c r="O16" s="258">
        <f>N16/M16-1</f>
        <v>-0.92341616089913</v>
      </c>
      <c r="P16" s="259">
        <v>15307.5</v>
      </c>
      <c r="Q16" s="259">
        <v>165.6</v>
      </c>
      <c r="R16" s="258">
        <f>Q16/P16-1</f>
        <v>-0.989181773640372</v>
      </c>
      <c r="S16" s="256">
        <v>192150.2</v>
      </c>
      <c r="T16" s="256">
        <v>14715.6</v>
      </c>
      <c r="U16" s="258">
        <f>T16/S16-1</f>
        <v>-0.92341616089913</v>
      </c>
      <c r="V16" s="259">
        <v>7356.6</v>
      </c>
      <c r="W16" s="259"/>
      <c r="X16" s="258">
        <f>W16/V16-1</f>
        <v>-1</v>
      </c>
      <c r="Y16" s="256">
        <v>226296.48</v>
      </c>
      <c r="Z16" s="256">
        <v>14715.6</v>
      </c>
      <c r="AA16" s="258">
        <f>Z16/Y16-1</f>
        <v>-0.934972033148726</v>
      </c>
      <c r="AB16" s="259">
        <v>10109.2</v>
      </c>
      <c r="AC16" s="259">
        <v>6590.6</v>
      </c>
      <c r="AD16" s="258">
        <f>AC16/AB16-1</f>
        <v>-0.348059193605824</v>
      </c>
      <c r="AE16" s="256">
        <v>236405.68</v>
      </c>
      <c r="AF16" s="256">
        <v>21306.2</v>
      </c>
      <c r="AG16" s="258">
        <f>AF16/AE16-1</f>
        <v>-0.909874415876979</v>
      </c>
      <c r="AH16" s="259">
        <v>30218.12</v>
      </c>
      <c r="AI16" s="259">
        <v>10907.2</v>
      </c>
      <c r="AJ16" s="258">
        <f>AI16/AH16-1</f>
        <v>-0.639051006482203</v>
      </c>
      <c r="AK16" s="259">
        <v>18456</v>
      </c>
      <c r="AL16" s="259">
        <v>4860.8</v>
      </c>
      <c r="AM16" s="258">
        <f>AL16/AK16-1</f>
        <v>-0.736627654963156</v>
      </c>
      <c r="AN16" s="259">
        <v>32843.62</v>
      </c>
      <c r="AO16" s="259">
        <v>6872.6</v>
      </c>
      <c r="AP16" s="258">
        <f>AO16/AN16-1</f>
        <v>-0.79074779211305</v>
      </c>
      <c r="AQ16" s="258"/>
      <c r="AR16" s="258"/>
      <c r="AS16" s="258"/>
      <c r="AT16" s="256">
        <v>317923.42</v>
      </c>
      <c r="AU16" s="256">
        <v>43946.8</v>
      </c>
      <c r="AV16" s="258">
        <f>AU16/AT16-1</f>
        <v>-0.861769227318956</v>
      </c>
      <c r="AW16" s="260">
        <v>6011.6</v>
      </c>
      <c r="AX16" s="260">
        <v>9287</v>
      </c>
      <c r="AY16" s="242">
        <f>AX16/AW16-1</f>
        <v>0.544846629848958</v>
      </c>
      <c r="AZ16" s="256">
        <v>323935.02</v>
      </c>
      <c r="BA16" s="256">
        <v>53233.8</v>
      </c>
      <c r="BB16" s="258">
        <f>BA16/AZ16-1</f>
        <v>-0.835665189889009</v>
      </c>
    </row>
    <row r="19" spans="21:54">
      <c r="U19" s="218"/>
      <c r="AA19" s="218"/>
      <c r="AG19" s="218"/>
      <c r="AV19" s="218"/>
      <c r="BB19" s="218"/>
    </row>
  </sheetData>
  <mergeCells count="40">
    <mergeCell ref="D1:E1"/>
    <mergeCell ref="G1:H1"/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AZ1:BA1"/>
    <mergeCell ref="A13:B13"/>
    <mergeCell ref="A1:A2"/>
    <mergeCell ref="A3:A10"/>
    <mergeCell ref="B1:B2"/>
    <mergeCell ref="C1:C2"/>
    <mergeCell ref="F1:F2"/>
    <mergeCell ref="I1:I2"/>
    <mergeCell ref="L1:L2"/>
    <mergeCell ref="O1:O2"/>
    <mergeCell ref="R1:R2"/>
    <mergeCell ref="U1:U2"/>
    <mergeCell ref="X1:X2"/>
    <mergeCell ref="AA1:AA2"/>
    <mergeCell ref="AD1:AD2"/>
    <mergeCell ref="AG1:AG2"/>
    <mergeCell ref="AJ1:AJ2"/>
    <mergeCell ref="AM1:AM2"/>
    <mergeCell ref="AP1:AP2"/>
    <mergeCell ref="AS1:AS2"/>
    <mergeCell ref="AV1:AV2"/>
    <mergeCell ref="AY1:AY2"/>
    <mergeCell ref="BB1:BB2"/>
    <mergeCell ref="BC1:BC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0000"/>
  </sheetPr>
  <dimension ref="A1:BU50"/>
  <sheetViews>
    <sheetView tabSelected="1" workbookViewId="0">
      <pane xSplit="9" ySplit="2" topLeftCell="J39" activePane="bottomRight" state="frozen"/>
      <selection/>
      <selection pane="topRight"/>
      <selection pane="bottomLeft"/>
      <selection pane="bottomRight" activeCell="BJ54" sqref="BJ54"/>
    </sheetView>
  </sheetViews>
  <sheetFormatPr defaultColWidth="9" defaultRowHeight="13"/>
  <cols>
    <col min="1" max="1" width="6.25454545454545" style="20" customWidth="1"/>
    <col min="2" max="2" width="4.75454545454545" style="20" customWidth="1"/>
    <col min="3" max="3" width="30" style="200" customWidth="1"/>
    <col min="4" max="5" width="7.62727272727273" style="20" customWidth="1"/>
    <col min="6" max="6" width="7.37272727272727" style="101" customWidth="1"/>
    <col min="7" max="7" width="11.5090909090909" style="20" hidden="1" customWidth="1"/>
    <col min="8" max="9" width="10.2545454545455" style="20" customWidth="1"/>
    <col min="10" max="12" width="10.2545454545455" style="20" hidden="1" customWidth="1"/>
    <col min="13" max="13" width="9.37272727272727" style="20" hidden="1" customWidth="1"/>
    <col min="14" max="18" width="10.2545454545455" style="20" hidden="1" customWidth="1"/>
    <col min="19" max="24" width="10.2545454545455" style="130" hidden="1" customWidth="1"/>
    <col min="25" max="30" width="11.1272727272727" style="103" hidden="1" customWidth="1"/>
    <col min="31" max="36" width="10.2545454545455" style="130" hidden="1" customWidth="1"/>
    <col min="37" max="60" width="10.2545454545455" style="103" hidden="1" customWidth="1"/>
    <col min="61" max="66" width="10.2545454545455" style="130" customWidth="1"/>
    <col min="67" max="69" width="10.2545454545455" style="130" hidden="1" customWidth="1"/>
    <col min="70" max="70" width="10.2545454545455" style="130" customWidth="1"/>
    <col min="71" max="71" width="9" style="20" customWidth="1"/>
    <col min="72" max="72" width="10.1272727272727" style="20"/>
    <col min="73" max="16384" width="9" style="20"/>
  </cols>
  <sheetData>
    <row r="1" s="199" customFormat="1" spans="1:73">
      <c r="B1" s="23"/>
      <c r="C1" s="201"/>
      <c r="D1" s="23"/>
      <c r="E1" s="23"/>
      <c r="F1" s="202"/>
      <c r="G1" s="23"/>
      <c r="H1" s="203"/>
      <c r="I1" s="204" t="s">
        <v>39</v>
      </c>
      <c r="J1" s="23" t="s">
        <v>3</v>
      </c>
      <c r="K1" s="23"/>
      <c r="L1" s="24" t="s">
        <v>4</v>
      </c>
      <c r="M1" s="23" t="s">
        <v>5</v>
      </c>
      <c r="N1" s="23"/>
      <c r="O1" s="24" t="s">
        <v>4</v>
      </c>
      <c r="P1" s="23" t="s">
        <v>40</v>
      </c>
      <c r="Q1" s="23"/>
      <c r="R1" s="24" t="s">
        <v>4</v>
      </c>
      <c r="S1" s="23" t="s">
        <v>6</v>
      </c>
      <c r="T1" s="23"/>
      <c r="U1" s="24" t="s">
        <v>4</v>
      </c>
      <c r="V1" s="23" t="s">
        <v>7</v>
      </c>
      <c r="W1" s="23"/>
      <c r="X1" s="24" t="s">
        <v>4</v>
      </c>
      <c r="Y1" s="23" t="s">
        <v>8</v>
      </c>
      <c r="Z1" s="23"/>
      <c r="AA1" s="24" t="s">
        <v>4</v>
      </c>
      <c r="AB1" s="23" t="s">
        <v>9</v>
      </c>
      <c r="AC1" s="23"/>
      <c r="AD1" s="71" t="s">
        <v>4</v>
      </c>
      <c r="AE1" s="23" t="s">
        <v>10</v>
      </c>
      <c r="AF1" s="23"/>
      <c r="AG1" s="24" t="s">
        <v>4</v>
      </c>
      <c r="AH1" s="23" t="s">
        <v>11</v>
      </c>
      <c r="AI1" s="23"/>
      <c r="AJ1" s="71" t="s">
        <v>4</v>
      </c>
      <c r="AK1" s="23" t="s">
        <v>12</v>
      </c>
      <c r="AL1" s="23"/>
      <c r="AM1" s="24" t="s">
        <v>4</v>
      </c>
      <c r="AN1" s="23" t="s">
        <v>13</v>
      </c>
      <c r="AO1" s="23"/>
      <c r="AP1" s="71" t="s">
        <v>4</v>
      </c>
      <c r="AQ1" s="23" t="s">
        <v>14</v>
      </c>
      <c r="AR1" s="23"/>
      <c r="AS1" s="24" t="s">
        <v>4</v>
      </c>
      <c r="AT1" s="23" t="s">
        <v>41</v>
      </c>
      <c r="AU1" s="23"/>
      <c r="AV1" s="71" t="s">
        <v>4</v>
      </c>
      <c r="AW1" s="23" t="s">
        <v>15</v>
      </c>
      <c r="AX1" s="23"/>
      <c r="AY1" s="24" t="s">
        <v>4</v>
      </c>
      <c r="AZ1" s="23" t="s">
        <v>42</v>
      </c>
      <c r="BA1" s="23"/>
      <c r="BB1" s="71" t="s">
        <v>4</v>
      </c>
      <c r="BC1" s="72" t="s">
        <v>16</v>
      </c>
      <c r="BD1" s="73"/>
      <c r="BE1" s="71" t="s">
        <v>4</v>
      </c>
      <c r="BF1" s="72" t="s">
        <v>18</v>
      </c>
      <c r="BG1" s="73"/>
      <c r="BH1" s="71" t="s">
        <v>4</v>
      </c>
      <c r="BI1" s="72" t="s">
        <v>19</v>
      </c>
      <c r="BJ1" s="73"/>
      <c r="BK1" s="71" t="s">
        <v>4</v>
      </c>
      <c r="BL1" s="72" t="s">
        <v>20</v>
      </c>
      <c r="BM1" s="73"/>
      <c r="BN1" s="71" t="s">
        <v>4</v>
      </c>
      <c r="BO1" s="73" t="s">
        <v>43</v>
      </c>
      <c r="BP1" s="205" t="s">
        <v>44</v>
      </c>
      <c r="BQ1" s="205" t="s">
        <v>45</v>
      </c>
      <c r="BR1" s="206" t="s">
        <v>21</v>
      </c>
    </row>
    <row r="2" s="130" customFormat="1" ht="18" customHeight="1" spans="1:73">
      <c r="A2" s="130" t="s">
        <v>46</v>
      </c>
      <c r="B2" s="54" t="s">
        <v>47</v>
      </c>
      <c r="C2" s="195" t="s">
        <v>48</v>
      </c>
      <c r="D2" s="54" t="s">
        <v>49</v>
      </c>
      <c r="E2" s="54" t="s">
        <v>50</v>
      </c>
      <c r="F2" s="112" t="s">
        <v>51</v>
      </c>
      <c r="G2" s="54" t="s">
        <v>52</v>
      </c>
      <c r="H2" s="207" t="s">
        <v>53</v>
      </c>
      <c r="I2" s="208"/>
      <c r="J2" s="30" t="s">
        <v>22</v>
      </c>
      <c r="K2" s="30" t="s">
        <v>23</v>
      </c>
      <c r="L2" s="24"/>
      <c r="M2" s="30" t="s">
        <v>22</v>
      </c>
      <c r="N2" s="30" t="s">
        <v>23</v>
      </c>
      <c r="O2" s="24"/>
      <c r="P2" s="30" t="s">
        <v>22</v>
      </c>
      <c r="Q2" s="30" t="s">
        <v>23</v>
      </c>
      <c r="R2" s="24"/>
      <c r="S2" s="30" t="s">
        <v>22</v>
      </c>
      <c r="T2" s="30" t="s">
        <v>23</v>
      </c>
      <c r="U2" s="24"/>
      <c r="V2" s="30" t="s">
        <v>22</v>
      </c>
      <c r="W2" s="30" t="s">
        <v>23</v>
      </c>
      <c r="X2" s="24"/>
      <c r="Y2" s="30" t="s">
        <v>22</v>
      </c>
      <c r="Z2" s="30" t="s">
        <v>23</v>
      </c>
      <c r="AA2" s="24"/>
      <c r="AB2" s="30" t="s">
        <v>22</v>
      </c>
      <c r="AC2" s="30" t="s">
        <v>23</v>
      </c>
      <c r="AD2" s="71"/>
      <c r="AE2" s="30" t="s">
        <v>22</v>
      </c>
      <c r="AF2" s="30" t="s">
        <v>23</v>
      </c>
      <c r="AG2" s="24"/>
      <c r="AH2" s="30" t="s">
        <v>22</v>
      </c>
      <c r="AI2" s="30" t="s">
        <v>23</v>
      </c>
      <c r="AJ2" s="71"/>
      <c r="AK2" s="30" t="s">
        <v>22</v>
      </c>
      <c r="AL2" s="30" t="s">
        <v>23</v>
      </c>
      <c r="AM2" s="24"/>
      <c r="AN2" s="30" t="s">
        <v>22</v>
      </c>
      <c r="AO2" s="30" t="s">
        <v>23</v>
      </c>
      <c r="AP2" s="71"/>
      <c r="AQ2" s="30" t="s">
        <v>22</v>
      </c>
      <c r="AR2" s="30" t="s">
        <v>23</v>
      </c>
      <c r="AS2" s="24"/>
      <c r="AT2" s="30" t="s">
        <v>22</v>
      </c>
      <c r="AU2" s="30" t="s">
        <v>23</v>
      </c>
      <c r="AV2" s="71"/>
      <c r="AW2" s="30" t="s">
        <v>22</v>
      </c>
      <c r="AX2" s="30" t="s">
        <v>23</v>
      </c>
      <c r="AY2" s="24"/>
      <c r="AZ2" s="30" t="s">
        <v>22</v>
      </c>
      <c r="BA2" s="30" t="s">
        <v>23</v>
      </c>
      <c r="BB2" s="71"/>
      <c r="BC2" s="30" t="s">
        <v>22</v>
      </c>
      <c r="BD2" s="30" t="s">
        <v>23</v>
      </c>
      <c r="BE2" s="71"/>
      <c r="BF2" s="30" t="s">
        <v>22</v>
      </c>
      <c r="BG2" s="30" t="s">
        <v>23</v>
      </c>
      <c r="BH2" s="71"/>
      <c r="BI2" s="30" t="s">
        <v>22</v>
      </c>
      <c r="BJ2" s="30" t="s">
        <v>23</v>
      </c>
      <c r="BK2" s="71"/>
      <c r="BL2" s="30" t="s">
        <v>22</v>
      </c>
      <c r="BM2" s="30" t="s">
        <v>23</v>
      </c>
      <c r="BN2" s="71"/>
      <c r="BO2" s="30" t="s">
        <v>22</v>
      </c>
      <c r="BP2" s="30" t="s">
        <v>22</v>
      </c>
      <c r="BQ2" s="30" t="s">
        <v>22</v>
      </c>
      <c r="BR2" s="209"/>
      <c r="BS2" s="130" t="s">
        <v>54</v>
      </c>
      <c r="BT2" s="130" t="s">
        <v>55</v>
      </c>
      <c r="BU2" s="130" t="s">
        <v>56</v>
      </c>
    </row>
    <row r="3" s="130" customFormat="1" spans="1:73">
      <c r="A3" s="138" t="s">
        <v>25</v>
      </c>
      <c r="B3" s="138" t="s">
        <v>25</v>
      </c>
      <c r="C3" s="210" t="s">
        <v>57</v>
      </c>
      <c r="D3" s="187" t="s">
        <v>58</v>
      </c>
      <c r="E3" s="187" t="s">
        <v>58</v>
      </c>
      <c r="F3" s="110" t="s">
        <v>59</v>
      </c>
      <c r="G3" s="187" t="s">
        <v>59</v>
      </c>
      <c r="H3" s="46" t="s">
        <v>60</v>
      </c>
      <c r="I3" s="211">
        <v>800</v>
      </c>
      <c r="J3" s="212">
        <v>100000</v>
      </c>
      <c r="K3" s="212">
        <v>180000</v>
      </c>
      <c r="L3" s="114">
        <f t="shared" ref="L3:L16" si="0">K3/J3-1</f>
        <v>0.8</v>
      </c>
      <c r="M3" s="212"/>
      <c r="N3" s="212">
        <v>90000</v>
      </c>
      <c r="O3" s="114" t="e">
        <f t="shared" ref="O3:O43" si="1">N3/M3-1</f>
        <v>#DIV/0!</v>
      </c>
      <c r="P3" s="212">
        <f t="shared" ref="P3:R3" si="2">J3+M3</f>
        <v>100000</v>
      </c>
      <c r="Q3" s="212">
        <f t="shared" si="2"/>
        <v>270000</v>
      </c>
      <c r="R3" s="114">
        <f t="shared" ref="R3:R43" si="3">Q3/P3-1</f>
        <v>1.7</v>
      </c>
      <c r="S3" s="29">
        <v>540000</v>
      </c>
      <c r="T3" s="29">
        <v>200000</v>
      </c>
      <c r="U3" s="114">
        <f>T3/S3-1</f>
        <v>-0.62962962962963</v>
      </c>
      <c r="V3" s="29">
        <f>S3+P3</f>
        <v>640000</v>
      </c>
      <c r="W3" s="29">
        <f>T3+Q3</f>
        <v>470000</v>
      </c>
      <c r="X3" s="114">
        <f>W3/V3-1</f>
        <v>-0.265625</v>
      </c>
      <c r="Y3" s="36">
        <v>550000</v>
      </c>
      <c r="Z3" s="36">
        <f>620000+30000+42800</f>
        <v>692800</v>
      </c>
      <c r="AA3" s="213">
        <f>Z3/Y3-1</f>
        <v>0.259636363636364</v>
      </c>
      <c r="AB3" s="36">
        <f>Y3+V3</f>
        <v>1190000</v>
      </c>
      <c r="AC3" s="36">
        <f>Z3+W3</f>
        <v>1162800</v>
      </c>
      <c r="AD3" s="213">
        <f>AC3/AB3-1</f>
        <v>-0.0228571428571429</v>
      </c>
      <c r="AE3" s="46">
        <v>513000</v>
      </c>
      <c r="AF3" s="211">
        <v>480000</v>
      </c>
      <c r="AG3" s="213">
        <f>AF3/AE3-1</f>
        <v>-0.064327485380117</v>
      </c>
      <c r="AH3" s="211">
        <f>AE3+AB3</f>
        <v>1703000</v>
      </c>
      <c r="AI3" s="211">
        <f>AF3+AC3</f>
        <v>1642800</v>
      </c>
      <c r="AJ3" s="213">
        <f>AI3/AH3-1</f>
        <v>-0.0353493834409865</v>
      </c>
      <c r="AK3" s="214">
        <v>350000</v>
      </c>
      <c r="AL3" s="214">
        <v>180000</v>
      </c>
      <c r="AM3" s="213">
        <f>AL3/AK3-1</f>
        <v>-0.485714285714286</v>
      </c>
      <c r="AN3" s="214">
        <f>AK3+AH3</f>
        <v>2053000</v>
      </c>
      <c r="AO3" s="214">
        <f>AL3+AI3</f>
        <v>1822800</v>
      </c>
      <c r="AP3" s="213">
        <f>AO3/AN3-1</f>
        <v>-0.112128592303945</v>
      </c>
      <c r="AQ3" s="214">
        <v>200000</v>
      </c>
      <c r="AR3" s="214">
        <v>420000</v>
      </c>
      <c r="AS3" s="213">
        <f>AR3/AQ3-1</f>
        <v>1.1</v>
      </c>
      <c r="AT3" s="214">
        <f>AQ3+AN3</f>
        <v>2253000</v>
      </c>
      <c r="AU3" s="214">
        <f>AR3+AO3</f>
        <v>2242800</v>
      </c>
      <c r="AV3" s="213">
        <f>AU3/AT3-1</f>
        <v>-0.00452729693741682</v>
      </c>
      <c r="AW3" s="47">
        <v>190000</v>
      </c>
      <c r="AX3" s="47">
        <v>310000</v>
      </c>
      <c r="AY3" s="213">
        <f>AX3/AW3-1</f>
        <v>0.631578947368421</v>
      </c>
      <c r="AZ3" s="47">
        <f>AW3+AT3</f>
        <v>2443000</v>
      </c>
      <c r="BA3" s="47">
        <f>AX3+AU3</f>
        <v>2552800</v>
      </c>
      <c r="BB3" s="213">
        <f>BA3/AZ3-1</f>
        <v>0.04494474007368</v>
      </c>
      <c r="BC3" s="47">
        <v>730000</v>
      </c>
      <c r="BD3" s="47">
        <v>250000</v>
      </c>
      <c r="BE3" s="213">
        <f>BD3/BC3-1</f>
        <v>-0.657534246575342</v>
      </c>
      <c r="BF3" s="47">
        <f>BC3+AZ3</f>
        <v>3173000</v>
      </c>
      <c r="BG3" s="47">
        <f>BD3+BA3</f>
        <v>2802800</v>
      </c>
      <c r="BH3" s="213">
        <f>BG3/BF3-1</f>
        <v>-0.116671919319256</v>
      </c>
      <c r="BI3" s="48">
        <v>840000</v>
      </c>
      <c r="BJ3" s="48">
        <v>300000</v>
      </c>
      <c r="BK3" s="213">
        <f>BJ3/BI3-1</f>
        <v>-0.642857142857143</v>
      </c>
      <c r="BL3" s="48">
        <f>BI3+BF3</f>
        <v>4013000</v>
      </c>
      <c r="BM3" s="48">
        <f>BJ3+BG3</f>
        <v>3102800</v>
      </c>
      <c r="BN3" s="213">
        <f>BM3/BL3-1</f>
        <v>-0.226812858210815</v>
      </c>
      <c r="BO3" s="48">
        <v>180000</v>
      </c>
      <c r="BP3" s="48">
        <v>260000</v>
      </c>
      <c r="BQ3" s="48">
        <v>4453000</v>
      </c>
      <c r="BR3" s="114">
        <f>(BM3+BM4)/10000/I3</f>
        <v>0.55794035</v>
      </c>
      <c r="BS3" s="130">
        <v>83000</v>
      </c>
      <c r="BT3" s="130">
        <f>30000+42800</f>
        <v>72800</v>
      </c>
    </row>
    <row r="4" s="130" customFormat="1" spans="1:73">
      <c r="A4" s="138" t="s">
        <v>25</v>
      </c>
      <c r="B4" s="138" t="s">
        <v>25</v>
      </c>
      <c r="C4" s="215" t="s">
        <v>61</v>
      </c>
      <c r="D4" s="187" t="s">
        <v>58</v>
      </c>
      <c r="E4" s="187" t="s">
        <v>58</v>
      </c>
      <c r="F4" s="110" t="s">
        <v>59</v>
      </c>
      <c r="G4" s="187" t="s">
        <v>59</v>
      </c>
      <c r="H4" s="46" t="s">
        <v>60</v>
      </c>
      <c r="I4" s="211"/>
      <c r="J4" s="212">
        <v>109082.35</v>
      </c>
      <c r="K4" s="212">
        <v>85017.95</v>
      </c>
      <c r="L4" s="114">
        <f t="shared" si="0"/>
        <v>-0.220607641841233</v>
      </c>
      <c r="M4" s="212"/>
      <c r="N4" s="212">
        <v>124698.5</v>
      </c>
      <c r="O4" s="114" t="e">
        <f t="shared" si="1"/>
        <v>#DIV/0!</v>
      </c>
      <c r="P4" s="212">
        <f t="shared" ref="P4:P42" si="4">J4+M4</f>
        <v>109082.35</v>
      </c>
      <c r="Q4" s="212">
        <f t="shared" ref="Q4:Q42" si="5">K4+N4</f>
        <v>209716.45</v>
      </c>
      <c r="R4" s="114">
        <f t="shared" si="3"/>
        <v>0.92255163186345</v>
      </c>
      <c r="S4" s="29">
        <v>98942.87</v>
      </c>
      <c r="T4" s="29"/>
      <c r="U4" s="114">
        <f t="shared" ref="U4:U46" si="6">T4/S4-1</f>
        <v>-1</v>
      </c>
      <c r="V4" s="29">
        <f t="shared" ref="V4:V45" si="7">S4+P4</f>
        <v>208025.22</v>
      </c>
      <c r="W4" s="29">
        <f t="shared" ref="W4:W45" si="8">T4+Q4</f>
        <v>209716.45</v>
      </c>
      <c r="X4" s="114">
        <f t="shared" ref="X4:X46" si="9">W4/V4-1</f>
        <v>0.00812992770780396</v>
      </c>
      <c r="Y4" s="36">
        <v>96183.1</v>
      </c>
      <c r="Z4" s="36">
        <v>277266.5</v>
      </c>
      <c r="AA4" s="213">
        <f t="shared" ref="AA4:AA46" si="10">Z4/Y4-1</f>
        <v>1.88269456900433</v>
      </c>
      <c r="AB4" s="36">
        <f t="shared" ref="AB4:AB45" si="11">Y4+V4</f>
        <v>304208.32</v>
      </c>
      <c r="AC4" s="36">
        <f t="shared" ref="AC4:AC46" si="12">Z4+W4</f>
        <v>486982.95</v>
      </c>
      <c r="AD4" s="213">
        <f t="shared" ref="AD4:AD46" si="13">AC4/AB4-1</f>
        <v>0.600820615294151</v>
      </c>
      <c r="AE4" s="46">
        <v>108234.5</v>
      </c>
      <c r="AF4" s="211">
        <v>108269.25</v>
      </c>
      <c r="AG4" s="213">
        <f t="shared" ref="AG4:AG50" si="14">AF4/AE4-1</f>
        <v>0.00032106213822769</v>
      </c>
      <c r="AH4" s="211">
        <f t="shared" ref="AH4:AH49" si="15">AE4+AB4</f>
        <v>412442.82</v>
      </c>
      <c r="AI4" s="211">
        <f t="shared" ref="AI4:AI49" si="16">AF4+AC4</f>
        <v>595252.2</v>
      </c>
      <c r="AJ4" s="213">
        <f t="shared" ref="AJ4:AJ50" si="17">AI4/AH4-1</f>
        <v>0.443235695071622</v>
      </c>
      <c r="AK4" s="214">
        <v>329415.3</v>
      </c>
      <c r="AL4" s="214">
        <v>173565</v>
      </c>
      <c r="AM4" s="213">
        <f t="shared" ref="AM4:AM50" si="18">AL4/AK4-1</f>
        <v>-0.473111904638309</v>
      </c>
      <c r="AN4" s="214">
        <f t="shared" ref="AN4:AN50" si="19">AK4+AH4</f>
        <v>741858.12</v>
      </c>
      <c r="AO4" s="214">
        <f t="shared" ref="AO4:AO50" si="20">AL4+AI4</f>
        <v>768817.2</v>
      </c>
      <c r="AP4" s="213">
        <f t="shared" ref="AP4:AP50" si="21">AO4/AN4-1</f>
        <v>0.036339940580552</v>
      </c>
      <c r="AQ4" s="214">
        <v>83070</v>
      </c>
      <c r="AR4" s="214">
        <v>256417.7</v>
      </c>
      <c r="AS4" s="213">
        <f t="shared" ref="AS4:AS49" si="22">AR4/AQ4-1</f>
        <v>2.08676658240039</v>
      </c>
      <c r="AT4" s="214">
        <f t="shared" ref="AT4:AT49" si="23">AQ4+AN4</f>
        <v>824928.12</v>
      </c>
      <c r="AU4" s="214">
        <f t="shared" ref="AU4:AU49" si="24">AR4+AO4</f>
        <v>1025234.9</v>
      </c>
      <c r="AV4" s="213">
        <f t="shared" ref="AV4:AV49" si="25">AU4/AT4-1</f>
        <v>0.24281725297472</v>
      </c>
      <c r="AW4" s="47">
        <v>170557.8</v>
      </c>
      <c r="AX4" s="47">
        <v>110759</v>
      </c>
      <c r="AY4" s="213">
        <f t="shared" ref="AY4:AY49" si="26">AX4/AW4-1</f>
        <v>-0.350607242823254</v>
      </c>
      <c r="AZ4" s="47">
        <f t="shared" ref="AZ4:AZ49" si="27">AW4+AT4</f>
        <v>995485.92</v>
      </c>
      <c r="BA4" s="47">
        <f t="shared" ref="BA4:BA49" si="28">AX4+AU4</f>
        <v>1135993.9</v>
      </c>
      <c r="BB4" s="213">
        <f>BA4/AZ4-1</f>
        <v>0.141145120364937</v>
      </c>
      <c r="BC4" s="47">
        <v>58082.8</v>
      </c>
      <c r="BD4" s="47"/>
      <c r="BE4" s="213">
        <f t="shared" ref="BE4:BE49" si="29">BD4/BC4-1</f>
        <v>-1</v>
      </c>
      <c r="BF4" s="47">
        <f t="shared" ref="BF4:BF49" si="30">BC4+AZ4</f>
        <v>1053568.72</v>
      </c>
      <c r="BG4" s="47">
        <f t="shared" ref="BG4:BG49" si="31">BD4+BA4</f>
        <v>1135993.9</v>
      </c>
      <c r="BH4" s="213">
        <f>BG4/BF4-1</f>
        <v>0.0782342702809171</v>
      </c>
      <c r="BI4" s="48"/>
      <c r="BJ4" s="48">
        <v>224728.9</v>
      </c>
      <c r="BK4" s="213" t="e">
        <f t="shared" ref="BK4:BK49" si="32">BJ4/BI4-1</f>
        <v>#DIV/0!</v>
      </c>
      <c r="BL4" s="48">
        <f t="shared" ref="BL4:BL48" si="33">BI4+BF4</f>
        <v>1053568.72</v>
      </c>
      <c r="BM4" s="48">
        <f t="shared" ref="BM4:BM48" si="34">BJ4+BG4</f>
        <v>1360722.8</v>
      </c>
      <c r="BN4" s="213">
        <f t="shared" ref="BN4:BN49" si="35">BM4/BL4-1</f>
        <v>0.29153682542891</v>
      </c>
      <c r="BO4" s="48">
        <v>407846.4</v>
      </c>
      <c r="BP4" s="48">
        <v>134778.1</v>
      </c>
      <c r="BQ4" s="48">
        <v>1596193.22</v>
      </c>
      <c r="BR4" s="114"/>
    </row>
    <row r="5" s="130" customFormat="1" spans="1:73">
      <c r="A5" s="138" t="s">
        <v>25</v>
      </c>
      <c r="B5" s="138" t="s">
        <v>25</v>
      </c>
      <c r="C5" s="195" t="s">
        <v>62</v>
      </c>
      <c r="D5" s="187" t="s">
        <v>63</v>
      </c>
      <c r="E5" s="187" t="s">
        <v>58</v>
      </c>
      <c r="F5" s="110" t="s">
        <v>64</v>
      </c>
      <c r="G5" s="110" t="s">
        <v>64</v>
      </c>
      <c r="H5" s="46" t="s">
        <v>65</v>
      </c>
      <c r="I5" s="211">
        <v>130</v>
      </c>
      <c r="J5" s="212"/>
      <c r="K5" s="212">
        <v>100000</v>
      </c>
      <c r="L5" s="114" t="e">
        <f t="shared" si="0"/>
        <v>#DIV/0!</v>
      </c>
      <c r="M5" s="212"/>
      <c r="N5" s="212"/>
      <c r="O5" s="114" t="e">
        <f t="shared" si="1"/>
        <v>#DIV/0!</v>
      </c>
      <c r="P5" s="212">
        <f t="shared" si="4"/>
        <v>0</v>
      </c>
      <c r="Q5" s="212">
        <f t="shared" si="5"/>
        <v>100000</v>
      </c>
      <c r="R5" s="114" t="e">
        <f t="shared" si="3"/>
        <v>#DIV/0!</v>
      </c>
      <c r="S5" s="29"/>
      <c r="T5" s="29">
        <v>60000</v>
      </c>
      <c r="U5" s="114" t="e">
        <f t="shared" si="6"/>
        <v>#DIV/0!</v>
      </c>
      <c r="V5" s="29">
        <f t="shared" si="7"/>
        <v>0</v>
      </c>
      <c r="W5" s="29">
        <f t="shared" si="8"/>
        <v>160000</v>
      </c>
      <c r="X5" s="114" t="e">
        <f t="shared" si="9"/>
        <v>#DIV/0!</v>
      </c>
      <c r="Y5" s="36">
        <v>100000</v>
      </c>
      <c r="Z5" s="36">
        <v>50000</v>
      </c>
      <c r="AA5" s="213">
        <f t="shared" si="10"/>
        <v>-0.5</v>
      </c>
      <c r="AB5" s="36">
        <f t="shared" si="11"/>
        <v>100000</v>
      </c>
      <c r="AC5" s="36">
        <f t="shared" si="12"/>
        <v>210000</v>
      </c>
      <c r="AD5" s="213">
        <f t="shared" si="13"/>
        <v>1.1</v>
      </c>
      <c r="AE5" s="46">
        <v>100000</v>
      </c>
      <c r="AF5" s="211">
        <v>60000</v>
      </c>
      <c r="AG5" s="213">
        <f t="shared" si="14"/>
        <v>-0.4</v>
      </c>
      <c r="AH5" s="211">
        <f t="shared" si="15"/>
        <v>200000</v>
      </c>
      <c r="AI5" s="211">
        <f t="shared" si="16"/>
        <v>270000</v>
      </c>
      <c r="AJ5" s="213">
        <f t="shared" si="17"/>
        <v>0.35</v>
      </c>
      <c r="AK5" s="214">
        <v>100000</v>
      </c>
      <c r="AL5" s="214">
        <v>120000</v>
      </c>
      <c r="AM5" s="213">
        <f t="shared" si="18"/>
        <v>0.2</v>
      </c>
      <c r="AN5" s="214">
        <f t="shared" si="19"/>
        <v>300000</v>
      </c>
      <c r="AO5" s="214">
        <f t="shared" si="20"/>
        <v>390000</v>
      </c>
      <c r="AP5" s="213">
        <f t="shared" si="21"/>
        <v>0.3</v>
      </c>
      <c r="AQ5" s="214">
        <v>100000</v>
      </c>
      <c r="AR5" s="214">
        <v>100000</v>
      </c>
      <c r="AS5" s="213">
        <f t="shared" si="22"/>
        <v>0</v>
      </c>
      <c r="AT5" s="214">
        <f t="shared" si="23"/>
        <v>400000</v>
      </c>
      <c r="AU5" s="214">
        <f t="shared" si="24"/>
        <v>490000</v>
      </c>
      <c r="AV5" s="213">
        <f t="shared" si="25"/>
        <v>0.225</v>
      </c>
      <c r="AW5" s="47">
        <v>100000</v>
      </c>
      <c r="AX5" s="47">
        <v>50000</v>
      </c>
      <c r="AY5" s="213">
        <f t="shared" si="26"/>
        <v>-0.5</v>
      </c>
      <c r="AZ5" s="47">
        <f t="shared" si="27"/>
        <v>500000</v>
      </c>
      <c r="BA5" s="47">
        <f t="shared" si="28"/>
        <v>540000</v>
      </c>
      <c r="BB5" s="213">
        <f t="shared" ref="BB5:BB49" si="36">BA5/AZ5-1</f>
        <v>0.0800000000000001</v>
      </c>
      <c r="BC5" s="47">
        <v>100000</v>
      </c>
      <c r="BD5" s="47">
        <v>100000</v>
      </c>
      <c r="BE5" s="213">
        <f t="shared" si="29"/>
        <v>0</v>
      </c>
      <c r="BF5" s="47">
        <f t="shared" si="30"/>
        <v>600000</v>
      </c>
      <c r="BG5" s="47">
        <f t="shared" si="31"/>
        <v>640000</v>
      </c>
      <c r="BH5" s="213">
        <f t="shared" ref="BH5:BH49" si="37">BG5/BF5-1</f>
        <v>0.0666666666666667</v>
      </c>
      <c r="BI5" s="48">
        <v>100000</v>
      </c>
      <c r="BJ5" s="48">
        <v>100000</v>
      </c>
      <c r="BK5" s="213">
        <f t="shared" si="32"/>
        <v>0</v>
      </c>
      <c r="BL5" s="48">
        <f t="shared" si="33"/>
        <v>700000</v>
      </c>
      <c r="BM5" s="48">
        <f t="shared" si="34"/>
        <v>740000</v>
      </c>
      <c r="BN5" s="213">
        <f t="shared" si="35"/>
        <v>0.0571428571428572</v>
      </c>
      <c r="BO5" s="48">
        <v>200000</v>
      </c>
      <c r="BP5" s="48">
        <v>100000</v>
      </c>
      <c r="BQ5" s="48">
        <v>1000000</v>
      </c>
      <c r="BR5" s="114">
        <f>BM5/10000/I5</f>
        <v>0.569230769230769</v>
      </c>
    </row>
    <row r="6" s="130" customFormat="1" spans="1:73">
      <c r="A6" s="138" t="s">
        <v>25</v>
      </c>
      <c r="B6" s="138" t="s">
        <v>25</v>
      </c>
      <c r="C6" s="261" t="s">
        <v>66</v>
      </c>
      <c r="D6" s="187" t="s">
        <v>67</v>
      </c>
      <c r="E6" s="187" t="s">
        <v>67</v>
      </c>
      <c r="F6" s="110" t="s">
        <v>68</v>
      </c>
      <c r="G6" s="187" t="s">
        <v>68</v>
      </c>
      <c r="H6" s="46" t="s">
        <v>65</v>
      </c>
      <c r="I6" s="211">
        <v>190</v>
      </c>
      <c r="J6" s="212">
        <v>140000</v>
      </c>
      <c r="K6" s="212">
        <v>41700</v>
      </c>
      <c r="L6" s="114">
        <f t="shared" si="0"/>
        <v>-0.702142857142857</v>
      </c>
      <c r="M6" s="212">
        <v>60000</v>
      </c>
      <c r="N6" s="212">
        <f>20000+7875</f>
        <v>27875</v>
      </c>
      <c r="O6" s="114">
        <f t="shared" si="1"/>
        <v>-0.535416666666667</v>
      </c>
      <c r="P6" s="212">
        <f t="shared" si="4"/>
        <v>200000</v>
      </c>
      <c r="Q6" s="212">
        <f t="shared" si="5"/>
        <v>69575</v>
      </c>
      <c r="R6" s="114">
        <f t="shared" si="3"/>
        <v>-0.652125</v>
      </c>
      <c r="S6" s="29">
        <v>60000</v>
      </c>
      <c r="T6" s="29">
        <f>55000+39786</f>
        <v>94786</v>
      </c>
      <c r="U6" s="114">
        <f t="shared" si="6"/>
        <v>0.579766666666667</v>
      </c>
      <c r="V6" s="29">
        <f t="shared" si="7"/>
        <v>260000</v>
      </c>
      <c r="W6" s="29">
        <f t="shared" si="8"/>
        <v>164361</v>
      </c>
      <c r="X6" s="114">
        <f t="shared" si="9"/>
        <v>-0.367842307692308</v>
      </c>
      <c r="Y6" s="36">
        <v>270219</v>
      </c>
      <c r="Z6" s="36">
        <v>67000</v>
      </c>
      <c r="AA6" s="213">
        <f t="shared" si="10"/>
        <v>-0.752052964447356</v>
      </c>
      <c r="AB6" s="36">
        <f t="shared" si="11"/>
        <v>530219</v>
      </c>
      <c r="AC6" s="36">
        <f t="shared" si="12"/>
        <v>231361</v>
      </c>
      <c r="AD6" s="213">
        <f t="shared" si="13"/>
        <v>-0.563650114386697</v>
      </c>
      <c r="AE6" s="46">
        <v>61019</v>
      </c>
      <c r="AF6" s="211"/>
      <c r="AG6" s="213">
        <f t="shared" si="14"/>
        <v>-1</v>
      </c>
      <c r="AH6" s="211">
        <f t="shared" si="15"/>
        <v>591238</v>
      </c>
      <c r="AI6" s="211">
        <f t="shared" si="16"/>
        <v>231361</v>
      </c>
      <c r="AJ6" s="213">
        <f t="shared" si="17"/>
        <v>-0.60868381261015</v>
      </c>
      <c r="AK6" s="214">
        <v>501898</v>
      </c>
      <c r="AL6" s="214">
        <v>30253.74</v>
      </c>
      <c r="AM6" s="213">
        <f t="shared" si="18"/>
        <v>-0.939721337801705</v>
      </c>
      <c r="AN6" s="214">
        <f t="shared" si="19"/>
        <v>1093136</v>
      </c>
      <c r="AO6" s="214">
        <f t="shared" si="20"/>
        <v>261614.74</v>
      </c>
      <c r="AP6" s="213">
        <f t="shared" si="21"/>
        <v>-0.760675030371335</v>
      </c>
      <c r="AQ6" s="214"/>
      <c r="AR6" s="214">
        <v>40000</v>
      </c>
      <c r="AS6" s="213" t="e">
        <f t="shared" si="22"/>
        <v>#DIV/0!</v>
      </c>
      <c r="AT6" s="214">
        <f t="shared" si="23"/>
        <v>1093136</v>
      </c>
      <c r="AU6" s="214">
        <f t="shared" si="24"/>
        <v>301614.74</v>
      </c>
      <c r="AV6" s="213">
        <f t="shared" si="25"/>
        <v>-0.724083060113289</v>
      </c>
      <c r="AW6" s="47"/>
      <c r="AX6" s="47">
        <v>70000</v>
      </c>
      <c r="AY6" s="213" t="e">
        <f t="shared" si="26"/>
        <v>#DIV/0!</v>
      </c>
      <c r="AZ6" s="47">
        <f t="shared" si="27"/>
        <v>1093136</v>
      </c>
      <c r="BA6" s="47">
        <f t="shared" si="28"/>
        <v>371614.74</v>
      </c>
      <c r="BB6" s="213">
        <f t="shared" si="36"/>
        <v>-0.660047112161707</v>
      </c>
      <c r="BC6" s="47">
        <v>43506</v>
      </c>
      <c r="BD6" s="47">
        <v>30000</v>
      </c>
      <c r="BE6" s="213">
        <f t="shared" si="29"/>
        <v>-0.310439939318715</v>
      </c>
      <c r="BF6" s="47">
        <f t="shared" si="30"/>
        <v>1136642</v>
      </c>
      <c r="BG6" s="47">
        <f t="shared" si="31"/>
        <v>401614.74</v>
      </c>
      <c r="BH6" s="213">
        <f t="shared" si="37"/>
        <v>-0.646665581599132</v>
      </c>
      <c r="BI6" s="48">
        <v>89609</v>
      </c>
      <c r="BJ6" s="48">
        <v>40000</v>
      </c>
      <c r="BK6" s="213">
        <f t="shared" si="32"/>
        <v>-0.553616266223259</v>
      </c>
      <c r="BL6" s="48">
        <f t="shared" si="33"/>
        <v>1226251</v>
      </c>
      <c r="BM6" s="48">
        <f t="shared" si="34"/>
        <v>441614.74</v>
      </c>
      <c r="BN6" s="213">
        <f t="shared" si="35"/>
        <v>-0.639865949140918</v>
      </c>
      <c r="BO6" s="48">
        <v>10000</v>
      </c>
      <c r="BP6" s="48">
        <v>175000</v>
      </c>
      <c r="BQ6" s="48">
        <v>1411251</v>
      </c>
      <c r="BR6" s="114">
        <f t="shared" ref="BR6:BR49" si="38">BM6/10000/I6</f>
        <v>0.232428810526316</v>
      </c>
      <c r="BS6" s="130">
        <v>61019</v>
      </c>
    </row>
    <row r="7" s="130" customFormat="1" spans="1:73">
      <c r="A7" s="138" t="s">
        <v>25</v>
      </c>
      <c r="B7" s="138" t="s">
        <v>25</v>
      </c>
      <c r="C7" s="195" t="s">
        <v>69</v>
      </c>
      <c r="D7" s="187" t="s">
        <v>67</v>
      </c>
      <c r="E7" s="187" t="s">
        <v>67</v>
      </c>
      <c r="F7" s="110" t="s">
        <v>70</v>
      </c>
      <c r="G7" s="187" t="s">
        <v>70</v>
      </c>
      <c r="H7" s="46" t="s">
        <v>65</v>
      </c>
      <c r="I7" s="211">
        <v>270</v>
      </c>
      <c r="J7" s="212">
        <v>215180.88</v>
      </c>
      <c r="K7" s="212">
        <v>10000</v>
      </c>
      <c r="L7" s="114">
        <f t="shared" si="0"/>
        <v>-0.953527469540974</v>
      </c>
      <c r="M7" s="212">
        <v>146500</v>
      </c>
      <c r="N7" s="212">
        <v>83000</v>
      </c>
      <c r="O7" s="114">
        <f t="shared" si="1"/>
        <v>-0.433447098976109</v>
      </c>
      <c r="P7" s="212">
        <f t="shared" si="4"/>
        <v>361680.88</v>
      </c>
      <c r="Q7" s="212">
        <f t="shared" si="5"/>
        <v>93000</v>
      </c>
      <c r="R7" s="114">
        <f t="shared" si="3"/>
        <v>-0.7428672480558</v>
      </c>
      <c r="S7" s="29">
        <v>280836</v>
      </c>
      <c r="T7" s="29">
        <v>71000</v>
      </c>
      <c r="U7" s="114">
        <f t="shared" si="6"/>
        <v>-0.74718340953439</v>
      </c>
      <c r="V7" s="29">
        <f t="shared" si="7"/>
        <v>642516.88</v>
      </c>
      <c r="W7" s="29">
        <f t="shared" si="8"/>
        <v>164000</v>
      </c>
      <c r="X7" s="114">
        <f t="shared" si="9"/>
        <v>-0.744753787635898</v>
      </c>
      <c r="Y7" s="36">
        <v>201000</v>
      </c>
      <c r="Z7" s="36">
        <v>140000</v>
      </c>
      <c r="AA7" s="213">
        <f t="shared" si="10"/>
        <v>-0.303482587064677</v>
      </c>
      <c r="AB7" s="36">
        <f t="shared" si="11"/>
        <v>843516.88</v>
      </c>
      <c r="AC7" s="36">
        <f t="shared" si="12"/>
        <v>304000</v>
      </c>
      <c r="AD7" s="213">
        <f t="shared" si="13"/>
        <v>-0.639604129795245</v>
      </c>
      <c r="AE7" s="46">
        <v>182933</v>
      </c>
      <c r="AF7" s="211">
        <v>70000</v>
      </c>
      <c r="AG7" s="213">
        <f t="shared" si="14"/>
        <v>-0.617346241520119</v>
      </c>
      <c r="AH7" s="211">
        <f t="shared" si="15"/>
        <v>1026449.88</v>
      </c>
      <c r="AI7" s="211">
        <f t="shared" si="16"/>
        <v>374000</v>
      </c>
      <c r="AJ7" s="213">
        <f t="shared" si="17"/>
        <v>-0.635637348411011</v>
      </c>
      <c r="AK7" s="214">
        <v>205000</v>
      </c>
      <c r="AL7" s="214">
        <v>65840</v>
      </c>
      <c r="AM7" s="213">
        <f t="shared" si="18"/>
        <v>-0.678829268292683</v>
      </c>
      <c r="AN7" s="214">
        <f t="shared" si="19"/>
        <v>1231449.88</v>
      </c>
      <c r="AO7" s="214">
        <f t="shared" si="20"/>
        <v>439840</v>
      </c>
      <c r="AP7" s="213">
        <f t="shared" si="21"/>
        <v>-0.642827526200254</v>
      </c>
      <c r="AQ7" s="214">
        <v>157000</v>
      </c>
      <c r="AR7" s="214">
        <v>39000</v>
      </c>
      <c r="AS7" s="213">
        <f t="shared" si="22"/>
        <v>-0.751592356687898</v>
      </c>
      <c r="AT7" s="214">
        <f t="shared" si="23"/>
        <v>1388449.88</v>
      </c>
      <c r="AU7" s="214">
        <f t="shared" si="24"/>
        <v>478840</v>
      </c>
      <c r="AV7" s="213">
        <f t="shared" si="25"/>
        <v>-0.655126190078968</v>
      </c>
      <c r="AW7" s="47">
        <v>106000</v>
      </c>
      <c r="AX7" s="47">
        <v>95500</v>
      </c>
      <c r="AY7" s="213">
        <f t="shared" si="26"/>
        <v>-0.0990566037735849</v>
      </c>
      <c r="AZ7" s="47">
        <f t="shared" si="27"/>
        <v>1494449.88</v>
      </c>
      <c r="BA7" s="47">
        <f t="shared" si="28"/>
        <v>574340</v>
      </c>
      <c r="BB7" s="213">
        <f t="shared" si="36"/>
        <v>-0.615684669197471</v>
      </c>
      <c r="BC7" s="47">
        <v>142000</v>
      </c>
      <c r="BD7" s="47">
        <v>19000</v>
      </c>
      <c r="BE7" s="213">
        <f t="shared" si="29"/>
        <v>-0.866197183098592</v>
      </c>
      <c r="BF7" s="47">
        <f t="shared" si="30"/>
        <v>1636449.88</v>
      </c>
      <c r="BG7" s="47">
        <f t="shared" si="31"/>
        <v>593340</v>
      </c>
      <c r="BH7" s="213">
        <f t="shared" si="37"/>
        <v>-0.637422442782055</v>
      </c>
      <c r="BI7" s="48">
        <v>219169</v>
      </c>
      <c r="BJ7" s="48">
        <v>34000</v>
      </c>
      <c r="BK7" s="213">
        <f t="shared" si="32"/>
        <v>-0.844868571741441</v>
      </c>
      <c r="BL7" s="48">
        <f t="shared" si="33"/>
        <v>1855618.88</v>
      </c>
      <c r="BM7" s="48">
        <f t="shared" si="34"/>
        <v>627340</v>
      </c>
      <c r="BN7" s="213">
        <f t="shared" si="35"/>
        <v>-0.661924112347898</v>
      </c>
      <c r="BO7" s="48">
        <v>239000</v>
      </c>
      <c r="BP7" s="48">
        <v>343500</v>
      </c>
      <c r="BQ7" s="48">
        <v>2438118.88</v>
      </c>
      <c r="BR7" s="114">
        <f t="shared" si="38"/>
        <v>0.232348148148148</v>
      </c>
      <c r="BS7" s="130">
        <v>106933</v>
      </c>
    </row>
    <row r="8" s="130" customFormat="1" spans="1:73">
      <c r="A8" s="138" t="s">
        <v>25</v>
      </c>
      <c r="B8" s="138" t="s">
        <v>25</v>
      </c>
      <c r="C8" s="216" t="s">
        <v>71</v>
      </c>
      <c r="D8" s="187" t="s">
        <v>67</v>
      </c>
      <c r="E8" s="187" t="s">
        <v>67</v>
      </c>
      <c r="F8" s="110" t="s">
        <v>72</v>
      </c>
      <c r="G8" s="187" t="s">
        <v>72</v>
      </c>
      <c r="H8" s="46" t="s">
        <v>65</v>
      </c>
      <c r="I8" s="211">
        <v>190</v>
      </c>
      <c r="J8" s="212">
        <v>100000</v>
      </c>
      <c r="K8" s="212">
        <v>149040</v>
      </c>
      <c r="L8" s="114">
        <f t="shared" si="0"/>
        <v>0.4904</v>
      </c>
      <c r="M8" s="212">
        <v>30000</v>
      </c>
      <c r="N8" s="212">
        <v>72140</v>
      </c>
      <c r="O8" s="114">
        <f t="shared" si="1"/>
        <v>1.40466666666667</v>
      </c>
      <c r="P8" s="212">
        <f t="shared" si="4"/>
        <v>130000</v>
      </c>
      <c r="Q8" s="212">
        <f t="shared" si="5"/>
        <v>221180</v>
      </c>
      <c r="R8" s="114">
        <f t="shared" si="3"/>
        <v>0.701384615384615</v>
      </c>
      <c r="S8" s="29">
        <v>70000</v>
      </c>
      <c r="T8" s="29">
        <v>160000</v>
      </c>
      <c r="U8" s="114">
        <f t="shared" si="6"/>
        <v>1.28571428571429</v>
      </c>
      <c r="V8" s="29">
        <f t="shared" si="7"/>
        <v>200000</v>
      </c>
      <c r="W8" s="29">
        <f t="shared" si="8"/>
        <v>381180</v>
      </c>
      <c r="X8" s="114">
        <f t="shared" si="9"/>
        <v>0.9059</v>
      </c>
      <c r="Y8" s="36">
        <v>90000</v>
      </c>
      <c r="Z8" s="36">
        <v>100000</v>
      </c>
      <c r="AA8" s="213">
        <f t="shared" si="10"/>
        <v>0.111111111111111</v>
      </c>
      <c r="AB8" s="36">
        <f t="shared" si="11"/>
        <v>290000</v>
      </c>
      <c r="AC8" s="36">
        <f t="shared" si="12"/>
        <v>481180</v>
      </c>
      <c r="AD8" s="213">
        <f t="shared" si="13"/>
        <v>0.659241379310345</v>
      </c>
      <c r="AE8" s="46">
        <v>65253</v>
      </c>
      <c r="AF8" s="211">
        <v>90000</v>
      </c>
      <c r="AG8" s="213">
        <f t="shared" si="14"/>
        <v>0.379246931175578</v>
      </c>
      <c r="AH8" s="211">
        <f t="shared" si="15"/>
        <v>355253</v>
      </c>
      <c r="AI8" s="211">
        <f t="shared" si="16"/>
        <v>571180</v>
      </c>
      <c r="AJ8" s="213">
        <f t="shared" si="17"/>
        <v>0.607811897436475</v>
      </c>
      <c r="AK8" s="214">
        <v>555000</v>
      </c>
      <c r="AL8" s="214">
        <v>275000</v>
      </c>
      <c r="AM8" s="213">
        <f t="shared" si="18"/>
        <v>-0.504504504504504</v>
      </c>
      <c r="AN8" s="214">
        <f t="shared" si="19"/>
        <v>910253</v>
      </c>
      <c r="AO8" s="214">
        <f t="shared" si="20"/>
        <v>846180</v>
      </c>
      <c r="AP8" s="213">
        <f t="shared" si="21"/>
        <v>-0.0703903200538751</v>
      </c>
      <c r="AQ8" s="214"/>
      <c r="AR8" s="214"/>
      <c r="AS8" s="213" t="e">
        <f t="shared" si="22"/>
        <v>#DIV/0!</v>
      </c>
      <c r="AT8" s="214">
        <f t="shared" si="23"/>
        <v>910253</v>
      </c>
      <c r="AU8" s="214">
        <f t="shared" si="24"/>
        <v>846180</v>
      </c>
      <c r="AV8" s="213">
        <f t="shared" si="25"/>
        <v>-0.0703903200538751</v>
      </c>
      <c r="AW8" s="47"/>
      <c r="AX8" s="47">
        <v>30000</v>
      </c>
      <c r="AY8" s="213" t="e">
        <f t="shared" si="26"/>
        <v>#DIV/0!</v>
      </c>
      <c r="AZ8" s="47">
        <f t="shared" si="27"/>
        <v>910253</v>
      </c>
      <c r="BA8" s="47">
        <f t="shared" si="28"/>
        <v>876180</v>
      </c>
      <c r="BB8" s="213">
        <f t="shared" si="36"/>
        <v>-0.0374324500990384</v>
      </c>
      <c r="BC8" s="47">
        <v>6799</v>
      </c>
      <c r="BD8" s="47">
        <v>10000</v>
      </c>
      <c r="BE8" s="213">
        <f t="shared" si="29"/>
        <v>0.470804530077953</v>
      </c>
      <c r="BF8" s="47">
        <f t="shared" si="30"/>
        <v>917052</v>
      </c>
      <c r="BG8" s="47">
        <f t="shared" si="31"/>
        <v>886180</v>
      </c>
      <c r="BH8" s="213">
        <f t="shared" si="37"/>
        <v>-0.0336643941673973</v>
      </c>
      <c r="BI8" s="48">
        <v>137020</v>
      </c>
      <c r="BJ8" s="48">
        <v>100000</v>
      </c>
      <c r="BK8" s="213">
        <f t="shared" si="32"/>
        <v>-0.270179535834185</v>
      </c>
      <c r="BL8" s="48">
        <f t="shared" si="33"/>
        <v>1054072</v>
      </c>
      <c r="BM8" s="48">
        <f t="shared" si="34"/>
        <v>986180</v>
      </c>
      <c r="BN8" s="213">
        <f t="shared" si="35"/>
        <v>-0.0644092623653792</v>
      </c>
      <c r="BO8" s="48">
        <v>182000</v>
      </c>
      <c r="BP8" s="48">
        <v>220000</v>
      </c>
      <c r="BQ8" s="48">
        <v>1456072</v>
      </c>
      <c r="BR8" s="114">
        <f t="shared" si="38"/>
        <v>0.519042105263158</v>
      </c>
      <c r="BS8" s="130">
        <v>50253</v>
      </c>
    </row>
    <row r="9" s="130" customFormat="1" spans="1:73">
      <c r="A9" s="138" t="s">
        <v>25</v>
      </c>
      <c r="B9" s="138" t="s">
        <v>25</v>
      </c>
      <c r="C9" s="261" t="s">
        <v>73</v>
      </c>
      <c r="D9" s="187" t="s">
        <v>63</v>
      </c>
      <c r="E9" s="187" t="s">
        <v>63</v>
      </c>
      <c r="F9" s="110" t="s">
        <v>74</v>
      </c>
      <c r="G9" s="187" t="s">
        <v>74</v>
      </c>
      <c r="H9" s="46" t="s">
        <v>65</v>
      </c>
      <c r="I9" s="211"/>
      <c r="J9" s="212">
        <v>10000</v>
      </c>
      <c r="K9" s="212"/>
      <c r="L9" s="114">
        <f t="shared" si="0"/>
        <v>-1</v>
      </c>
      <c r="M9" s="212"/>
      <c r="N9" s="212"/>
      <c r="O9" s="114" t="e">
        <f t="shared" si="1"/>
        <v>#DIV/0!</v>
      </c>
      <c r="P9" s="212">
        <f t="shared" si="4"/>
        <v>10000</v>
      </c>
      <c r="Q9" s="212">
        <f t="shared" si="5"/>
        <v>0</v>
      </c>
      <c r="R9" s="114">
        <f t="shared" si="3"/>
        <v>-1</v>
      </c>
      <c r="S9" s="29">
        <v>10000</v>
      </c>
      <c r="T9" s="29"/>
      <c r="U9" s="114">
        <f t="shared" si="6"/>
        <v>-1</v>
      </c>
      <c r="V9" s="29">
        <f t="shared" si="7"/>
        <v>20000</v>
      </c>
      <c r="W9" s="29">
        <f t="shared" si="8"/>
        <v>0</v>
      </c>
      <c r="X9" s="114">
        <f t="shared" si="9"/>
        <v>-1</v>
      </c>
      <c r="Y9" s="36">
        <v>10000</v>
      </c>
      <c r="Z9" s="36"/>
      <c r="AA9" s="213">
        <f t="shared" si="10"/>
        <v>-1</v>
      </c>
      <c r="AB9" s="36">
        <f t="shared" si="11"/>
        <v>30000</v>
      </c>
      <c r="AC9" s="36">
        <f t="shared" si="12"/>
        <v>0</v>
      </c>
      <c r="AD9" s="213">
        <f t="shared" si="13"/>
        <v>-1</v>
      </c>
      <c r="AE9" s="46"/>
      <c r="AF9" s="211"/>
      <c r="AG9" s="213" t="e">
        <f t="shared" si="14"/>
        <v>#DIV/0!</v>
      </c>
      <c r="AH9" s="211">
        <f t="shared" si="15"/>
        <v>30000</v>
      </c>
      <c r="AI9" s="211">
        <f t="shared" si="16"/>
        <v>0</v>
      </c>
      <c r="AJ9" s="213">
        <f t="shared" si="17"/>
        <v>-1</v>
      </c>
      <c r="AK9" s="214"/>
      <c r="AL9" s="214"/>
      <c r="AM9" s="213" t="e">
        <f t="shared" si="18"/>
        <v>#DIV/0!</v>
      </c>
      <c r="AN9" s="214">
        <f t="shared" si="19"/>
        <v>30000</v>
      </c>
      <c r="AO9" s="214">
        <f t="shared" si="20"/>
        <v>0</v>
      </c>
      <c r="AP9" s="213">
        <f t="shared" si="21"/>
        <v>-1</v>
      </c>
      <c r="AQ9" s="214"/>
      <c r="AR9" s="214"/>
      <c r="AS9" s="213" t="e">
        <f t="shared" si="22"/>
        <v>#DIV/0!</v>
      </c>
      <c r="AT9" s="214">
        <f t="shared" si="23"/>
        <v>30000</v>
      </c>
      <c r="AU9" s="214">
        <f t="shared" si="24"/>
        <v>0</v>
      </c>
      <c r="AV9" s="213">
        <f t="shared" si="25"/>
        <v>-1</v>
      </c>
      <c r="AW9" s="47"/>
      <c r="AX9" s="47"/>
      <c r="AY9" s="213" t="e">
        <f t="shared" si="26"/>
        <v>#DIV/0!</v>
      </c>
      <c r="AZ9" s="47">
        <f t="shared" si="27"/>
        <v>30000</v>
      </c>
      <c r="BA9" s="47">
        <f t="shared" si="28"/>
        <v>0</v>
      </c>
      <c r="BB9" s="213">
        <f t="shared" si="36"/>
        <v>-1</v>
      </c>
      <c r="BC9" s="47"/>
      <c r="BD9" s="47"/>
      <c r="BE9" s="213" t="e">
        <f t="shared" si="29"/>
        <v>#DIV/0!</v>
      </c>
      <c r="BF9" s="47">
        <f t="shared" si="30"/>
        <v>30000</v>
      </c>
      <c r="BG9" s="47">
        <f t="shared" si="31"/>
        <v>0</v>
      </c>
      <c r="BH9" s="213">
        <f t="shared" si="37"/>
        <v>-1</v>
      </c>
      <c r="BI9" s="48"/>
      <c r="BJ9" s="48"/>
      <c r="BK9" s="213" t="e">
        <f t="shared" si="32"/>
        <v>#DIV/0!</v>
      </c>
      <c r="BL9" s="48">
        <f t="shared" si="33"/>
        <v>30000</v>
      </c>
      <c r="BM9" s="48">
        <f t="shared" si="34"/>
        <v>0</v>
      </c>
      <c r="BN9" s="213">
        <f t="shared" si="35"/>
        <v>-1</v>
      </c>
      <c r="BO9" s="48"/>
      <c r="BP9" s="48"/>
      <c r="BQ9" s="48">
        <v>30000</v>
      </c>
      <c r="BR9" s="114" t="e">
        <f t="shared" si="38"/>
        <v>#DIV/0!</v>
      </c>
    </row>
    <row r="10" s="130" customFormat="1" spans="1:73">
      <c r="A10" s="138" t="s">
        <v>25</v>
      </c>
      <c r="B10" s="138" t="s">
        <v>25</v>
      </c>
      <c r="C10" s="195" t="s">
        <v>75</v>
      </c>
      <c r="D10" s="187" t="s">
        <v>63</v>
      </c>
      <c r="E10" s="187" t="s">
        <v>63</v>
      </c>
      <c r="F10" s="110" t="s">
        <v>76</v>
      </c>
      <c r="G10" s="187" t="s">
        <v>76</v>
      </c>
      <c r="H10" s="46" t="s">
        <v>65</v>
      </c>
      <c r="I10" s="211">
        <v>60</v>
      </c>
      <c r="J10" s="212">
        <v>10980</v>
      </c>
      <c r="K10" s="212">
        <v>1887</v>
      </c>
      <c r="L10" s="114">
        <f t="shared" si="0"/>
        <v>-0.828142076502732</v>
      </c>
      <c r="M10" s="212">
        <v>10390</v>
      </c>
      <c r="N10" s="212"/>
      <c r="O10" s="114">
        <f t="shared" si="1"/>
        <v>-1</v>
      </c>
      <c r="P10" s="212">
        <f t="shared" si="4"/>
        <v>21370</v>
      </c>
      <c r="Q10" s="212">
        <f t="shared" si="5"/>
        <v>1887</v>
      </c>
      <c r="R10" s="114">
        <f t="shared" si="3"/>
        <v>-0.911698642957417</v>
      </c>
      <c r="S10" s="29">
        <v>20613</v>
      </c>
      <c r="T10" s="29">
        <v>21472</v>
      </c>
      <c r="U10" s="114">
        <f t="shared" si="6"/>
        <v>0.0416727308009508</v>
      </c>
      <c r="V10" s="29">
        <f t="shared" si="7"/>
        <v>41983</v>
      </c>
      <c r="W10" s="29">
        <f t="shared" si="8"/>
        <v>23359</v>
      </c>
      <c r="X10" s="114">
        <f t="shared" si="9"/>
        <v>-0.443608127099064</v>
      </c>
      <c r="Y10" s="36">
        <v>14343</v>
      </c>
      <c r="Z10" s="36">
        <v>24592</v>
      </c>
      <c r="AA10" s="213">
        <f t="shared" si="10"/>
        <v>0.71456459597016</v>
      </c>
      <c r="AB10" s="36">
        <f t="shared" si="11"/>
        <v>56326</v>
      </c>
      <c r="AC10" s="36">
        <f t="shared" si="12"/>
        <v>47951</v>
      </c>
      <c r="AD10" s="213">
        <f t="shared" si="13"/>
        <v>-0.148687994886908</v>
      </c>
      <c r="AE10" s="46">
        <v>10168</v>
      </c>
      <c r="AF10" s="211">
        <v>35823</v>
      </c>
      <c r="AG10" s="213">
        <f t="shared" si="14"/>
        <v>2.52311172305271</v>
      </c>
      <c r="AH10" s="211">
        <f t="shared" si="15"/>
        <v>66494</v>
      </c>
      <c r="AI10" s="211">
        <f t="shared" si="16"/>
        <v>83774</v>
      </c>
      <c r="AJ10" s="213">
        <f t="shared" si="17"/>
        <v>0.259873071254549</v>
      </c>
      <c r="AK10" s="214">
        <v>6124</v>
      </c>
      <c r="AL10" s="214">
        <v>40090</v>
      </c>
      <c r="AM10" s="213">
        <f t="shared" si="18"/>
        <v>5.54637491835402</v>
      </c>
      <c r="AN10" s="214">
        <f t="shared" si="19"/>
        <v>72618</v>
      </c>
      <c r="AO10" s="214">
        <f t="shared" si="20"/>
        <v>123864</v>
      </c>
      <c r="AP10" s="213">
        <f t="shared" si="21"/>
        <v>0.705692803437164</v>
      </c>
      <c r="AQ10" s="214"/>
      <c r="AR10" s="214">
        <v>5841</v>
      </c>
      <c r="AS10" s="213" t="e">
        <f t="shared" si="22"/>
        <v>#DIV/0!</v>
      </c>
      <c r="AT10" s="214">
        <f t="shared" si="23"/>
        <v>72618</v>
      </c>
      <c r="AU10" s="214">
        <f t="shared" si="24"/>
        <v>129705</v>
      </c>
      <c r="AV10" s="213">
        <f t="shared" si="25"/>
        <v>0.786127406428158</v>
      </c>
      <c r="AW10" s="47">
        <v>9927</v>
      </c>
      <c r="AX10" s="47">
        <v>19585</v>
      </c>
      <c r="AY10" s="213">
        <f t="shared" si="26"/>
        <v>0.97290218595749</v>
      </c>
      <c r="AZ10" s="47">
        <f t="shared" si="27"/>
        <v>82545</v>
      </c>
      <c r="BA10" s="47">
        <f t="shared" si="28"/>
        <v>149290</v>
      </c>
      <c r="BB10" s="213">
        <f t="shared" si="36"/>
        <v>0.808589254346114</v>
      </c>
      <c r="BC10" s="47">
        <v>97064</v>
      </c>
      <c r="BD10" s="47">
        <v>24536</v>
      </c>
      <c r="BE10" s="213">
        <f t="shared" si="29"/>
        <v>-0.747218330173906</v>
      </c>
      <c r="BF10" s="47">
        <f t="shared" si="30"/>
        <v>179609</v>
      </c>
      <c r="BG10" s="47">
        <f t="shared" si="31"/>
        <v>173826</v>
      </c>
      <c r="BH10" s="213">
        <f t="shared" si="37"/>
        <v>-0.0321977183771415</v>
      </c>
      <c r="BI10" s="48">
        <v>75532</v>
      </c>
      <c r="BJ10" s="48"/>
      <c r="BK10" s="213">
        <f t="shared" si="32"/>
        <v>-1</v>
      </c>
      <c r="BL10" s="48">
        <f t="shared" si="33"/>
        <v>255141</v>
      </c>
      <c r="BM10" s="48">
        <f t="shared" si="34"/>
        <v>173826</v>
      </c>
      <c r="BN10" s="213">
        <f t="shared" si="35"/>
        <v>-0.318706127200254</v>
      </c>
      <c r="BO10" s="48"/>
      <c r="BP10" s="48">
        <v>119846</v>
      </c>
      <c r="BQ10" s="48">
        <v>374987</v>
      </c>
      <c r="BR10" s="114">
        <f t="shared" si="38"/>
        <v>0.28971</v>
      </c>
    </row>
    <row r="11" s="130" customFormat="1" spans="1:73">
      <c r="A11" s="138" t="s">
        <v>25</v>
      </c>
      <c r="B11" s="138" t="s">
        <v>25</v>
      </c>
      <c r="C11" s="195" t="s">
        <v>77</v>
      </c>
      <c r="D11" s="187" t="s">
        <v>63</v>
      </c>
      <c r="E11" s="187" t="s">
        <v>63</v>
      </c>
      <c r="F11" s="110" t="s">
        <v>78</v>
      </c>
      <c r="G11" s="187" t="s">
        <v>79</v>
      </c>
      <c r="H11" s="46" t="s">
        <v>60</v>
      </c>
      <c r="I11" s="211">
        <v>10</v>
      </c>
      <c r="J11" s="212">
        <v>11748</v>
      </c>
      <c r="K11" s="212"/>
      <c r="L11" s="114">
        <f t="shared" si="0"/>
        <v>-1</v>
      </c>
      <c r="M11" s="212">
        <v>16445</v>
      </c>
      <c r="N11" s="212">
        <v>2274</v>
      </c>
      <c r="O11" s="114">
        <f t="shared" si="1"/>
        <v>-0.861720887807844</v>
      </c>
      <c r="P11" s="212">
        <f t="shared" si="4"/>
        <v>28193</v>
      </c>
      <c r="Q11" s="212">
        <f t="shared" si="5"/>
        <v>2274</v>
      </c>
      <c r="R11" s="114">
        <f t="shared" si="3"/>
        <v>-0.919341680559004</v>
      </c>
      <c r="S11" s="29">
        <v>800</v>
      </c>
      <c r="T11" s="29"/>
      <c r="U11" s="114">
        <f t="shared" si="6"/>
        <v>-1</v>
      </c>
      <c r="V11" s="29">
        <f t="shared" si="7"/>
        <v>28993</v>
      </c>
      <c r="W11" s="29">
        <f t="shared" si="8"/>
        <v>2274</v>
      </c>
      <c r="X11" s="114">
        <f t="shared" si="9"/>
        <v>-0.921567274859449</v>
      </c>
      <c r="Y11" s="36"/>
      <c r="Z11" s="36">
        <v>2217</v>
      </c>
      <c r="AA11" s="213" t="e">
        <f t="shared" si="10"/>
        <v>#DIV/0!</v>
      </c>
      <c r="AB11" s="36">
        <f t="shared" si="11"/>
        <v>28993</v>
      </c>
      <c r="AC11" s="36">
        <f t="shared" si="12"/>
        <v>4491</v>
      </c>
      <c r="AD11" s="213">
        <f t="shared" si="13"/>
        <v>-0.84510054151002</v>
      </c>
      <c r="AE11" s="46">
        <v>19214</v>
      </c>
      <c r="AF11" s="211">
        <v>13140</v>
      </c>
      <c r="AG11" s="213">
        <f t="shared" si="14"/>
        <v>-0.316123659831373</v>
      </c>
      <c r="AH11" s="211">
        <f t="shared" si="15"/>
        <v>48207</v>
      </c>
      <c r="AI11" s="211">
        <f t="shared" si="16"/>
        <v>17631</v>
      </c>
      <c r="AJ11" s="213">
        <f t="shared" si="17"/>
        <v>-0.634264733337482</v>
      </c>
      <c r="AK11" s="214"/>
      <c r="AL11" s="214"/>
      <c r="AM11" s="213" t="e">
        <f t="shared" si="18"/>
        <v>#DIV/0!</v>
      </c>
      <c r="AN11" s="214">
        <f t="shared" si="19"/>
        <v>48207</v>
      </c>
      <c r="AO11" s="214">
        <f t="shared" si="20"/>
        <v>17631</v>
      </c>
      <c r="AP11" s="213">
        <f t="shared" si="21"/>
        <v>-0.634264733337482</v>
      </c>
      <c r="AQ11" s="214">
        <v>4009</v>
      </c>
      <c r="AR11" s="214">
        <v>3043</v>
      </c>
      <c r="AS11" s="213">
        <f t="shared" si="22"/>
        <v>-0.24095784484909</v>
      </c>
      <c r="AT11" s="214">
        <f t="shared" si="23"/>
        <v>52216</v>
      </c>
      <c r="AU11" s="214">
        <f t="shared" si="24"/>
        <v>20674</v>
      </c>
      <c r="AV11" s="213">
        <f t="shared" si="25"/>
        <v>-0.60406771870691</v>
      </c>
      <c r="AW11" s="47">
        <v>10575</v>
      </c>
      <c r="AX11" s="47"/>
      <c r="AY11" s="213">
        <f t="shared" si="26"/>
        <v>-1</v>
      </c>
      <c r="AZ11" s="47">
        <f t="shared" si="27"/>
        <v>62791</v>
      </c>
      <c r="BA11" s="47">
        <f t="shared" si="28"/>
        <v>20674</v>
      </c>
      <c r="BB11" s="213">
        <f t="shared" si="36"/>
        <v>-0.670748992690035</v>
      </c>
      <c r="BC11" s="47">
        <v>800</v>
      </c>
      <c r="BD11" s="47"/>
      <c r="BE11" s="213">
        <f t="shared" si="29"/>
        <v>-1</v>
      </c>
      <c r="BF11" s="47">
        <f t="shared" si="30"/>
        <v>63591</v>
      </c>
      <c r="BG11" s="47">
        <f t="shared" si="31"/>
        <v>20674</v>
      </c>
      <c r="BH11" s="213">
        <f t="shared" si="37"/>
        <v>-0.674891100941957</v>
      </c>
      <c r="BI11" s="48">
        <v>3078</v>
      </c>
      <c r="BJ11" s="48"/>
      <c r="BK11" s="213">
        <f t="shared" si="32"/>
        <v>-1</v>
      </c>
      <c r="BL11" s="48">
        <f t="shared" si="33"/>
        <v>66669</v>
      </c>
      <c r="BM11" s="48">
        <f t="shared" si="34"/>
        <v>20674</v>
      </c>
      <c r="BN11" s="213">
        <f t="shared" si="35"/>
        <v>-0.689900853470129</v>
      </c>
      <c r="BO11" s="48"/>
      <c r="BP11" s="48">
        <v>3200</v>
      </c>
      <c r="BQ11" s="48">
        <v>69869</v>
      </c>
      <c r="BR11" s="114">
        <f t="shared" si="38"/>
        <v>0.20674</v>
      </c>
    </row>
    <row r="12" s="103" customFormat="1" ht="14" spans="1:73">
      <c r="A12" s="138" t="s">
        <v>25</v>
      </c>
      <c r="B12" s="138" t="s">
        <v>25</v>
      </c>
      <c r="C12" s="217" t="s">
        <v>80</v>
      </c>
      <c r="D12" s="110" t="s">
        <v>81</v>
      </c>
      <c r="E12" s="187" t="s">
        <v>81</v>
      </c>
      <c r="F12" s="110" t="s">
        <v>78</v>
      </c>
      <c r="G12" s="110" t="s">
        <v>82</v>
      </c>
      <c r="H12" s="46" t="s">
        <v>83</v>
      </c>
      <c r="I12" s="211">
        <v>560</v>
      </c>
      <c r="J12" s="212">
        <v>-55370.32</v>
      </c>
      <c r="K12" s="212">
        <v>513987.69</v>
      </c>
      <c r="L12" s="114">
        <f t="shared" si="0"/>
        <v>-10.282729267232</v>
      </c>
      <c r="M12" s="212"/>
      <c r="N12" s="218">
        <v>456944.83</v>
      </c>
      <c r="O12" s="114" t="e">
        <f t="shared" si="1"/>
        <v>#DIV/0!</v>
      </c>
      <c r="P12" s="212">
        <f t="shared" si="4"/>
        <v>-55370.32</v>
      </c>
      <c r="Q12" s="212">
        <f t="shared" si="5"/>
        <v>970932.52</v>
      </c>
      <c r="R12" s="114">
        <f t="shared" si="3"/>
        <v>-18.5352520989584</v>
      </c>
      <c r="S12" s="29"/>
      <c r="T12" s="29">
        <f>591327.2+48000</f>
        <v>639327.2</v>
      </c>
      <c r="U12" s="114" t="e">
        <f t="shared" si="6"/>
        <v>#DIV/0!</v>
      </c>
      <c r="V12" s="29">
        <f t="shared" si="7"/>
        <v>-55370.32</v>
      </c>
      <c r="W12" s="29">
        <f t="shared" si="8"/>
        <v>1610259.72</v>
      </c>
      <c r="X12" s="114">
        <f t="shared" si="9"/>
        <v>-30.0816401277796</v>
      </c>
      <c r="Y12" s="36">
        <v>442229.3</v>
      </c>
      <c r="Z12" s="36">
        <f>279375.22+41000+60000</f>
        <v>380375.22</v>
      </c>
      <c r="AA12" s="213">
        <f t="shared" si="10"/>
        <v>-0.139868796572276</v>
      </c>
      <c r="AB12" s="36">
        <f t="shared" si="11"/>
        <v>386858.98</v>
      </c>
      <c r="AC12" s="36">
        <f t="shared" si="12"/>
        <v>1990634.94</v>
      </c>
      <c r="AD12" s="213">
        <f t="shared" si="13"/>
        <v>4.1456345668905</v>
      </c>
      <c r="AE12" s="46">
        <v>309190.52</v>
      </c>
      <c r="AF12" s="211">
        <v>403454.03</v>
      </c>
      <c r="AG12" s="213">
        <f t="shared" si="14"/>
        <v>0.304871928156141</v>
      </c>
      <c r="AH12" s="211">
        <f t="shared" si="15"/>
        <v>696049.5</v>
      </c>
      <c r="AI12" s="211">
        <f t="shared" si="16"/>
        <v>2394088.97</v>
      </c>
      <c r="AJ12" s="213">
        <f t="shared" si="17"/>
        <v>2.43953838053184</v>
      </c>
      <c r="AK12" s="214">
        <v>319675.55</v>
      </c>
      <c r="AL12" s="214">
        <v>521128.98</v>
      </c>
      <c r="AM12" s="213">
        <f t="shared" si="18"/>
        <v>0.63018091311644</v>
      </c>
      <c r="AN12" s="214">
        <f t="shared" si="19"/>
        <v>1015725.05</v>
      </c>
      <c r="AO12" s="214">
        <f t="shared" si="20"/>
        <v>2915217.95</v>
      </c>
      <c r="AP12" s="213">
        <f t="shared" si="21"/>
        <v>1.870085708726</v>
      </c>
      <c r="AQ12" s="214">
        <v>528891.84</v>
      </c>
      <c r="AR12" s="214">
        <v>152639.86</v>
      </c>
      <c r="AS12" s="213">
        <f t="shared" si="22"/>
        <v>-0.711396833046243</v>
      </c>
      <c r="AT12" s="214">
        <f t="shared" si="23"/>
        <v>1544616.89</v>
      </c>
      <c r="AU12" s="214">
        <f t="shared" si="24"/>
        <v>3067857.81</v>
      </c>
      <c r="AV12" s="213">
        <f t="shared" si="25"/>
        <v>0.986160989085132</v>
      </c>
      <c r="AW12" s="47">
        <v>226314.07</v>
      </c>
      <c r="AX12" s="47"/>
      <c r="AY12" s="213">
        <f t="shared" si="26"/>
        <v>-1</v>
      </c>
      <c r="AZ12" s="47">
        <f t="shared" si="27"/>
        <v>1770930.96</v>
      </c>
      <c r="BA12" s="47">
        <f t="shared" si="28"/>
        <v>3067857.81</v>
      </c>
      <c r="BB12" s="213">
        <f t="shared" si="36"/>
        <v>0.732341846911977</v>
      </c>
      <c r="BC12" s="47">
        <v>174190.5</v>
      </c>
      <c r="BD12" s="47"/>
      <c r="BE12" s="213">
        <f t="shared" si="29"/>
        <v>-1</v>
      </c>
      <c r="BF12" s="47">
        <f t="shared" si="30"/>
        <v>1945121.46</v>
      </c>
      <c r="BG12" s="47">
        <f t="shared" si="31"/>
        <v>3067857.81</v>
      </c>
      <c r="BH12" s="213">
        <f t="shared" si="37"/>
        <v>0.577206294356549</v>
      </c>
      <c r="BI12" s="48">
        <v>471478.84</v>
      </c>
      <c r="BJ12" s="48"/>
      <c r="BK12" s="213">
        <f t="shared" si="32"/>
        <v>-1</v>
      </c>
      <c r="BL12" s="48">
        <f t="shared" si="33"/>
        <v>2416600.3</v>
      </c>
      <c r="BM12" s="48">
        <f t="shared" si="34"/>
        <v>3067857.81</v>
      </c>
      <c r="BN12" s="213">
        <f t="shared" si="35"/>
        <v>0.269493267049582</v>
      </c>
      <c r="BO12" s="48">
        <v>897862.49</v>
      </c>
      <c r="BP12" s="48">
        <v>233096.17</v>
      </c>
      <c r="BQ12" s="48">
        <v>3547558.96</v>
      </c>
      <c r="BR12" s="114">
        <f t="shared" si="38"/>
        <v>0.547831751785714</v>
      </c>
      <c r="BS12" s="103">
        <v>94000</v>
      </c>
      <c r="BT12" s="103">
        <f>48000+41000</f>
        <v>89000</v>
      </c>
      <c r="BU12" s="103" t="s">
        <v>84</v>
      </c>
    </row>
    <row r="13" s="130" customFormat="1" spans="1:73">
      <c r="A13" s="138" t="s">
        <v>25</v>
      </c>
      <c r="B13" s="138" t="s">
        <v>25</v>
      </c>
      <c r="C13" s="219" t="s">
        <v>85</v>
      </c>
      <c r="D13" s="187" t="s">
        <v>86</v>
      </c>
      <c r="E13" s="187" t="s">
        <v>86</v>
      </c>
      <c r="F13" s="110" t="s">
        <v>64</v>
      </c>
      <c r="G13" s="187" t="s">
        <v>64</v>
      </c>
      <c r="H13" s="46" t="s">
        <v>87</v>
      </c>
      <c r="I13" s="211">
        <v>180</v>
      </c>
      <c r="J13" s="212">
        <v>103977</v>
      </c>
      <c r="K13" s="212">
        <v>22066</v>
      </c>
      <c r="L13" s="114">
        <f t="shared" si="0"/>
        <v>-0.787779989805438</v>
      </c>
      <c r="M13" s="212">
        <v>19500</v>
      </c>
      <c r="N13" s="212">
        <v>49149</v>
      </c>
      <c r="O13" s="114">
        <f t="shared" si="1"/>
        <v>1.52046153846154</v>
      </c>
      <c r="P13" s="212">
        <f t="shared" si="4"/>
        <v>123477</v>
      </c>
      <c r="Q13" s="212">
        <f t="shared" si="5"/>
        <v>71215</v>
      </c>
      <c r="R13" s="114">
        <f t="shared" si="3"/>
        <v>-0.42325291349806</v>
      </c>
      <c r="S13" s="29">
        <v>113494</v>
      </c>
      <c r="T13" s="29">
        <v>91366</v>
      </c>
      <c r="U13" s="114">
        <f t="shared" si="6"/>
        <v>-0.194970659241898</v>
      </c>
      <c r="V13" s="29">
        <f t="shared" si="7"/>
        <v>236971</v>
      </c>
      <c r="W13" s="29">
        <f t="shared" si="8"/>
        <v>162581</v>
      </c>
      <c r="X13" s="114">
        <f t="shared" si="9"/>
        <v>-0.313920268724865</v>
      </c>
      <c r="Y13" s="36">
        <v>109059</v>
      </c>
      <c r="Z13" s="36">
        <v>67817</v>
      </c>
      <c r="AA13" s="213">
        <f t="shared" si="10"/>
        <v>-0.378162279133313</v>
      </c>
      <c r="AB13" s="36">
        <f t="shared" si="11"/>
        <v>346030</v>
      </c>
      <c r="AC13" s="36">
        <f t="shared" si="12"/>
        <v>230398</v>
      </c>
      <c r="AD13" s="213">
        <f t="shared" si="13"/>
        <v>-0.334167557726209</v>
      </c>
      <c r="AE13" s="46">
        <v>111723</v>
      </c>
      <c r="AF13" s="211">
        <v>71689</v>
      </c>
      <c r="AG13" s="213">
        <f t="shared" si="14"/>
        <v>-0.3583326620302</v>
      </c>
      <c r="AH13" s="211">
        <f t="shared" si="15"/>
        <v>457753</v>
      </c>
      <c r="AI13" s="211">
        <f t="shared" si="16"/>
        <v>302087</v>
      </c>
      <c r="AJ13" s="213">
        <f t="shared" si="17"/>
        <v>-0.340065493836196</v>
      </c>
      <c r="AK13" s="214">
        <v>173284</v>
      </c>
      <c r="AL13" s="214">
        <v>123804</v>
      </c>
      <c r="AM13" s="213">
        <f t="shared" si="18"/>
        <v>-0.285542808337758</v>
      </c>
      <c r="AN13" s="214">
        <f t="shared" si="19"/>
        <v>631037</v>
      </c>
      <c r="AO13" s="214">
        <f t="shared" si="20"/>
        <v>425891</v>
      </c>
      <c r="AP13" s="213">
        <f t="shared" si="21"/>
        <v>-0.325093457277466</v>
      </c>
      <c r="AQ13" s="214">
        <v>72134</v>
      </c>
      <c r="AR13" s="214">
        <v>47933</v>
      </c>
      <c r="AS13" s="213">
        <f t="shared" si="22"/>
        <v>-0.33550059611279</v>
      </c>
      <c r="AT13" s="214">
        <f t="shared" si="23"/>
        <v>703171</v>
      </c>
      <c r="AU13" s="214">
        <f t="shared" si="24"/>
        <v>473824</v>
      </c>
      <c r="AV13" s="213">
        <f t="shared" si="25"/>
        <v>-0.326161061818533</v>
      </c>
      <c r="AW13" s="47">
        <v>94856</v>
      </c>
      <c r="AX13" s="47">
        <v>51793</v>
      </c>
      <c r="AY13" s="213">
        <f t="shared" si="26"/>
        <v>-0.453982879311799</v>
      </c>
      <c r="AZ13" s="47">
        <f t="shared" si="27"/>
        <v>798027</v>
      </c>
      <c r="BA13" s="47">
        <f t="shared" si="28"/>
        <v>525617</v>
      </c>
      <c r="BB13" s="213">
        <f t="shared" si="36"/>
        <v>-0.341354365203182</v>
      </c>
      <c r="BC13" s="47">
        <v>159320</v>
      </c>
      <c r="BD13" s="47">
        <v>24824</v>
      </c>
      <c r="BE13" s="213">
        <f t="shared" si="29"/>
        <v>-0.844187798142104</v>
      </c>
      <c r="BF13" s="47">
        <f t="shared" si="30"/>
        <v>957347</v>
      </c>
      <c r="BG13" s="47">
        <f t="shared" si="31"/>
        <v>550441</v>
      </c>
      <c r="BH13" s="213">
        <f t="shared" si="37"/>
        <v>-0.4250350186505</v>
      </c>
      <c r="BI13" s="48">
        <v>185198.4</v>
      </c>
      <c r="BJ13" s="48">
        <v>49284</v>
      </c>
      <c r="BK13" s="213">
        <f t="shared" si="32"/>
        <v>-0.733885389938574</v>
      </c>
      <c r="BL13" s="48">
        <f t="shared" si="33"/>
        <v>1142545.4</v>
      </c>
      <c r="BM13" s="48">
        <f t="shared" si="34"/>
        <v>599725</v>
      </c>
      <c r="BN13" s="213">
        <f t="shared" si="35"/>
        <v>-0.47509744470548</v>
      </c>
      <c r="BO13" s="48">
        <v>81513</v>
      </c>
      <c r="BP13" s="48">
        <v>177473</v>
      </c>
      <c r="BQ13" s="48">
        <v>1401531.4</v>
      </c>
      <c r="BR13" s="114">
        <f t="shared" si="38"/>
        <v>0.333180555555556</v>
      </c>
    </row>
    <row r="14" s="130" customFormat="1" spans="1:73">
      <c r="A14" s="138" t="s">
        <v>25</v>
      </c>
      <c r="B14" s="138" t="s">
        <v>25</v>
      </c>
      <c r="C14" s="195" t="s">
        <v>88</v>
      </c>
      <c r="D14" s="187" t="s">
        <v>63</v>
      </c>
      <c r="E14" s="187" t="s">
        <v>63</v>
      </c>
      <c r="F14" s="110" t="s">
        <v>59</v>
      </c>
      <c r="G14" s="187" t="s">
        <v>59</v>
      </c>
      <c r="H14" s="46" t="s">
        <v>60</v>
      </c>
      <c r="I14" s="211"/>
      <c r="J14" s="212">
        <v>800</v>
      </c>
      <c r="K14" s="212"/>
      <c r="L14" s="114">
        <f t="shared" si="0"/>
        <v>-1</v>
      </c>
      <c r="M14" s="212"/>
      <c r="N14" s="212"/>
      <c r="O14" s="114" t="e">
        <f t="shared" si="1"/>
        <v>#DIV/0!</v>
      </c>
      <c r="P14" s="212">
        <f t="shared" si="4"/>
        <v>800</v>
      </c>
      <c r="Q14" s="212">
        <f t="shared" si="5"/>
        <v>0</v>
      </c>
      <c r="R14" s="114">
        <f t="shared" si="3"/>
        <v>-1</v>
      </c>
      <c r="S14" s="29"/>
      <c r="T14" s="29"/>
      <c r="U14" s="114" t="e">
        <f t="shared" si="6"/>
        <v>#DIV/0!</v>
      </c>
      <c r="V14" s="29">
        <f t="shared" si="7"/>
        <v>800</v>
      </c>
      <c r="W14" s="29">
        <f t="shared" si="8"/>
        <v>0</v>
      </c>
      <c r="X14" s="114">
        <f t="shared" si="9"/>
        <v>-1</v>
      </c>
      <c r="Y14" s="36"/>
      <c r="Z14" s="36"/>
      <c r="AA14" s="213" t="e">
        <f t="shared" si="10"/>
        <v>#DIV/0!</v>
      </c>
      <c r="AB14" s="36">
        <f t="shared" si="11"/>
        <v>800</v>
      </c>
      <c r="AC14" s="36">
        <f t="shared" si="12"/>
        <v>0</v>
      </c>
      <c r="AD14" s="213">
        <f t="shared" si="13"/>
        <v>-1</v>
      </c>
      <c r="AE14" s="46"/>
      <c r="AF14" s="211"/>
      <c r="AG14" s="213" t="e">
        <f t="shared" si="14"/>
        <v>#DIV/0!</v>
      </c>
      <c r="AH14" s="211">
        <f t="shared" si="15"/>
        <v>800</v>
      </c>
      <c r="AI14" s="211">
        <f t="shared" si="16"/>
        <v>0</v>
      </c>
      <c r="AJ14" s="213">
        <f t="shared" si="17"/>
        <v>-1</v>
      </c>
      <c r="AK14" s="214">
        <v>6071</v>
      </c>
      <c r="AL14" s="214"/>
      <c r="AM14" s="213">
        <f t="shared" si="18"/>
        <v>-1</v>
      </c>
      <c r="AN14" s="214">
        <f t="shared" si="19"/>
        <v>6871</v>
      </c>
      <c r="AO14" s="214">
        <f t="shared" si="20"/>
        <v>0</v>
      </c>
      <c r="AP14" s="213">
        <f t="shared" si="21"/>
        <v>-1</v>
      </c>
      <c r="AQ14" s="214"/>
      <c r="AR14" s="214">
        <v>4498</v>
      </c>
      <c r="AS14" s="213" t="e">
        <f t="shared" si="22"/>
        <v>#DIV/0!</v>
      </c>
      <c r="AT14" s="214">
        <f t="shared" si="23"/>
        <v>6871</v>
      </c>
      <c r="AU14" s="214">
        <f t="shared" si="24"/>
        <v>4498</v>
      </c>
      <c r="AV14" s="213">
        <f t="shared" si="25"/>
        <v>-0.345364575753165</v>
      </c>
      <c r="AW14" s="47">
        <v>6599</v>
      </c>
      <c r="AX14" s="47">
        <v>13050</v>
      </c>
      <c r="AY14" s="213">
        <f t="shared" si="26"/>
        <v>0.977572359448401</v>
      </c>
      <c r="AZ14" s="47">
        <f t="shared" si="27"/>
        <v>13470</v>
      </c>
      <c r="BA14" s="47">
        <f t="shared" si="28"/>
        <v>17548</v>
      </c>
      <c r="BB14" s="213">
        <f t="shared" si="36"/>
        <v>0.302746844840386</v>
      </c>
      <c r="BC14" s="47">
        <v>16646</v>
      </c>
      <c r="BD14" s="47"/>
      <c r="BE14" s="213">
        <f t="shared" si="29"/>
        <v>-1</v>
      </c>
      <c r="BF14" s="47">
        <f t="shared" si="30"/>
        <v>30116</v>
      </c>
      <c r="BG14" s="47">
        <f t="shared" si="31"/>
        <v>17548</v>
      </c>
      <c r="BH14" s="213">
        <f t="shared" si="37"/>
        <v>-0.417319697170939</v>
      </c>
      <c r="BI14" s="48">
        <v>8396</v>
      </c>
      <c r="BJ14" s="48"/>
      <c r="BK14" s="213">
        <f t="shared" si="32"/>
        <v>-1</v>
      </c>
      <c r="BL14" s="48">
        <f t="shared" si="33"/>
        <v>38512</v>
      </c>
      <c r="BM14" s="48">
        <f t="shared" si="34"/>
        <v>17548</v>
      </c>
      <c r="BN14" s="213">
        <f t="shared" si="35"/>
        <v>-0.544349813045285</v>
      </c>
      <c r="BO14" s="48"/>
      <c r="BP14" s="48"/>
      <c r="BQ14" s="48">
        <v>38512</v>
      </c>
      <c r="BR14" s="114" t="e">
        <f t="shared" si="38"/>
        <v>#DIV/0!</v>
      </c>
    </row>
    <row r="15" s="103" customFormat="1" spans="1:73">
      <c r="A15" s="138" t="s">
        <v>25</v>
      </c>
      <c r="B15" s="138" t="s">
        <v>25</v>
      </c>
      <c r="C15" s="220" t="s">
        <v>89</v>
      </c>
      <c r="D15" s="110" t="s">
        <v>90</v>
      </c>
      <c r="E15" s="187" t="s">
        <v>90</v>
      </c>
      <c r="F15" s="110" t="s">
        <v>78</v>
      </c>
      <c r="G15" s="110" t="s">
        <v>82</v>
      </c>
      <c r="H15" s="46" t="s">
        <v>91</v>
      </c>
      <c r="I15" s="211"/>
      <c r="J15" s="212">
        <v>111956.28</v>
      </c>
      <c r="K15" s="212">
        <v>76873.34</v>
      </c>
      <c r="L15" s="114">
        <f t="shared" si="0"/>
        <v>-0.313362859144659</v>
      </c>
      <c r="M15" s="212">
        <v>43919</v>
      </c>
      <c r="N15" s="212">
        <v>43284.9</v>
      </c>
      <c r="O15" s="114">
        <f t="shared" si="1"/>
        <v>-0.014437942576106</v>
      </c>
      <c r="P15" s="212">
        <f t="shared" si="4"/>
        <v>155875.28</v>
      </c>
      <c r="Q15" s="212">
        <f t="shared" si="5"/>
        <v>120158.24</v>
      </c>
      <c r="R15" s="114">
        <f t="shared" si="3"/>
        <v>-0.229138577970798</v>
      </c>
      <c r="S15" s="29">
        <v>80405.08</v>
      </c>
      <c r="T15" s="29">
        <v>119148.66</v>
      </c>
      <c r="U15" s="114">
        <f t="shared" si="6"/>
        <v>0.481854877826127</v>
      </c>
      <c r="V15" s="29">
        <f t="shared" si="7"/>
        <v>236280.36</v>
      </c>
      <c r="W15" s="29">
        <f t="shared" si="8"/>
        <v>239306.9</v>
      </c>
      <c r="X15" s="114">
        <f t="shared" si="9"/>
        <v>0.012809105251067</v>
      </c>
      <c r="Y15" s="36">
        <v>82108.64</v>
      </c>
      <c r="Z15" s="36">
        <v>310195.38</v>
      </c>
      <c r="AA15" s="213">
        <f t="shared" si="10"/>
        <v>2.77786527702809</v>
      </c>
      <c r="AB15" s="36">
        <f t="shared" si="11"/>
        <v>318389</v>
      </c>
      <c r="AC15" s="36">
        <f t="shared" si="12"/>
        <v>549502.28</v>
      </c>
      <c r="AD15" s="213">
        <f t="shared" si="13"/>
        <v>0.725883369086244</v>
      </c>
      <c r="AE15" s="46">
        <v>209042.8</v>
      </c>
      <c r="AF15" s="211">
        <v>36281.12</v>
      </c>
      <c r="AG15" s="213">
        <f t="shared" si="14"/>
        <v>-0.826441666491264</v>
      </c>
      <c r="AH15" s="211">
        <f t="shared" si="15"/>
        <v>527431.8</v>
      </c>
      <c r="AI15" s="211">
        <f t="shared" si="16"/>
        <v>585783.4</v>
      </c>
      <c r="AJ15" s="213">
        <f t="shared" si="17"/>
        <v>0.110633450618639</v>
      </c>
      <c r="AK15" s="214">
        <v>78620.76</v>
      </c>
      <c r="AL15" s="214">
        <v>30684.4</v>
      </c>
      <c r="AM15" s="213">
        <f t="shared" si="18"/>
        <v>-0.609716314113473</v>
      </c>
      <c r="AN15" s="214">
        <f t="shared" si="19"/>
        <v>606052.56</v>
      </c>
      <c r="AO15" s="214">
        <f t="shared" si="20"/>
        <v>616467.8</v>
      </c>
      <c r="AP15" s="213">
        <f t="shared" si="21"/>
        <v>0.0171853741530272</v>
      </c>
      <c r="AQ15" s="214">
        <v>153937.2</v>
      </c>
      <c r="AR15" s="214">
        <v>271358.5</v>
      </c>
      <c r="AS15" s="213">
        <f t="shared" si="22"/>
        <v>0.762787032634087</v>
      </c>
      <c r="AT15" s="214">
        <f t="shared" si="23"/>
        <v>759989.76</v>
      </c>
      <c r="AU15" s="214">
        <f t="shared" si="24"/>
        <v>887826.3</v>
      </c>
      <c r="AV15" s="213">
        <f t="shared" si="25"/>
        <v>0.168208240068919</v>
      </c>
      <c r="AW15" s="47">
        <v>172756.46</v>
      </c>
      <c r="AX15" s="47">
        <v>91767.56</v>
      </c>
      <c r="AY15" s="213">
        <f t="shared" si="26"/>
        <v>-0.468803887275764</v>
      </c>
      <c r="AZ15" s="47">
        <f t="shared" si="27"/>
        <v>932746.22</v>
      </c>
      <c r="BA15" s="47">
        <f t="shared" si="28"/>
        <v>979593.86</v>
      </c>
      <c r="BB15" s="213">
        <f t="shared" si="36"/>
        <v>0.0502254943472193</v>
      </c>
      <c r="BC15" s="47">
        <v>226467.5</v>
      </c>
      <c r="BD15" s="47">
        <v>93879.44</v>
      </c>
      <c r="BE15" s="213">
        <f t="shared" si="29"/>
        <v>-0.585461754997958</v>
      </c>
      <c r="BF15" s="47">
        <f t="shared" si="30"/>
        <v>1159213.72</v>
      </c>
      <c r="BG15" s="47">
        <f t="shared" si="31"/>
        <v>1073473.3</v>
      </c>
      <c r="BH15" s="213">
        <f t="shared" si="37"/>
        <v>-0.0739642902087114</v>
      </c>
      <c r="BI15" s="48">
        <v>216712.16</v>
      </c>
      <c r="BJ15" s="48">
        <v>330288.06</v>
      </c>
      <c r="BK15" s="213">
        <f t="shared" si="32"/>
        <v>0.524086419516099</v>
      </c>
      <c r="BL15" s="48">
        <f t="shared" si="33"/>
        <v>1375925.88</v>
      </c>
      <c r="BM15" s="48">
        <f t="shared" si="34"/>
        <v>1403761.36</v>
      </c>
      <c r="BN15" s="213">
        <f t="shared" si="35"/>
        <v>0.0202303629901925</v>
      </c>
      <c r="BO15" s="48">
        <v>164087.41</v>
      </c>
      <c r="BP15" s="48">
        <v>375150.88</v>
      </c>
      <c r="BQ15" s="48">
        <v>1915164.17</v>
      </c>
      <c r="BR15" s="114" t="e">
        <f t="shared" si="38"/>
        <v>#DIV/0!</v>
      </c>
    </row>
    <row r="16" s="103" customFormat="1" spans="1:73">
      <c r="A16" s="138" t="s">
        <v>25</v>
      </c>
      <c r="B16" s="138" t="s">
        <v>25</v>
      </c>
      <c r="C16" s="220" t="s">
        <v>92</v>
      </c>
      <c r="D16" s="110" t="s">
        <v>90</v>
      </c>
      <c r="E16" s="187" t="s">
        <v>90</v>
      </c>
      <c r="F16" s="110" t="s">
        <v>78</v>
      </c>
      <c r="G16" s="110" t="s">
        <v>82</v>
      </c>
      <c r="H16" s="46" t="s">
        <v>83</v>
      </c>
      <c r="I16" s="211"/>
      <c r="J16" s="212"/>
      <c r="K16" s="212"/>
      <c r="L16" s="114" t="e">
        <f t="shared" si="0"/>
        <v>#DIV/0!</v>
      </c>
      <c r="M16" s="212"/>
      <c r="N16" s="212">
        <v>6125</v>
      </c>
      <c r="O16" s="114" t="e">
        <f t="shared" si="1"/>
        <v>#DIV/0!</v>
      </c>
      <c r="P16" s="212">
        <f t="shared" si="4"/>
        <v>0</v>
      </c>
      <c r="Q16" s="212">
        <f t="shared" si="5"/>
        <v>6125</v>
      </c>
      <c r="R16" s="114" t="e">
        <f t="shared" si="3"/>
        <v>#DIV/0!</v>
      </c>
      <c r="S16" s="29"/>
      <c r="T16" s="29"/>
      <c r="U16" s="114" t="e">
        <f t="shared" si="6"/>
        <v>#DIV/0!</v>
      </c>
      <c r="V16" s="29">
        <f t="shared" si="7"/>
        <v>0</v>
      </c>
      <c r="W16" s="29">
        <f t="shared" si="8"/>
        <v>6125</v>
      </c>
      <c r="X16" s="114" t="e">
        <f t="shared" si="9"/>
        <v>#DIV/0!</v>
      </c>
      <c r="Y16" s="36"/>
      <c r="Z16" s="36"/>
      <c r="AA16" s="213" t="e">
        <f t="shared" si="10"/>
        <v>#DIV/0!</v>
      </c>
      <c r="AB16" s="36">
        <f t="shared" si="11"/>
        <v>0</v>
      </c>
      <c r="AC16" s="36">
        <f t="shared" si="12"/>
        <v>6125</v>
      </c>
      <c r="AD16" s="213" t="e">
        <f t="shared" si="13"/>
        <v>#DIV/0!</v>
      </c>
      <c r="AE16" s="46">
        <v>3636</v>
      </c>
      <c r="AF16" s="211"/>
      <c r="AG16" s="213">
        <f t="shared" si="14"/>
        <v>-1</v>
      </c>
      <c r="AH16" s="211">
        <f t="shared" si="15"/>
        <v>3636</v>
      </c>
      <c r="AI16" s="211">
        <f t="shared" si="16"/>
        <v>6125</v>
      </c>
      <c r="AJ16" s="213">
        <f t="shared" si="17"/>
        <v>0.684543454345435</v>
      </c>
      <c r="AK16" s="214">
        <v>25759</v>
      </c>
      <c r="AL16" s="214"/>
      <c r="AM16" s="213">
        <f t="shared" si="18"/>
        <v>-1</v>
      </c>
      <c r="AN16" s="214">
        <f t="shared" si="19"/>
        <v>29395</v>
      </c>
      <c r="AO16" s="214">
        <f t="shared" si="20"/>
        <v>6125</v>
      </c>
      <c r="AP16" s="213">
        <f t="shared" si="21"/>
        <v>-0.791631229800987</v>
      </c>
      <c r="AQ16" s="214"/>
      <c r="AR16" s="214"/>
      <c r="AS16" s="213" t="e">
        <f t="shared" si="22"/>
        <v>#DIV/0!</v>
      </c>
      <c r="AT16" s="214">
        <f t="shared" si="23"/>
        <v>29395</v>
      </c>
      <c r="AU16" s="214">
        <f t="shared" si="24"/>
        <v>6125</v>
      </c>
      <c r="AV16" s="213">
        <f t="shared" si="25"/>
        <v>-0.791631229800987</v>
      </c>
      <c r="AW16" s="47">
        <v>2400</v>
      </c>
      <c r="AX16" s="47"/>
      <c r="AY16" s="213">
        <f t="shared" si="26"/>
        <v>-1</v>
      </c>
      <c r="AZ16" s="47">
        <f t="shared" si="27"/>
        <v>31795</v>
      </c>
      <c r="BA16" s="47">
        <f t="shared" si="28"/>
        <v>6125</v>
      </c>
      <c r="BB16" s="213">
        <f t="shared" si="36"/>
        <v>-0.807359647743356</v>
      </c>
      <c r="BC16" s="47">
        <v>29589</v>
      </c>
      <c r="BD16" s="47"/>
      <c r="BE16" s="213">
        <f t="shared" si="29"/>
        <v>-1</v>
      </c>
      <c r="BF16" s="47">
        <f t="shared" si="30"/>
        <v>61384</v>
      </c>
      <c r="BG16" s="47">
        <f t="shared" si="31"/>
        <v>6125</v>
      </c>
      <c r="BH16" s="213">
        <f t="shared" si="37"/>
        <v>-0.900218297927799</v>
      </c>
      <c r="BI16" s="48"/>
      <c r="BJ16" s="48"/>
      <c r="BK16" s="213" t="e">
        <f t="shared" si="32"/>
        <v>#DIV/0!</v>
      </c>
      <c r="BL16" s="48">
        <f t="shared" si="33"/>
        <v>61384</v>
      </c>
      <c r="BM16" s="48">
        <f t="shared" si="34"/>
        <v>6125</v>
      </c>
      <c r="BN16" s="213">
        <f t="shared" si="35"/>
        <v>-0.900218297927799</v>
      </c>
      <c r="BO16" s="48"/>
      <c r="BP16" s="48"/>
      <c r="BQ16" s="48">
        <v>61384</v>
      </c>
      <c r="BR16" s="114" t="e">
        <f t="shared" si="38"/>
        <v>#DIV/0!</v>
      </c>
    </row>
    <row r="17" s="130" customFormat="1" spans="1:70">
      <c r="A17" s="138" t="s">
        <v>25</v>
      </c>
      <c r="B17" s="138" t="s">
        <v>25</v>
      </c>
      <c r="C17" s="195" t="s">
        <v>93</v>
      </c>
      <c r="D17" s="187" t="s">
        <v>86</v>
      </c>
      <c r="E17" s="187" t="s">
        <v>86</v>
      </c>
      <c r="F17" s="110" t="s">
        <v>59</v>
      </c>
      <c r="G17" s="187" t="s">
        <v>59</v>
      </c>
      <c r="H17" s="46" t="s">
        <v>87</v>
      </c>
      <c r="I17" s="211"/>
      <c r="J17" s="212">
        <v>52801</v>
      </c>
      <c r="K17" s="212"/>
      <c r="L17" s="114">
        <f t="shared" ref="L17:L43" si="39">K17/J17-1</f>
        <v>-1</v>
      </c>
      <c r="M17" s="212"/>
      <c r="N17" s="212"/>
      <c r="O17" s="114" t="e">
        <f t="shared" si="1"/>
        <v>#DIV/0!</v>
      </c>
      <c r="P17" s="212">
        <f t="shared" si="4"/>
        <v>52801</v>
      </c>
      <c r="Q17" s="212">
        <f t="shared" si="5"/>
        <v>0</v>
      </c>
      <c r="R17" s="114">
        <f t="shared" si="3"/>
        <v>-1</v>
      </c>
      <c r="S17" s="29"/>
      <c r="T17" s="29"/>
      <c r="U17" s="114" t="e">
        <f t="shared" si="6"/>
        <v>#DIV/0!</v>
      </c>
      <c r="V17" s="29">
        <f t="shared" si="7"/>
        <v>52801</v>
      </c>
      <c r="W17" s="29">
        <f t="shared" si="8"/>
        <v>0</v>
      </c>
      <c r="X17" s="114">
        <f t="shared" si="9"/>
        <v>-1</v>
      </c>
      <c r="Y17" s="36"/>
      <c r="Z17" s="36"/>
      <c r="AA17" s="213" t="e">
        <f t="shared" si="10"/>
        <v>#DIV/0!</v>
      </c>
      <c r="AB17" s="36">
        <f t="shared" si="11"/>
        <v>52801</v>
      </c>
      <c r="AC17" s="36">
        <f t="shared" si="12"/>
        <v>0</v>
      </c>
      <c r="AD17" s="213">
        <f t="shared" si="13"/>
        <v>-1</v>
      </c>
      <c r="AE17" s="46"/>
      <c r="AF17" s="211"/>
      <c r="AG17" s="213" t="e">
        <f t="shared" si="14"/>
        <v>#DIV/0!</v>
      </c>
      <c r="AH17" s="211">
        <f t="shared" si="15"/>
        <v>52801</v>
      </c>
      <c r="AI17" s="211">
        <f t="shared" si="16"/>
        <v>0</v>
      </c>
      <c r="AJ17" s="213">
        <f t="shared" si="17"/>
        <v>-1</v>
      </c>
      <c r="AK17" s="214"/>
      <c r="AL17" s="214"/>
      <c r="AM17" s="213" t="e">
        <f t="shared" si="18"/>
        <v>#DIV/0!</v>
      </c>
      <c r="AN17" s="214">
        <f t="shared" si="19"/>
        <v>52801</v>
      </c>
      <c r="AO17" s="214">
        <f t="shared" si="20"/>
        <v>0</v>
      </c>
      <c r="AP17" s="213">
        <f t="shared" si="21"/>
        <v>-1</v>
      </c>
      <c r="AQ17" s="214"/>
      <c r="AR17" s="214"/>
      <c r="AS17" s="213" t="e">
        <f t="shared" si="22"/>
        <v>#DIV/0!</v>
      </c>
      <c r="AT17" s="214">
        <f t="shared" si="23"/>
        <v>52801</v>
      </c>
      <c r="AU17" s="214">
        <f t="shared" si="24"/>
        <v>0</v>
      </c>
      <c r="AV17" s="213">
        <f t="shared" si="25"/>
        <v>-1</v>
      </c>
      <c r="AW17" s="47"/>
      <c r="AX17" s="47"/>
      <c r="AY17" s="213" t="e">
        <f t="shared" si="26"/>
        <v>#DIV/0!</v>
      </c>
      <c r="AZ17" s="47">
        <f t="shared" si="27"/>
        <v>52801</v>
      </c>
      <c r="BA17" s="47">
        <f t="shared" si="28"/>
        <v>0</v>
      </c>
      <c r="BB17" s="213">
        <f t="shared" si="36"/>
        <v>-1</v>
      </c>
      <c r="BC17" s="47"/>
      <c r="BD17" s="47"/>
      <c r="BE17" s="213" t="e">
        <f t="shared" si="29"/>
        <v>#DIV/0!</v>
      </c>
      <c r="BF17" s="47">
        <f t="shared" si="30"/>
        <v>52801</v>
      </c>
      <c r="BG17" s="47">
        <f t="shared" si="31"/>
        <v>0</v>
      </c>
      <c r="BH17" s="213">
        <f t="shared" si="37"/>
        <v>-1</v>
      </c>
      <c r="BI17" s="48"/>
      <c r="BJ17" s="48"/>
      <c r="BK17" s="213" t="e">
        <f t="shared" si="32"/>
        <v>#DIV/0!</v>
      </c>
      <c r="BL17" s="48">
        <f t="shared" si="33"/>
        <v>52801</v>
      </c>
      <c r="BM17" s="48">
        <f t="shared" si="34"/>
        <v>0</v>
      </c>
      <c r="BN17" s="213">
        <f t="shared" si="35"/>
        <v>-1</v>
      </c>
      <c r="BO17" s="48"/>
      <c r="BP17" s="48"/>
      <c r="BQ17" s="48">
        <v>52801</v>
      </c>
      <c r="BR17" s="114" t="e">
        <f t="shared" si="38"/>
        <v>#DIV/0!</v>
      </c>
    </row>
    <row r="18" s="130" customFormat="1" spans="1:70">
      <c r="A18" s="138" t="s">
        <v>25</v>
      </c>
      <c r="B18" s="138" t="s">
        <v>25</v>
      </c>
      <c r="C18" s="221" t="s">
        <v>94</v>
      </c>
      <c r="D18" s="187" t="s">
        <v>86</v>
      </c>
      <c r="E18" s="187" t="s">
        <v>86</v>
      </c>
      <c r="F18" s="110" t="s">
        <v>78</v>
      </c>
      <c r="G18" s="187" t="s">
        <v>95</v>
      </c>
      <c r="H18" s="46" t="s">
        <v>87</v>
      </c>
      <c r="I18" s="211"/>
      <c r="J18" s="212">
        <v>-16596</v>
      </c>
      <c r="K18" s="212"/>
      <c r="L18" s="114">
        <f t="shared" si="39"/>
        <v>-1</v>
      </c>
      <c r="M18" s="212"/>
      <c r="N18" s="212"/>
      <c r="O18" s="114" t="e">
        <f t="shared" si="1"/>
        <v>#DIV/0!</v>
      </c>
      <c r="P18" s="212">
        <f t="shared" si="4"/>
        <v>-16596</v>
      </c>
      <c r="Q18" s="212">
        <f t="shared" si="5"/>
        <v>0</v>
      </c>
      <c r="R18" s="114">
        <f t="shared" si="3"/>
        <v>-1</v>
      </c>
      <c r="S18" s="29"/>
      <c r="T18" s="29"/>
      <c r="U18" s="114" t="e">
        <f t="shared" si="6"/>
        <v>#DIV/0!</v>
      </c>
      <c r="V18" s="29">
        <f t="shared" si="7"/>
        <v>-16596</v>
      </c>
      <c r="W18" s="29">
        <f t="shared" si="8"/>
        <v>0</v>
      </c>
      <c r="X18" s="114">
        <f t="shared" si="9"/>
        <v>-1</v>
      </c>
      <c r="Y18" s="36"/>
      <c r="Z18" s="36"/>
      <c r="AA18" s="213" t="e">
        <f t="shared" si="10"/>
        <v>#DIV/0!</v>
      </c>
      <c r="AB18" s="36">
        <f t="shared" si="11"/>
        <v>-16596</v>
      </c>
      <c r="AC18" s="36">
        <f t="shared" si="12"/>
        <v>0</v>
      </c>
      <c r="AD18" s="213">
        <f t="shared" si="13"/>
        <v>-1</v>
      </c>
      <c r="AE18" s="46"/>
      <c r="AF18" s="211"/>
      <c r="AG18" s="213" t="e">
        <f t="shared" si="14"/>
        <v>#DIV/0!</v>
      </c>
      <c r="AH18" s="211">
        <f t="shared" si="15"/>
        <v>-16596</v>
      </c>
      <c r="AI18" s="211">
        <f t="shared" si="16"/>
        <v>0</v>
      </c>
      <c r="AJ18" s="213">
        <f t="shared" si="17"/>
        <v>-1</v>
      </c>
      <c r="AK18" s="214"/>
      <c r="AL18" s="214"/>
      <c r="AM18" s="213" t="e">
        <f t="shared" si="18"/>
        <v>#DIV/0!</v>
      </c>
      <c r="AN18" s="214">
        <f t="shared" si="19"/>
        <v>-16596</v>
      </c>
      <c r="AO18" s="214">
        <f t="shared" si="20"/>
        <v>0</v>
      </c>
      <c r="AP18" s="213">
        <f t="shared" si="21"/>
        <v>-1</v>
      </c>
      <c r="AQ18" s="214">
        <v>500</v>
      </c>
      <c r="AR18" s="214"/>
      <c r="AS18" s="213">
        <f t="shared" si="22"/>
        <v>-1</v>
      </c>
      <c r="AT18" s="214">
        <f t="shared" si="23"/>
        <v>-16096</v>
      </c>
      <c r="AU18" s="214">
        <f t="shared" si="24"/>
        <v>0</v>
      </c>
      <c r="AV18" s="213">
        <f t="shared" si="25"/>
        <v>-1</v>
      </c>
      <c r="AW18" s="47"/>
      <c r="AX18" s="47"/>
      <c r="AY18" s="213" t="e">
        <f t="shared" si="26"/>
        <v>#DIV/0!</v>
      </c>
      <c r="AZ18" s="47">
        <f t="shared" si="27"/>
        <v>-16096</v>
      </c>
      <c r="BA18" s="47">
        <f t="shared" si="28"/>
        <v>0</v>
      </c>
      <c r="BB18" s="213">
        <f t="shared" si="36"/>
        <v>-1</v>
      </c>
      <c r="BC18" s="47"/>
      <c r="BD18" s="47"/>
      <c r="BE18" s="213" t="e">
        <f t="shared" si="29"/>
        <v>#DIV/0!</v>
      </c>
      <c r="BF18" s="47">
        <f t="shared" si="30"/>
        <v>-16096</v>
      </c>
      <c r="BG18" s="47">
        <f t="shared" si="31"/>
        <v>0</v>
      </c>
      <c r="BH18" s="213">
        <f t="shared" si="37"/>
        <v>-1</v>
      </c>
      <c r="BI18" s="48"/>
      <c r="BJ18" s="48"/>
      <c r="BK18" s="213" t="e">
        <f t="shared" si="32"/>
        <v>#DIV/0!</v>
      </c>
      <c r="BL18" s="48">
        <f t="shared" si="33"/>
        <v>-16096</v>
      </c>
      <c r="BM18" s="48">
        <f t="shared" si="34"/>
        <v>0</v>
      </c>
      <c r="BN18" s="213">
        <f t="shared" si="35"/>
        <v>-1</v>
      </c>
      <c r="BO18" s="48">
        <v>-4600</v>
      </c>
      <c r="BP18" s="48"/>
      <c r="BQ18" s="48">
        <v>-20696</v>
      </c>
      <c r="BR18" s="114" t="e">
        <f t="shared" si="38"/>
        <v>#DIV/0!</v>
      </c>
    </row>
    <row r="19" s="130" customFormat="1" spans="1:70">
      <c r="A19" s="138" t="s">
        <v>25</v>
      </c>
      <c r="B19" s="138" t="s">
        <v>25</v>
      </c>
      <c r="C19" s="221" t="s">
        <v>96</v>
      </c>
      <c r="D19" s="187" t="s">
        <v>86</v>
      </c>
      <c r="E19" s="187" t="s">
        <v>86</v>
      </c>
      <c r="F19" s="110" t="s">
        <v>78</v>
      </c>
      <c r="G19" s="187" t="s">
        <v>82</v>
      </c>
      <c r="H19" s="46" t="s">
        <v>87</v>
      </c>
      <c r="I19" s="211"/>
      <c r="J19" s="212"/>
      <c r="K19" s="212"/>
      <c r="L19" s="114" t="e">
        <f t="shared" si="39"/>
        <v>#DIV/0!</v>
      </c>
      <c r="M19" s="212">
        <v>-3358</v>
      </c>
      <c r="N19" s="212"/>
      <c r="O19" s="114">
        <f t="shared" si="1"/>
        <v>-1</v>
      </c>
      <c r="P19" s="212">
        <f t="shared" si="4"/>
        <v>-3358</v>
      </c>
      <c r="Q19" s="212">
        <f t="shared" si="5"/>
        <v>0</v>
      </c>
      <c r="R19" s="114">
        <f t="shared" si="3"/>
        <v>-1</v>
      </c>
      <c r="S19" s="29"/>
      <c r="T19" s="29"/>
      <c r="U19" s="114" t="e">
        <f t="shared" si="6"/>
        <v>#DIV/0!</v>
      </c>
      <c r="V19" s="29">
        <f t="shared" si="7"/>
        <v>-3358</v>
      </c>
      <c r="W19" s="29">
        <f t="shared" si="8"/>
        <v>0</v>
      </c>
      <c r="X19" s="114">
        <f t="shared" si="9"/>
        <v>-1</v>
      </c>
      <c r="Y19" s="36"/>
      <c r="Z19" s="36"/>
      <c r="AA19" s="213" t="e">
        <f t="shared" si="10"/>
        <v>#DIV/0!</v>
      </c>
      <c r="AB19" s="36">
        <f t="shared" si="11"/>
        <v>-3358</v>
      </c>
      <c r="AC19" s="36">
        <f t="shared" si="12"/>
        <v>0</v>
      </c>
      <c r="AD19" s="213">
        <f t="shared" si="13"/>
        <v>-1</v>
      </c>
      <c r="AE19" s="46"/>
      <c r="AF19" s="211"/>
      <c r="AG19" s="213" t="e">
        <f t="shared" si="14"/>
        <v>#DIV/0!</v>
      </c>
      <c r="AH19" s="211">
        <f t="shared" si="15"/>
        <v>-3358</v>
      </c>
      <c r="AI19" s="211">
        <f t="shared" si="16"/>
        <v>0</v>
      </c>
      <c r="AJ19" s="213">
        <f t="shared" si="17"/>
        <v>-1</v>
      </c>
      <c r="AK19" s="214"/>
      <c r="AL19" s="214"/>
      <c r="AM19" s="213" t="e">
        <f t="shared" si="18"/>
        <v>#DIV/0!</v>
      </c>
      <c r="AN19" s="214">
        <f t="shared" si="19"/>
        <v>-3358</v>
      </c>
      <c r="AO19" s="214">
        <f t="shared" si="20"/>
        <v>0</v>
      </c>
      <c r="AP19" s="213">
        <f t="shared" si="21"/>
        <v>-1</v>
      </c>
      <c r="AQ19" s="214"/>
      <c r="AR19" s="214"/>
      <c r="AS19" s="213" t="e">
        <f t="shared" si="22"/>
        <v>#DIV/0!</v>
      </c>
      <c r="AT19" s="214">
        <f t="shared" si="23"/>
        <v>-3358</v>
      </c>
      <c r="AU19" s="214">
        <f t="shared" si="24"/>
        <v>0</v>
      </c>
      <c r="AV19" s="213">
        <f t="shared" si="25"/>
        <v>-1</v>
      </c>
      <c r="AW19" s="47"/>
      <c r="AX19" s="47"/>
      <c r="AY19" s="213" t="e">
        <f t="shared" si="26"/>
        <v>#DIV/0!</v>
      </c>
      <c r="AZ19" s="47">
        <f t="shared" si="27"/>
        <v>-3358</v>
      </c>
      <c r="BA19" s="47">
        <f t="shared" si="28"/>
        <v>0</v>
      </c>
      <c r="BB19" s="213">
        <f t="shared" si="36"/>
        <v>-1</v>
      </c>
      <c r="BC19" s="47"/>
      <c r="BD19" s="47"/>
      <c r="BE19" s="213" t="e">
        <f t="shared" si="29"/>
        <v>#DIV/0!</v>
      </c>
      <c r="BF19" s="47">
        <f t="shared" si="30"/>
        <v>-3358</v>
      </c>
      <c r="BG19" s="47">
        <f t="shared" si="31"/>
        <v>0</v>
      </c>
      <c r="BH19" s="213">
        <f t="shared" si="37"/>
        <v>-1</v>
      </c>
      <c r="BI19" s="48"/>
      <c r="BJ19" s="48"/>
      <c r="BK19" s="213" t="e">
        <f t="shared" si="32"/>
        <v>#DIV/0!</v>
      </c>
      <c r="BL19" s="48">
        <f t="shared" si="33"/>
        <v>-3358</v>
      </c>
      <c r="BM19" s="48">
        <f t="shared" si="34"/>
        <v>0</v>
      </c>
      <c r="BN19" s="213">
        <f t="shared" si="35"/>
        <v>-1</v>
      </c>
      <c r="BO19" s="48"/>
      <c r="BP19" s="48"/>
      <c r="BQ19" s="48">
        <v>-3358</v>
      </c>
      <c r="BR19" s="114" t="e">
        <f t="shared" si="38"/>
        <v>#DIV/0!</v>
      </c>
    </row>
    <row r="20" s="130" customFormat="1" spans="1:70">
      <c r="A20" s="138" t="s">
        <v>25</v>
      </c>
      <c r="B20" s="138" t="s">
        <v>25</v>
      </c>
      <c r="C20" s="221" t="s">
        <v>97</v>
      </c>
      <c r="D20" s="187" t="s">
        <v>86</v>
      </c>
      <c r="E20" s="187" t="s">
        <v>86</v>
      </c>
      <c r="F20" s="110" t="s">
        <v>78</v>
      </c>
      <c r="G20" s="222" t="s">
        <v>98</v>
      </c>
      <c r="H20" s="46" t="s">
        <v>87</v>
      </c>
      <c r="I20" s="211"/>
      <c r="J20" s="212"/>
      <c r="K20" s="212"/>
      <c r="L20" s="114" t="e">
        <f t="shared" si="39"/>
        <v>#DIV/0!</v>
      </c>
      <c r="M20" s="212"/>
      <c r="N20" s="212"/>
      <c r="O20" s="114" t="e">
        <f t="shared" si="1"/>
        <v>#DIV/0!</v>
      </c>
      <c r="P20" s="212">
        <f t="shared" si="4"/>
        <v>0</v>
      </c>
      <c r="Q20" s="212">
        <f t="shared" si="5"/>
        <v>0</v>
      </c>
      <c r="R20" s="114" t="e">
        <f t="shared" si="3"/>
        <v>#DIV/0!</v>
      </c>
      <c r="S20" s="29"/>
      <c r="T20" s="29"/>
      <c r="U20" s="114" t="e">
        <f t="shared" si="6"/>
        <v>#DIV/0!</v>
      </c>
      <c r="V20" s="29">
        <f t="shared" si="7"/>
        <v>0</v>
      </c>
      <c r="W20" s="29">
        <f t="shared" si="8"/>
        <v>0</v>
      </c>
      <c r="X20" s="114" t="e">
        <f t="shared" si="9"/>
        <v>#DIV/0!</v>
      </c>
      <c r="Y20" s="36"/>
      <c r="Z20" s="36"/>
      <c r="AA20" s="213" t="e">
        <f t="shared" si="10"/>
        <v>#DIV/0!</v>
      </c>
      <c r="AB20" s="36">
        <f t="shared" si="11"/>
        <v>0</v>
      </c>
      <c r="AC20" s="36">
        <f t="shared" si="12"/>
        <v>0</v>
      </c>
      <c r="AD20" s="213" t="e">
        <f t="shared" si="13"/>
        <v>#DIV/0!</v>
      </c>
      <c r="AE20" s="46"/>
      <c r="AF20" s="211"/>
      <c r="AG20" s="213" t="e">
        <f t="shared" si="14"/>
        <v>#DIV/0!</v>
      </c>
      <c r="AH20" s="211">
        <f t="shared" si="15"/>
        <v>0</v>
      </c>
      <c r="AI20" s="211">
        <f t="shared" si="16"/>
        <v>0</v>
      </c>
      <c r="AJ20" s="213" t="e">
        <f t="shared" si="17"/>
        <v>#DIV/0!</v>
      </c>
      <c r="AK20" s="214"/>
      <c r="AL20" s="214"/>
      <c r="AM20" s="213" t="e">
        <f t="shared" si="18"/>
        <v>#DIV/0!</v>
      </c>
      <c r="AN20" s="214">
        <f t="shared" si="19"/>
        <v>0</v>
      </c>
      <c r="AO20" s="214">
        <f t="shared" si="20"/>
        <v>0</v>
      </c>
      <c r="AP20" s="213" t="e">
        <f t="shared" si="21"/>
        <v>#DIV/0!</v>
      </c>
      <c r="AQ20" s="214"/>
      <c r="AR20" s="214"/>
      <c r="AS20" s="213" t="e">
        <f t="shared" si="22"/>
        <v>#DIV/0!</v>
      </c>
      <c r="AT20" s="214">
        <f t="shared" si="23"/>
        <v>0</v>
      </c>
      <c r="AU20" s="214">
        <f t="shared" si="24"/>
        <v>0</v>
      </c>
      <c r="AV20" s="213" t="e">
        <f t="shared" si="25"/>
        <v>#DIV/0!</v>
      </c>
      <c r="AW20" s="47"/>
      <c r="AX20" s="47"/>
      <c r="AY20" s="213" t="e">
        <f t="shared" si="26"/>
        <v>#DIV/0!</v>
      </c>
      <c r="AZ20" s="47">
        <f t="shared" si="27"/>
        <v>0</v>
      </c>
      <c r="BA20" s="47">
        <f t="shared" si="28"/>
        <v>0</v>
      </c>
      <c r="BB20" s="213" t="e">
        <f t="shared" si="36"/>
        <v>#DIV/0!</v>
      </c>
      <c r="BC20" s="47"/>
      <c r="BD20" s="47"/>
      <c r="BE20" s="213" t="e">
        <f t="shared" si="29"/>
        <v>#DIV/0!</v>
      </c>
      <c r="BF20" s="47">
        <f t="shared" si="30"/>
        <v>0</v>
      </c>
      <c r="BG20" s="47">
        <f t="shared" si="31"/>
        <v>0</v>
      </c>
      <c r="BH20" s="213" t="e">
        <f t="shared" si="37"/>
        <v>#DIV/0!</v>
      </c>
      <c r="BI20" s="48"/>
      <c r="BJ20" s="48"/>
      <c r="BK20" s="213" t="e">
        <f t="shared" si="32"/>
        <v>#DIV/0!</v>
      </c>
      <c r="BL20" s="48">
        <f t="shared" si="33"/>
        <v>0</v>
      </c>
      <c r="BM20" s="48">
        <f t="shared" si="34"/>
        <v>0</v>
      </c>
      <c r="BN20" s="213" t="e">
        <f t="shared" si="35"/>
        <v>#DIV/0!</v>
      </c>
      <c r="BO20" s="48"/>
      <c r="BP20" s="48"/>
      <c r="BQ20" s="48">
        <v>0</v>
      </c>
      <c r="BR20" s="114" t="e">
        <f t="shared" si="38"/>
        <v>#DIV/0!</v>
      </c>
    </row>
    <row r="21" s="130" customFormat="1" spans="1:70">
      <c r="A21" s="138" t="s">
        <v>25</v>
      </c>
      <c r="B21" s="138" t="s">
        <v>25</v>
      </c>
      <c r="C21" s="221" t="s">
        <v>99</v>
      </c>
      <c r="D21" s="187" t="s">
        <v>86</v>
      </c>
      <c r="E21" s="187" t="s">
        <v>86</v>
      </c>
      <c r="F21" s="110" t="s">
        <v>78</v>
      </c>
      <c r="G21" s="187" t="s">
        <v>79</v>
      </c>
      <c r="H21" s="46" t="s">
        <v>87</v>
      </c>
      <c r="I21" s="211">
        <v>230</v>
      </c>
      <c r="J21" s="212">
        <v>164507</v>
      </c>
      <c r="K21" s="212">
        <v>108230.5</v>
      </c>
      <c r="L21" s="114">
        <f t="shared" si="39"/>
        <v>-0.34209182587975</v>
      </c>
      <c r="M21" s="212">
        <v>107411</v>
      </c>
      <c r="N21" s="212">
        <v>59256.4</v>
      </c>
      <c r="O21" s="114">
        <f t="shared" si="1"/>
        <v>-0.448320935472158</v>
      </c>
      <c r="P21" s="212">
        <f t="shared" si="4"/>
        <v>271918</v>
      </c>
      <c r="Q21" s="212">
        <f t="shared" si="5"/>
        <v>167486.9</v>
      </c>
      <c r="R21" s="114">
        <f t="shared" si="3"/>
        <v>-0.384053648526394</v>
      </c>
      <c r="S21" s="29">
        <v>318901</v>
      </c>
      <c r="T21" s="29">
        <v>109309.1</v>
      </c>
      <c r="U21" s="114">
        <f t="shared" si="6"/>
        <v>-0.65723186819734</v>
      </c>
      <c r="V21" s="29">
        <f t="shared" si="7"/>
        <v>590819</v>
      </c>
      <c r="W21" s="29">
        <f t="shared" si="8"/>
        <v>276796</v>
      </c>
      <c r="X21" s="114">
        <f t="shared" si="9"/>
        <v>-0.531504572466356</v>
      </c>
      <c r="Y21" s="36">
        <v>286782</v>
      </c>
      <c r="Z21" s="36">
        <v>130231</v>
      </c>
      <c r="AA21" s="213">
        <f t="shared" si="10"/>
        <v>-0.545888514620862</v>
      </c>
      <c r="AB21" s="36">
        <f t="shared" si="11"/>
        <v>877601</v>
      </c>
      <c r="AC21" s="36">
        <f t="shared" si="12"/>
        <v>407027</v>
      </c>
      <c r="AD21" s="213">
        <f t="shared" si="13"/>
        <v>-0.536204949629729</v>
      </c>
      <c r="AE21" s="46">
        <v>277032</v>
      </c>
      <c r="AF21" s="211">
        <v>123067.1</v>
      </c>
      <c r="AG21" s="213">
        <f t="shared" si="14"/>
        <v>-0.555765759912212</v>
      </c>
      <c r="AH21" s="211">
        <f t="shared" si="15"/>
        <v>1154633</v>
      </c>
      <c r="AI21" s="211">
        <f t="shared" si="16"/>
        <v>530094.1</v>
      </c>
      <c r="AJ21" s="213">
        <f t="shared" si="17"/>
        <v>-0.540898190160856</v>
      </c>
      <c r="AK21" s="214">
        <v>219679</v>
      </c>
      <c r="AL21" s="214">
        <v>158341.8</v>
      </c>
      <c r="AM21" s="213">
        <f t="shared" si="18"/>
        <v>-0.279212851478749</v>
      </c>
      <c r="AN21" s="214">
        <f t="shared" si="19"/>
        <v>1374312</v>
      </c>
      <c r="AO21" s="214">
        <f t="shared" si="20"/>
        <v>688435.9</v>
      </c>
      <c r="AP21" s="213">
        <f t="shared" si="21"/>
        <v>-0.499068697646532</v>
      </c>
      <c r="AQ21" s="214">
        <v>159081</v>
      </c>
      <c r="AR21" s="214">
        <v>49102</v>
      </c>
      <c r="AS21" s="213">
        <f t="shared" si="22"/>
        <v>-0.691339632011365</v>
      </c>
      <c r="AT21" s="214">
        <f t="shared" si="23"/>
        <v>1533393</v>
      </c>
      <c r="AU21" s="214">
        <f t="shared" si="24"/>
        <v>737537.9</v>
      </c>
      <c r="AV21" s="213">
        <f t="shared" si="25"/>
        <v>-0.519015738300618</v>
      </c>
      <c r="AW21" s="47">
        <v>201109</v>
      </c>
      <c r="AX21" s="47">
        <f>31899-3470</f>
        <v>28429</v>
      </c>
      <c r="AY21" s="213">
        <f t="shared" si="26"/>
        <v>-0.858638847590113</v>
      </c>
      <c r="AZ21" s="47">
        <f t="shared" si="27"/>
        <v>1734502</v>
      </c>
      <c r="BA21" s="47">
        <f t="shared" si="28"/>
        <v>765966.9</v>
      </c>
      <c r="BB21" s="213">
        <f t="shared" si="36"/>
        <v>-0.558393763743138</v>
      </c>
      <c r="BC21" s="47">
        <v>242762.6</v>
      </c>
      <c r="BD21" s="47">
        <v>54601</v>
      </c>
      <c r="BE21" s="213">
        <f t="shared" si="29"/>
        <v>-0.775084794774813</v>
      </c>
      <c r="BF21" s="47">
        <f t="shared" si="30"/>
        <v>1977264.6</v>
      </c>
      <c r="BG21" s="47">
        <f t="shared" si="31"/>
        <v>820567.9</v>
      </c>
      <c r="BH21" s="213">
        <f t="shared" si="37"/>
        <v>-0.584998436729207</v>
      </c>
      <c r="BI21" s="48">
        <v>349831.4</v>
      </c>
      <c r="BJ21" s="48">
        <v>65384</v>
      </c>
      <c r="BK21" s="213">
        <f t="shared" si="32"/>
        <v>-0.813098538324461</v>
      </c>
      <c r="BL21" s="48">
        <f t="shared" si="33"/>
        <v>2327096</v>
      </c>
      <c r="BM21" s="48">
        <f t="shared" si="34"/>
        <v>885951.9</v>
      </c>
      <c r="BN21" s="213">
        <f t="shared" si="35"/>
        <v>-0.619288632699296</v>
      </c>
      <c r="BO21" s="48">
        <v>127945.5</v>
      </c>
      <c r="BP21" s="48">
        <v>212464</v>
      </c>
      <c r="BQ21" s="48">
        <v>2667505.5</v>
      </c>
      <c r="BR21" s="114">
        <f t="shared" si="38"/>
        <v>0.38519647826087</v>
      </c>
    </row>
    <row r="22" s="130" customFormat="1" spans="1:70">
      <c r="A22" s="138" t="s">
        <v>25</v>
      </c>
      <c r="B22" s="138" t="s">
        <v>25</v>
      </c>
      <c r="C22" s="221" t="s">
        <v>100</v>
      </c>
      <c r="D22" s="187" t="s">
        <v>67</v>
      </c>
      <c r="E22" s="187" t="s">
        <v>67</v>
      </c>
      <c r="F22" s="110" t="s">
        <v>78</v>
      </c>
      <c r="G22" s="187" t="s">
        <v>98</v>
      </c>
      <c r="H22" s="46" t="s">
        <v>87</v>
      </c>
      <c r="I22" s="211"/>
      <c r="J22" s="212">
        <v>78855</v>
      </c>
      <c r="K22" s="212">
        <v>24931</v>
      </c>
      <c r="L22" s="114">
        <f t="shared" si="39"/>
        <v>-0.683837423118382</v>
      </c>
      <c r="M22" s="212">
        <v>39609</v>
      </c>
      <c r="N22" s="212">
        <f>16033+14550</f>
        <v>30583</v>
      </c>
      <c r="O22" s="114">
        <f t="shared" si="1"/>
        <v>-0.227877502587796</v>
      </c>
      <c r="P22" s="212">
        <f t="shared" si="4"/>
        <v>118464</v>
      </c>
      <c r="Q22" s="212">
        <f t="shared" si="5"/>
        <v>55514</v>
      </c>
      <c r="R22" s="114">
        <f t="shared" si="3"/>
        <v>-0.531385062128579</v>
      </c>
      <c r="S22" s="29">
        <v>40486</v>
      </c>
      <c r="T22" s="29">
        <v>10700</v>
      </c>
      <c r="U22" s="114">
        <f t="shared" si="6"/>
        <v>-0.735711110013338</v>
      </c>
      <c r="V22" s="29">
        <f t="shared" si="7"/>
        <v>158950</v>
      </c>
      <c r="W22" s="29">
        <f t="shared" si="8"/>
        <v>66214</v>
      </c>
      <c r="X22" s="114">
        <f t="shared" si="9"/>
        <v>-0.583428751179616</v>
      </c>
      <c r="Y22" s="36">
        <v>45990</v>
      </c>
      <c r="Z22" s="36"/>
      <c r="AA22" s="213">
        <f t="shared" si="10"/>
        <v>-1</v>
      </c>
      <c r="AB22" s="36">
        <f t="shared" si="11"/>
        <v>204940</v>
      </c>
      <c r="AC22" s="36">
        <f t="shared" si="12"/>
        <v>66214</v>
      </c>
      <c r="AD22" s="213">
        <f t="shared" si="13"/>
        <v>-0.676910315214209</v>
      </c>
      <c r="AE22" s="46">
        <v>26265</v>
      </c>
      <c r="AF22" s="211">
        <v>-3281.96</v>
      </c>
      <c r="AG22" s="213">
        <f t="shared" si="14"/>
        <v>-1.12495564439368</v>
      </c>
      <c r="AH22" s="211">
        <f t="shared" si="15"/>
        <v>231205</v>
      </c>
      <c r="AI22" s="211">
        <f t="shared" si="16"/>
        <v>62932.04</v>
      </c>
      <c r="AJ22" s="213">
        <f t="shared" si="17"/>
        <v>-0.727808481650483</v>
      </c>
      <c r="AK22" s="214">
        <v>67133</v>
      </c>
      <c r="AL22" s="214"/>
      <c r="AM22" s="213">
        <f t="shared" si="18"/>
        <v>-1</v>
      </c>
      <c r="AN22" s="214">
        <f t="shared" si="19"/>
        <v>298338</v>
      </c>
      <c r="AO22" s="214">
        <f t="shared" si="20"/>
        <v>62932.04</v>
      </c>
      <c r="AP22" s="213">
        <f t="shared" si="21"/>
        <v>-0.789057914177879</v>
      </c>
      <c r="AQ22" s="214">
        <v>58226</v>
      </c>
      <c r="AR22" s="214"/>
      <c r="AS22" s="213">
        <f t="shared" si="22"/>
        <v>-1</v>
      </c>
      <c r="AT22" s="214">
        <f t="shared" si="23"/>
        <v>356564</v>
      </c>
      <c r="AU22" s="214">
        <f t="shared" si="24"/>
        <v>62932.04</v>
      </c>
      <c r="AV22" s="213">
        <f t="shared" si="25"/>
        <v>-0.823504223645685</v>
      </c>
      <c r="AW22" s="47">
        <v>24848</v>
      </c>
      <c r="AX22" s="47"/>
      <c r="AY22" s="213">
        <f t="shared" si="26"/>
        <v>-1</v>
      </c>
      <c r="AZ22" s="47">
        <f t="shared" si="27"/>
        <v>381412</v>
      </c>
      <c r="BA22" s="47">
        <f t="shared" si="28"/>
        <v>62932.04</v>
      </c>
      <c r="BB22" s="213">
        <f t="shared" si="36"/>
        <v>-0.835002464526549</v>
      </c>
      <c r="BC22" s="47">
        <v>34493</v>
      </c>
      <c r="BD22" s="47"/>
      <c r="BE22" s="213">
        <f t="shared" si="29"/>
        <v>-1</v>
      </c>
      <c r="BF22" s="47">
        <f t="shared" si="30"/>
        <v>415905</v>
      </c>
      <c r="BG22" s="47">
        <f t="shared" si="31"/>
        <v>62932.04</v>
      </c>
      <c r="BH22" s="213">
        <f t="shared" si="37"/>
        <v>-0.848686502927351</v>
      </c>
      <c r="BI22" s="48">
        <v>20231</v>
      </c>
      <c r="BJ22" s="48"/>
      <c r="BK22" s="213">
        <f t="shared" si="32"/>
        <v>-1</v>
      </c>
      <c r="BL22" s="48">
        <f t="shared" si="33"/>
        <v>436136</v>
      </c>
      <c r="BM22" s="48">
        <f t="shared" si="34"/>
        <v>62932.04</v>
      </c>
      <c r="BN22" s="213">
        <f t="shared" si="35"/>
        <v>-0.85570546801915</v>
      </c>
      <c r="BO22" s="48">
        <v>24237</v>
      </c>
      <c r="BP22" s="48">
        <v>103577</v>
      </c>
      <c r="BQ22" s="48">
        <v>563950</v>
      </c>
      <c r="BR22" s="114" t="e">
        <f t="shared" si="38"/>
        <v>#DIV/0!</v>
      </c>
    </row>
    <row r="23" s="103" customFormat="1" spans="1:70">
      <c r="A23" s="104" t="s">
        <v>25</v>
      </c>
      <c r="B23" s="104" t="s">
        <v>25</v>
      </c>
      <c r="C23" s="220" t="s">
        <v>101</v>
      </c>
      <c r="D23" s="110" t="s">
        <v>86</v>
      </c>
      <c r="E23" s="110" t="s">
        <v>86</v>
      </c>
      <c r="F23" s="110" t="s">
        <v>78</v>
      </c>
      <c r="G23" s="110" t="s">
        <v>102</v>
      </c>
      <c r="H23" s="36" t="s">
        <v>87</v>
      </c>
      <c r="I23" s="211">
        <v>280</v>
      </c>
      <c r="J23" s="223">
        <v>155330</v>
      </c>
      <c r="K23" s="212">
        <v>156262</v>
      </c>
      <c r="L23" s="114">
        <f t="shared" si="39"/>
        <v>0.00600012875812794</v>
      </c>
      <c r="M23" s="223">
        <v>84728</v>
      </c>
      <c r="N23" s="212">
        <v>143497</v>
      </c>
      <c r="O23" s="114">
        <f t="shared" si="1"/>
        <v>0.693619582664526</v>
      </c>
      <c r="P23" s="212">
        <f t="shared" si="4"/>
        <v>240058</v>
      </c>
      <c r="Q23" s="212">
        <f t="shared" si="5"/>
        <v>299759</v>
      </c>
      <c r="R23" s="114">
        <f t="shared" si="3"/>
        <v>0.248694065600813</v>
      </c>
      <c r="S23" s="108">
        <v>296842</v>
      </c>
      <c r="T23" s="29">
        <v>199854.6</v>
      </c>
      <c r="U23" s="114">
        <f t="shared" si="6"/>
        <v>-0.326730718698836</v>
      </c>
      <c r="V23" s="29">
        <f t="shared" si="7"/>
        <v>536900</v>
      </c>
      <c r="W23" s="29">
        <f t="shared" si="8"/>
        <v>499613.6</v>
      </c>
      <c r="X23" s="114">
        <f t="shared" si="9"/>
        <v>-0.0694475693797728</v>
      </c>
      <c r="Y23" s="36">
        <v>180500</v>
      </c>
      <c r="Z23" s="36">
        <v>131199.7</v>
      </c>
      <c r="AA23" s="213">
        <f t="shared" si="10"/>
        <v>-0.273131855955679</v>
      </c>
      <c r="AB23" s="36">
        <f t="shared" si="11"/>
        <v>717400</v>
      </c>
      <c r="AC23" s="36">
        <f t="shared" si="12"/>
        <v>630813.3</v>
      </c>
      <c r="AD23" s="213">
        <f t="shared" si="13"/>
        <v>-0.120695149149707</v>
      </c>
      <c r="AE23" s="36">
        <v>190972</v>
      </c>
      <c r="AF23" s="211">
        <v>160705</v>
      </c>
      <c r="AG23" s="213">
        <f t="shared" si="14"/>
        <v>-0.158489202605618</v>
      </c>
      <c r="AH23" s="211">
        <f t="shared" si="15"/>
        <v>908372</v>
      </c>
      <c r="AI23" s="211">
        <f t="shared" si="16"/>
        <v>791518.3</v>
      </c>
      <c r="AJ23" s="213">
        <f t="shared" si="17"/>
        <v>-0.128640799143963</v>
      </c>
      <c r="AK23" s="214">
        <v>207825</v>
      </c>
      <c r="AL23" s="214">
        <v>164883</v>
      </c>
      <c r="AM23" s="213">
        <f t="shared" si="18"/>
        <v>-0.206625766871166</v>
      </c>
      <c r="AN23" s="214">
        <f t="shared" si="19"/>
        <v>1116197</v>
      </c>
      <c r="AO23" s="214">
        <f t="shared" si="20"/>
        <v>956401.3</v>
      </c>
      <c r="AP23" s="213">
        <f t="shared" si="21"/>
        <v>-0.143160839887583</v>
      </c>
      <c r="AQ23" s="214">
        <v>114990</v>
      </c>
      <c r="AR23" s="214">
        <v>50432</v>
      </c>
      <c r="AS23" s="213">
        <f t="shared" si="22"/>
        <v>-0.561422732411514</v>
      </c>
      <c r="AT23" s="214">
        <f t="shared" si="23"/>
        <v>1231187</v>
      </c>
      <c r="AU23" s="214">
        <f t="shared" si="24"/>
        <v>1006833.3</v>
      </c>
      <c r="AV23" s="213">
        <f t="shared" si="25"/>
        <v>-0.182225527072654</v>
      </c>
      <c r="AW23" s="47">
        <v>62417</v>
      </c>
      <c r="AX23" s="47">
        <v>52672</v>
      </c>
      <c r="AY23" s="213">
        <f t="shared" si="26"/>
        <v>-0.156127337103674</v>
      </c>
      <c r="AZ23" s="47">
        <f t="shared" si="27"/>
        <v>1293604</v>
      </c>
      <c r="BA23" s="47">
        <f t="shared" si="28"/>
        <v>1059505.3</v>
      </c>
      <c r="BB23" s="213">
        <f t="shared" si="36"/>
        <v>-0.180966277160553</v>
      </c>
      <c r="BC23" s="224">
        <v>213083</v>
      </c>
      <c r="BD23" s="47">
        <v>98642</v>
      </c>
      <c r="BE23" s="213">
        <f t="shared" si="29"/>
        <v>-0.537072408404237</v>
      </c>
      <c r="BF23" s="47">
        <f t="shared" si="30"/>
        <v>1506687</v>
      </c>
      <c r="BG23" s="47">
        <f t="shared" si="31"/>
        <v>1158147.3</v>
      </c>
      <c r="BH23" s="213">
        <f t="shared" si="37"/>
        <v>-0.231328537380358</v>
      </c>
      <c r="BI23" s="225">
        <v>304051.4</v>
      </c>
      <c r="BJ23" s="48">
        <v>85329</v>
      </c>
      <c r="BK23" s="213">
        <f t="shared" si="32"/>
        <v>-0.719359950324189</v>
      </c>
      <c r="BL23" s="48">
        <f t="shared" si="33"/>
        <v>1810738.4</v>
      </c>
      <c r="BM23" s="48">
        <f t="shared" si="34"/>
        <v>1243476.3</v>
      </c>
      <c r="BN23" s="213">
        <f t="shared" si="35"/>
        <v>-0.313276672102386</v>
      </c>
      <c r="BO23" s="225">
        <v>330136</v>
      </c>
      <c r="BP23" s="48">
        <v>394635</v>
      </c>
      <c r="BQ23" s="48">
        <v>2535509.4</v>
      </c>
      <c r="BR23" s="114">
        <f t="shared" si="38"/>
        <v>0.444098678571429</v>
      </c>
    </row>
    <row r="24" s="130" customFormat="1" spans="1:70">
      <c r="A24" s="138" t="s">
        <v>25</v>
      </c>
      <c r="B24" s="138" t="s">
        <v>25</v>
      </c>
      <c r="C24" s="226" t="s">
        <v>103</v>
      </c>
      <c r="D24" s="187" t="s">
        <v>104</v>
      </c>
      <c r="E24" s="187" t="s">
        <v>104</v>
      </c>
      <c r="F24" s="110" t="s">
        <v>78</v>
      </c>
      <c r="G24" s="187" t="s">
        <v>95</v>
      </c>
      <c r="H24" s="108" t="s">
        <v>105</v>
      </c>
      <c r="I24" s="211"/>
      <c r="J24" s="212"/>
      <c r="K24" s="212"/>
      <c r="L24" s="114" t="e">
        <f t="shared" si="39"/>
        <v>#DIV/0!</v>
      </c>
      <c r="M24" s="212"/>
      <c r="N24" s="212"/>
      <c r="O24" s="114" t="e">
        <f t="shared" si="1"/>
        <v>#DIV/0!</v>
      </c>
      <c r="P24" s="212">
        <f t="shared" si="4"/>
        <v>0</v>
      </c>
      <c r="Q24" s="212">
        <f t="shared" si="5"/>
        <v>0</v>
      </c>
      <c r="R24" s="114" t="e">
        <f t="shared" si="3"/>
        <v>#DIV/0!</v>
      </c>
      <c r="S24" s="29">
        <v>790</v>
      </c>
      <c r="T24" s="29"/>
      <c r="U24" s="114">
        <f t="shared" si="6"/>
        <v>-1</v>
      </c>
      <c r="V24" s="29">
        <f t="shared" si="7"/>
        <v>790</v>
      </c>
      <c r="W24" s="29">
        <f t="shared" si="8"/>
        <v>0</v>
      </c>
      <c r="X24" s="114">
        <f t="shared" si="9"/>
        <v>-1</v>
      </c>
      <c r="Y24" s="36"/>
      <c r="Z24" s="36"/>
      <c r="AA24" s="213" t="e">
        <f t="shared" si="10"/>
        <v>#DIV/0!</v>
      </c>
      <c r="AB24" s="36">
        <f t="shared" si="11"/>
        <v>790</v>
      </c>
      <c r="AC24" s="36">
        <f t="shared" si="12"/>
        <v>0</v>
      </c>
      <c r="AD24" s="213">
        <f t="shared" si="13"/>
        <v>-1</v>
      </c>
      <c r="AE24" s="46"/>
      <c r="AF24" s="211"/>
      <c r="AG24" s="213" t="e">
        <f t="shared" si="14"/>
        <v>#DIV/0!</v>
      </c>
      <c r="AH24" s="211">
        <f t="shared" si="15"/>
        <v>790</v>
      </c>
      <c r="AI24" s="211">
        <f t="shared" si="16"/>
        <v>0</v>
      </c>
      <c r="AJ24" s="213">
        <f t="shared" si="17"/>
        <v>-1</v>
      </c>
      <c r="AK24" s="214"/>
      <c r="AL24" s="214"/>
      <c r="AM24" s="213" t="e">
        <f t="shared" si="18"/>
        <v>#DIV/0!</v>
      </c>
      <c r="AN24" s="214">
        <f t="shared" si="19"/>
        <v>790</v>
      </c>
      <c r="AO24" s="214">
        <f t="shared" si="20"/>
        <v>0</v>
      </c>
      <c r="AP24" s="213">
        <f t="shared" si="21"/>
        <v>-1</v>
      </c>
      <c r="AQ24" s="214"/>
      <c r="AR24" s="214"/>
      <c r="AS24" s="213" t="e">
        <f t="shared" si="22"/>
        <v>#DIV/0!</v>
      </c>
      <c r="AT24" s="214">
        <f t="shared" si="23"/>
        <v>790</v>
      </c>
      <c r="AU24" s="214">
        <f t="shared" si="24"/>
        <v>0</v>
      </c>
      <c r="AV24" s="213">
        <f t="shared" si="25"/>
        <v>-1</v>
      </c>
      <c r="AW24" s="47"/>
      <c r="AX24" s="47"/>
      <c r="AY24" s="213" t="e">
        <f t="shared" si="26"/>
        <v>#DIV/0!</v>
      </c>
      <c r="AZ24" s="47">
        <f t="shared" si="27"/>
        <v>790</v>
      </c>
      <c r="BA24" s="47">
        <f t="shared" si="28"/>
        <v>0</v>
      </c>
      <c r="BB24" s="213">
        <f t="shared" si="36"/>
        <v>-1</v>
      </c>
      <c r="BC24" s="47"/>
      <c r="BD24" s="47"/>
      <c r="BE24" s="213" t="e">
        <f t="shared" si="29"/>
        <v>#DIV/0!</v>
      </c>
      <c r="BF24" s="47">
        <f t="shared" si="30"/>
        <v>790</v>
      </c>
      <c r="BG24" s="47">
        <f t="shared" si="31"/>
        <v>0</v>
      </c>
      <c r="BH24" s="213">
        <f t="shared" si="37"/>
        <v>-1</v>
      </c>
      <c r="BI24" s="48"/>
      <c r="BJ24" s="48"/>
      <c r="BK24" s="213" t="e">
        <f t="shared" si="32"/>
        <v>#DIV/0!</v>
      </c>
      <c r="BL24" s="48">
        <f t="shared" si="33"/>
        <v>790</v>
      </c>
      <c r="BM24" s="48">
        <f t="shared" si="34"/>
        <v>0</v>
      </c>
      <c r="BN24" s="213">
        <f t="shared" si="35"/>
        <v>-1</v>
      </c>
      <c r="BO24" s="48"/>
      <c r="BP24" s="48"/>
      <c r="BQ24" s="48">
        <v>790</v>
      </c>
      <c r="BR24" s="114" t="e">
        <f t="shared" si="38"/>
        <v>#DIV/0!</v>
      </c>
    </row>
    <row r="25" s="130" customFormat="1" spans="1:70">
      <c r="A25" s="138" t="s">
        <v>25</v>
      </c>
      <c r="B25" s="138" t="s">
        <v>25</v>
      </c>
      <c r="C25" s="227" t="s">
        <v>106</v>
      </c>
      <c r="D25" s="187" t="s">
        <v>104</v>
      </c>
      <c r="E25" s="187" t="s">
        <v>104</v>
      </c>
      <c r="F25" s="110" t="s">
        <v>78</v>
      </c>
      <c r="G25" s="187" t="s">
        <v>98</v>
      </c>
      <c r="H25" s="108" t="s">
        <v>105</v>
      </c>
      <c r="I25" s="211"/>
      <c r="J25" s="212"/>
      <c r="K25" s="212"/>
      <c r="L25" s="114" t="e">
        <f t="shared" si="39"/>
        <v>#DIV/0!</v>
      </c>
      <c r="M25" s="212"/>
      <c r="N25" s="212"/>
      <c r="O25" s="114" t="e">
        <f t="shared" si="1"/>
        <v>#DIV/0!</v>
      </c>
      <c r="P25" s="212">
        <f t="shared" si="4"/>
        <v>0</v>
      </c>
      <c r="Q25" s="212">
        <f t="shared" si="5"/>
        <v>0</v>
      </c>
      <c r="R25" s="114" t="e">
        <f t="shared" si="3"/>
        <v>#DIV/0!</v>
      </c>
      <c r="S25" s="29"/>
      <c r="T25" s="29"/>
      <c r="U25" s="114" t="e">
        <f t="shared" si="6"/>
        <v>#DIV/0!</v>
      </c>
      <c r="V25" s="29">
        <f t="shared" si="7"/>
        <v>0</v>
      </c>
      <c r="W25" s="29">
        <f t="shared" si="8"/>
        <v>0</v>
      </c>
      <c r="X25" s="114" t="e">
        <f t="shared" si="9"/>
        <v>#DIV/0!</v>
      </c>
      <c r="Y25" s="36"/>
      <c r="Z25" s="36"/>
      <c r="AA25" s="213" t="e">
        <f t="shared" si="10"/>
        <v>#DIV/0!</v>
      </c>
      <c r="AB25" s="36">
        <f t="shared" si="11"/>
        <v>0</v>
      </c>
      <c r="AC25" s="36">
        <f t="shared" si="12"/>
        <v>0</v>
      </c>
      <c r="AD25" s="213" t="e">
        <f t="shared" si="13"/>
        <v>#DIV/0!</v>
      </c>
      <c r="AE25" s="46"/>
      <c r="AF25" s="211"/>
      <c r="AG25" s="213" t="e">
        <f t="shared" si="14"/>
        <v>#DIV/0!</v>
      </c>
      <c r="AH25" s="211">
        <f t="shared" si="15"/>
        <v>0</v>
      </c>
      <c r="AI25" s="211">
        <f t="shared" si="16"/>
        <v>0</v>
      </c>
      <c r="AJ25" s="213" t="e">
        <f t="shared" si="17"/>
        <v>#DIV/0!</v>
      </c>
      <c r="AK25" s="214"/>
      <c r="AL25" s="214"/>
      <c r="AM25" s="213" t="e">
        <f t="shared" si="18"/>
        <v>#DIV/0!</v>
      </c>
      <c r="AN25" s="214">
        <f t="shared" si="19"/>
        <v>0</v>
      </c>
      <c r="AO25" s="214">
        <f t="shared" si="20"/>
        <v>0</v>
      </c>
      <c r="AP25" s="213" t="e">
        <f t="shared" si="21"/>
        <v>#DIV/0!</v>
      </c>
      <c r="AQ25" s="214"/>
      <c r="AR25" s="214"/>
      <c r="AS25" s="213" t="e">
        <f t="shared" si="22"/>
        <v>#DIV/0!</v>
      </c>
      <c r="AT25" s="214">
        <f t="shared" si="23"/>
        <v>0</v>
      </c>
      <c r="AU25" s="214">
        <f t="shared" si="24"/>
        <v>0</v>
      </c>
      <c r="AV25" s="213" t="e">
        <f t="shared" si="25"/>
        <v>#DIV/0!</v>
      </c>
      <c r="AW25" s="47"/>
      <c r="AX25" s="47"/>
      <c r="AY25" s="213" t="e">
        <f t="shared" si="26"/>
        <v>#DIV/0!</v>
      </c>
      <c r="AZ25" s="47">
        <f t="shared" si="27"/>
        <v>0</v>
      </c>
      <c r="BA25" s="47">
        <f t="shared" si="28"/>
        <v>0</v>
      </c>
      <c r="BB25" s="213" t="e">
        <f t="shared" si="36"/>
        <v>#DIV/0!</v>
      </c>
      <c r="BC25" s="47"/>
      <c r="BD25" s="47"/>
      <c r="BE25" s="213" t="e">
        <f t="shared" si="29"/>
        <v>#DIV/0!</v>
      </c>
      <c r="BF25" s="47">
        <f t="shared" si="30"/>
        <v>0</v>
      </c>
      <c r="BG25" s="47">
        <f t="shared" si="31"/>
        <v>0</v>
      </c>
      <c r="BH25" s="213" t="e">
        <f t="shared" si="37"/>
        <v>#DIV/0!</v>
      </c>
      <c r="BI25" s="48">
        <v>12039</v>
      </c>
      <c r="BJ25" s="48"/>
      <c r="BK25" s="213">
        <f t="shared" si="32"/>
        <v>-1</v>
      </c>
      <c r="BL25" s="48">
        <f t="shared" si="33"/>
        <v>12039</v>
      </c>
      <c r="BM25" s="48">
        <f t="shared" si="34"/>
        <v>0</v>
      </c>
      <c r="BN25" s="213">
        <f t="shared" si="35"/>
        <v>-1</v>
      </c>
      <c r="BO25" s="48"/>
      <c r="BP25" s="48"/>
      <c r="BQ25" s="48">
        <v>12039</v>
      </c>
      <c r="BR25" s="114" t="e">
        <f t="shared" si="38"/>
        <v>#DIV/0!</v>
      </c>
    </row>
    <row r="26" s="130" customFormat="1" spans="1:70">
      <c r="A26" s="138" t="s">
        <v>25</v>
      </c>
      <c r="B26" s="138" t="s">
        <v>25</v>
      </c>
      <c r="C26" s="227" t="s">
        <v>107</v>
      </c>
      <c r="D26" s="187" t="s">
        <v>63</v>
      </c>
      <c r="E26" s="187" t="s">
        <v>63</v>
      </c>
      <c r="F26" s="110" t="s">
        <v>78</v>
      </c>
      <c r="G26" s="187" t="s">
        <v>108</v>
      </c>
      <c r="H26" s="46" t="s">
        <v>60</v>
      </c>
      <c r="I26" s="211">
        <v>24</v>
      </c>
      <c r="J26" s="212">
        <v>20000</v>
      </c>
      <c r="K26" s="212">
        <v>10000</v>
      </c>
      <c r="L26" s="114">
        <f t="shared" si="39"/>
        <v>-0.5</v>
      </c>
      <c r="M26" s="212"/>
      <c r="N26" s="212"/>
      <c r="O26" s="114" t="e">
        <f t="shared" si="1"/>
        <v>#DIV/0!</v>
      </c>
      <c r="P26" s="212">
        <f t="shared" si="4"/>
        <v>20000</v>
      </c>
      <c r="Q26" s="212">
        <f t="shared" si="5"/>
        <v>10000</v>
      </c>
      <c r="R26" s="114">
        <f t="shared" si="3"/>
        <v>-0.5</v>
      </c>
      <c r="S26" s="29">
        <v>40000</v>
      </c>
      <c r="T26" s="29">
        <v>24752.5</v>
      </c>
      <c r="U26" s="114">
        <f t="shared" si="6"/>
        <v>-0.3811875</v>
      </c>
      <c r="V26" s="29">
        <f t="shared" si="7"/>
        <v>60000</v>
      </c>
      <c r="W26" s="29">
        <f t="shared" si="8"/>
        <v>34752.5</v>
      </c>
      <c r="X26" s="114">
        <f t="shared" si="9"/>
        <v>-0.420791666666667</v>
      </c>
      <c r="Y26" s="36">
        <v>30000</v>
      </c>
      <c r="Z26" s="36"/>
      <c r="AA26" s="213">
        <f t="shared" si="10"/>
        <v>-1</v>
      </c>
      <c r="AB26" s="36">
        <f t="shared" si="11"/>
        <v>90000</v>
      </c>
      <c r="AC26" s="36">
        <f t="shared" si="12"/>
        <v>34752.5</v>
      </c>
      <c r="AD26" s="213">
        <f t="shared" si="13"/>
        <v>-0.613861111111111</v>
      </c>
      <c r="AE26" s="46">
        <v>40100</v>
      </c>
      <c r="AF26" s="211"/>
      <c r="AG26" s="213">
        <f t="shared" si="14"/>
        <v>-1</v>
      </c>
      <c r="AH26" s="211">
        <f t="shared" si="15"/>
        <v>130100</v>
      </c>
      <c r="AI26" s="211">
        <f t="shared" si="16"/>
        <v>34752.5</v>
      </c>
      <c r="AJ26" s="213">
        <f t="shared" si="17"/>
        <v>-0.732878554957725</v>
      </c>
      <c r="AK26" s="214"/>
      <c r="AL26" s="214"/>
      <c r="AM26" s="213" t="e">
        <f t="shared" si="18"/>
        <v>#DIV/0!</v>
      </c>
      <c r="AN26" s="214">
        <f t="shared" si="19"/>
        <v>130100</v>
      </c>
      <c r="AO26" s="214">
        <f t="shared" si="20"/>
        <v>34752.5</v>
      </c>
      <c r="AP26" s="213">
        <f t="shared" si="21"/>
        <v>-0.732878554957725</v>
      </c>
      <c r="AQ26" s="214">
        <v>20000</v>
      </c>
      <c r="AR26" s="214"/>
      <c r="AS26" s="213">
        <f t="shared" si="22"/>
        <v>-1</v>
      </c>
      <c r="AT26" s="214">
        <f t="shared" si="23"/>
        <v>150100</v>
      </c>
      <c r="AU26" s="214">
        <f t="shared" si="24"/>
        <v>34752.5</v>
      </c>
      <c r="AV26" s="213">
        <f t="shared" si="25"/>
        <v>-0.768471019320453</v>
      </c>
      <c r="AW26" s="47">
        <v>20000</v>
      </c>
      <c r="AX26" s="47"/>
      <c r="AY26" s="213">
        <f t="shared" si="26"/>
        <v>-1</v>
      </c>
      <c r="AZ26" s="47">
        <f t="shared" si="27"/>
        <v>170100</v>
      </c>
      <c r="BA26" s="47">
        <f t="shared" si="28"/>
        <v>34752.5</v>
      </c>
      <c r="BB26" s="213">
        <f t="shared" si="36"/>
        <v>-0.795693709582598</v>
      </c>
      <c r="BC26" s="47"/>
      <c r="BD26" s="47">
        <v>20000</v>
      </c>
      <c r="BE26" s="213" t="e">
        <f t="shared" si="29"/>
        <v>#DIV/0!</v>
      </c>
      <c r="BF26" s="47">
        <f t="shared" si="30"/>
        <v>170100</v>
      </c>
      <c r="BG26" s="47">
        <f t="shared" si="31"/>
        <v>54752.5</v>
      </c>
      <c r="BH26" s="213">
        <f t="shared" si="37"/>
        <v>-0.678115814226925</v>
      </c>
      <c r="BI26" s="48">
        <v>11428</v>
      </c>
      <c r="BJ26" s="48"/>
      <c r="BK26" s="213">
        <f t="shared" si="32"/>
        <v>-1</v>
      </c>
      <c r="BL26" s="48">
        <f t="shared" si="33"/>
        <v>181528</v>
      </c>
      <c r="BM26" s="48">
        <f t="shared" si="34"/>
        <v>54752.5</v>
      </c>
      <c r="BN26" s="213">
        <f t="shared" si="35"/>
        <v>-0.698379864263364</v>
      </c>
      <c r="BO26" s="48">
        <v>20000</v>
      </c>
      <c r="BP26" s="48">
        <v>20000</v>
      </c>
      <c r="BQ26" s="48">
        <v>221528</v>
      </c>
      <c r="BR26" s="114">
        <f t="shared" si="38"/>
        <v>0.228135416666667</v>
      </c>
    </row>
    <row r="27" s="103" customFormat="1" spans="1:70">
      <c r="A27" s="104" t="s">
        <v>25</v>
      </c>
      <c r="B27" s="104" t="s">
        <v>25</v>
      </c>
      <c r="C27" s="228" t="s">
        <v>109</v>
      </c>
      <c r="D27" s="110" t="s">
        <v>86</v>
      </c>
      <c r="E27" s="110" t="s">
        <v>86</v>
      </c>
      <c r="F27" s="110" t="s">
        <v>78</v>
      </c>
      <c r="G27" s="110" t="s">
        <v>95</v>
      </c>
      <c r="H27" s="36" t="s">
        <v>87</v>
      </c>
      <c r="I27" s="211">
        <v>400</v>
      </c>
      <c r="J27" s="223">
        <v>304654</v>
      </c>
      <c r="K27" s="212">
        <v>248878.5</v>
      </c>
      <c r="L27" s="114">
        <f t="shared" si="39"/>
        <v>-0.183078180493281</v>
      </c>
      <c r="M27" s="223">
        <v>67549</v>
      </c>
      <c r="N27" s="212">
        <v>359062</v>
      </c>
      <c r="O27" s="114">
        <f t="shared" si="1"/>
        <v>4.31557832092259</v>
      </c>
      <c r="P27" s="212">
        <f t="shared" si="4"/>
        <v>372203</v>
      </c>
      <c r="Q27" s="212">
        <f t="shared" si="5"/>
        <v>607940.5</v>
      </c>
      <c r="R27" s="114">
        <f t="shared" si="3"/>
        <v>0.6333573345728</v>
      </c>
      <c r="S27" s="108">
        <v>191851</v>
      </c>
      <c r="T27" s="29">
        <v>586860</v>
      </c>
      <c r="U27" s="114">
        <f t="shared" si="6"/>
        <v>2.05893636207265</v>
      </c>
      <c r="V27" s="29">
        <f t="shared" si="7"/>
        <v>564054</v>
      </c>
      <c r="W27" s="29">
        <f t="shared" si="8"/>
        <v>1194800.5</v>
      </c>
      <c r="X27" s="114">
        <f t="shared" si="9"/>
        <v>1.11823779283544</v>
      </c>
      <c r="Y27" s="36">
        <v>73138</v>
      </c>
      <c r="Z27" s="36">
        <v>381502</v>
      </c>
      <c r="AA27" s="213">
        <f t="shared" si="10"/>
        <v>4.21619404413574</v>
      </c>
      <c r="AB27" s="36">
        <f t="shared" si="11"/>
        <v>637192</v>
      </c>
      <c r="AC27" s="36">
        <f t="shared" si="12"/>
        <v>1576302.5</v>
      </c>
      <c r="AD27" s="213">
        <f t="shared" si="13"/>
        <v>1.47382657032731</v>
      </c>
      <c r="AE27" s="36">
        <v>208668</v>
      </c>
      <c r="AF27" s="211">
        <v>418566</v>
      </c>
      <c r="AG27" s="213">
        <f t="shared" si="14"/>
        <v>1.00589453102536</v>
      </c>
      <c r="AH27" s="211">
        <f t="shared" si="15"/>
        <v>845860</v>
      </c>
      <c r="AI27" s="211">
        <f t="shared" si="16"/>
        <v>1994868.5</v>
      </c>
      <c r="AJ27" s="213">
        <f t="shared" si="17"/>
        <v>1.35839086846523</v>
      </c>
      <c r="AK27" s="214">
        <v>296204</v>
      </c>
      <c r="AL27" s="214">
        <v>579201</v>
      </c>
      <c r="AM27" s="213">
        <f t="shared" si="18"/>
        <v>0.955412485989386</v>
      </c>
      <c r="AN27" s="214">
        <f t="shared" si="19"/>
        <v>1142064</v>
      </c>
      <c r="AO27" s="214">
        <f t="shared" si="20"/>
        <v>2574069.5</v>
      </c>
      <c r="AP27" s="213">
        <f t="shared" si="21"/>
        <v>1.25387500175122</v>
      </c>
      <c r="AQ27" s="214">
        <v>217892</v>
      </c>
      <c r="AR27" s="214">
        <v>250281</v>
      </c>
      <c r="AS27" s="213">
        <f t="shared" si="22"/>
        <v>0.148647036146348</v>
      </c>
      <c r="AT27" s="214">
        <f t="shared" si="23"/>
        <v>1359956</v>
      </c>
      <c r="AU27" s="214">
        <f t="shared" si="24"/>
        <v>2824350.5</v>
      </c>
      <c r="AV27" s="213">
        <f t="shared" si="25"/>
        <v>1.07679549926615</v>
      </c>
      <c r="AW27" s="47">
        <v>307848</v>
      </c>
      <c r="AX27" s="47">
        <v>403353</v>
      </c>
      <c r="AY27" s="213">
        <f t="shared" si="26"/>
        <v>0.310234271458642</v>
      </c>
      <c r="AZ27" s="47">
        <f t="shared" si="27"/>
        <v>1667804</v>
      </c>
      <c r="BA27" s="47">
        <f t="shared" si="28"/>
        <v>3227703.5</v>
      </c>
      <c r="BB27" s="213">
        <f t="shared" si="36"/>
        <v>0.935301450290322</v>
      </c>
      <c r="BC27" s="47">
        <v>427373</v>
      </c>
      <c r="BD27" s="47">
        <v>322595</v>
      </c>
      <c r="BE27" s="213">
        <f t="shared" si="29"/>
        <v>-0.245167570248939</v>
      </c>
      <c r="BF27" s="47">
        <f t="shared" si="30"/>
        <v>2095177</v>
      </c>
      <c r="BG27" s="47">
        <f t="shared" si="31"/>
        <v>3550298.5</v>
      </c>
      <c r="BH27" s="213">
        <f t="shared" si="37"/>
        <v>0.694510058100103</v>
      </c>
      <c r="BI27" s="225">
        <v>677990.8</v>
      </c>
      <c r="BJ27" s="48">
        <v>300290.75</v>
      </c>
      <c r="BK27" s="213">
        <f t="shared" si="32"/>
        <v>-0.557087279060424</v>
      </c>
      <c r="BL27" s="48">
        <f t="shared" si="33"/>
        <v>2773167.8</v>
      </c>
      <c r="BM27" s="48">
        <f t="shared" si="34"/>
        <v>3850589.25</v>
      </c>
      <c r="BN27" s="213">
        <f t="shared" si="35"/>
        <v>0.388516500876723</v>
      </c>
      <c r="BO27" s="225">
        <v>260034.45</v>
      </c>
      <c r="BP27" s="48">
        <v>408726.6</v>
      </c>
      <c r="BQ27" s="48">
        <v>3441928.85</v>
      </c>
      <c r="BR27" s="114">
        <f t="shared" si="38"/>
        <v>0.9626473125</v>
      </c>
    </row>
    <row r="28" s="130" customFormat="1" spans="1:70">
      <c r="A28" s="138" t="s">
        <v>25</v>
      </c>
      <c r="B28" s="138" t="s">
        <v>25</v>
      </c>
      <c r="C28" s="227" t="s">
        <v>110</v>
      </c>
      <c r="D28" s="187" t="s">
        <v>63</v>
      </c>
      <c r="E28" s="187" t="s">
        <v>63</v>
      </c>
      <c r="F28" s="110" t="s">
        <v>78</v>
      </c>
      <c r="G28" s="187" t="s">
        <v>108</v>
      </c>
      <c r="H28" s="46" t="s">
        <v>65</v>
      </c>
      <c r="I28" s="211">
        <v>0</v>
      </c>
      <c r="J28" s="212">
        <v>4124</v>
      </c>
      <c r="K28" s="212"/>
      <c r="L28" s="114">
        <f t="shared" si="39"/>
        <v>-1</v>
      </c>
      <c r="M28" s="212"/>
      <c r="N28" s="212"/>
      <c r="O28" s="114" t="e">
        <f t="shared" si="1"/>
        <v>#DIV/0!</v>
      </c>
      <c r="P28" s="212">
        <f t="shared" si="4"/>
        <v>4124</v>
      </c>
      <c r="Q28" s="212">
        <f t="shared" si="5"/>
        <v>0</v>
      </c>
      <c r="R28" s="114">
        <f t="shared" si="3"/>
        <v>-1</v>
      </c>
      <c r="S28" s="29">
        <v>4124</v>
      </c>
      <c r="T28" s="29"/>
      <c r="U28" s="114">
        <f t="shared" si="6"/>
        <v>-1</v>
      </c>
      <c r="V28" s="29">
        <f t="shared" si="7"/>
        <v>8248</v>
      </c>
      <c r="W28" s="29">
        <f t="shared" si="8"/>
        <v>0</v>
      </c>
      <c r="X28" s="114">
        <f t="shared" si="9"/>
        <v>-1</v>
      </c>
      <c r="Y28" s="36"/>
      <c r="Z28" s="36"/>
      <c r="AA28" s="213" t="e">
        <f t="shared" si="10"/>
        <v>#DIV/0!</v>
      </c>
      <c r="AB28" s="36">
        <f t="shared" si="11"/>
        <v>8248</v>
      </c>
      <c r="AC28" s="36">
        <f t="shared" si="12"/>
        <v>0</v>
      </c>
      <c r="AD28" s="213">
        <f t="shared" si="13"/>
        <v>-1</v>
      </c>
      <c r="AE28" s="46"/>
      <c r="AF28" s="211"/>
      <c r="AG28" s="213" t="e">
        <f t="shared" si="14"/>
        <v>#DIV/0!</v>
      </c>
      <c r="AH28" s="211">
        <f t="shared" si="15"/>
        <v>8248</v>
      </c>
      <c r="AI28" s="211">
        <f t="shared" si="16"/>
        <v>0</v>
      </c>
      <c r="AJ28" s="213">
        <f t="shared" si="17"/>
        <v>-1</v>
      </c>
      <c r="AK28" s="214"/>
      <c r="AL28" s="214"/>
      <c r="AM28" s="213" t="e">
        <f t="shared" si="18"/>
        <v>#DIV/0!</v>
      </c>
      <c r="AN28" s="214">
        <f t="shared" si="19"/>
        <v>8248</v>
      </c>
      <c r="AO28" s="214">
        <f t="shared" si="20"/>
        <v>0</v>
      </c>
      <c r="AP28" s="213">
        <f t="shared" si="21"/>
        <v>-1</v>
      </c>
      <c r="AQ28" s="214"/>
      <c r="AR28" s="214"/>
      <c r="AS28" s="213" t="e">
        <f t="shared" si="22"/>
        <v>#DIV/0!</v>
      </c>
      <c r="AT28" s="214">
        <f t="shared" si="23"/>
        <v>8248</v>
      </c>
      <c r="AU28" s="214">
        <f t="shared" si="24"/>
        <v>0</v>
      </c>
      <c r="AV28" s="213">
        <f t="shared" si="25"/>
        <v>-1</v>
      </c>
      <c r="AW28" s="47"/>
      <c r="AX28" s="47"/>
      <c r="AY28" s="213" t="e">
        <f t="shared" si="26"/>
        <v>#DIV/0!</v>
      </c>
      <c r="AZ28" s="47">
        <f t="shared" si="27"/>
        <v>8248</v>
      </c>
      <c r="BA28" s="47">
        <f t="shared" si="28"/>
        <v>0</v>
      </c>
      <c r="BB28" s="213">
        <f t="shared" si="36"/>
        <v>-1</v>
      </c>
      <c r="BC28" s="47"/>
      <c r="BD28" s="47"/>
      <c r="BE28" s="213" t="e">
        <f t="shared" si="29"/>
        <v>#DIV/0!</v>
      </c>
      <c r="BF28" s="47">
        <f t="shared" si="30"/>
        <v>8248</v>
      </c>
      <c r="BG28" s="47">
        <f t="shared" si="31"/>
        <v>0</v>
      </c>
      <c r="BH28" s="213">
        <f t="shared" si="37"/>
        <v>-1</v>
      </c>
      <c r="BI28" s="48"/>
      <c r="BJ28" s="48"/>
      <c r="BK28" s="213" t="e">
        <f t="shared" si="32"/>
        <v>#DIV/0!</v>
      </c>
      <c r="BL28" s="48">
        <f t="shared" si="33"/>
        <v>8248</v>
      </c>
      <c r="BM28" s="48">
        <f t="shared" si="34"/>
        <v>0</v>
      </c>
      <c r="BN28" s="213">
        <f t="shared" si="35"/>
        <v>-1</v>
      </c>
      <c r="BO28" s="48"/>
      <c r="BP28" s="48"/>
      <c r="BQ28" s="48">
        <v>8248</v>
      </c>
      <c r="BR28" s="114" t="e">
        <f t="shared" si="38"/>
        <v>#DIV/0!</v>
      </c>
    </row>
    <row r="29" s="130" customFormat="1" spans="1:70">
      <c r="A29" s="138" t="s">
        <v>25</v>
      </c>
      <c r="B29" s="138" t="s">
        <v>25</v>
      </c>
      <c r="C29" s="227" t="s">
        <v>111</v>
      </c>
      <c r="D29" s="187" t="s">
        <v>63</v>
      </c>
      <c r="E29" s="187" t="s">
        <v>63</v>
      </c>
      <c r="F29" s="110" t="s">
        <v>64</v>
      </c>
      <c r="G29" s="110" t="s">
        <v>64</v>
      </c>
      <c r="H29" s="46" t="s">
        <v>65</v>
      </c>
      <c r="I29" s="211"/>
      <c r="J29" s="212">
        <v>10000</v>
      </c>
      <c r="K29" s="212"/>
      <c r="L29" s="114">
        <f t="shared" si="39"/>
        <v>-1</v>
      </c>
      <c r="M29" s="212"/>
      <c r="N29" s="212"/>
      <c r="O29" s="114" t="e">
        <f t="shared" si="1"/>
        <v>#DIV/0!</v>
      </c>
      <c r="P29" s="212">
        <f t="shared" si="4"/>
        <v>10000</v>
      </c>
      <c r="Q29" s="212">
        <f t="shared" si="5"/>
        <v>0</v>
      </c>
      <c r="R29" s="114">
        <f t="shared" si="3"/>
        <v>-1</v>
      </c>
      <c r="S29" s="29"/>
      <c r="T29" s="29"/>
      <c r="U29" s="114" t="e">
        <f t="shared" si="6"/>
        <v>#DIV/0!</v>
      </c>
      <c r="V29" s="29">
        <f t="shared" si="7"/>
        <v>10000</v>
      </c>
      <c r="W29" s="29">
        <f t="shared" si="8"/>
        <v>0</v>
      </c>
      <c r="X29" s="114">
        <f t="shared" si="9"/>
        <v>-1</v>
      </c>
      <c r="Y29" s="36"/>
      <c r="Z29" s="36"/>
      <c r="AA29" s="213" t="e">
        <f t="shared" si="10"/>
        <v>#DIV/0!</v>
      </c>
      <c r="AB29" s="36">
        <f t="shared" si="11"/>
        <v>10000</v>
      </c>
      <c r="AC29" s="36">
        <f t="shared" si="12"/>
        <v>0</v>
      </c>
      <c r="AD29" s="213">
        <f t="shared" si="13"/>
        <v>-1</v>
      </c>
      <c r="AE29" s="46"/>
      <c r="AF29" s="211"/>
      <c r="AG29" s="213" t="e">
        <f t="shared" si="14"/>
        <v>#DIV/0!</v>
      </c>
      <c r="AH29" s="211">
        <f t="shared" si="15"/>
        <v>10000</v>
      </c>
      <c r="AI29" s="211">
        <f t="shared" si="16"/>
        <v>0</v>
      </c>
      <c r="AJ29" s="213">
        <f t="shared" si="17"/>
        <v>-1</v>
      </c>
      <c r="AK29" s="214"/>
      <c r="AL29" s="214"/>
      <c r="AM29" s="213" t="e">
        <f t="shared" si="18"/>
        <v>#DIV/0!</v>
      </c>
      <c r="AN29" s="214">
        <f t="shared" si="19"/>
        <v>10000</v>
      </c>
      <c r="AO29" s="214">
        <f t="shared" si="20"/>
        <v>0</v>
      </c>
      <c r="AP29" s="213">
        <f t="shared" si="21"/>
        <v>-1</v>
      </c>
      <c r="AQ29" s="214"/>
      <c r="AR29" s="214"/>
      <c r="AS29" s="213" t="e">
        <f t="shared" si="22"/>
        <v>#DIV/0!</v>
      </c>
      <c r="AT29" s="214">
        <f t="shared" si="23"/>
        <v>10000</v>
      </c>
      <c r="AU29" s="214">
        <f t="shared" si="24"/>
        <v>0</v>
      </c>
      <c r="AV29" s="213">
        <f t="shared" si="25"/>
        <v>-1</v>
      </c>
      <c r="AW29" s="47">
        <v>491</v>
      </c>
      <c r="AX29" s="47"/>
      <c r="AY29" s="213">
        <f t="shared" si="26"/>
        <v>-1</v>
      </c>
      <c r="AZ29" s="47">
        <f t="shared" si="27"/>
        <v>10491</v>
      </c>
      <c r="BA29" s="47">
        <f t="shared" si="28"/>
        <v>0</v>
      </c>
      <c r="BB29" s="213">
        <f t="shared" si="36"/>
        <v>-1</v>
      </c>
      <c r="BC29" s="47"/>
      <c r="BD29" s="47"/>
      <c r="BE29" s="213" t="e">
        <f t="shared" si="29"/>
        <v>#DIV/0!</v>
      </c>
      <c r="BF29" s="47">
        <f t="shared" si="30"/>
        <v>10491</v>
      </c>
      <c r="BG29" s="47">
        <f t="shared" si="31"/>
        <v>0</v>
      </c>
      <c r="BH29" s="213">
        <f t="shared" si="37"/>
        <v>-1</v>
      </c>
      <c r="BI29" s="48"/>
      <c r="BJ29" s="48"/>
      <c r="BK29" s="213" t="e">
        <f t="shared" si="32"/>
        <v>#DIV/0!</v>
      </c>
      <c r="BL29" s="48">
        <f t="shared" si="33"/>
        <v>10491</v>
      </c>
      <c r="BM29" s="48">
        <f t="shared" si="34"/>
        <v>0</v>
      </c>
      <c r="BN29" s="213">
        <f t="shared" si="35"/>
        <v>-1</v>
      </c>
      <c r="BO29" s="48"/>
      <c r="BP29" s="48"/>
      <c r="BQ29" s="48">
        <v>10491</v>
      </c>
      <c r="BR29" s="114" t="e">
        <f t="shared" si="38"/>
        <v>#DIV/0!</v>
      </c>
    </row>
    <row r="30" s="130" customFormat="1" spans="1:70">
      <c r="A30" s="138" t="s">
        <v>25</v>
      </c>
      <c r="B30" s="138" t="s">
        <v>25</v>
      </c>
      <c r="C30" s="227" t="s">
        <v>112</v>
      </c>
      <c r="D30" s="187" t="s">
        <v>104</v>
      </c>
      <c r="E30" s="187" t="s">
        <v>104</v>
      </c>
      <c r="F30" s="110" t="s">
        <v>78</v>
      </c>
      <c r="G30" s="187" t="s">
        <v>79</v>
      </c>
      <c r="H30" s="108" t="s">
        <v>105</v>
      </c>
      <c r="I30" s="211"/>
      <c r="J30" s="212">
        <v>2591</v>
      </c>
      <c r="K30" s="212"/>
      <c r="L30" s="114">
        <f t="shared" si="39"/>
        <v>-1</v>
      </c>
      <c r="M30" s="212"/>
      <c r="N30" s="212"/>
      <c r="O30" s="114" t="e">
        <f t="shared" si="1"/>
        <v>#DIV/0!</v>
      </c>
      <c r="P30" s="212">
        <f t="shared" si="4"/>
        <v>2591</v>
      </c>
      <c r="Q30" s="212">
        <f t="shared" si="5"/>
        <v>0</v>
      </c>
      <c r="R30" s="114">
        <f t="shared" si="3"/>
        <v>-1</v>
      </c>
      <c r="S30" s="29"/>
      <c r="T30" s="29"/>
      <c r="U30" s="114" t="e">
        <f t="shared" si="6"/>
        <v>#DIV/0!</v>
      </c>
      <c r="V30" s="29">
        <f t="shared" si="7"/>
        <v>2591</v>
      </c>
      <c r="W30" s="29">
        <f t="shared" si="8"/>
        <v>0</v>
      </c>
      <c r="X30" s="114">
        <f t="shared" si="9"/>
        <v>-1</v>
      </c>
      <c r="Y30" s="36"/>
      <c r="Z30" s="36"/>
      <c r="AA30" s="213" t="e">
        <f t="shared" si="10"/>
        <v>#DIV/0!</v>
      </c>
      <c r="AB30" s="36">
        <f t="shared" si="11"/>
        <v>2591</v>
      </c>
      <c r="AC30" s="36">
        <f t="shared" si="12"/>
        <v>0</v>
      </c>
      <c r="AD30" s="213">
        <f t="shared" si="13"/>
        <v>-1</v>
      </c>
      <c r="AE30" s="46"/>
      <c r="AF30" s="211"/>
      <c r="AG30" s="213" t="e">
        <f t="shared" si="14"/>
        <v>#DIV/0!</v>
      </c>
      <c r="AH30" s="211">
        <f t="shared" si="15"/>
        <v>2591</v>
      </c>
      <c r="AI30" s="211">
        <f t="shared" si="16"/>
        <v>0</v>
      </c>
      <c r="AJ30" s="213">
        <f t="shared" si="17"/>
        <v>-1</v>
      </c>
      <c r="AK30" s="214"/>
      <c r="AL30" s="214"/>
      <c r="AM30" s="213" t="e">
        <f t="shared" si="18"/>
        <v>#DIV/0!</v>
      </c>
      <c r="AN30" s="214">
        <f t="shared" si="19"/>
        <v>2591</v>
      </c>
      <c r="AO30" s="214">
        <f t="shared" si="20"/>
        <v>0</v>
      </c>
      <c r="AP30" s="213">
        <f t="shared" si="21"/>
        <v>-1</v>
      </c>
      <c r="AQ30" s="214"/>
      <c r="AR30" s="214"/>
      <c r="AS30" s="213" t="e">
        <f t="shared" si="22"/>
        <v>#DIV/0!</v>
      </c>
      <c r="AT30" s="214">
        <f t="shared" si="23"/>
        <v>2591</v>
      </c>
      <c r="AU30" s="214">
        <f t="shared" si="24"/>
        <v>0</v>
      </c>
      <c r="AV30" s="213">
        <f t="shared" si="25"/>
        <v>-1</v>
      </c>
      <c r="AW30" s="47"/>
      <c r="AX30" s="47"/>
      <c r="AY30" s="213" t="e">
        <f t="shared" si="26"/>
        <v>#DIV/0!</v>
      </c>
      <c r="AZ30" s="47">
        <f t="shared" si="27"/>
        <v>2591</v>
      </c>
      <c r="BA30" s="47">
        <f t="shared" si="28"/>
        <v>0</v>
      </c>
      <c r="BB30" s="213">
        <f t="shared" si="36"/>
        <v>-1</v>
      </c>
      <c r="BC30" s="47"/>
      <c r="BD30" s="47"/>
      <c r="BE30" s="213" t="e">
        <f t="shared" si="29"/>
        <v>#DIV/0!</v>
      </c>
      <c r="BF30" s="47">
        <f t="shared" si="30"/>
        <v>2591</v>
      </c>
      <c r="BG30" s="47">
        <f t="shared" si="31"/>
        <v>0</v>
      </c>
      <c r="BH30" s="213">
        <f t="shared" si="37"/>
        <v>-1</v>
      </c>
      <c r="BI30" s="48"/>
      <c r="BJ30" s="48"/>
      <c r="BK30" s="213" t="e">
        <f t="shared" si="32"/>
        <v>#DIV/0!</v>
      </c>
      <c r="BL30" s="48">
        <f t="shared" si="33"/>
        <v>2591</v>
      </c>
      <c r="BM30" s="48">
        <f t="shared" si="34"/>
        <v>0</v>
      </c>
      <c r="BN30" s="213">
        <f t="shared" si="35"/>
        <v>-1</v>
      </c>
      <c r="BO30" s="48"/>
      <c r="BP30" s="48"/>
      <c r="BQ30" s="48">
        <v>2591</v>
      </c>
      <c r="BR30" s="114" t="e">
        <f t="shared" si="38"/>
        <v>#DIV/0!</v>
      </c>
    </row>
    <row r="31" s="130" customFormat="1" spans="1:70">
      <c r="A31" s="138" t="s">
        <v>25</v>
      </c>
      <c r="B31" s="138" t="s">
        <v>25</v>
      </c>
      <c r="C31" s="227" t="s">
        <v>113</v>
      </c>
      <c r="D31" s="187" t="s">
        <v>63</v>
      </c>
      <c r="E31" s="187" t="s">
        <v>63</v>
      </c>
      <c r="F31" s="110" t="s">
        <v>78</v>
      </c>
      <c r="G31" s="187" t="s">
        <v>102</v>
      </c>
      <c r="H31" s="46" t="s">
        <v>114</v>
      </c>
      <c r="I31" s="211">
        <v>30</v>
      </c>
      <c r="J31" s="212">
        <v>20582</v>
      </c>
      <c r="K31" s="212">
        <v>14679</v>
      </c>
      <c r="L31" s="114">
        <f t="shared" si="39"/>
        <v>-0.286804003498202</v>
      </c>
      <c r="M31" s="212">
        <v>3939</v>
      </c>
      <c r="N31" s="212"/>
      <c r="O31" s="114">
        <f t="shared" si="1"/>
        <v>-1</v>
      </c>
      <c r="P31" s="212">
        <f t="shared" si="4"/>
        <v>24521</v>
      </c>
      <c r="Q31" s="212">
        <f t="shared" si="5"/>
        <v>14679</v>
      </c>
      <c r="R31" s="114">
        <f t="shared" si="3"/>
        <v>-0.401370254067942</v>
      </c>
      <c r="S31" s="29"/>
      <c r="T31" s="29">
        <v>3148</v>
      </c>
      <c r="U31" s="114" t="e">
        <f t="shared" si="6"/>
        <v>#DIV/0!</v>
      </c>
      <c r="V31" s="29">
        <f t="shared" si="7"/>
        <v>24521</v>
      </c>
      <c r="W31" s="29">
        <f t="shared" si="8"/>
        <v>17827</v>
      </c>
      <c r="X31" s="114">
        <f t="shared" si="9"/>
        <v>-0.272990497940541</v>
      </c>
      <c r="Y31" s="36">
        <v>23069</v>
      </c>
      <c r="Z31" s="36">
        <v>13909</v>
      </c>
      <c r="AA31" s="213">
        <f t="shared" si="10"/>
        <v>-0.397069660583467</v>
      </c>
      <c r="AB31" s="36">
        <f t="shared" si="11"/>
        <v>47590</v>
      </c>
      <c r="AC31" s="36">
        <f t="shared" si="12"/>
        <v>31736</v>
      </c>
      <c r="AD31" s="213">
        <f t="shared" si="13"/>
        <v>-0.333137213700357</v>
      </c>
      <c r="AE31" s="46">
        <v>27908</v>
      </c>
      <c r="AF31" s="211">
        <v>8765</v>
      </c>
      <c r="AG31" s="213">
        <f t="shared" si="14"/>
        <v>-0.685932349147198</v>
      </c>
      <c r="AH31" s="211">
        <f t="shared" si="15"/>
        <v>75498</v>
      </c>
      <c r="AI31" s="211">
        <f t="shared" si="16"/>
        <v>40501</v>
      </c>
      <c r="AJ31" s="213">
        <f t="shared" si="17"/>
        <v>-0.463548703276908</v>
      </c>
      <c r="AK31" s="214">
        <v>25192</v>
      </c>
      <c r="AL31" s="214">
        <v>9307</v>
      </c>
      <c r="AM31" s="213">
        <f t="shared" si="18"/>
        <v>-0.630557319784058</v>
      </c>
      <c r="AN31" s="214">
        <f t="shared" si="19"/>
        <v>100690</v>
      </c>
      <c r="AO31" s="214">
        <f t="shared" si="20"/>
        <v>49808</v>
      </c>
      <c r="AP31" s="213">
        <f t="shared" si="21"/>
        <v>-0.505333200913695</v>
      </c>
      <c r="AQ31" s="214"/>
      <c r="AR31" s="214">
        <v>11183</v>
      </c>
      <c r="AS31" s="213" t="e">
        <f t="shared" si="22"/>
        <v>#DIV/0!</v>
      </c>
      <c r="AT31" s="214">
        <f t="shared" si="23"/>
        <v>100690</v>
      </c>
      <c r="AU31" s="214">
        <f t="shared" si="24"/>
        <v>60991</v>
      </c>
      <c r="AV31" s="213">
        <f t="shared" si="25"/>
        <v>-0.394269540172808</v>
      </c>
      <c r="AW31" s="47">
        <v>16800</v>
      </c>
      <c r="AX31" s="47">
        <v>6109</v>
      </c>
      <c r="AY31" s="213">
        <f t="shared" si="26"/>
        <v>-0.636369047619048</v>
      </c>
      <c r="AZ31" s="47">
        <f t="shared" si="27"/>
        <v>117490</v>
      </c>
      <c r="BA31" s="47">
        <f t="shared" si="28"/>
        <v>67100</v>
      </c>
      <c r="BB31" s="213">
        <f t="shared" si="36"/>
        <v>-0.42888756489914</v>
      </c>
      <c r="BC31" s="47">
        <v>24480</v>
      </c>
      <c r="BD31" s="47"/>
      <c r="BE31" s="213">
        <f t="shared" si="29"/>
        <v>-1</v>
      </c>
      <c r="BF31" s="47">
        <f t="shared" si="30"/>
        <v>141970</v>
      </c>
      <c r="BG31" s="47">
        <f t="shared" si="31"/>
        <v>67100</v>
      </c>
      <c r="BH31" s="213">
        <f t="shared" si="37"/>
        <v>-0.527364936254138</v>
      </c>
      <c r="BI31" s="48"/>
      <c r="BJ31" s="48"/>
      <c r="BK31" s="213" t="e">
        <f t="shared" si="32"/>
        <v>#DIV/0!</v>
      </c>
      <c r="BL31" s="48">
        <f t="shared" si="33"/>
        <v>141970</v>
      </c>
      <c r="BM31" s="48">
        <f t="shared" si="34"/>
        <v>67100</v>
      </c>
      <c r="BN31" s="213">
        <f t="shared" si="35"/>
        <v>-0.527364936254138</v>
      </c>
      <c r="BO31" s="48">
        <v>18985</v>
      </c>
      <c r="BP31" s="48"/>
      <c r="BQ31" s="48">
        <v>160955</v>
      </c>
      <c r="BR31" s="114">
        <f t="shared" si="38"/>
        <v>0.223666666666667</v>
      </c>
    </row>
    <row r="32" s="130" customFormat="1" spans="1:70">
      <c r="A32" s="138" t="s">
        <v>25</v>
      </c>
      <c r="B32" s="138" t="s">
        <v>25</v>
      </c>
      <c r="C32" s="227" t="s">
        <v>115</v>
      </c>
      <c r="D32" s="187" t="s">
        <v>116</v>
      </c>
      <c r="E32" s="187" t="s">
        <v>116</v>
      </c>
      <c r="F32" s="110" t="s">
        <v>78</v>
      </c>
      <c r="G32" s="187" t="s">
        <v>108</v>
      </c>
      <c r="H32" s="46" t="s">
        <v>114</v>
      </c>
      <c r="I32" s="211"/>
      <c r="J32" s="212">
        <v>7088</v>
      </c>
      <c r="K32" s="212"/>
      <c r="L32" s="114">
        <f t="shared" si="39"/>
        <v>-1</v>
      </c>
      <c r="M32" s="212"/>
      <c r="N32" s="212"/>
      <c r="O32" s="114" t="e">
        <f t="shared" si="1"/>
        <v>#DIV/0!</v>
      </c>
      <c r="P32" s="212">
        <f t="shared" si="4"/>
        <v>7088</v>
      </c>
      <c r="Q32" s="212">
        <f t="shared" si="5"/>
        <v>0</v>
      </c>
      <c r="R32" s="114">
        <f t="shared" si="3"/>
        <v>-1</v>
      </c>
      <c r="S32" s="29"/>
      <c r="T32" s="29"/>
      <c r="U32" s="114" t="e">
        <f t="shared" si="6"/>
        <v>#DIV/0!</v>
      </c>
      <c r="V32" s="29">
        <f t="shared" si="7"/>
        <v>7088</v>
      </c>
      <c r="W32" s="29">
        <f t="shared" si="8"/>
        <v>0</v>
      </c>
      <c r="X32" s="114">
        <f t="shared" si="9"/>
        <v>-1</v>
      </c>
      <c r="Y32" s="36"/>
      <c r="Z32" s="36"/>
      <c r="AA32" s="213" t="e">
        <f t="shared" si="10"/>
        <v>#DIV/0!</v>
      </c>
      <c r="AB32" s="36">
        <f t="shared" si="11"/>
        <v>7088</v>
      </c>
      <c r="AC32" s="36">
        <f t="shared" si="12"/>
        <v>0</v>
      </c>
      <c r="AD32" s="213">
        <f t="shared" si="13"/>
        <v>-1</v>
      </c>
      <c r="AE32" s="46"/>
      <c r="AF32" s="211"/>
      <c r="AG32" s="213" t="e">
        <f t="shared" si="14"/>
        <v>#DIV/0!</v>
      </c>
      <c r="AH32" s="211">
        <f t="shared" si="15"/>
        <v>7088</v>
      </c>
      <c r="AI32" s="211">
        <f t="shared" si="16"/>
        <v>0</v>
      </c>
      <c r="AJ32" s="213">
        <f t="shared" si="17"/>
        <v>-1</v>
      </c>
      <c r="AK32" s="214"/>
      <c r="AL32" s="214"/>
      <c r="AM32" s="213" t="e">
        <f t="shared" si="18"/>
        <v>#DIV/0!</v>
      </c>
      <c r="AN32" s="214">
        <f t="shared" si="19"/>
        <v>7088</v>
      </c>
      <c r="AO32" s="214">
        <f t="shared" si="20"/>
        <v>0</v>
      </c>
      <c r="AP32" s="213">
        <f t="shared" si="21"/>
        <v>-1</v>
      </c>
      <c r="AQ32" s="214"/>
      <c r="AR32" s="214"/>
      <c r="AS32" s="213" t="e">
        <f t="shared" si="22"/>
        <v>#DIV/0!</v>
      </c>
      <c r="AT32" s="214">
        <f t="shared" si="23"/>
        <v>7088</v>
      </c>
      <c r="AU32" s="214">
        <f t="shared" si="24"/>
        <v>0</v>
      </c>
      <c r="AV32" s="213">
        <f t="shared" si="25"/>
        <v>-1</v>
      </c>
      <c r="AW32" s="47"/>
      <c r="AX32" s="47"/>
      <c r="AY32" s="213" t="e">
        <f t="shared" si="26"/>
        <v>#DIV/0!</v>
      </c>
      <c r="AZ32" s="47">
        <f t="shared" si="27"/>
        <v>7088</v>
      </c>
      <c r="BA32" s="47">
        <f t="shared" si="28"/>
        <v>0</v>
      </c>
      <c r="BB32" s="213">
        <f t="shared" si="36"/>
        <v>-1</v>
      </c>
      <c r="BC32" s="47"/>
      <c r="BD32" s="47"/>
      <c r="BE32" s="213" t="e">
        <f t="shared" si="29"/>
        <v>#DIV/0!</v>
      </c>
      <c r="BF32" s="47">
        <f t="shared" si="30"/>
        <v>7088</v>
      </c>
      <c r="BG32" s="47">
        <f t="shared" si="31"/>
        <v>0</v>
      </c>
      <c r="BH32" s="213">
        <f t="shared" si="37"/>
        <v>-1</v>
      </c>
      <c r="BI32" s="48"/>
      <c r="BJ32" s="48"/>
      <c r="BK32" s="213" t="e">
        <f t="shared" si="32"/>
        <v>#DIV/0!</v>
      </c>
      <c r="BL32" s="48">
        <f t="shared" si="33"/>
        <v>7088</v>
      </c>
      <c r="BM32" s="48">
        <f t="shared" si="34"/>
        <v>0</v>
      </c>
      <c r="BN32" s="213">
        <f t="shared" si="35"/>
        <v>-1</v>
      </c>
      <c r="BO32" s="48"/>
      <c r="BP32" s="48"/>
      <c r="BQ32" s="48">
        <v>7088</v>
      </c>
      <c r="BR32" s="114" t="e">
        <f t="shared" si="38"/>
        <v>#DIV/0!</v>
      </c>
    </row>
    <row r="33" s="130" customFormat="1" spans="1:72">
      <c r="A33" s="138" t="s">
        <v>25</v>
      </c>
      <c r="B33" s="138" t="s">
        <v>25</v>
      </c>
      <c r="C33" s="227" t="s">
        <v>117</v>
      </c>
      <c r="D33" s="187" t="s">
        <v>116</v>
      </c>
      <c r="E33" s="187" t="s">
        <v>116</v>
      </c>
      <c r="F33" s="110" t="s">
        <v>78</v>
      </c>
      <c r="G33" s="187" t="s">
        <v>108</v>
      </c>
      <c r="H33" s="46" t="s">
        <v>114</v>
      </c>
      <c r="I33" s="211">
        <v>200</v>
      </c>
      <c r="J33" s="212">
        <v>91657.28</v>
      </c>
      <c r="K33" s="212">
        <v>218873.82</v>
      </c>
      <c r="L33" s="114">
        <f t="shared" si="39"/>
        <v>1.38795892699412</v>
      </c>
      <c r="M33" s="212"/>
      <c r="N33" s="212">
        <v>131893.4</v>
      </c>
      <c r="O33" s="114" t="e">
        <f t="shared" si="1"/>
        <v>#DIV/0!</v>
      </c>
      <c r="P33" s="212">
        <f t="shared" si="4"/>
        <v>91657.28</v>
      </c>
      <c r="Q33" s="212">
        <f t="shared" si="5"/>
        <v>350767.22</v>
      </c>
      <c r="R33" s="114">
        <f t="shared" si="3"/>
        <v>2.82694336991017</v>
      </c>
      <c r="S33" s="29">
        <v>98407.6</v>
      </c>
      <c r="T33" s="29">
        <v>143496.71</v>
      </c>
      <c r="U33" s="114">
        <f t="shared" si="6"/>
        <v>0.458187274153622</v>
      </c>
      <c r="V33" s="29">
        <f t="shared" si="7"/>
        <v>190064.88</v>
      </c>
      <c r="W33" s="29">
        <f t="shared" si="8"/>
        <v>494263.93</v>
      </c>
      <c r="X33" s="114">
        <f t="shared" si="9"/>
        <v>1.60050110257087</v>
      </c>
      <c r="Y33" s="36">
        <v>88389.8</v>
      </c>
      <c r="Z33" s="36">
        <v>34200.39</v>
      </c>
      <c r="AA33" s="213">
        <f t="shared" si="10"/>
        <v>-0.613073114771161</v>
      </c>
      <c r="AB33" s="36">
        <f t="shared" si="11"/>
        <v>278454.68</v>
      </c>
      <c r="AC33" s="36">
        <f t="shared" si="12"/>
        <v>528464.32</v>
      </c>
      <c r="AD33" s="213">
        <f t="shared" si="13"/>
        <v>0.897846787850719</v>
      </c>
      <c r="AE33" s="46">
        <v>181882.45</v>
      </c>
      <c r="AF33" s="211">
        <v>134290.18</v>
      </c>
      <c r="AG33" s="213">
        <f t="shared" si="14"/>
        <v>-0.261664992966611</v>
      </c>
      <c r="AH33" s="211">
        <f t="shared" si="15"/>
        <v>460337.13</v>
      </c>
      <c r="AI33" s="211">
        <f t="shared" si="16"/>
        <v>662754.5</v>
      </c>
      <c r="AJ33" s="213">
        <f t="shared" si="17"/>
        <v>0.439715497205277</v>
      </c>
      <c r="AK33" s="214">
        <v>187566.88</v>
      </c>
      <c r="AL33" s="214">
        <v>128859.37</v>
      </c>
      <c r="AM33" s="213">
        <f t="shared" si="18"/>
        <v>-0.31299507674276</v>
      </c>
      <c r="AN33" s="214">
        <f t="shared" si="19"/>
        <v>647904.01</v>
      </c>
      <c r="AO33" s="214">
        <f t="shared" si="20"/>
        <v>791613.87</v>
      </c>
      <c r="AP33" s="213">
        <f t="shared" si="21"/>
        <v>0.221807332231205</v>
      </c>
      <c r="AQ33" s="214">
        <v>130044.44</v>
      </c>
      <c r="AR33" s="214">
        <v>273758.72</v>
      </c>
      <c r="AS33" s="213">
        <f t="shared" si="22"/>
        <v>1.10511668165129</v>
      </c>
      <c r="AT33" s="214">
        <f t="shared" si="23"/>
        <v>777948.45</v>
      </c>
      <c r="AU33" s="214">
        <f t="shared" si="24"/>
        <v>1065372.59</v>
      </c>
      <c r="AV33" s="213">
        <f t="shared" si="25"/>
        <v>0.369464249205715</v>
      </c>
      <c r="AW33" s="47">
        <v>128967.95</v>
      </c>
      <c r="AX33" s="47">
        <v>121546.09</v>
      </c>
      <c r="AY33" s="213">
        <f t="shared" si="26"/>
        <v>-0.0575480962518207</v>
      </c>
      <c r="AZ33" s="47">
        <f t="shared" si="27"/>
        <v>906916.4</v>
      </c>
      <c r="BA33" s="47">
        <f t="shared" si="28"/>
        <v>1186918.68</v>
      </c>
      <c r="BB33" s="213">
        <f t="shared" si="36"/>
        <v>0.308741004132244</v>
      </c>
      <c r="BC33" s="47">
        <v>101883.54</v>
      </c>
      <c r="BD33" s="47">
        <v>139207.99</v>
      </c>
      <c r="BE33" s="213">
        <f t="shared" si="29"/>
        <v>0.366344259337671</v>
      </c>
      <c r="BF33" s="47">
        <f t="shared" si="30"/>
        <v>1008799.94</v>
      </c>
      <c r="BG33" s="47">
        <f t="shared" si="31"/>
        <v>1326126.67</v>
      </c>
      <c r="BH33" s="213">
        <f t="shared" si="37"/>
        <v>0.314558632903963</v>
      </c>
      <c r="BI33" s="48">
        <v>164644.69</v>
      </c>
      <c r="BJ33" s="48">
        <v>113351.28</v>
      </c>
      <c r="BK33" s="213">
        <f t="shared" si="32"/>
        <v>-0.311540019905896</v>
      </c>
      <c r="BL33" s="48">
        <f t="shared" si="33"/>
        <v>1173444.63</v>
      </c>
      <c r="BM33" s="48">
        <f t="shared" si="34"/>
        <v>1439477.95</v>
      </c>
      <c r="BN33" s="213">
        <f t="shared" si="35"/>
        <v>0.226711438442562</v>
      </c>
      <c r="BO33" s="48">
        <v>214221.12</v>
      </c>
      <c r="BP33" s="48">
        <v>171825.22</v>
      </c>
      <c r="BQ33" s="48">
        <v>1559490.97</v>
      </c>
      <c r="BR33" s="114">
        <f t="shared" si="38"/>
        <v>0.719738975</v>
      </c>
    </row>
    <row r="34" s="130" customFormat="1" spans="1:72">
      <c r="A34" s="138" t="s">
        <v>25</v>
      </c>
      <c r="B34" s="138" t="s">
        <v>25</v>
      </c>
      <c r="C34" s="227" t="s">
        <v>118</v>
      </c>
      <c r="D34" s="187" t="s">
        <v>116</v>
      </c>
      <c r="E34" s="187" t="s">
        <v>116</v>
      </c>
      <c r="F34" s="110" t="s">
        <v>78</v>
      </c>
      <c r="G34" s="187" t="s">
        <v>98</v>
      </c>
      <c r="H34" s="46" t="s">
        <v>114</v>
      </c>
      <c r="I34" s="211">
        <v>60</v>
      </c>
      <c r="J34" s="212">
        <v>16779</v>
      </c>
      <c r="K34" s="212">
        <v>37387</v>
      </c>
      <c r="L34" s="114">
        <f t="shared" si="39"/>
        <v>1.2282019190655</v>
      </c>
      <c r="M34" s="212"/>
      <c r="N34" s="212"/>
      <c r="O34" s="114" t="e">
        <f t="shared" si="1"/>
        <v>#DIV/0!</v>
      </c>
      <c r="P34" s="212">
        <f t="shared" si="4"/>
        <v>16779</v>
      </c>
      <c r="Q34" s="212">
        <f t="shared" si="5"/>
        <v>37387</v>
      </c>
      <c r="R34" s="114">
        <f t="shared" si="3"/>
        <v>1.2282019190655</v>
      </c>
      <c r="S34" s="29">
        <v>7332</v>
      </c>
      <c r="T34" s="29"/>
      <c r="U34" s="114">
        <f t="shared" si="6"/>
        <v>-1</v>
      </c>
      <c r="V34" s="29">
        <f t="shared" si="7"/>
        <v>24111</v>
      </c>
      <c r="W34" s="29">
        <f t="shared" si="8"/>
        <v>37387</v>
      </c>
      <c r="X34" s="114">
        <f t="shared" si="9"/>
        <v>0.550620048940318</v>
      </c>
      <c r="Y34" s="36">
        <v>49926</v>
      </c>
      <c r="Z34" s="36">
        <v>71744</v>
      </c>
      <c r="AA34" s="213">
        <f t="shared" si="10"/>
        <v>0.437006770019629</v>
      </c>
      <c r="AB34" s="36">
        <f t="shared" si="11"/>
        <v>74037</v>
      </c>
      <c r="AC34" s="36">
        <f t="shared" si="12"/>
        <v>109131</v>
      </c>
      <c r="AD34" s="213">
        <f t="shared" si="13"/>
        <v>0.474006240123182</v>
      </c>
      <c r="AE34" s="46">
        <v>57887</v>
      </c>
      <c r="AF34" s="211">
        <f>85422-575</f>
        <v>84847</v>
      </c>
      <c r="AG34" s="213">
        <f t="shared" si="14"/>
        <v>0.465734966400055</v>
      </c>
      <c r="AH34" s="211">
        <f t="shared" si="15"/>
        <v>131924</v>
      </c>
      <c r="AI34" s="211">
        <f t="shared" si="16"/>
        <v>193978</v>
      </c>
      <c r="AJ34" s="213">
        <f t="shared" si="17"/>
        <v>0.470376883660289</v>
      </c>
      <c r="AK34" s="214">
        <v>40556</v>
      </c>
      <c r="AL34" s="214">
        <f>20243+141304</f>
        <v>161547</v>
      </c>
      <c r="AM34" s="213">
        <f t="shared" si="18"/>
        <v>2.9833070322517</v>
      </c>
      <c r="AN34" s="214">
        <f t="shared" si="19"/>
        <v>172480</v>
      </c>
      <c r="AO34" s="214">
        <f t="shared" si="20"/>
        <v>355525</v>
      </c>
      <c r="AP34" s="213">
        <f t="shared" si="21"/>
        <v>1.06125347866419</v>
      </c>
      <c r="AQ34" s="214">
        <v>50598</v>
      </c>
      <c r="AR34" s="214">
        <v>25131</v>
      </c>
      <c r="AS34" s="213">
        <f t="shared" si="22"/>
        <v>-0.5033202893395</v>
      </c>
      <c r="AT34" s="214">
        <f t="shared" si="23"/>
        <v>223078</v>
      </c>
      <c r="AU34" s="214">
        <f t="shared" si="24"/>
        <v>380656</v>
      </c>
      <c r="AV34" s="213">
        <f t="shared" si="25"/>
        <v>0.706380727817176</v>
      </c>
      <c r="AW34" s="47">
        <v>56103</v>
      </c>
      <c r="AX34" s="47">
        <v>17220</v>
      </c>
      <c r="AY34" s="213">
        <f t="shared" si="26"/>
        <v>-0.693064542003101</v>
      </c>
      <c r="AZ34" s="47">
        <f t="shared" si="27"/>
        <v>279181</v>
      </c>
      <c r="BA34" s="47">
        <f t="shared" si="28"/>
        <v>397876</v>
      </c>
      <c r="BB34" s="213">
        <f t="shared" si="36"/>
        <v>0.425154290585677</v>
      </c>
      <c r="BC34" s="47">
        <v>42232</v>
      </c>
      <c r="BD34" s="47">
        <f>40340+24037</f>
        <v>64377</v>
      </c>
      <c r="BE34" s="213">
        <f t="shared" si="29"/>
        <v>0.524365410115552</v>
      </c>
      <c r="BF34" s="47">
        <f t="shared" si="30"/>
        <v>321413</v>
      </c>
      <c r="BG34" s="47">
        <f t="shared" si="31"/>
        <v>462253</v>
      </c>
      <c r="BH34" s="213">
        <f t="shared" si="37"/>
        <v>0.438190116765657</v>
      </c>
      <c r="BI34" s="48">
        <v>50318</v>
      </c>
      <c r="BJ34" s="48">
        <v>46864</v>
      </c>
      <c r="BK34" s="213">
        <f t="shared" si="32"/>
        <v>-0.0686434277991971</v>
      </c>
      <c r="BL34" s="48">
        <f t="shared" si="33"/>
        <v>371731</v>
      </c>
      <c r="BM34" s="48">
        <f t="shared" si="34"/>
        <v>509117</v>
      </c>
      <c r="BN34" s="213">
        <f t="shared" si="35"/>
        <v>0.369584457578195</v>
      </c>
      <c r="BO34" s="48">
        <v>21001</v>
      </c>
      <c r="BP34" s="48"/>
      <c r="BQ34" s="48">
        <v>392732</v>
      </c>
      <c r="BR34" s="114">
        <f t="shared" si="38"/>
        <v>0.848528333333333</v>
      </c>
    </row>
    <row r="35" s="130" customFormat="1" spans="1:72">
      <c r="A35" s="138" t="s">
        <v>25</v>
      </c>
      <c r="B35" s="108" t="s">
        <v>25</v>
      </c>
      <c r="C35" s="121" t="s">
        <v>119</v>
      </c>
      <c r="D35" s="229" t="s">
        <v>63</v>
      </c>
      <c r="E35" s="187" t="s">
        <v>63</v>
      </c>
      <c r="F35" s="108" t="s">
        <v>72</v>
      </c>
      <c r="G35" s="108" t="s">
        <v>72</v>
      </c>
      <c r="H35" s="108" t="s">
        <v>65</v>
      </c>
      <c r="I35" s="211">
        <v>0</v>
      </c>
      <c r="J35" s="212"/>
      <c r="K35" s="212"/>
      <c r="L35" s="114" t="e">
        <f t="shared" si="39"/>
        <v>#DIV/0!</v>
      </c>
      <c r="M35" s="212"/>
      <c r="N35" s="212"/>
      <c r="O35" s="114" t="e">
        <f t="shared" si="1"/>
        <v>#DIV/0!</v>
      </c>
      <c r="P35" s="212">
        <f t="shared" si="4"/>
        <v>0</v>
      </c>
      <c r="Q35" s="212">
        <f t="shared" si="5"/>
        <v>0</v>
      </c>
      <c r="R35" s="114" t="e">
        <f t="shared" si="3"/>
        <v>#DIV/0!</v>
      </c>
      <c r="S35" s="29">
        <v>26405</v>
      </c>
      <c r="T35" s="29"/>
      <c r="U35" s="114">
        <f t="shared" si="6"/>
        <v>-1</v>
      </c>
      <c r="V35" s="29">
        <f t="shared" si="7"/>
        <v>26405</v>
      </c>
      <c r="W35" s="29">
        <f t="shared" si="8"/>
        <v>0</v>
      </c>
      <c r="X35" s="114">
        <f t="shared" si="9"/>
        <v>-1</v>
      </c>
      <c r="Y35" s="36"/>
      <c r="Z35" s="36"/>
      <c r="AA35" s="213" t="e">
        <f t="shared" si="10"/>
        <v>#DIV/0!</v>
      </c>
      <c r="AB35" s="36">
        <f t="shared" si="11"/>
        <v>26405</v>
      </c>
      <c r="AC35" s="36">
        <f t="shared" si="12"/>
        <v>0</v>
      </c>
      <c r="AD35" s="213">
        <f t="shared" si="13"/>
        <v>-1</v>
      </c>
      <c r="AE35" s="46"/>
      <c r="AF35" s="211"/>
      <c r="AG35" s="213" t="e">
        <f t="shared" si="14"/>
        <v>#DIV/0!</v>
      </c>
      <c r="AH35" s="211">
        <f t="shared" si="15"/>
        <v>26405</v>
      </c>
      <c r="AI35" s="211">
        <f t="shared" si="16"/>
        <v>0</v>
      </c>
      <c r="AJ35" s="213">
        <f t="shared" si="17"/>
        <v>-1</v>
      </c>
      <c r="AK35" s="214"/>
      <c r="AL35" s="214"/>
      <c r="AM35" s="213" t="e">
        <f t="shared" si="18"/>
        <v>#DIV/0!</v>
      </c>
      <c r="AN35" s="214">
        <f t="shared" si="19"/>
        <v>26405</v>
      </c>
      <c r="AO35" s="214">
        <f t="shared" si="20"/>
        <v>0</v>
      </c>
      <c r="AP35" s="213">
        <f t="shared" si="21"/>
        <v>-1</v>
      </c>
      <c r="AQ35" s="214"/>
      <c r="AR35" s="214"/>
      <c r="AS35" s="213" t="e">
        <f t="shared" si="22"/>
        <v>#DIV/0!</v>
      </c>
      <c r="AT35" s="214">
        <f t="shared" si="23"/>
        <v>26405</v>
      </c>
      <c r="AU35" s="214">
        <f t="shared" si="24"/>
        <v>0</v>
      </c>
      <c r="AV35" s="213">
        <f t="shared" si="25"/>
        <v>-1</v>
      </c>
      <c r="AW35" s="47"/>
      <c r="AX35" s="47"/>
      <c r="AY35" s="213" t="e">
        <f t="shared" si="26"/>
        <v>#DIV/0!</v>
      </c>
      <c r="AZ35" s="47">
        <f t="shared" si="27"/>
        <v>26405</v>
      </c>
      <c r="BA35" s="47">
        <f t="shared" si="28"/>
        <v>0</v>
      </c>
      <c r="BB35" s="213">
        <f t="shared" si="36"/>
        <v>-1</v>
      </c>
      <c r="BC35" s="47"/>
      <c r="BD35" s="47"/>
      <c r="BE35" s="213" t="e">
        <f t="shared" si="29"/>
        <v>#DIV/0!</v>
      </c>
      <c r="BF35" s="47">
        <f t="shared" si="30"/>
        <v>26405</v>
      </c>
      <c r="BG35" s="47">
        <f t="shared" si="31"/>
        <v>0</v>
      </c>
      <c r="BH35" s="213">
        <f t="shared" si="37"/>
        <v>-1</v>
      </c>
      <c r="BI35" s="48"/>
      <c r="BJ35" s="48"/>
      <c r="BK35" s="213" t="e">
        <f t="shared" si="32"/>
        <v>#DIV/0!</v>
      </c>
      <c r="BL35" s="48">
        <f t="shared" si="33"/>
        <v>26405</v>
      </c>
      <c r="BM35" s="48">
        <f t="shared" si="34"/>
        <v>0</v>
      </c>
      <c r="BN35" s="213">
        <f t="shared" si="35"/>
        <v>-1</v>
      </c>
      <c r="BO35" s="48"/>
      <c r="BP35" s="48"/>
      <c r="BQ35" s="48">
        <v>26405</v>
      </c>
      <c r="BR35" s="114" t="e">
        <f t="shared" si="38"/>
        <v>#DIV/0!</v>
      </c>
    </row>
    <row r="36" s="130" customFormat="1" spans="1:72">
      <c r="A36" s="138" t="s">
        <v>25</v>
      </c>
      <c r="B36" s="108" t="s">
        <v>25</v>
      </c>
      <c r="C36" s="181" t="s">
        <v>120</v>
      </c>
      <c r="D36" s="229" t="s">
        <v>63</v>
      </c>
      <c r="E36" s="187" t="s">
        <v>63</v>
      </c>
      <c r="F36" s="110" t="s">
        <v>78</v>
      </c>
      <c r="G36" s="187" t="s">
        <v>82</v>
      </c>
      <c r="H36" s="108" t="s">
        <v>105</v>
      </c>
      <c r="I36" s="211"/>
      <c r="J36" s="212">
        <v>50000</v>
      </c>
      <c r="K36" s="212"/>
      <c r="L36" s="114">
        <f t="shared" si="39"/>
        <v>-1</v>
      </c>
      <c r="M36" s="212">
        <v>39000</v>
      </c>
      <c r="N36" s="212">
        <v>20000</v>
      </c>
      <c r="O36" s="114">
        <f t="shared" si="1"/>
        <v>-0.487179487179487</v>
      </c>
      <c r="P36" s="212">
        <f t="shared" si="4"/>
        <v>89000</v>
      </c>
      <c r="Q36" s="212">
        <f t="shared" si="5"/>
        <v>20000</v>
      </c>
      <c r="R36" s="114">
        <f t="shared" si="3"/>
        <v>-0.775280898876405</v>
      </c>
      <c r="S36" s="29">
        <v>35000</v>
      </c>
      <c r="T36" s="29"/>
      <c r="U36" s="114">
        <f t="shared" si="6"/>
        <v>-1</v>
      </c>
      <c r="V36" s="29">
        <f t="shared" si="7"/>
        <v>124000</v>
      </c>
      <c r="W36" s="29">
        <f t="shared" si="8"/>
        <v>20000</v>
      </c>
      <c r="X36" s="114">
        <f t="shared" si="9"/>
        <v>-0.838709677419355</v>
      </c>
      <c r="Y36" s="36">
        <v>190000</v>
      </c>
      <c r="Z36" s="36"/>
      <c r="AA36" s="213">
        <f t="shared" si="10"/>
        <v>-1</v>
      </c>
      <c r="AB36" s="36">
        <f t="shared" si="11"/>
        <v>314000</v>
      </c>
      <c r="AC36" s="36">
        <f t="shared" si="12"/>
        <v>20000</v>
      </c>
      <c r="AD36" s="213">
        <f t="shared" si="13"/>
        <v>-0.936305732484076</v>
      </c>
      <c r="AE36" s="46">
        <v>50000</v>
      </c>
      <c r="AF36" s="211"/>
      <c r="AG36" s="213">
        <f t="shared" si="14"/>
        <v>-1</v>
      </c>
      <c r="AH36" s="211">
        <f t="shared" si="15"/>
        <v>364000</v>
      </c>
      <c r="AI36" s="211">
        <f t="shared" si="16"/>
        <v>20000</v>
      </c>
      <c r="AJ36" s="213">
        <f t="shared" si="17"/>
        <v>-0.945054945054945</v>
      </c>
      <c r="AK36" s="214">
        <v>139500</v>
      </c>
      <c r="AL36" s="214">
        <v>10000</v>
      </c>
      <c r="AM36" s="213">
        <f t="shared" si="18"/>
        <v>-0.92831541218638</v>
      </c>
      <c r="AN36" s="214">
        <f t="shared" si="19"/>
        <v>503500</v>
      </c>
      <c r="AO36" s="214">
        <f t="shared" si="20"/>
        <v>30000</v>
      </c>
      <c r="AP36" s="213">
        <f t="shared" si="21"/>
        <v>-0.940417080436941</v>
      </c>
      <c r="AQ36" s="214">
        <v>52000</v>
      </c>
      <c r="AR36" s="214"/>
      <c r="AS36" s="213">
        <f t="shared" si="22"/>
        <v>-1</v>
      </c>
      <c r="AT36" s="214">
        <f t="shared" si="23"/>
        <v>555500</v>
      </c>
      <c r="AU36" s="214">
        <f t="shared" si="24"/>
        <v>30000</v>
      </c>
      <c r="AV36" s="213">
        <f t="shared" si="25"/>
        <v>-0.945994599459946</v>
      </c>
      <c r="AW36" s="47"/>
      <c r="AX36" s="47"/>
      <c r="AY36" s="213" t="e">
        <f t="shared" si="26"/>
        <v>#DIV/0!</v>
      </c>
      <c r="AZ36" s="47">
        <f t="shared" si="27"/>
        <v>555500</v>
      </c>
      <c r="BA36" s="47">
        <f t="shared" si="28"/>
        <v>30000</v>
      </c>
      <c r="BB36" s="213">
        <f t="shared" si="36"/>
        <v>-0.945994599459946</v>
      </c>
      <c r="BC36" s="47">
        <v>30000</v>
      </c>
      <c r="BD36" s="47">
        <v>32000</v>
      </c>
      <c r="BE36" s="213">
        <f t="shared" si="29"/>
        <v>0.0666666666666667</v>
      </c>
      <c r="BF36" s="47">
        <f t="shared" si="30"/>
        <v>585500</v>
      </c>
      <c r="BG36" s="47">
        <f t="shared" si="31"/>
        <v>62000</v>
      </c>
      <c r="BH36" s="213">
        <f t="shared" si="37"/>
        <v>-0.894107600341588</v>
      </c>
      <c r="BI36" s="48">
        <v>27000</v>
      </c>
      <c r="BJ36" s="48"/>
      <c r="BK36" s="213">
        <f t="shared" si="32"/>
        <v>-1</v>
      </c>
      <c r="BL36" s="48">
        <f t="shared" si="33"/>
        <v>612500</v>
      </c>
      <c r="BM36" s="48">
        <f t="shared" si="34"/>
        <v>62000</v>
      </c>
      <c r="BN36" s="213">
        <f t="shared" si="35"/>
        <v>-0.898775510204082</v>
      </c>
      <c r="BO36" s="48"/>
      <c r="BP36" s="48">
        <v>28000</v>
      </c>
      <c r="BQ36" s="48">
        <v>554479</v>
      </c>
      <c r="BR36" s="114" t="e">
        <f t="shared" si="38"/>
        <v>#DIV/0!</v>
      </c>
    </row>
    <row r="37" s="130" customFormat="1" spans="1:72">
      <c r="A37" s="138" t="s">
        <v>25</v>
      </c>
      <c r="B37" s="108" t="s">
        <v>25</v>
      </c>
      <c r="C37" s="108" t="s">
        <v>121</v>
      </c>
      <c r="D37" s="120" t="s">
        <v>63</v>
      </c>
      <c r="E37" s="187" t="s">
        <v>63</v>
      </c>
      <c r="F37" s="110" t="s">
        <v>78</v>
      </c>
      <c r="G37" s="187" t="s">
        <v>82</v>
      </c>
      <c r="H37" s="108" t="s">
        <v>105</v>
      </c>
      <c r="I37" s="211"/>
      <c r="J37" s="212"/>
      <c r="K37" s="212">
        <v>5208.12</v>
      </c>
      <c r="L37" s="114" t="e">
        <f t="shared" si="39"/>
        <v>#DIV/0!</v>
      </c>
      <c r="M37" s="212"/>
      <c r="N37" s="212">
        <v>713</v>
      </c>
      <c r="O37" s="114" t="e">
        <f t="shared" si="1"/>
        <v>#DIV/0!</v>
      </c>
      <c r="P37" s="212">
        <f t="shared" si="4"/>
        <v>0</v>
      </c>
      <c r="Q37" s="212">
        <f t="shared" si="5"/>
        <v>5921.12</v>
      </c>
      <c r="R37" s="114" t="e">
        <f t="shared" si="3"/>
        <v>#DIV/0!</v>
      </c>
      <c r="S37" s="29"/>
      <c r="T37" s="29"/>
      <c r="U37" s="114" t="e">
        <f t="shared" si="6"/>
        <v>#DIV/0!</v>
      </c>
      <c r="V37" s="29">
        <f t="shared" si="7"/>
        <v>0</v>
      </c>
      <c r="W37" s="29">
        <f t="shared" si="8"/>
        <v>5921.12</v>
      </c>
      <c r="X37" s="114" t="e">
        <f t="shared" si="9"/>
        <v>#DIV/0!</v>
      </c>
      <c r="Y37" s="36"/>
      <c r="Z37" s="36"/>
      <c r="AA37" s="213" t="e">
        <f t="shared" si="10"/>
        <v>#DIV/0!</v>
      </c>
      <c r="AB37" s="36">
        <f t="shared" si="11"/>
        <v>0</v>
      </c>
      <c r="AC37" s="36">
        <f t="shared" si="12"/>
        <v>5921.12</v>
      </c>
      <c r="AD37" s="213" t="e">
        <f t="shared" si="13"/>
        <v>#DIV/0!</v>
      </c>
      <c r="AE37" s="46"/>
      <c r="AF37" s="211"/>
      <c r="AG37" s="213" t="e">
        <f t="shared" si="14"/>
        <v>#DIV/0!</v>
      </c>
      <c r="AH37" s="211">
        <f t="shared" si="15"/>
        <v>0</v>
      </c>
      <c r="AI37" s="211">
        <f t="shared" si="16"/>
        <v>5921.12</v>
      </c>
      <c r="AJ37" s="213" t="e">
        <f t="shared" si="17"/>
        <v>#DIV/0!</v>
      </c>
      <c r="AK37" s="36"/>
      <c r="AL37" s="214"/>
      <c r="AM37" s="213" t="e">
        <f t="shared" si="18"/>
        <v>#DIV/0!</v>
      </c>
      <c r="AN37" s="214">
        <f t="shared" si="19"/>
        <v>0</v>
      </c>
      <c r="AO37" s="214">
        <f t="shared" si="20"/>
        <v>5921.12</v>
      </c>
      <c r="AP37" s="213" t="e">
        <f t="shared" si="21"/>
        <v>#DIV/0!</v>
      </c>
      <c r="AQ37" s="214">
        <v>1971.76</v>
      </c>
      <c r="AR37" s="214"/>
      <c r="AS37" s="213">
        <f t="shared" si="22"/>
        <v>-1</v>
      </c>
      <c r="AT37" s="214">
        <f t="shared" si="23"/>
        <v>1971.76</v>
      </c>
      <c r="AU37" s="214">
        <f t="shared" si="24"/>
        <v>5921.12</v>
      </c>
      <c r="AV37" s="213">
        <f t="shared" si="25"/>
        <v>2.00296182091127</v>
      </c>
      <c r="AW37" s="47">
        <v>3472.08</v>
      </c>
      <c r="AX37" s="47"/>
      <c r="AY37" s="213">
        <f t="shared" si="26"/>
        <v>-1</v>
      </c>
      <c r="AZ37" s="47">
        <f t="shared" si="27"/>
        <v>5443.84</v>
      </c>
      <c r="BA37" s="47">
        <f t="shared" si="28"/>
        <v>5921.12</v>
      </c>
      <c r="BB37" s="213">
        <f t="shared" si="36"/>
        <v>0.0876734070068186</v>
      </c>
      <c r="BC37" s="47">
        <v>885.4</v>
      </c>
      <c r="BD37" s="47"/>
      <c r="BE37" s="213">
        <f t="shared" si="29"/>
        <v>-1</v>
      </c>
      <c r="BF37" s="47">
        <f t="shared" si="30"/>
        <v>6329.24</v>
      </c>
      <c r="BG37" s="47">
        <f t="shared" si="31"/>
        <v>5921.12</v>
      </c>
      <c r="BH37" s="213">
        <f t="shared" si="37"/>
        <v>-0.0644816755250235</v>
      </c>
      <c r="BI37" s="48">
        <v>3797.04</v>
      </c>
      <c r="BJ37" s="48"/>
      <c r="BK37" s="213">
        <f t="shared" si="32"/>
        <v>-1</v>
      </c>
      <c r="BL37" s="48">
        <f t="shared" si="33"/>
        <v>10126.28</v>
      </c>
      <c r="BM37" s="48">
        <f t="shared" si="34"/>
        <v>5921.12</v>
      </c>
      <c r="BN37" s="213">
        <f t="shared" si="35"/>
        <v>-0.415271945867584</v>
      </c>
      <c r="BO37" s="48">
        <v>2514.36</v>
      </c>
      <c r="BP37" s="48">
        <v>0</v>
      </c>
      <c r="BQ37" s="48">
        <v>12640.64</v>
      </c>
      <c r="BR37" s="114" t="e">
        <f t="shared" si="38"/>
        <v>#DIV/0!</v>
      </c>
    </row>
    <row r="38" s="130" customFormat="1" spans="1:72">
      <c r="A38" s="138" t="s">
        <v>25</v>
      </c>
      <c r="B38" s="108" t="s">
        <v>25</v>
      </c>
      <c r="C38" s="121" t="s">
        <v>122</v>
      </c>
      <c r="D38" s="120" t="s">
        <v>63</v>
      </c>
      <c r="E38" s="187" t="s">
        <v>63</v>
      </c>
      <c r="F38" s="110" t="s">
        <v>78</v>
      </c>
      <c r="G38" s="187" t="s">
        <v>82</v>
      </c>
      <c r="H38" s="108" t="s">
        <v>83</v>
      </c>
      <c r="I38" s="211">
        <v>10</v>
      </c>
      <c r="J38" s="212"/>
      <c r="K38" s="212"/>
      <c r="L38" s="114" t="e">
        <f t="shared" si="39"/>
        <v>#DIV/0!</v>
      </c>
      <c r="M38" s="212"/>
      <c r="N38" s="212"/>
      <c r="O38" s="114" t="e">
        <f t="shared" si="1"/>
        <v>#DIV/0!</v>
      </c>
      <c r="P38" s="212">
        <f t="shared" si="4"/>
        <v>0</v>
      </c>
      <c r="Q38" s="212">
        <f t="shared" si="5"/>
        <v>0</v>
      </c>
      <c r="R38" s="114" t="e">
        <f t="shared" si="3"/>
        <v>#DIV/0!</v>
      </c>
      <c r="S38" s="29"/>
      <c r="T38" s="29"/>
      <c r="U38" s="114" t="e">
        <f t="shared" si="6"/>
        <v>#DIV/0!</v>
      </c>
      <c r="V38" s="29">
        <f t="shared" si="7"/>
        <v>0</v>
      </c>
      <c r="W38" s="29">
        <f t="shared" si="8"/>
        <v>0</v>
      </c>
      <c r="X38" s="114" t="e">
        <f t="shared" si="9"/>
        <v>#DIV/0!</v>
      </c>
      <c r="Y38" s="36"/>
      <c r="Z38" s="36"/>
      <c r="AA38" s="213" t="e">
        <f t="shared" si="10"/>
        <v>#DIV/0!</v>
      </c>
      <c r="AB38" s="36">
        <f t="shared" si="11"/>
        <v>0</v>
      </c>
      <c r="AC38" s="36">
        <f t="shared" si="12"/>
        <v>0</v>
      </c>
      <c r="AD38" s="213" t="e">
        <f t="shared" si="13"/>
        <v>#DIV/0!</v>
      </c>
      <c r="AE38" s="46"/>
      <c r="AF38" s="211"/>
      <c r="AG38" s="213" t="e">
        <f t="shared" si="14"/>
        <v>#DIV/0!</v>
      </c>
      <c r="AH38" s="211">
        <f t="shared" si="15"/>
        <v>0</v>
      </c>
      <c r="AI38" s="211">
        <f t="shared" si="16"/>
        <v>0</v>
      </c>
      <c r="AJ38" s="213" t="e">
        <f t="shared" si="17"/>
        <v>#DIV/0!</v>
      </c>
      <c r="AK38" s="36"/>
      <c r="AL38" s="214"/>
      <c r="AM38" s="213" t="e">
        <f t="shared" si="18"/>
        <v>#DIV/0!</v>
      </c>
      <c r="AN38" s="214">
        <f t="shared" si="19"/>
        <v>0</v>
      </c>
      <c r="AO38" s="214">
        <f t="shared" si="20"/>
        <v>0</v>
      </c>
      <c r="AP38" s="213" t="e">
        <f t="shared" si="21"/>
        <v>#DIV/0!</v>
      </c>
      <c r="AQ38" s="214"/>
      <c r="AR38" s="214">
        <v>6789</v>
      </c>
      <c r="AS38" s="213" t="e">
        <f t="shared" si="22"/>
        <v>#DIV/0!</v>
      </c>
      <c r="AT38" s="214">
        <f t="shared" si="23"/>
        <v>0</v>
      </c>
      <c r="AU38" s="214">
        <f t="shared" si="24"/>
        <v>6789</v>
      </c>
      <c r="AV38" s="213" t="e">
        <f t="shared" si="25"/>
        <v>#DIV/0!</v>
      </c>
      <c r="AW38" s="47">
        <v>18173</v>
      </c>
      <c r="AX38" s="47"/>
      <c r="AY38" s="213">
        <f t="shared" si="26"/>
        <v>-1</v>
      </c>
      <c r="AZ38" s="47">
        <f t="shared" si="27"/>
        <v>18173</v>
      </c>
      <c r="BA38" s="47">
        <f t="shared" si="28"/>
        <v>6789</v>
      </c>
      <c r="BB38" s="213">
        <f t="shared" si="36"/>
        <v>-0.626423815550542</v>
      </c>
      <c r="BC38" s="47">
        <v>10416</v>
      </c>
      <c r="BD38" s="47"/>
      <c r="BE38" s="213">
        <f t="shared" si="29"/>
        <v>-1</v>
      </c>
      <c r="BF38" s="47">
        <f t="shared" si="30"/>
        <v>28589</v>
      </c>
      <c r="BG38" s="47">
        <f t="shared" si="31"/>
        <v>6789</v>
      </c>
      <c r="BH38" s="213">
        <f t="shared" si="37"/>
        <v>-0.762531043408304</v>
      </c>
      <c r="BI38" s="48"/>
      <c r="BJ38" s="48">
        <v>1397.6</v>
      </c>
      <c r="BK38" s="213" t="e">
        <f t="shared" si="32"/>
        <v>#DIV/0!</v>
      </c>
      <c r="BL38" s="48">
        <f t="shared" si="33"/>
        <v>28589</v>
      </c>
      <c r="BM38" s="48">
        <f t="shared" si="34"/>
        <v>8186.6</v>
      </c>
      <c r="BN38" s="213">
        <f t="shared" si="35"/>
        <v>-0.713645108258421</v>
      </c>
      <c r="BO38" s="48"/>
      <c r="BP38" s="48"/>
      <c r="BQ38" s="48">
        <v>28589</v>
      </c>
      <c r="BR38" s="114">
        <f t="shared" si="38"/>
        <v>0.081866</v>
      </c>
    </row>
    <row r="39" s="130" customFormat="1" spans="1:72">
      <c r="A39" s="230" t="s">
        <v>25</v>
      </c>
      <c r="B39" s="231" t="s">
        <v>25</v>
      </c>
      <c r="C39" s="121" t="s">
        <v>123</v>
      </c>
      <c r="D39" s="120" t="s">
        <v>86</v>
      </c>
      <c r="E39" s="187" t="s">
        <v>86</v>
      </c>
      <c r="F39" s="110" t="s">
        <v>78</v>
      </c>
      <c r="G39" s="187" t="s">
        <v>102</v>
      </c>
      <c r="H39" s="46" t="s">
        <v>87</v>
      </c>
      <c r="I39" s="211">
        <v>370</v>
      </c>
      <c r="J39" s="212"/>
      <c r="K39" s="212">
        <v>128272</v>
      </c>
      <c r="L39" s="114" t="e">
        <f t="shared" si="39"/>
        <v>#DIV/0!</v>
      </c>
      <c r="M39" s="212"/>
      <c r="N39" s="212">
        <f>306557-6125</f>
        <v>300432</v>
      </c>
      <c r="O39" s="114" t="e">
        <f t="shared" si="1"/>
        <v>#DIV/0!</v>
      </c>
      <c r="P39" s="212">
        <f t="shared" si="4"/>
        <v>0</v>
      </c>
      <c r="Q39" s="212">
        <f t="shared" si="5"/>
        <v>428704</v>
      </c>
      <c r="R39" s="114" t="e">
        <f t="shared" si="3"/>
        <v>#DIV/0!</v>
      </c>
      <c r="S39" s="29"/>
      <c r="T39" s="29">
        <v>378127</v>
      </c>
      <c r="U39" s="114" t="e">
        <f t="shared" si="6"/>
        <v>#DIV/0!</v>
      </c>
      <c r="V39" s="29">
        <f t="shared" si="7"/>
        <v>0</v>
      </c>
      <c r="W39" s="29">
        <f t="shared" si="8"/>
        <v>806831</v>
      </c>
      <c r="X39" s="114" t="e">
        <f t="shared" si="9"/>
        <v>#DIV/0!</v>
      </c>
      <c r="Y39" s="36"/>
      <c r="Z39" s="36">
        <v>418240</v>
      </c>
      <c r="AA39" s="213" t="e">
        <f t="shared" si="10"/>
        <v>#DIV/0!</v>
      </c>
      <c r="AB39" s="36">
        <f t="shared" si="11"/>
        <v>0</v>
      </c>
      <c r="AC39" s="36">
        <f t="shared" si="12"/>
        <v>1225071</v>
      </c>
      <c r="AD39" s="213" t="e">
        <f t="shared" si="13"/>
        <v>#DIV/0!</v>
      </c>
      <c r="AE39" s="46"/>
      <c r="AF39" s="211">
        <v>306225</v>
      </c>
      <c r="AG39" s="213" t="e">
        <f t="shared" si="14"/>
        <v>#DIV/0!</v>
      </c>
      <c r="AH39" s="211">
        <f t="shared" si="15"/>
        <v>0</v>
      </c>
      <c r="AI39" s="211">
        <f t="shared" si="16"/>
        <v>1531296</v>
      </c>
      <c r="AJ39" s="213" t="e">
        <f t="shared" si="17"/>
        <v>#DIV/0!</v>
      </c>
      <c r="AK39" s="36"/>
      <c r="AL39" s="214">
        <v>574778</v>
      </c>
      <c r="AM39" s="213" t="e">
        <f t="shared" si="18"/>
        <v>#DIV/0!</v>
      </c>
      <c r="AN39" s="214">
        <f t="shared" si="19"/>
        <v>0</v>
      </c>
      <c r="AO39" s="214">
        <f t="shared" si="20"/>
        <v>2106074</v>
      </c>
      <c r="AP39" s="213" t="e">
        <f t="shared" si="21"/>
        <v>#DIV/0!</v>
      </c>
      <c r="AQ39" s="214"/>
      <c r="AR39" s="214">
        <v>166425</v>
      </c>
      <c r="AS39" s="213" t="e">
        <f t="shared" si="22"/>
        <v>#DIV/0!</v>
      </c>
      <c r="AT39" s="214">
        <f t="shared" si="23"/>
        <v>0</v>
      </c>
      <c r="AU39" s="214">
        <f t="shared" si="24"/>
        <v>2272499</v>
      </c>
      <c r="AV39" s="213" t="e">
        <f t="shared" si="25"/>
        <v>#DIV/0!</v>
      </c>
      <c r="AW39" s="47"/>
      <c r="AX39" s="47">
        <f>178386+17758+5061</f>
        <v>201205</v>
      </c>
      <c r="AY39" s="213" t="e">
        <f t="shared" si="26"/>
        <v>#DIV/0!</v>
      </c>
      <c r="AZ39" s="47">
        <f t="shared" si="27"/>
        <v>0</v>
      </c>
      <c r="BA39" s="47">
        <f t="shared" si="28"/>
        <v>2473704</v>
      </c>
      <c r="BB39" s="213" t="e">
        <f t="shared" si="36"/>
        <v>#DIV/0!</v>
      </c>
      <c r="BC39" s="47">
        <v>16307</v>
      </c>
      <c r="BD39" s="47">
        <v>218669</v>
      </c>
      <c r="BE39" s="213">
        <f t="shared" si="29"/>
        <v>12.409517385172</v>
      </c>
      <c r="BF39" s="47">
        <f t="shared" si="30"/>
        <v>16307</v>
      </c>
      <c r="BG39" s="47">
        <f t="shared" si="31"/>
        <v>2692373</v>
      </c>
      <c r="BH39" s="213">
        <f t="shared" si="37"/>
        <v>164.105353529159</v>
      </c>
      <c r="BI39" s="48">
        <v>397749</v>
      </c>
      <c r="BJ39" s="48">
        <v>266862</v>
      </c>
      <c r="BK39" s="213">
        <f t="shared" si="32"/>
        <v>-0.329069337697895</v>
      </c>
      <c r="BL39" s="48">
        <f t="shared" si="33"/>
        <v>414056</v>
      </c>
      <c r="BM39" s="48">
        <f t="shared" si="34"/>
        <v>2959235</v>
      </c>
      <c r="BN39" s="213">
        <f t="shared" si="35"/>
        <v>6.14694389164751</v>
      </c>
      <c r="BO39" s="48">
        <v>198239</v>
      </c>
      <c r="BP39" s="48">
        <v>452484</v>
      </c>
      <c r="BQ39" s="48">
        <v>1064779</v>
      </c>
      <c r="BR39" s="114">
        <f t="shared" si="38"/>
        <v>0.799793243243243</v>
      </c>
    </row>
    <row r="40" s="130" customFormat="1" spans="1:72">
      <c r="A40" s="230" t="s">
        <v>25</v>
      </c>
      <c r="B40" s="231" t="s">
        <v>25</v>
      </c>
      <c r="C40" s="121" t="s">
        <v>124</v>
      </c>
      <c r="D40" s="120" t="s">
        <v>86</v>
      </c>
      <c r="E40" s="187" t="s">
        <v>86</v>
      </c>
      <c r="F40" s="110" t="s">
        <v>59</v>
      </c>
      <c r="G40" s="187" t="s">
        <v>82</v>
      </c>
      <c r="H40" s="46" t="s">
        <v>87</v>
      </c>
      <c r="I40" s="211">
        <v>170</v>
      </c>
      <c r="J40" s="212"/>
      <c r="K40" s="212">
        <v>840</v>
      </c>
      <c r="L40" s="114" t="e">
        <f t="shared" si="39"/>
        <v>#DIV/0!</v>
      </c>
      <c r="M40" s="212"/>
      <c r="N40" s="212">
        <v>30008</v>
      </c>
      <c r="O40" s="114" t="e">
        <f t="shared" si="1"/>
        <v>#DIV/0!</v>
      </c>
      <c r="P40" s="212">
        <f t="shared" si="4"/>
        <v>0</v>
      </c>
      <c r="Q40" s="212">
        <f t="shared" si="5"/>
        <v>30848</v>
      </c>
      <c r="R40" s="114" t="e">
        <f t="shared" si="3"/>
        <v>#DIV/0!</v>
      </c>
      <c r="S40" s="29"/>
      <c r="T40" s="29">
        <v>250109.6</v>
      </c>
      <c r="U40" s="114" t="e">
        <f t="shared" si="6"/>
        <v>#DIV/0!</v>
      </c>
      <c r="V40" s="29">
        <f t="shared" si="7"/>
        <v>0</v>
      </c>
      <c r="W40" s="29">
        <f t="shared" si="8"/>
        <v>280957.6</v>
      </c>
      <c r="X40" s="114" t="e">
        <f t="shared" si="9"/>
        <v>#DIV/0!</v>
      </c>
      <c r="Y40" s="36"/>
      <c r="Z40" s="36">
        <v>296574</v>
      </c>
      <c r="AA40" s="213" t="e">
        <f t="shared" si="10"/>
        <v>#DIV/0!</v>
      </c>
      <c r="AB40" s="36">
        <f t="shared" si="11"/>
        <v>0</v>
      </c>
      <c r="AC40" s="36">
        <f t="shared" si="12"/>
        <v>577531.6</v>
      </c>
      <c r="AD40" s="213" t="e">
        <f t="shared" si="13"/>
        <v>#DIV/0!</v>
      </c>
      <c r="AE40" s="46"/>
      <c r="AF40" s="211">
        <v>255533</v>
      </c>
      <c r="AG40" s="213" t="e">
        <f t="shared" si="14"/>
        <v>#DIV/0!</v>
      </c>
      <c r="AH40" s="211">
        <f t="shared" si="15"/>
        <v>0</v>
      </c>
      <c r="AI40" s="211">
        <f t="shared" si="16"/>
        <v>833064.6</v>
      </c>
      <c r="AJ40" s="213" t="e">
        <f t="shared" si="17"/>
        <v>#DIV/0!</v>
      </c>
      <c r="AK40" s="36"/>
      <c r="AL40" s="214">
        <v>386476</v>
      </c>
      <c r="AM40" s="213" t="e">
        <f t="shared" si="18"/>
        <v>#DIV/0!</v>
      </c>
      <c r="AN40" s="214">
        <f t="shared" si="19"/>
        <v>0</v>
      </c>
      <c r="AO40" s="214">
        <f t="shared" si="20"/>
        <v>1219540.6</v>
      </c>
      <c r="AP40" s="213" t="e">
        <f t="shared" si="21"/>
        <v>#DIV/0!</v>
      </c>
      <c r="AQ40" s="214"/>
      <c r="AR40" s="214">
        <v>63776</v>
      </c>
      <c r="AS40" s="213" t="e">
        <f t="shared" si="22"/>
        <v>#DIV/0!</v>
      </c>
      <c r="AT40" s="214">
        <f t="shared" si="23"/>
        <v>0</v>
      </c>
      <c r="AU40" s="214">
        <f t="shared" si="24"/>
        <v>1283316.6</v>
      </c>
      <c r="AV40" s="213" t="e">
        <f t="shared" si="25"/>
        <v>#DIV/0!</v>
      </c>
      <c r="AW40" s="47"/>
      <c r="AX40" s="47">
        <v>105175</v>
      </c>
      <c r="AY40" s="213" t="e">
        <f t="shared" si="26"/>
        <v>#DIV/0!</v>
      </c>
      <c r="AZ40" s="47">
        <f t="shared" si="27"/>
        <v>0</v>
      </c>
      <c r="BA40" s="47">
        <f t="shared" si="28"/>
        <v>1388491.6</v>
      </c>
      <c r="BB40" s="213" t="e">
        <f t="shared" si="36"/>
        <v>#DIV/0!</v>
      </c>
      <c r="BC40" s="47"/>
      <c r="BD40" s="47">
        <v>87258</v>
      </c>
      <c r="BE40" s="213" t="e">
        <f t="shared" si="29"/>
        <v>#DIV/0!</v>
      </c>
      <c r="BF40" s="47">
        <f t="shared" si="30"/>
        <v>0</v>
      </c>
      <c r="BG40" s="47">
        <f t="shared" si="31"/>
        <v>1475749.6</v>
      </c>
      <c r="BH40" s="213" t="e">
        <f t="shared" si="37"/>
        <v>#DIV/0!</v>
      </c>
      <c r="BI40" s="48"/>
      <c r="BJ40" s="48">
        <f>123428+2745</f>
        <v>126173</v>
      </c>
      <c r="BK40" s="213" t="e">
        <f t="shared" si="32"/>
        <v>#DIV/0!</v>
      </c>
      <c r="BL40" s="48">
        <f t="shared" si="33"/>
        <v>0</v>
      </c>
      <c r="BM40" s="48">
        <f t="shared" si="34"/>
        <v>1601922.6</v>
      </c>
      <c r="BN40" s="213" t="e">
        <f t="shared" si="35"/>
        <v>#DIV/0!</v>
      </c>
      <c r="BO40" s="48">
        <v>898</v>
      </c>
      <c r="BP40" s="48">
        <v>11486</v>
      </c>
      <c r="BQ40" s="48">
        <v>12384</v>
      </c>
      <c r="BR40" s="114">
        <f t="shared" si="38"/>
        <v>0.942307411764706</v>
      </c>
    </row>
    <row r="41" s="130" customFormat="1" spans="1:72">
      <c r="A41" s="230" t="s">
        <v>25</v>
      </c>
      <c r="B41" s="231" t="s">
        <v>25</v>
      </c>
      <c r="C41" s="121" t="s">
        <v>125</v>
      </c>
      <c r="D41" s="120" t="s">
        <v>63</v>
      </c>
      <c r="E41" s="187" t="s">
        <v>63</v>
      </c>
      <c r="F41" s="110" t="s">
        <v>78</v>
      </c>
      <c r="G41" s="187"/>
      <c r="H41" s="108" t="s">
        <v>105</v>
      </c>
      <c r="I41" s="211"/>
      <c r="J41" s="212"/>
      <c r="K41" s="212"/>
      <c r="L41" s="114" t="e">
        <f t="shared" si="39"/>
        <v>#DIV/0!</v>
      </c>
      <c r="M41" s="212"/>
      <c r="N41" s="212"/>
      <c r="O41" s="114" t="e">
        <f t="shared" si="1"/>
        <v>#DIV/0!</v>
      </c>
      <c r="P41" s="212">
        <f t="shared" si="4"/>
        <v>0</v>
      </c>
      <c r="Q41" s="212">
        <f t="shared" si="5"/>
        <v>0</v>
      </c>
      <c r="R41" s="114" t="e">
        <f t="shared" si="3"/>
        <v>#DIV/0!</v>
      </c>
      <c r="S41" s="29"/>
      <c r="T41" s="29"/>
      <c r="U41" s="114" t="e">
        <f t="shared" si="6"/>
        <v>#DIV/0!</v>
      </c>
      <c r="V41" s="29">
        <f t="shared" si="7"/>
        <v>0</v>
      </c>
      <c r="W41" s="29">
        <f t="shared" si="8"/>
        <v>0</v>
      </c>
      <c r="X41" s="114" t="e">
        <f t="shared" si="9"/>
        <v>#DIV/0!</v>
      </c>
      <c r="Y41" s="36"/>
      <c r="Z41" s="36"/>
      <c r="AA41" s="213" t="e">
        <f t="shared" si="10"/>
        <v>#DIV/0!</v>
      </c>
      <c r="AB41" s="36">
        <f t="shared" si="11"/>
        <v>0</v>
      </c>
      <c r="AC41" s="36">
        <f t="shared" si="12"/>
        <v>0</v>
      </c>
      <c r="AD41" s="213" t="e">
        <f t="shared" si="13"/>
        <v>#DIV/0!</v>
      </c>
      <c r="AE41" s="46"/>
      <c r="AF41" s="211"/>
      <c r="AG41" s="213" t="e">
        <f t="shared" si="14"/>
        <v>#DIV/0!</v>
      </c>
      <c r="AH41" s="211">
        <f t="shared" si="15"/>
        <v>0</v>
      </c>
      <c r="AI41" s="211">
        <f t="shared" si="16"/>
        <v>0</v>
      </c>
      <c r="AJ41" s="213" t="e">
        <f t="shared" si="17"/>
        <v>#DIV/0!</v>
      </c>
      <c r="AK41" s="36"/>
      <c r="AL41" s="214"/>
      <c r="AM41" s="213" t="e">
        <f t="shared" si="18"/>
        <v>#DIV/0!</v>
      </c>
      <c r="AN41" s="214">
        <f t="shared" si="19"/>
        <v>0</v>
      </c>
      <c r="AO41" s="214">
        <f t="shared" si="20"/>
        <v>0</v>
      </c>
      <c r="AP41" s="213" t="e">
        <f t="shared" si="21"/>
        <v>#DIV/0!</v>
      </c>
      <c r="AQ41" s="214"/>
      <c r="AR41" s="214"/>
      <c r="AS41" s="213" t="e">
        <f t="shared" si="22"/>
        <v>#DIV/0!</v>
      </c>
      <c r="AT41" s="214">
        <f t="shared" si="23"/>
        <v>0</v>
      </c>
      <c r="AU41" s="214">
        <f t="shared" si="24"/>
        <v>0</v>
      </c>
      <c r="AV41" s="213" t="e">
        <f t="shared" si="25"/>
        <v>#DIV/0!</v>
      </c>
      <c r="AW41" s="47"/>
      <c r="AX41" s="47"/>
      <c r="AY41" s="213" t="e">
        <f t="shared" si="26"/>
        <v>#DIV/0!</v>
      </c>
      <c r="AZ41" s="47">
        <f t="shared" si="27"/>
        <v>0</v>
      </c>
      <c r="BA41" s="47">
        <f t="shared" si="28"/>
        <v>0</v>
      </c>
      <c r="BB41" s="213" t="e">
        <f t="shared" si="36"/>
        <v>#DIV/0!</v>
      </c>
      <c r="BC41" s="47"/>
      <c r="BD41" s="47"/>
      <c r="BE41" s="213" t="e">
        <f t="shared" si="29"/>
        <v>#DIV/0!</v>
      </c>
      <c r="BF41" s="47">
        <f t="shared" si="30"/>
        <v>0</v>
      </c>
      <c r="BG41" s="47">
        <f t="shared" si="31"/>
        <v>0</v>
      </c>
      <c r="BH41" s="213" t="e">
        <f t="shared" si="37"/>
        <v>#DIV/0!</v>
      </c>
      <c r="BI41" s="48"/>
      <c r="BJ41" s="48"/>
      <c r="BK41" s="213" t="e">
        <f t="shared" si="32"/>
        <v>#DIV/0!</v>
      </c>
      <c r="BL41" s="48">
        <f t="shared" si="33"/>
        <v>0</v>
      </c>
      <c r="BM41" s="48">
        <f t="shared" si="34"/>
        <v>0</v>
      </c>
      <c r="BN41" s="213" t="e">
        <f t="shared" si="35"/>
        <v>#DIV/0!</v>
      </c>
      <c r="BO41" s="48"/>
      <c r="BP41" s="48">
        <v>836</v>
      </c>
      <c r="BQ41" s="48">
        <v>836</v>
      </c>
      <c r="BR41" s="114" t="e">
        <f t="shared" si="38"/>
        <v>#DIV/0!</v>
      </c>
    </row>
    <row r="42" s="130" customFormat="1" spans="1:72">
      <c r="A42" s="230" t="s">
        <v>25</v>
      </c>
      <c r="B42" s="231" t="s">
        <v>25</v>
      </c>
      <c r="C42" s="121" t="s">
        <v>126</v>
      </c>
      <c r="D42" s="110" t="s">
        <v>116</v>
      </c>
      <c r="E42" s="110" t="s">
        <v>116</v>
      </c>
      <c r="F42" s="110" t="s">
        <v>78</v>
      </c>
      <c r="G42" s="187" t="s">
        <v>127</v>
      </c>
      <c r="H42" s="46" t="s">
        <v>114</v>
      </c>
      <c r="I42" s="211">
        <v>80</v>
      </c>
      <c r="J42" s="212"/>
      <c r="K42" s="212"/>
      <c r="L42" s="114"/>
      <c r="M42" s="212"/>
      <c r="N42" s="212"/>
      <c r="O42" s="114"/>
      <c r="P42" s="212"/>
      <c r="Q42" s="212"/>
      <c r="R42" s="114"/>
      <c r="S42" s="29"/>
      <c r="T42" s="29">
        <v>10661</v>
      </c>
      <c r="U42" s="114" t="e">
        <f t="shared" si="6"/>
        <v>#DIV/0!</v>
      </c>
      <c r="V42" s="29">
        <f t="shared" si="7"/>
        <v>0</v>
      </c>
      <c r="W42" s="29">
        <f t="shared" si="8"/>
        <v>10661</v>
      </c>
      <c r="X42" s="114" t="e">
        <f t="shared" si="9"/>
        <v>#DIV/0!</v>
      </c>
      <c r="Y42" s="36"/>
      <c r="Z42" s="36">
        <v>15411</v>
      </c>
      <c r="AA42" s="213" t="e">
        <f t="shared" si="10"/>
        <v>#DIV/0!</v>
      </c>
      <c r="AB42" s="36">
        <f t="shared" si="11"/>
        <v>0</v>
      </c>
      <c r="AC42" s="36">
        <f t="shared" si="12"/>
        <v>26072</v>
      </c>
      <c r="AD42" s="213" t="e">
        <f t="shared" si="13"/>
        <v>#DIV/0!</v>
      </c>
      <c r="AE42" s="46"/>
      <c r="AF42" s="211">
        <v>3348</v>
      </c>
      <c r="AG42" s="213" t="e">
        <f t="shared" si="14"/>
        <v>#DIV/0!</v>
      </c>
      <c r="AH42" s="211">
        <f t="shared" si="15"/>
        <v>0</v>
      </c>
      <c r="AI42" s="211">
        <f t="shared" si="16"/>
        <v>29420</v>
      </c>
      <c r="AJ42" s="213" t="e">
        <f t="shared" si="17"/>
        <v>#DIV/0!</v>
      </c>
      <c r="AK42" s="36"/>
      <c r="AL42" s="214"/>
      <c r="AM42" s="213" t="e">
        <f t="shared" si="18"/>
        <v>#DIV/0!</v>
      </c>
      <c r="AN42" s="214">
        <f t="shared" si="19"/>
        <v>0</v>
      </c>
      <c r="AO42" s="214">
        <f t="shared" si="20"/>
        <v>29420</v>
      </c>
      <c r="AP42" s="213" t="e">
        <f t="shared" si="21"/>
        <v>#DIV/0!</v>
      </c>
      <c r="AQ42" s="214"/>
      <c r="AR42" s="214"/>
      <c r="AS42" s="213" t="e">
        <f t="shared" si="22"/>
        <v>#DIV/0!</v>
      </c>
      <c r="AT42" s="214">
        <f t="shared" si="23"/>
        <v>0</v>
      </c>
      <c r="AU42" s="214">
        <f t="shared" si="24"/>
        <v>29420</v>
      </c>
      <c r="AV42" s="213" t="e">
        <f t="shared" si="25"/>
        <v>#DIV/0!</v>
      </c>
      <c r="AW42" s="47"/>
      <c r="AX42" s="47"/>
      <c r="AY42" s="213" t="e">
        <f t="shared" si="26"/>
        <v>#DIV/0!</v>
      </c>
      <c r="AZ42" s="47">
        <f t="shared" si="27"/>
        <v>0</v>
      </c>
      <c r="BA42" s="47">
        <f t="shared" si="28"/>
        <v>29420</v>
      </c>
      <c r="BB42" s="213" t="e">
        <f t="shared" si="36"/>
        <v>#DIV/0!</v>
      </c>
      <c r="BC42" s="47"/>
      <c r="BD42" s="47"/>
      <c r="BE42" s="213" t="e">
        <f t="shared" si="29"/>
        <v>#DIV/0!</v>
      </c>
      <c r="BF42" s="47">
        <f t="shared" si="30"/>
        <v>0</v>
      </c>
      <c r="BG42" s="47">
        <f t="shared" si="31"/>
        <v>29420</v>
      </c>
      <c r="BH42" s="213" t="e">
        <f t="shared" si="37"/>
        <v>#DIV/0!</v>
      </c>
      <c r="BI42" s="48"/>
      <c r="BJ42" s="48">
        <v>4590</v>
      </c>
      <c r="BK42" s="213" t="e">
        <f t="shared" si="32"/>
        <v>#DIV/0!</v>
      </c>
      <c r="BL42" s="48">
        <f t="shared" si="33"/>
        <v>0</v>
      </c>
      <c r="BM42" s="48">
        <f t="shared" si="34"/>
        <v>34010</v>
      </c>
      <c r="BN42" s="213" t="e">
        <f t="shared" si="35"/>
        <v>#DIV/0!</v>
      </c>
      <c r="BO42" s="48"/>
      <c r="BP42" s="48"/>
      <c r="BQ42" s="48"/>
      <c r="BR42" s="114">
        <f t="shared" si="38"/>
        <v>0.0425125</v>
      </c>
      <c r="BT42" s="130">
        <v>20000</v>
      </c>
    </row>
    <row r="43" s="130" customFormat="1" spans="1:72">
      <c r="A43" s="230" t="s">
        <v>25</v>
      </c>
      <c r="B43" s="231" t="s">
        <v>25</v>
      </c>
      <c r="C43" s="121" t="s">
        <v>128</v>
      </c>
      <c r="D43" s="110" t="s">
        <v>116</v>
      </c>
      <c r="E43" s="110" t="s">
        <v>116</v>
      </c>
      <c r="F43" s="110" t="s">
        <v>78</v>
      </c>
      <c r="G43" s="187" t="s">
        <v>98</v>
      </c>
      <c r="H43" s="46" t="s">
        <v>114</v>
      </c>
      <c r="I43" s="211">
        <v>200</v>
      </c>
      <c r="J43" s="212"/>
      <c r="K43" s="212"/>
      <c r="L43" s="114"/>
      <c r="M43" s="212"/>
      <c r="N43" s="212"/>
      <c r="O43" s="114"/>
      <c r="P43" s="212"/>
      <c r="Q43" s="212"/>
      <c r="R43" s="114"/>
      <c r="S43" s="29"/>
      <c r="T43" s="232">
        <v>7250</v>
      </c>
      <c r="U43" s="114" t="e">
        <f t="shared" si="6"/>
        <v>#DIV/0!</v>
      </c>
      <c r="V43" s="29">
        <f t="shared" si="7"/>
        <v>0</v>
      </c>
      <c r="W43" s="29">
        <f t="shared" si="8"/>
        <v>7250</v>
      </c>
      <c r="X43" s="114" t="e">
        <f t="shared" si="9"/>
        <v>#DIV/0!</v>
      </c>
      <c r="Y43" s="36"/>
      <c r="Z43" s="36"/>
      <c r="AA43" s="213" t="e">
        <f t="shared" si="10"/>
        <v>#DIV/0!</v>
      </c>
      <c r="AB43" s="36">
        <f t="shared" si="11"/>
        <v>0</v>
      </c>
      <c r="AC43" s="36">
        <f t="shared" si="12"/>
        <v>7250</v>
      </c>
      <c r="AD43" s="213" t="e">
        <f t="shared" si="13"/>
        <v>#DIV/0!</v>
      </c>
      <c r="AE43" s="46"/>
      <c r="AF43" s="211"/>
      <c r="AG43" s="213" t="e">
        <f t="shared" si="14"/>
        <v>#DIV/0!</v>
      </c>
      <c r="AH43" s="211">
        <f t="shared" si="15"/>
        <v>0</v>
      </c>
      <c r="AI43" s="211">
        <f t="shared" si="16"/>
        <v>7250</v>
      </c>
      <c r="AJ43" s="213" t="e">
        <f t="shared" si="17"/>
        <v>#DIV/0!</v>
      </c>
      <c r="AK43" s="36"/>
      <c r="AL43" s="214"/>
      <c r="AM43" s="213" t="e">
        <f t="shared" si="18"/>
        <v>#DIV/0!</v>
      </c>
      <c r="AN43" s="214">
        <f t="shared" si="19"/>
        <v>0</v>
      </c>
      <c r="AO43" s="214">
        <f t="shared" si="20"/>
        <v>7250</v>
      </c>
      <c r="AP43" s="213" t="e">
        <f t="shared" si="21"/>
        <v>#DIV/0!</v>
      </c>
      <c r="AQ43" s="214"/>
      <c r="AR43" s="214">
        <v>53816</v>
      </c>
      <c r="AS43" s="213" t="e">
        <f t="shared" si="22"/>
        <v>#DIV/0!</v>
      </c>
      <c r="AT43" s="214">
        <f t="shared" si="23"/>
        <v>0</v>
      </c>
      <c r="AU43" s="214">
        <f t="shared" si="24"/>
        <v>61066</v>
      </c>
      <c r="AV43" s="213" t="e">
        <f t="shared" si="25"/>
        <v>#DIV/0!</v>
      </c>
      <c r="AW43" s="47"/>
      <c r="AX43" s="47">
        <f>22281+11274</f>
        <v>33555</v>
      </c>
      <c r="AY43" s="213" t="e">
        <f t="shared" si="26"/>
        <v>#DIV/0!</v>
      </c>
      <c r="AZ43" s="47">
        <f t="shared" si="27"/>
        <v>0</v>
      </c>
      <c r="BA43" s="47">
        <f t="shared" si="28"/>
        <v>94621</v>
      </c>
      <c r="BB43" s="213" t="e">
        <f t="shared" si="36"/>
        <v>#DIV/0!</v>
      </c>
      <c r="BC43" s="47"/>
      <c r="BD43" s="47">
        <v>12823</v>
      </c>
      <c r="BE43" s="213" t="e">
        <f t="shared" si="29"/>
        <v>#DIV/0!</v>
      </c>
      <c r="BF43" s="47">
        <f t="shared" si="30"/>
        <v>0</v>
      </c>
      <c r="BG43" s="47">
        <f t="shared" si="31"/>
        <v>107444</v>
      </c>
      <c r="BH43" s="213" t="e">
        <f t="shared" si="37"/>
        <v>#DIV/0!</v>
      </c>
      <c r="BI43" s="48"/>
      <c r="BJ43" s="48">
        <v>36202</v>
      </c>
      <c r="BK43" s="213" t="e">
        <f t="shared" si="32"/>
        <v>#DIV/0!</v>
      </c>
      <c r="BL43" s="48">
        <f t="shared" si="33"/>
        <v>0</v>
      </c>
      <c r="BM43" s="48">
        <f t="shared" si="34"/>
        <v>143646</v>
      </c>
      <c r="BN43" s="213" t="e">
        <f t="shared" si="35"/>
        <v>#DIV/0!</v>
      </c>
      <c r="BO43" s="48"/>
      <c r="BP43" s="48"/>
      <c r="BQ43" s="48"/>
      <c r="BR43" s="114">
        <f t="shared" si="38"/>
        <v>0.071823</v>
      </c>
    </row>
    <row r="44" s="130" customFormat="1" spans="1:72">
      <c r="A44" s="230" t="s">
        <v>25</v>
      </c>
      <c r="B44" s="231" t="s">
        <v>25</v>
      </c>
      <c r="C44" s="121" t="s">
        <v>129</v>
      </c>
      <c r="D44" s="110" t="s">
        <v>116</v>
      </c>
      <c r="E44" s="110" t="s">
        <v>116</v>
      </c>
      <c r="F44" s="110" t="s">
        <v>78</v>
      </c>
      <c r="G44" s="187" t="s">
        <v>98</v>
      </c>
      <c r="H44" s="46" t="s">
        <v>114</v>
      </c>
      <c r="I44" s="211">
        <v>25</v>
      </c>
      <c r="J44" s="212"/>
      <c r="K44" s="212"/>
      <c r="L44" s="114"/>
      <c r="M44" s="212"/>
      <c r="N44" s="212"/>
      <c r="O44" s="114"/>
      <c r="P44" s="212"/>
      <c r="Q44" s="212"/>
      <c r="R44" s="114"/>
      <c r="S44" s="29"/>
      <c r="T44" s="29"/>
      <c r="U44" s="114"/>
      <c r="V44" s="29"/>
      <c r="W44" s="29"/>
      <c r="X44" s="114"/>
      <c r="Y44" s="36"/>
      <c r="Z44" s="36"/>
      <c r="AA44" s="213"/>
      <c r="AB44" s="36">
        <f t="shared" si="11"/>
        <v>0</v>
      </c>
      <c r="AC44" s="36"/>
      <c r="AD44" s="213"/>
      <c r="AE44" s="46"/>
      <c r="AF44" s="211"/>
      <c r="AG44" s="213" t="e">
        <f t="shared" si="14"/>
        <v>#DIV/0!</v>
      </c>
      <c r="AH44" s="211">
        <f t="shared" si="15"/>
        <v>0</v>
      </c>
      <c r="AI44" s="211">
        <f t="shared" si="16"/>
        <v>0</v>
      </c>
      <c r="AJ44" s="213" t="e">
        <f t="shared" si="17"/>
        <v>#DIV/0!</v>
      </c>
      <c r="AK44" s="36"/>
      <c r="AL44" s="214"/>
      <c r="AM44" s="213" t="e">
        <f t="shared" si="18"/>
        <v>#DIV/0!</v>
      </c>
      <c r="AN44" s="214">
        <f t="shared" si="19"/>
        <v>0</v>
      </c>
      <c r="AO44" s="214">
        <f t="shared" si="20"/>
        <v>0</v>
      </c>
      <c r="AP44" s="213" t="e">
        <f t="shared" si="21"/>
        <v>#DIV/0!</v>
      </c>
      <c r="AQ44" s="214"/>
      <c r="AR44" s="214"/>
      <c r="AS44" s="213" t="e">
        <f t="shared" si="22"/>
        <v>#DIV/0!</v>
      </c>
      <c r="AT44" s="214">
        <f t="shared" si="23"/>
        <v>0</v>
      </c>
      <c r="AU44" s="214">
        <f t="shared" si="24"/>
        <v>0</v>
      </c>
      <c r="AV44" s="213" t="e">
        <f t="shared" si="25"/>
        <v>#DIV/0!</v>
      </c>
      <c r="AW44" s="47"/>
      <c r="AX44" s="47"/>
      <c r="AY44" s="213" t="e">
        <f t="shared" si="26"/>
        <v>#DIV/0!</v>
      </c>
      <c r="AZ44" s="47">
        <f t="shared" si="27"/>
        <v>0</v>
      </c>
      <c r="BA44" s="47">
        <f t="shared" si="28"/>
        <v>0</v>
      </c>
      <c r="BB44" s="213" t="e">
        <f t="shared" si="36"/>
        <v>#DIV/0!</v>
      </c>
      <c r="BC44" s="47"/>
      <c r="BD44" s="47"/>
      <c r="BE44" s="213" t="e">
        <f t="shared" si="29"/>
        <v>#DIV/0!</v>
      </c>
      <c r="BF44" s="47">
        <f t="shared" si="30"/>
        <v>0</v>
      </c>
      <c r="BG44" s="47">
        <f t="shared" si="31"/>
        <v>0</v>
      </c>
      <c r="BH44" s="213" t="e">
        <f t="shared" si="37"/>
        <v>#DIV/0!</v>
      </c>
      <c r="BI44" s="48"/>
      <c r="BJ44" s="48"/>
      <c r="BK44" s="213" t="e">
        <f t="shared" si="32"/>
        <v>#DIV/0!</v>
      </c>
      <c r="BL44" s="48">
        <f t="shared" si="33"/>
        <v>0</v>
      </c>
      <c r="BM44" s="48">
        <f t="shared" si="34"/>
        <v>0</v>
      </c>
      <c r="BN44" s="213" t="e">
        <f t="shared" si="35"/>
        <v>#DIV/0!</v>
      </c>
      <c r="BO44" s="48"/>
      <c r="BP44" s="48"/>
      <c r="BQ44" s="48"/>
      <c r="BR44" s="114">
        <f t="shared" si="38"/>
        <v>0</v>
      </c>
    </row>
    <row r="45" s="130" customFormat="1" spans="1:72">
      <c r="A45" s="230" t="s">
        <v>25</v>
      </c>
      <c r="B45" s="231" t="s">
        <v>25</v>
      </c>
      <c r="C45" s="121" t="s">
        <v>130</v>
      </c>
      <c r="D45" s="110" t="s">
        <v>116</v>
      </c>
      <c r="E45" s="110" t="s">
        <v>116</v>
      </c>
      <c r="F45" s="110" t="s">
        <v>78</v>
      </c>
      <c r="G45" s="187" t="s">
        <v>98</v>
      </c>
      <c r="H45" s="46" t="s">
        <v>114</v>
      </c>
      <c r="I45" s="211">
        <v>20</v>
      </c>
      <c r="J45" s="212"/>
      <c r="K45" s="212"/>
      <c r="L45" s="114"/>
      <c r="M45" s="212"/>
      <c r="N45" s="212"/>
      <c r="O45" s="114"/>
      <c r="P45" s="212"/>
      <c r="Q45" s="212"/>
      <c r="R45" s="114"/>
      <c r="S45" s="29"/>
      <c r="T45" s="29"/>
      <c r="U45" s="114"/>
      <c r="V45" s="29"/>
      <c r="W45" s="29"/>
      <c r="X45" s="114"/>
      <c r="Y45" s="36"/>
      <c r="Z45" s="36"/>
      <c r="AA45" s="213"/>
      <c r="AB45" s="36"/>
      <c r="AC45" s="36"/>
      <c r="AD45" s="213"/>
      <c r="AE45" s="46"/>
      <c r="AF45" s="211"/>
      <c r="AG45" s="213" t="e">
        <f t="shared" si="14"/>
        <v>#DIV/0!</v>
      </c>
      <c r="AH45" s="211">
        <f t="shared" si="15"/>
        <v>0</v>
      </c>
      <c r="AI45" s="211">
        <f t="shared" si="16"/>
        <v>0</v>
      </c>
      <c r="AJ45" s="213" t="e">
        <f t="shared" si="17"/>
        <v>#DIV/0!</v>
      </c>
      <c r="AK45" s="36"/>
      <c r="AL45" s="214"/>
      <c r="AM45" s="213" t="e">
        <f t="shared" si="18"/>
        <v>#DIV/0!</v>
      </c>
      <c r="AN45" s="214">
        <f t="shared" si="19"/>
        <v>0</v>
      </c>
      <c r="AO45" s="214">
        <f t="shared" si="20"/>
        <v>0</v>
      </c>
      <c r="AP45" s="213" t="e">
        <f t="shared" si="21"/>
        <v>#DIV/0!</v>
      </c>
      <c r="AQ45" s="214"/>
      <c r="AR45" s="214"/>
      <c r="AS45" s="213" t="e">
        <f t="shared" si="22"/>
        <v>#DIV/0!</v>
      </c>
      <c r="AT45" s="214">
        <f t="shared" si="23"/>
        <v>0</v>
      </c>
      <c r="AU45" s="214">
        <f t="shared" si="24"/>
        <v>0</v>
      </c>
      <c r="AV45" s="213" t="e">
        <f t="shared" si="25"/>
        <v>#DIV/0!</v>
      </c>
      <c r="AW45" s="47"/>
      <c r="AX45" s="47"/>
      <c r="AY45" s="213" t="e">
        <f t="shared" si="26"/>
        <v>#DIV/0!</v>
      </c>
      <c r="AZ45" s="47">
        <f t="shared" si="27"/>
        <v>0</v>
      </c>
      <c r="BA45" s="47">
        <f t="shared" si="28"/>
        <v>0</v>
      </c>
      <c r="BB45" s="213" t="e">
        <f t="shared" si="36"/>
        <v>#DIV/0!</v>
      </c>
      <c r="BC45" s="47"/>
      <c r="BD45" s="47"/>
      <c r="BE45" s="213" t="e">
        <f t="shared" si="29"/>
        <v>#DIV/0!</v>
      </c>
      <c r="BF45" s="47">
        <f t="shared" si="30"/>
        <v>0</v>
      </c>
      <c r="BG45" s="47">
        <f t="shared" si="31"/>
        <v>0</v>
      </c>
      <c r="BH45" s="213" t="e">
        <f t="shared" si="37"/>
        <v>#DIV/0!</v>
      </c>
      <c r="BI45" s="48"/>
      <c r="BJ45" s="48"/>
      <c r="BK45" s="213" t="e">
        <f t="shared" si="32"/>
        <v>#DIV/0!</v>
      </c>
      <c r="BL45" s="48">
        <f t="shared" si="33"/>
        <v>0</v>
      </c>
      <c r="BM45" s="48">
        <f t="shared" si="34"/>
        <v>0</v>
      </c>
      <c r="BN45" s="213" t="e">
        <f t="shared" si="35"/>
        <v>#DIV/0!</v>
      </c>
      <c r="BO45" s="48"/>
      <c r="BP45" s="48"/>
      <c r="BQ45" s="48"/>
      <c r="BR45" s="114">
        <f t="shared" si="38"/>
        <v>0</v>
      </c>
    </row>
    <row r="46" s="130" customFormat="1" spans="1:72">
      <c r="A46" s="230" t="s">
        <v>25</v>
      </c>
      <c r="B46" s="231" t="s">
        <v>25</v>
      </c>
      <c r="C46" s="121" t="s">
        <v>131</v>
      </c>
      <c r="D46" s="110" t="s">
        <v>116</v>
      </c>
      <c r="E46" s="110" t="s">
        <v>116</v>
      </c>
      <c r="F46" s="110" t="s">
        <v>78</v>
      </c>
      <c r="G46" s="187" t="s">
        <v>98</v>
      </c>
      <c r="H46" s="46" t="s">
        <v>114</v>
      </c>
      <c r="I46" s="211"/>
      <c r="J46" s="212"/>
      <c r="K46" s="212"/>
      <c r="L46" s="114"/>
      <c r="M46" s="212"/>
      <c r="N46" s="212"/>
      <c r="O46" s="114"/>
      <c r="P46" s="212"/>
      <c r="Q46" s="212"/>
      <c r="R46" s="114"/>
      <c r="S46" s="29"/>
      <c r="T46" s="29"/>
      <c r="U46" s="114"/>
      <c r="V46" s="29"/>
      <c r="W46" s="29"/>
      <c r="X46" s="114"/>
      <c r="Y46" s="36"/>
      <c r="Z46" s="36"/>
      <c r="AA46" s="213"/>
      <c r="AB46" s="36"/>
      <c r="AC46" s="36"/>
      <c r="AD46" s="213"/>
      <c r="AE46" s="46"/>
      <c r="AF46" s="211">
        <v>13000</v>
      </c>
      <c r="AG46" s="213" t="e">
        <f t="shared" si="14"/>
        <v>#DIV/0!</v>
      </c>
      <c r="AH46" s="211">
        <f t="shared" si="15"/>
        <v>0</v>
      </c>
      <c r="AI46" s="211">
        <f t="shared" si="16"/>
        <v>13000</v>
      </c>
      <c r="AJ46" s="213" t="e">
        <f t="shared" si="17"/>
        <v>#DIV/0!</v>
      </c>
      <c r="AK46" s="36"/>
      <c r="AL46" s="214"/>
      <c r="AM46" s="213" t="e">
        <f t="shared" si="18"/>
        <v>#DIV/0!</v>
      </c>
      <c r="AN46" s="214">
        <f t="shared" si="19"/>
        <v>0</v>
      </c>
      <c r="AO46" s="214">
        <f t="shared" si="20"/>
        <v>13000</v>
      </c>
      <c r="AP46" s="213" t="e">
        <f t="shared" si="21"/>
        <v>#DIV/0!</v>
      </c>
      <c r="AQ46" s="214"/>
      <c r="AR46" s="214"/>
      <c r="AS46" s="213" t="e">
        <f t="shared" si="22"/>
        <v>#DIV/0!</v>
      </c>
      <c r="AT46" s="214">
        <f t="shared" si="23"/>
        <v>0</v>
      </c>
      <c r="AU46" s="214">
        <f t="shared" si="24"/>
        <v>13000</v>
      </c>
      <c r="AV46" s="213" t="e">
        <f t="shared" si="25"/>
        <v>#DIV/0!</v>
      </c>
      <c r="AW46" s="47"/>
      <c r="AX46" s="47">
        <v>3470</v>
      </c>
      <c r="AY46" s="213" t="e">
        <f t="shared" si="26"/>
        <v>#DIV/0!</v>
      </c>
      <c r="AZ46" s="47">
        <f t="shared" si="27"/>
        <v>0</v>
      </c>
      <c r="BA46" s="47">
        <f t="shared" si="28"/>
        <v>16470</v>
      </c>
      <c r="BB46" s="213" t="e">
        <f t="shared" si="36"/>
        <v>#DIV/0!</v>
      </c>
      <c r="BC46" s="47"/>
      <c r="BD46" s="47"/>
      <c r="BE46" s="213" t="e">
        <f t="shared" si="29"/>
        <v>#DIV/0!</v>
      </c>
      <c r="BF46" s="47">
        <f t="shared" si="30"/>
        <v>0</v>
      </c>
      <c r="BG46" s="47">
        <f t="shared" si="31"/>
        <v>16470</v>
      </c>
      <c r="BH46" s="213" t="e">
        <f t="shared" si="37"/>
        <v>#DIV/0!</v>
      </c>
      <c r="BI46" s="48"/>
      <c r="BJ46" s="48"/>
      <c r="BK46" s="213" t="e">
        <f t="shared" si="32"/>
        <v>#DIV/0!</v>
      </c>
      <c r="BL46" s="48">
        <f t="shared" si="33"/>
        <v>0</v>
      </c>
      <c r="BM46" s="48">
        <f t="shared" si="34"/>
        <v>16470</v>
      </c>
      <c r="BN46" s="213" t="e">
        <f t="shared" si="35"/>
        <v>#DIV/0!</v>
      </c>
      <c r="BO46" s="48"/>
      <c r="BP46" s="48"/>
      <c r="BQ46" s="48"/>
      <c r="BR46" s="114" t="e">
        <f t="shared" si="38"/>
        <v>#DIV/0!</v>
      </c>
    </row>
    <row r="47" s="130" customFormat="1" spans="1:72">
      <c r="A47" s="230" t="s">
        <v>25</v>
      </c>
      <c r="B47" s="231" t="s">
        <v>25</v>
      </c>
      <c r="C47" s="121" t="s">
        <v>132</v>
      </c>
      <c r="D47" s="120" t="s">
        <v>63</v>
      </c>
      <c r="E47" s="120" t="s">
        <v>63</v>
      </c>
      <c r="F47" s="110" t="s">
        <v>78</v>
      </c>
      <c r="G47" s="187"/>
      <c r="H47" s="108" t="s">
        <v>105</v>
      </c>
      <c r="I47" s="211"/>
      <c r="J47" s="212"/>
      <c r="K47" s="212"/>
      <c r="L47" s="114"/>
      <c r="M47" s="212"/>
      <c r="N47" s="212"/>
      <c r="O47" s="114"/>
      <c r="P47" s="212"/>
      <c r="Q47" s="212"/>
      <c r="R47" s="114"/>
      <c r="S47" s="29"/>
      <c r="T47" s="29"/>
      <c r="U47" s="114"/>
      <c r="V47" s="29"/>
      <c r="W47" s="29"/>
      <c r="X47" s="114"/>
      <c r="Y47" s="36"/>
      <c r="Z47" s="36"/>
      <c r="AA47" s="213"/>
      <c r="AB47" s="36"/>
      <c r="AC47" s="36"/>
      <c r="AD47" s="213"/>
      <c r="AE47" s="46"/>
      <c r="AF47" s="211">
        <v>66234</v>
      </c>
      <c r="AG47" s="213" t="e">
        <f t="shared" si="14"/>
        <v>#DIV/0!</v>
      </c>
      <c r="AH47" s="211">
        <f t="shared" si="15"/>
        <v>0</v>
      </c>
      <c r="AI47" s="211">
        <f t="shared" si="16"/>
        <v>66234</v>
      </c>
      <c r="AJ47" s="213" t="e">
        <f t="shared" si="17"/>
        <v>#DIV/0!</v>
      </c>
      <c r="AK47" s="36"/>
      <c r="AL47" s="214">
        <v>10341.7</v>
      </c>
      <c r="AM47" s="213" t="e">
        <f t="shared" si="18"/>
        <v>#DIV/0!</v>
      </c>
      <c r="AN47" s="214">
        <f t="shared" si="19"/>
        <v>0</v>
      </c>
      <c r="AO47" s="214">
        <f t="shared" si="20"/>
        <v>76575.7</v>
      </c>
      <c r="AP47" s="213" t="e">
        <f t="shared" si="21"/>
        <v>#DIV/0!</v>
      </c>
      <c r="AQ47" s="214"/>
      <c r="AR47" s="214">
        <v>12445</v>
      </c>
      <c r="AS47" s="213" t="e">
        <f t="shared" si="22"/>
        <v>#DIV/0!</v>
      </c>
      <c r="AT47" s="214">
        <f t="shared" si="23"/>
        <v>0</v>
      </c>
      <c r="AU47" s="214">
        <f t="shared" si="24"/>
        <v>89020.7</v>
      </c>
      <c r="AV47" s="213" t="e">
        <f t="shared" si="25"/>
        <v>#DIV/0!</v>
      </c>
      <c r="AW47" s="47"/>
      <c r="AX47" s="47">
        <v>8999</v>
      </c>
      <c r="AY47" s="213" t="e">
        <f t="shared" si="26"/>
        <v>#DIV/0!</v>
      </c>
      <c r="AZ47" s="47">
        <f t="shared" si="27"/>
        <v>0</v>
      </c>
      <c r="BA47" s="47">
        <f t="shared" si="28"/>
        <v>98019.7</v>
      </c>
      <c r="BB47" s="213" t="e">
        <f t="shared" si="36"/>
        <v>#DIV/0!</v>
      </c>
      <c r="BC47" s="47"/>
      <c r="BD47" s="47">
        <v>30503.1</v>
      </c>
      <c r="BE47" s="213" t="e">
        <f t="shared" si="29"/>
        <v>#DIV/0!</v>
      </c>
      <c r="BF47" s="47">
        <f t="shared" si="30"/>
        <v>0</v>
      </c>
      <c r="BG47" s="47">
        <f t="shared" si="31"/>
        <v>128522.8</v>
      </c>
      <c r="BH47" s="213" t="e">
        <f t="shared" si="37"/>
        <v>#DIV/0!</v>
      </c>
      <c r="BI47" s="48"/>
      <c r="BJ47" s="48">
        <f>41710-24350</f>
        <v>17360</v>
      </c>
      <c r="BK47" s="213" t="e">
        <f t="shared" si="32"/>
        <v>#DIV/0!</v>
      </c>
      <c r="BL47" s="48">
        <f t="shared" si="33"/>
        <v>0</v>
      </c>
      <c r="BM47" s="48">
        <f t="shared" si="34"/>
        <v>145882.8</v>
      </c>
      <c r="BN47" s="213" t="e">
        <f t="shared" si="35"/>
        <v>#DIV/0!</v>
      </c>
      <c r="BO47" s="48"/>
      <c r="BP47" s="48"/>
      <c r="BQ47" s="48"/>
      <c r="BR47" s="114" t="e">
        <f t="shared" si="38"/>
        <v>#DIV/0!</v>
      </c>
    </row>
    <row r="48" s="130" customFormat="1" spans="1:72">
      <c r="A48" s="138" t="s">
        <v>25</v>
      </c>
      <c r="B48" s="138" t="s">
        <v>25</v>
      </c>
      <c r="C48" s="195" t="s">
        <v>133</v>
      </c>
      <c r="D48" s="110" t="s">
        <v>116</v>
      </c>
      <c r="E48" s="110" t="s">
        <v>116</v>
      </c>
      <c r="F48" s="110" t="s">
        <v>78</v>
      </c>
      <c r="G48" s="110" t="s">
        <v>98</v>
      </c>
      <c r="H48" s="46" t="s">
        <v>114</v>
      </c>
      <c r="I48" s="211">
        <v>60</v>
      </c>
      <c r="J48" s="212"/>
      <c r="K48" s="212"/>
      <c r="L48" s="114"/>
      <c r="M48" s="212"/>
      <c r="N48" s="212"/>
      <c r="O48" s="114"/>
      <c r="P48" s="212"/>
      <c r="Q48" s="212"/>
      <c r="R48" s="114"/>
      <c r="S48" s="29"/>
      <c r="T48" s="29">
        <v>35400</v>
      </c>
      <c r="U48" s="114" t="e">
        <f>T48/S48-1</f>
        <v>#DIV/0!</v>
      </c>
      <c r="V48" s="29">
        <f>S48+P48</f>
        <v>0</v>
      </c>
      <c r="W48" s="29">
        <f>T48+Q48</f>
        <v>35400</v>
      </c>
      <c r="X48" s="114" t="e">
        <f>W48/V48-1</f>
        <v>#DIV/0!</v>
      </c>
      <c r="Y48" s="36"/>
      <c r="Z48" s="36"/>
      <c r="AA48" s="213" t="e">
        <f>Z48/Y48-1</f>
        <v>#DIV/0!</v>
      </c>
      <c r="AB48" s="36">
        <f>Y48+V48</f>
        <v>0</v>
      </c>
      <c r="AC48" s="36">
        <f>Z48+W48</f>
        <v>35400</v>
      </c>
      <c r="AD48" s="213" t="e">
        <f>AC48/AB48-1</f>
        <v>#DIV/0!</v>
      </c>
      <c r="AE48" s="46"/>
      <c r="AF48" s="211">
        <v>27200</v>
      </c>
      <c r="AG48" s="213" t="e">
        <f t="shared" si="14"/>
        <v>#DIV/0!</v>
      </c>
      <c r="AH48" s="211">
        <f t="shared" si="15"/>
        <v>0</v>
      </c>
      <c r="AI48" s="211">
        <f t="shared" si="16"/>
        <v>62600</v>
      </c>
      <c r="AJ48" s="213" t="e">
        <f t="shared" si="17"/>
        <v>#DIV/0!</v>
      </c>
      <c r="AK48" s="36"/>
      <c r="AL48" s="214"/>
      <c r="AM48" s="213" t="e">
        <f t="shared" si="18"/>
        <v>#DIV/0!</v>
      </c>
      <c r="AN48" s="214">
        <f t="shared" si="19"/>
        <v>0</v>
      </c>
      <c r="AO48" s="214">
        <f t="shared" si="20"/>
        <v>62600</v>
      </c>
      <c r="AP48" s="213" t="e">
        <f t="shared" si="21"/>
        <v>#DIV/0!</v>
      </c>
      <c r="AQ48" s="214"/>
      <c r="AR48" s="214">
        <v>47200</v>
      </c>
      <c r="AS48" s="213" t="e">
        <f t="shared" si="22"/>
        <v>#DIV/0!</v>
      </c>
      <c r="AT48" s="214">
        <f t="shared" si="23"/>
        <v>0</v>
      </c>
      <c r="AU48" s="214">
        <f t="shared" si="24"/>
        <v>109800</v>
      </c>
      <c r="AV48" s="213" t="e">
        <f t="shared" si="25"/>
        <v>#DIV/0!</v>
      </c>
      <c r="AW48" s="47"/>
      <c r="AX48" s="47">
        <v>17700</v>
      </c>
      <c r="AY48" s="213" t="e">
        <f t="shared" si="26"/>
        <v>#DIV/0!</v>
      </c>
      <c r="AZ48" s="47">
        <f t="shared" si="27"/>
        <v>0</v>
      </c>
      <c r="BA48" s="47">
        <f t="shared" si="28"/>
        <v>127500</v>
      </c>
      <c r="BB48" s="213" t="e">
        <f t="shared" si="36"/>
        <v>#DIV/0!</v>
      </c>
      <c r="BC48" s="47"/>
      <c r="BD48" s="47">
        <v>32450</v>
      </c>
      <c r="BE48" s="213" t="e">
        <f t="shared" si="29"/>
        <v>#DIV/0!</v>
      </c>
      <c r="BF48" s="47">
        <f t="shared" si="30"/>
        <v>0</v>
      </c>
      <c r="BG48" s="47">
        <f t="shared" si="31"/>
        <v>159950</v>
      </c>
      <c r="BH48" s="213" t="e">
        <f t="shared" si="37"/>
        <v>#DIV/0!</v>
      </c>
      <c r="BI48" s="48"/>
      <c r="BJ48" s="48"/>
      <c r="BK48" s="213" t="e">
        <f t="shared" si="32"/>
        <v>#DIV/0!</v>
      </c>
      <c r="BL48" s="48">
        <f t="shared" si="33"/>
        <v>0</v>
      </c>
      <c r="BM48" s="48">
        <f t="shared" si="34"/>
        <v>159950</v>
      </c>
      <c r="BN48" s="213" t="e">
        <f t="shared" si="35"/>
        <v>#DIV/0!</v>
      </c>
      <c r="BO48" s="48"/>
      <c r="BP48" s="48"/>
      <c r="BQ48" s="48"/>
      <c r="BR48" s="114">
        <f t="shared" si="38"/>
        <v>0.266583333333333</v>
      </c>
    </row>
    <row r="49" spans="1:70">
      <c r="A49" s="138"/>
      <c r="B49" s="38"/>
      <c r="C49" s="233" t="s">
        <v>32</v>
      </c>
      <c r="D49" s="38"/>
      <c r="E49" s="187"/>
      <c r="F49" s="168"/>
      <c r="G49" s="38"/>
      <c r="H49" s="38"/>
      <c r="I49" s="29">
        <f>SUBTOTAL(9,I3:I48)</f>
        <v>4549</v>
      </c>
      <c r="J49" s="29">
        <f>SUBTOTAL(9,J3:J48)</f>
        <v>1820726.47</v>
      </c>
      <c r="K49" s="29">
        <f>SUBTOTAL(9,K3:K48)</f>
        <v>2134133.92</v>
      </c>
      <c r="L49" s="114">
        <f>K49/J49-1</f>
        <v>0.172133187034953</v>
      </c>
      <c r="M49" s="29">
        <f>SUBTOTAL(9,M3:M48)</f>
        <v>665632</v>
      </c>
      <c r="N49" s="29">
        <f>SUBTOTAL(9,N3:N48)</f>
        <v>2030936.03</v>
      </c>
      <c r="O49" s="114">
        <f>N49/M49-1</f>
        <v>2.05113941336955</v>
      </c>
      <c r="P49" s="29">
        <f>SUBTOTAL(9,P3:P48)</f>
        <v>2486358.47</v>
      </c>
      <c r="Q49" s="29">
        <f>SUBTOTAL(9,Q3:Q48)</f>
        <v>4165069.95</v>
      </c>
      <c r="R49" s="114">
        <f>Q49/P49-1</f>
        <v>0.675168725771067</v>
      </c>
      <c r="S49" s="29">
        <f>SUBTOTAL(9,S3:S48)</f>
        <v>2335229.55</v>
      </c>
      <c r="T49" s="29">
        <f>SUBTOTAL(9,T3:T48)</f>
        <v>3216768.37</v>
      </c>
      <c r="U49" s="114">
        <f>T49/S49-1</f>
        <v>0.377495574257357</v>
      </c>
      <c r="V49" s="29">
        <f>SUBTOTAL(9,V3:V48)</f>
        <v>4821588.02</v>
      </c>
      <c r="W49" s="29">
        <f>SUBTOTAL(9,W3:W48)</f>
        <v>7381838.32</v>
      </c>
      <c r="X49" s="114">
        <f>W49/V49-1</f>
        <v>0.530997316523115</v>
      </c>
      <c r="Y49" s="29">
        <f>SUBTOTAL(9,Y3:Y48)</f>
        <v>2932936.84</v>
      </c>
      <c r="Z49" s="29">
        <f>SUBTOTAL(9,Z3:Z48)</f>
        <v>3605274.19</v>
      </c>
      <c r="AA49" s="213">
        <f>Z49/Y49-1</f>
        <v>0.229236900307748</v>
      </c>
      <c r="AB49" s="29">
        <f>SUBTOTAL(9,AB3:AB48)</f>
        <v>7754524.86</v>
      </c>
      <c r="AC49" s="29">
        <f>SUBTOTAL(9,AC3:AC48)</f>
        <v>10987112.51</v>
      </c>
      <c r="AD49" s="213">
        <f>AC49/AB49-1</f>
        <v>0.416864696207835</v>
      </c>
      <c r="AE49" s="29">
        <f>SUM(AE3:AE48)</f>
        <v>2754128.27</v>
      </c>
      <c r="AF49" s="29">
        <f>SUM(AF3:AF48)</f>
        <v>2967154.72</v>
      </c>
      <c r="AG49" s="213">
        <f t="shared" si="14"/>
        <v>0.0773480495881187</v>
      </c>
      <c r="AH49" s="29">
        <f>SUM(AH3:AH48)</f>
        <v>10508653.13</v>
      </c>
      <c r="AI49" s="29">
        <f>SUM(AI3:AI48)</f>
        <v>13954267.23</v>
      </c>
      <c r="AJ49" s="213">
        <f t="shared" si="17"/>
        <v>0.327883512508705</v>
      </c>
      <c r="AK49" s="29">
        <f>SUM(AK3:AK48)</f>
        <v>3834503.49</v>
      </c>
      <c r="AL49" s="29">
        <f>SUM(AL3:AL48)</f>
        <v>3744100.99</v>
      </c>
      <c r="AM49" s="213">
        <f t="shared" si="18"/>
        <v>-0.0235760640812455</v>
      </c>
      <c r="AN49" s="29">
        <f t="shared" ref="AN49:AR49" si="40">SUM(AN3:AN48)</f>
        <v>14343156.62</v>
      </c>
      <c r="AO49" s="29">
        <f t="shared" si="40"/>
        <v>17698368.22</v>
      </c>
      <c r="AP49" s="213">
        <f t="shared" si="21"/>
        <v>0.233924211307957</v>
      </c>
      <c r="AQ49" s="29">
        <f t="shared" si="40"/>
        <v>2104345.24</v>
      </c>
      <c r="AR49" s="29">
        <f t="shared" si="40"/>
        <v>2351069.78</v>
      </c>
      <c r="AS49" s="213">
        <f t="shared" si="22"/>
        <v>0.117245276730353</v>
      </c>
      <c r="AT49" s="29">
        <f t="shared" ref="AT49:AX49" si="41">SUM(AT3:AT48)</f>
        <v>16447501.86</v>
      </c>
      <c r="AU49" s="29">
        <f t="shared" si="41"/>
        <v>20049438</v>
      </c>
      <c r="AV49" s="213">
        <f t="shared" si="25"/>
        <v>0.218995940578663</v>
      </c>
      <c r="AW49" s="29">
        <f t="shared" si="41"/>
        <v>1930214.36</v>
      </c>
      <c r="AX49" s="29">
        <f t="shared" si="41"/>
        <v>1841887.65</v>
      </c>
      <c r="AY49" s="213">
        <f t="shared" si="26"/>
        <v>-0.0457600522669409</v>
      </c>
      <c r="AZ49" s="29">
        <f t="shared" ref="AZ49:BD49" si="42">SUM(AZ3:AZ48)</f>
        <v>18377716.22</v>
      </c>
      <c r="BA49" s="29">
        <f t="shared" si="42"/>
        <v>21891325.65</v>
      </c>
      <c r="BB49" s="213">
        <f t="shared" si="36"/>
        <v>0.191188577946167</v>
      </c>
      <c r="BC49" s="29">
        <f t="shared" si="42"/>
        <v>2928380.34</v>
      </c>
      <c r="BD49" s="29">
        <f t="shared" si="42"/>
        <v>1665365.53</v>
      </c>
      <c r="BE49" s="213">
        <f t="shared" si="29"/>
        <v>-0.43130149207326</v>
      </c>
      <c r="BF49" s="29">
        <f t="shared" ref="BF49:BJ49" si="43">SUM(BF3:BF48)</f>
        <v>21306096.56</v>
      </c>
      <c r="BG49" s="29">
        <f t="shared" si="43"/>
        <v>23556691.18</v>
      </c>
      <c r="BH49" s="213">
        <f t="shared" si="37"/>
        <v>0.105631485038197</v>
      </c>
      <c r="BI49" s="29">
        <f t="shared" si="43"/>
        <v>4365273.73</v>
      </c>
      <c r="BJ49" s="29">
        <f t="shared" si="43"/>
        <v>2242104.59</v>
      </c>
      <c r="BK49" s="213">
        <f t="shared" si="32"/>
        <v>-0.486377091408653</v>
      </c>
      <c r="BL49" s="29">
        <f>SUM(BL3:BL48)</f>
        <v>25671370.29</v>
      </c>
      <c r="BM49" s="29">
        <f>SUM(BM3:BM48)</f>
        <v>25798795.77</v>
      </c>
      <c r="BN49" s="213">
        <f t="shared" si="35"/>
        <v>0.00496371944935259</v>
      </c>
      <c r="BO49" s="29">
        <f>SUM(BO3:BO41)</f>
        <v>3575920.73</v>
      </c>
      <c r="BP49" s="29">
        <f>SUM(BP3:BP41)</f>
        <v>3946077.97</v>
      </c>
      <c r="BQ49" s="29">
        <f>SUM(BQ3:BQ41)</f>
        <v>33107347.99</v>
      </c>
      <c r="BR49" s="114">
        <f t="shared" si="38"/>
        <v>0.567131144647175</v>
      </c>
    </row>
    <row r="50" spans="1:70">
      <c r="Y50" s="234"/>
      <c r="Z50" s="234"/>
      <c r="AA50" s="234"/>
      <c r="AB50" s="234"/>
      <c r="AC50" s="234"/>
      <c r="AD50" s="234"/>
    </row>
  </sheetData>
  <autoFilter xmlns:etc="http://www.wps.cn/officeDocument/2017/etCustomData" ref="A2:BU48" etc:filterBottomFollowUsedRange="0">
    <extLst/>
  </autoFilter>
  <mergeCells count="42"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AZ1:BA1"/>
    <mergeCell ref="BC1:BD1"/>
    <mergeCell ref="BF1:BG1"/>
    <mergeCell ref="BI1:BJ1"/>
    <mergeCell ref="BL1:BM1"/>
    <mergeCell ref="I1:I2"/>
    <mergeCell ref="I3:I4"/>
    <mergeCell ref="L1:L2"/>
    <mergeCell ref="O1:O2"/>
    <mergeCell ref="R1:R2"/>
    <mergeCell ref="U1:U2"/>
    <mergeCell ref="X1:X2"/>
    <mergeCell ref="AA1:AA2"/>
    <mergeCell ref="AD1:AD2"/>
    <mergeCell ref="AG1:AG2"/>
    <mergeCell ref="AJ1:AJ2"/>
    <mergeCell ref="AM1:AM2"/>
    <mergeCell ref="AP1:AP2"/>
    <mergeCell ref="AS1:AS2"/>
    <mergeCell ref="AV1:AV2"/>
    <mergeCell ref="AY1:AY2"/>
    <mergeCell ref="BB1:BB2"/>
    <mergeCell ref="BE1:BE2"/>
    <mergeCell ref="BH1:BH2"/>
    <mergeCell ref="BK1:BK2"/>
    <mergeCell ref="BN1:BN2"/>
    <mergeCell ref="BR1:BR2"/>
    <mergeCell ref="BR3:BR4"/>
  </mergeCells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0000"/>
  </sheetPr>
  <dimension ref="A1:BS28"/>
  <sheetViews>
    <sheetView workbookViewId="0">
      <pane xSplit="9" ySplit="2" topLeftCell="J3" activePane="bottomRight" state="frozen"/>
      <selection/>
      <selection pane="topRight"/>
      <selection pane="bottomLeft"/>
      <selection pane="bottomRight" activeCell="BJ5" sqref="BJ5:BJ18"/>
    </sheetView>
  </sheetViews>
  <sheetFormatPr defaultColWidth="9" defaultRowHeight="14"/>
  <cols>
    <col min="1" max="1" width="6.25454545454545" style="130" customWidth="1"/>
    <col min="2" max="2" width="4.37272727272727" style="21" customWidth="1"/>
    <col min="3" max="3" width="21.5090909090909" style="183" customWidth="1"/>
    <col min="4" max="5" width="6.12727272727273" customWidth="1"/>
    <col min="6" max="6" width="7" customWidth="1"/>
    <col min="7" max="7" width="8" hidden="1" customWidth="1"/>
    <col min="8" max="9" width="8" customWidth="1"/>
    <col min="10" max="12" width="9" style="56" hidden="1" customWidth="1"/>
    <col min="13" max="18" width="10.5090909090909" hidden="1" customWidth="1"/>
    <col min="19" max="24" width="9.37272727272727" hidden="1" customWidth="1"/>
    <col min="25" max="30" width="9" hidden="1" customWidth="1"/>
    <col min="31" max="36" width="9.25454545454545" hidden="1" customWidth="1"/>
    <col min="37" max="42" width="10.2545454545455" style="7" hidden="1" customWidth="1"/>
    <col min="43" max="48" width="9.75454545454545" hidden="1" customWidth="1"/>
    <col min="49" max="51" width="9" hidden="1" customWidth="1"/>
    <col min="52" max="53" width="10.3727272727273" hidden="1" customWidth="1"/>
    <col min="54" max="54" width="9" hidden="1" customWidth="1"/>
    <col min="55" max="60" width="10.1272727272727" style="131" hidden="1" customWidth="1"/>
    <col min="61" max="66" width="10.5090909090909" customWidth="1"/>
    <col min="67" max="67" width="10.8727272727273" style="21" hidden="1" customWidth="1"/>
    <col min="68" max="68" width="10.5090909090909" style="59" hidden="1" customWidth="1"/>
    <col min="69" max="69" width="10.5090909090909" style="21" hidden="1" customWidth="1"/>
    <col min="70" max="70" width="10.5090909090909" style="21" customWidth="1"/>
    <col min="71" max="71" width="10.3727272727273"/>
  </cols>
  <sheetData>
    <row r="1" spans="1:71">
      <c r="A1" s="29" t="s">
        <v>46</v>
      </c>
      <c r="B1" s="184" t="s">
        <v>47</v>
      </c>
      <c r="C1" s="184" t="s">
        <v>134</v>
      </c>
      <c r="D1" s="54" t="s">
        <v>49</v>
      </c>
      <c r="E1" s="54" t="s">
        <v>50</v>
      </c>
      <c r="F1" s="54" t="s">
        <v>51</v>
      </c>
      <c r="G1" s="54" t="s">
        <v>52</v>
      </c>
      <c r="H1" s="54" t="s">
        <v>53</v>
      </c>
      <c r="I1" s="185" t="s">
        <v>39</v>
      </c>
      <c r="J1" s="66" t="s">
        <v>3</v>
      </c>
      <c r="K1" s="67"/>
      <c r="L1" s="68" t="s">
        <v>4</v>
      </c>
      <c r="M1" s="23" t="s">
        <v>5</v>
      </c>
      <c r="N1" s="23"/>
      <c r="O1" s="24" t="s">
        <v>4</v>
      </c>
      <c r="P1" s="23" t="s">
        <v>40</v>
      </c>
      <c r="Q1" s="23"/>
      <c r="R1" s="24" t="s">
        <v>4</v>
      </c>
      <c r="S1" s="23" t="s">
        <v>6</v>
      </c>
      <c r="T1" s="23"/>
      <c r="U1" s="24" t="s">
        <v>4</v>
      </c>
      <c r="V1" s="23" t="s">
        <v>7</v>
      </c>
      <c r="W1" s="23"/>
      <c r="X1" s="24" t="s">
        <v>4</v>
      </c>
      <c r="Y1" s="23" t="s">
        <v>8</v>
      </c>
      <c r="Z1" s="23"/>
      <c r="AA1" s="24" t="s">
        <v>4</v>
      </c>
      <c r="AB1" s="23" t="s">
        <v>9</v>
      </c>
      <c r="AC1" s="23"/>
      <c r="AD1" s="24" t="s">
        <v>4</v>
      </c>
      <c r="AE1" s="23" t="s">
        <v>10</v>
      </c>
      <c r="AF1" s="23"/>
      <c r="AG1" s="24" t="s">
        <v>4</v>
      </c>
      <c r="AH1" s="23" t="s">
        <v>11</v>
      </c>
      <c r="AI1" s="23"/>
      <c r="AJ1" s="24" t="s">
        <v>4</v>
      </c>
      <c r="AK1" s="23" t="s">
        <v>12</v>
      </c>
      <c r="AL1" s="23"/>
      <c r="AM1" s="24" t="s">
        <v>4</v>
      </c>
      <c r="AN1" s="23" t="s">
        <v>13</v>
      </c>
      <c r="AO1" s="23"/>
      <c r="AP1" s="24" t="s">
        <v>4</v>
      </c>
      <c r="AQ1" s="23" t="s">
        <v>14</v>
      </c>
      <c r="AR1" s="23"/>
      <c r="AS1" s="24" t="s">
        <v>4</v>
      </c>
      <c r="AT1" s="23" t="s">
        <v>41</v>
      </c>
      <c r="AU1" s="23"/>
      <c r="AV1" s="71" t="s">
        <v>4</v>
      </c>
      <c r="AW1" s="23" t="s">
        <v>15</v>
      </c>
      <c r="AX1" s="23"/>
      <c r="AY1" s="24" t="s">
        <v>4</v>
      </c>
      <c r="AZ1" s="23" t="s">
        <v>42</v>
      </c>
      <c r="BA1" s="23"/>
      <c r="BB1" s="71" t="s">
        <v>4</v>
      </c>
      <c r="BC1" s="72" t="s">
        <v>16</v>
      </c>
      <c r="BD1" s="73"/>
      <c r="BE1" s="71" t="s">
        <v>4</v>
      </c>
      <c r="BF1" s="72" t="s">
        <v>18</v>
      </c>
      <c r="BG1" s="73"/>
      <c r="BH1" s="71" t="s">
        <v>4</v>
      </c>
      <c r="BI1" s="72" t="s">
        <v>19</v>
      </c>
      <c r="BJ1" s="73"/>
      <c r="BK1" s="71" t="s">
        <v>4</v>
      </c>
      <c r="BL1" s="72" t="s">
        <v>20</v>
      </c>
      <c r="BM1" s="73"/>
      <c r="BN1" s="71" t="s">
        <v>4</v>
      </c>
      <c r="BO1" s="74" t="s">
        <v>43</v>
      </c>
      <c r="BP1" s="74" t="s">
        <v>44</v>
      </c>
      <c r="BQ1" s="74" t="s">
        <v>135</v>
      </c>
      <c r="BR1" s="74" t="s">
        <v>21</v>
      </c>
    </row>
    <row r="2" spans="1:71">
      <c r="A2" s="29"/>
      <c r="B2" s="184"/>
      <c r="C2" s="184"/>
      <c r="D2" s="54"/>
      <c r="E2" s="54"/>
      <c r="F2" s="54"/>
      <c r="G2" s="54"/>
      <c r="H2" s="54"/>
      <c r="I2" s="186"/>
      <c r="J2" s="67" t="s">
        <v>22</v>
      </c>
      <c r="K2" s="77" t="s">
        <v>23</v>
      </c>
      <c r="L2" s="78"/>
      <c r="M2" s="30" t="s">
        <v>22</v>
      </c>
      <c r="N2" s="30" t="s">
        <v>23</v>
      </c>
      <c r="O2" s="24"/>
      <c r="P2" s="30" t="s">
        <v>22</v>
      </c>
      <c r="Q2" s="30" t="s">
        <v>23</v>
      </c>
      <c r="R2" s="24"/>
      <c r="S2" s="30" t="s">
        <v>22</v>
      </c>
      <c r="T2" s="30" t="s">
        <v>23</v>
      </c>
      <c r="U2" s="24"/>
      <c r="V2" s="30" t="s">
        <v>22</v>
      </c>
      <c r="W2" s="30" t="s">
        <v>23</v>
      </c>
      <c r="X2" s="24"/>
      <c r="Y2" s="30" t="s">
        <v>22</v>
      </c>
      <c r="Z2" s="30" t="s">
        <v>23</v>
      </c>
      <c r="AA2" s="24"/>
      <c r="AB2" s="30" t="s">
        <v>22</v>
      </c>
      <c r="AC2" s="30" t="s">
        <v>23</v>
      </c>
      <c r="AD2" s="24"/>
      <c r="AE2" s="30" t="s">
        <v>22</v>
      </c>
      <c r="AF2" s="30" t="s">
        <v>23</v>
      </c>
      <c r="AG2" s="24"/>
      <c r="AH2" s="30" t="s">
        <v>22</v>
      </c>
      <c r="AI2" s="30" t="s">
        <v>23</v>
      </c>
      <c r="AJ2" s="24"/>
      <c r="AK2" s="30" t="s">
        <v>22</v>
      </c>
      <c r="AL2" s="30" t="s">
        <v>23</v>
      </c>
      <c r="AM2" s="24"/>
      <c r="AN2" s="30" t="s">
        <v>22</v>
      </c>
      <c r="AO2" s="30" t="s">
        <v>23</v>
      </c>
      <c r="AP2" s="24"/>
      <c r="AQ2" s="30" t="s">
        <v>22</v>
      </c>
      <c r="AR2" s="30" t="s">
        <v>23</v>
      </c>
      <c r="AS2" s="24"/>
      <c r="AT2" s="30" t="s">
        <v>22</v>
      </c>
      <c r="AU2" s="30" t="s">
        <v>23</v>
      </c>
      <c r="AV2" s="71"/>
      <c r="AW2" s="30" t="s">
        <v>22</v>
      </c>
      <c r="AX2" s="30" t="s">
        <v>23</v>
      </c>
      <c r="AY2" s="24"/>
      <c r="AZ2" s="30" t="s">
        <v>22</v>
      </c>
      <c r="BA2" s="30" t="s">
        <v>23</v>
      </c>
      <c r="BB2" s="71"/>
      <c r="BC2" s="30" t="s">
        <v>22</v>
      </c>
      <c r="BD2" s="30" t="s">
        <v>23</v>
      </c>
      <c r="BE2" s="71"/>
      <c r="BF2" s="30" t="s">
        <v>22</v>
      </c>
      <c r="BG2" s="30" t="s">
        <v>23</v>
      </c>
      <c r="BH2" s="71"/>
      <c r="BI2" s="30" t="s">
        <v>22</v>
      </c>
      <c r="BJ2" s="30" t="s">
        <v>23</v>
      </c>
      <c r="BK2" s="71"/>
      <c r="BL2" s="30" t="s">
        <v>22</v>
      </c>
      <c r="BM2" s="30" t="s">
        <v>23</v>
      </c>
      <c r="BN2" s="71"/>
      <c r="BO2" s="74" t="s">
        <v>22</v>
      </c>
      <c r="BP2" s="74" t="s">
        <v>22</v>
      </c>
      <c r="BQ2" s="74" t="s">
        <v>22</v>
      </c>
      <c r="BR2" s="74"/>
      <c r="BS2" t="s">
        <v>55</v>
      </c>
    </row>
    <row r="3" spans="1:71">
      <c r="A3" s="29" t="s">
        <v>28</v>
      </c>
      <c r="B3" s="187" t="s">
        <v>28</v>
      </c>
      <c r="C3" s="262" t="s">
        <v>136</v>
      </c>
      <c r="D3" s="188" t="s">
        <v>63</v>
      </c>
      <c r="E3" s="188" t="s">
        <v>63</v>
      </c>
      <c r="F3" s="263" t="s">
        <v>137</v>
      </c>
      <c r="G3" s="264" t="s">
        <v>137</v>
      </c>
      <c r="H3" s="54" t="s">
        <v>138</v>
      </c>
      <c r="I3" s="54">
        <v>15</v>
      </c>
      <c r="J3" s="80"/>
      <c r="K3" s="80"/>
      <c r="L3" s="114" t="e">
        <f>K3/J3-1</f>
        <v>#DIV/0!</v>
      </c>
      <c r="M3" s="44"/>
      <c r="N3" s="44">
        <v>4405</v>
      </c>
      <c r="O3" s="114" t="e">
        <f>N3/M3-1</f>
        <v>#DIV/0!</v>
      </c>
      <c r="P3" s="44">
        <f>M3+J3</f>
        <v>0</v>
      </c>
      <c r="Q3" s="44">
        <f>N3+K3</f>
        <v>4405</v>
      </c>
      <c r="R3" s="114" t="e">
        <f>Q3/P3-1</f>
        <v>#DIV/0!</v>
      </c>
      <c r="S3" s="29">
        <v>10579</v>
      </c>
      <c r="T3" s="29">
        <v>30000</v>
      </c>
      <c r="U3" s="114">
        <f t="shared" ref="U3:U22" si="0">T3/S3-1</f>
        <v>1.83580678703091</v>
      </c>
      <c r="V3" s="29">
        <f>S3+P3</f>
        <v>10579</v>
      </c>
      <c r="W3" s="29">
        <f>Q3+T3</f>
        <v>34405</v>
      </c>
      <c r="X3" s="114">
        <f t="shared" ref="X3:X22" si="1">W3/V3-1</f>
        <v>2.25219775025995</v>
      </c>
      <c r="Y3" s="37"/>
      <c r="Z3" s="37"/>
      <c r="AA3" s="114" t="e">
        <f t="shared" ref="AA3:AA22" si="2">Z3/Y3-1</f>
        <v>#DIV/0!</v>
      </c>
      <c r="AB3" s="29">
        <f>V3+Y3</f>
        <v>10579</v>
      </c>
      <c r="AC3" s="29">
        <f>W3+Z3</f>
        <v>34405</v>
      </c>
      <c r="AD3" s="114">
        <f t="shared" ref="AD3:AD22" si="3">AC3/AB3-1</f>
        <v>2.25219775025995</v>
      </c>
      <c r="AE3" s="29"/>
      <c r="AF3" s="29"/>
      <c r="AG3" s="114" t="e">
        <f t="shared" ref="AG3:AG23" si="4">AF3/AE3-1</f>
        <v>#DIV/0!</v>
      </c>
      <c r="AH3" s="29">
        <f>AE3+AB3</f>
        <v>10579</v>
      </c>
      <c r="AI3" s="29">
        <f>AF3+AC3</f>
        <v>34405</v>
      </c>
      <c r="AJ3" s="114">
        <f t="shared" ref="AJ3:AJ23" si="5">AI3/AH3-1</f>
        <v>2.25219775025995</v>
      </c>
      <c r="AK3" s="143">
        <v>6097</v>
      </c>
      <c r="AL3" s="143"/>
      <c r="AM3" s="114">
        <f t="shared" ref="AM3:AM24" si="6">AL3/AK3-1</f>
        <v>-1</v>
      </c>
      <c r="AN3" s="143">
        <f>AH3+AK3</f>
        <v>16676</v>
      </c>
      <c r="AO3" s="143">
        <f>AI3+AL3</f>
        <v>34405</v>
      </c>
      <c r="AP3" s="114">
        <f>AO3/AN3-1</f>
        <v>1.06314463900216</v>
      </c>
      <c r="AQ3" s="46">
        <v>8810</v>
      </c>
      <c r="AR3" s="46"/>
      <c r="AS3" s="114">
        <f t="shared" ref="AS3:AS23" si="7">AR3/AQ3-1</f>
        <v>-1</v>
      </c>
      <c r="AT3" s="46">
        <f>AQ3+AN3</f>
        <v>25486</v>
      </c>
      <c r="AU3" s="46">
        <f>AR3+AO3</f>
        <v>34405</v>
      </c>
      <c r="AV3" s="114">
        <f t="shared" ref="AV3:AV23" si="8">AU3/AT3-1</f>
        <v>0.34995683904889</v>
      </c>
      <c r="AW3" s="189"/>
      <c r="AX3" s="189"/>
      <c r="AY3" s="114" t="e">
        <f>AX3/AW3-1</f>
        <v>#DIV/0!</v>
      </c>
      <c r="AZ3" s="189">
        <f>AW3+AT3</f>
        <v>25486</v>
      </c>
      <c r="BA3" s="189">
        <f>AX3+AU3</f>
        <v>34405</v>
      </c>
      <c r="BB3" s="114">
        <f t="shared" ref="BB3:BB23" si="9">BA3/AZ3-1</f>
        <v>0.34995683904889</v>
      </c>
      <c r="BC3" s="36">
        <v>2148</v>
      </c>
      <c r="BD3" s="36"/>
      <c r="BE3" s="114">
        <f>BD3/BC3-1</f>
        <v>-1</v>
      </c>
      <c r="BF3" s="36">
        <f>BC3+AZ3</f>
        <v>27634</v>
      </c>
      <c r="BG3" s="36">
        <f>BD3+BA3</f>
        <v>34405</v>
      </c>
      <c r="BH3" s="114">
        <f>BG3/BF3-1</f>
        <v>0.24502424549468</v>
      </c>
      <c r="BI3" s="29"/>
      <c r="BJ3" s="29"/>
      <c r="BK3" s="114" t="e">
        <f t="shared" ref="BK3:BK23" si="10">BJ3/BI3-1</f>
        <v>#DIV/0!</v>
      </c>
      <c r="BL3" s="29">
        <f>BI3+BF3</f>
        <v>27634</v>
      </c>
      <c r="BM3" s="29">
        <f>BJ3+BG3</f>
        <v>34405</v>
      </c>
      <c r="BN3" s="114">
        <f t="shared" ref="BN3:BN23" si="11">BM3/BL3-1</f>
        <v>0.24502424549468</v>
      </c>
      <c r="BO3" s="44"/>
      <c r="BP3" s="80">
        <v>2148</v>
      </c>
      <c r="BQ3" s="80">
        <v>29782</v>
      </c>
      <c r="BR3" s="89">
        <f t="shared" ref="BR3:BR23" si="12">BM3/10000/I3</f>
        <v>0.229366666666667</v>
      </c>
    </row>
    <row r="4" spans="1:71">
      <c r="A4" s="29" t="s">
        <v>28</v>
      </c>
      <c r="B4" s="187" t="s">
        <v>28</v>
      </c>
      <c r="C4" s="111" t="s">
        <v>139</v>
      </c>
      <c r="D4" s="188" t="s">
        <v>67</v>
      </c>
      <c r="E4" s="188" t="s">
        <v>67</v>
      </c>
      <c r="F4" s="263" t="s">
        <v>140</v>
      </c>
      <c r="G4" s="264" t="s">
        <v>140</v>
      </c>
      <c r="H4" s="54" t="s">
        <v>141</v>
      </c>
      <c r="I4" s="54"/>
      <c r="J4" s="80">
        <v>2000</v>
      </c>
      <c r="K4" s="80">
        <v>3500</v>
      </c>
      <c r="L4" s="114">
        <f t="shared" ref="L4:L23" si="13">K4/J4-1</f>
        <v>0.75</v>
      </c>
      <c r="M4" s="44"/>
      <c r="N4" s="44">
        <v>10000</v>
      </c>
      <c r="O4" s="114" t="e">
        <f t="shared" ref="O4:O23" si="14">N4/M4-1</f>
        <v>#DIV/0!</v>
      </c>
      <c r="P4" s="44">
        <f t="shared" ref="P4:P22" si="15">M4+J4</f>
        <v>2000</v>
      </c>
      <c r="Q4" s="44">
        <f t="shared" ref="Q4:Q22" si="16">N4+K4</f>
        <v>13500</v>
      </c>
      <c r="R4" s="114">
        <f t="shared" ref="R4:R23" si="17">Q4/P4-1</f>
        <v>5.75</v>
      </c>
      <c r="S4" s="29"/>
      <c r="T4" s="29">
        <v>13017.06</v>
      </c>
      <c r="U4" s="114" t="e">
        <f t="shared" si="0"/>
        <v>#DIV/0!</v>
      </c>
      <c r="V4" s="29">
        <f t="shared" ref="V4:V21" si="18">S4+P4</f>
        <v>2000</v>
      </c>
      <c r="W4" s="29">
        <f t="shared" ref="W4:W21" si="19">Q4+T4</f>
        <v>26517.06</v>
      </c>
      <c r="X4" s="114">
        <f t="shared" si="1"/>
        <v>12.25853</v>
      </c>
      <c r="Y4" s="46">
        <v>58500</v>
      </c>
      <c r="Z4" s="46"/>
      <c r="AA4" s="114">
        <f t="shared" si="2"/>
        <v>-1</v>
      </c>
      <c r="AB4" s="29">
        <f t="shared" ref="AB4:AB21" si="20">V4+Y4</f>
        <v>60500</v>
      </c>
      <c r="AC4" s="29">
        <f t="shared" ref="AC4:AC21" si="21">W4+Z4</f>
        <v>26517.06</v>
      </c>
      <c r="AD4" s="114">
        <f t="shared" si="3"/>
        <v>-0.561701487603306</v>
      </c>
      <c r="AE4" s="29">
        <v>47100</v>
      </c>
      <c r="AF4" s="29"/>
      <c r="AG4" s="114">
        <f t="shared" si="4"/>
        <v>-1</v>
      </c>
      <c r="AH4" s="29">
        <f t="shared" ref="AH4:AH22" si="22">AE4+AB4</f>
        <v>107600</v>
      </c>
      <c r="AI4" s="29">
        <f t="shared" ref="AI4:AI22" si="23">AF4+AC4</f>
        <v>26517.06</v>
      </c>
      <c r="AJ4" s="114">
        <f t="shared" si="5"/>
        <v>-0.753558921933085</v>
      </c>
      <c r="AK4" s="143">
        <v>104700</v>
      </c>
      <c r="AL4" s="143"/>
      <c r="AM4" s="114">
        <f t="shared" si="6"/>
        <v>-1</v>
      </c>
      <c r="AN4" s="143">
        <f t="shared" ref="AN4:AN23" si="24">AH4+AK4</f>
        <v>212300</v>
      </c>
      <c r="AO4" s="143">
        <f t="shared" ref="AO4:AO23" si="25">AI4+AL4</f>
        <v>26517.06</v>
      </c>
      <c r="AP4" s="114">
        <f>AO4/AN4-1</f>
        <v>-0.875096278850683</v>
      </c>
      <c r="AQ4" s="46">
        <v>2311</v>
      </c>
      <c r="AR4" s="46"/>
      <c r="AS4" s="114">
        <f t="shared" si="7"/>
        <v>-1</v>
      </c>
      <c r="AT4" s="46">
        <f t="shared" ref="AT4:AT22" si="26">AQ4+AN4</f>
        <v>214611</v>
      </c>
      <c r="AU4" s="46">
        <f t="shared" ref="AU4:AU22" si="27">AR4+AO4</f>
        <v>26517.06</v>
      </c>
      <c r="AV4" s="114">
        <f t="shared" si="8"/>
        <v>-0.876441282133721</v>
      </c>
      <c r="AW4" s="189"/>
      <c r="AX4" s="189"/>
      <c r="AY4" s="114" t="e">
        <f t="shared" ref="AY4:AY23" si="28">AX4/AW4-1</f>
        <v>#DIV/0!</v>
      </c>
      <c r="AZ4" s="189">
        <f t="shared" ref="AZ4:AZ22" si="29">AW4+AT4</f>
        <v>214611</v>
      </c>
      <c r="BA4" s="189">
        <f t="shared" ref="BA4:BA22" si="30">AX4+AU4</f>
        <v>26517.06</v>
      </c>
      <c r="BB4" s="114">
        <f t="shared" si="9"/>
        <v>-0.876441282133721</v>
      </c>
      <c r="BC4" s="36">
        <v>91007</v>
      </c>
      <c r="BD4" s="36"/>
      <c r="BE4" s="114">
        <f t="shared" ref="BE4:BE23" si="31">BD4/BC4-1</f>
        <v>-1</v>
      </c>
      <c r="BF4" s="36">
        <f t="shared" ref="BF4:BF22" si="32">BC4+AZ4</f>
        <v>305618</v>
      </c>
      <c r="BG4" s="36">
        <f t="shared" ref="BG4:BG22" si="33">BD4+BA4</f>
        <v>26517.06</v>
      </c>
      <c r="BH4" s="114">
        <f t="shared" ref="BH4:BH23" si="34">BG4/BF4-1</f>
        <v>-0.913234626232748</v>
      </c>
      <c r="BI4" s="29">
        <v>40000</v>
      </c>
      <c r="BJ4" s="29"/>
      <c r="BK4" s="114">
        <f t="shared" si="10"/>
        <v>-1</v>
      </c>
      <c r="BL4" s="29">
        <f t="shared" ref="BL4:BL22" si="35">BI4+BF4</f>
        <v>345618</v>
      </c>
      <c r="BM4" s="29">
        <f t="shared" ref="BM4:BM22" si="36">BJ4+BG4</f>
        <v>26517.06</v>
      </c>
      <c r="BN4" s="114">
        <f t="shared" si="11"/>
        <v>-0.923276391854591</v>
      </c>
      <c r="BO4" s="44">
        <v>109300</v>
      </c>
      <c r="BP4" s="80">
        <v>113080</v>
      </c>
      <c r="BQ4" s="80">
        <v>567998</v>
      </c>
      <c r="BR4" s="89" t="e">
        <f t="shared" si="12"/>
        <v>#DIV/0!</v>
      </c>
    </row>
    <row r="5" s="7" customFormat="1" spans="1:71">
      <c r="A5" s="29" t="s">
        <v>28</v>
      </c>
      <c r="B5" s="187" t="s">
        <v>28</v>
      </c>
      <c r="C5" s="262" t="s">
        <v>142</v>
      </c>
      <c r="D5" s="190" t="s">
        <v>58</v>
      </c>
      <c r="E5" s="188" t="s">
        <v>58</v>
      </c>
      <c r="F5" s="188" t="s">
        <v>143</v>
      </c>
      <c r="G5" s="112" t="s">
        <v>82</v>
      </c>
      <c r="H5" s="54" t="s">
        <v>144</v>
      </c>
      <c r="I5" s="54">
        <v>600</v>
      </c>
      <c r="J5" s="80">
        <v>200000</v>
      </c>
      <c r="K5" s="80">
        <v>400000</v>
      </c>
      <c r="L5" s="114">
        <f t="shared" si="13"/>
        <v>1</v>
      </c>
      <c r="M5" s="44">
        <v>300000</v>
      </c>
      <c r="N5" s="44">
        <v>300000</v>
      </c>
      <c r="O5" s="114">
        <f t="shared" si="14"/>
        <v>0</v>
      </c>
      <c r="P5" s="44">
        <f t="shared" si="15"/>
        <v>500000</v>
      </c>
      <c r="Q5" s="44">
        <f t="shared" si="16"/>
        <v>700000</v>
      </c>
      <c r="R5" s="114">
        <f t="shared" si="17"/>
        <v>0.4</v>
      </c>
      <c r="S5" s="29"/>
      <c r="T5" s="29">
        <f>40000+170000</f>
        <v>210000</v>
      </c>
      <c r="U5" s="114" t="e">
        <f t="shared" si="0"/>
        <v>#DIV/0!</v>
      </c>
      <c r="V5" s="29">
        <f t="shared" si="18"/>
        <v>500000</v>
      </c>
      <c r="W5" s="29">
        <f t="shared" si="19"/>
        <v>910000</v>
      </c>
      <c r="X5" s="114">
        <f t="shared" si="1"/>
        <v>0.82</v>
      </c>
      <c r="Y5" s="46">
        <v>250000</v>
      </c>
      <c r="Z5" s="46">
        <v>400000</v>
      </c>
      <c r="AA5" s="114">
        <f t="shared" si="2"/>
        <v>0.6</v>
      </c>
      <c r="AB5" s="29">
        <f t="shared" si="20"/>
        <v>750000</v>
      </c>
      <c r="AC5" s="29">
        <f t="shared" si="21"/>
        <v>1310000</v>
      </c>
      <c r="AD5" s="114">
        <f t="shared" si="3"/>
        <v>0.746666666666667</v>
      </c>
      <c r="AE5" s="29">
        <v>420000</v>
      </c>
      <c r="AF5" s="29">
        <v>180000</v>
      </c>
      <c r="AG5" s="114">
        <f t="shared" si="4"/>
        <v>-0.571428571428571</v>
      </c>
      <c r="AH5" s="29">
        <f t="shared" si="22"/>
        <v>1170000</v>
      </c>
      <c r="AI5" s="29">
        <f t="shared" si="23"/>
        <v>1490000</v>
      </c>
      <c r="AJ5" s="114">
        <f t="shared" si="5"/>
        <v>0.273504273504273</v>
      </c>
      <c r="AK5" s="143">
        <v>150000</v>
      </c>
      <c r="AL5" s="143">
        <v>200000</v>
      </c>
      <c r="AM5" s="114">
        <f t="shared" si="6"/>
        <v>0.333333333333333</v>
      </c>
      <c r="AN5" s="143">
        <f t="shared" si="24"/>
        <v>1320000</v>
      </c>
      <c r="AO5" s="143">
        <f t="shared" si="25"/>
        <v>1690000</v>
      </c>
      <c r="AP5" s="114">
        <f t="shared" ref="AP4:AP24" si="37">AO5/AN5-1</f>
        <v>0.28030303030303</v>
      </c>
      <c r="AQ5" s="46">
        <v>200000</v>
      </c>
      <c r="AR5" s="46">
        <v>250000</v>
      </c>
      <c r="AS5" s="114">
        <f t="shared" si="7"/>
        <v>0.25</v>
      </c>
      <c r="AT5" s="46">
        <f t="shared" si="26"/>
        <v>1520000</v>
      </c>
      <c r="AU5" s="46">
        <f t="shared" si="27"/>
        <v>1940000</v>
      </c>
      <c r="AV5" s="114">
        <f t="shared" si="8"/>
        <v>0.276315789473684</v>
      </c>
      <c r="AW5" s="189">
        <v>250000</v>
      </c>
      <c r="AX5" s="189">
        <v>200000</v>
      </c>
      <c r="AY5" s="114">
        <f t="shared" si="28"/>
        <v>-0.2</v>
      </c>
      <c r="AZ5" s="189">
        <f t="shared" si="29"/>
        <v>1770000</v>
      </c>
      <c r="BA5" s="189">
        <f t="shared" si="30"/>
        <v>2140000</v>
      </c>
      <c r="BB5" s="114">
        <f t="shared" si="9"/>
        <v>0.209039548022599</v>
      </c>
      <c r="BC5" s="36">
        <v>259764.14</v>
      </c>
      <c r="BD5" s="36">
        <v>160000</v>
      </c>
      <c r="BE5" s="114">
        <f t="shared" si="31"/>
        <v>-0.384056629217566</v>
      </c>
      <c r="BF5" s="36">
        <f t="shared" si="32"/>
        <v>2029764.14</v>
      </c>
      <c r="BG5" s="36">
        <f t="shared" si="33"/>
        <v>2300000</v>
      </c>
      <c r="BH5" s="114">
        <f t="shared" si="34"/>
        <v>0.133136582066131</v>
      </c>
      <c r="BI5" s="29">
        <v>440000</v>
      </c>
      <c r="BJ5" s="29">
        <v>150000</v>
      </c>
      <c r="BK5" s="114">
        <f t="shared" si="10"/>
        <v>-0.659090909090909</v>
      </c>
      <c r="BL5" s="29">
        <f t="shared" si="35"/>
        <v>2469764.14</v>
      </c>
      <c r="BM5" s="29">
        <f t="shared" si="36"/>
        <v>2450000</v>
      </c>
      <c r="BN5" s="114">
        <f t="shared" si="11"/>
        <v>-0.00800244026540919</v>
      </c>
      <c r="BO5" s="44">
        <v>600000</v>
      </c>
      <c r="BP5" s="80">
        <v>900000</v>
      </c>
      <c r="BQ5" s="80">
        <v>3969764.14</v>
      </c>
      <c r="BR5" s="89">
        <f t="shared" si="12"/>
        <v>0.408333333333333</v>
      </c>
      <c r="BS5" s="7">
        <v>170000</v>
      </c>
    </row>
    <row r="6" s="7" customFormat="1" ht="12" customHeight="1" spans="1:71">
      <c r="A6" s="108" t="s">
        <v>28</v>
      </c>
      <c r="B6" s="110" t="s">
        <v>28</v>
      </c>
      <c r="C6" s="111" t="s">
        <v>145</v>
      </c>
      <c r="D6" s="190" t="s">
        <v>63</v>
      </c>
      <c r="E6" s="190" t="s">
        <v>63</v>
      </c>
      <c r="F6" s="265" t="s">
        <v>146</v>
      </c>
      <c r="G6" s="266" t="s">
        <v>146</v>
      </c>
      <c r="H6" s="112" t="s">
        <v>141</v>
      </c>
      <c r="I6" s="112">
        <v>70</v>
      </c>
      <c r="J6" s="87"/>
      <c r="K6" s="87">
        <v>23268</v>
      </c>
      <c r="L6" s="191" t="e">
        <f t="shared" si="13"/>
        <v>#DIV/0!</v>
      </c>
      <c r="M6" s="176"/>
      <c r="N6" s="176">
        <v>20000</v>
      </c>
      <c r="O6" s="191" t="e">
        <f t="shared" si="14"/>
        <v>#DIV/0!</v>
      </c>
      <c r="P6" s="176">
        <f t="shared" si="15"/>
        <v>0</v>
      </c>
      <c r="Q6" s="176">
        <f t="shared" si="16"/>
        <v>43268</v>
      </c>
      <c r="R6" s="191" t="e">
        <f t="shared" si="17"/>
        <v>#DIV/0!</v>
      </c>
      <c r="S6" s="108">
        <f>138700+11340</f>
        <v>150040</v>
      </c>
      <c r="T6" s="29">
        <f>505+110381</f>
        <v>110886</v>
      </c>
      <c r="U6" s="114">
        <f t="shared" si="0"/>
        <v>-0.260957078112503</v>
      </c>
      <c r="V6" s="29">
        <f t="shared" si="18"/>
        <v>150040</v>
      </c>
      <c r="W6" s="29">
        <f t="shared" si="19"/>
        <v>154154</v>
      </c>
      <c r="X6" s="114">
        <f t="shared" si="1"/>
        <v>0.0274193548387096</v>
      </c>
      <c r="Y6" s="36"/>
      <c r="Z6" s="36"/>
      <c r="AA6" s="114" t="e">
        <f t="shared" si="2"/>
        <v>#DIV/0!</v>
      </c>
      <c r="AB6" s="29">
        <f t="shared" si="20"/>
        <v>150040</v>
      </c>
      <c r="AC6" s="29">
        <f t="shared" si="21"/>
        <v>154154</v>
      </c>
      <c r="AD6" s="114">
        <f t="shared" si="3"/>
        <v>0.0274193548387096</v>
      </c>
      <c r="AE6" s="108">
        <v>39000</v>
      </c>
      <c r="AF6" s="29">
        <v>31123</v>
      </c>
      <c r="AG6" s="114">
        <f t="shared" si="4"/>
        <v>-0.201974358974359</v>
      </c>
      <c r="AH6" s="29">
        <f t="shared" si="22"/>
        <v>189040</v>
      </c>
      <c r="AI6" s="29">
        <f t="shared" si="23"/>
        <v>185277</v>
      </c>
      <c r="AJ6" s="114">
        <f t="shared" si="5"/>
        <v>-0.0199058400338553</v>
      </c>
      <c r="AK6" s="143">
        <f>26000+115000</f>
        <v>141000</v>
      </c>
      <c r="AL6" s="143">
        <v>25000</v>
      </c>
      <c r="AM6" s="114">
        <f t="shared" si="6"/>
        <v>-0.822695035460993</v>
      </c>
      <c r="AN6" s="143">
        <f t="shared" si="24"/>
        <v>330040</v>
      </c>
      <c r="AO6" s="143">
        <f t="shared" si="25"/>
        <v>210277</v>
      </c>
      <c r="AP6" s="114">
        <f t="shared" si="37"/>
        <v>-0.362874197067022</v>
      </c>
      <c r="AQ6" s="36">
        <v>2746.26</v>
      </c>
      <c r="AR6" s="46">
        <v>26000</v>
      </c>
      <c r="AS6" s="114">
        <f t="shared" si="7"/>
        <v>8.46742114730579</v>
      </c>
      <c r="AT6" s="46">
        <f t="shared" si="26"/>
        <v>332786.26</v>
      </c>
      <c r="AU6" s="46">
        <f t="shared" si="27"/>
        <v>236277</v>
      </c>
      <c r="AV6" s="114">
        <f t="shared" si="8"/>
        <v>-0.290003739938061</v>
      </c>
      <c r="AW6" s="192"/>
      <c r="AX6" s="189">
        <v>81471</v>
      </c>
      <c r="AY6" s="114" t="e">
        <f t="shared" si="28"/>
        <v>#DIV/0!</v>
      </c>
      <c r="AZ6" s="189">
        <f t="shared" si="29"/>
        <v>332786.26</v>
      </c>
      <c r="BA6" s="189">
        <f t="shared" si="30"/>
        <v>317748</v>
      </c>
      <c r="BB6" s="114">
        <f t="shared" si="9"/>
        <v>-0.0451889450003135</v>
      </c>
      <c r="BC6" s="36"/>
      <c r="BD6" s="36">
        <v>52000</v>
      </c>
      <c r="BE6" s="114" t="e">
        <f t="shared" si="31"/>
        <v>#DIV/0!</v>
      </c>
      <c r="BF6" s="36">
        <f t="shared" si="32"/>
        <v>332786.26</v>
      </c>
      <c r="BG6" s="36">
        <f t="shared" si="33"/>
        <v>369748</v>
      </c>
      <c r="BH6" s="114">
        <f t="shared" si="34"/>
        <v>0.111067506212546</v>
      </c>
      <c r="BI6" s="108">
        <f>-52392+87495</f>
        <v>35103</v>
      </c>
      <c r="BJ6" s="29"/>
      <c r="BK6" s="114">
        <f t="shared" si="10"/>
        <v>-1</v>
      </c>
      <c r="BL6" s="29">
        <f t="shared" si="35"/>
        <v>367889.26</v>
      </c>
      <c r="BM6" s="29">
        <f t="shared" si="36"/>
        <v>369748</v>
      </c>
      <c r="BN6" s="114">
        <f t="shared" si="11"/>
        <v>0.00505244431435692</v>
      </c>
      <c r="BO6" s="176">
        <f>-7894+13102+4456</f>
        <v>9664</v>
      </c>
      <c r="BP6" s="87">
        <v>41447</v>
      </c>
      <c r="BQ6" s="87">
        <v>419000.26</v>
      </c>
      <c r="BR6" s="89">
        <f t="shared" si="12"/>
        <v>0.528211428571429</v>
      </c>
    </row>
    <row r="7" s="7" customFormat="1" spans="1:71">
      <c r="A7" s="29" t="s">
        <v>28</v>
      </c>
      <c r="B7" s="187" t="s">
        <v>28</v>
      </c>
      <c r="C7" s="111" t="s">
        <v>147</v>
      </c>
      <c r="D7" s="190" t="s">
        <v>86</v>
      </c>
      <c r="E7" s="188" t="s">
        <v>86</v>
      </c>
      <c r="F7" s="263" t="s">
        <v>137</v>
      </c>
      <c r="G7" s="266" t="s">
        <v>137</v>
      </c>
      <c r="H7" s="54" t="s">
        <v>138</v>
      </c>
      <c r="I7" s="54">
        <v>75</v>
      </c>
      <c r="J7" s="80">
        <v>68740</v>
      </c>
      <c r="K7" s="80">
        <v>41556</v>
      </c>
      <c r="L7" s="114">
        <f t="shared" si="13"/>
        <v>-0.395461157986616</v>
      </c>
      <c r="M7" s="44">
        <v>17488</v>
      </c>
      <c r="N7" s="44">
        <v>23930</v>
      </c>
      <c r="O7" s="114">
        <f t="shared" si="14"/>
        <v>0.368366880146386</v>
      </c>
      <c r="P7" s="44">
        <f t="shared" si="15"/>
        <v>86228</v>
      </c>
      <c r="Q7" s="44">
        <f t="shared" si="16"/>
        <v>65486</v>
      </c>
      <c r="R7" s="114">
        <f t="shared" si="17"/>
        <v>-0.240548313772788</v>
      </c>
      <c r="S7" s="29">
        <v>42550</v>
      </c>
      <c r="T7" s="29">
        <v>28616</v>
      </c>
      <c r="U7" s="114">
        <f t="shared" si="0"/>
        <v>-0.327473560517039</v>
      </c>
      <c r="V7" s="29">
        <f t="shared" si="18"/>
        <v>128778</v>
      </c>
      <c r="W7" s="29">
        <f t="shared" si="19"/>
        <v>94102</v>
      </c>
      <c r="X7" s="114">
        <f t="shared" si="1"/>
        <v>-0.269269595738402</v>
      </c>
      <c r="Y7" s="46">
        <v>48590</v>
      </c>
      <c r="Z7" s="46">
        <v>5936</v>
      </c>
      <c r="AA7" s="114">
        <f t="shared" si="2"/>
        <v>-0.877834945462029</v>
      </c>
      <c r="AB7" s="29">
        <f t="shared" si="20"/>
        <v>177368</v>
      </c>
      <c r="AC7" s="29">
        <f t="shared" si="21"/>
        <v>100038</v>
      </c>
      <c r="AD7" s="114">
        <f t="shared" si="3"/>
        <v>-0.435986198186821</v>
      </c>
      <c r="AE7" s="29">
        <v>76270</v>
      </c>
      <c r="AF7" s="29">
        <v>33015</v>
      </c>
      <c r="AG7" s="114">
        <f t="shared" si="4"/>
        <v>-0.567129933132293</v>
      </c>
      <c r="AH7" s="29">
        <f t="shared" si="22"/>
        <v>253638</v>
      </c>
      <c r="AI7" s="29">
        <f t="shared" si="23"/>
        <v>133053</v>
      </c>
      <c r="AJ7" s="114">
        <f t="shared" si="5"/>
        <v>-0.475421663946254</v>
      </c>
      <c r="AK7" s="143">
        <v>39070</v>
      </c>
      <c r="AL7" s="143">
        <f>12199-7600</f>
        <v>4599</v>
      </c>
      <c r="AM7" s="114">
        <f t="shared" si="6"/>
        <v>-0.882288200665472</v>
      </c>
      <c r="AN7" s="143">
        <f t="shared" si="24"/>
        <v>292708</v>
      </c>
      <c r="AO7" s="143">
        <f t="shared" si="25"/>
        <v>137652</v>
      </c>
      <c r="AP7" s="114">
        <f t="shared" si="37"/>
        <v>-0.529729286524454</v>
      </c>
      <c r="AQ7" s="46">
        <v>10450</v>
      </c>
      <c r="AR7" s="46">
        <v>-4599</v>
      </c>
      <c r="AS7" s="114">
        <f t="shared" si="7"/>
        <v>-1.4400956937799</v>
      </c>
      <c r="AT7" s="46">
        <f t="shared" si="26"/>
        <v>303158</v>
      </c>
      <c r="AU7" s="46">
        <f t="shared" si="27"/>
        <v>133053</v>
      </c>
      <c r="AV7" s="114">
        <f t="shared" si="8"/>
        <v>-0.561110048225678</v>
      </c>
      <c r="AW7" s="189">
        <v>21056</v>
      </c>
      <c r="AX7" s="189">
        <v>0</v>
      </c>
      <c r="AY7" s="114">
        <f t="shared" si="28"/>
        <v>-1</v>
      </c>
      <c r="AZ7" s="189">
        <f t="shared" si="29"/>
        <v>324214</v>
      </c>
      <c r="BA7" s="189">
        <f t="shared" si="30"/>
        <v>133053</v>
      </c>
      <c r="BB7" s="114">
        <f t="shared" si="9"/>
        <v>-0.589613650243358</v>
      </c>
      <c r="BC7" s="36">
        <v>106142</v>
      </c>
      <c r="BD7" s="36"/>
      <c r="BE7" s="114">
        <f t="shared" si="31"/>
        <v>-1</v>
      </c>
      <c r="BF7" s="36">
        <f t="shared" si="32"/>
        <v>430356</v>
      </c>
      <c r="BG7" s="36">
        <f t="shared" si="33"/>
        <v>133053</v>
      </c>
      <c r="BH7" s="114">
        <f t="shared" si="34"/>
        <v>-0.690830382288152</v>
      </c>
      <c r="BI7" s="29">
        <v>61139</v>
      </c>
      <c r="BJ7" s="29"/>
      <c r="BK7" s="114">
        <f t="shared" si="10"/>
        <v>-1</v>
      </c>
      <c r="BL7" s="29">
        <f t="shared" si="35"/>
        <v>491495</v>
      </c>
      <c r="BM7" s="29">
        <f t="shared" si="36"/>
        <v>133053</v>
      </c>
      <c r="BN7" s="114">
        <f t="shared" si="11"/>
        <v>-0.729289209452792</v>
      </c>
      <c r="BO7" s="44">
        <v>25316</v>
      </c>
      <c r="BP7" s="80">
        <v>115791</v>
      </c>
      <c r="BQ7" s="80">
        <v>632602</v>
      </c>
      <c r="BR7" s="89">
        <f t="shared" si="12"/>
        <v>0.177404</v>
      </c>
    </row>
    <row r="8" spans="1:71">
      <c r="A8" s="29" t="s">
        <v>28</v>
      </c>
      <c r="B8" s="187" t="s">
        <v>28</v>
      </c>
      <c r="C8" s="111" t="s">
        <v>148</v>
      </c>
      <c r="D8" s="188" t="s">
        <v>90</v>
      </c>
      <c r="E8" s="188" t="s">
        <v>90</v>
      </c>
      <c r="F8" s="188" t="s">
        <v>143</v>
      </c>
      <c r="G8" s="54" t="s">
        <v>82</v>
      </c>
      <c r="H8" s="54" t="s">
        <v>141</v>
      </c>
      <c r="I8" s="54"/>
      <c r="J8" s="80">
        <v>216965.28</v>
      </c>
      <c r="K8" s="80">
        <v>4938</v>
      </c>
      <c r="L8" s="114">
        <f t="shared" si="13"/>
        <v>-0.977240598127037</v>
      </c>
      <c r="M8" s="44">
        <v>59548</v>
      </c>
      <c r="N8" s="44"/>
      <c r="O8" s="114">
        <f t="shared" si="14"/>
        <v>-1</v>
      </c>
      <c r="P8" s="44">
        <f t="shared" si="15"/>
        <v>276513.28</v>
      </c>
      <c r="Q8" s="44">
        <f t="shared" si="16"/>
        <v>4938</v>
      </c>
      <c r="R8" s="114">
        <f t="shared" si="17"/>
        <v>-0.98214190652977</v>
      </c>
      <c r="S8" s="29">
        <v>97829.46</v>
      </c>
      <c r="T8" s="29">
        <v>2998</v>
      </c>
      <c r="U8" s="114">
        <f t="shared" si="0"/>
        <v>-0.969354834423087</v>
      </c>
      <c r="V8" s="29">
        <f t="shared" si="18"/>
        <v>374342.74</v>
      </c>
      <c r="W8" s="29">
        <f t="shared" si="19"/>
        <v>7936</v>
      </c>
      <c r="X8" s="114">
        <f t="shared" si="1"/>
        <v>-0.978800176544094</v>
      </c>
      <c r="Y8" s="46">
        <v>14652</v>
      </c>
      <c r="Z8" s="46">
        <v>2400</v>
      </c>
      <c r="AA8" s="114">
        <f t="shared" si="2"/>
        <v>-0.836199836199836</v>
      </c>
      <c r="AB8" s="29">
        <f t="shared" si="20"/>
        <v>388994.74</v>
      </c>
      <c r="AC8" s="29">
        <f t="shared" si="21"/>
        <v>10336</v>
      </c>
      <c r="AD8" s="114">
        <f t="shared" si="3"/>
        <v>-0.973428946622774</v>
      </c>
      <c r="AE8" s="29">
        <v>2100</v>
      </c>
      <c r="AF8" s="29">
        <v>11730</v>
      </c>
      <c r="AG8" s="114">
        <f t="shared" si="4"/>
        <v>4.58571428571429</v>
      </c>
      <c r="AH8" s="29">
        <f t="shared" si="22"/>
        <v>391094.74</v>
      </c>
      <c r="AI8" s="29">
        <f t="shared" si="23"/>
        <v>22066</v>
      </c>
      <c r="AJ8" s="114">
        <f t="shared" si="5"/>
        <v>-0.943578888327672</v>
      </c>
      <c r="AK8" s="143"/>
      <c r="AL8" s="143">
        <f>2998+7600</f>
        <v>10598</v>
      </c>
      <c r="AM8" s="114" t="e">
        <f t="shared" si="6"/>
        <v>#DIV/0!</v>
      </c>
      <c r="AN8" s="143">
        <f t="shared" si="24"/>
        <v>391094.74</v>
      </c>
      <c r="AO8" s="143">
        <f t="shared" si="25"/>
        <v>32664</v>
      </c>
      <c r="AP8" s="114">
        <f t="shared" si="37"/>
        <v>-0.916480594957631</v>
      </c>
      <c r="AQ8" s="46">
        <v>18196</v>
      </c>
      <c r="AR8" s="46">
        <v>8400</v>
      </c>
      <c r="AS8" s="114">
        <f t="shared" si="7"/>
        <v>-0.538360079138272</v>
      </c>
      <c r="AT8" s="46">
        <f t="shared" si="26"/>
        <v>409290.74</v>
      </c>
      <c r="AU8" s="46">
        <f t="shared" si="27"/>
        <v>41064</v>
      </c>
      <c r="AV8" s="114">
        <f t="shared" si="8"/>
        <v>-0.899670341918803</v>
      </c>
      <c r="AW8" s="189">
        <v>3666</v>
      </c>
      <c r="AX8" s="189">
        <v>8876</v>
      </c>
      <c r="AY8" s="114">
        <f t="shared" si="28"/>
        <v>1.42116748499727</v>
      </c>
      <c r="AZ8" s="189">
        <f t="shared" si="29"/>
        <v>412956.74</v>
      </c>
      <c r="BA8" s="189">
        <f t="shared" si="30"/>
        <v>49940</v>
      </c>
      <c r="BB8" s="114">
        <f t="shared" si="9"/>
        <v>-0.879067235953093</v>
      </c>
      <c r="BC8" s="36">
        <v>21554</v>
      </c>
      <c r="BD8" s="36"/>
      <c r="BE8" s="114">
        <f t="shared" si="31"/>
        <v>-1</v>
      </c>
      <c r="BF8" s="36">
        <f t="shared" si="32"/>
        <v>434510.74</v>
      </c>
      <c r="BG8" s="36">
        <f t="shared" si="33"/>
        <v>49940</v>
      </c>
      <c r="BH8" s="114">
        <f t="shared" si="34"/>
        <v>-0.885066132082259</v>
      </c>
      <c r="BI8" s="29">
        <v>2796</v>
      </c>
      <c r="BJ8" s="29">
        <v>21969</v>
      </c>
      <c r="BK8" s="114">
        <f t="shared" si="10"/>
        <v>6.85729613733906</v>
      </c>
      <c r="BL8" s="29">
        <f t="shared" si="35"/>
        <v>437306.74</v>
      </c>
      <c r="BM8" s="29">
        <f t="shared" si="36"/>
        <v>71909</v>
      </c>
      <c r="BN8" s="114">
        <f t="shared" si="11"/>
        <v>-0.835563933910554</v>
      </c>
      <c r="BO8" s="44">
        <v>796</v>
      </c>
      <c r="BP8" s="80">
        <v>8848</v>
      </c>
      <c r="BQ8" s="80">
        <v>446950.74</v>
      </c>
      <c r="BR8" s="89" t="e">
        <f t="shared" si="12"/>
        <v>#DIV/0!</v>
      </c>
    </row>
    <row r="9" spans="1:71">
      <c r="A9" s="29" t="s">
        <v>28</v>
      </c>
      <c r="B9" s="187" t="s">
        <v>28</v>
      </c>
      <c r="C9" s="111" t="s">
        <v>149</v>
      </c>
      <c r="D9" s="188" t="s">
        <v>63</v>
      </c>
      <c r="E9" s="188" t="s">
        <v>63</v>
      </c>
      <c r="F9" s="188" t="s">
        <v>143</v>
      </c>
      <c r="G9" s="264" t="s">
        <v>150</v>
      </c>
      <c r="H9" s="54" t="s">
        <v>141</v>
      </c>
      <c r="I9" s="54"/>
      <c r="J9" s="80">
        <v>4521</v>
      </c>
      <c r="K9" s="80"/>
      <c r="L9" s="114">
        <f t="shared" si="13"/>
        <v>-1</v>
      </c>
      <c r="M9" s="44"/>
      <c r="N9" s="44"/>
      <c r="O9" s="114" t="e">
        <f t="shared" si="14"/>
        <v>#DIV/0!</v>
      </c>
      <c r="P9" s="44">
        <f t="shared" si="15"/>
        <v>4521</v>
      </c>
      <c r="Q9" s="44">
        <f t="shared" si="16"/>
        <v>0</v>
      </c>
      <c r="R9" s="114">
        <f t="shared" si="17"/>
        <v>-1</v>
      </c>
      <c r="S9" s="29"/>
      <c r="T9" s="29"/>
      <c r="U9" s="114" t="e">
        <f t="shared" si="0"/>
        <v>#DIV/0!</v>
      </c>
      <c r="V9" s="29">
        <f t="shared" si="18"/>
        <v>4521</v>
      </c>
      <c r="W9" s="29">
        <f t="shared" si="19"/>
        <v>0</v>
      </c>
      <c r="X9" s="114">
        <f t="shared" si="1"/>
        <v>-1</v>
      </c>
      <c r="Y9" s="46">
        <v>3305</v>
      </c>
      <c r="Z9" s="46"/>
      <c r="AA9" s="114">
        <f t="shared" si="2"/>
        <v>-1</v>
      </c>
      <c r="AB9" s="29">
        <f t="shared" si="20"/>
        <v>7826</v>
      </c>
      <c r="AC9" s="29">
        <f t="shared" si="21"/>
        <v>0</v>
      </c>
      <c r="AD9" s="114">
        <f t="shared" si="3"/>
        <v>-1</v>
      </c>
      <c r="AE9" s="29"/>
      <c r="AF9" s="29"/>
      <c r="AG9" s="114" t="e">
        <f t="shared" si="4"/>
        <v>#DIV/0!</v>
      </c>
      <c r="AH9" s="29">
        <f t="shared" si="22"/>
        <v>7826</v>
      </c>
      <c r="AI9" s="29">
        <f t="shared" si="23"/>
        <v>0</v>
      </c>
      <c r="AJ9" s="114">
        <f t="shared" si="5"/>
        <v>-1</v>
      </c>
      <c r="AK9" s="143"/>
      <c r="AL9" s="143"/>
      <c r="AM9" s="114" t="e">
        <f t="shared" si="6"/>
        <v>#DIV/0!</v>
      </c>
      <c r="AN9" s="143">
        <f t="shared" si="24"/>
        <v>7826</v>
      </c>
      <c r="AO9" s="143">
        <f t="shared" si="25"/>
        <v>0</v>
      </c>
      <c r="AP9" s="114">
        <f t="shared" si="37"/>
        <v>-1</v>
      </c>
      <c r="AQ9" s="46"/>
      <c r="AR9" s="46"/>
      <c r="AS9" s="114" t="e">
        <f t="shared" si="7"/>
        <v>#DIV/0!</v>
      </c>
      <c r="AT9" s="46">
        <f t="shared" si="26"/>
        <v>7826</v>
      </c>
      <c r="AU9" s="46">
        <f t="shared" si="27"/>
        <v>0</v>
      </c>
      <c r="AV9" s="114">
        <f t="shared" si="8"/>
        <v>-1</v>
      </c>
      <c r="AW9" s="189"/>
      <c r="AX9" s="189"/>
      <c r="AY9" s="114" t="e">
        <f t="shared" si="28"/>
        <v>#DIV/0!</v>
      </c>
      <c r="AZ9" s="189">
        <f t="shared" si="29"/>
        <v>7826</v>
      </c>
      <c r="BA9" s="189">
        <f t="shared" si="30"/>
        <v>0</v>
      </c>
      <c r="BB9" s="114">
        <f t="shared" si="9"/>
        <v>-1</v>
      </c>
      <c r="BC9" s="36"/>
      <c r="BD9" s="36"/>
      <c r="BE9" s="114" t="e">
        <f t="shared" si="31"/>
        <v>#DIV/0!</v>
      </c>
      <c r="BF9" s="36">
        <f t="shared" si="32"/>
        <v>7826</v>
      </c>
      <c r="BG9" s="36">
        <f t="shared" si="33"/>
        <v>0</v>
      </c>
      <c r="BH9" s="114">
        <f t="shared" si="34"/>
        <v>-1</v>
      </c>
      <c r="BI9" s="29"/>
      <c r="BJ9" s="29"/>
      <c r="BK9" s="114" t="e">
        <f t="shared" si="10"/>
        <v>#DIV/0!</v>
      </c>
      <c r="BL9" s="29">
        <f t="shared" si="35"/>
        <v>7826</v>
      </c>
      <c r="BM9" s="29">
        <f t="shared" si="36"/>
        <v>0</v>
      </c>
      <c r="BN9" s="114">
        <f t="shared" si="11"/>
        <v>-1</v>
      </c>
      <c r="BO9" s="44"/>
      <c r="BP9" s="80"/>
      <c r="BQ9" s="80">
        <v>7826</v>
      </c>
      <c r="BR9" s="89" t="e">
        <f t="shared" si="12"/>
        <v>#DIV/0!</v>
      </c>
    </row>
    <row r="10" spans="1:71">
      <c r="A10" s="29" t="s">
        <v>28</v>
      </c>
      <c r="B10" s="187" t="s">
        <v>28</v>
      </c>
      <c r="C10" s="193" t="s">
        <v>151</v>
      </c>
      <c r="D10" s="188" t="s">
        <v>104</v>
      </c>
      <c r="E10" s="188" t="s">
        <v>104</v>
      </c>
      <c r="F10" s="188" t="s">
        <v>143</v>
      </c>
      <c r="G10" s="264" t="s">
        <v>150</v>
      </c>
      <c r="H10" s="54" t="s">
        <v>141</v>
      </c>
      <c r="I10" s="54"/>
      <c r="J10" s="80">
        <v>18336</v>
      </c>
      <c r="K10" s="80">
        <v>790</v>
      </c>
      <c r="L10" s="114">
        <f t="shared" si="13"/>
        <v>-0.956915357766143</v>
      </c>
      <c r="M10" s="44">
        <v>5885</v>
      </c>
      <c r="N10" s="44"/>
      <c r="O10" s="114">
        <f t="shared" si="14"/>
        <v>-1</v>
      </c>
      <c r="P10" s="44">
        <f t="shared" si="15"/>
        <v>24221</v>
      </c>
      <c r="Q10" s="44">
        <f t="shared" si="16"/>
        <v>790</v>
      </c>
      <c r="R10" s="114">
        <f t="shared" si="17"/>
        <v>-0.967383675323067</v>
      </c>
      <c r="S10" s="29">
        <v>9785</v>
      </c>
      <c r="T10" s="29">
        <v>9575</v>
      </c>
      <c r="U10" s="114">
        <f t="shared" si="0"/>
        <v>-0.0214614205416453</v>
      </c>
      <c r="V10" s="29">
        <f t="shared" si="18"/>
        <v>34006</v>
      </c>
      <c r="W10" s="29">
        <f t="shared" si="19"/>
        <v>10365</v>
      </c>
      <c r="X10" s="114">
        <f t="shared" si="1"/>
        <v>-0.695200846909369</v>
      </c>
      <c r="Y10" s="46">
        <v>20567</v>
      </c>
      <c r="Z10" s="46"/>
      <c r="AA10" s="114">
        <f t="shared" si="2"/>
        <v>-1</v>
      </c>
      <c r="AB10" s="29">
        <f t="shared" si="20"/>
        <v>54573</v>
      </c>
      <c r="AC10" s="29">
        <f t="shared" si="21"/>
        <v>10365</v>
      </c>
      <c r="AD10" s="114">
        <f t="shared" si="3"/>
        <v>-0.810070914188335</v>
      </c>
      <c r="AE10" s="29"/>
      <c r="AF10" s="29"/>
      <c r="AG10" s="114" t="e">
        <f t="shared" si="4"/>
        <v>#DIV/0!</v>
      </c>
      <c r="AH10" s="29">
        <f t="shared" si="22"/>
        <v>54573</v>
      </c>
      <c r="AI10" s="29">
        <f t="shared" si="23"/>
        <v>10365</v>
      </c>
      <c r="AJ10" s="114">
        <f t="shared" si="5"/>
        <v>-0.810070914188335</v>
      </c>
      <c r="AK10" s="143">
        <v>1580</v>
      </c>
      <c r="AL10" s="143"/>
      <c r="AM10" s="114">
        <f t="shared" si="6"/>
        <v>-1</v>
      </c>
      <c r="AN10" s="143">
        <f t="shared" si="24"/>
        <v>56153</v>
      </c>
      <c r="AO10" s="143">
        <f t="shared" si="25"/>
        <v>10365</v>
      </c>
      <c r="AP10" s="114">
        <f t="shared" si="37"/>
        <v>-0.815415026801774</v>
      </c>
      <c r="AQ10" s="46"/>
      <c r="AR10" s="46"/>
      <c r="AS10" s="114" t="e">
        <f t="shared" si="7"/>
        <v>#DIV/0!</v>
      </c>
      <c r="AT10" s="46">
        <f t="shared" si="26"/>
        <v>56153</v>
      </c>
      <c r="AU10" s="46">
        <f t="shared" si="27"/>
        <v>10365</v>
      </c>
      <c r="AV10" s="114">
        <f t="shared" si="8"/>
        <v>-0.815415026801774</v>
      </c>
      <c r="AW10" s="189"/>
      <c r="AX10" s="189"/>
      <c r="AY10" s="114" t="e">
        <f t="shared" si="28"/>
        <v>#DIV/0!</v>
      </c>
      <c r="AZ10" s="189">
        <f t="shared" si="29"/>
        <v>56153</v>
      </c>
      <c r="BA10" s="189">
        <f t="shared" si="30"/>
        <v>10365</v>
      </c>
      <c r="BB10" s="114">
        <f t="shared" si="9"/>
        <v>-0.815415026801774</v>
      </c>
      <c r="BC10" s="36">
        <v>13071</v>
      </c>
      <c r="BD10" s="36"/>
      <c r="BE10" s="114">
        <f t="shared" si="31"/>
        <v>-1</v>
      </c>
      <c r="BF10" s="36">
        <f t="shared" si="32"/>
        <v>69224</v>
      </c>
      <c r="BG10" s="36">
        <f t="shared" si="33"/>
        <v>10365</v>
      </c>
      <c r="BH10" s="114">
        <f t="shared" si="34"/>
        <v>-0.850268692938865</v>
      </c>
      <c r="BI10" s="29">
        <v>3556</v>
      </c>
      <c r="BJ10" s="29"/>
      <c r="BK10" s="114">
        <f t="shared" si="10"/>
        <v>-1</v>
      </c>
      <c r="BL10" s="29">
        <f t="shared" si="35"/>
        <v>72780</v>
      </c>
      <c r="BM10" s="29">
        <f t="shared" si="36"/>
        <v>10365</v>
      </c>
      <c r="BN10" s="114">
        <f t="shared" si="11"/>
        <v>-0.857584501236603</v>
      </c>
      <c r="BO10" s="44"/>
      <c r="BP10" s="80">
        <v>9136</v>
      </c>
      <c r="BQ10" s="80">
        <v>81916</v>
      </c>
      <c r="BR10" s="89" t="e">
        <f t="shared" si="12"/>
        <v>#DIV/0!</v>
      </c>
    </row>
    <row r="11" spans="1:71">
      <c r="A11" s="29" t="s">
        <v>28</v>
      </c>
      <c r="B11" s="187" t="s">
        <v>28</v>
      </c>
      <c r="C11" s="193" t="s">
        <v>152</v>
      </c>
      <c r="D11" s="188" t="s">
        <v>63</v>
      </c>
      <c r="E11" s="188" t="s">
        <v>63</v>
      </c>
      <c r="F11" s="263" t="s">
        <v>137</v>
      </c>
      <c r="G11" s="264" t="s">
        <v>137</v>
      </c>
      <c r="H11" s="54" t="s">
        <v>138</v>
      </c>
      <c r="I11" s="54"/>
      <c r="J11" s="80"/>
      <c r="K11" s="80"/>
      <c r="L11" s="114" t="e">
        <f t="shared" si="13"/>
        <v>#DIV/0!</v>
      </c>
      <c r="M11" s="44"/>
      <c r="N11" s="44"/>
      <c r="O11" s="114" t="e">
        <f t="shared" si="14"/>
        <v>#DIV/0!</v>
      </c>
      <c r="P11" s="44">
        <f t="shared" si="15"/>
        <v>0</v>
      </c>
      <c r="Q11" s="44">
        <f t="shared" si="16"/>
        <v>0</v>
      </c>
      <c r="R11" s="114" t="e">
        <f t="shared" si="17"/>
        <v>#DIV/0!</v>
      </c>
      <c r="S11" s="29">
        <v>2896.82</v>
      </c>
      <c r="T11" s="29"/>
      <c r="U11" s="114">
        <f t="shared" si="0"/>
        <v>-1</v>
      </c>
      <c r="V11" s="29">
        <f t="shared" si="18"/>
        <v>2896.82</v>
      </c>
      <c r="W11" s="29">
        <f t="shared" si="19"/>
        <v>0</v>
      </c>
      <c r="X11" s="114">
        <f t="shared" si="1"/>
        <v>-1</v>
      </c>
      <c r="Y11" s="46"/>
      <c r="Z11" s="46"/>
      <c r="AA11" s="114" t="e">
        <f t="shared" si="2"/>
        <v>#DIV/0!</v>
      </c>
      <c r="AB11" s="29">
        <f t="shared" si="20"/>
        <v>2896.82</v>
      </c>
      <c r="AC11" s="29">
        <f t="shared" si="21"/>
        <v>0</v>
      </c>
      <c r="AD11" s="114">
        <f t="shared" si="3"/>
        <v>-1</v>
      </c>
      <c r="AE11" s="29"/>
      <c r="AF11" s="29"/>
      <c r="AG11" s="114" t="e">
        <f t="shared" si="4"/>
        <v>#DIV/0!</v>
      </c>
      <c r="AH11" s="29">
        <f t="shared" si="22"/>
        <v>2896.82</v>
      </c>
      <c r="AI11" s="29">
        <f t="shared" si="23"/>
        <v>0</v>
      </c>
      <c r="AJ11" s="114">
        <f t="shared" si="5"/>
        <v>-1</v>
      </c>
      <c r="AK11" s="143"/>
      <c r="AL11" s="143"/>
      <c r="AM11" s="114" t="e">
        <f t="shared" si="6"/>
        <v>#DIV/0!</v>
      </c>
      <c r="AN11" s="143">
        <f t="shared" si="24"/>
        <v>2896.82</v>
      </c>
      <c r="AO11" s="143">
        <f t="shared" si="25"/>
        <v>0</v>
      </c>
      <c r="AP11" s="114">
        <f t="shared" si="37"/>
        <v>-1</v>
      </c>
      <c r="AQ11" s="46"/>
      <c r="AR11" s="46"/>
      <c r="AS11" s="114" t="e">
        <f t="shared" si="7"/>
        <v>#DIV/0!</v>
      </c>
      <c r="AT11" s="46">
        <f t="shared" si="26"/>
        <v>2896.82</v>
      </c>
      <c r="AU11" s="46">
        <f t="shared" si="27"/>
        <v>0</v>
      </c>
      <c r="AV11" s="114">
        <f t="shared" si="8"/>
        <v>-1</v>
      </c>
      <c r="AW11" s="189"/>
      <c r="AX11" s="189"/>
      <c r="AY11" s="114" t="e">
        <f t="shared" si="28"/>
        <v>#DIV/0!</v>
      </c>
      <c r="AZ11" s="189">
        <f t="shared" si="29"/>
        <v>2896.82</v>
      </c>
      <c r="BA11" s="189">
        <f t="shared" si="30"/>
        <v>0</v>
      </c>
      <c r="BB11" s="114">
        <f t="shared" si="9"/>
        <v>-1</v>
      </c>
      <c r="BC11" s="36"/>
      <c r="BD11" s="36"/>
      <c r="BE11" s="114" t="e">
        <f t="shared" si="31"/>
        <v>#DIV/0!</v>
      </c>
      <c r="BF11" s="36">
        <f t="shared" si="32"/>
        <v>2896.82</v>
      </c>
      <c r="BG11" s="36">
        <f t="shared" si="33"/>
        <v>0</v>
      </c>
      <c r="BH11" s="114">
        <f t="shared" si="34"/>
        <v>-1</v>
      </c>
      <c r="BI11" s="29"/>
      <c r="BJ11" s="29"/>
      <c r="BK11" s="114" t="e">
        <f t="shared" si="10"/>
        <v>#DIV/0!</v>
      </c>
      <c r="BL11" s="29">
        <f t="shared" si="35"/>
        <v>2896.82</v>
      </c>
      <c r="BM11" s="29">
        <f t="shared" si="36"/>
        <v>0</v>
      </c>
      <c r="BN11" s="114">
        <f t="shared" si="11"/>
        <v>-1</v>
      </c>
      <c r="BO11" s="44"/>
      <c r="BP11" s="80"/>
      <c r="BQ11" s="80">
        <v>2896.82</v>
      </c>
      <c r="BR11" s="89" t="e">
        <f t="shared" si="12"/>
        <v>#DIV/0!</v>
      </c>
    </row>
    <row r="12" spans="1:71">
      <c r="A12" s="29" t="s">
        <v>28</v>
      </c>
      <c r="B12" s="187" t="s">
        <v>28</v>
      </c>
      <c r="C12" s="193" t="s">
        <v>153</v>
      </c>
      <c r="D12" s="188" t="s">
        <v>63</v>
      </c>
      <c r="E12" s="188" t="s">
        <v>63</v>
      </c>
      <c r="F12" s="188" t="s">
        <v>137</v>
      </c>
      <c r="G12" s="54" t="s">
        <v>137</v>
      </c>
      <c r="H12" s="54" t="s">
        <v>138</v>
      </c>
      <c r="I12" s="54">
        <v>15</v>
      </c>
      <c r="J12" s="80">
        <v>20000</v>
      </c>
      <c r="K12" s="80"/>
      <c r="L12" s="114">
        <f t="shared" si="13"/>
        <v>-1</v>
      </c>
      <c r="M12" s="44"/>
      <c r="N12" s="44"/>
      <c r="O12" s="114" t="e">
        <f t="shared" si="14"/>
        <v>#DIV/0!</v>
      </c>
      <c r="P12" s="44">
        <f t="shared" si="15"/>
        <v>20000</v>
      </c>
      <c r="Q12" s="44">
        <f t="shared" si="16"/>
        <v>0</v>
      </c>
      <c r="R12" s="114">
        <f t="shared" si="17"/>
        <v>-1</v>
      </c>
      <c r="S12" s="29">
        <v>30000</v>
      </c>
      <c r="T12" s="29"/>
      <c r="U12" s="114">
        <f t="shared" si="0"/>
        <v>-1</v>
      </c>
      <c r="V12" s="29">
        <f t="shared" si="18"/>
        <v>50000</v>
      </c>
      <c r="W12" s="29">
        <f t="shared" si="19"/>
        <v>0</v>
      </c>
      <c r="X12" s="114">
        <f t="shared" si="1"/>
        <v>-1</v>
      </c>
      <c r="Y12" s="46"/>
      <c r="Z12" s="46"/>
      <c r="AA12" s="114" t="e">
        <f t="shared" si="2"/>
        <v>#DIV/0!</v>
      </c>
      <c r="AB12" s="29">
        <f t="shared" si="20"/>
        <v>50000</v>
      </c>
      <c r="AC12" s="29">
        <f t="shared" si="21"/>
        <v>0</v>
      </c>
      <c r="AD12" s="114">
        <f t="shared" si="3"/>
        <v>-1</v>
      </c>
      <c r="AE12" s="29"/>
      <c r="AF12" s="29"/>
      <c r="AG12" s="114" t="e">
        <f t="shared" si="4"/>
        <v>#DIV/0!</v>
      </c>
      <c r="AH12" s="29">
        <f t="shared" si="22"/>
        <v>50000</v>
      </c>
      <c r="AI12" s="29">
        <f t="shared" si="23"/>
        <v>0</v>
      </c>
      <c r="AJ12" s="114">
        <f t="shared" si="5"/>
        <v>-1</v>
      </c>
      <c r="AK12" s="143"/>
      <c r="AL12" s="143">
        <v>6167</v>
      </c>
      <c r="AM12" s="114" t="e">
        <f t="shared" si="6"/>
        <v>#DIV/0!</v>
      </c>
      <c r="AN12" s="143">
        <f t="shared" si="24"/>
        <v>50000</v>
      </c>
      <c r="AO12" s="143">
        <f t="shared" si="25"/>
        <v>6167</v>
      </c>
      <c r="AP12" s="114">
        <f t="shared" si="37"/>
        <v>-0.87666</v>
      </c>
      <c r="AQ12" s="46"/>
      <c r="AR12" s="46"/>
      <c r="AS12" s="114" t="e">
        <f t="shared" si="7"/>
        <v>#DIV/0!</v>
      </c>
      <c r="AT12" s="46">
        <f t="shared" si="26"/>
        <v>50000</v>
      </c>
      <c r="AU12" s="46">
        <f t="shared" si="27"/>
        <v>6167</v>
      </c>
      <c r="AV12" s="114">
        <f t="shared" si="8"/>
        <v>-0.87666</v>
      </c>
      <c r="AW12" s="189"/>
      <c r="AX12" s="189">
        <v>37.6</v>
      </c>
      <c r="AY12" s="114" t="e">
        <f t="shared" si="28"/>
        <v>#DIV/0!</v>
      </c>
      <c r="AZ12" s="189">
        <f t="shared" si="29"/>
        <v>50000</v>
      </c>
      <c r="BA12" s="189">
        <f t="shared" si="30"/>
        <v>6204.6</v>
      </c>
      <c r="BB12" s="114">
        <f t="shared" si="9"/>
        <v>-0.875908</v>
      </c>
      <c r="BC12" s="36"/>
      <c r="BD12" s="36">
        <v>30</v>
      </c>
      <c r="BE12" s="114" t="e">
        <f t="shared" si="31"/>
        <v>#DIV/0!</v>
      </c>
      <c r="BF12" s="36">
        <f t="shared" si="32"/>
        <v>50000</v>
      </c>
      <c r="BG12" s="36">
        <f t="shared" si="33"/>
        <v>6234.6</v>
      </c>
      <c r="BH12" s="114">
        <f t="shared" si="34"/>
        <v>-0.875308</v>
      </c>
      <c r="BI12" s="29">
        <v>9418</v>
      </c>
      <c r="BJ12" s="29"/>
      <c r="BK12" s="114">
        <f t="shared" si="10"/>
        <v>-1</v>
      </c>
      <c r="BL12" s="29">
        <f t="shared" si="35"/>
        <v>59418</v>
      </c>
      <c r="BM12" s="29">
        <f t="shared" si="36"/>
        <v>6234.6</v>
      </c>
      <c r="BN12" s="114">
        <f t="shared" si="11"/>
        <v>-0.89507220034333</v>
      </c>
      <c r="BO12" s="44"/>
      <c r="BP12" s="80"/>
      <c r="BQ12" s="80">
        <v>59418</v>
      </c>
      <c r="BR12" s="89">
        <f t="shared" si="12"/>
        <v>0.041564</v>
      </c>
    </row>
    <row r="13" spans="1:71">
      <c r="A13" s="29" t="s">
        <v>28</v>
      </c>
      <c r="B13" s="187" t="s">
        <v>28</v>
      </c>
      <c r="C13" s="193" t="s">
        <v>154</v>
      </c>
      <c r="D13" s="188" t="s">
        <v>63</v>
      </c>
      <c r="E13" s="188" t="s">
        <v>63</v>
      </c>
      <c r="F13" s="188" t="s">
        <v>137</v>
      </c>
      <c r="G13" s="54" t="s">
        <v>137</v>
      </c>
      <c r="H13" s="54" t="s">
        <v>138</v>
      </c>
      <c r="I13" s="54">
        <v>30</v>
      </c>
      <c r="J13" s="80">
        <v>26400</v>
      </c>
      <c r="K13" s="80"/>
      <c r="L13" s="114">
        <f t="shared" si="13"/>
        <v>-1</v>
      </c>
      <c r="M13" s="44"/>
      <c r="N13" s="44"/>
      <c r="O13" s="114" t="e">
        <f t="shared" si="14"/>
        <v>#DIV/0!</v>
      </c>
      <c r="P13" s="44">
        <f t="shared" si="15"/>
        <v>26400</v>
      </c>
      <c r="Q13" s="44">
        <f t="shared" si="16"/>
        <v>0</v>
      </c>
      <c r="R13" s="114">
        <f t="shared" si="17"/>
        <v>-1</v>
      </c>
      <c r="S13" s="29">
        <v>72600</v>
      </c>
      <c r="T13" s="29"/>
      <c r="U13" s="114">
        <f t="shared" si="0"/>
        <v>-1</v>
      </c>
      <c r="V13" s="29">
        <f t="shared" si="18"/>
        <v>99000</v>
      </c>
      <c r="W13" s="29">
        <f t="shared" si="19"/>
        <v>0</v>
      </c>
      <c r="X13" s="114">
        <f t="shared" si="1"/>
        <v>-1</v>
      </c>
      <c r="Y13" s="46"/>
      <c r="Z13" s="46"/>
      <c r="AA13" s="114" t="e">
        <f t="shared" si="2"/>
        <v>#DIV/0!</v>
      </c>
      <c r="AB13" s="29">
        <f t="shared" si="20"/>
        <v>99000</v>
      </c>
      <c r="AC13" s="29">
        <f t="shared" si="21"/>
        <v>0</v>
      </c>
      <c r="AD13" s="114">
        <f t="shared" si="3"/>
        <v>-1</v>
      </c>
      <c r="AE13" s="29"/>
      <c r="AF13" s="29"/>
      <c r="AG13" s="114" t="e">
        <f t="shared" si="4"/>
        <v>#DIV/0!</v>
      </c>
      <c r="AH13" s="29">
        <f t="shared" si="22"/>
        <v>99000</v>
      </c>
      <c r="AI13" s="29">
        <f t="shared" si="23"/>
        <v>0</v>
      </c>
      <c r="AJ13" s="114">
        <f t="shared" si="5"/>
        <v>-1</v>
      </c>
      <c r="AK13" s="143"/>
      <c r="AL13" s="143"/>
      <c r="AM13" s="114" t="e">
        <f t="shared" si="6"/>
        <v>#DIV/0!</v>
      </c>
      <c r="AN13" s="143">
        <f t="shared" si="24"/>
        <v>99000</v>
      </c>
      <c r="AO13" s="143">
        <f t="shared" si="25"/>
        <v>0</v>
      </c>
      <c r="AP13" s="114">
        <f t="shared" si="37"/>
        <v>-1</v>
      </c>
      <c r="AQ13" s="46"/>
      <c r="AR13" s="46"/>
      <c r="AS13" s="114" t="e">
        <f t="shared" si="7"/>
        <v>#DIV/0!</v>
      </c>
      <c r="AT13" s="46">
        <f t="shared" si="26"/>
        <v>99000</v>
      </c>
      <c r="AU13" s="46">
        <f t="shared" si="27"/>
        <v>0</v>
      </c>
      <c r="AV13" s="114">
        <f t="shared" si="8"/>
        <v>-1</v>
      </c>
      <c r="AW13" s="189">
        <v>10422</v>
      </c>
      <c r="AX13" s="189"/>
      <c r="AY13" s="114">
        <f t="shared" si="28"/>
        <v>-1</v>
      </c>
      <c r="AZ13" s="189">
        <f t="shared" si="29"/>
        <v>109422</v>
      </c>
      <c r="BA13" s="189">
        <f t="shared" si="30"/>
        <v>0</v>
      </c>
      <c r="BB13" s="114">
        <f t="shared" si="9"/>
        <v>-1</v>
      </c>
      <c r="BC13" s="36"/>
      <c r="BD13" s="36"/>
      <c r="BE13" s="114" t="e">
        <f t="shared" si="31"/>
        <v>#DIV/0!</v>
      </c>
      <c r="BF13" s="36">
        <f t="shared" si="32"/>
        <v>109422</v>
      </c>
      <c r="BG13" s="36">
        <f t="shared" si="33"/>
        <v>0</v>
      </c>
      <c r="BH13" s="114">
        <f t="shared" si="34"/>
        <v>-1</v>
      </c>
      <c r="BI13" s="29"/>
      <c r="BJ13" s="29"/>
      <c r="BK13" s="114" t="e">
        <f t="shared" si="10"/>
        <v>#DIV/0!</v>
      </c>
      <c r="BL13" s="29">
        <f t="shared" si="35"/>
        <v>109422</v>
      </c>
      <c r="BM13" s="29">
        <f t="shared" si="36"/>
        <v>0</v>
      </c>
      <c r="BN13" s="114">
        <f t="shared" si="11"/>
        <v>-1</v>
      </c>
      <c r="BO13" s="44"/>
      <c r="BP13" s="80">
        <v>76431</v>
      </c>
      <c r="BQ13" s="80">
        <v>185853</v>
      </c>
      <c r="BR13" s="89">
        <f t="shared" si="12"/>
        <v>0</v>
      </c>
    </row>
    <row r="14" spans="1:71">
      <c r="A14" s="29" t="s">
        <v>28</v>
      </c>
      <c r="B14" s="187" t="s">
        <v>28</v>
      </c>
      <c r="C14" s="193" t="s">
        <v>155</v>
      </c>
      <c r="D14" s="188" t="s">
        <v>63</v>
      </c>
      <c r="E14" s="188" t="s">
        <v>63</v>
      </c>
      <c r="F14" s="188" t="s">
        <v>156</v>
      </c>
      <c r="G14" s="54" t="s">
        <v>156</v>
      </c>
      <c r="H14" s="54" t="s">
        <v>141</v>
      </c>
      <c r="I14" s="54"/>
      <c r="J14" s="80">
        <v>3600</v>
      </c>
      <c r="K14" s="80"/>
      <c r="L14" s="114">
        <f t="shared" si="13"/>
        <v>-1</v>
      </c>
      <c r="M14" s="44"/>
      <c r="N14" s="44"/>
      <c r="O14" s="114" t="e">
        <f t="shared" si="14"/>
        <v>#DIV/0!</v>
      </c>
      <c r="P14" s="44">
        <f t="shared" si="15"/>
        <v>3600</v>
      </c>
      <c r="Q14" s="44">
        <f t="shared" si="16"/>
        <v>0</v>
      </c>
      <c r="R14" s="114">
        <f t="shared" si="17"/>
        <v>-1</v>
      </c>
      <c r="S14" s="29"/>
      <c r="T14" s="29"/>
      <c r="U14" s="114" t="e">
        <f t="shared" si="0"/>
        <v>#DIV/0!</v>
      </c>
      <c r="V14" s="29">
        <f t="shared" si="18"/>
        <v>3600</v>
      </c>
      <c r="W14" s="29">
        <f t="shared" si="19"/>
        <v>0</v>
      </c>
      <c r="X14" s="114">
        <f t="shared" si="1"/>
        <v>-1</v>
      </c>
      <c r="Y14" s="46"/>
      <c r="Z14" s="46"/>
      <c r="AA14" s="114" t="e">
        <f t="shared" si="2"/>
        <v>#DIV/0!</v>
      </c>
      <c r="AB14" s="29">
        <f t="shared" si="20"/>
        <v>3600</v>
      </c>
      <c r="AC14" s="29">
        <f t="shared" si="21"/>
        <v>0</v>
      </c>
      <c r="AD14" s="114">
        <f t="shared" si="3"/>
        <v>-1</v>
      </c>
      <c r="AE14" s="29">
        <v>13074</v>
      </c>
      <c r="AF14" s="29"/>
      <c r="AG14" s="114">
        <f t="shared" si="4"/>
        <v>-1</v>
      </c>
      <c r="AH14" s="29">
        <f t="shared" si="22"/>
        <v>16674</v>
      </c>
      <c r="AI14" s="29">
        <f t="shared" si="23"/>
        <v>0</v>
      </c>
      <c r="AJ14" s="114">
        <f t="shared" si="5"/>
        <v>-1</v>
      </c>
      <c r="AK14" s="143"/>
      <c r="AL14" s="143"/>
      <c r="AM14" s="114" t="e">
        <f t="shared" si="6"/>
        <v>#DIV/0!</v>
      </c>
      <c r="AN14" s="143">
        <f t="shared" si="24"/>
        <v>16674</v>
      </c>
      <c r="AO14" s="143">
        <f t="shared" si="25"/>
        <v>0</v>
      </c>
      <c r="AP14" s="114">
        <f t="shared" si="37"/>
        <v>-1</v>
      </c>
      <c r="AQ14" s="46"/>
      <c r="AR14" s="46"/>
      <c r="AS14" s="114" t="e">
        <f t="shared" si="7"/>
        <v>#DIV/0!</v>
      </c>
      <c r="AT14" s="46">
        <f t="shared" si="26"/>
        <v>16674</v>
      </c>
      <c r="AU14" s="46">
        <f t="shared" si="27"/>
        <v>0</v>
      </c>
      <c r="AV14" s="114">
        <f t="shared" si="8"/>
        <v>-1</v>
      </c>
      <c r="AW14" s="189"/>
      <c r="AX14" s="189"/>
      <c r="AY14" s="114" t="e">
        <f t="shared" si="28"/>
        <v>#DIV/0!</v>
      </c>
      <c r="AZ14" s="189">
        <f t="shared" si="29"/>
        <v>16674</v>
      </c>
      <c r="BA14" s="189">
        <f t="shared" si="30"/>
        <v>0</v>
      </c>
      <c r="BB14" s="114">
        <f t="shared" si="9"/>
        <v>-1</v>
      </c>
      <c r="BC14" s="36"/>
      <c r="BD14" s="36"/>
      <c r="BE14" s="114" t="e">
        <f t="shared" si="31"/>
        <v>#DIV/0!</v>
      </c>
      <c r="BF14" s="36">
        <f t="shared" si="32"/>
        <v>16674</v>
      </c>
      <c r="BG14" s="36">
        <f t="shared" si="33"/>
        <v>0</v>
      </c>
      <c r="BH14" s="114">
        <f t="shared" si="34"/>
        <v>-1</v>
      </c>
      <c r="BI14" s="29"/>
      <c r="BJ14" s="29"/>
      <c r="BK14" s="114" t="e">
        <f t="shared" si="10"/>
        <v>#DIV/0!</v>
      </c>
      <c r="BL14" s="29">
        <f t="shared" si="35"/>
        <v>16674</v>
      </c>
      <c r="BM14" s="29">
        <f t="shared" si="36"/>
        <v>0</v>
      </c>
      <c r="BN14" s="114">
        <f t="shared" si="11"/>
        <v>-1</v>
      </c>
      <c r="BO14" s="44"/>
      <c r="BP14" s="80"/>
      <c r="BQ14" s="80">
        <v>16674</v>
      </c>
      <c r="BR14" s="89" t="e">
        <f t="shared" si="12"/>
        <v>#DIV/0!</v>
      </c>
    </row>
    <row r="15" spans="1:71">
      <c r="A15" s="29" t="s">
        <v>28</v>
      </c>
      <c r="B15" s="187" t="s">
        <v>28</v>
      </c>
      <c r="C15" s="193" t="s">
        <v>157</v>
      </c>
      <c r="D15" s="188" t="s">
        <v>63</v>
      </c>
      <c r="E15" s="188" t="s">
        <v>63</v>
      </c>
      <c r="F15" s="188" t="s">
        <v>137</v>
      </c>
      <c r="G15" s="54" t="s">
        <v>137</v>
      </c>
      <c r="H15" s="54" t="s">
        <v>138</v>
      </c>
      <c r="I15" s="54"/>
      <c r="J15" s="80"/>
      <c r="K15" s="80"/>
      <c r="L15" s="114" t="e">
        <f t="shared" si="13"/>
        <v>#DIV/0!</v>
      </c>
      <c r="M15" s="44"/>
      <c r="N15" s="44"/>
      <c r="O15" s="114" t="e">
        <f t="shared" si="14"/>
        <v>#DIV/0!</v>
      </c>
      <c r="P15" s="44">
        <f t="shared" si="15"/>
        <v>0</v>
      </c>
      <c r="Q15" s="44">
        <f t="shared" si="16"/>
        <v>0</v>
      </c>
      <c r="R15" s="114" t="e">
        <f t="shared" si="17"/>
        <v>#DIV/0!</v>
      </c>
      <c r="S15" s="29"/>
      <c r="T15" s="29"/>
      <c r="U15" s="114" t="e">
        <f t="shared" si="0"/>
        <v>#DIV/0!</v>
      </c>
      <c r="V15" s="29">
        <f t="shared" si="18"/>
        <v>0</v>
      </c>
      <c r="W15" s="29">
        <f t="shared" si="19"/>
        <v>0</v>
      </c>
      <c r="X15" s="114" t="e">
        <f t="shared" si="1"/>
        <v>#DIV/0!</v>
      </c>
      <c r="Y15" s="46"/>
      <c r="Z15" s="46"/>
      <c r="AA15" s="114" t="e">
        <f t="shared" si="2"/>
        <v>#DIV/0!</v>
      </c>
      <c r="AB15" s="29">
        <f t="shared" si="20"/>
        <v>0</v>
      </c>
      <c r="AC15" s="29">
        <f t="shared" si="21"/>
        <v>0</v>
      </c>
      <c r="AD15" s="114" t="e">
        <f t="shared" si="3"/>
        <v>#DIV/0!</v>
      </c>
      <c r="AE15" s="29"/>
      <c r="AF15" s="29"/>
      <c r="AG15" s="114" t="e">
        <f t="shared" si="4"/>
        <v>#DIV/0!</v>
      </c>
      <c r="AH15" s="29">
        <f t="shared" si="22"/>
        <v>0</v>
      </c>
      <c r="AI15" s="29">
        <f t="shared" si="23"/>
        <v>0</v>
      </c>
      <c r="AJ15" s="114" t="e">
        <f t="shared" si="5"/>
        <v>#DIV/0!</v>
      </c>
      <c r="AK15" s="143"/>
      <c r="AL15" s="143"/>
      <c r="AM15" s="114" t="e">
        <f t="shared" si="6"/>
        <v>#DIV/0!</v>
      </c>
      <c r="AN15" s="143">
        <f t="shared" si="24"/>
        <v>0</v>
      </c>
      <c r="AO15" s="143">
        <f t="shared" si="25"/>
        <v>0</v>
      </c>
      <c r="AP15" s="114" t="e">
        <f t="shared" si="37"/>
        <v>#DIV/0!</v>
      </c>
      <c r="AQ15" s="46"/>
      <c r="AR15" s="46"/>
      <c r="AS15" s="114" t="e">
        <f t="shared" si="7"/>
        <v>#DIV/0!</v>
      </c>
      <c r="AT15" s="46">
        <f t="shared" si="26"/>
        <v>0</v>
      </c>
      <c r="AU15" s="46">
        <f t="shared" si="27"/>
        <v>0</v>
      </c>
      <c r="AV15" s="114" t="e">
        <f t="shared" si="8"/>
        <v>#DIV/0!</v>
      </c>
      <c r="AW15" s="189"/>
      <c r="AX15" s="189"/>
      <c r="AY15" s="114" t="e">
        <f t="shared" si="28"/>
        <v>#DIV/0!</v>
      </c>
      <c r="AZ15" s="189">
        <f t="shared" si="29"/>
        <v>0</v>
      </c>
      <c r="BA15" s="189">
        <f t="shared" si="30"/>
        <v>0</v>
      </c>
      <c r="BB15" s="114" t="e">
        <f t="shared" si="9"/>
        <v>#DIV/0!</v>
      </c>
      <c r="BC15" s="36"/>
      <c r="BD15" s="36"/>
      <c r="BE15" s="114" t="e">
        <f t="shared" si="31"/>
        <v>#DIV/0!</v>
      </c>
      <c r="BF15" s="36">
        <f t="shared" si="32"/>
        <v>0</v>
      </c>
      <c r="BG15" s="36">
        <f t="shared" si="33"/>
        <v>0</v>
      </c>
      <c r="BH15" s="114" t="e">
        <f t="shared" si="34"/>
        <v>#DIV/0!</v>
      </c>
      <c r="BI15" s="29"/>
      <c r="BJ15" s="29"/>
      <c r="BK15" s="114" t="e">
        <f t="shared" si="10"/>
        <v>#DIV/0!</v>
      </c>
      <c r="BL15" s="29">
        <f t="shared" si="35"/>
        <v>0</v>
      </c>
      <c r="BM15" s="29">
        <f t="shared" si="36"/>
        <v>0</v>
      </c>
      <c r="BN15" s="114" t="e">
        <f t="shared" si="11"/>
        <v>#DIV/0!</v>
      </c>
      <c r="BO15" s="44"/>
      <c r="BP15" s="80">
        <v>5688</v>
      </c>
      <c r="BQ15" s="80">
        <v>5688</v>
      </c>
      <c r="BR15" s="89" t="e">
        <f t="shared" si="12"/>
        <v>#DIV/0!</v>
      </c>
    </row>
    <row r="16" spans="1:71">
      <c r="A16" s="29" t="s">
        <v>28</v>
      </c>
      <c r="B16" s="187" t="s">
        <v>28</v>
      </c>
      <c r="C16" s="193" t="s">
        <v>158</v>
      </c>
      <c r="D16" s="188" t="s">
        <v>104</v>
      </c>
      <c r="E16" s="188" t="s">
        <v>104</v>
      </c>
      <c r="F16" s="188" t="s">
        <v>143</v>
      </c>
      <c r="G16" s="54" t="s">
        <v>150</v>
      </c>
      <c r="H16" s="54" t="s">
        <v>141</v>
      </c>
      <c r="I16" s="54"/>
      <c r="J16" s="80">
        <v>3107</v>
      </c>
      <c r="K16" s="80"/>
      <c r="L16" s="114">
        <f t="shared" si="13"/>
        <v>-1</v>
      </c>
      <c r="M16" s="44"/>
      <c r="N16" s="44"/>
      <c r="O16" s="114" t="e">
        <f t="shared" si="14"/>
        <v>#DIV/0!</v>
      </c>
      <c r="P16" s="44">
        <f t="shared" si="15"/>
        <v>3107</v>
      </c>
      <c r="Q16" s="44">
        <f t="shared" si="16"/>
        <v>0</v>
      </c>
      <c r="R16" s="114">
        <f t="shared" si="17"/>
        <v>-1</v>
      </c>
      <c r="S16" s="29"/>
      <c r="T16" s="29"/>
      <c r="U16" s="114" t="e">
        <f t="shared" si="0"/>
        <v>#DIV/0!</v>
      </c>
      <c r="V16" s="29">
        <f t="shared" si="18"/>
        <v>3107</v>
      </c>
      <c r="W16" s="29">
        <f t="shared" si="19"/>
        <v>0</v>
      </c>
      <c r="X16" s="114">
        <f t="shared" si="1"/>
        <v>-1</v>
      </c>
      <c r="Y16" s="46">
        <v>4335</v>
      </c>
      <c r="Z16" s="46"/>
      <c r="AA16" s="114">
        <f t="shared" si="2"/>
        <v>-1</v>
      </c>
      <c r="AB16" s="29">
        <f t="shared" si="20"/>
        <v>7442</v>
      </c>
      <c r="AC16" s="29">
        <f t="shared" si="21"/>
        <v>0</v>
      </c>
      <c r="AD16" s="114">
        <f t="shared" si="3"/>
        <v>-1</v>
      </c>
      <c r="AE16" s="29"/>
      <c r="AF16" s="29"/>
      <c r="AG16" s="114" t="e">
        <f t="shared" si="4"/>
        <v>#DIV/0!</v>
      </c>
      <c r="AH16" s="29">
        <f t="shared" si="22"/>
        <v>7442</v>
      </c>
      <c r="AI16" s="29">
        <f t="shared" si="23"/>
        <v>0</v>
      </c>
      <c r="AJ16" s="114">
        <f t="shared" si="5"/>
        <v>-1</v>
      </c>
      <c r="AK16" s="143"/>
      <c r="AL16" s="143"/>
      <c r="AM16" s="114" t="e">
        <f t="shared" si="6"/>
        <v>#DIV/0!</v>
      </c>
      <c r="AN16" s="143">
        <f t="shared" si="24"/>
        <v>7442</v>
      </c>
      <c r="AO16" s="143">
        <f t="shared" si="25"/>
        <v>0</v>
      </c>
      <c r="AP16" s="114">
        <f t="shared" si="37"/>
        <v>-1</v>
      </c>
      <c r="AQ16" s="46"/>
      <c r="AR16" s="46"/>
      <c r="AS16" s="114" t="e">
        <f t="shared" si="7"/>
        <v>#DIV/0!</v>
      </c>
      <c r="AT16" s="46">
        <f t="shared" si="26"/>
        <v>7442</v>
      </c>
      <c r="AU16" s="46">
        <f t="shared" si="27"/>
        <v>0</v>
      </c>
      <c r="AV16" s="114">
        <f t="shared" si="8"/>
        <v>-1</v>
      </c>
      <c r="AW16" s="189"/>
      <c r="AX16" s="189"/>
      <c r="AY16" s="114" t="e">
        <f t="shared" si="28"/>
        <v>#DIV/0!</v>
      </c>
      <c r="AZ16" s="189">
        <f t="shared" si="29"/>
        <v>7442</v>
      </c>
      <c r="BA16" s="189">
        <f t="shared" si="30"/>
        <v>0</v>
      </c>
      <c r="BB16" s="114">
        <f t="shared" si="9"/>
        <v>-1</v>
      </c>
      <c r="BC16" s="36"/>
      <c r="BD16" s="36"/>
      <c r="BE16" s="114" t="e">
        <f t="shared" si="31"/>
        <v>#DIV/0!</v>
      </c>
      <c r="BF16" s="36">
        <f t="shared" si="32"/>
        <v>7442</v>
      </c>
      <c r="BG16" s="36">
        <f t="shared" si="33"/>
        <v>0</v>
      </c>
      <c r="BH16" s="114">
        <f t="shared" si="34"/>
        <v>-1</v>
      </c>
      <c r="BI16" s="29"/>
      <c r="BJ16" s="29"/>
      <c r="BK16" s="114" t="e">
        <f t="shared" si="10"/>
        <v>#DIV/0!</v>
      </c>
      <c r="BL16" s="29">
        <f t="shared" si="35"/>
        <v>7442</v>
      </c>
      <c r="BM16" s="29">
        <f t="shared" si="36"/>
        <v>0</v>
      </c>
      <c r="BN16" s="114">
        <f t="shared" si="11"/>
        <v>-1</v>
      </c>
      <c r="BO16" s="44"/>
      <c r="BP16" s="80"/>
      <c r="BQ16" s="80">
        <v>7442</v>
      </c>
      <c r="BR16" s="89" t="e">
        <f t="shared" si="12"/>
        <v>#DIV/0!</v>
      </c>
    </row>
    <row r="17" customHeight="1" spans="1:70">
      <c r="A17" s="29" t="s">
        <v>28</v>
      </c>
      <c r="B17" s="187" t="s">
        <v>28</v>
      </c>
      <c r="C17" s="193" t="s">
        <v>159</v>
      </c>
      <c r="D17" s="188" t="s">
        <v>63</v>
      </c>
      <c r="E17" s="188" t="s">
        <v>63</v>
      </c>
      <c r="F17" s="188" t="s">
        <v>137</v>
      </c>
      <c r="G17" s="54" t="s">
        <v>137</v>
      </c>
      <c r="H17" s="54" t="s">
        <v>138</v>
      </c>
      <c r="I17" s="54"/>
      <c r="J17" s="80">
        <v>4789</v>
      </c>
      <c r="K17" s="80"/>
      <c r="L17" s="114">
        <f t="shared" si="13"/>
        <v>-1</v>
      </c>
      <c r="M17" s="44"/>
      <c r="N17" s="44"/>
      <c r="O17" s="114" t="e">
        <f t="shared" si="14"/>
        <v>#DIV/0!</v>
      </c>
      <c r="P17" s="44">
        <f t="shared" si="15"/>
        <v>4789</v>
      </c>
      <c r="Q17" s="44">
        <f t="shared" si="16"/>
        <v>0</v>
      </c>
      <c r="R17" s="114">
        <f t="shared" si="17"/>
        <v>-1</v>
      </c>
      <c r="S17" s="29">
        <v>7800</v>
      </c>
      <c r="T17" s="29"/>
      <c r="U17" s="114">
        <f t="shared" si="0"/>
        <v>-1</v>
      </c>
      <c r="V17" s="29">
        <f t="shared" si="18"/>
        <v>12589</v>
      </c>
      <c r="W17" s="29">
        <f t="shared" si="19"/>
        <v>0</v>
      </c>
      <c r="X17" s="114">
        <f t="shared" si="1"/>
        <v>-1</v>
      </c>
      <c r="Y17" s="37"/>
      <c r="Z17" s="37"/>
      <c r="AA17" s="114" t="e">
        <f t="shared" si="2"/>
        <v>#DIV/0!</v>
      </c>
      <c r="AB17" s="29">
        <f t="shared" si="20"/>
        <v>12589</v>
      </c>
      <c r="AC17" s="29">
        <f t="shared" si="21"/>
        <v>0</v>
      </c>
      <c r="AD17" s="114">
        <f t="shared" si="3"/>
        <v>-1</v>
      </c>
      <c r="AE17" s="29"/>
      <c r="AF17" s="29"/>
      <c r="AG17" s="114" t="e">
        <f t="shared" si="4"/>
        <v>#DIV/0!</v>
      </c>
      <c r="AH17" s="29">
        <f t="shared" si="22"/>
        <v>12589</v>
      </c>
      <c r="AI17" s="29">
        <f t="shared" si="23"/>
        <v>0</v>
      </c>
      <c r="AJ17" s="114">
        <f t="shared" si="5"/>
        <v>-1</v>
      </c>
      <c r="AK17" s="143"/>
      <c r="AL17" s="143"/>
      <c r="AM17" s="114" t="e">
        <f t="shared" si="6"/>
        <v>#DIV/0!</v>
      </c>
      <c r="AN17" s="143">
        <f t="shared" si="24"/>
        <v>12589</v>
      </c>
      <c r="AO17" s="143">
        <f t="shared" si="25"/>
        <v>0</v>
      </c>
      <c r="AP17" s="114">
        <f t="shared" si="37"/>
        <v>-1</v>
      </c>
      <c r="AQ17" s="46"/>
      <c r="AR17" s="46"/>
      <c r="AS17" s="114" t="e">
        <f t="shared" si="7"/>
        <v>#DIV/0!</v>
      </c>
      <c r="AT17" s="46">
        <f t="shared" si="26"/>
        <v>12589</v>
      </c>
      <c r="AU17" s="46">
        <f t="shared" si="27"/>
        <v>0</v>
      </c>
      <c r="AV17" s="114">
        <f t="shared" si="8"/>
        <v>-1</v>
      </c>
      <c r="AW17" s="189"/>
      <c r="AX17" s="189"/>
      <c r="AY17" s="114" t="e">
        <f t="shared" si="28"/>
        <v>#DIV/0!</v>
      </c>
      <c r="AZ17" s="189">
        <f t="shared" si="29"/>
        <v>12589</v>
      </c>
      <c r="BA17" s="189">
        <f t="shared" si="30"/>
        <v>0</v>
      </c>
      <c r="BB17" s="114">
        <f t="shared" si="9"/>
        <v>-1</v>
      </c>
      <c r="BC17" s="36"/>
      <c r="BD17" s="36"/>
      <c r="BE17" s="114" t="e">
        <f t="shared" si="31"/>
        <v>#DIV/0!</v>
      </c>
      <c r="BF17" s="36">
        <f t="shared" si="32"/>
        <v>12589</v>
      </c>
      <c r="BG17" s="36">
        <f t="shared" si="33"/>
        <v>0</v>
      </c>
      <c r="BH17" s="114">
        <f t="shared" si="34"/>
        <v>-1</v>
      </c>
      <c r="BI17" s="29"/>
      <c r="BJ17" s="29"/>
      <c r="BK17" s="114" t="e">
        <f t="shared" si="10"/>
        <v>#DIV/0!</v>
      </c>
      <c r="BL17" s="29">
        <f t="shared" si="35"/>
        <v>12589</v>
      </c>
      <c r="BM17" s="29">
        <f t="shared" si="36"/>
        <v>0</v>
      </c>
      <c r="BN17" s="114">
        <f t="shared" si="11"/>
        <v>-1</v>
      </c>
      <c r="BO17" s="44"/>
      <c r="BP17" s="80"/>
      <c r="BQ17" s="80">
        <v>12589</v>
      </c>
      <c r="BR17" s="89" t="e">
        <f t="shared" si="12"/>
        <v>#DIV/0!</v>
      </c>
    </row>
    <row r="18" customHeight="1" spans="1:70">
      <c r="A18" s="29" t="s">
        <v>28</v>
      </c>
      <c r="B18" s="187" t="s">
        <v>28</v>
      </c>
      <c r="C18" s="194" t="s">
        <v>160</v>
      </c>
      <c r="D18" s="188" t="s">
        <v>63</v>
      </c>
      <c r="E18" s="188" t="s">
        <v>63</v>
      </c>
      <c r="F18" s="188" t="s">
        <v>143</v>
      </c>
      <c r="G18" s="54" t="s">
        <v>82</v>
      </c>
      <c r="H18" s="54" t="s">
        <v>144</v>
      </c>
      <c r="I18" s="54"/>
      <c r="J18" s="80">
        <v>10000</v>
      </c>
      <c r="K18" s="80"/>
      <c r="L18" s="114">
        <f t="shared" si="13"/>
        <v>-1</v>
      </c>
      <c r="M18" s="44"/>
      <c r="N18" s="44">
        <v>30820</v>
      </c>
      <c r="O18" s="114" t="e">
        <f t="shared" si="14"/>
        <v>#DIV/0!</v>
      </c>
      <c r="P18" s="44">
        <f t="shared" si="15"/>
        <v>10000</v>
      </c>
      <c r="Q18" s="44">
        <f t="shared" si="16"/>
        <v>30820</v>
      </c>
      <c r="R18" s="114">
        <f t="shared" si="17"/>
        <v>2.082</v>
      </c>
      <c r="S18" s="29"/>
      <c r="T18" s="29">
        <v>9744</v>
      </c>
      <c r="U18" s="114" t="e">
        <f t="shared" si="0"/>
        <v>#DIV/0!</v>
      </c>
      <c r="V18" s="29">
        <f t="shared" si="18"/>
        <v>10000</v>
      </c>
      <c r="W18" s="29">
        <f t="shared" si="19"/>
        <v>40564</v>
      </c>
      <c r="X18" s="114">
        <f t="shared" si="1"/>
        <v>3.0564</v>
      </c>
      <c r="Y18" s="37"/>
      <c r="Z18" s="37"/>
      <c r="AA18" s="114" t="e">
        <f t="shared" si="2"/>
        <v>#DIV/0!</v>
      </c>
      <c r="AB18" s="29">
        <f t="shared" si="20"/>
        <v>10000</v>
      </c>
      <c r="AC18" s="29">
        <f t="shared" si="21"/>
        <v>40564</v>
      </c>
      <c r="AD18" s="114">
        <f t="shared" si="3"/>
        <v>3.0564</v>
      </c>
      <c r="AE18" s="29"/>
      <c r="AF18" s="29">
        <v>32390</v>
      </c>
      <c r="AG18" s="114" t="e">
        <f t="shared" si="4"/>
        <v>#DIV/0!</v>
      </c>
      <c r="AH18" s="29">
        <f t="shared" si="22"/>
        <v>10000</v>
      </c>
      <c r="AI18" s="29">
        <f t="shared" si="23"/>
        <v>72954</v>
      </c>
      <c r="AJ18" s="114">
        <f t="shared" si="5"/>
        <v>6.2954</v>
      </c>
      <c r="AK18" s="143"/>
      <c r="AL18" s="143">
        <v>21149</v>
      </c>
      <c r="AM18" s="114" t="e">
        <f t="shared" si="6"/>
        <v>#DIV/0!</v>
      </c>
      <c r="AN18" s="143">
        <f t="shared" si="24"/>
        <v>10000</v>
      </c>
      <c r="AO18" s="143">
        <f t="shared" si="25"/>
        <v>94103</v>
      </c>
      <c r="AP18" s="114">
        <f t="shared" si="37"/>
        <v>8.4103</v>
      </c>
      <c r="AQ18" s="46">
        <v>24563</v>
      </c>
      <c r="AR18" s="46">
        <v>24595</v>
      </c>
      <c r="AS18" s="114">
        <f t="shared" si="7"/>
        <v>0.00130277246264709</v>
      </c>
      <c r="AT18" s="46">
        <f t="shared" si="26"/>
        <v>34563</v>
      </c>
      <c r="AU18" s="46">
        <f t="shared" si="27"/>
        <v>118698</v>
      </c>
      <c r="AV18" s="114">
        <f t="shared" si="8"/>
        <v>2.43425049908862</v>
      </c>
      <c r="AW18" s="189"/>
      <c r="AX18" s="189">
        <v>10998</v>
      </c>
      <c r="AY18" s="114" t="e">
        <f t="shared" si="28"/>
        <v>#DIV/0!</v>
      </c>
      <c r="AZ18" s="189">
        <f t="shared" si="29"/>
        <v>34563</v>
      </c>
      <c r="BA18" s="189">
        <f t="shared" si="30"/>
        <v>129696</v>
      </c>
      <c r="BB18" s="114">
        <f t="shared" si="9"/>
        <v>2.75245204409339</v>
      </c>
      <c r="BC18" s="36"/>
      <c r="BD18" s="36">
        <v>5664</v>
      </c>
      <c r="BE18" s="114" t="e">
        <f t="shared" si="31"/>
        <v>#DIV/0!</v>
      </c>
      <c r="BF18" s="36">
        <f t="shared" si="32"/>
        <v>34563</v>
      </c>
      <c r="BG18" s="36">
        <f t="shared" si="33"/>
        <v>135360</v>
      </c>
      <c r="BH18" s="114">
        <f t="shared" si="34"/>
        <v>2.91632670775106</v>
      </c>
      <c r="BI18" s="29"/>
      <c r="BJ18" s="29">
        <v>24339</v>
      </c>
      <c r="BK18" s="114" t="e">
        <f t="shared" si="10"/>
        <v>#DIV/0!</v>
      </c>
      <c r="BL18" s="29">
        <f t="shared" si="35"/>
        <v>34563</v>
      </c>
      <c r="BM18" s="29">
        <f t="shared" si="36"/>
        <v>159699</v>
      </c>
      <c r="BN18" s="114">
        <f t="shared" si="11"/>
        <v>3.62051905216561</v>
      </c>
      <c r="BO18" s="44"/>
      <c r="BP18" s="80">
        <v>25066</v>
      </c>
      <c r="BQ18" s="80">
        <v>59629</v>
      </c>
      <c r="BR18" s="89" t="e">
        <f t="shared" si="12"/>
        <v>#DIV/0!</v>
      </c>
    </row>
    <row r="19" customHeight="1" spans="1:70">
      <c r="A19" s="29" t="s">
        <v>28</v>
      </c>
      <c r="B19" s="187" t="s">
        <v>28</v>
      </c>
      <c r="C19" s="193" t="s">
        <v>161</v>
      </c>
      <c r="D19" s="188" t="s">
        <v>63</v>
      </c>
      <c r="E19" s="188" t="s">
        <v>63</v>
      </c>
      <c r="F19" s="188" t="s">
        <v>143</v>
      </c>
      <c r="G19" s="54" t="s">
        <v>82</v>
      </c>
      <c r="H19" s="54" t="s">
        <v>141</v>
      </c>
      <c r="I19" s="54"/>
      <c r="J19" s="80"/>
      <c r="K19" s="80"/>
      <c r="L19" s="114" t="e">
        <f t="shared" si="13"/>
        <v>#DIV/0!</v>
      </c>
      <c r="M19" s="44"/>
      <c r="N19" s="44"/>
      <c r="O19" s="114" t="e">
        <f t="shared" si="14"/>
        <v>#DIV/0!</v>
      </c>
      <c r="P19" s="44">
        <f t="shared" si="15"/>
        <v>0</v>
      </c>
      <c r="Q19" s="44">
        <f t="shared" si="16"/>
        <v>0</v>
      </c>
      <c r="R19" s="114" t="e">
        <f t="shared" si="17"/>
        <v>#DIV/0!</v>
      </c>
      <c r="S19" s="29">
        <v>2962</v>
      </c>
      <c r="T19" s="29"/>
      <c r="U19" s="114">
        <f t="shared" si="0"/>
        <v>-1</v>
      </c>
      <c r="V19" s="29">
        <f t="shared" si="18"/>
        <v>2962</v>
      </c>
      <c r="W19" s="29">
        <f t="shared" si="19"/>
        <v>0</v>
      </c>
      <c r="X19" s="114">
        <f t="shared" si="1"/>
        <v>-1</v>
      </c>
      <c r="Y19" s="37"/>
      <c r="Z19" s="37"/>
      <c r="AA19" s="114" t="e">
        <f t="shared" si="2"/>
        <v>#DIV/0!</v>
      </c>
      <c r="AB19" s="29">
        <f t="shared" si="20"/>
        <v>2962</v>
      </c>
      <c r="AC19" s="29">
        <f t="shared" si="21"/>
        <v>0</v>
      </c>
      <c r="AD19" s="114">
        <f t="shared" si="3"/>
        <v>-1</v>
      </c>
      <c r="AE19" s="29"/>
      <c r="AF19" s="29"/>
      <c r="AG19" s="114" t="e">
        <f t="shared" si="4"/>
        <v>#DIV/0!</v>
      </c>
      <c r="AH19" s="29">
        <f t="shared" si="22"/>
        <v>2962</v>
      </c>
      <c r="AI19" s="29">
        <f t="shared" si="23"/>
        <v>0</v>
      </c>
      <c r="AJ19" s="114">
        <f t="shared" si="5"/>
        <v>-1</v>
      </c>
      <c r="AK19" s="143"/>
      <c r="AL19" s="143"/>
      <c r="AM19" s="114" t="e">
        <f t="shared" si="6"/>
        <v>#DIV/0!</v>
      </c>
      <c r="AN19" s="143">
        <f t="shared" si="24"/>
        <v>2962</v>
      </c>
      <c r="AO19" s="143">
        <f t="shared" si="25"/>
        <v>0</v>
      </c>
      <c r="AP19" s="114">
        <f t="shared" si="37"/>
        <v>-1</v>
      </c>
      <c r="AQ19" s="46"/>
      <c r="AR19" s="46"/>
      <c r="AS19" s="114" t="e">
        <f t="shared" si="7"/>
        <v>#DIV/0!</v>
      </c>
      <c r="AT19" s="46">
        <f t="shared" si="26"/>
        <v>2962</v>
      </c>
      <c r="AU19" s="46">
        <f t="shared" si="27"/>
        <v>0</v>
      </c>
      <c r="AV19" s="114">
        <f t="shared" si="8"/>
        <v>-1</v>
      </c>
      <c r="AW19" s="189"/>
      <c r="AX19" s="189"/>
      <c r="AY19" s="114" t="e">
        <f t="shared" si="28"/>
        <v>#DIV/0!</v>
      </c>
      <c r="AZ19" s="189">
        <f t="shared" si="29"/>
        <v>2962</v>
      </c>
      <c r="BA19" s="189">
        <f t="shared" si="30"/>
        <v>0</v>
      </c>
      <c r="BB19" s="114">
        <f t="shared" si="9"/>
        <v>-1</v>
      </c>
      <c r="BC19" s="36"/>
      <c r="BD19" s="36"/>
      <c r="BE19" s="114" t="e">
        <f t="shared" si="31"/>
        <v>#DIV/0!</v>
      </c>
      <c r="BF19" s="36">
        <f t="shared" si="32"/>
        <v>2962</v>
      </c>
      <c r="BG19" s="36">
        <f t="shared" si="33"/>
        <v>0</v>
      </c>
      <c r="BH19" s="114">
        <f t="shared" si="34"/>
        <v>-1</v>
      </c>
      <c r="BI19" s="29"/>
      <c r="BJ19" s="29"/>
      <c r="BK19" s="114" t="e">
        <f t="shared" si="10"/>
        <v>#DIV/0!</v>
      </c>
      <c r="BL19" s="29">
        <f t="shared" si="35"/>
        <v>2962</v>
      </c>
      <c r="BM19" s="29">
        <f t="shared" si="36"/>
        <v>0</v>
      </c>
      <c r="BN19" s="114">
        <f t="shared" si="11"/>
        <v>-1</v>
      </c>
      <c r="BO19" s="44"/>
      <c r="BP19" s="80"/>
      <c r="BQ19" s="80">
        <v>2962</v>
      </c>
      <c r="BR19" s="89" t="e">
        <f t="shared" si="12"/>
        <v>#DIV/0!</v>
      </c>
    </row>
    <row r="20" customHeight="1" spans="1:70">
      <c r="A20" s="29" t="s">
        <v>28</v>
      </c>
      <c r="B20" s="187" t="s">
        <v>28</v>
      </c>
      <c r="C20" s="193" t="s">
        <v>121</v>
      </c>
      <c r="D20" s="188" t="s">
        <v>63</v>
      </c>
      <c r="E20" s="188" t="s">
        <v>63</v>
      </c>
      <c r="F20" s="188" t="s">
        <v>143</v>
      </c>
      <c r="G20" s="54" t="s">
        <v>82</v>
      </c>
      <c r="H20" s="54" t="s">
        <v>141</v>
      </c>
      <c r="I20" s="54"/>
      <c r="J20" s="80"/>
      <c r="K20" s="80"/>
      <c r="L20" s="114" t="e">
        <f t="shared" si="13"/>
        <v>#DIV/0!</v>
      </c>
      <c r="M20" s="44"/>
      <c r="N20" s="44">
        <v>1736.04</v>
      </c>
      <c r="O20" s="114" t="e">
        <f t="shared" si="14"/>
        <v>#DIV/0!</v>
      </c>
      <c r="P20" s="44">
        <f t="shared" si="15"/>
        <v>0</v>
      </c>
      <c r="Q20" s="44">
        <f t="shared" si="16"/>
        <v>1736.04</v>
      </c>
      <c r="R20" s="114" t="e">
        <f t="shared" si="17"/>
        <v>#DIV/0!</v>
      </c>
      <c r="S20" s="29"/>
      <c r="T20" s="29"/>
      <c r="U20" s="114" t="e">
        <f t="shared" si="0"/>
        <v>#DIV/0!</v>
      </c>
      <c r="V20" s="29">
        <f t="shared" si="18"/>
        <v>0</v>
      </c>
      <c r="W20" s="29">
        <f t="shared" si="19"/>
        <v>1736.04</v>
      </c>
      <c r="X20" s="114" t="e">
        <f t="shared" si="1"/>
        <v>#DIV/0!</v>
      </c>
      <c r="Y20" s="37"/>
      <c r="Z20" s="37">
        <v>3472.08</v>
      </c>
      <c r="AA20" s="114" t="e">
        <f t="shared" si="2"/>
        <v>#DIV/0!</v>
      </c>
      <c r="AB20" s="29">
        <f t="shared" si="20"/>
        <v>0</v>
      </c>
      <c r="AC20" s="29">
        <f t="shared" si="21"/>
        <v>5208.12</v>
      </c>
      <c r="AD20" s="114" t="e">
        <f t="shared" si="3"/>
        <v>#DIV/0!</v>
      </c>
      <c r="AE20" s="29"/>
      <c r="AF20" s="29"/>
      <c r="AG20" s="114" t="e">
        <f t="shared" si="4"/>
        <v>#DIV/0!</v>
      </c>
      <c r="AH20" s="29">
        <f t="shared" si="22"/>
        <v>0</v>
      </c>
      <c r="AI20" s="29">
        <f t="shared" si="23"/>
        <v>5208.12</v>
      </c>
      <c r="AJ20" s="114" t="e">
        <f t="shared" si="5"/>
        <v>#DIV/0!</v>
      </c>
      <c r="AK20" s="143"/>
      <c r="AL20" s="143"/>
      <c r="AM20" s="114" t="e">
        <f t="shared" si="6"/>
        <v>#DIV/0!</v>
      </c>
      <c r="AN20" s="143">
        <f t="shared" si="24"/>
        <v>0</v>
      </c>
      <c r="AO20" s="143">
        <f t="shared" si="25"/>
        <v>5208.12</v>
      </c>
      <c r="AP20" s="114" t="e">
        <f t="shared" si="37"/>
        <v>#DIV/0!</v>
      </c>
      <c r="AQ20" s="46"/>
      <c r="AR20" s="46"/>
      <c r="AS20" s="114" t="e">
        <f t="shared" si="7"/>
        <v>#DIV/0!</v>
      </c>
      <c r="AT20" s="46">
        <f t="shared" si="26"/>
        <v>0</v>
      </c>
      <c r="AU20" s="46">
        <f t="shared" si="27"/>
        <v>5208.12</v>
      </c>
      <c r="AV20" s="114" t="e">
        <f t="shared" si="8"/>
        <v>#DIV/0!</v>
      </c>
      <c r="AW20" s="189">
        <v>11930.56</v>
      </c>
      <c r="AX20" s="189"/>
      <c r="AY20" s="114">
        <f t="shared" si="28"/>
        <v>-1</v>
      </c>
      <c r="AZ20" s="189">
        <f t="shared" si="29"/>
        <v>11930.56</v>
      </c>
      <c r="BA20" s="189">
        <f t="shared" si="30"/>
        <v>5208.12</v>
      </c>
      <c r="BB20" s="114">
        <f t="shared" si="9"/>
        <v>-0.563463911165947</v>
      </c>
      <c r="BC20" s="36"/>
      <c r="BD20" s="36"/>
      <c r="BE20" s="114" t="e">
        <f t="shared" si="31"/>
        <v>#DIV/0!</v>
      </c>
      <c r="BF20" s="36">
        <f t="shared" si="32"/>
        <v>11930.56</v>
      </c>
      <c r="BG20" s="36">
        <f t="shared" si="33"/>
        <v>5208.12</v>
      </c>
      <c r="BH20" s="114">
        <f t="shared" si="34"/>
        <v>-0.563463911165947</v>
      </c>
      <c r="BI20" s="29">
        <v>2982.64</v>
      </c>
      <c r="BJ20" s="29"/>
      <c r="BK20" s="114">
        <f t="shared" si="10"/>
        <v>-1</v>
      </c>
      <c r="BL20" s="29">
        <f t="shared" si="35"/>
        <v>14913.2</v>
      </c>
      <c r="BM20" s="29">
        <f t="shared" si="36"/>
        <v>5208.12</v>
      </c>
      <c r="BN20" s="114">
        <f t="shared" si="11"/>
        <v>-0.650771128932758</v>
      </c>
      <c r="BO20" s="44"/>
      <c r="BP20" s="80">
        <v>10047.32</v>
      </c>
      <c r="BQ20" s="80">
        <v>24960.52</v>
      </c>
      <c r="BR20" s="89" t="e">
        <f t="shared" si="12"/>
        <v>#DIV/0!</v>
      </c>
    </row>
    <row r="21" customHeight="1" spans="1:70">
      <c r="A21" s="29" t="s">
        <v>28</v>
      </c>
      <c r="B21" s="187" t="s">
        <v>28</v>
      </c>
      <c r="C21" s="193" t="s">
        <v>162</v>
      </c>
      <c r="D21" s="188" t="s">
        <v>63</v>
      </c>
      <c r="E21" s="188" t="s">
        <v>63</v>
      </c>
      <c r="F21" s="263" t="s">
        <v>140</v>
      </c>
      <c r="G21" s="54" t="s">
        <v>82</v>
      </c>
      <c r="H21" s="54" t="s">
        <v>141</v>
      </c>
      <c r="I21" s="54">
        <v>60</v>
      </c>
      <c r="J21" s="80"/>
      <c r="K21" s="80"/>
      <c r="L21" s="114"/>
      <c r="M21" s="44"/>
      <c r="N21" s="44"/>
      <c r="O21" s="114"/>
      <c r="P21" s="44"/>
      <c r="Q21" s="44"/>
      <c r="R21" s="114"/>
      <c r="S21" s="29"/>
      <c r="T21" s="29"/>
      <c r="U21" s="114"/>
      <c r="V21" s="29"/>
      <c r="W21" s="29"/>
      <c r="X21" s="114"/>
      <c r="Y21" s="37"/>
      <c r="Z21" s="37"/>
      <c r="AA21" s="114"/>
      <c r="AB21" s="29"/>
      <c r="AC21" s="29"/>
      <c r="AD21" s="114"/>
      <c r="AE21" s="29"/>
      <c r="AF21" s="29">
        <v>116732</v>
      </c>
      <c r="AG21" s="114" t="e">
        <f t="shared" si="4"/>
        <v>#DIV/0!</v>
      </c>
      <c r="AH21" s="29">
        <f t="shared" si="22"/>
        <v>0</v>
      </c>
      <c r="AI21" s="29">
        <f t="shared" si="23"/>
        <v>116732</v>
      </c>
      <c r="AJ21" s="114" t="e">
        <f t="shared" si="5"/>
        <v>#DIV/0!</v>
      </c>
      <c r="AK21" s="143"/>
      <c r="AL21" s="143">
        <v>3088</v>
      </c>
      <c r="AM21" s="114" t="e">
        <f t="shared" si="6"/>
        <v>#DIV/0!</v>
      </c>
      <c r="AN21" s="143">
        <f t="shared" si="24"/>
        <v>0</v>
      </c>
      <c r="AO21" s="143">
        <f t="shared" si="25"/>
        <v>119820</v>
      </c>
      <c r="AP21" s="114" t="e">
        <f t="shared" si="37"/>
        <v>#DIV/0!</v>
      </c>
      <c r="AQ21" s="46"/>
      <c r="AR21" s="46">
        <v>10000</v>
      </c>
      <c r="AS21" s="114" t="e">
        <f t="shared" si="7"/>
        <v>#DIV/0!</v>
      </c>
      <c r="AT21" s="46">
        <f t="shared" si="26"/>
        <v>0</v>
      </c>
      <c r="AU21" s="46">
        <f t="shared" si="27"/>
        <v>129820</v>
      </c>
      <c r="AV21" s="114" t="e">
        <f t="shared" si="8"/>
        <v>#DIV/0!</v>
      </c>
      <c r="AW21" s="189"/>
      <c r="AX21" s="189"/>
      <c r="AY21" s="114" t="e">
        <f t="shared" si="28"/>
        <v>#DIV/0!</v>
      </c>
      <c r="AZ21" s="189">
        <f t="shared" si="29"/>
        <v>0</v>
      </c>
      <c r="BA21" s="189">
        <f t="shared" si="30"/>
        <v>129820</v>
      </c>
      <c r="BB21" s="114" t="e">
        <f t="shared" si="9"/>
        <v>#DIV/0!</v>
      </c>
      <c r="BC21" s="36"/>
      <c r="BD21" s="36">
        <v>2322</v>
      </c>
      <c r="BE21" s="114" t="e">
        <f t="shared" si="31"/>
        <v>#DIV/0!</v>
      </c>
      <c r="BF21" s="36">
        <f t="shared" si="32"/>
        <v>0</v>
      </c>
      <c r="BG21" s="36">
        <f t="shared" si="33"/>
        <v>132142</v>
      </c>
      <c r="BH21" s="114" t="e">
        <f t="shared" si="34"/>
        <v>#DIV/0!</v>
      </c>
      <c r="BI21" s="29"/>
      <c r="BJ21" s="29"/>
      <c r="BK21" s="114" t="e">
        <f t="shared" si="10"/>
        <v>#DIV/0!</v>
      </c>
      <c r="BL21" s="29">
        <f t="shared" si="35"/>
        <v>0</v>
      </c>
      <c r="BM21" s="29">
        <f t="shared" si="36"/>
        <v>132142</v>
      </c>
      <c r="BN21" s="114" t="e">
        <f t="shared" si="11"/>
        <v>#DIV/0!</v>
      </c>
      <c r="BO21" s="44"/>
      <c r="BP21" s="80"/>
      <c r="BQ21" s="80"/>
      <c r="BR21" s="89">
        <f t="shared" si="12"/>
        <v>0.220236666666667</v>
      </c>
    </row>
    <row r="22" customHeight="1" spans="1:70">
      <c r="A22" s="29" t="s">
        <v>28</v>
      </c>
      <c r="B22" s="187" t="s">
        <v>28</v>
      </c>
      <c r="C22" s="193" t="s">
        <v>117</v>
      </c>
      <c r="D22" s="188" t="s">
        <v>116</v>
      </c>
      <c r="E22" s="188" t="s">
        <v>116</v>
      </c>
      <c r="F22" s="188" t="s">
        <v>143</v>
      </c>
      <c r="G22" s="54"/>
      <c r="H22" s="54" t="s">
        <v>141</v>
      </c>
      <c r="I22" s="54"/>
      <c r="J22" s="80"/>
      <c r="K22" s="80"/>
      <c r="L22" s="114"/>
      <c r="M22" s="44"/>
      <c r="N22" s="44"/>
      <c r="O22" s="114"/>
      <c r="P22" s="44"/>
      <c r="Q22" s="44"/>
      <c r="R22" s="114"/>
      <c r="S22" s="29"/>
      <c r="T22" s="29"/>
      <c r="U22" s="114"/>
      <c r="V22" s="29"/>
      <c r="W22" s="29"/>
      <c r="X22" s="114"/>
      <c r="Y22" s="37"/>
      <c r="Z22" s="37"/>
      <c r="AA22" s="114"/>
      <c r="AB22" s="29"/>
      <c r="AC22" s="29"/>
      <c r="AD22" s="114"/>
      <c r="AE22" s="29"/>
      <c r="AF22" s="29"/>
      <c r="AG22" s="114"/>
      <c r="AH22" s="29"/>
      <c r="AI22" s="29"/>
      <c r="AJ22" s="114"/>
      <c r="AK22" s="143"/>
      <c r="AL22" s="143">
        <v>3344</v>
      </c>
      <c r="AM22" s="114" t="e">
        <f t="shared" si="6"/>
        <v>#DIV/0!</v>
      </c>
      <c r="AN22" s="143">
        <f t="shared" si="24"/>
        <v>0</v>
      </c>
      <c r="AO22" s="143">
        <f t="shared" si="25"/>
        <v>3344</v>
      </c>
      <c r="AP22" s="114" t="e">
        <f t="shared" si="37"/>
        <v>#DIV/0!</v>
      </c>
      <c r="AQ22" s="46"/>
      <c r="AR22" s="46"/>
      <c r="AS22" s="114" t="e">
        <f t="shared" si="7"/>
        <v>#DIV/0!</v>
      </c>
      <c r="AT22" s="46">
        <f t="shared" si="26"/>
        <v>0</v>
      </c>
      <c r="AU22" s="46">
        <f t="shared" si="27"/>
        <v>3344</v>
      </c>
      <c r="AV22" s="114" t="e">
        <f t="shared" si="8"/>
        <v>#DIV/0!</v>
      </c>
      <c r="AW22" s="189"/>
      <c r="AX22" s="189"/>
      <c r="AY22" s="114" t="e">
        <f t="shared" si="28"/>
        <v>#DIV/0!</v>
      </c>
      <c r="AZ22" s="189">
        <f t="shared" si="29"/>
        <v>0</v>
      </c>
      <c r="BA22" s="189">
        <f t="shared" si="30"/>
        <v>3344</v>
      </c>
      <c r="BB22" s="114" t="e">
        <f t="shared" si="9"/>
        <v>#DIV/0!</v>
      </c>
      <c r="BC22" s="36"/>
      <c r="BD22" s="36"/>
      <c r="BE22" s="114" t="e">
        <f t="shared" si="31"/>
        <v>#DIV/0!</v>
      </c>
      <c r="BF22" s="36">
        <f t="shared" si="32"/>
        <v>0</v>
      </c>
      <c r="BG22" s="36">
        <f t="shared" si="33"/>
        <v>3344</v>
      </c>
      <c r="BH22" s="114" t="e">
        <f t="shared" si="34"/>
        <v>#DIV/0!</v>
      </c>
      <c r="BI22" s="29"/>
      <c r="BJ22" s="29"/>
      <c r="BK22" s="114" t="e">
        <f t="shared" si="10"/>
        <v>#DIV/0!</v>
      </c>
      <c r="BL22" s="29">
        <f t="shared" si="35"/>
        <v>0</v>
      </c>
      <c r="BM22" s="29">
        <f t="shared" si="36"/>
        <v>3344</v>
      </c>
      <c r="BN22" s="114" t="e">
        <f t="shared" si="11"/>
        <v>#DIV/0!</v>
      </c>
      <c r="BO22" s="44"/>
      <c r="BP22" s="80"/>
      <c r="BQ22" s="80"/>
      <c r="BR22" s="89" t="e">
        <f t="shared" si="12"/>
        <v>#DIV/0!</v>
      </c>
    </row>
    <row r="23" spans="1:70">
      <c r="A23" s="29"/>
      <c r="B23" s="187">
        <v>19</v>
      </c>
      <c r="C23" s="195" t="s">
        <v>37</v>
      </c>
      <c r="D23" s="54"/>
      <c r="E23" s="54"/>
      <c r="F23" s="54"/>
      <c r="G23" s="54"/>
      <c r="H23" s="54"/>
      <c r="I23" s="29">
        <f>SUBTOTAL(9,I3:I22)</f>
        <v>865</v>
      </c>
      <c r="J23" s="29">
        <f>SUBTOTAL(9,J3:J22)</f>
        <v>578458.28</v>
      </c>
      <c r="K23" s="29">
        <f>SUBTOTAL(9,K3:K22)</f>
        <v>474052</v>
      </c>
      <c r="L23" s="114">
        <f>K23/J23-1</f>
        <v>-0.180490596486924</v>
      </c>
      <c r="M23" s="29">
        <f>SUBTOTAL(9,M3:M22)</f>
        <v>382921</v>
      </c>
      <c r="N23" s="29">
        <f>SUBTOTAL(9,N3:N22)</f>
        <v>390891.04</v>
      </c>
      <c r="O23" s="114">
        <f>N23/M23-1</f>
        <v>0.0208137971017519</v>
      </c>
      <c r="P23" s="29">
        <f>SUBTOTAL(9,P3:P22)</f>
        <v>961379.28</v>
      </c>
      <c r="Q23" s="29">
        <f>SUBTOTAL(9,Q3:Q22)</f>
        <v>864943.04</v>
      </c>
      <c r="R23" s="114">
        <f>Q23/P23-1</f>
        <v>-0.100310295849105</v>
      </c>
      <c r="S23" s="29">
        <f>SUBTOTAL(9,S3:S22)</f>
        <v>427042.28</v>
      </c>
      <c r="T23" s="29">
        <f>SUBTOTAL(9,T3:T22)</f>
        <v>414836.06</v>
      </c>
      <c r="U23" s="114">
        <f>T23/S23-1</f>
        <v>-0.0285831651142365</v>
      </c>
      <c r="V23" s="29">
        <f>SUBTOTAL(9,V3:V22)</f>
        <v>1388421.56</v>
      </c>
      <c r="W23" s="29">
        <f>SUBTOTAL(9,W3:W22)</f>
        <v>1279779.1</v>
      </c>
      <c r="X23" s="114">
        <f>W23/V23-1</f>
        <v>-0.0782489001395225</v>
      </c>
      <c r="Y23" s="29">
        <f>SUBTOTAL(9,Y3:Y22)</f>
        <v>399949</v>
      </c>
      <c r="Z23" s="29">
        <f>SUBTOTAL(9,Z3:Z22)</f>
        <v>411808.08</v>
      </c>
      <c r="AA23" s="114">
        <f>Z23/Y23-1</f>
        <v>0.029651480563772</v>
      </c>
      <c r="AB23" s="29">
        <f>SUBTOTAL(9,AB3:AB22)</f>
        <v>1788370.56</v>
      </c>
      <c r="AC23" s="29">
        <f>SUBTOTAL(9,AC3:AC22)</f>
        <v>1691587.18</v>
      </c>
      <c r="AD23" s="114">
        <f>AC23/AB23-1</f>
        <v>-0.0541181912545015</v>
      </c>
      <c r="AE23" s="29">
        <f>SUBTOTAL(9,AE3:AE22)</f>
        <v>597544</v>
      </c>
      <c r="AF23" s="29">
        <f>SUBTOTAL(9,AF3:AF22)</f>
        <v>404990</v>
      </c>
      <c r="AG23" s="114">
        <f>AF23/AE23-1</f>
        <v>-0.322242378803904</v>
      </c>
      <c r="AH23" s="29">
        <f>SUBTOTAL(9,AH3:AH22)</f>
        <v>2385914.56</v>
      </c>
      <c r="AI23" s="29">
        <f>SUBTOTAL(9,AI3:AI22)</f>
        <v>2096577.18</v>
      </c>
      <c r="AJ23" s="114">
        <f>AI23/AH23-1</f>
        <v>-0.121268961114852</v>
      </c>
      <c r="AK23" s="29">
        <f>SUBTOTAL(9,AK3:AK22)</f>
        <v>442447</v>
      </c>
      <c r="AL23" s="29">
        <f t="shared" ref="AL23:AR23" si="38">SUBTOTAL(9,AL3:AL22)</f>
        <v>273945</v>
      </c>
      <c r="AM23" s="114">
        <f t="shared" si="6"/>
        <v>-0.380841095091615</v>
      </c>
      <c r="AN23" s="29">
        <f t="shared" si="38"/>
        <v>2828361.56</v>
      </c>
      <c r="AO23" s="29">
        <f t="shared" si="38"/>
        <v>2370522.18</v>
      </c>
      <c r="AP23" s="114">
        <f t="shared" si="37"/>
        <v>-0.161874417498447</v>
      </c>
      <c r="AQ23" s="29">
        <f t="shared" si="38"/>
        <v>267076.26</v>
      </c>
      <c r="AR23" s="29">
        <f t="shared" si="38"/>
        <v>314396</v>
      </c>
      <c r="AS23" s="114">
        <f t="shared" si="7"/>
        <v>0.177176885732936</v>
      </c>
      <c r="AT23" s="29">
        <f t="shared" ref="AT23:AX23" si="39">SUBTOTAL(9,AT3:AT22)</f>
        <v>3095437.82</v>
      </c>
      <c r="AU23" s="29">
        <f t="shared" si="39"/>
        <v>2684918.18</v>
      </c>
      <c r="AV23" s="114">
        <f t="shared" si="8"/>
        <v>-0.132620864598727</v>
      </c>
      <c r="AW23" s="196">
        <v>297074.56</v>
      </c>
      <c r="AX23" s="29">
        <f t="shared" si="39"/>
        <v>301382.6</v>
      </c>
      <c r="AY23" s="114">
        <f t="shared" si="28"/>
        <v>0.014501544662727</v>
      </c>
      <c r="AZ23" s="29">
        <f t="shared" ref="AZ23:BD23" si="40">SUBTOTAL(9,AZ3:AZ22)</f>
        <v>3392512.38</v>
      </c>
      <c r="BA23" s="29">
        <f t="shared" si="40"/>
        <v>2986300.78</v>
      </c>
      <c r="BB23" s="114">
        <f t="shared" si="9"/>
        <v>-0.119737691274099</v>
      </c>
      <c r="BC23" s="29">
        <f t="shared" si="40"/>
        <v>493686.14</v>
      </c>
      <c r="BD23" s="29">
        <f t="shared" si="40"/>
        <v>220016</v>
      </c>
      <c r="BE23" s="114">
        <f t="shared" si="31"/>
        <v>-0.55434033452914</v>
      </c>
      <c r="BF23" s="29">
        <f t="shared" ref="BF23:BJ23" si="41">SUBTOTAL(9,BF3:BF22)</f>
        <v>3886198.52</v>
      </c>
      <c r="BG23" s="29">
        <f t="shared" si="41"/>
        <v>3206316.78</v>
      </c>
      <c r="BH23" s="114">
        <f t="shared" si="34"/>
        <v>-0.174947763605241</v>
      </c>
      <c r="BI23" s="29">
        <f t="shared" si="41"/>
        <v>594994.64</v>
      </c>
      <c r="BJ23" s="29">
        <f t="shared" si="41"/>
        <v>196308</v>
      </c>
      <c r="BK23" s="114">
        <f t="shared" si="10"/>
        <v>-0.670067616071298</v>
      </c>
      <c r="BL23" s="29">
        <f>SUBTOTAL(9,BL3:BL22)</f>
        <v>4481193.16</v>
      </c>
      <c r="BM23" s="29">
        <f>SUBTOTAL(9,BM3:BM22)</f>
        <v>3402624.78</v>
      </c>
      <c r="BN23" s="114">
        <f t="shared" si="11"/>
        <v>-0.240687768076483</v>
      </c>
      <c r="BO23" s="197">
        <v>779689</v>
      </c>
      <c r="BP23" s="198">
        <v>1367682.32</v>
      </c>
      <c r="BQ23" s="198">
        <v>6628564.48</v>
      </c>
      <c r="BR23" s="89">
        <f t="shared" si="12"/>
        <v>0.393367026589595</v>
      </c>
    </row>
    <row r="28" spans="1:70">
      <c r="C28" s="58"/>
    </row>
  </sheetData>
  <autoFilter xmlns:etc="http://www.wps.cn/officeDocument/2017/etCustomData" ref="A2:BS22" etc:filterBottomFollowUsedRange="0">
    <extLst/>
  </autoFilter>
  <mergeCells count="48"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AZ1:BA1"/>
    <mergeCell ref="BC1:BD1"/>
    <mergeCell ref="BF1:BG1"/>
    <mergeCell ref="BI1:BJ1"/>
    <mergeCell ref="BL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L1:L2"/>
    <mergeCell ref="O1:O2"/>
    <mergeCell ref="R1:R2"/>
    <mergeCell ref="U1:U2"/>
    <mergeCell ref="X1:X2"/>
    <mergeCell ref="AA1:AA2"/>
    <mergeCell ref="AD1:AD2"/>
    <mergeCell ref="AG1:AG2"/>
    <mergeCell ref="AJ1:AJ2"/>
    <mergeCell ref="AM1:AM2"/>
    <mergeCell ref="AP1:AP2"/>
    <mergeCell ref="AS1:AS2"/>
    <mergeCell ref="AV1:AV2"/>
    <mergeCell ref="AY1:AY2"/>
    <mergeCell ref="BB1:BB2"/>
    <mergeCell ref="BE1:BE2"/>
    <mergeCell ref="BH1:BH2"/>
    <mergeCell ref="BK1:BK2"/>
    <mergeCell ref="BN1:BN2"/>
    <mergeCell ref="BR1:BR2"/>
  </mergeCells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T80"/>
  <sheetViews>
    <sheetView workbookViewId="0">
      <pane xSplit="9" ySplit="2" topLeftCell="BI57" activePane="bottomRight" state="frozen"/>
      <selection/>
      <selection pane="topRight"/>
      <selection pane="bottomLeft"/>
      <selection pane="bottomRight" activeCell="F70" sqref="F70"/>
    </sheetView>
  </sheetViews>
  <sheetFormatPr defaultColWidth="9" defaultRowHeight="14"/>
  <cols>
    <col min="1" max="2" width="6.25454545454545" style="101" customWidth="1"/>
    <col min="3" max="3" width="28.2545454545455" style="102" customWidth="1"/>
    <col min="4" max="4" width="6.25454545454545" style="103" customWidth="1"/>
    <col min="5" max="5" width="5.50909090909091" style="103" customWidth="1"/>
    <col min="6" max="6" width="7.50909090909091" style="101" customWidth="1"/>
    <col min="7" max="7" width="7.12727272727273" style="101" hidden="1" customWidth="1"/>
    <col min="8" max="8" width="7.12727272727273" style="103" customWidth="1"/>
    <col min="9" max="9" width="7.12727272727273" style="101" customWidth="1"/>
    <col min="10" max="18" width="9.37272727272727" style="103" customWidth="1"/>
    <col min="19" max="19" width="11.2545454545455" style="103" customWidth="1"/>
    <col min="20" max="20" width="12.6272727272727" style="103" customWidth="1"/>
    <col min="21" max="21" width="8.87272727272727" style="103" customWidth="1"/>
    <col min="22" max="22" width="10.1272727272727" style="103" customWidth="1"/>
    <col min="23" max="23" width="10.5090909090909" style="103" customWidth="1"/>
    <col min="24" max="24" width="8.87272727272727" style="103" customWidth="1"/>
    <col min="25" max="25" width="8.12727272727273" style="103" customWidth="1"/>
    <col min="26" max="26" width="9.25454545454545" style="103" customWidth="1"/>
    <col min="27" max="27" width="10.3727272727273" style="103" customWidth="1"/>
    <col min="28" max="28" width="7.75454545454545" style="103" customWidth="1"/>
    <col min="29" max="29" width="12.7545454545455" style="103" customWidth="1"/>
    <col min="30" max="30" width="7" style="103" customWidth="1"/>
    <col min="31" max="36" width="10.2545454545455" style="103" customWidth="1"/>
    <col min="37" max="60" width="10.5090909090909" style="103" customWidth="1"/>
    <col min="61" max="66" width="10.5090909090909" style="172" customWidth="1"/>
    <col min="67" max="69" width="10.5090909090909" style="103" hidden="1" customWidth="1"/>
    <col min="70" max="70" width="9.87272727272727" style="103" customWidth="1"/>
    <col min="71" max="71" width="9" style="103" customWidth="1"/>
    <col min="72" max="72" width="9" style="103"/>
  </cols>
  <sheetData>
    <row r="1" spans="1:72">
      <c r="A1" s="173"/>
      <c r="B1" s="173"/>
      <c r="C1" s="174" t="s">
        <v>134</v>
      </c>
      <c r="D1" s="135" t="s">
        <v>49</v>
      </c>
      <c r="E1" s="135" t="s">
        <v>50</v>
      </c>
      <c r="F1" s="112" t="s">
        <v>163</v>
      </c>
      <c r="G1" s="112" t="s">
        <v>52</v>
      </c>
      <c r="H1" s="112" t="s">
        <v>53</v>
      </c>
      <c r="I1" s="54" t="s">
        <v>39</v>
      </c>
      <c r="J1" s="104" t="s">
        <v>3</v>
      </c>
      <c r="K1" s="104"/>
      <c r="L1" s="104" t="s">
        <v>4</v>
      </c>
      <c r="M1" s="23" t="s">
        <v>5</v>
      </c>
      <c r="N1" s="23"/>
      <c r="O1" s="24" t="s">
        <v>4</v>
      </c>
      <c r="P1" s="23" t="s">
        <v>40</v>
      </c>
      <c r="Q1" s="23"/>
      <c r="R1" s="24" t="s">
        <v>4</v>
      </c>
      <c r="S1" s="23" t="s">
        <v>6</v>
      </c>
      <c r="T1" s="23"/>
      <c r="U1" s="24" t="s">
        <v>4</v>
      </c>
      <c r="V1" s="23" t="s">
        <v>7</v>
      </c>
      <c r="W1" s="23"/>
      <c r="X1" s="24" t="s">
        <v>4</v>
      </c>
      <c r="Y1" s="23" t="s">
        <v>8</v>
      </c>
      <c r="Z1" s="23"/>
      <c r="AA1" s="24" t="s">
        <v>4</v>
      </c>
      <c r="AB1" s="23" t="s">
        <v>9</v>
      </c>
      <c r="AC1" s="23"/>
      <c r="AD1" s="24" t="s">
        <v>4</v>
      </c>
      <c r="AE1" s="23" t="s">
        <v>10</v>
      </c>
      <c r="AF1" s="23"/>
      <c r="AG1" s="24" t="s">
        <v>4</v>
      </c>
      <c r="AH1" s="23" t="s">
        <v>11</v>
      </c>
      <c r="AI1" s="23"/>
      <c r="AJ1" s="24" t="s">
        <v>4</v>
      </c>
      <c r="AK1" s="23" t="s">
        <v>12</v>
      </c>
      <c r="AL1" s="23"/>
      <c r="AM1" s="24" t="s">
        <v>4</v>
      </c>
      <c r="AN1" s="23" t="s">
        <v>13</v>
      </c>
      <c r="AO1" s="23"/>
      <c r="AP1" s="24" t="s">
        <v>4</v>
      </c>
      <c r="AQ1" s="23" t="s">
        <v>14</v>
      </c>
      <c r="AR1" s="23"/>
      <c r="AS1" s="24" t="s">
        <v>4</v>
      </c>
      <c r="AT1" s="23" t="s">
        <v>41</v>
      </c>
      <c r="AU1" s="23"/>
      <c r="AV1" s="71" t="s">
        <v>4</v>
      </c>
      <c r="AW1" s="23" t="s">
        <v>15</v>
      </c>
      <c r="AX1" s="23"/>
      <c r="AY1" s="24" t="s">
        <v>4</v>
      </c>
      <c r="AZ1" s="23" t="s">
        <v>42</v>
      </c>
      <c r="BA1" s="23"/>
      <c r="BB1" s="71" t="s">
        <v>4</v>
      </c>
      <c r="BC1" s="72" t="s">
        <v>16</v>
      </c>
      <c r="BD1" s="73"/>
      <c r="BE1" s="71" t="s">
        <v>4</v>
      </c>
      <c r="BF1" s="72" t="s">
        <v>18</v>
      </c>
      <c r="BG1" s="73"/>
      <c r="BH1" s="71" t="s">
        <v>4</v>
      </c>
      <c r="BI1" s="72" t="s">
        <v>19</v>
      </c>
      <c r="BJ1" s="73"/>
      <c r="BK1" s="71" t="s">
        <v>4</v>
      </c>
      <c r="BL1" s="72" t="s">
        <v>20</v>
      </c>
      <c r="BM1" s="73"/>
      <c r="BN1" s="71" t="s">
        <v>4</v>
      </c>
      <c r="BO1" s="104" t="s">
        <v>43</v>
      </c>
      <c r="BP1" s="104" t="s">
        <v>44</v>
      </c>
      <c r="BQ1" s="104" t="s">
        <v>135</v>
      </c>
      <c r="BR1" s="74" t="s">
        <v>164</v>
      </c>
      <c r="BS1" s="108"/>
      <c r="BT1" s="108"/>
    </row>
    <row r="2" spans="1:72">
      <c r="A2" s="173"/>
      <c r="B2" s="173"/>
      <c r="C2" s="174"/>
      <c r="D2" s="135"/>
      <c r="E2" s="135"/>
      <c r="F2" s="112"/>
      <c r="G2" s="112"/>
      <c r="H2" s="112"/>
      <c r="I2" s="54"/>
      <c r="J2" s="104" t="s">
        <v>22</v>
      </c>
      <c r="K2" s="104" t="s">
        <v>23</v>
      </c>
      <c r="L2" s="104"/>
      <c r="M2" s="30" t="s">
        <v>22</v>
      </c>
      <c r="N2" s="30" t="s">
        <v>23</v>
      </c>
      <c r="O2" s="24"/>
      <c r="P2" s="30" t="s">
        <v>22</v>
      </c>
      <c r="Q2" s="30" t="s">
        <v>23</v>
      </c>
      <c r="R2" s="24"/>
      <c r="S2" s="30" t="s">
        <v>22</v>
      </c>
      <c r="T2" s="30" t="s">
        <v>23</v>
      </c>
      <c r="U2" s="24"/>
      <c r="V2" s="30" t="s">
        <v>22</v>
      </c>
      <c r="W2" s="30" t="s">
        <v>23</v>
      </c>
      <c r="X2" s="24"/>
      <c r="Y2" s="30" t="s">
        <v>22</v>
      </c>
      <c r="Z2" s="30" t="s">
        <v>23</v>
      </c>
      <c r="AA2" s="24"/>
      <c r="AB2" s="30" t="s">
        <v>22</v>
      </c>
      <c r="AC2" s="30" t="s">
        <v>23</v>
      </c>
      <c r="AD2" s="24"/>
      <c r="AE2" s="30" t="s">
        <v>22</v>
      </c>
      <c r="AF2" s="30" t="s">
        <v>23</v>
      </c>
      <c r="AG2" s="24"/>
      <c r="AH2" s="30" t="s">
        <v>22</v>
      </c>
      <c r="AI2" s="30" t="s">
        <v>23</v>
      </c>
      <c r="AJ2" s="24"/>
      <c r="AK2" s="30" t="s">
        <v>22</v>
      </c>
      <c r="AL2" s="30" t="s">
        <v>23</v>
      </c>
      <c r="AM2" s="24"/>
      <c r="AN2" s="30" t="s">
        <v>22</v>
      </c>
      <c r="AO2" s="30" t="s">
        <v>23</v>
      </c>
      <c r="AP2" s="24"/>
      <c r="AQ2" s="30" t="s">
        <v>22</v>
      </c>
      <c r="AR2" s="30" t="s">
        <v>23</v>
      </c>
      <c r="AS2" s="24"/>
      <c r="AT2" s="30" t="s">
        <v>22</v>
      </c>
      <c r="AU2" s="30" t="s">
        <v>23</v>
      </c>
      <c r="AV2" s="71"/>
      <c r="AW2" s="30" t="s">
        <v>22</v>
      </c>
      <c r="AX2" s="30" t="s">
        <v>23</v>
      </c>
      <c r="AY2" s="24"/>
      <c r="AZ2" s="30" t="s">
        <v>22</v>
      </c>
      <c r="BA2" s="30" t="s">
        <v>23</v>
      </c>
      <c r="BB2" s="71"/>
      <c r="BC2" s="30" t="s">
        <v>22</v>
      </c>
      <c r="BD2" s="30" t="s">
        <v>23</v>
      </c>
      <c r="BE2" s="71"/>
      <c r="BF2" s="30" t="s">
        <v>22</v>
      </c>
      <c r="BG2" s="30" t="s">
        <v>23</v>
      </c>
      <c r="BH2" s="71"/>
      <c r="BI2" s="30" t="s">
        <v>22</v>
      </c>
      <c r="BJ2" s="30" t="s">
        <v>23</v>
      </c>
      <c r="BK2" s="71"/>
      <c r="BL2" s="30" t="s">
        <v>22</v>
      </c>
      <c r="BM2" s="30" t="s">
        <v>23</v>
      </c>
      <c r="BN2" s="71"/>
      <c r="BO2" s="104" t="s">
        <v>22</v>
      </c>
      <c r="BP2" s="104" t="s">
        <v>22</v>
      </c>
      <c r="BQ2" s="104" t="s">
        <v>22</v>
      </c>
      <c r="BR2" s="74"/>
      <c r="BS2" s="108" t="s">
        <v>54</v>
      </c>
      <c r="BT2" s="108" t="s">
        <v>55</v>
      </c>
    </row>
    <row r="3" spans="1:72">
      <c r="A3" s="110" t="s">
        <v>30</v>
      </c>
      <c r="B3" s="110" t="s">
        <v>30</v>
      </c>
      <c r="C3" s="262" t="s">
        <v>165</v>
      </c>
      <c r="D3" s="112" t="s">
        <v>58</v>
      </c>
      <c r="E3" s="112" t="s">
        <v>58</v>
      </c>
      <c r="F3" s="112" t="s">
        <v>166</v>
      </c>
      <c r="G3" s="112" t="s">
        <v>166</v>
      </c>
      <c r="H3" s="112" t="s">
        <v>167</v>
      </c>
      <c r="I3" s="175">
        <v>200</v>
      </c>
      <c r="J3" s="176"/>
      <c r="K3" s="176">
        <v>300000</v>
      </c>
      <c r="L3" s="45" t="e">
        <f t="shared" ref="L3:L66" si="0">K3/J3-1</f>
        <v>#DIV/0!</v>
      </c>
      <c r="M3" s="108">
        <v>300000</v>
      </c>
      <c r="N3" s="108"/>
      <c r="O3" s="45">
        <f t="shared" ref="O3:O66" si="1">N3/M3-1</f>
        <v>-1</v>
      </c>
      <c r="P3" s="108">
        <f t="shared" ref="P3:P66" si="2">M3+J3</f>
        <v>300000</v>
      </c>
      <c r="Q3" s="108">
        <f t="shared" ref="Q3:Q66" si="3">N3+K3</f>
        <v>300000</v>
      </c>
      <c r="R3" s="45">
        <f t="shared" ref="R3:R66" si="4">Q3/P3-1</f>
        <v>0</v>
      </c>
      <c r="S3" s="36"/>
      <c r="T3" s="36">
        <v>600000</v>
      </c>
      <c r="U3" s="45" t="e">
        <f t="shared" ref="U3:U66" si="5">T3/S3-1</f>
        <v>#DIV/0!</v>
      </c>
      <c r="V3" s="36">
        <f t="shared" ref="V3:V66" si="6">S3+P3</f>
        <v>300000</v>
      </c>
      <c r="W3" s="36">
        <f t="shared" ref="W3:W66" si="7">T3+Q3</f>
        <v>900000</v>
      </c>
      <c r="X3" s="45">
        <f t="shared" ref="X3:X66" si="8">W3/V3-1</f>
        <v>2</v>
      </c>
      <c r="Y3" s="108">
        <v>300000</v>
      </c>
      <c r="Z3" s="108"/>
      <c r="AA3" s="45">
        <f t="shared" ref="AA3:AA66" si="9">Z3/Y3-1</f>
        <v>-1</v>
      </c>
      <c r="AB3" s="108">
        <f t="shared" ref="AB3:AB66" si="10">Y3+V3</f>
        <v>600000</v>
      </c>
      <c r="AC3" s="108">
        <f t="shared" ref="AC3:AC66" si="11">Z3+W3</f>
        <v>900000</v>
      </c>
      <c r="AD3" s="45">
        <f t="shared" ref="AD3:AD66" si="12">AC3/AB3-1</f>
        <v>0.5</v>
      </c>
      <c r="AE3" s="108">
        <v>39300</v>
      </c>
      <c r="AF3" s="108">
        <v>39300</v>
      </c>
      <c r="AG3" s="45">
        <f t="shared" ref="AG3:AG66" si="13">AF3/AE3-1</f>
        <v>0</v>
      </c>
      <c r="AH3" s="108">
        <f t="shared" ref="AH3:AH66" si="14">AE3+AB3</f>
        <v>639300</v>
      </c>
      <c r="AI3" s="108">
        <f t="shared" ref="AI3:AI66" si="15">AF3+AC3</f>
        <v>939300</v>
      </c>
      <c r="AJ3" s="45">
        <f t="shared" ref="AJ3:AJ66" si="16">AI3/AH3-1</f>
        <v>0.469263256687001</v>
      </c>
      <c r="AK3" s="108">
        <v>200000</v>
      </c>
      <c r="AL3" s="108">
        <v>200000</v>
      </c>
      <c r="AM3" s="45">
        <f t="shared" ref="AM3:AM66" si="17">AL3/AK3-1</f>
        <v>0</v>
      </c>
      <c r="AN3" s="108">
        <f t="shared" ref="AN3:AN66" si="18">AK3+AH3</f>
        <v>839300</v>
      </c>
      <c r="AO3" s="108">
        <f t="shared" ref="AO3:AO66" si="19">AL3+AI3</f>
        <v>1139300</v>
      </c>
      <c r="AP3" s="45">
        <f t="shared" ref="AP3:AP66" si="20">AO3/AN3-1</f>
        <v>0.357440724413201</v>
      </c>
      <c r="AQ3" s="108"/>
      <c r="AR3" s="108"/>
      <c r="AS3" s="45" t="e">
        <f t="shared" ref="AS3:AS66" si="21">AR3/AQ3-1</f>
        <v>#DIV/0!</v>
      </c>
      <c r="AT3" s="108">
        <f t="shared" ref="AT3:AT66" si="22">AQ3+AN3</f>
        <v>839300</v>
      </c>
      <c r="AU3" s="108">
        <f t="shared" ref="AU3:AU66" si="23">AR3+AO3</f>
        <v>1139300</v>
      </c>
      <c r="AV3" s="45">
        <f t="shared" ref="AV3:AV66" si="24">AU3/AT3-1</f>
        <v>0.357440724413201</v>
      </c>
      <c r="AW3" s="36"/>
      <c r="AX3" s="36"/>
      <c r="AY3" s="45" t="e">
        <f t="shared" ref="AY3:AY66" si="25">AX3/AW3-1</f>
        <v>#DIV/0!</v>
      </c>
      <c r="AZ3" s="36">
        <f t="shared" ref="AZ3:AZ66" si="26">AW3+AT3</f>
        <v>839300</v>
      </c>
      <c r="BA3" s="36">
        <f t="shared" ref="BA3:BA66" si="27">AX3+AU3</f>
        <v>1139300</v>
      </c>
      <c r="BB3" s="45">
        <f t="shared" ref="BB3:BB66" si="28">BA3/AZ3-1</f>
        <v>0.357440724413201</v>
      </c>
      <c r="BC3" s="36">
        <v>200000</v>
      </c>
      <c r="BD3" s="36"/>
      <c r="BE3" s="45">
        <f t="shared" ref="BE3:BE66" si="29">BD3/BC3-1</f>
        <v>-1</v>
      </c>
      <c r="BF3" s="36">
        <f t="shared" ref="BF3:BF66" si="30">BC3+AZ3</f>
        <v>1039300</v>
      </c>
      <c r="BG3" s="36">
        <f t="shared" ref="BG3:BG66" si="31">BD3+BA3</f>
        <v>1139300</v>
      </c>
      <c r="BH3" s="45">
        <f t="shared" ref="BH3:BH66" si="32">BG3/BF3-1</f>
        <v>0.0962186086789185</v>
      </c>
      <c r="BI3" s="177">
        <v>350000</v>
      </c>
      <c r="BJ3" s="177">
        <v>200000</v>
      </c>
      <c r="BK3" s="45">
        <f>BJ3/BI3-1</f>
        <v>-0.428571428571429</v>
      </c>
      <c r="BL3" s="177">
        <f>BI3+BF3</f>
        <v>1389300</v>
      </c>
      <c r="BM3" s="177">
        <f>BJ3+BG3</f>
        <v>1339300</v>
      </c>
      <c r="BN3" s="45">
        <f t="shared" ref="BN3:BN66" si="33">BM3/BL3-1</f>
        <v>-0.0359893471532426</v>
      </c>
      <c r="BO3" s="176">
        <v>200000</v>
      </c>
      <c r="BP3" s="108">
        <v>250000</v>
      </c>
      <c r="BQ3" s="108">
        <v>1839300</v>
      </c>
      <c r="BR3" s="115">
        <f>BM3/10000/I3</f>
        <v>0.66965</v>
      </c>
      <c r="BS3" s="123">
        <v>39300</v>
      </c>
      <c r="BT3" s="108">
        <v>39300</v>
      </c>
    </row>
    <row r="4" spans="1:72">
      <c r="A4" s="110" t="s">
        <v>30</v>
      </c>
      <c r="B4" s="110" t="s">
        <v>30</v>
      </c>
      <c r="C4" s="262" t="s">
        <v>168</v>
      </c>
      <c r="D4" s="112" t="s">
        <v>67</v>
      </c>
      <c r="E4" s="112" t="s">
        <v>67</v>
      </c>
      <c r="F4" s="112" t="s">
        <v>166</v>
      </c>
      <c r="G4" s="112" t="s">
        <v>166</v>
      </c>
      <c r="H4" s="112" t="s">
        <v>167</v>
      </c>
      <c r="I4" s="175">
        <v>200</v>
      </c>
      <c r="J4" s="176">
        <v>7100</v>
      </c>
      <c r="K4" s="176">
        <v>110026.5</v>
      </c>
      <c r="L4" s="45">
        <f t="shared" si="0"/>
        <v>14.4966901408451</v>
      </c>
      <c r="M4" s="108"/>
      <c r="N4" s="108">
        <v>51544.9</v>
      </c>
      <c r="O4" s="45" t="e">
        <f t="shared" si="1"/>
        <v>#DIV/0!</v>
      </c>
      <c r="P4" s="108">
        <f t="shared" si="2"/>
        <v>7100</v>
      </c>
      <c r="Q4" s="108">
        <f t="shared" si="3"/>
        <v>161571.4</v>
      </c>
      <c r="R4" s="45">
        <f t="shared" si="4"/>
        <v>21.7565352112676</v>
      </c>
      <c r="S4" s="36">
        <v>3268</v>
      </c>
      <c r="T4" s="36">
        <v>37269</v>
      </c>
      <c r="U4" s="45">
        <f t="shared" si="5"/>
        <v>10.4042227662179</v>
      </c>
      <c r="V4" s="36">
        <f t="shared" si="6"/>
        <v>10368</v>
      </c>
      <c r="W4" s="36">
        <f t="shared" si="7"/>
        <v>198840.4</v>
      </c>
      <c r="X4" s="45">
        <f t="shared" si="8"/>
        <v>18.1782793209877</v>
      </c>
      <c r="Y4" s="108">
        <v>60000</v>
      </c>
      <c r="Z4" s="108">
        <v>54319</v>
      </c>
      <c r="AA4" s="45">
        <f t="shared" si="9"/>
        <v>-0.0946833333333333</v>
      </c>
      <c r="AB4" s="108">
        <f t="shared" si="10"/>
        <v>70368</v>
      </c>
      <c r="AC4" s="108">
        <f t="shared" si="11"/>
        <v>253159.4</v>
      </c>
      <c r="AD4" s="45">
        <f t="shared" si="12"/>
        <v>2.59764949977262</v>
      </c>
      <c r="AE4" s="108">
        <v>103268</v>
      </c>
      <c r="AF4" s="108">
        <v>50000</v>
      </c>
      <c r="AG4" s="45">
        <f t="shared" si="13"/>
        <v>-0.515822907386606</v>
      </c>
      <c r="AH4" s="108">
        <f t="shared" si="14"/>
        <v>173636</v>
      </c>
      <c r="AI4" s="108">
        <f t="shared" si="15"/>
        <v>303159.4</v>
      </c>
      <c r="AJ4" s="45">
        <f t="shared" si="16"/>
        <v>0.745947844916953</v>
      </c>
      <c r="AK4" s="108">
        <v>100000</v>
      </c>
      <c r="AL4" s="108">
        <f>0.0300000000133878+72940</f>
        <v>72940.03</v>
      </c>
      <c r="AM4" s="45">
        <f t="shared" si="17"/>
        <v>-0.2705997</v>
      </c>
      <c r="AN4" s="108">
        <f t="shared" si="18"/>
        <v>273636</v>
      </c>
      <c r="AO4" s="108">
        <f t="shared" si="19"/>
        <v>376099.43</v>
      </c>
      <c r="AP4" s="45">
        <f t="shared" si="20"/>
        <v>0.374451570699762</v>
      </c>
      <c r="AQ4" s="108">
        <v>12384</v>
      </c>
      <c r="AR4" s="108">
        <v>100000</v>
      </c>
      <c r="AS4" s="45">
        <f t="shared" si="21"/>
        <v>7.0749354005168</v>
      </c>
      <c r="AT4" s="108">
        <f t="shared" si="22"/>
        <v>286020</v>
      </c>
      <c r="AU4" s="108">
        <f t="shared" si="23"/>
        <v>476099.43</v>
      </c>
      <c r="AV4" s="45">
        <f t="shared" si="24"/>
        <v>0.664566918397315</v>
      </c>
      <c r="AW4" s="36">
        <v>29898</v>
      </c>
      <c r="AX4" s="36">
        <f>6605+20000</f>
        <v>26605</v>
      </c>
      <c r="AY4" s="45">
        <f t="shared" si="25"/>
        <v>-0.110141146564988</v>
      </c>
      <c r="AZ4" s="36">
        <f t="shared" si="26"/>
        <v>315918</v>
      </c>
      <c r="BA4" s="36">
        <f t="shared" si="27"/>
        <v>502704.43</v>
      </c>
      <c r="BB4" s="45">
        <f t="shared" si="28"/>
        <v>0.591249723029394</v>
      </c>
      <c r="BC4" s="36">
        <v>289254</v>
      </c>
      <c r="BD4" s="36">
        <f>5200+90834</f>
        <v>96034</v>
      </c>
      <c r="BE4" s="45">
        <f t="shared" si="29"/>
        <v>-0.667994219613212</v>
      </c>
      <c r="BF4" s="36">
        <f t="shared" si="30"/>
        <v>605172</v>
      </c>
      <c r="BG4" s="36">
        <f t="shared" si="31"/>
        <v>598738.43</v>
      </c>
      <c r="BH4" s="45">
        <f t="shared" si="32"/>
        <v>-0.0106309776394148</v>
      </c>
      <c r="BI4" s="177">
        <v>462240.91</v>
      </c>
      <c r="BJ4" s="177">
        <v>30000</v>
      </c>
      <c r="BK4" s="45">
        <f t="shared" ref="BK4:BK35" si="34">BJ4/BI4-1</f>
        <v>-0.935098777821288</v>
      </c>
      <c r="BL4" s="177">
        <f t="shared" ref="BL4:BL35" si="35">BI4+BF4</f>
        <v>1067412.91</v>
      </c>
      <c r="BM4" s="177">
        <f t="shared" ref="BM4:BM35" si="36">BJ4+BG4</f>
        <v>628738.43</v>
      </c>
      <c r="BN4" s="45">
        <f t="shared" si="33"/>
        <v>-0.410969809237177</v>
      </c>
      <c r="BO4" s="176">
        <v>272413.9</v>
      </c>
      <c r="BP4" s="108">
        <v>262193</v>
      </c>
      <c r="BQ4" s="108">
        <v>1662323.81</v>
      </c>
      <c r="BR4" s="115">
        <f t="shared" ref="BR4:BR35" si="37">BM4/10000/I4</f>
        <v>0.314369215</v>
      </c>
      <c r="BS4" s="108">
        <v>60304</v>
      </c>
      <c r="BT4" s="108"/>
    </row>
    <row r="5" spans="1:72">
      <c r="A5" s="110" t="s">
        <v>30</v>
      </c>
      <c r="B5" s="110" t="s">
        <v>30</v>
      </c>
      <c r="C5" s="262" t="s">
        <v>169</v>
      </c>
      <c r="D5" s="112" t="s">
        <v>63</v>
      </c>
      <c r="E5" s="112" t="s">
        <v>58</v>
      </c>
      <c r="F5" s="112" t="s">
        <v>170</v>
      </c>
      <c r="G5" s="112" t="s">
        <v>171</v>
      </c>
      <c r="H5" s="112" t="s">
        <v>172</v>
      </c>
      <c r="I5" s="175">
        <v>40</v>
      </c>
      <c r="J5" s="176">
        <v>33624</v>
      </c>
      <c r="K5" s="176">
        <v>58693</v>
      </c>
      <c r="L5" s="45">
        <f t="shared" si="0"/>
        <v>0.745568641446586</v>
      </c>
      <c r="M5" s="108">
        <v>37151</v>
      </c>
      <c r="N5" s="108">
        <v>72815</v>
      </c>
      <c r="O5" s="45">
        <f t="shared" si="1"/>
        <v>0.959974159511184</v>
      </c>
      <c r="P5" s="108">
        <f t="shared" si="2"/>
        <v>70775</v>
      </c>
      <c r="Q5" s="108">
        <f t="shared" si="3"/>
        <v>131508</v>
      </c>
      <c r="R5" s="45">
        <f t="shared" si="4"/>
        <v>0.858113740727658</v>
      </c>
      <c r="S5" s="36"/>
      <c r="T5" s="36">
        <v>36035</v>
      </c>
      <c r="U5" s="45" t="e">
        <f t="shared" si="5"/>
        <v>#DIV/0!</v>
      </c>
      <c r="V5" s="36">
        <f t="shared" si="6"/>
        <v>70775</v>
      </c>
      <c r="W5" s="36">
        <f t="shared" si="7"/>
        <v>167543</v>
      </c>
      <c r="X5" s="45">
        <f t="shared" si="8"/>
        <v>1.36726245143059</v>
      </c>
      <c r="Y5" s="108">
        <v>19532</v>
      </c>
      <c r="Z5" s="108">
        <v>12208</v>
      </c>
      <c r="AA5" s="45">
        <f t="shared" si="9"/>
        <v>-0.374974400983002</v>
      </c>
      <c r="AB5" s="108">
        <f t="shared" si="10"/>
        <v>90307</v>
      </c>
      <c r="AC5" s="108">
        <f t="shared" si="11"/>
        <v>179751</v>
      </c>
      <c r="AD5" s="45">
        <f t="shared" si="12"/>
        <v>0.990443708682605</v>
      </c>
      <c r="AE5" s="108">
        <v>67757</v>
      </c>
      <c r="AF5" s="108">
        <v>21637</v>
      </c>
      <c r="AG5" s="45">
        <f t="shared" si="13"/>
        <v>-0.680667680092094</v>
      </c>
      <c r="AH5" s="108">
        <f t="shared" si="14"/>
        <v>158064</v>
      </c>
      <c r="AI5" s="108">
        <f t="shared" si="15"/>
        <v>201388</v>
      </c>
      <c r="AJ5" s="45">
        <f t="shared" si="16"/>
        <v>0.274091507237575</v>
      </c>
      <c r="AK5" s="108">
        <v>15640</v>
      </c>
      <c r="AL5" s="108">
        <f>44135.91+18700</f>
        <v>62835.91</v>
      </c>
      <c r="AM5" s="45">
        <f t="shared" si="17"/>
        <v>3.01764130434783</v>
      </c>
      <c r="AN5" s="108">
        <f t="shared" si="18"/>
        <v>173704</v>
      </c>
      <c r="AO5" s="108">
        <f t="shared" si="19"/>
        <v>264223.91</v>
      </c>
      <c r="AP5" s="45">
        <f t="shared" si="20"/>
        <v>0.52111586376825</v>
      </c>
      <c r="AQ5" s="108">
        <v>63952</v>
      </c>
      <c r="AR5" s="108">
        <v>68402.09</v>
      </c>
      <c r="AS5" s="45">
        <f t="shared" si="21"/>
        <v>0.0695848448836627</v>
      </c>
      <c r="AT5" s="108">
        <f t="shared" si="22"/>
        <v>237656</v>
      </c>
      <c r="AU5" s="108">
        <f t="shared" si="23"/>
        <v>332626</v>
      </c>
      <c r="AV5" s="45">
        <f t="shared" si="24"/>
        <v>0.399611202746827</v>
      </c>
      <c r="AW5" s="36">
        <v>39854</v>
      </c>
      <c r="AX5" s="36">
        <v>188073</v>
      </c>
      <c r="AY5" s="45">
        <f t="shared" si="25"/>
        <v>3.71904953078737</v>
      </c>
      <c r="AZ5" s="36">
        <f t="shared" si="26"/>
        <v>277510</v>
      </c>
      <c r="BA5" s="36">
        <f t="shared" si="27"/>
        <v>520699</v>
      </c>
      <c r="BB5" s="45">
        <f t="shared" si="28"/>
        <v>0.876325177471082</v>
      </c>
      <c r="BC5" s="36">
        <v>15860</v>
      </c>
      <c r="BD5" s="36">
        <v>8158</v>
      </c>
      <c r="BE5" s="45">
        <f t="shared" si="29"/>
        <v>-0.48562421185372</v>
      </c>
      <c r="BF5" s="36">
        <f t="shared" si="30"/>
        <v>293370</v>
      </c>
      <c r="BG5" s="36">
        <f t="shared" si="31"/>
        <v>528857</v>
      </c>
      <c r="BH5" s="45">
        <f t="shared" si="32"/>
        <v>0.802696253877356</v>
      </c>
      <c r="BI5" s="177">
        <v>29786</v>
      </c>
      <c r="BJ5" s="177"/>
      <c r="BK5" s="45">
        <f t="shared" si="34"/>
        <v>-1</v>
      </c>
      <c r="BL5" s="177">
        <f t="shared" si="35"/>
        <v>323156</v>
      </c>
      <c r="BM5" s="177">
        <f t="shared" si="36"/>
        <v>528857</v>
      </c>
      <c r="BN5" s="45">
        <f t="shared" si="33"/>
        <v>0.636537771231232</v>
      </c>
      <c r="BO5" s="176">
        <v>54967</v>
      </c>
      <c r="BP5" s="108">
        <v>5141</v>
      </c>
      <c r="BQ5" s="108">
        <v>383264</v>
      </c>
      <c r="BR5" s="115">
        <f t="shared" si="37"/>
        <v>1.3221425</v>
      </c>
      <c r="BS5" s="123">
        <v>22700</v>
      </c>
      <c r="BT5" s="178">
        <v>18700</v>
      </c>
    </row>
    <row r="6" spans="1:72">
      <c r="A6" s="110" t="s">
        <v>30</v>
      </c>
      <c r="B6" s="110" t="s">
        <v>30</v>
      </c>
      <c r="C6" s="111" t="s">
        <v>173</v>
      </c>
      <c r="D6" s="112" t="s">
        <v>63</v>
      </c>
      <c r="E6" s="112" t="s">
        <v>58</v>
      </c>
      <c r="F6" s="112" t="s">
        <v>166</v>
      </c>
      <c r="G6" s="112" t="s">
        <v>166</v>
      </c>
      <c r="H6" s="112" t="s">
        <v>167</v>
      </c>
      <c r="I6" s="175">
        <v>80</v>
      </c>
      <c r="J6" s="176"/>
      <c r="K6" s="176">
        <v>80000</v>
      </c>
      <c r="L6" s="45" t="e">
        <f t="shared" si="0"/>
        <v>#DIV/0!</v>
      </c>
      <c r="M6" s="108"/>
      <c r="N6" s="108">
        <v>110000</v>
      </c>
      <c r="O6" s="45" t="e">
        <f t="shared" si="1"/>
        <v>#DIV/0!</v>
      </c>
      <c r="P6" s="108">
        <f t="shared" si="2"/>
        <v>0</v>
      </c>
      <c r="Q6" s="108">
        <f t="shared" si="3"/>
        <v>190000</v>
      </c>
      <c r="R6" s="45" t="e">
        <f t="shared" si="4"/>
        <v>#DIV/0!</v>
      </c>
      <c r="S6" s="36">
        <v>160000</v>
      </c>
      <c r="T6" s="36">
        <v>20000</v>
      </c>
      <c r="U6" s="45">
        <f t="shared" si="5"/>
        <v>-0.875</v>
      </c>
      <c r="V6" s="36">
        <f t="shared" si="6"/>
        <v>160000</v>
      </c>
      <c r="W6" s="36">
        <f t="shared" si="7"/>
        <v>210000</v>
      </c>
      <c r="X6" s="45">
        <f t="shared" si="8"/>
        <v>0.3125</v>
      </c>
      <c r="Y6" s="108"/>
      <c r="Z6" s="108">
        <v>30000</v>
      </c>
      <c r="AA6" s="45" t="e">
        <f t="shared" si="9"/>
        <v>#DIV/0!</v>
      </c>
      <c r="AB6" s="108">
        <f t="shared" si="10"/>
        <v>160000</v>
      </c>
      <c r="AC6" s="108">
        <f t="shared" si="11"/>
        <v>240000</v>
      </c>
      <c r="AD6" s="45">
        <f t="shared" si="12"/>
        <v>0.5</v>
      </c>
      <c r="AE6" s="108">
        <v>70000</v>
      </c>
      <c r="AF6" s="108">
        <v>80000</v>
      </c>
      <c r="AG6" s="45">
        <f t="shared" si="13"/>
        <v>0.142857142857143</v>
      </c>
      <c r="AH6" s="108">
        <f t="shared" si="14"/>
        <v>230000</v>
      </c>
      <c r="AI6" s="108">
        <f t="shared" si="15"/>
        <v>320000</v>
      </c>
      <c r="AJ6" s="45">
        <f t="shared" si="16"/>
        <v>0.391304347826087</v>
      </c>
      <c r="AK6" s="108">
        <v>80000</v>
      </c>
      <c r="AL6" s="108">
        <v>80000</v>
      </c>
      <c r="AM6" s="45">
        <f t="shared" si="17"/>
        <v>0</v>
      </c>
      <c r="AN6" s="108">
        <f t="shared" si="18"/>
        <v>310000</v>
      </c>
      <c r="AO6" s="108">
        <f t="shared" si="19"/>
        <v>400000</v>
      </c>
      <c r="AP6" s="45">
        <f t="shared" si="20"/>
        <v>0.290322580645161</v>
      </c>
      <c r="AQ6" s="108">
        <v>100000</v>
      </c>
      <c r="AR6" s="108">
        <v>60000</v>
      </c>
      <c r="AS6" s="45">
        <f t="shared" si="21"/>
        <v>-0.4</v>
      </c>
      <c r="AT6" s="108">
        <f t="shared" si="22"/>
        <v>410000</v>
      </c>
      <c r="AU6" s="108">
        <f t="shared" si="23"/>
        <v>460000</v>
      </c>
      <c r="AV6" s="45">
        <f t="shared" si="24"/>
        <v>0.121951219512195</v>
      </c>
      <c r="AW6" s="36"/>
      <c r="AX6" s="36">
        <v>60000</v>
      </c>
      <c r="AY6" s="45" t="e">
        <f t="shared" si="25"/>
        <v>#DIV/0!</v>
      </c>
      <c r="AZ6" s="36">
        <f t="shared" si="26"/>
        <v>410000</v>
      </c>
      <c r="BA6" s="36">
        <f t="shared" si="27"/>
        <v>520000</v>
      </c>
      <c r="BB6" s="45">
        <f t="shared" si="28"/>
        <v>0.268292682926829</v>
      </c>
      <c r="BC6" s="36">
        <v>100000</v>
      </c>
      <c r="BD6" s="36"/>
      <c r="BE6" s="45">
        <f t="shared" si="29"/>
        <v>-1</v>
      </c>
      <c r="BF6" s="36">
        <f t="shared" si="30"/>
        <v>510000</v>
      </c>
      <c r="BG6" s="36">
        <f t="shared" si="31"/>
        <v>520000</v>
      </c>
      <c r="BH6" s="45">
        <f t="shared" si="32"/>
        <v>0.0196078431372548</v>
      </c>
      <c r="BI6" s="177">
        <v>110000</v>
      </c>
      <c r="BJ6" s="177"/>
      <c r="BK6" s="45">
        <f t="shared" si="34"/>
        <v>-1</v>
      </c>
      <c r="BL6" s="177">
        <f t="shared" si="35"/>
        <v>620000</v>
      </c>
      <c r="BM6" s="177">
        <f t="shared" si="36"/>
        <v>520000</v>
      </c>
      <c r="BN6" s="45">
        <f t="shared" si="33"/>
        <v>-0.161290322580645</v>
      </c>
      <c r="BO6" s="176">
        <v>100000</v>
      </c>
      <c r="BP6" s="108">
        <v>100000</v>
      </c>
      <c r="BQ6" s="108">
        <v>820000</v>
      </c>
      <c r="BR6" s="115">
        <f t="shared" si="37"/>
        <v>0.65</v>
      </c>
      <c r="BS6" s="123">
        <v>20000</v>
      </c>
      <c r="BT6" s="108">
        <v>20000</v>
      </c>
    </row>
    <row r="7" spans="1:72">
      <c r="A7" s="110" t="s">
        <v>30</v>
      </c>
      <c r="B7" s="110" t="s">
        <v>30</v>
      </c>
      <c r="C7" s="111" t="s">
        <v>174</v>
      </c>
      <c r="D7" s="112" t="s">
        <v>67</v>
      </c>
      <c r="E7" s="112" t="s">
        <v>67</v>
      </c>
      <c r="F7" s="112" t="s">
        <v>175</v>
      </c>
      <c r="G7" s="112" t="s">
        <v>175</v>
      </c>
      <c r="H7" s="108" t="s">
        <v>176</v>
      </c>
      <c r="I7" s="175">
        <v>200</v>
      </c>
      <c r="J7" s="176">
        <v>150726</v>
      </c>
      <c r="K7" s="176">
        <v>20575</v>
      </c>
      <c r="L7" s="45">
        <f t="shared" si="0"/>
        <v>-0.863494022265568</v>
      </c>
      <c r="M7" s="108">
        <v>53331</v>
      </c>
      <c r="N7" s="108">
        <v>-371.06</v>
      </c>
      <c r="O7" s="45">
        <f t="shared" si="1"/>
        <v>-1.00695767939847</v>
      </c>
      <c r="P7" s="108">
        <f t="shared" si="2"/>
        <v>204057</v>
      </c>
      <c r="Q7" s="108">
        <f t="shared" si="3"/>
        <v>20203.94</v>
      </c>
      <c r="R7" s="45">
        <f t="shared" si="4"/>
        <v>-0.900988743341321</v>
      </c>
      <c r="S7" s="36">
        <v>35010</v>
      </c>
      <c r="T7" s="36">
        <f>8648+20304.6</f>
        <v>28952.6</v>
      </c>
      <c r="U7" s="45">
        <f t="shared" si="5"/>
        <v>-0.173019137389317</v>
      </c>
      <c r="V7" s="36">
        <f t="shared" si="6"/>
        <v>239067</v>
      </c>
      <c r="W7" s="36">
        <f t="shared" si="7"/>
        <v>49156.54</v>
      </c>
      <c r="X7" s="45">
        <f t="shared" si="8"/>
        <v>-0.794381742356745</v>
      </c>
      <c r="Y7" s="108">
        <v>60312</v>
      </c>
      <c r="Z7" s="108">
        <v>32656</v>
      </c>
      <c r="AA7" s="45">
        <f t="shared" si="9"/>
        <v>-0.458548879161693</v>
      </c>
      <c r="AB7" s="108">
        <f t="shared" si="10"/>
        <v>299379</v>
      </c>
      <c r="AC7" s="108">
        <f t="shared" si="11"/>
        <v>81812.54</v>
      </c>
      <c r="AD7" s="45">
        <f t="shared" si="12"/>
        <v>-0.726725855854953</v>
      </c>
      <c r="AE7" s="108">
        <v>49398</v>
      </c>
      <c r="AF7" s="108">
        <v>105620</v>
      </c>
      <c r="AG7" s="45">
        <f t="shared" si="13"/>
        <v>1.13814324466578</v>
      </c>
      <c r="AH7" s="108">
        <f t="shared" si="14"/>
        <v>348777</v>
      </c>
      <c r="AI7" s="108">
        <f t="shared" si="15"/>
        <v>187432.54</v>
      </c>
      <c r="AJ7" s="45">
        <f t="shared" si="16"/>
        <v>-0.462600630202106</v>
      </c>
      <c r="AK7" s="108">
        <v>91407</v>
      </c>
      <c r="AL7" s="108">
        <f>17340+11306</f>
        <v>28646</v>
      </c>
      <c r="AM7" s="45">
        <f t="shared" si="17"/>
        <v>-0.686610434649425</v>
      </c>
      <c r="AN7" s="108">
        <f t="shared" si="18"/>
        <v>440184</v>
      </c>
      <c r="AO7" s="108">
        <f t="shared" si="19"/>
        <v>216078.54</v>
      </c>
      <c r="AP7" s="45">
        <f t="shared" si="20"/>
        <v>-0.50911768714901</v>
      </c>
      <c r="AQ7" s="108">
        <v>102755</v>
      </c>
      <c r="AR7" s="108">
        <v>103214</v>
      </c>
      <c r="AS7" s="45">
        <f t="shared" si="21"/>
        <v>0.00446693591552716</v>
      </c>
      <c r="AT7" s="108">
        <f t="shared" si="22"/>
        <v>542939</v>
      </c>
      <c r="AU7" s="108">
        <f t="shared" si="23"/>
        <v>319292.54</v>
      </c>
      <c r="AV7" s="45">
        <f t="shared" si="24"/>
        <v>-0.411918208122828</v>
      </c>
      <c r="AW7" s="36">
        <v>96945</v>
      </c>
      <c r="AX7" s="36">
        <v>78496</v>
      </c>
      <c r="AY7" s="45">
        <f t="shared" si="25"/>
        <v>-0.190303780494095</v>
      </c>
      <c r="AZ7" s="36">
        <f t="shared" si="26"/>
        <v>639884</v>
      </c>
      <c r="BA7" s="36">
        <f t="shared" si="27"/>
        <v>397788.54</v>
      </c>
      <c r="BB7" s="45">
        <f t="shared" si="28"/>
        <v>-0.37834273086997</v>
      </c>
      <c r="BC7" s="36">
        <v>121278</v>
      </c>
      <c r="BD7" s="36">
        <v>144395</v>
      </c>
      <c r="BE7" s="45">
        <f t="shared" si="29"/>
        <v>0.19061165256683</v>
      </c>
      <c r="BF7" s="36">
        <f t="shared" si="30"/>
        <v>761162</v>
      </c>
      <c r="BG7" s="36">
        <f t="shared" si="31"/>
        <v>542183.54</v>
      </c>
      <c r="BH7" s="45">
        <f t="shared" si="32"/>
        <v>-0.287689690236769</v>
      </c>
      <c r="BI7" s="177">
        <v>269643.8</v>
      </c>
      <c r="BJ7" s="177">
        <v>50896</v>
      </c>
      <c r="BK7" s="45">
        <f t="shared" si="34"/>
        <v>-0.811247282526058</v>
      </c>
      <c r="BL7" s="177">
        <f t="shared" si="35"/>
        <v>1030805.8</v>
      </c>
      <c r="BM7" s="177">
        <f t="shared" si="36"/>
        <v>593079.54</v>
      </c>
      <c r="BN7" s="45">
        <f t="shared" si="33"/>
        <v>-0.424644739096346</v>
      </c>
      <c r="BO7" s="176">
        <v>186250.18</v>
      </c>
      <c r="BP7" s="108">
        <v>311638</v>
      </c>
      <c r="BQ7" s="108">
        <v>1601249.98</v>
      </c>
      <c r="BR7" s="115">
        <f t="shared" si="37"/>
        <v>0.29653977</v>
      </c>
      <c r="BS7" s="108">
        <v>72556</v>
      </c>
      <c r="BT7" s="108"/>
    </row>
    <row r="8" spans="1:72">
      <c r="A8" s="110" t="s">
        <v>30</v>
      </c>
      <c r="B8" s="110" t="s">
        <v>30</v>
      </c>
      <c r="C8" s="111" t="s">
        <v>177</v>
      </c>
      <c r="D8" s="112" t="s">
        <v>86</v>
      </c>
      <c r="E8" s="112" t="s">
        <v>86</v>
      </c>
      <c r="F8" s="112" t="s">
        <v>170</v>
      </c>
      <c r="G8" s="112" t="s">
        <v>171</v>
      </c>
      <c r="H8" s="112" t="s">
        <v>172</v>
      </c>
      <c r="I8" s="175">
        <v>130</v>
      </c>
      <c r="J8" s="176">
        <v>80554</v>
      </c>
      <c r="K8" s="176">
        <v>54160</v>
      </c>
      <c r="L8" s="45">
        <f t="shared" si="0"/>
        <v>-0.327655982322417</v>
      </c>
      <c r="M8" s="108">
        <v>42545</v>
      </c>
      <c r="N8" s="108">
        <v>78703.5</v>
      </c>
      <c r="O8" s="45">
        <f t="shared" si="1"/>
        <v>0.84988835350805</v>
      </c>
      <c r="P8" s="108">
        <f t="shared" si="2"/>
        <v>123099</v>
      </c>
      <c r="Q8" s="108">
        <f t="shared" si="3"/>
        <v>132863.5</v>
      </c>
      <c r="R8" s="45">
        <f t="shared" si="4"/>
        <v>0.0793223340563287</v>
      </c>
      <c r="S8" s="36">
        <v>80322</v>
      </c>
      <c r="T8" s="36">
        <v>111622</v>
      </c>
      <c r="U8" s="45">
        <f t="shared" si="5"/>
        <v>0.389681531834367</v>
      </c>
      <c r="V8" s="36">
        <f t="shared" si="6"/>
        <v>203421</v>
      </c>
      <c r="W8" s="36">
        <f t="shared" si="7"/>
        <v>244485.5</v>
      </c>
      <c r="X8" s="45">
        <f t="shared" si="8"/>
        <v>0.201869521829113</v>
      </c>
      <c r="Y8" s="108">
        <v>82245</v>
      </c>
      <c r="Z8" s="108">
        <v>108126.8</v>
      </c>
      <c r="AA8" s="45">
        <f t="shared" si="9"/>
        <v>0.314691470606116</v>
      </c>
      <c r="AB8" s="108">
        <f t="shared" si="10"/>
        <v>285666</v>
      </c>
      <c r="AC8" s="108">
        <f t="shared" si="11"/>
        <v>352612.3</v>
      </c>
      <c r="AD8" s="45">
        <f t="shared" si="12"/>
        <v>0.234351655429768</v>
      </c>
      <c r="AE8" s="108">
        <v>78688</v>
      </c>
      <c r="AF8" s="108">
        <v>62030</v>
      </c>
      <c r="AG8" s="45">
        <f t="shared" si="13"/>
        <v>-0.211696827978853</v>
      </c>
      <c r="AH8" s="108">
        <f t="shared" si="14"/>
        <v>364354</v>
      </c>
      <c r="AI8" s="108">
        <f t="shared" si="15"/>
        <v>414642.3</v>
      </c>
      <c r="AJ8" s="45">
        <f t="shared" si="16"/>
        <v>0.138020441658387</v>
      </c>
      <c r="AK8" s="108">
        <v>102296</v>
      </c>
      <c r="AL8" s="108">
        <v>136503.8</v>
      </c>
      <c r="AM8" s="45">
        <f t="shared" si="17"/>
        <v>0.334400172049738</v>
      </c>
      <c r="AN8" s="108">
        <f t="shared" si="18"/>
        <v>466650</v>
      </c>
      <c r="AO8" s="108">
        <f t="shared" si="19"/>
        <v>551146.1</v>
      </c>
      <c r="AP8" s="45">
        <f t="shared" si="20"/>
        <v>0.181069538197793</v>
      </c>
      <c r="AQ8" s="108">
        <v>92823</v>
      </c>
      <c r="AR8" s="108">
        <v>49728.5</v>
      </c>
      <c r="AS8" s="45">
        <f t="shared" si="21"/>
        <v>-0.464265322172306</v>
      </c>
      <c r="AT8" s="108">
        <f t="shared" si="22"/>
        <v>559473</v>
      </c>
      <c r="AU8" s="108">
        <f t="shared" si="23"/>
        <v>600874.6</v>
      </c>
      <c r="AV8" s="45">
        <f t="shared" si="24"/>
        <v>0.0740010688630193</v>
      </c>
      <c r="AW8" s="36">
        <v>88958</v>
      </c>
      <c r="AX8" s="36">
        <v>111809</v>
      </c>
      <c r="AY8" s="45">
        <f t="shared" si="25"/>
        <v>0.256874030441332</v>
      </c>
      <c r="AZ8" s="36">
        <f t="shared" si="26"/>
        <v>648431</v>
      </c>
      <c r="BA8" s="36">
        <f t="shared" si="27"/>
        <v>712683.6</v>
      </c>
      <c r="BB8" s="45">
        <f t="shared" si="28"/>
        <v>0.0990893402690494</v>
      </c>
      <c r="BC8" s="36">
        <v>137424</v>
      </c>
      <c r="BD8" s="36">
        <v>82873</v>
      </c>
      <c r="BE8" s="45">
        <f t="shared" si="29"/>
        <v>-0.396953952730236</v>
      </c>
      <c r="BF8" s="36">
        <f t="shared" si="30"/>
        <v>785855</v>
      </c>
      <c r="BG8" s="36">
        <f t="shared" si="31"/>
        <v>795556.6</v>
      </c>
      <c r="BH8" s="45">
        <f t="shared" si="32"/>
        <v>0.0123452799816759</v>
      </c>
      <c r="BI8" s="177">
        <v>145840</v>
      </c>
      <c r="BJ8" s="177">
        <v>123898</v>
      </c>
      <c r="BK8" s="45">
        <f t="shared" si="34"/>
        <v>-0.150452550740538</v>
      </c>
      <c r="BL8" s="177">
        <f t="shared" si="35"/>
        <v>931695</v>
      </c>
      <c r="BM8" s="177">
        <f t="shared" si="36"/>
        <v>919454.6</v>
      </c>
      <c r="BN8" s="45">
        <f t="shared" si="33"/>
        <v>-0.0131377757742609</v>
      </c>
      <c r="BO8" s="176">
        <v>154297</v>
      </c>
      <c r="BP8" s="108">
        <v>217980</v>
      </c>
      <c r="BQ8" s="108">
        <v>1303972</v>
      </c>
      <c r="BR8" s="115">
        <f t="shared" si="37"/>
        <v>0.707272769230769</v>
      </c>
      <c r="BS8" s="108"/>
      <c r="BT8" s="108"/>
    </row>
    <row r="9" spans="1:72">
      <c r="A9" s="110" t="s">
        <v>30</v>
      </c>
      <c r="B9" s="110" t="s">
        <v>30</v>
      </c>
      <c r="C9" s="111" t="s">
        <v>178</v>
      </c>
      <c r="D9" s="112" t="s">
        <v>86</v>
      </c>
      <c r="E9" s="112" t="s">
        <v>86</v>
      </c>
      <c r="F9" s="112" t="s">
        <v>179</v>
      </c>
      <c r="G9" s="112" t="s">
        <v>179</v>
      </c>
      <c r="H9" s="112" t="s">
        <v>167</v>
      </c>
      <c r="I9" s="175">
        <v>65</v>
      </c>
      <c r="J9" s="176">
        <v>41916</v>
      </c>
      <c r="K9" s="176">
        <v>10650</v>
      </c>
      <c r="L9" s="45">
        <f t="shared" si="0"/>
        <v>-0.745920412253078</v>
      </c>
      <c r="M9" s="108">
        <v>17600</v>
      </c>
      <c r="N9" s="108">
        <v>18535.5</v>
      </c>
      <c r="O9" s="45">
        <f t="shared" si="1"/>
        <v>0.0531534090909092</v>
      </c>
      <c r="P9" s="108">
        <f t="shared" si="2"/>
        <v>59516</v>
      </c>
      <c r="Q9" s="108">
        <f t="shared" si="3"/>
        <v>29185.5</v>
      </c>
      <c r="R9" s="45">
        <f t="shared" si="4"/>
        <v>-0.509619262047181</v>
      </c>
      <c r="S9" s="36">
        <v>56848.08</v>
      </c>
      <c r="T9" s="36">
        <v>58315</v>
      </c>
      <c r="U9" s="45">
        <f t="shared" si="5"/>
        <v>0.0258042136163614</v>
      </c>
      <c r="V9" s="36">
        <f t="shared" si="6"/>
        <v>116364.08</v>
      </c>
      <c r="W9" s="36">
        <f t="shared" si="7"/>
        <v>87500.5</v>
      </c>
      <c r="X9" s="45">
        <f t="shared" si="8"/>
        <v>-0.248045444951741</v>
      </c>
      <c r="Y9" s="108">
        <v>37938</v>
      </c>
      <c r="Z9" s="108">
        <v>31440</v>
      </c>
      <c r="AA9" s="45">
        <f t="shared" si="9"/>
        <v>-0.171279455954452</v>
      </c>
      <c r="AB9" s="108">
        <f t="shared" si="10"/>
        <v>154302.08</v>
      </c>
      <c r="AC9" s="108">
        <f t="shared" si="11"/>
        <v>118940.5</v>
      </c>
      <c r="AD9" s="45">
        <f t="shared" si="12"/>
        <v>-0.229171116811906</v>
      </c>
      <c r="AE9" s="108">
        <v>39900</v>
      </c>
      <c r="AF9" s="108">
        <v>10279</v>
      </c>
      <c r="AG9" s="45">
        <f t="shared" si="13"/>
        <v>-0.742380952380952</v>
      </c>
      <c r="AH9" s="108">
        <f t="shared" si="14"/>
        <v>194202.08</v>
      </c>
      <c r="AI9" s="108">
        <f t="shared" si="15"/>
        <v>129219.5</v>
      </c>
      <c r="AJ9" s="45">
        <f t="shared" si="16"/>
        <v>-0.334613202906993</v>
      </c>
      <c r="AK9" s="108">
        <v>47460</v>
      </c>
      <c r="AL9" s="108">
        <v>52960</v>
      </c>
      <c r="AM9" s="45">
        <f t="shared" si="17"/>
        <v>0.115887062789718</v>
      </c>
      <c r="AN9" s="108">
        <f t="shared" si="18"/>
        <v>241662.08</v>
      </c>
      <c r="AO9" s="108">
        <f t="shared" si="19"/>
        <v>182179.5</v>
      </c>
      <c r="AP9" s="45">
        <f t="shared" si="20"/>
        <v>-0.246139485350784</v>
      </c>
      <c r="AQ9" s="108">
        <v>30826</v>
      </c>
      <c r="AR9" s="108">
        <v>34290</v>
      </c>
      <c r="AS9" s="45">
        <f t="shared" si="21"/>
        <v>0.112372672419386</v>
      </c>
      <c r="AT9" s="108">
        <f t="shared" si="22"/>
        <v>272488.08</v>
      </c>
      <c r="AU9" s="108">
        <f t="shared" si="23"/>
        <v>216469.5</v>
      </c>
      <c r="AV9" s="45">
        <f t="shared" si="24"/>
        <v>-0.205581763429799</v>
      </c>
      <c r="AW9" s="36">
        <v>36600</v>
      </c>
      <c r="AX9" s="36">
        <v>29003</v>
      </c>
      <c r="AY9" s="45">
        <f t="shared" si="25"/>
        <v>-0.207568306010929</v>
      </c>
      <c r="AZ9" s="36">
        <f t="shared" si="26"/>
        <v>309088.08</v>
      </c>
      <c r="BA9" s="36">
        <f t="shared" si="27"/>
        <v>245472.5</v>
      </c>
      <c r="BB9" s="45">
        <f t="shared" si="28"/>
        <v>-0.20581699559556</v>
      </c>
      <c r="BC9" s="36">
        <v>109530</v>
      </c>
      <c r="BD9" s="36">
        <v>14928</v>
      </c>
      <c r="BE9" s="45">
        <f t="shared" si="29"/>
        <v>-0.8637085729937</v>
      </c>
      <c r="BF9" s="36">
        <f t="shared" si="30"/>
        <v>418618.08</v>
      </c>
      <c r="BG9" s="36">
        <f t="shared" si="31"/>
        <v>260400.5</v>
      </c>
      <c r="BH9" s="45">
        <f t="shared" si="32"/>
        <v>-0.377952094185707</v>
      </c>
      <c r="BI9" s="177">
        <v>64023</v>
      </c>
      <c r="BJ9" s="177">
        <v>12950</v>
      </c>
      <c r="BK9" s="45">
        <f t="shared" si="34"/>
        <v>-0.79772894116177</v>
      </c>
      <c r="BL9" s="177">
        <f t="shared" si="35"/>
        <v>482641.08</v>
      </c>
      <c r="BM9" s="177">
        <f t="shared" si="36"/>
        <v>273350.5</v>
      </c>
      <c r="BN9" s="45">
        <f t="shared" si="33"/>
        <v>-0.433636067613639</v>
      </c>
      <c r="BO9" s="176">
        <v>31190</v>
      </c>
      <c r="BP9" s="108">
        <v>89844</v>
      </c>
      <c r="BQ9" s="108">
        <v>603675.08</v>
      </c>
      <c r="BR9" s="115">
        <f t="shared" si="37"/>
        <v>0.420539230769231</v>
      </c>
      <c r="BS9" s="108"/>
      <c r="BT9" s="108"/>
    </row>
    <row r="10" spans="1:72">
      <c r="A10" s="110" t="s">
        <v>30</v>
      </c>
      <c r="B10" s="110" t="s">
        <v>30</v>
      </c>
      <c r="C10" s="111" t="s">
        <v>180</v>
      </c>
      <c r="D10" s="112" t="s">
        <v>86</v>
      </c>
      <c r="E10" s="112" t="s">
        <v>86</v>
      </c>
      <c r="F10" s="112" t="s">
        <v>170</v>
      </c>
      <c r="G10" s="112" t="s">
        <v>171</v>
      </c>
      <c r="H10" s="112" t="s">
        <v>172</v>
      </c>
      <c r="I10" s="175">
        <v>60</v>
      </c>
      <c r="J10" s="176">
        <v>31309</v>
      </c>
      <c r="K10" s="176">
        <v>12344</v>
      </c>
      <c r="L10" s="45">
        <f t="shared" si="0"/>
        <v>-0.605736369733942</v>
      </c>
      <c r="M10" s="108">
        <v>8041</v>
      </c>
      <c r="N10" s="108">
        <v>39230</v>
      </c>
      <c r="O10" s="45">
        <f t="shared" si="1"/>
        <v>3.87874642457406</v>
      </c>
      <c r="P10" s="108">
        <f t="shared" si="2"/>
        <v>39350</v>
      </c>
      <c r="Q10" s="108">
        <f t="shared" si="3"/>
        <v>51574</v>
      </c>
      <c r="R10" s="45">
        <f t="shared" si="4"/>
        <v>0.310648030495553</v>
      </c>
      <c r="S10" s="36">
        <v>51695</v>
      </c>
      <c r="T10" s="36">
        <v>32386</v>
      </c>
      <c r="U10" s="45">
        <f t="shared" si="5"/>
        <v>-0.37351774833156</v>
      </c>
      <c r="V10" s="36">
        <f t="shared" si="6"/>
        <v>91045</v>
      </c>
      <c r="W10" s="36">
        <f t="shared" si="7"/>
        <v>83960</v>
      </c>
      <c r="X10" s="45">
        <f t="shared" si="8"/>
        <v>-0.077818661101653</v>
      </c>
      <c r="Y10" s="108">
        <v>4856</v>
      </c>
      <c r="Z10" s="108">
        <v>40483</v>
      </c>
      <c r="AA10" s="45">
        <f t="shared" si="9"/>
        <v>7.33669686985173</v>
      </c>
      <c r="AB10" s="108">
        <f t="shared" si="10"/>
        <v>95901</v>
      </c>
      <c r="AC10" s="108">
        <f t="shared" si="11"/>
        <v>124443</v>
      </c>
      <c r="AD10" s="45">
        <f t="shared" si="12"/>
        <v>0.297619420026903</v>
      </c>
      <c r="AE10" s="108">
        <v>33328</v>
      </c>
      <c r="AF10" s="108">
        <v>15635</v>
      </c>
      <c r="AG10" s="45">
        <f t="shared" si="13"/>
        <v>-0.530874939990398</v>
      </c>
      <c r="AH10" s="108">
        <f t="shared" si="14"/>
        <v>129229</v>
      </c>
      <c r="AI10" s="108">
        <f t="shared" si="15"/>
        <v>140078</v>
      </c>
      <c r="AJ10" s="45">
        <f t="shared" si="16"/>
        <v>0.0839517445774556</v>
      </c>
      <c r="AK10" s="108">
        <v>33354</v>
      </c>
      <c r="AL10" s="108">
        <f>48669.1+684.9</f>
        <v>49354</v>
      </c>
      <c r="AM10" s="45">
        <f t="shared" si="17"/>
        <v>0.479702584397673</v>
      </c>
      <c r="AN10" s="108">
        <f t="shared" si="18"/>
        <v>162583</v>
      </c>
      <c r="AO10" s="108">
        <f t="shared" si="19"/>
        <v>189432</v>
      </c>
      <c r="AP10" s="45">
        <f t="shared" si="20"/>
        <v>0.165140266817564</v>
      </c>
      <c r="AQ10" s="108">
        <v>22540</v>
      </c>
      <c r="AR10" s="108">
        <v>18390</v>
      </c>
      <c r="AS10" s="45">
        <f t="shared" si="21"/>
        <v>-0.184117125110914</v>
      </c>
      <c r="AT10" s="108">
        <f t="shared" si="22"/>
        <v>185123</v>
      </c>
      <c r="AU10" s="108">
        <f t="shared" si="23"/>
        <v>207822</v>
      </c>
      <c r="AV10" s="45">
        <f t="shared" si="24"/>
        <v>0.122615774377036</v>
      </c>
      <c r="AW10" s="36">
        <v>41491</v>
      </c>
      <c r="AX10" s="36">
        <v>14529</v>
      </c>
      <c r="AY10" s="45">
        <f t="shared" si="25"/>
        <v>-0.649827673471355</v>
      </c>
      <c r="AZ10" s="36">
        <f t="shared" si="26"/>
        <v>226614</v>
      </c>
      <c r="BA10" s="36">
        <f t="shared" si="27"/>
        <v>222351</v>
      </c>
      <c r="BB10" s="45">
        <f t="shared" si="28"/>
        <v>-0.0188117239005534</v>
      </c>
      <c r="BC10" s="36">
        <v>76840</v>
      </c>
      <c r="BD10" s="36">
        <v>15915</v>
      </c>
      <c r="BE10" s="45">
        <f t="shared" si="29"/>
        <v>-0.792881311816762</v>
      </c>
      <c r="BF10" s="36">
        <f t="shared" si="30"/>
        <v>303454</v>
      </c>
      <c r="BG10" s="36">
        <f t="shared" si="31"/>
        <v>238266</v>
      </c>
      <c r="BH10" s="45">
        <f t="shared" si="32"/>
        <v>-0.214820038621999</v>
      </c>
      <c r="BI10" s="177">
        <v>26983</v>
      </c>
      <c r="BJ10" s="177">
        <v>7900</v>
      </c>
      <c r="BK10" s="45">
        <f t="shared" si="34"/>
        <v>-0.707223066375125</v>
      </c>
      <c r="BL10" s="177">
        <f t="shared" si="35"/>
        <v>330437</v>
      </c>
      <c r="BM10" s="177">
        <f t="shared" si="36"/>
        <v>246166</v>
      </c>
      <c r="BN10" s="45">
        <f t="shared" si="33"/>
        <v>-0.25502894651628</v>
      </c>
      <c r="BO10" s="176">
        <v>44507</v>
      </c>
      <c r="BP10" s="108">
        <v>64200</v>
      </c>
      <c r="BQ10" s="108">
        <v>439144</v>
      </c>
      <c r="BR10" s="115">
        <f t="shared" si="37"/>
        <v>0.410276666666667</v>
      </c>
      <c r="BS10" s="108"/>
      <c r="BT10" s="108"/>
    </row>
    <row r="11" spans="1:72">
      <c r="A11" s="110" t="s">
        <v>30</v>
      </c>
      <c r="B11" s="110" t="s">
        <v>30</v>
      </c>
      <c r="C11" s="111" t="s">
        <v>181</v>
      </c>
      <c r="D11" s="112" t="s">
        <v>86</v>
      </c>
      <c r="E11" s="112" t="s">
        <v>86</v>
      </c>
      <c r="F11" s="112" t="s">
        <v>179</v>
      </c>
      <c r="G11" s="112" t="s">
        <v>179</v>
      </c>
      <c r="H11" s="112" t="s">
        <v>167</v>
      </c>
      <c r="I11" s="175">
        <v>100</v>
      </c>
      <c r="J11" s="176">
        <v>81730</v>
      </c>
      <c r="K11" s="176">
        <v>39988</v>
      </c>
      <c r="L11" s="45">
        <f t="shared" si="0"/>
        <v>-0.510730453933684</v>
      </c>
      <c r="M11" s="108">
        <v>45126</v>
      </c>
      <c r="N11" s="108">
        <v>13201</v>
      </c>
      <c r="O11" s="45">
        <f t="shared" si="1"/>
        <v>-0.707463546514205</v>
      </c>
      <c r="P11" s="108">
        <f t="shared" si="2"/>
        <v>126856</v>
      </c>
      <c r="Q11" s="108">
        <f t="shared" si="3"/>
        <v>53189</v>
      </c>
      <c r="R11" s="45">
        <f t="shared" si="4"/>
        <v>-0.580713564987072</v>
      </c>
      <c r="S11" s="36">
        <v>43497</v>
      </c>
      <c r="T11" s="36">
        <v>21058</v>
      </c>
      <c r="U11" s="45">
        <f t="shared" si="5"/>
        <v>-0.515874658022392</v>
      </c>
      <c r="V11" s="36">
        <f t="shared" si="6"/>
        <v>170353</v>
      </c>
      <c r="W11" s="36">
        <f t="shared" si="7"/>
        <v>74247</v>
      </c>
      <c r="X11" s="45">
        <f t="shared" si="8"/>
        <v>-0.564157954365347</v>
      </c>
      <c r="Y11" s="108">
        <v>94183</v>
      </c>
      <c r="Z11" s="108">
        <v>54727</v>
      </c>
      <c r="AA11" s="45">
        <f t="shared" si="9"/>
        <v>-0.41892910610195</v>
      </c>
      <c r="AB11" s="108">
        <f t="shared" si="10"/>
        <v>264536</v>
      </c>
      <c r="AC11" s="108">
        <f t="shared" si="11"/>
        <v>128974</v>
      </c>
      <c r="AD11" s="45">
        <f t="shared" si="12"/>
        <v>-0.512451991411377</v>
      </c>
      <c r="AE11" s="108">
        <v>76709</v>
      </c>
      <c r="AF11" s="108">
        <v>57103</v>
      </c>
      <c r="AG11" s="45">
        <f t="shared" si="13"/>
        <v>-0.255589305035915</v>
      </c>
      <c r="AH11" s="108">
        <f t="shared" si="14"/>
        <v>341245</v>
      </c>
      <c r="AI11" s="108">
        <f t="shared" si="15"/>
        <v>186077</v>
      </c>
      <c r="AJ11" s="45">
        <f t="shared" si="16"/>
        <v>-0.454711424343214</v>
      </c>
      <c r="AK11" s="108">
        <v>40780</v>
      </c>
      <c r="AL11" s="108">
        <v>114665</v>
      </c>
      <c r="AM11" s="45">
        <f t="shared" si="17"/>
        <v>1.81179499754782</v>
      </c>
      <c r="AN11" s="108">
        <f t="shared" si="18"/>
        <v>382025</v>
      </c>
      <c r="AO11" s="108">
        <f t="shared" si="19"/>
        <v>300742</v>
      </c>
      <c r="AP11" s="45">
        <f t="shared" si="20"/>
        <v>-0.212768797853544</v>
      </c>
      <c r="AQ11" s="108">
        <v>39027</v>
      </c>
      <c r="AR11" s="108">
        <v>67125</v>
      </c>
      <c r="AS11" s="45">
        <f t="shared" si="21"/>
        <v>0.719963102467522</v>
      </c>
      <c r="AT11" s="108">
        <f t="shared" si="22"/>
        <v>421052</v>
      </c>
      <c r="AU11" s="108">
        <f t="shared" si="23"/>
        <v>367867</v>
      </c>
      <c r="AV11" s="45">
        <f t="shared" si="24"/>
        <v>-0.126314564471847</v>
      </c>
      <c r="AW11" s="36">
        <v>35395</v>
      </c>
      <c r="AX11" s="36">
        <v>12426</v>
      </c>
      <c r="AY11" s="45">
        <f t="shared" si="25"/>
        <v>-0.648933465178698</v>
      </c>
      <c r="AZ11" s="36">
        <f t="shared" si="26"/>
        <v>456447</v>
      </c>
      <c r="BA11" s="36">
        <f t="shared" si="27"/>
        <v>380293</v>
      </c>
      <c r="BB11" s="45">
        <f t="shared" si="28"/>
        <v>-0.166840838038151</v>
      </c>
      <c r="BC11" s="36">
        <v>99849</v>
      </c>
      <c r="BD11" s="36">
        <v>55820</v>
      </c>
      <c r="BE11" s="45">
        <f t="shared" si="29"/>
        <v>-0.440955843323418</v>
      </c>
      <c r="BF11" s="36">
        <f t="shared" si="30"/>
        <v>556296</v>
      </c>
      <c r="BG11" s="36">
        <f t="shared" si="31"/>
        <v>436113</v>
      </c>
      <c r="BH11" s="45">
        <f t="shared" si="32"/>
        <v>-0.216041459942189</v>
      </c>
      <c r="BI11" s="177">
        <v>150005</v>
      </c>
      <c r="BJ11" s="177">
        <v>33985</v>
      </c>
      <c r="BK11" s="45">
        <f t="shared" si="34"/>
        <v>-0.773440885303823</v>
      </c>
      <c r="BL11" s="177">
        <f t="shared" si="35"/>
        <v>706301</v>
      </c>
      <c r="BM11" s="177">
        <f t="shared" si="36"/>
        <v>470098</v>
      </c>
      <c r="BN11" s="45">
        <f t="shared" si="33"/>
        <v>-0.334422576210426</v>
      </c>
      <c r="BO11" s="176">
        <v>125373</v>
      </c>
      <c r="BP11" s="108">
        <v>146730</v>
      </c>
      <c r="BQ11" s="108">
        <v>978404</v>
      </c>
      <c r="BR11" s="115">
        <f t="shared" si="37"/>
        <v>0.470098</v>
      </c>
      <c r="BS11" s="108"/>
      <c r="BT11" s="108"/>
    </row>
    <row r="12" spans="1:72">
      <c r="A12" s="110" t="s">
        <v>30</v>
      </c>
      <c r="B12" s="110" t="s">
        <v>30</v>
      </c>
      <c r="C12" s="111" t="s">
        <v>182</v>
      </c>
      <c r="D12" s="112" t="s">
        <v>86</v>
      </c>
      <c r="E12" s="112" t="s">
        <v>86</v>
      </c>
      <c r="F12" s="266" t="s">
        <v>183</v>
      </c>
      <c r="G12" s="266" t="s">
        <v>183</v>
      </c>
      <c r="H12" s="108" t="s">
        <v>176</v>
      </c>
      <c r="I12" s="175">
        <v>60</v>
      </c>
      <c r="J12" s="176">
        <v>40400</v>
      </c>
      <c r="K12" s="176">
        <v>11976</v>
      </c>
      <c r="L12" s="45">
        <f t="shared" si="0"/>
        <v>-0.703564356435644</v>
      </c>
      <c r="M12" s="108"/>
      <c r="N12" s="108">
        <v>18243</v>
      </c>
      <c r="O12" s="45" t="e">
        <f t="shared" si="1"/>
        <v>#DIV/0!</v>
      </c>
      <c r="P12" s="108">
        <f t="shared" si="2"/>
        <v>40400</v>
      </c>
      <c r="Q12" s="108">
        <f t="shared" si="3"/>
        <v>30219</v>
      </c>
      <c r="R12" s="45">
        <f t="shared" si="4"/>
        <v>-0.252004950495049</v>
      </c>
      <c r="S12" s="36">
        <v>70354</v>
      </c>
      <c r="T12" s="36">
        <v>20557</v>
      </c>
      <c r="U12" s="45">
        <f t="shared" si="5"/>
        <v>-0.707806237029877</v>
      </c>
      <c r="V12" s="36">
        <f t="shared" si="6"/>
        <v>110754</v>
      </c>
      <c r="W12" s="36">
        <f t="shared" si="7"/>
        <v>50776</v>
      </c>
      <c r="X12" s="45">
        <f t="shared" si="8"/>
        <v>-0.541542517651733</v>
      </c>
      <c r="Y12" s="108">
        <v>51905</v>
      </c>
      <c r="Z12" s="108">
        <v>28765</v>
      </c>
      <c r="AA12" s="45">
        <f t="shared" si="9"/>
        <v>-0.445814468740969</v>
      </c>
      <c r="AB12" s="108">
        <f t="shared" si="10"/>
        <v>162659</v>
      </c>
      <c r="AC12" s="108">
        <f t="shared" si="11"/>
        <v>79541</v>
      </c>
      <c r="AD12" s="45">
        <f t="shared" si="12"/>
        <v>-0.510995395274777</v>
      </c>
      <c r="AE12" s="108">
        <v>33354</v>
      </c>
      <c r="AF12" s="108">
        <v>28316</v>
      </c>
      <c r="AG12" s="45">
        <f t="shared" si="13"/>
        <v>-0.151046351262217</v>
      </c>
      <c r="AH12" s="108">
        <f t="shared" si="14"/>
        <v>196013</v>
      </c>
      <c r="AI12" s="108">
        <f t="shared" si="15"/>
        <v>107857</v>
      </c>
      <c r="AJ12" s="45">
        <f t="shared" si="16"/>
        <v>-0.449745680133461</v>
      </c>
      <c r="AK12" s="108">
        <v>35992</v>
      </c>
      <c r="AL12" s="108">
        <v>46365</v>
      </c>
      <c r="AM12" s="45">
        <f t="shared" si="17"/>
        <v>0.28820293398533</v>
      </c>
      <c r="AN12" s="108">
        <f t="shared" si="18"/>
        <v>232005</v>
      </c>
      <c r="AO12" s="108">
        <f t="shared" si="19"/>
        <v>154222</v>
      </c>
      <c r="AP12" s="45">
        <f t="shared" si="20"/>
        <v>-0.335264326199866</v>
      </c>
      <c r="AQ12" s="108">
        <v>61052</v>
      </c>
      <c r="AR12" s="108">
        <v>39090.4</v>
      </c>
      <c r="AS12" s="45">
        <f t="shared" si="21"/>
        <v>-0.359719583306034</v>
      </c>
      <c r="AT12" s="108">
        <f t="shared" si="22"/>
        <v>293057</v>
      </c>
      <c r="AU12" s="108">
        <f t="shared" si="23"/>
        <v>193312.4</v>
      </c>
      <c r="AV12" s="45">
        <f t="shared" si="24"/>
        <v>-0.340359042780074</v>
      </c>
      <c r="AW12" s="36">
        <v>46235</v>
      </c>
      <c r="AX12" s="36">
        <v>23559</v>
      </c>
      <c r="AY12" s="45">
        <f t="shared" si="25"/>
        <v>-0.490450957067157</v>
      </c>
      <c r="AZ12" s="36">
        <f t="shared" si="26"/>
        <v>339292</v>
      </c>
      <c r="BA12" s="36">
        <f t="shared" si="27"/>
        <v>216871.4</v>
      </c>
      <c r="BB12" s="45">
        <f t="shared" si="28"/>
        <v>-0.360811926010634</v>
      </c>
      <c r="BC12" s="36">
        <v>119225.17</v>
      </c>
      <c r="BD12" s="36">
        <v>24940</v>
      </c>
      <c r="BE12" s="45">
        <f t="shared" si="29"/>
        <v>-0.790815982900255</v>
      </c>
      <c r="BF12" s="36">
        <f t="shared" si="30"/>
        <v>458517.17</v>
      </c>
      <c r="BG12" s="36">
        <f t="shared" si="31"/>
        <v>241811.4</v>
      </c>
      <c r="BH12" s="45">
        <f t="shared" si="32"/>
        <v>-0.472623020856558</v>
      </c>
      <c r="BI12" s="177">
        <v>89725</v>
      </c>
      <c r="BJ12" s="177">
        <v>19333</v>
      </c>
      <c r="BK12" s="45">
        <f t="shared" si="34"/>
        <v>-0.784530509891335</v>
      </c>
      <c r="BL12" s="177">
        <f t="shared" si="35"/>
        <v>548242.17</v>
      </c>
      <c r="BM12" s="177">
        <f t="shared" si="36"/>
        <v>261144.4</v>
      </c>
      <c r="BN12" s="45">
        <f t="shared" si="33"/>
        <v>-0.523669622130673</v>
      </c>
      <c r="BO12" s="176">
        <v>58495</v>
      </c>
      <c r="BP12" s="108">
        <v>53761</v>
      </c>
      <c r="BQ12" s="108">
        <v>708006.17</v>
      </c>
      <c r="BR12" s="115">
        <f t="shared" si="37"/>
        <v>0.435240666666667</v>
      </c>
      <c r="BS12" s="108">
        <v>47508</v>
      </c>
      <c r="BT12" s="108"/>
    </row>
    <row r="13" spans="1:72">
      <c r="A13" s="110" t="s">
        <v>30</v>
      </c>
      <c r="B13" s="110" t="s">
        <v>30</v>
      </c>
      <c r="C13" s="111" t="s">
        <v>184</v>
      </c>
      <c r="D13" s="112" t="s">
        <v>67</v>
      </c>
      <c r="E13" s="112" t="s">
        <v>67</v>
      </c>
      <c r="F13" s="266" t="s">
        <v>185</v>
      </c>
      <c r="G13" s="266" t="s">
        <v>185</v>
      </c>
      <c r="H13" s="108" t="s">
        <v>176</v>
      </c>
      <c r="I13" s="175">
        <v>100</v>
      </c>
      <c r="J13" s="176"/>
      <c r="K13" s="176">
        <v>3</v>
      </c>
      <c r="L13" s="45" t="e">
        <f t="shared" si="0"/>
        <v>#DIV/0!</v>
      </c>
      <c r="M13" s="108"/>
      <c r="N13" s="108"/>
      <c r="O13" s="45" t="e">
        <f t="shared" si="1"/>
        <v>#DIV/0!</v>
      </c>
      <c r="P13" s="108">
        <f t="shared" si="2"/>
        <v>0</v>
      </c>
      <c r="Q13" s="108">
        <f t="shared" si="3"/>
        <v>3</v>
      </c>
      <c r="R13" s="45" t="e">
        <f t="shared" si="4"/>
        <v>#DIV/0!</v>
      </c>
      <c r="S13" s="36">
        <v>40000</v>
      </c>
      <c r="T13" s="36"/>
      <c r="U13" s="45">
        <f t="shared" si="5"/>
        <v>-1</v>
      </c>
      <c r="V13" s="36">
        <f t="shared" si="6"/>
        <v>40000</v>
      </c>
      <c r="W13" s="36">
        <f t="shared" si="7"/>
        <v>3</v>
      </c>
      <c r="X13" s="45">
        <f t="shared" si="8"/>
        <v>-0.999925</v>
      </c>
      <c r="Y13" s="108"/>
      <c r="Z13" s="108"/>
      <c r="AA13" s="45" t="e">
        <f t="shared" si="9"/>
        <v>#DIV/0!</v>
      </c>
      <c r="AB13" s="108">
        <f t="shared" si="10"/>
        <v>40000</v>
      </c>
      <c r="AC13" s="108">
        <f t="shared" si="11"/>
        <v>3</v>
      </c>
      <c r="AD13" s="45">
        <f t="shared" si="12"/>
        <v>-0.999925</v>
      </c>
      <c r="AE13" s="108">
        <v>80000</v>
      </c>
      <c r="AF13" s="108">
        <v>13300</v>
      </c>
      <c r="AG13" s="45">
        <f t="shared" si="13"/>
        <v>-0.83375</v>
      </c>
      <c r="AH13" s="108">
        <f t="shared" si="14"/>
        <v>120000</v>
      </c>
      <c r="AI13" s="108">
        <f t="shared" si="15"/>
        <v>13303</v>
      </c>
      <c r="AJ13" s="45">
        <f t="shared" si="16"/>
        <v>-0.889141666666667</v>
      </c>
      <c r="AK13" s="108"/>
      <c r="AL13" s="108">
        <v>63499</v>
      </c>
      <c r="AM13" s="45" t="e">
        <f t="shared" si="17"/>
        <v>#DIV/0!</v>
      </c>
      <c r="AN13" s="108">
        <f t="shared" si="18"/>
        <v>120000</v>
      </c>
      <c r="AO13" s="108">
        <f t="shared" si="19"/>
        <v>76802</v>
      </c>
      <c r="AP13" s="45">
        <f t="shared" si="20"/>
        <v>-0.359983333333333</v>
      </c>
      <c r="AQ13" s="108">
        <v>35000</v>
      </c>
      <c r="AR13" s="108">
        <v>32380</v>
      </c>
      <c r="AS13" s="45">
        <f t="shared" si="21"/>
        <v>-0.0748571428571428</v>
      </c>
      <c r="AT13" s="108">
        <f t="shared" si="22"/>
        <v>155000</v>
      </c>
      <c r="AU13" s="108">
        <f t="shared" si="23"/>
        <v>109182</v>
      </c>
      <c r="AV13" s="45">
        <f t="shared" si="24"/>
        <v>-0.2956</v>
      </c>
      <c r="AW13" s="36">
        <v>316</v>
      </c>
      <c r="AX13" s="36">
        <v>10000</v>
      </c>
      <c r="AY13" s="45">
        <f t="shared" si="25"/>
        <v>30.6455696202532</v>
      </c>
      <c r="AZ13" s="36">
        <f t="shared" si="26"/>
        <v>155316</v>
      </c>
      <c r="BA13" s="36">
        <f t="shared" si="27"/>
        <v>119182</v>
      </c>
      <c r="BB13" s="45">
        <f t="shared" si="28"/>
        <v>-0.232648278348657</v>
      </c>
      <c r="BC13" s="36">
        <v>78510</v>
      </c>
      <c r="BD13" s="36">
        <v>30000</v>
      </c>
      <c r="BE13" s="45">
        <f t="shared" si="29"/>
        <v>-0.617883072220099</v>
      </c>
      <c r="BF13" s="36">
        <f t="shared" si="30"/>
        <v>233826</v>
      </c>
      <c r="BG13" s="36">
        <f t="shared" si="31"/>
        <v>149182</v>
      </c>
      <c r="BH13" s="45">
        <f t="shared" si="32"/>
        <v>-0.361995671995415</v>
      </c>
      <c r="BI13" s="177">
        <v>140894</v>
      </c>
      <c r="BJ13" s="177">
        <v>50000</v>
      </c>
      <c r="BK13" s="45">
        <f t="shared" si="34"/>
        <v>-0.645123284171079</v>
      </c>
      <c r="BL13" s="177">
        <f t="shared" si="35"/>
        <v>374720</v>
      </c>
      <c r="BM13" s="177">
        <f t="shared" si="36"/>
        <v>199182</v>
      </c>
      <c r="BN13" s="45">
        <f t="shared" si="33"/>
        <v>-0.468451110162254</v>
      </c>
      <c r="BO13" s="176">
        <v>84652</v>
      </c>
      <c r="BP13" s="108">
        <v>183503</v>
      </c>
      <c r="BQ13" s="108">
        <v>691204</v>
      </c>
      <c r="BR13" s="115">
        <f t="shared" si="37"/>
        <v>0.199182</v>
      </c>
      <c r="BS13" s="108">
        <v>48329</v>
      </c>
      <c r="BT13" s="108"/>
    </row>
    <row r="14" spans="1:72">
      <c r="A14" s="110" t="s">
        <v>30</v>
      </c>
      <c r="B14" s="110" t="s">
        <v>30</v>
      </c>
      <c r="C14" s="111" t="s">
        <v>186</v>
      </c>
      <c r="D14" s="112" t="s">
        <v>63</v>
      </c>
      <c r="E14" s="112" t="s">
        <v>63</v>
      </c>
      <c r="F14" s="112" t="s">
        <v>179</v>
      </c>
      <c r="G14" s="112" t="s">
        <v>179</v>
      </c>
      <c r="H14" s="112" t="s">
        <v>167</v>
      </c>
      <c r="I14" s="175">
        <v>6</v>
      </c>
      <c r="J14" s="176"/>
      <c r="K14" s="176"/>
      <c r="L14" s="45" t="e">
        <f t="shared" si="0"/>
        <v>#DIV/0!</v>
      </c>
      <c r="M14" s="108"/>
      <c r="N14" s="108"/>
      <c r="O14" s="45" t="e">
        <f t="shared" si="1"/>
        <v>#DIV/0!</v>
      </c>
      <c r="P14" s="108">
        <f t="shared" si="2"/>
        <v>0</v>
      </c>
      <c r="Q14" s="108">
        <f t="shared" si="3"/>
        <v>0</v>
      </c>
      <c r="R14" s="45" t="e">
        <f t="shared" si="4"/>
        <v>#DIV/0!</v>
      </c>
      <c r="S14" s="36"/>
      <c r="T14" s="36">
        <v>3330</v>
      </c>
      <c r="U14" s="45" t="e">
        <f t="shared" si="5"/>
        <v>#DIV/0!</v>
      </c>
      <c r="V14" s="36">
        <f t="shared" si="6"/>
        <v>0</v>
      </c>
      <c r="W14" s="36">
        <f t="shared" si="7"/>
        <v>3330</v>
      </c>
      <c r="X14" s="45" t="e">
        <f t="shared" si="8"/>
        <v>#DIV/0!</v>
      </c>
      <c r="Y14" s="108"/>
      <c r="Z14" s="108">
        <v>4094</v>
      </c>
      <c r="AA14" s="45" t="e">
        <f t="shared" si="9"/>
        <v>#DIV/0!</v>
      </c>
      <c r="AB14" s="108">
        <f t="shared" si="10"/>
        <v>0</v>
      </c>
      <c r="AC14" s="108">
        <f t="shared" si="11"/>
        <v>7424</v>
      </c>
      <c r="AD14" s="45" t="e">
        <f t="shared" si="12"/>
        <v>#DIV/0!</v>
      </c>
      <c r="AE14" s="108"/>
      <c r="AF14" s="108"/>
      <c r="AG14" s="45" t="e">
        <f t="shared" si="13"/>
        <v>#DIV/0!</v>
      </c>
      <c r="AH14" s="108">
        <f t="shared" si="14"/>
        <v>0</v>
      </c>
      <c r="AI14" s="108">
        <f t="shared" si="15"/>
        <v>7424</v>
      </c>
      <c r="AJ14" s="45" t="e">
        <f t="shared" si="16"/>
        <v>#DIV/0!</v>
      </c>
      <c r="AK14" s="108"/>
      <c r="AL14" s="108">
        <v>17396</v>
      </c>
      <c r="AM14" s="45" t="e">
        <f t="shared" si="17"/>
        <v>#DIV/0!</v>
      </c>
      <c r="AN14" s="108">
        <f t="shared" si="18"/>
        <v>0</v>
      </c>
      <c r="AO14" s="108">
        <f t="shared" si="19"/>
        <v>24820</v>
      </c>
      <c r="AP14" s="45" t="e">
        <f t="shared" si="20"/>
        <v>#DIV/0!</v>
      </c>
      <c r="AQ14" s="108">
        <v>22632</v>
      </c>
      <c r="AR14" s="108"/>
      <c r="AS14" s="45">
        <f t="shared" si="21"/>
        <v>-1</v>
      </c>
      <c r="AT14" s="108">
        <f t="shared" si="22"/>
        <v>22632</v>
      </c>
      <c r="AU14" s="108">
        <f t="shared" si="23"/>
        <v>24820</v>
      </c>
      <c r="AV14" s="45">
        <f t="shared" si="24"/>
        <v>0.0966772711205373</v>
      </c>
      <c r="AW14" s="36"/>
      <c r="AX14" s="36"/>
      <c r="AY14" s="45" t="e">
        <f t="shared" si="25"/>
        <v>#DIV/0!</v>
      </c>
      <c r="AZ14" s="36">
        <f t="shared" si="26"/>
        <v>22632</v>
      </c>
      <c r="BA14" s="36">
        <f t="shared" si="27"/>
        <v>24820</v>
      </c>
      <c r="BB14" s="45">
        <f t="shared" si="28"/>
        <v>0.0966772711205373</v>
      </c>
      <c r="BC14" s="36">
        <v>5350</v>
      </c>
      <c r="BD14" s="36"/>
      <c r="BE14" s="45">
        <f t="shared" si="29"/>
        <v>-1</v>
      </c>
      <c r="BF14" s="36">
        <f t="shared" si="30"/>
        <v>27982</v>
      </c>
      <c r="BG14" s="36">
        <f t="shared" si="31"/>
        <v>24820</v>
      </c>
      <c r="BH14" s="45">
        <f t="shared" si="32"/>
        <v>-0.113001215066829</v>
      </c>
      <c r="BI14" s="177">
        <v>9401</v>
      </c>
      <c r="BJ14" s="177">
        <v>3899</v>
      </c>
      <c r="BK14" s="45">
        <f t="shared" si="34"/>
        <v>-0.585256887565153</v>
      </c>
      <c r="BL14" s="177">
        <f t="shared" si="35"/>
        <v>37383</v>
      </c>
      <c r="BM14" s="177">
        <f t="shared" si="36"/>
        <v>28719</v>
      </c>
      <c r="BN14" s="45">
        <f t="shared" si="33"/>
        <v>-0.231763100874729</v>
      </c>
      <c r="BO14" s="176">
        <v>18114</v>
      </c>
      <c r="BP14" s="108">
        <v>2688</v>
      </c>
      <c r="BQ14" s="108">
        <v>58185</v>
      </c>
      <c r="BR14" s="115">
        <f t="shared" si="37"/>
        <v>0.47865</v>
      </c>
      <c r="BS14" s="108"/>
      <c r="BT14" s="108"/>
    </row>
    <row r="15" spans="1:72">
      <c r="A15" s="110" t="s">
        <v>30</v>
      </c>
      <c r="B15" s="110" t="s">
        <v>30</v>
      </c>
      <c r="C15" s="111" t="s">
        <v>187</v>
      </c>
      <c r="D15" s="112" t="s">
        <v>63</v>
      </c>
      <c r="E15" s="112" t="s">
        <v>63</v>
      </c>
      <c r="F15" s="112" t="s">
        <v>170</v>
      </c>
      <c r="G15" s="112" t="s">
        <v>188</v>
      </c>
      <c r="H15" s="112" t="s">
        <v>172</v>
      </c>
      <c r="I15" s="175">
        <v>3.2038</v>
      </c>
      <c r="J15" s="176"/>
      <c r="K15" s="176">
        <v>3778</v>
      </c>
      <c r="L15" s="45" t="e">
        <f t="shared" si="0"/>
        <v>#DIV/0!</v>
      </c>
      <c r="M15" s="108"/>
      <c r="N15" s="108"/>
      <c r="O15" s="45" t="e">
        <f t="shared" si="1"/>
        <v>#DIV/0!</v>
      </c>
      <c r="P15" s="108">
        <f t="shared" si="2"/>
        <v>0</v>
      </c>
      <c r="Q15" s="108">
        <f t="shared" si="3"/>
        <v>3778</v>
      </c>
      <c r="R15" s="45" t="e">
        <f t="shared" si="4"/>
        <v>#DIV/0!</v>
      </c>
      <c r="S15" s="36"/>
      <c r="T15" s="36"/>
      <c r="U15" s="45" t="e">
        <f t="shared" si="5"/>
        <v>#DIV/0!</v>
      </c>
      <c r="V15" s="36">
        <f t="shared" si="6"/>
        <v>0</v>
      </c>
      <c r="W15" s="36">
        <f t="shared" si="7"/>
        <v>3778</v>
      </c>
      <c r="X15" s="45" t="e">
        <f t="shared" si="8"/>
        <v>#DIV/0!</v>
      </c>
      <c r="Y15" s="108"/>
      <c r="Z15" s="108"/>
      <c r="AA15" s="45" t="e">
        <f t="shared" si="9"/>
        <v>#DIV/0!</v>
      </c>
      <c r="AB15" s="108">
        <f t="shared" si="10"/>
        <v>0</v>
      </c>
      <c r="AC15" s="108">
        <f t="shared" si="11"/>
        <v>3778</v>
      </c>
      <c r="AD15" s="45" t="e">
        <f t="shared" si="12"/>
        <v>#DIV/0!</v>
      </c>
      <c r="AE15" s="108">
        <v>2594</v>
      </c>
      <c r="AF15" s="108"/>
      <c r="AG15" s="45">
        <f t="shared" si="13"/>
        <v>-1</v>
      </c>
      <c r="AH15" s="108">
        <f t="shared" si="14"/>
        <v>2594</v>
      </c>
      <c r="AI15" s="108">
        <f t="shared" si="15"/>
        <v>3778</v>
      </c>
      <c r="AJ15" s="45">
        <f t="shared" si="16"/>
        <v>0.456437933693138</v>
      </c>
      <c r="AK15" s="108"/>
      <c r="AL15" s="108"/>
      <c r="AM15" s="45" t="e">
        <f t="shared" si="17"/>
        <v>#DIV/0!</v>
      </c>
      <c r="AN15" s="108">
        <f t="shared" si="18"/>
        <v>2594</v>
      </c>
      <c r="AO15" s="108">
        <f t="shared" si="19"/>
        <v>3778</v>
      </c>
      <c r="AP15" s="45">
        <f t="shared" si="20"/>
        <v>0.456437933693138</v>
      </c>
      <c r="AQ15" s="108"/>
      <c r="AR15" s="108"/>
      <c r="AS15" s="45" t="e">
        <f t="shared" si="21"/>
        <v>#DIV/0!</v>
      </c>
      <c r="AT15" s="108">
        <f t="shared" si="22"/>
        <v>2594</v>
      </c>
      <c r="AU15" s="108">
        <f t="shared" si="23"/>
        <v>3778</v>
      </c>
      <c r="AV15" s="45">
        <f t="shared" si="24"/>
        <v>0.456437933693138</v>
      </c>
      <c r="AW15" s="36"/>
      <c r="AX15" s="36"/>
      <c r="AY15" s="45" t="e">
        <f t="shared" si="25"/>
        <v>#DIV/0!</v>
      </c>
      <c r="AZ15" s="36">
        <f t="shared" si="26"/>
        <v>2594</v>
      </c>
      <c r="BA15" s="36">
        <f t="shared" si="27"/>
        <v>3778</v>
      </c>
      <c r="BB15" s="45">
        <f t="shared" si="28"/>
        <v>0.456437933693138</v>
      </c>
      <c r="BC15" s="36"/>
      <c r="BD15" s="36"/>
      <c r="BE15" s="45" t="e">
        <f t="shared" si="29"/>
        <v>#DIV/0!</v>
      </c>
      <c r="BF15" s="36">
        <f t="shared" si="30"/>
        <v>2594</v>
      </c>
      <c r="BG15" s="36">
        <f t="shared" si="31"/>
        <v>3778</v>
      </c>
      <c r="BH15" s="45">
        <f t="shared" si="32"/>
        <v>0.456437933693138</v>
      </c>
      <c r="BI15" s="177"/>
      <c r="BJ15" s="177"/>
      <c r="BK15" s="45" t="e">
        <f t="shared" si="34"/>
        <v>#DIV/0!</v>
      </c>
      <c r="BL15" s="177">
        <f t="shared" si="35"/>
        <v>2594</v>
      </c>
      <c r="BM15" s="177">
        <f t="shared" si="36"/>
        <v>3778</v>
      </c>
      <c r="BN15" s="45">
        <f t="shared" si="33"/>
        <v>0.456437933693138</v>
      </c>
      <c r="BO15" s="176">
        <v>10875</v>
      </c>
      <c r="BP15" s="108">
        <v>17745</v>
      </c>
      <c r="BQ15" s="108">
        <v>31214</v>
      </c>
      <c r="BR15" s="115">
        <f t="shared" si="37"/>
        <v>0.117922467070354</v>
      </c>
      <c r="BS15" s="108"/>
      <c r="BT15" s="108"/>
    </row>
    <row r="16" spans="1:72">
      <c r="A16" s="110" t="s">
        <v>30</v>
      </c>
      <c r="B16" s="110" t="s">
        <v>30</v>
      </c>
      <c r="C16" s="111" t="s">
        <v>189</v>
      </c>
      <c r="D16" s="112" t="s">
        <v>63</v>
      </c>
      <c r="E16" s="112" t="s">
        <v>63</v>
      </c>
      <c r="F16" s="112" t="s">
        <v>170</v>
      </c>
      <c r="G16" s="112" t="s">
        <v>188</v>
      </c>
      <c r="H16" s="112" t="s">
        <v>172</v>
      </c>
      <c r="I16" s="175"/>
      <c r="J16" s="176">
        <v>6012</v>
      </c>
      <c r="K16" s="176"/>
      <c r="L16" s="45">
        <f t="shared" si="0"/>
        <v>-1</v>
      </c>
      <c r="M16" s="108"/>
      <c r="N16" s="108"/>
      <c r="O16" s="45" t="e">
        <f t="shared" si="1"/>
        <v>#DIV/0!</v>
      </c>
      <c r="P16" s="108">
        <f t="shared" si="2"/>
        <v>6012</v>
      </c>
      <c r="Q16" s="108">
        <f t="shared" si="3"/>
        <v>0</v>
      </c>
      <c r="R16" s="45">
        <f t="shared" si="4"/>
        <v>-1</v>
      </c>
      <c r="S16" s="36"/>
      <c r="T16" s="36">
        <v>4898</v>
      </c>
      <c r="U16" s="45" t="e">
        <f t="shared" si="5"/>
        <v>#DIV/0!</v>
      </c>
      <c r="V16" s="36">
        <f t="shared" si="6"/>
        <v>6012</v>
      </c>
      <c r="W16" s="36">
        <f t="shared" si="7"/>
        <v>4898</v>
      </c>
      <c r="X16" s="45">
        <f t="shared" si="8"/>
        <v>-0.185296074517631</v>
      </c>
      <c r="Y16" s="108"/>
      <c r="Z16" s="108"/>
      <c r="AA16" s="45" t="e">
        <f t="shared" si="9"/>
        <v>#DIV/0!</v>
      </c>
      <c r="AB16" s="108">
        <f t="shared" si="10"/>
        <v>6012</v>
      </c>
      <c r="AC16" s="108">
        <f t="shared" si="11"/>
        <v>4898</v>
      </c>
      <c r="AD16" s="45">
        <f t="shared" si="12"/>
        <v>-0.185296074517631</v>
      </c>
      <c r="AE16" s="108">
        <v>3076</v>
      </c>
      <c r="AF16" s="108"/>
      <c r="AG16" s="45">
        <f t="shared" si="13"/>
        <v>-1</v>
      </c>
      <c r="AH16" s="108">
        <f t="shared" si="14"/>
        <v>9088</v>
      </c>
      <c r="AI16" s="108">
        <f t="shared" si="15"/>
        <v>4898</v>
      </c>
      <c r="AJ16" s="45">
        <f t="shared" si="16"/>
        <v>-0.461047535211268</v>
      </c>
      <c r="AK16" s="108">
        <v>3076</v>
      </c>
      <c r="AL16" s="108"/>
      <c r="AM16" s="45">
        <f t="shared" si="17"/>
        <v>-1</v>
      </c>
      <c r="AN16" s="108">
        <f t="shared" si="18"/>
        <v>12164</v>
      </c>
      <c r="AO16" s="108">
        <f t="shared" si="19"/>
        <v>4898</v>
      </c>
      <c r="AP16" s="45">
        <f t="shared" si="20"/>
        <v>-0.597336402499178</v>
      </c>
      <c r="AQ16" s="108"/>
      <c r="AR16" s="108"/>
      <c r="AS16" s="45" t="e">
        <f t="shared" si="21"/>
        <v>#DIV/0!</v>
      </c>
      <c r="AT16" s="108">
        <f t="shared" si="22"/>
        <v>12164</v>
      </c>
      <c r="AU16" s="108">
        <f t="shared" si="23"/>
        <v>4898</v>
      </c>
      <c r="AV16" s="45">
        <f t="shared" si="24"/>
        <v>-0.597336402499178</v>
      </c>
      <c r="AW16" s="36"/>
      <c r="AX16" s="36"/>
      <c r="AY16" s="45" t="e">
        <f t="shared" si="25"/>
        <v>#DIV/0!</v>
      </c>
      <c r="AZ16" s="36">
        <f t="shared" si="26"/>
        <v>12164</v>
      </c>
      <c r="BA16" s="36">
        <f t="shared" si="27"/>
        <v>4898</v>
      </c>
      <c r="BB16" s="45">
        <f t="shared" si="28"/>
        <v>-0.597336402499178</v>
      </c>
      <c r="BC16" s="36"/>
      <c r="BD16" s="36"/>
      <c r="BE16" s="45" t="e">
        <f t="shared" si="29"/>
        <v>#DIV/0!</v>
      </c>
      <c r="BF16" s="36">
        <f t="shared" si="30"/>
        <v>12164</v>
      </c>
      <c r="BG16" s="36">
        <f t="shared" si="31"/>
        <v>4898</v>
      </c>
      <c r="BH16" s="45">
        <f t="shared" si="32"/>
        <v>-0.597336402499178</v>
      </c>
      <c r="BI16" s="177"/>
      <c r="BJ16" s="177"/>
      <c r="BK16" s="45" t="e">
        <f t="shared" si="34"/>
        <v>#DIV/0!</v>
      </c>
      <c r="BL16" s="177">
        <f t="shared" si="35"/>
        <v>12164</v>
      </c>
      <c r="BM16" s="177">
        <f t="shared" si="36"/>
        <v>4898</v>
      </c>
      <c r="BN16" s="45">
        <f t="shared" si="33"/>
        <v>-0.597336402499178</v>
      </c>
      <c r="BO16" s="176"/>
      <c r="BP16" s="108"/>
      <c r="BQ16" s="108">
        <v>12164</v>
      </c>
      <c r="BR16" s="115" t="e">
        <f t="shared" si="37"/>
        <v>#DIV/0!</v>
      </c>
      <c r="BS16" s="108"/>
      <c r="BT16" s="108"/>
    </row>
    <row r="17" spans="1:72">
      <c r="A17" s="110" t="s">
        <v>30</v>
      </c>
      <c r="B17" s="110" t="s">
        <v>30</v>
      </c>
      <c r="C17" s="111" t="s">
        <v>190</v>
      </c>
      <c r="D17" s="112" t="s">
        <v>90</v>
      </c>
      <c r="E17" s="112" t="s">
        <v>90</v>
      </c>
      <c r="F17" s="112" t="s">
        <v>170</v>
      </c>
      <c r="G17" s="266" t="s">
        <v>82</v>
      </c>
      <c r="H17" s="112" t="s">
        <v>90</v>
      </c>
      <c r="I17" s="175"/>
      <c r="J17" s="176">
        <v>63679.7</v>
      </c>
      <c r="K17" s="176">
        <v>24583</v>
      </c>
      <c r="L17" s="45">
        <f t="shared" si="0"/>
        <v>-0.613958608473344</v>
      </c>
      <c r="M17" s="108">
        <v>31724</v>
      </c>
      <c r="N17" s="108">
        <f>51707.42</f>
        <v>51707.42</v>
      </c>
      <c r="O17" s="45">
        <f t="shared" si="1"/>
        <v>0.629914890934308</v>
      </c>
      <c r="P17" s="108">
        <f t="shared" si="2"/>
        <v>95403.7</v>
      </c>
      <c r="Q17" s="108">
        <f t="shared" si="3"/>
        <v>76290.42</v>
      </c>
      <c r="R17" s="45">
        <f t="shared" si="4"/>
        <v>-0.2003410769184</v>
      </c>
      <c r="S17" s="36">
        <v>16191</v>
      </c>
      <c r="T17" s="36">
        <v>15078</v>
      </c>
      <c r="U17" s="45">
        <f t="shared" si="5"/>
        <v>-0.0687418936446174</v>
      </c>
      <c r="V17" s="36">
        <f t="shared" si="6"/>
        <v>111594.7</v>
      </c>
      <c r="W17" s="36">
        <f t="shared" si="7"/>
        <v>91368.42</v>
      </c>
      <c r="X17" s="45">
        <f t="shared" si="8"/>
        <v>-0.181247675740873</v>
      </c>
      <c r="Y17" s="108">
        <v>75898.4</v>
      </c>
      <c r="Z17" s="108">
        <v>18492.96</v>
      </c>
      <c r="AA17" s="45">
        <f t="shared" si="9"/>
        <v>-0.756345851822963</v>
      </c>
      <c r="AB17" s="108">
        <f t="shared" si="10"/>
        <v>187493.1</v>
      </c>
      <c r="AC17" s="108">
        <f t="shared" si="11"/>
        <v>109861.38</v>
      </c>
      <c r="AD17" s="45">
        <f t="shared" si="12"/>
        <v>-0.414051077079636</v>
      </c>
      <c r="AE17" s="108">
        <v>15950</v>
      </c>
      <c r="AF17" s="108">
        <v>98516.3</v>
      </c>
      <c r="AG17" s="45">
        <f t="shared" si="13"/>
        <v>5.17657053291536</v>
      </c>
      <c r="AH17" s="108">
        <f t="shared" si="14"/>
        <v>203443.1</v>
      </c>
      <c r="AI17" s="108">
        <f t="shared" si="15"/>
        <v>208377.68</v>
      </c>
      <c r="AJ17" s="45">
        <f t="shared" si="16"/>
        <v>0.0242553323263361</v>
      </c>
      <c r="AK17" s="108">
        <v>24245.1</v>
      </c>
      <c r="AL17" s="108">
        <v>82673.2</v>
      </c>
      <c r="AM17" s="45">
        <f t="shared" si="17"/>
        <v>2.40989313304544</v>
      </c>
      <c r="AN17" s="108">
        <f t="shared" si="18"/>
        <v>227688.2</v>
      </c>
      <c r="AO17" s="108">
        <f t="shared" si="19"/>
        <v>291050.88</v>
      </c>
      <c r="AP17" s="45">
        <f t="shared" si="20"/>
        <v>0.278287060989546</v>
      </c>
      <c r="AQ17" s="108">
        <v>67901</v>
      </c>
      <c r="AR17" s="108">
        <v>89412</v>
      </c>
      <c r="AS17" s="45">
        <f t="shared" si="21"/>
        <v>0.316799458034491</v>
      </c>
      <c r="AT17" s="108">
        <f t="shared" si="22"/>
        <v>295589.2</v>
      </c>
      <c r="AU17" s="108">
        <f t="shared" si="23"/>
        <v>380462.88</v>
      </c>
      <c r="AV17" s="45">
        <f t="shared" si="24"/>
        <v>0.287133900697319</v>
      </c>
      <c r="AW17" s="36">
        <v>61701</v>
      </c>
      <c r="AX17" s="36">
        <v>67262.72</v>
      </c>
      <c r="AY17" s="45">
        <f t="shared" si="25"/>
        <v>0.0901398680734511</v>
      </c>
      <c r="AZ17" s="36">
        <f t="shared" si="26"/>
        <v>357290.2</v>
      </c>
      <c r="BA17" s="36">
        <f t="shared" si="27"/>
        <v>447725.6</v>
      </c>
      <c r="BB17" s="45">
        <f t="shared" si="28"/>
        <v>0.25311469500143</v>
      </c>
      <c r="BC17" s="36">
        <v>8251.56</v>
      </c>
      <c r="BD17" s="36">
        <v>76510.6</v>
      </c>
      <c r="BE17" s="45">
        <f t="shared" si="29"/>
        <v>8.27225882136226</v>
      </c>
      <c r="BF17" s="36">
        <f t="shared" si="30"/>
        <v>365541.76</v>
      </c>
      <c r="BG17" s="36">
        <f t="shared" si="31"/>
        <v>524236.2</v>
      </c>
      <c r="BH17" s="45">
        <f t="shared" si="32"/>
        <v>0.434134912519981</v>
      </c>
      <c r="BI17" s="177">
        <v>119844</v>
      </c>
      <c r="BJ17" s="177">
        <v>109216.46</v>
      </c>
      <c r="BK17" s="45">
        <f t="shared" si="34"/>
        <v>-0.0886781148826807</v>
      </c>
      <c r="BL17" s="177">
        <f t="shared" si="35"/>
        <v>485385.76</v>
      </c>
      <c r="BM17" s="177">
        <f t="shared" si="36"/>
        <v>633452.66</v>
      </c>
      <c r="BN17" s="45">
        <f t="shared" si="33"/>
        <v>0.305049946253059</v>
      </c>
      <c r="BO17" s="176">
        <v>114637.78</v>
      </c>
      <c r="BP17" s="108">
        <v>130779.56</v>
      </c>
      <c r="BQ17" s="108">
        <v>730803.1</v>
      </c>
      <c r="BR17" s="115" t="e">
        <f t="shared" si="37"/>
        <v>#DIV/0!</v>
      </c>
      <c r="BS17" s="108"/>
      <c r="BT17" s="108"/>
    </row>
    <row r="18" spans="1:72">
      <c r="A18" s="110" t="s">
        <v>30</v>
      </c>
      <c r="B18" s="110" t="s">
        <v>30</v>
      </c>
      <c r="C18" s="111" t="s">
        <v>191</v>
      </c>
      <c r="D18" s="112" t="s">
        <v>63</v>
      </c>
      <c r="E18" s="112" t="s">
        <v>63</v>
      </c>
      <c r="F18" s="266" t="s">
        <v>183</v>
      </c>
      <c r="G18" s="266" t="s">
        <v>183</v>
      </c>
      <c r="H18" s="108" t="s">
        <v>176</v>
      </c>
      <c r="I18" s="175">
        <v>3</v>
      </c>
      <c r="J18" s="176"/>
      <c r="K18" s="176"/>
      <c r="L18" s="45" t="e">
        <f t="shared" si="0"/>
        <v>#DIV/0!</v>
      </c>
      <c r="M18" s="108"/>
      <c r="N18" s="108"/>
      <c r="O18" s="45" t="e">
        <f t="shared" si="1"/>
        <v>#DIV/0!</v>
      </c>
      <c r="P18" s="108">
        <f t="shared" si="2"/>
        <v>0</v>
      </c>
      <c r="Q18" s="108">
        <f t="shared" si="3"/>
        <v>0</v>
      </c>
      <c r="R18" s="45" t="e">
        <f t="shared" si="4"/>
        <v>#DIV/0!</v>
      </c>
      <c r="S18" s="36"/>
      <c r="T18" s="36"/>
      <c r="U18" s="45" t="e">
        <f t="shared" si="5"/>
        <v>#DIV/0!</v>
      </c>
      <c r="V18" s="36">
        <f t="shared" si="6"/>
        <v>0</v>
      </c>
      <c r="W18" s="36">
        <f t="shared" si="7"/>
        <v>0</v>
      </c>
      <c r="X18" s="45" t="e">
        <f t="shared" si="8"/>
        <v>#DIV/0!</v>
      </c>
      <c r="Y18" s="108"/>
      <c r="Z18" s="108"/>
      <c r="AA18" s="45" t="e">
        <f t="shared" si="9"/>
        <v>#DIV/0!</v>
      </c>
      <c r="AB18" s="108">
        <f t="shared" si="10"/>
        <v>0</v>
      </c>
      <c r="AC18" s="108">
        <f t="shared" si="11"/>
        <v>0</v>
      </c>
      <c r="AD18" s="45" t="e">
        <f t="shared" si="12"/>
        <v>#DIV/0!</v>
      </c>
      <c r="AE18" s="108">
        <v>12524</v>
      </c>
      <c r="AF18" s="108"/>
      <c r="AG18" s="45">
        <f t="shared" si="13"/>
        <v>-1</v>
      </c>
      <c r="AH18" s="108">
        <f t="shared" si="14"/>
        <v>12524</v>
      </c>
      <c r="AI18" s="108">
        <f t="shared" si="15"/>
        <v>0</v>
      </c>
      <c r="AJ18" s="45">
        <f t="shared" si="16"/>
        <v>-1</v>
      </c>
      <c r="AK18" s="108"/>
      <c r="AL18" s="108"/>
      <c r="AM18" s="45" t="e">
        <f t="shared" si="17"/>
        <v>#DIV/0!</v>
      </c>
      <c r="AN18" s="108">
        <f t="shared" si="18"/>
        <v>12524</v>
      </c>
      <c r="AO18" s="108">
        <f t="shared" si="19"/>
        <v>0</v>
      </c>
      <c r="AP18" s="45">
        <f t="shared" si="20"/>
        <v>-1</v>
      </c>
      <c r="AQ18" s="108"/>
      <c r="AR18" s="108"/>
      <c r="AS18" s="45" t="e">
        <f t="shared" si="21"/>
        <v>#DIV/0!</v>
      </c>
      <c r="AT18" s="108">
        <f t="shared" si="22"/>
        <v>12524</v>
      </c>
      <c r="AU18" s="108">
        <f t="shared" si="23"/>
        <v>0</v>
      </c>
      <c r="AV18" s="45">
        <f t="shared" si="24"/>
        <v>-1</v>
      </c>
      <c r="AW18" s="36"/>
      <c r="AX18" s="36"/>
      <c r="AY18" s="45" t="e">
        <f t="shared" si="25"/>
        <v>#DIV/0!</v>
      </c>
      <c r="AZ18" s="36">
        <f t="shared" si="26"/>
        <v>12524</v>
      </c>
      <c r="BA18" s="36">
        <f t="shared" si="27"/>
        <v>0</v>
      </c>
      <c r="BB18" s="45">
        <f t="shared" si="28"/>
        <v>-1</v>
      </c>
      <c r="BC18" s="36"/>
      <c r="BD18" s="36">
        <v>7391</v>
      </c>
      <c r="BE18" s="45" t="e">
        <f t="shared" si="29"/>
        <v>#DIV/0!</v>
      </c>
      <c r="BF18" s="36">
        <f t="shared" si="30"/>
        <v>12524</v>
      </c>
      <c r="BG18" s="36">
        <f t="shared" si="31"/>
        <v>7391</v>
      </c>
      <c r="BH18" s="45">
        <f t="shared" si="32"/>
        <v>-0.409853082082402</v>
      </c>
      <c r="BI18" s="177"/>
      <c r="BJ18" s="177"/>
      <c r="BK18" s="45" t="e">
        <f t="shared" si="34"/>
        <v>#DIV/0!</v>
      </c>
      <c r="BL18" s="177">
        <f t="shared" si="35"/>
        <v>12524</v>
      </c>
      <c r="BM18" s="177">
        <f t="shared" si="36"/>
        <v>7391</v>
      </c>
      <c r="BN18" s="45">
        <f t="shared" si="33"/>
        <v>-0.409853082082402</v>
      </c>
      <c r="BO18" s="176"/>
      <c r="BP18" s="108"/>
      <c r="BQ18" s="108">
        <v>12524</v>
      </c>
      <c r="BR18" s="115">
        <f t="shared" si="37"/>
        <v>0.246366666666667</v>
      </c>
      <c r="BS18" s="108"/>
      <c r="BT18" s="108"/>
    </row>
    <row r="19" spans="1:72">
      <c r="A19" s="110" t="s">
        <v>30</v>
      </c>
      <c r="B19" s="110" t="s">
        <v>30</v>
      </c>
      <c r="C19" s="111" t="s">
        <v>192</v>
      </c>
      <c r="D19" s="112" t="s">
        <v>63</v>
      </c>
      <c r="E19" s="112" t="s">
        <v>63</v>
      </c>
      <c r="F19" s="112" t="s">
        <v>179</v>
      </c>
      <c r="G19" s="112" t="s">
        <v>179</v>
      </c>
      <c r="H19" s="112" t="s">
        <v>167</v>
      </c>
      <c r="I19" s="175">
        <v>1</v>
      </c>
      <c r="J19" s="176"/>
      <c r="K19" s="176"/>
      <c r="L19" s="45" t="e">
        <f t="shared" si="0"/>
        <v>#DIV/0!</v>
      </c>
      <c r="M19" s="108"/>
      <c r="N19" s="108"/>
      <c r="O19" s="45" t="e">
        <f t="shared" si="1"/>
        <v>#DIV/0!</v>
      </c>
      <c r="P19" s="108">
        <f t="shared" si="2"/>
        <v>0</v>
      </c>
      <c r="Q19" s="108">
        <f t="shared" si="3"/>
        <v>0</v>
      </c>
      <c r="R19" s="45" t="e">
        <f t="shared" si="4"/>
        <v>#DIV/0!</v>
      </c>
      <c r="S19" s="36"/>
      <c r="T19" s="36">
        <v>16948</v>
      </c>
      <c r="U19" s="45" t="e">
        <f t="shared" si="5"/>
        <v>#DIV/0!</v>
      </c>
      <c r="V19" s="36">
        <f t="shared" si="6"/>
        <v>0</v>
      </c>
      <c r="W19" s="36">
        <f t="shared" si="7"/>
        <v>16948</v>
      </c>
      <c r="X19" s="45" t="e">
        <f t="shared" si="8"/>
        <v>#DIV/0!</v>
      </c>
      <c r="Y19" s="108"/>
      <c r="Z19" s="108"/>
      <c r="AA19" s="45" t="e">
        <f t="shared" si="9"/>
        <v>#DIV/0!</v>
      </c>
      <c r="AB19" s="108">
        <f t="shared" si="10"/>
        <v>0</v>
      </c>
      <c r="AC19" s="108">
        <f t="shared" si="11"/>
        <v>16948</v>
      </c>
      <c r="AD19" s="45" t="e">
        <f t="shared" si="12"/>
        <v>#DIV/0!</v>
      </c>
      <c r="AE19" s="108"/>
      <c r="AF19" s="108"/>
      <c r="AG19" s="45" t="e">
        <f t="shared" si="13"/>
        <v>#DIV/0!</v>
      </c>
      <c r="AH19" s="108">
        <f t="shared" si="14"/>
        <v>0</v>
      </c>
      <c r="AI19" s="108">
        <f t="shared" si="15"/>
        <v>16948</v>
      </c>
      <c r="AJ19" s="45" t="e">
        <f t="shared" si="16"/>
        <v>#DIV/0!</v>
      </c>
      <c r="AK19" s="108"/>
      <c r="AL19" s="108"/>
      <c r="AM19" s="45" t="e">
        <f t="shared" si="17"/>
        <v>#DIV/0!</v>
      </c>
      <c r="AN19" s="108">
        <f t="shared" si="18"/>
        <v>0</v>
      </c>
      <c r="AO19" s="108">
        <f t="shared" si="19"/>
        <v>16948</v>
      </c>
      <c r="AP19" s="45" t="e">
        <f t="shared" si="20"/>
        <v>#DIV/0!</v>
      </c>
      <c r="AQ19" s="108"/>
      <c r="AR19" s="108"/>
      <c r="AS19" s="45" t="e">
        <f t="shared" si="21"/>
        <v>#DIV/0!</v>
      </c>
      <c r="AT19" s="108">
        <f t="shared" si="22"/>
        <v>0</v>
      </c>
      <c r="AU19" s="108">
        <f t="shared" si="23"/>
        <v>16948</v>
      </c>
      <c r="AV19" s="45" t="e">
        <f t="shared" si="24"/>
        <v>#DIV/0!</v>
      </c>
      <c r="AW19" s="36"/>
      <c r="AX19" s="36"/>
      <c r="AY19" s="45" t="e">
        <f t="shared" si="25"/>
        <v>#DIV/0!</v>
      </c>
      <c r="AZ19" s="36">
        <f t="shared" si="26"/>
        <v>0</v>
      </c>
      <c r="BA19" s="36">
        <f t="shared" si="27"/>
        <v>16948</v>
      </c>
      <c r="BB19" s="45" t="e">
        <f t="shared" si="28"/>
        <v>#DIV/0!</v>
      </c>
      <c r="BC19" s="36">
        <v>5468</v>
      </c>
      <c r="BD19" s="36">
        <v>3081</v>
      </c>
      <c r="BE19" s="45">
        <f t="shared" si="29"/>
        <v>-0.436539868324799</v>
      </c>
      <c r="BF19" s="36">
        <f t="shared" si="30"/>
        <v>5468</v>
      </c>
      <c r="BG19" s="36">
        <f t="shared" si="31"/>
        <v>20029</v>
      </c>
      <c r="BH19" s="45">
        <f t="shared" si="32"/>
        <v>2.66294806144843</v>
      </c>
      <c r="BI19" s="177"/>
      <c r="BJ19" s="177"/>
      <c r="BK19" s="45" t="e">
        <f t="shared" si="34"/>
        <v>#DIV/0!</v>
      </c>
      <c r="BL19" s="177">
        <f t="shared" si="35"/>
        <v>5468</v>
      </c>
      <c r="BM19" s="177">
        <f t="shared" si="36"/>
        <v>20029</v>
      </c>
      <c r="BN19" s="45">
        <f t="shared" si="33"/>
        <v>2.66294806144843</v>
      </c>
      <c r="BO19" s="176"/>
      <c r="BP19" s="108"/>
      <c r="BQ19" s="108">
        <v>5468</v>
      </c>
      <c r="BR19" s="115">
        <f t="shared" si="37"/>
        <v>2.0029</v>
      </c>
      <c r="BS19" s="108"/>
      <c r="BT19" s="108"/>
    </row>
    <row r="20" spans="1:72">
      <c r="A20" s="110" t="s">
        <v>30</v>
      </c>
      <c r="B20" s="110" t="s">
        <v>30</v>
      </c>
      <c r="C20" s="111" t="s">
        <v>193</v>
      </c>
      <c r="D20" s="112" t="s">
        <v>104</v>
      </c>
      <c r="E20" s="112" t="s">
        <v>104</v>
      </c>
      <c r="F20" s="112" t="s">
        <v>170</v>
      </c>
      <c r="G20" s="112" t="s">
        <v>171</v>
      </c>
      <c r="H20" s="112" t="s">
        <v>172</v>
      </c>
      <c r="I20" s="175"/>
      <c r="J20" s="176">
        <v>18329</v>
      </c>
      <c r="K20" s="176"/>
      <c r="L20" s="45">
        <f t="shared" si="0"/>
        <v>-1</v>
      </c>
      <c r="M20" s="108"/>
      <c r="N20" s="108"/>
      <c r="O20" s="45" t="e">
        <f t="shared" si="1"/>
        <v>#DIV/0!</v>
      </c>
      <c r="P20" s="108">
        <f t="shared" si="2"/>
        <v>18329</v>
      </c>
      <c r="Q20" s="108">
        <f t="shared" si="3"/>
        <v>0</v>
      </c>
      <c r="R20" s="45">
        <f t="shared" si="4"/>
        <v>-1</v>
      </c>
      <c r="S20" s="36"/>
      <c r="T20" s="36"/>
      <c r="U20" s="45" t="e">
        <f t="shared" si="5"/>
        <v>#DIV/0!</v>
      </c>
      <c r="V20" s="36">
        <f t="shared" si="6"/>
        <v>18329</v>
      </c>
      <c r="W20" s="36">
        <f t="shared" si="7"/>
        <v>0</v>
      </c>
      <c r="X20" s="45">
        <f t="shared" si="8"/>
        <v>-1</v>
      </c>
      <c r="Y20" s="108"/>
      <c r="Z20" s="108"/>
      <c r="AA20" s="45" t="e">
        <f t="shared" si="9"/>
        <v>#DIV/0!</v>
      </c>
      <c r="AB20" s="108">
        <f t="shared" si="10"/>
        <v>18329</v>
      </c>
      <c r="AC20" s="108">
        <f t="shared" si="11"/>
        <v>0</v>
      </c>
      <c r="AD20" s="45">
        <f t="shared" si="12"/>
        <v>-1</v>
      </c>
      <c r="AE20" s="108"/>
      <c r="AF20" s="108">
        <v>7953</v>
      </c>
      <c r="AG20" s="45" t="e">
        <f t="shared" si="13"/>
        <v>#DIV/0!</v>
      </c>
      <c r="AH20" s="108">
        <f t="shared" si="14"/>
        <v>18329</v>
      </c>
      <c r="AI20" s="108">
        <f t="shared" si="15"/>
        <v>7953</v>
      </c>
      <c r="AJ20" s="45">
        <f t="shared" si="16"/>
        <v>-0.566097441213378</v>
      </c>
      <c r="AK20" s="108"/>
      <c r="AL20" s="108"/>
      <c r="AM20" s="45" t="e">
        <f t="shared" si="17"/>
        <v>#DIV/0!</v>
      </c>
      <c r="AN20" s="108">
        <f t="shared" si="18"/>
        <v>18329</v>
      </c>
      <c r="AO20" s="108">
        <f t="shared" si="19"/>
        <v>7953</v>
      </c>
      <c r="AP20" s="45">
        <f t="shared" si="20"/>
        <v>-0.566097441213378</v>
      </c>
      <c r="AQ20" s="108"/>
      <c r="AR20" s="108"/>
      <c r="AS20" s="45" t="e">
        <f t="shared" si="21"/>
        <v>#DIV/0!</v>
      </c>
      <c r="AT20" s="108">
        <f t="shared" si="22"/>
        <v>18329</v>
      </c>
      <c r="AU20" s="108">
        <f t="shared" si="23"/>
        <v>7953</v>
      </c>
      <c r="AV20" s="45">
        <f t="shared" si="24"/>
        <v>-0.566097441213378</v>
      </c>
      <c r="AW20" s="36"/>
      <c r="AX20" s="36"/>
      <c r="AY20" s="45" t="e">
        <f t="shared" si="25"/>
        <v>#DIV/0!</v>
      </c>
      <c r="AZ20" s="36">
        <f t="shared" si="26"/>
        <v>18329</v>
      </c>
      <c r="BA20" s="36">
        <f t="shared" si="27"/>
        <v>7953</v>
      </c>
      <c r="BB20" s="45">
        <f t="shared" si="28"/>
        <v>-0.566097441213378</v>
      </c>
      <c r="BC20" s="36"/>
      <c r="BD20" s="36"/>
      <c r="BE20" s="45" t="e">
        <f t="shared" si="29"/>
        <v>#DIV/0!</v>
      </c>
      <c r="BF20" s="36">
        <f t="shared" si="30"/>
        <v>18329</v>
      </c>
      <c r="BG20" s="36">
        <f t="shared" si="31"/>
        <v>7953</v>
      </c>
      <c r="BH20" s="45">
        <f t="shared" si="32"/>
        <v>-0.566097441213378</v>
      </c>
      <c r="BI20" s="177"/>
      <c r="BJ20" s="177"/>
      <c r="BK20" s="45" t="e">
        <f t="shared" si="34"/>
        <v>#DIV/0!</v>
      </c>
      <c r="BL20" s="177">
        <f t="shared" si="35"/>
        <v>18329</v>
      </c>
      <c r="BM20" s="177">
        <f t="shared" si="36"/>
        <v>7953</v>
      </c>
      <c r="BN20" s="45">
        <f t="shared" si="33"/>
        <v>-0.566097441213378</v>
      </c>
      <c r="BO20" s="176"/>
      <c r="BP20" s="108">
        <v>7600</v>
      </c>
      <c r="BQ20" s="108">
        <v>25929</v>
      </c>
      <c r="BR20" s="115" t="e">
        <f t="shared" si="37"/>
        <v>#DIV/0!</v>
      </c>
      <c r="BS20" s="108"/>
      <c r="BT20" s="108"/>
    </row>
    <row r="21" spans="1:72">
      <c r="A21" s="110" t="s">
        <v>30</v>
      </c>
      <c r="B21" s="110" t="s">
        <v>30</v>
      </c>
      <c r="C21" s="111" t="s">
        <v>194</v>
      </c>
      <c r="D21" s="112" t="s">
        <v>104</v>
      </c>
      <c r="E21" s="112" t="s">
        <v>104</v>
      </c>
      <c r="F21" s="112" t="s">
        <v>170</v>
      </c>
      <c r="G21" s="112" t="s">
        <v>188</v>
      </c>
      <c r="H21" s="112" t="s">
        <v>172</v>
      </c>
      <c r="I21" s="175">
        <v>20</v>
      </c>
      <c r="J21" s="176"/>
      <c r="K21" s="176">
        <v>17233</v>
      </c>
      <c r="L21" s="45" t="e">
        <f t="shared" si="0"/>
        <v>#DIV/0!</v>
      </c>
      <c r="M21" s="108"/>
      <c r="N21" s="108">
        <v>12981</v>
      </c>
      <c r="O21" s="45" t="e">
        <f t="shared" si="1"/>
        <v>#DIV/0!</v>
      </c>
      <c r="P21" s="108">
        <f t="shared" si="2"/>
        <v>0</v>
      </c>
      <c r="Q21" s="108">
        <f t="shared" si="3"/>
        <v>30214</v>
      </c>
      <c r="R21" s="45" t="e">
        <f t="shared" si="4"/>
        <v>#DIV/0!</v>
      </c>
      <c r="S21" s="36">
        <v>124460</v>
      </c>
      <c r="T21" s="36">
        <v>7918.9</v>
      </c>
      <c r="U21" s="45">
        <f t="shared" si="5"/>
        <v>-0.936373935400932</v>
      </c>
      <c r="V21" s="36">
        <f t="shared" si="6"/>
        <v>124460</v>
      </c>
      <c r="W21" s="36">
        <f t="shared" si="7"/>
        <v>38132.9</v>
      </c>
      <c r="X21" s="45">
        <f t="shared" si="8"/>
        <v>-0.693613209063153</v>
      </c>
      <c r="Y21" s="108">
        <v>29545</v>
      </c>
      <c r="Z21" s="108">
        <v>12020</v>
      </c>
      <c r="AA21" s="45">
        <f t="shared" si="9"/>
        <v>-0.593162971738027</v>
      </c>
      <c r="AB21" s="108">
        <f t="shared" si="10"/>
        <v>154005</v>
      </c>
      <c r="AC21" s="108">
        <f t="shared" si="11"/>
        <v>50152.9</v>
      </c>
      <c r="AD21" s="45">
        <f t="shared" si="12"/>
        <v>-0.674342391480796</v>
      </c>
      <c r="AE21" s="108">
        <v>24819.5</v>
      </c>
      <c r="AF21" s="108">
        <v>50830.5</v>
      </c>
      <c r="AG21" s="45">
        <f t="shared" si="13"/>
        <v>1.04800660770765</v>
      </c>
      <c r="AH21" s="108">
        <f t="shared" si="14"/>
        <v>178824.5</v>
      </c>
      <c r="AI21" s="108">
        <f t="shared" si="15"/>
        <v>100983.4</v>
      </c>
      <c r="AJ21" s="45">
        <f t="shared" si="16"/>
        <v>-0.435293262388543</v>
      </c>
      <c r="AK21" s="108">
        <v>96470.5</v>
      </c>
      <c r="AL21" s="108">
        <v>38001.3</v>
      </c>
      <c r="AM21" s="45">
        <f t="shared" si="17"/>
        <v>-0.606083725076578</v>
      </c>
      <c r="AN21" s="108">
        <f t="shared" si="18"/>
        <v>275295</v>
      </c>
      <c r="AO21" s="108">
        <f t="shared" si="19"/>
        <v>138984.7</v>
      </c>
      <c r="AP21" s="45">
        <f t="shared" si="20"/>
        <v>-0.49514266514103</v>
      </c>
      <c r="AQ21" s="108">
        <v>8402</v>
      </c>
      <c r="AR21" s="108">
        <v>20727</v>
      </c>
      <c r="AS21" s="45">
        <f t="shared" si="21"/>
        <v>1.46691263984766</v>
      </c>
      <c r="AT21" s="108">
        <f t="shared" si="22"/>
        <v>283697</v>
      </c>
      <c r="AU21" s="108">
        <f t="shared" si="23"/>
        <v>159711.7</v>
      </c>
      <c r="AV21" s="45">
        <f t="shared" si="24"/>
        <v>-0.437034230182201</v>
      </c>
      <c r="AW21" s="36">
        <v>19946.5</v>
      </c>
      <c r="AX21" s="36">
        <v>11805</v>
      </c>
      <c r="AY21" s="45">
        <f t="shared" si="25"/>
        <v>-0.40816684631389</v>
      </c>
      <c r="AZ21" s="36">
        <f t="shared" si="26"/>
        <v>303643.5</v>
      </c>
      <c r="BA21" s="36">
        <f t="shared" si="27"/>
        <v>171516.7</v>
      </c>
      <c r="BB21" s="45">
        <f t="shared" si="28"/>
        <v>-0.435137916668725</v>
      </c>
      <c r="BC21" s="36">
        <v>8356</v>
      </c>
      <c r="BD21" s="36">
        <v>14139</v>
      </c>
      <c r="BE21" s="45">
        <f t="shared" si="29"/>
        <v>0.692077549066539</v>
      </c>
      <c r="BF21" s="36">
        <f t="shared" si="30"/>
        <v>311999.5</v>
      </c>
      <c r="BG21" s="36">
        <f t="shared" si="31"/>
        <v>185655.7</v>
      </c>
      <c r="BH21" s="45">
        <f t="shared" si="32"/>
        <v>-0.404948725879368</v>
      </c>
      <c r="BI21" s="177">
        <v>6307</v>
      </c>
      <c r="BJ21" s="177">
        <v>15262</v>
      </c>
      <c r="BK21" s="45">
        <f t="shared" si="34"/>
        <v>1.41985095925163</v>
      </c>
      <c r="BL21" s="177">
        <f t="shared" si="35"/>
        <v>318306.5</v>
      </c>
      <c r="BM21" s="177">
        <f t="shared" si="36"/>
        <v>200917.7</v>
      </c>
      <c r="BN21" s="45">
        <f t="shared" si="33"/>
        <v>-0.368791714903717</v>
      </c>
      <c r="BO21" s="176">
        <v>7246</v>
      </c>
      <c r="BP21" s="108">
        <v>67344.7</v>
      </c>
      <c r="BQ21" s="108">
        <v>392897.2</v>
      </c>
      <c r="BR21" s="115">
        <f t="shared" si="37"/>
        <v>1.0045885</v>
      </c>
      <c r="BS21" s="108"/>
      <c r="BT21" s="108"/>
    </row>
    <row r="22" spans="1:72">
      <c r="A22" s="110" t="s">
        <v>30</v>
      </c>
      <c r="B22" s="110" t="s">
        <v>30</v>
      </c>
      <c r="C22" s="111" t="s">
        <v>195</v>
      </c>
      <c r="D22" s="112" t="s">
        <v>104</v>
      </c>
      <c r="E22" s="112" t="s">
        <v>104</v>
      </c>
      <c r="F22" s="266" t="s">
        <v>185</v>
      </c>
      <c r="G22" s="266" t="s">
        <v>185</v>
      </c>
      <c r="H22" s="108" t="s">
        <v>176</v>
      </c>
      <c r="I22" s="175">
        <v>10</v>
      </c>
      <c r="J22" s="176"/>
      <c r="K22" s="176"/>
      <c r="L22" s="45" t="e">
        <f t="shared" si="0"/>
        <v>#DIV/0!</v>
      </c>
      <c r="M22" s="108"/>
      <c r="N22" s="108"/>
      <c r="O22" s="45" t="e">
        <f t="shared" si="1"/>
        <v>#DIV/0!</v>
      </c>
      <c r="P22" s="108">
        <f t="shared" si="2"/>
        <v>0</v>
      </c>
      <c r="Q22" s="108">
        <f t="shared" si="3"/>
        <v>0</v>
      </c>
      <c r="R22" s="45" t="e">
        <f t="shared" si="4"/>
        <v>#DIV/0!</v>
      </c>
      <c r="S22" s="36">
        <v>21714</v>
      </c>
      <c r="T22" s="36"/>
      <c r="U22" s="45">
        <f t="shared" si="5"/>
        <v>-1</v>
      </c>
      <c r="V22" s="36">
        <f t="shared" si="6"/>
        <v>21714</v>
      </c>
      <c r="W22" s="36">
        <f t="shared" si="7"/>
        <v>0</v>
      </c>
      <c r="X22" s="45">
        <f t="shared" si="8"/>
        <v>-1</v>
      </c>
      <c r="Y22" s="108"/>
      <c r="Z22" s="108"/>
      <c r="AA22" s="45" t="e">
        <f t="shared" si="9"/>
        <v>#DIV/0!</v>
      </c>
      <c r="AB22" s="108">
        <f t="shared" si="10"/>
        <v>21714</v>
      </c>
      <c r="AC22" s="108">
        <f t="shared" si="11"/>
        <v>0</v>
      </c>
      <c r="AD22" s="45">
        <f t="shared" si="12"/>
        <v>-1</v>
      </c>
      <c r="AE22" s="108"/>
      <c r="AF22" s="108"/>
      <c r="AG22" s="45" t="e">
        <f t="shared" si="13"/>
        <v>#DIV/0!</v>
      </c>
      <c r="AH22" s="108">
        <f t="shared" si="14"/>
        <v>21714</v>
      </c>
      <c r="AI22" s="108">
        <f t="shared" si="15"/>
        <v>0</v>
      </c>
      <c r="AJ22" s="45">
        <f t="shared" si="16"/>
        <v>-1</v>
      </c>
      <c r="AK22" s="108"/>
      <c r="AL22" s="108"/>
      <c r="AM22" s="45" t="e">
        <f t="shared" si="17"/>
        <v>#DIV/0!</v>
      </c>
      <c r="AN22" s="108">
        <f t="shared" si="18"/>
        <v>21714</v>
      </c>
      <c r="AO22" s="108">
        <f t="shared" si="19"/>
        <v>0</v>
      </c>
      <c r="AP22" s="45">
        <f t="shared" si="20"/>
        <v>-1</v>
      </c>
      <c r="AQ22" s="108"/>
      <c r="AR22" s="108"/>
      <c r="AS22" s="45" t="e">
        <f t="shared" si="21"/>
        <v>#DIV/0!</v>
      </c>
      <c r="AT22" s="108">
        <f t="shared" si="22"/>
        <v>21714</v>
      </c>
      <c r="AU22" s="108">
        <f t="shared" si="23"/>
        <v>0</v>
      </c>
      <c r="AV22" s="45">
        <f t="shared" si="24"/>
        <v>-1</v>
      </c>
      <c r="AW22" s="36"/>
      <c r="AX22" s="36"/>
      <c r="AY22" s="45" t="e">
        <f t="shared" si="25"/>
        <v>#DIV/0!</v>
      </c>
      <c r="AZ22" s="36">
        <f t="shared" si="26"/>
        <v>21714</v>
      </c>
      <c r="BA22" s="36">
        <f t="shared" si="27"/>
        <v>0</v>
      </c>
      <c r="BB22" s="45">
        <f t="shared" si="28"/>
        <v>-1</v>
      </c>
      <c r="BC22" s="36">
        <v>8915</v>
      </c>
      <c r="BD22" s="36"/>
      <c r="BE22" s="45">
        <f t="shared" si="29"/>
        <v>-1</v>
      </c>
      <c r="BF22" s="36">
        <f t="shared" si="30"/>
        <v>30629</v>
      </c>
      <c r="BG22" s="36">
        <f t="shared" si="31"/>
        <v>0</v>
      </c>
      <c r="BH22" s="45">
        <f t="shared" si="32"/>
        <v>-1</v>
      </c>
      <c r="BI22" s="177">
        <v>17830</v>
      </c>
      <c r="BJ22" s="177"/>
      <c r="BK22" s="45">
        <f t="shared" si="34"/>
        <v>-1</v>
      </c>
      <c r="BL22" s="177">
        <f t="shared" si="35"/>
        <v>48459</v>
      </c>
      <c r="BM22" s="177">
        <f t="shared" si="36"/>
        <v>0</v>
      </c>
      <c r="BN22" s="45">
        <f t="shared" si="33"/>
        <v>-1</v>
      </c>
      <c r="BO22" s="176"/>
      <c r="BP22" s="108"/>
      <c r="BQ22" s="108">
        <v>48459</v>
      </c>
      <c r="BR22" s="115">
        <f t="shared" si="37"/>
        <v>0</v>
      </c>
      <c r="BS22" s="108"/>
      <c r="BT22" s="108"/>
    </row>
    <row r="23" spans="1:72">
      <c r="A23" s="110" t="s">
        <v>30</v>
      </c>
      <c r="B23" s="110" t="s">
        <v>30</v>
      </c>
      <c r="C23" s="111" t="s">
        <v>196</v>
      </c>
      <c r="D23" s="112" t="s">
        <v>63</v>
      </c>
      <c r="E23" s="112" t="s">
        <v>63</v>
      </c>
      <c r="F23" s="112" t="s">
        <v>166</v>
      </c>
      <c r="G23" s="112" t="s">
        <v>166</v>
      </c>
      <c r="H23" s="112" t="s">
        <v>167</v>
      </c>
      <c r="I23" s="175"/>
      <c r="J23" s="176"/>
      <c r="K23" s="176"/>
      <c r="L23" s="45" t="e">
        <f t="shared" si="0"/>
        <v>#DIV/0!</v>
      </c>
      <c r="M23" s="108"/>
      <c r="N23" s="108"/>
      <c r="O23" s="45" t="e">
        <f t="shared" si="1"/>
        <v>#DIV/0!</v>
      </c>
      <c r="P23" s="108">
        <f t="shared" si="2"/>
        <v>0</v>
      </c>
      <c r="Q23" s="108">
        <f t="shared" si="3"/>
        <v>0</v>
      </c>
      <c r="R23" s="45" t="e">
        <f t="shared" si="4"/>
        <v>#DIV/0!</v>
      </c>
      <c r="S23" s="36"/>
      <c r="T23" s="36"/>
      <c r="U23" s="45" t="e">
        <f t="shared" si="5"/>
        <v>#DIV/0!</v>
      </c>
      <c r="V23" s="36">
        <f t="shared" si="6"/>
        <v>0</v>
      </c>
      <c r="W23" s="36">
        <f t="shared" si="7"/>
        <v>0</v>
      </c>
      <c r="X23" s="45" t="e">
        <f t="shared" si="8"/>
        <v>#DIV/0!</v>
      </c>
      <c r="Y23" s="108"/>
      <c r="Z23" s="108"/>
      <c r="AA23" s="45" t="e">
        <f t="shared" si="9"/>
        <v>#DIV/0!</v>
      </c>
      <c r="AB23" s="108">
        <f t="shared" si="10"/>
        <v>0</v>
      </c>
      <c r="AC23" s="108">
        <f t="shared" si="11"/>
        <v>0</v>
      </c>
      <c r="AD23" s="45" t="e">
        <f t="shared" si="12"/>
        <v>#DIV/0!</v>
      </c>
      <c r="AE23" s="108"/>
      <c r="AF23" s="108"/>
      <c r="AG23" s="45" t="e">
        <f t="shared" si="13"/>
        <v>#DIV/0!</v>
      </c>
      <c r="AH23" s="108">
        <f t="shared" si="14"/>
        <v>0</v>
      </c>
      <c r="AI23" s="108">
        <f t="shared" si="15"/>
        <v>0</v>
      </c>
      <c r="AJ23" s="45" t="e">
        <f t="shared" si="16"/>
        <v>#DIV/0!</v>
      </c>
      <c r="AK23" s="108"/>
      <c r="AL23" s="108"/>
      <c r="AM23" s="45" t="e">
        <f t="shared" si="17"/>
        <v>#DIV/0!</v>
      </c>
      <c r="AN23" s="108">
        <f t="shared" si="18"/>
        <v>0</v>
      </c>
      <c r="AO23" s="108">
        <f t="shared" si="19"/>
        <v>0</v>
      </c>
      <c r="AP23" s="45" t="e">
        <f t="shared" si="20"/>
        <v>#DIV/0!</v>
      </c>
      <c r="AQ23" s="108"/>
      <c r="AR23" s="108"/>
      <c r="AS23" s="45" t="e">
        <f t="shared" si="21"/>
        <v>#DIV/0!</v>
      </c>
      <c r="AT23" s="108">
        <f t="shared" si="22"/>
        <v>0</v>
      </c>
      <c r="AU23" s="108">
        <f t="shared" si="23"/>
        <v>0</v>
      </c>
      <c r="AV23" s="45" t="e">
        <f t="shared" si="24"/>
        <v>#DIV/0!</v>
      </c>
      <c r="AW23" s="36"/>
      <c r="AX23" s="36">
        <v>3899</v>
      </c>
      <c r="AY23" s="45" t="e">
        <f t="shared" si="25"/>
        <v>#DIV/0!</v>
      </c>
      <c r="AZ23" s="36">
        <f t="shared" si="26"/>
        <v>0</v>
      </c>
      <c r="BA23" s="36">
        <f t="shared" si="27"/>
        <v>3899</v>
      </c>
      <c r="BB23" s="45" t="e">
        <f t="shared" si="28"/>
        <v>#DIV/0!</v>
      </c>
      <c r="BC23" s="36"/>
      <c r="BD23" s="36"/>
      <c r="BE23" s="45" t="e">
        <f t="shared" si="29"/>
        <v>#DIV/0!</v>
      </c>
      <c r="BF23" s="36">
        <f t="shared" si="30"/>
        <v>0</v>
      </c>
      <c r="BG23" s="36">
        <f t="shared" si="31"/>
        <v>3899</v>
      </c>
      <c r="BH23" s="45" t="e">
        <f t="shared" si="32"/>
        <v>#DIV/0!</v>
      </c>
      <c r="BI23" s="177"/>
      <c r="BJ23" s="177"/>
      <c r="BK23" s="45" t="e">
        <f t="shared" si="34"/>
        <v>#DIV/0!</v>
      </c>
      <c r="BL23" s="177">
        <f t="shared" si="35"/>
        <v>0</v>
      </c>
      <c r="BM23" s="177">
        <f t="shared" si="36"/>
        <v>3899</v>
      </c>
      <c r="BN23" s="45" t="e">
        <f t="shared" si="33"/>
        <v>#DIV/0!</v>
      </c>
      <c r="BO23" s="176">
        <v>3869</v>
      </c>
      <c r="BP23" s="108">
        <v>2691</v>
      </c>
      <c r="BQ23" s="108">
        <v>6560</v>
      </c>
      <c r="BR23" s="115" t="e">
        <f t="shared" si="37"/>
        <v>#DIV/0!</v>
      </c>
      <c r="BS23" s="108"/>
      <c r="BT23" s="108"/>
    </row>
    <row r="24" spans="1:72">
      <c r="A24" s="110" t="s">
        <v>30</v>
      </c>
      <c r="B24" s="110" t="s">
        <v>30</v>
      </c>
      <c r="C24" s="111" t="s">
        <v>197</v>
      </c>
      <c r="D24" s="112" t="s">
        <v>63</v>
      </c>
      <c r="E24" s="112" t="s">
        <v>63</v>
      </c>
      <c r="F24" s="112" t="s">
        <v>179</v>
      </c>
      <c r="G24" s="112" t="s">
        <v>179</v>
      </c>
      <c r="H24" s="112" t="s">
        <v>167</v>
      </c>
      <c r="I24" s="175">
        <v>10</v>
      </c>
      <c r="J24" s="176">
        <v>12044</v>
      </c>
      <c r="K24" s="176">
        <v>6050</v>
      </c>
      <c r="L24" s="45">
        <f t="shared" si="0"/>
        <v>-0.497675190966456</v>
      </c>
      <c r="M24" s="108">
        <v>10316</v>
      </c>
      <c r="N24" s="108">
        <v>3090</v>
      </c>
      <c r="O24" s="45">
        <f t="shared" si="1"/>
        <v>-0.700465296626599</v>
      </c>
      <c r="P24" s="108">
        <f t="shared" si="2"/>
        <v>22360</v>
      </c>
      <c r="Q24" s="108">
        <f t="shared" si="3"/>
        <v>9140</v>
      </c>
      <c r="R24" s="45">
        <f t="shared" si="4"/>
        <v>-0.591234347048301</v>
      </c>
      <c r="S24" s="36">
        <v>7072</v>
      </c>
      <c r="T24" s="36">
        <v>4140</v>
      </c>
      <c r="U24" s="45">
        <f t="shared" si="5"/>
        <v>-0.414592760180995</v>
      </c>
      <c r="V24" s="36">
        <f t="shared" si="6"/>
        <v>29432</v>
      </c>
      <c r="W24" s="36">
        <f t="shared" si="7"/>
        <v>13280</v>
      </c>
      <c r="X24" s="45">
        <f t="shared" si="8"/>
        <v>-0.548790432182658</v>
      </c>
      <c r="Y24" s="108">
        <v>31886</v>
      </c>
      <c r="Z24" s="108">
        <v>6935</v>
      </c>
      <c r="AA24" s="45">
        <f t="shared" si="9"/>
        <v>-0.782506429153861</v>
      </c>
      <c r="AB24" s="108">
        <f t="shared" si="10"/>
        <v>61318</v>
      </c>
      <c r="AC24" s="108">
        <f t="shared" si="11"/>
        <v>20215</v>
      </c>
      <c r="AD24" s="45">
        <f t="shared" si="12"/>
        <v>-0.67032518999315</v>
      </c>
      <c r="AE24" s="108">
        <v>1760</v>
      </c>
      <c r="AF24" s="108">
        <v>2212</v>
      </c>
      <c r="AG24" s="45">
        <f t="shared" si="13"/>
        <v>0.256818181818182</v>
      </c>
      <c r="AH24" s="108">
        <f t="shared" si="14"/>
        <v>63078</v>
      </c>
      <c r="AI24" s="108">
        <f t="shared" si="15"/>
        <v>22427</v>
      </c>
      <c r="AJ24" s="45">
        <f t="shared" si="16"/>
        <v>-0.644456070262215</v>
      </c>
      <c r="AK24" s="108">
        <v>2992</v>
      </c>
      <c r="AL24" s="108"/>
      <c r="AM24" s="45">
        <f t="shared" si="17"/>
        <v>-1</v>
      </c>
      <c r="AN24" s="108">
        <f t="shared" si="18"/>
        <v>66070</v>
      </c>
      <c r="AO24" s="108">
        <f t="shared" si="19"/>
        <v>22427</v>
      </c>
      <c r="AP24" s="45">
        <f t="shared" si="20"/>
        <v>-0.660556985015892</v>
      </c>
      <c r="AQ24" s="108"/>
      <c r="AR24" s="108"/>
      <c r="AS24" s="45" t="e">
        <f t="shared" si="21"/>
        <v>#DIV/0!</v>
      </c>
      <c r="AT24" s="108">
        <f t="shared" si="22"/>
        <v>66070</v>
      </c>
      <c r="AU24" s="108">
        <f t="shared" si="23"/>
        <v>22427</v>
      </c>
      <c r="AV24" s="45">
        <f t="shared" si="24"/>
        <v>-0.660556985015892</v>
      </c>
      <c r="AW24" s="36"/>
      <c r="AX24" s="36">
        <v>4139</v>
      </c>
      <c r="AY24" s="45" t="e">
        <f t="shared" si="25"/>
        <v>#DIV/0!</v>
      </c>
      <c r="AZ24" s="36">
        <f t="shared" si="26"/>
        <v>66070</v>
      </c>
      <c r="BA24" s="36">
        <f t="shared" si="27"/>
        <v>26566</v>
      </c>
      <c r="BB24" s="45">
        <f t="shared" si="28"/>
        <v>-0.597911306190404</v>
      </c>
      <c r="BC24" s="36"/>
      <c r="BD24" s="36"/>
      <c r="BE24" s="45" t="e">
        <f t="shared" si="29"/>
        <v>#DIV/0!</v>
      </c>
      <c r="BF24" s="36">
        <f t="shared" si="30"/>
        <v>66070</v>
      </c>
      <c r="BG24" s="36">
        <f t="shared" si="31"/>
        <v>26566</v>
      </c>
      <c r="BH24" s="45">
        <f t="shared" si="32"/>
        <v>-0.597911306190404</v>
      </c>
      <c r="BI24" s="177"/>
      <c r="BJ24" s="177"/>
      <c r="BK24" s="45" t="e">
        <f t="shared" si="34"/>
        <v>#DIV/0!</v>
      </c>
      <c r="BL24" s="177">
        <f t="shared" si="35"/>
        <v>66070</v>
      </c>
      <c r="BM24" s="177">
        <f t="shared" si="36"/>
        <v>26566</v>
      </c>
      <c r="BN24" s="45">
        <f t="shared" si="33"/>
        <v>-0.597911306190404</v>
      </c>
      <c r="BO24" s="176">
        <v>11104</v>
      </c>
      <c r="BP24" s="108">
        <v>15855</v>
      </c>
      <c r="BQ24" s="108">
        <v>93029</v>
      </c>
      <c r="BR24" s="115">
        <f t="shared" si="37"/>
        <v>0.26566</v>
      </c>
      <c r="BS24" s="108"/>
      <c r="BT24" s="108"/>
    </row>
    <row r="25" spans="1:72">
      <c r="A25" s="110" t="s">
        <v>30</v>
      </c>
      <c r="B25" s="110" t="s">
        <v>30</v>
      </c>
      <c r="C25" s="111" t="s">
        <v>198</v>
      </c>
      <c r="D25" s="112" t="s">
        <v>63</v>
      </c>
      <c r="E25" s="112" t="s">
        <v>58</v>
      </c>
      <c r="F25" s="112" t="s">
        <v>179</v>
      </c>
      <c r="G25" s="112" t="s">
        <v>179</v>
      </c>
      <c r="H25" s="112" t="s">
        <v>167</v>
      </c>
      <c r="I25" s="175"/>
      <c r="J25" s="176">
        <v>60000</v>
      </c>
      <c r="K25" s="176">
        <f>151700+20000</f>
        <v>171700</v>
      </c>
      <c r="L25" s="45">
        <f t="shared" si="0"/>
        <v>1.86166666666667</v>
      </c>
      <c r="M25" s="108">
        <v>50000</v>
      </c>
      <c r="N25" s="108">
        <v>101000</v>
      </c>
      <c r="O25" s="45">
        <f t="shared" si="1"/>
        <v>1.02</v>
      </c>
      <c r="P25" s="108">
        <f t="shared" si="2"/>
        <v>110000</v>
      </c>
      <c r="Q25" s="108">
        <f t="shared" si="3"/>
        <v>272700</v>
      </c>
      <c r="R25" s="45">
        <f t="shared" si="4"/>
        <v>1.47909090909091</v>
      </c>
      <c r="S25" s="36">
        <v>30000</v>
      </c>
      <c r="T25" s="36">
        <v>97000</v>
      </c>
      <c r="U25" s="45">
        <f t="shared" si="5"/>
        <v>2.23333333333333</v>
      </c>
      <c r="V25" s="36">
        <f t="shared" si="6"/>
        <v>140000</v>
      </c>
      <c r="W25" s="36">
        <f t="shared" si="7"/>
        <v>369700</v>
      </c>
      <c r="X25" s="45">
        <f t="shared" si="8"/>
        <v>1.64071428571429</v>
      </c>
      <c r="Y25" s="108">
        <v>170000</v>
      </c>
      <c r="Z25" s="108">
        <v>80000</v>
      </c>
      <c r="AA25" s="45">
        <f t="shared" si="9"/>
        <v>-0.529411764705882</v>
      </c>
      <c r="AB25" s="108">
        <f t="shared" si="10"/>
        <v>310000</v>
      </c>
      <c r="AC25" s="108">
        <f t="shared" si="11"/>
        <v>449700</v>
      </c>
      <c r="AD25" s="45">
        <f t="shared" si="12"/>
        <v>0.450645161290323</v>
      </c>
      <c r="AE25" s="108">
        <v>60000</v>
      </c>
      <c r="AF25" s="108">
        <v>60000</v>
      </c>
      <c r="AG25" s="45">
        <f t="shared" si="13"/>
        <v>0</v>
      </c>
      <c r="AH25" s="108">
        <f t="shared" si="14"/>
        <v>370000</v>
      </c>
      <c r="AI25" s="108">
        <f t="shared" si="15"/>
        <v>509700</v>
      </c>
      <c r="AJ25" s="45">
        <f t="shared" si="16"/>
        <v>0.377567567567568</v>
      </c>
      <c r="AK25" s="108">
        <v>140000</v>
      </c>
      <c r="AL25" s="108">
        <v>110000</v>
      </c>
      <c r="AM25" s="45">
        <f t="shared" si="17"/>
        <v>-0.214285714285714</v>
      </c>
      <c r="AN25" s="108">
        <f t="shared" si="18"/>
        <v>510000</v>
      </c>
      <c r="AO25" s="108">
        <f t="shared" si="19"/>
        <v>619700</v>
      </c>
      <c r="AP25" s="45">
        <f t="shared" si="20"/>
        <v>0.215098039215686</v>
      </c>
      <c r="AQ25" s="108">
        <v>60000</v>
      </c>
      <c r="AR25" s="108">
        <v>90000</v>
      </c>
      <c r="AS25" s="45">
        <f t="shared" si="21"/>
        <v>0.5</v>
      </c>
      <c r="AT25" s="108">
        <f t="shared" si="22"/>
        <v>570000</v>
      </c>
      <c r="AU25" s="108">
        <f t="shared" si="23"/>
        <v>709700</v>
      </c>
      <c r="AV25" s="45">
        <f t="shared" si="24"/>
        <v>0.245087719298246</v>
      </c>
      <c r="AW25" s="36">
        <v>85000</v>
      </c>
      <c r="AX25" s="36">
        <v>195000</v>
      </c>
      <c r="AY25" s="45">
        <f t="shared" si="25"/>
        <v>1.29411764705882</v>
      </c>
      <c r="AZ25" s="36">
        <f t="shared" si="26"/>
        <v>655000</v>
      </c>
      <c r="BA25" s="36">
        <f t="shared" si="27"/>
        <v>904700</v>
      </c>
      <c r="BB25" s="45">
        <f t="shared" si="28"/>
        <v>0.381221374045801</v>
      </c>
      <c r="BC25" s="36">
        <v>24000</v>
      </c>
      <c r="BD25" s="36">
        <v>70000</v>
      </c>
      <c r="BE25" s="45">
        <f t="shared" si="29"/>
        <v>1.91666666666667</v>
      </c>
      <c r="BF25" s="36">
        <f t="shared" si="30"/>
        <v>679000</v>
      </c>
      <c r="BG25" s="36">
        <f t="shared" si="31"/>
        <v>974700</v>
      </c>
      <c r="BH25" s="45">
        <f t="shared" si="32"/>
        <v>0.435493372606775</v>
      </c>
      <c r="BI25" s="177">
        <v>50000</v>
      </c>
      <c r="BJ25" s="177">
        <f>80000+20000</f>
        <v>100000</v>
      </c>
      <c r="BK25" s="45">
        <f t="shared" si="34"/>
        <v>1</v>
      </c>
      <c r="BL25" s="177">
        <f t="shared" si="35"/>
        <v>729000</v>
      </c>
      <c r="BM25" s="177">
        <f t="shared" si="36"/>
        <v>1074700</v>
      </c>
      <c r="BN25" s="45">
        <f t="shared" si="33"/>
        <v>0.474211248285322</v>
      </c>
      <c r="BO25" s="176">
        <v>300000</v>
      </c>
      <c r="BP25" s="108">
        <v>220000</v>
      </c>
      <c r="BQ25" s="108">
        <v>1249000</v>
      </c>
      <c r="BR25" s="115" t="e">
        <f t="shared" si="37"/>
        <v>#DIV/0!</v>
      </c>
      <c r="BS25" s="108"/>
      <c r="BT25" s="108">
        <v>20000</v>
      </c>
    </row>
    <row r="26" spans="1:72">
      <c r="A26" s="110" t="s">
        <v>30</v>
      </c>
      <c r="B26" s="110" t="s">
        <v>30</v>
      </c>
      <c r="C26" s="111" t="s">
        <v>199</v>
      </c>
      <c r="D26" s="112" t="s">
        <v>63</v>
      </c>
      <c r="E26" s="112" t="s">
        <v>63</v>
      </c>
      <c r="F26" s="112" t="s">
        <v>179</v>
      </c>
      <c r="G26" s="112" t="s">
        <v>179</v>
      </c>
      <c r="H26" s="112" t="s">
        <v>167</v>
      </c>
      <c r="I26" s="175">
        <v>0</v>
      </c>
      <c r="J26" s="176">
        <v>3332</v>
      </c>
      <c r="K26" s="176"/>
      <c r="L26" s="45">
        <f t="shared" si="0"/>
        <v>-1</v>
      </c>
      <c r="M26" s="108">
        <v>11794</v>
      </c>
      <c r="N26" s="108"/>
      <c r="O26" s="45">
        <f t="shared" si="1"/>
        <v>-1</v>
      </c>
      <c r="P26" s="108">
        <f t="shared" si="2"/>
        <v>15126</v>
      </c>
      <c r="Q26" s="108">
        <f t="shared" si="3"/>
        <v>0</v>
      </c>
      <c r="R26" s="45">
        <f t="shared" si="4"/>
        <v>-1</v>
      </c>
      <c r="S26" s="36">
        <v>4371</v>
      </c>
      <c r="T26" s="36"/>
      <c r="U26" s="45">
        <f t="shared" si="5"/>
        <v>-1</v>
      </c>
      <c r="V26" s="36">
        <f t="shared" si="6"/>
        <v>19497</v>
      </c>
      <c r="W26" s="36">
        <f t="shared" si="7"/>
        <v>0</v>
      </c>
      <c r="X26" s="45">
        <f t="shared" si="8"/>
        <v>-1</v>
      </c>
      <c r="Y26" s="108">
        <v>3765</v>
      </c>
      <c r="Z26" s="108"/>
      <c r="AA26" s="45">
        <f t="shared" si="9"/>
        <v>-1</v>
      </c>
      <c r="AB26" s="108">
        <f t="shared" si="10"/>
        <v>23262</v>
      </c>
      <c r="AC26" s="108">
        <f t="shared" si="11"/>
        <v>0</v>
      </c>
      <c r="AD26" s="45">
        <f t="shared" si="12"/>
        <v>-1</v>
      </c>
      <c r="AE26" s="108">
        <v>1887</v>
      </c>
      <c r="AF26" s="108"/>
      <c r="AG26" s="45">
        <f t="shared" si="13"/>
        <v>-1</v>
      </c>
      <c r="AH26" s="108">
        <f t="shared" si="14"/>
        <v>25149</v>
      </c>
      <c r="AI26" s="108">
        <f t="shared" si="15"/>
        <v>0</v>
      </c>
      <c r="AJ26" s="45">
        <f t="shared" si="16"/>
        <v>-1</v>
      </c>
      <c r="AK26" s="108"/>
      <c r="AL26" s="108"/>
      <c r="AM26" s="45" t="e">
        <f t="shared" si="17"/>
        <v>#DIV/0!</v>
      </c>
      <c r="AN26" s="108">
        <f t="shared" si="18"/>
        <v>25149</v>
      </c>
      <c r="AO26" s="108">
        <f t="shared" si="19"/>
        <v>0</v>
      </c>
      <c r="AP26" s="45">
        <f t="shared" si="20"/>
        <v>-1</v>
      </c>
      <c r="AQ26" s="108"/>
      <c r="AR26" s="108"/>
      <c r="AS26" s="45" t="e">
        <f t="shared" si="21"/>
        <v>#DIV/0!</v>
      </c>
      <c r="AT26" s="108">
        <f t="shared" si="22"/>
        <v>25149</v>
      </c>
      <c r="AU26" s="108">
        <f t="shared" si="23"/>
        <v>0</v>
      </c>
      <c r="AV26" s="45">
        <f t="shared" si="24"/>
        <v>-1</v>
      </c>
      <c r="AW26" s="36"/>
      <c r="AX26" s="36"/>
      <c r="AY26" s="45" t="e">
        <f t="shared" si="25"/>
        <v>#DIV/0!</v>
      </c>
      <c r="AZ26" s="36">
        <f t="shared" si="26"/>
        <v>25149</v>
      </c>
      <c r="BA26" s="36">
        <f t="shared" si="27"/>
        <v>0</v>
      </c>
      <c r="BB26" s="45">
        <f t="shared" si="28"/>
        <v>-1</v>
      </c>
      <c r="BC26" s="36"/>
      <c r="BD26" s="36"/>
      <c r="BE26" s="45" t="e">
        <f t="shared" si="29"/>
        <v>#DIV/0!</v>
      </c>
      <c r="BF26" s="36">
        <f t="shared" si="30"/>
        <v>25149</v>
      </c>
      <c r="BG26" s="36">
        <f t="shared" si="31"/>
        <v>0</v>
      </c>
      <c r="BH26" s="45">
        <f t="shared" si="32"/>
        <v>-1</v>
      </c>
      <c r="BI26" s="177"/>
      <c r="BJ26" s="177"/>
      <c r="BK26" s="45" t="e">
        <f t="shared" si="34"/>
        <v>#DIV/0!</v>
      </c>
      <c r="BL26" s="177">
        <f t="shared" si="35"/>
        <v>25149</v>
      </c>
      <c r="BM26" s="177">
        <f t="shared" si="36"/>
        <v>0</v>
      </c>
      <c r="BN26" s="45">
        <f t="shared" si="33"/>
        <v>-1</v>
      </c>
      <c r="BO26" s="176"/>
      <c r="BP26" s="108"/>
      <c r="BQ26" s="108">
        <v>25149</v>
      </c>
      <c r="BR26" s="115" t="e">
        <f t="shared" si="37"/>
        <v>#DIV/0!</v>
      </c>
      <c r="BS26" s="108"/>
      <c r="BT26" s="108"/>
    </row>
    <row r="27" spans="1:72">
      <c r="A27" s="110" t="s">
        <v>30</v>
      </c>
      <c r="B27" s="110" t="s">
        <v>30</v>
      </c>
      <c r="C27" s="111" t="s">
        <v>200</v>
      </c>
      <c r="D27" s="112" t="s">
        <v>104</v>
      </c>
      <c r="E27" s="112" t="s">
        <v>104</v>
      </c>
      <c r="F27" s="112" t="s">
        <v>166</v>
      </c>
      <c r="G27" s="112" t="s">
        <v>166</v>
      </c>
      <c r="H27" s="112" t="s">
        <v>167</v>
      </c>
      <c r="I27" s="175">
        <v>4.8748</v>
      </c>
      <c r="J27" s="176">
        <v>10328</v>
      </c>
      <c r="K27" s="176"/>
      <c r="L27" s="45">
        <f t="shared" si="0"/>
        <v>-1</v>
      </c>
      <c r="M27" s="108"/>
      <c r="N27" s="108"/>
      <c r="O27" s="45" t="e">
        <f t="shared" si="1"/>
        <v>#DIV/0!</v>
      </c>
      <c r="P27" s="108">
        <f t="shared" si="2"/>
        <v>10328</v>
      </c>
      <c r="Q27" s="108">
        <f t="shared" si="3"/>
        <v>0</v>
      </c>
      <c r="R27" s="45">
        <f t="shared" si="4"/>
        <v>-1</v>
      </c>
      <c r="S27" s="36"/>
      <c r="T27" s="36"/>
      <c r="U27" s="45" t="e">
        <f t="shared" si="5"/>
        <v>#DIV/0!</v>
      </c>
      <c r="V27" s="36">
        <f t="shared" si="6"/>
        <v>10328</v>
      </c>
      <c r="W27" s="36">
        <f t="shared" si="7"/>
        <v>0</v>
      </c>
      <c r="X27" s="45">
        <f t="shared" si="8"/>
        <v>-1</v>
      </c>
      <c r="Y27" s="108">
        <v>9494</v>
      </c>
      <c r="Z27" s="108"/>
      <c r="AA27" s="45">
        <f t="shared" si="9"/>
        <v>-1</v>
      </c>
      <c r="AB27" s="108">
        <f t="shared" si="10"/>
        <v>19822</v>
      </c>
      <c r="AC27" s="108">
        <f t="shared" si="11"/>
        <v>0</v>
      </c>
      <c r="AD27" s="45">
        <f t="shared" si="12"/>
        <v>-1</v>
      </c>
      <c r="AE27" s="108">
        <v>10328</v>
      </c>
      <c r="AF27" s="108"/>
      <c r="AG27" s="45">
        <f t="shared" si="13"/>
        <v>-1</v>
      </c>
      <c r="AH27" s="108">
        <f t="shared" si="14"/>
        <v>30150</v>
      </c>
      <c r="AI27" s="108">
        <f t="shared" si="15"/>
        <v>0</v>
      </c>
      <c r="AJ27" s="45">
        <f t="shared" si="16"/>
        <v>-1</v>
      </c>
      <c r="AK27" s="108"/>
      <c r="AL27" s="108"/>
      <c r="AM27" s="45" t="e">
        <f t="shared" si="17"/>
        <v>#DIV/0!</v>
      </c>
      <c r="AN27" s="108">
        <f t="shared" si="18"/>
        <v>30150</v>
      </c>
      <c r="AO27" s="108">
        <f t="shared" si="19"/>
        <v>0</v>
      </c>
      <c r="AP27" s="45">
        <f t="shared" si="20"/>
        <v>-1</v>
      </c>
      <c r="AQ27" s="108"/>
      <c r="AR27" s="108"/>
      <c r="AS27" s="45" t="e">
        <f t="shared" si="21"/>
        <v>#DIV/0!</v>
      </c>
      <c r="AT27" s="108">
        <f t="shared" si="22"/>
        <v>30150</v>
      </c>
      <c r="AU27" s="108">
        <f t="shared" si="23"/>
        <v>0</v>
      </c>
      <c r="AV27" s="45">
        <f t="shared" si="24"/>
        <v>-1</v>
      </c>
      <c r="AW27" s="36"/>
      <c r="AX27" s="36">
        <v>10328</v>
      </c>
      <c r="AY27" s="45" t="e">
        <f t="shared" si="25"/>
        <v>#DIV/0!</v>
      </c>
      <c r="AZ27" s="36">
        <f t="shared" si="26"/>
        <v>30150</v>
      </c>
      <c r="BA27" s="36">
        <f t="shared" si="27"/>
        <v>10328</v>
      </c>
      <c r="BB27" s="45">
        <f t="shared" si="28"/>
        <v>-0.657446102819237</v>
      </c>
      <c r="BC27" s="36"/>
      <c r="BD27" s="36"/>
      <c r="BE27" s="45" t="e">
        <f t="shared" si="29"/>
        <v>#DIV/0!</v>
      </c>
      <c r="BF27" s="36">
        <f t="shared" si="30"/>
        <v>30150</v>
      </c>
      <c r="BG27" s="36">
        <f t="shared" si="31"/>
        <v>10328</v>
      </c>
      <c r="BH27" s="45">
        <f t="shared" si="32"/>
        <v>-0.657446102819237</v>
      </c>
      <c r="BI27" s="177"/>
      <c r="BJ27" s="177">
        <v>2400</v>
      </c>
      <c r="BK27" s="45" t="e">
        <f t="shared" si="34"/>
        <v>#DIV/0!</v>
      </c>
      <c r="BL27" s="177">
        <f t="shared" si="35"/>
        <v>30150</v>
      </c>
      <c r="BM27" s="177">
        <f t="shared" si="36"/>
        <v>12728</v>
      </c>
      <c r="BN27" s="45">
        <f t="shared" si="33"/>
        <v>-0.577844112769486</v>
      </c>
      <c r="BO27" s="176"/>
      <c r="BP27" s="108">
        <v>20656</v>
      </c>
      <c r="BQ27" s="108">
        <v>50806</v>
      </c>
      <c r="BR27" s="115">
        <f t="shared" si="37"/>
        <v>0.261097891195536</v>
      </c>
      <c r="BS27" s="108"/>
      <c r="BT27" s="108"/>
    </row>
    <row r="28" spans="1:72">
      <c r="A28" s="110" t="s">
        <v>30</v>
      </c>
      <c r="B28" s="110" t="s">
        <v>30</v>
      </c>
      <c r="C28" s="111" t="s">
        <v>201</v>
      </c>
      <c r="D28" s="112" t="s">
        <v>63</v>
      </c>
      <c r="E28" s="112" t="s">
        <v>63</v>
      </c>
      <c r="F28" s="112" t="s">
        <v>166</v>
      </c>
      <c r="G28" s="112" t="s">
        <v>166</v>
      </c>
      <c r="H28" s="112" t="s">
        <v>167</v>
      </c>
      <c r="I28" s="175">
        <v>3</v>
      </c>
      <c r="J28" s="176"/>
      <c r="K28" s="176"/>
      <c r="L28" s="45" t="e">
        <f t="shared" si="0"/>
        <v>#DIV/0!</v>
      </c>
      <c r="M28" s="108"/>
      <c r="N28" s="108"/>
      <c r="O28" s="45" t="e">
        <f t="shared" si="1"/>
        <v>#DIV/0!</v>
      </c>
      <c r="P28" s="108">
        <f t="shared" si="2"/>
        <v>0</v>
      </c>
      <c r="Q28" s="108">
        <f t="shared" si="3"/>
        <v>0</v>
      </c>
      <c r="R28" s="45" t="e">
        <f t="shared" si="4"/>
        <v>#DIV/0!</v>
      </c>
      <c r="S28" s="36">
        <v>8707</v>
      </c>
      <c r="T28" s="36"/>
      <c r="U28" s="45">
        <f t="shared" si="5"/>
        <v>-1</v>
      </c>
      <c r="V28" s="36">
        <f t="shared" si="6"/>
        <v>8707</v>
      </c>
      <c r="W28" s="36">
        <f t="shared" si="7"/>
        <v>0</v>
      </c>
      <c r="X28" s="45">
        <f t="shared" si="8"/>
        <v>-1</v>
      </c>
      <c r="Y28" s="108">
        <v>2224</v>
      </c>
      <c r="Z28" s="108"/>
      <c r="AA28" s="45">
        <f t="shared" si="9"/>
        <v>-1</v>
      </c>
      <c r="AB28" s="108">
        <f t="shared" si="10"/>
        <v>10931</v>
      </c>
      <c r="AC28" s="108">
        <f t="shared" si="11"/>
        <v>0</v>
      </c>
      <c r="AD28" s="45">
        <f t="shared" si="12"/>
        <v>-1</v>
      </c>
      <c r="AE28" s="108">
        <v>3539</v>
      </c>
      <c r="AF28" s="108"/>
      <c r="AG28" s="45">
        <f t="shared" si="13"/>
        <v>-1</v>
      </c>
      <c r="AH28" s="108">
        <f t="shared" si="14"/>
        <v>14470</v>
      </c>
      <c r="AI28" s="108">
        <f t="shared" si="15"/>
        <v>0</v>
      </c>
      <c r="AJ28" s="45">
        <f t="shared" si="16"/>
        <v>-1</v>
      </c>
      <c r="AK28" s="108"/>
      <c r="AL28" s="108"/>
      <c r="AM28" s="45" t="e">
        <f t="shared" si="17"/>
        <v>#DIV/0!</v>
      </c>
      <c r="AN28" s="108">
        <f t="shared" si="18"/>
        <v>14470</v>
      </c>
      <c r="AO28" s="108">
        <f t="shared" si="19"/>
        <v>0</v>
      </c>
      <c r="AP28" s="45">
        <f t="shared" si="20"/>
        <v>-1</v>
      </c>
      <c r="AQ28" s="108"/>
      <c r="AR28" s="108"/>
      <c r="AS28" s="45" t="e">
        <f t="shared" si="21"/>
        <v>#DIV/0!</v>
      </c>
      <c r="AT28" s="108">
        <f t="shared" si="22"/>
        <v>14470</v>
      </c>
      <c r="AU28" s="108">
        <f t="shared" si="23"/>
        <v>0</v>
      </c>
      <c r="AV28" s="45">
        <f t="shared" si="24"/>
        <v>-1</v>
      </c>
      <c r="AW28" s="36"/>
      <c r="AX28" s="36"/>
      <c r="AY28" s="45" t="e">
        <f t="shared" si="25"/>
        <v>#DIV/0!</v>
      </c>
      <c r="AZ28" s="36">
        <f t="shared" si="26"/>
        <v>14470</v>
      </c>
      <c r="BA28" s="36">
        <f t="shared" si="27"/>
        <v>0</v>
      </c>
      <c r="BB28" s="45">
        <f t="shared" si="28"/>
        <v>-1</v>
      </c>
      <c r="BC28" s="36"/>
      <c r="BD28" s="36">
        <v>6445</v>
      </c>
      <c r="BE28" s="45" t="e">
        <f t="shared" si="29"/>
        <v>#DIV/0!</v>
      </c>
      <c r="BF28" s="36">
        <f t="shared" si="30"/>
        <v>14470</v>
      </c>
      <c r="BG28" s="36">
        <f t="shared" si="31"/>
        <v>6445</v>
      </c>
      <c r="BH28" s="45">
        <f t="shared" si="32"/>
        <v>-0.554595715272979</v>
      </c>
      <c r="BI28" s="177"/>
      <c r="BJ28" s="177"/>
      <c r="BK28" s="45" t="e">
        <f t="shared" si="34"/>
        <v>#DIV/0!</v>
      </c>
      <c r="BL28" s="177">
        <f t="shared" si="35"/>
        <v>14470</v>
      </c>
      <c r="BM28" s="177">
        <f t="shared" si="36"/>
        <v>6445</v>
      </c>
      <c r="BN28" s="45">
        <f t="shared" si="33"/>
        <v>-0.554595715272979</v>
      </c>
      <c r="BO28" s="176">
        <v>5716</v>
      </c>
      <c r="BP28" s="108"/>
      <c r="BQ28" s="108">
        <v>20186</v>
      </c>
      <c r="BR28" s="115">
        <f t="shared" si="37"/>
        <v>0.214833333333333</v>
      </c>
      <c r="BS28" s="108"/>
      <c r="BT28" s="108"/>
    </row>
    <row r="29" spans="1:72">
      <c r="A29" s="110" t="s">
        <v>30</v>
      </c>
      <c r="B29" s="110" t="s">
        <v>30</v>
      </c>
      <c r="C29" s="111" t="s">
        <v>202</v>
      </c>
      <c r="D29" s="112" t="s">
        <v>104</v>
      </c>
      <c r="E29" s="112" t="s">
        <v>104</v>
      </c>
      <c r="F29" s="112" t="s">
        <v>175</v>
      </c>
      <c r="G29" s="112" t="s">
        <v>175</v>
      </c>
      <c r="H29" s="108" t="s">
        <v>176</v>
      </c>
      <c r="I29" s="175">
        <v>10</v>
      </c>
      <c r="J29" s="176">
        <v>35619</v>
      </c>
      <c r="K29" s="176"/>
      <c r="L29" s="45">
        <f t="shared" si="0"/>
        <v>-1</v>
      </c>
      <c r="M29" s="108"/>
      <c r="N29" s="108"/>
      <c r="O29" s="45" t="e">
        <f t="shared" si="1"/>
        <v>#DIV/0!</v>
      </c>
      <c r="P29" s="108">
        <f t="shared" si="2"/>
        <v>35619</v>
      </c>
      <c r="Q29" s="108">
        <f t="shared" si="3"/>
        <v>0</v>
      </c>
      <c r="R29" s="45">
        <f t="shared" si="4"/>
        <v>-1</v>
      </c>
      <c r="S29" s="36"/>
      <c r="T29" s="36"/>
      <c r="U29" s="45" t="e">
        <f t="shared" si="5"/>
        <v>#DIV/0!</v>
      </c>
      <c r="V29" s="36">
        <f t="shared" si="6"/>
        <v>35619</v>
      </c>
      <c r="W29" s="36">
        <f t="shared" si="7"/>
        <v>0</v>
      </c>
      <c r="X29" s="45">
        <f t="shared" si="8"/>
        <v>-1</v>
      </c>
      <c r="Y29" s="108"/>
      <c r="Z29" s="108"/>
      <c r="AA29" s="45" t="e">
        <f t="shared" si="9"/>
        <v>#DIV/0!</v>
      </c>
      <c r="AB29" s="108">
        <f t="shared" si="10"/>
        <v>35619</v>
      </c>
      <c r="AC29" s="108">
        <f t="shared" si="11"/>
        <v>0</v>
      </c>
      <c r="AD29" s="45">
        <f t="shared" si="12"/>
        <v>-1</v>
      </c>
      <c r="AE29" s="108"/>
      <c r="AF29" s="108"/>
      <c r="AG29" s="45" t="e">
        <f t="shared" si="13"/>
        <v>#DIV/0!</v>
      </c>
      <c r="AH29" s="108">
        <f t="shared" si="14"/>
        <v>35619</v>
      </c>
      <c r="AI29" s="108">
        <f t="shared" si="15"/>
        <v>0</v>
      </c>
      <c r="AJ29" s="45">
        <f t="shared" si="16"/>
        <v>-1</v>
      </c>
      <c r="AK29" s="108"/>
      <c r="AL29" s="108"/>
      <c r="AM29" s="45" t="e">
        <f t="shared" si="17"/>
        <v>#DIV/0!</v>
      </c>
      <c r="AN29" s="108">
        <f t="shared" si="18"/>
        <v>35619</v>
      </c>
      <c r="AO29" s="108">
        <f t="shared" si="19"/>
        <v>0</v>
      </c>
      <c r="AP29" s="45">
        <f t="shared" si="20"/>
        <v>-1</v>
      </c>
      <c r="AQ29" s="108"/>
      <c r="AR29" s="108"/>
      <c r="AS29" s="45" t="e">
        <f t="shared" si="21"/>
        <v>#DIV/0!</v>
      </c>
      <c r="AT29" s="108">
        <f t="shared" si="22"/>
        <v>35619</v>
      </c>
      <c r="AU29" s="108">
        <f t="shared" si="23"/>
        <v>0</v>
      </c>
      <c r="AV29" s="45">
        <f t="shared" si="24"/>
        <v>-1</v>
      </c>
      <c r="AW29" s="36"/>
      <c r="AX29" s="36"/>
      <c r="AY29" s="45" t="e">
        <f t="shared" si="25"/>
        <v>#DIV/0!</v>
      </c>
      <c r="AZ29" s="36">
        <f t="shared" si="26"/>
        <v>35619</v>
      </c>
      <c r="BA29" s="36">
        <f t="shared" si="27"/>
        <v>0</v>
      </c>
      <c r="BB29" s="45">
        <f t="shared" si="28"/>
        <v>-1</v>
      </c>
      <c r="BC29" s="36"/>
      <c r="BD29" s="36"/>
      <c r="BE29" s="45" t="e">
        <f t="shared" si="29"/>
        <v>#DIV/0!</v>
      </c>
      <c r="BF29" s="36">
        <f t="shared" si="30"/>
        <v>35619</v>
      </c>
      <c r="BG29" s="36">
        <f t="shared" si="31"/>
        <v>0</v>
      </c>
      <c r="BH29" s="45">
        <f t="shared" si="32"/>
        <v>-1</v>
      </c>
      <c r="BI29" s="177"/>
      <c r="BJ29" s="177"/>
      <c r="BK29" s="45" t="e">
        <f t="shared" si="34"/>
        <v>#DIV/0!</v>
      </c>
      <c r="BL29" s="177">
        <f t="shared" si="35"/>
        <v>35619</v>
      </c>
      <c r="BM29" s="177">
        <f t="shared" si="36"/>
        <v>0</v>
      </c>
      <c r="BN29" s="45">
        <f t="shared" si="33"/>
        <v>-1</v>
      </c>
      <c r="BO29" s="176"/>
      <c r="BP29" s="108"/>
      <c r="BQ29" s="108">
        <v>35619</v>
      </c>
      <c r="BR29" s="115">
        <f t="shared" si="37"/>
        <v>0</v>
      </c>
      <c r="BS29" s="108"/>
      <c r="BT29" s="108"/>
    </row>
    <row r="30" spans="1:72">
      <c r="A30" s="110" t="s">
        <v>30</v>
      </c>
      <c r="B30" s="110" t="s">
        <v>30</v>
      </c>
      <c r="C30" s="179" t="s">
        <v>203</v>
      </c>
      <c r="D30" s="112" t="s">
        <v>104</v>
      </c>
      <c r="E30" s="112" t="s">
        <v>104</v>
      </c>
      <c r="F30" s="112" t="s">
        <v>183</v>
      </c>
      <c r="G30" s="112" t="s">
        <v>183</v>
      </c>
      <c r="H30" s="112" t="s">
        <v>172</v>
      </c>
      <c r="I30" s="175">
        <v>30</v>
      </c>
      <c r="J30" s="176">
        <v>32882</v>
      </c>
      <c r="K30" s="176">
        <v>36829</v>
      </c>
      <c r="L30" s="45">
        <f t="shared" si="0"/>
        <v>0.12003527765951</v>
      </c>
      <c r="M30" s="108"/>
      <c r="N30" s="108"/>
      <c r="O30" s="45" t="e">
        <f t="shared" si="1"/>
        <v>#DIV/0!</v>
      </c>
      <c r="P30" s="108">
        <f t="shared" si="2"/>
        <v>32882</v>
      </c>
      <c r="Q30" s="108">
        <f t="shared" si="3"/>
        <v>36829</v>
      </c>
      <c r="R30" s="45">
        <f t="shared" si="4"/>
        <v>0.12003527765951</v>
      </c>
      <c r="S30" s="36">
        <v>4598</v>
      </c>
      <c r="T30" s="36"/>
      <c r="U30" s="45">
        <f t="shared" si="5"/>
        <v>-1</v>
      </c>
      <c r="V30" s="36">
        <f t="shared" si="6"/>
        <v>37480</v>
      </c>
      <c r="W30" s="36">
        <f t="shared" si="7"/>
        <v>36829</v>
      </c>
      <c r="X30" s="45">
        <f t="shared" si="8"/>
        <v>-0.0173692636072572</v>
      </c>
      <c r="Y30" s="108">
        <v>63078</v>
      </c>
      <c r="Z30" s="108">
        <v>10328</v>
      </c>
      <c r="AA30" s="45">
        <f t="shared" si="9"/>
        <v>-0.836266210089096</v>
      </c>
      <c r="AB30" s="108">
        <f t="shared" si="10"/>
        <v>100558</v>
      </c>
      <c r="AC30" s="108">
        <f t="shared" si="11"/>
        <v>47157</v>
      </c>
      <c r="AD30" s="45">
        <f t="shared" si="12"/>
        <v>-0.53104675908431</v>
      </c>
      <c r="AE30" s="108">
        <v>9859</v>
      </c>
      <c r="AF30" s="108">
        <v>4068</v>
      </c>
      <c r="AG30" s="45">
        <f t="shared" si="13"/>
        <v>-0.587382087432803</v>
      </c>
      <c r="AH30" s="108">
        <f t="shared" si="14"/>
        <v>110417</v>
      </c>
      <c r="AI30" s="108">
        <f t="shared" si="15"/>
        <v>51225</v>
      </c>
      <c r="AJ30" s="45">
        <f t="shared" si="16"/>
        <v>-0.536076872220763</v>
      </c>
      <c r="AK30" s="108">
        <v>3868</v>
      </c>
      <c r="AL30" s="108"/>
      <c r="AM30" s="45">
        <f t="shared" si="17"/>
        <v>-1</v>
      </c>
      <c r="AN30" s="108">
        <f t="shared" si="18"/>
        <v>114285</v>
      </c>
      <c r="AO30" s="108">
        <f t="shared" si="19"/>
        <v>51225</v>
      </c>
      <c r="AP30" s="45">
        <f t="shared" si="20"/>
        <v>-0.551778448615304</v>
      </c>
      <c r="AQ30" s="108"/>
      <c r="AR30" s="108"/>
      <c r="AS30" s="45" t="e">
        <f t="shared" si="21"/>
        <v>#DIV/0!</v>
      </c>
      <c r="AT30" s="108">
        <f t="shared" si="22"/>
        <v>114285</v>
      </c>
      <c r="AU30" s="108">
        <f t="shared" si="23"/>
        <v>51225</v>
      </c>
      <c r="AV30" s="45">
        <f t="shared" si="24"/>
        <v>-0.551778448615304</v>
      </c>
      <c r="AW30" s="36"/>
      <c r="AX30" s="36"/>
      <c r="AY30" s="45" t="e">
        <f t="shared" si="25"/>
        <v>#DIV/0!</v>
      </c>
      <c r="AZ30" s="36">
        <f t="shared" si="26"/>
        <v>114285</v>
      </c>
      <c r="BA30" s="36">
        <f t="shared" si="27"/>
        <v>51225</v>
      </c>
      <c r="BB30" s="45">
        <f t="shared" si="28"/>
        <v>-0.551778448615304</v>
      </c>
      <c r="BC30" s="36"/>
      <c r="BD30" s="36"/>
      <c r="BE30" s="45" t="e">
        <f t="shared" si="29"/>
        <v>#DIV/0!</v>
      </c>
      <c r="BF30" s="36">
        <f t="shared" si="30"/>
        <v>114285</v>
      </c>
      <c r="BG30" s="36">
        <f t="shared" si="31"/>
        <v>51225</v>
      </c>
      <c r="BH30" s="45">
        <f t="shared" si="32"/>
        <v>-0.551778448615304</v>
      </c>
      <c r="BI30" s="177">
        <v>10000</v>
      </c>
      <c r="BJ30" s="177">
        <v>15227</v>
      </c>
      <c r="BK30" s="45">
        <f t="shared" si="34"/>
        <v>0.5227</v>
      </c>
      <c r="BL30" s="177">
        <f t="shared" si="35"/>
        <v>124285</v>
      </c>
      <c r="BM30" s="177">
        <f t="shared" si="36"/>
        <v>66452</v>
      </c>
      <c r="BN30" s="45">
        <f t="shared" si="33"/>
        <v>-0.465325662791165</v>
      </c>
      <c r="BO30" s="176">
        <v>4742</v>
      </c>
      <c r="BP30" s="108"/>
      <c r="BQ30" s="108">
        <v>129027</v>
      </c>
      <c r="BR30" s="115">
        <f t="shared" si="37"/>
        <v>0.221506666666667</v>
      </c>
      <c r="BS30" s="108"/>
      <c r="BT30" s="108"/>
    </row>
    <row r="31" spans="1:72">
      <c r="A31" s="110" t="s">
        <v>30</v>
      </c>
      <c r="B31" s="110" t="s">
        <v>30</v>
      </c>
      <c r="C31" s="179" t="s">
        <v>204</v>
      </c>
      <c r="D31" s="112" t="s">
        <v>104</v>
      </c>
      <c r="E31" s="112" t="s">
        <v>104</v>
      </c>
      <c r="F31" s="112" t="s">
        <v>170</v>
      </c>
      <c r="G31" s="112" t="s">
        <v>171</v>
      </c>
      <c r="H31" s="112" t="s">
        <v>172</v>
      </c>
      <c r="I31" s="175">
        <v>0</v>
      </c>
      <c r="J31" s="176"/>
      <c r="K31" s="176"/>
      <c r="L31" s="45" t="e">
        <f t="shared" si="0"/>
        <v>#DIV/0!</v>
      </c>
      <c r="M31" s="108"/>
      <c r="N31" s="108"/>
      <c r="O31" s="45" t="e">
        <f t="shared" si="1"/>
        <v>#DIV/0!</v>
      </c>
      <c r="P31" s="108">
        <f t="shared" si="2"/>
        <v>0</v>
      </c>
      <c r="Q31" s="108">
        <f t="shared" si="3"/>
        <v>0</v>
      </c>
      <c r="R31" s="45" t="e">
        <f t="shared" si="4"/>
        <v>#DIV/0!</v>
      </c>
      <c r="S31" s="36"/>
      <c r="T31" s="36"/>
      <c r="U31" s="45" t="e">
        <f t="shared" si="5"/>
        <v>#DIV/0!</v>
      </c>
      <c r="V31" s="36">
        <f t="shared" si="6"/>
        <v>0</v>
      </c>
      <c r="W31" s="36">
        <f t="shared" si="7"/>
        <v>0</v>
      </c>
      <c r="X31" s="45" t="e">
        <f t="shared" si="8"/>
        <v>#DIV/0!</v>
      </c>
      <c r="Y31" s="108"/>
      <c r="Z31" s="108"/>
      <c r="AA31" s="45" t="e">
        <f t="shared" si="9"/>
        <v>#DIV/0!</v>
      </c>
      <c r="AB31" s="108">
        <f t="shared" si="10"/>
        <v>0</v>
      </c>
      <c r="AC31" s="108">
        <f t="shared" si="11"/>
        <v>0</v>
      </c>
      <c r="AD31" s="45" t="e">
        <f t="shared" si="12"/>
        <v>#DIV/0!</v>
      </c>
      <c r="AE31" s="108"/>
      <c r="AF31" s="108"/>
      <c r="AG31" s="45" t="e">
        <f t="shared" si="13"/>
        <v>#DIV/0!</v>
      </c>
      <c r="AH31" s="108">
        <f t="shared" si="14"/>
        <v>0</v>
      </c>
      <c r="AI31" s="108">
        <f t="shared" si="15"/>
        <v>0</v>
      </c>
      <c r="AJ31" s="45" t="e">
        <f t="shared" si="16"/>
        <v>#DIV/0!</v>
      </c>
      <c r="AK31" s="108"/>
      <c r="AL31" s="108"/>
      <c r="AM31" s="45" t="e">
        <f t="shared" si="17"/>
        <v>#DIV/0!</v>
      </c>
      <c r="AN31" s="108">
        <f t="shared" si="18"/>
        <v>0</v>
      </c>
      <c r="AO31" s="108">
        <f t="shared" si="19"/>
        <v>0</v>
      </c>
      <c r="AP31" s="45" t="e">
        <f t="shared" si="20"/>
        <v>#DIV/0!</v>
      </c>
      <c r="AQ31" s="108"/>
      <c r="AR31" s="108"/>
      <c r="AS31" s="45" t="e">
        <f t="shared" si="21"/>
        <v>#DIV/0!</v>
      </c>
      <c r="AT31" s="108">
        <f t="shared" si="22"/>
        <v>0</v>
      </c>
      <c r="AU31" s="108">
        <f t="shared" si="23"/>
        <v>0</v>
      </c>
      <c r="AV31" s="45" t="e">
        <f t="shared" si="24"/>
        <v>#DIV/0!</v>
      </c>
      <c r="AW31" s="36"/>
      <c r="AX31" s="36"/>
      <c r="AY31" s="45" t="e">
        <f t="shared" si="25"/>
        <v>#DIV/0!</v>
      </c>
      <c r="AZ31" s="36">
        <f t="shared" si="26"/>
        <v>0</v>
      </c>
      <c r="BA31" s="36">
        <f t="shared" si="27"/>
        <v>0</v>
      </c>
      <c r="BB31" s="45" t="e">
        <f t="shared" si="28"/>
        <v>#DIV/0!</v>
      </c>
      <c r="BC31" s="36"/>
      <c r="BD31" s="36"/>
      <c r="BE31" s="45" t="e">
        <f t="shared" si="29"/>
        <v>#DIV/0!</v>
      </c>
      <c r="BF31" s="36">
        <f t="shared" si="30"/>
        <v>0</v>
      </c>
      <c r="BG31" s="36">
        <f t="shared" si="31"/>
        <v>0</v>
      </c>
      <c r="BH31" s="45" t="e">
        <f t="shared" si="32"/>
        <v>#DIV/0!</v>
      </c>
      <c r="BI31" s="177"/>
      <c r="BJ31" s="177"/>
      <c r="BK31" s="45" t="e">
        <f t="shared" si="34"/>
        <v>#DIV/0!</v>
      </c>
      <c r="BL31" s="177">
        <f t="shared" si="35"/>
        <v>0</v>
      </c>
      <c r="BM31" s="177">
        <f t="shared" si="36"/>
        <v>0</v>
      </c>
      <c r="BN31" s="45" t="e">
        <f t="shared" si="33"/>
        <v>#DIV/0!</v>
      </c>
      <c r="BO31" s="176">
        <v>18239</v>
      </c>
      <c r="BP31" s="108">
        <v>18239</v>
      </c>
      <c r="BQ31" s="108">
        <v>36478</v>
      </c>
      <c r="BR31" s="115" t="e">
        <f t="shared" si="37"/>
        <v>#DIV/0!</v>
      </c>
      <c r="BS31" s="108"/>
      <c r="BT31" s="108"/>
    </row>
    <row r="32" spans="1:72">
      <c r="A32" s="110" t="s">
        <v>30</v>
      </c>
      <c r="B32" s="110" t="s">
        <v>30</v>
      </c>
      <c r="C32" s="179" t="s">
        <v>205</v>
      </c>
      <c r="D32" s="112" t="s">
        <v>116</v>
      </c>
      <c r="E32" s="112" t="s">
        <v>116</v>
      </c>
      <c r="F32" s="112" t="s">
        <v>170</v>
      </c>
      <c r="G32" s="112" t="s">
        <v>171</v>
      </c>
      <c r="H32" s="112" t="s">
        <v>172</v>
      </c>
      <c r="I32" s="175">
        <v>0</v>
      </c>
      <c r="J32" s="176">
        <v>2780</v>
      </c>
      <c r="K32" s="176"/>
      <c r="L32" s="45">
        <f t="shared" si="0"/>
        <v>-1</v>
      </c>
      <c r="M32" s="108"/>
      <c r="N32" s="108"/>
      <c r="O32" s="45" t="e">
        <f t="shared" si="1"/>
        <v>#DIV/0!</v>
      </c>
      <c r="P32" s="108">
        <f t="shared" si="2"/>
        <v>2780</v>
      </c>
      <c r="Q32" s="108">
        <f t="shared" si="3"/>
        <v>0</v>
      </c>
      <c r="R32" s="45">
        <f t="shared" si="4"/>
        <v>-1</v>
      </c>
      <c r="S32" s="36"/>
      <c r="T32" s="36"/>
      <c r="U32" s="45" t="e">
        <f t="shared" si="5"/>
        <v>#DIV/0!</v>
      </c>
      <c r="V32" s="36">
        <f t="shared" si="6"/>
        <v>2780</v>
      </c>
      <c r="W32" s="36">
        <f t="shared" si="7"/>
        <v>0</v>
      </c>
      <c r="X32" s="45">
        <f t="shared" si="8"/>
        <v>-1</v>
      </c>
      <c r="Y32" s="108"/>
      <c r="Z32" s="108"/>
      <c r="AA32" s="45" t="e">
        <f t="shared" si="9"/>
        <v>#DIV/0!</v>
      </c>
      <c r="AB32" s="108">
        <f t="shared" si="10"/>
        <v>2780</v>
      </c>
      <c r="AC32" s="108">
        <f t="shared" si="11"/>
        <v>0</v>
      </c>
      <c r="AD32" s="45">
        <f t="shared" si="12"/>
        <v>-1</v>
      </c>
      <c r="AE32" s="108"/>
      <c r="AF32" s="108"/>
      <c r="AG32" s="45" t="e">
        <f t="shared" si="13"/>
        <v>#DIV/0!</v>
      </c>
      <c r="AH32" s="108">
        <f t="shared" si="14"/>
        <v>2780</v>
      </c>
      <c r="AI32" s="108">
        <f t="shared" si="15"/>
        <v>0</v>
      </c>
      <c r="AJ32" s="45">
        <f t="shared" si="16"/>
        <v>-1</v>
      </c>
      <c r="AK32" s="108">
        <v>2594</v>
      </c>
      <c r="AL32" s="108"/>
      <c r="AM32" s="45">
        <f t="shared" si="17"/>
        <v>-1</v>
      </c>
      <c r="AN32" s="108">
        <f t="shared" si="18"/>
        <v>5374</v>
      </c>
      <c r="AO32" s="108">
        <f t="shared" si="19"/>
        <v>0</v>
      </c>
      <c r="AP32" s="45">
        <f t="shared" si="20"/>
        <v>-1</v>
      </c>
      <c r="AQ32" s="108"/>
      <c r="AR32" s="108"/>
      <c r="AS32" s="45" t="e">
        <f t="shared" si="21"/>
        <v>#DIV/0!</v>
      </c>
      <c r="AT32" s="108">
        <f t="shared" si="22"/>
        <v>5374</v>
      </c>
      <c r="AU32" s="108">
        <f t="shared" si="23"/>
        <v>0</v>
      </c>
      <c r="AV32" s="45">
        <f t="shared" si="24"/>
        <v>-1</v>
      </c>
      <c r="AW32" s="36"/>
      <c r="AX32" s="36"/>
      <c r="AY32" s="45" t="e">
        <f t="shared" si="25"/>
        <v>#DIV/0!</v>
      </c>
      <c r="AZ32" s="36">
        <f t="shared" si="26"/>
        <v>5374</v>
      </c>
      <c r="BA32" s="36">
        <f t="shared" si="27"/>
        <v>0</v>
      </c>
      <c r="BB32" s="45">
        <f t="shared" si="28"/>
        <v>-1</v>
      </c>
      <c r="BC32" s="36"/>
      <c r="BD32" s="36"/>
      <c r="BE32" s="45" t="e">
        <f t="shared" si="29"/>
        <v>#DIV/0!</v>
      </c>
      <c r="BF32" s="36">
        <f t="shared" si="30"/>
        <v>5374</v>
      </c>
      <c r="BG32" s="36">
        <f t="shared" si="31"/>
        <v>0</v>
      </c>
      <c r="BH32" s="45">
        <f t="shared" si="32"/>
        <v>-1</v>
      </c>
      <c r="BI32" s="177"/>
      <c r="BJ32" s="177"/>
      <c r="BK32" s="45" t="e">
        <f t="shared" si="34"/>
        <v>#DIV/0!</v>
      </c>
      <c r="BL32" s="177">
        <f t="shared" si="35"/>
        <v>5374</v>
      </c>
      <c r="BM32" s="177">
        <f t="shared" si="36"/>
        <v>0</v>
      </c>
      <c r="BN32" s="45">
        <f t="shared" si="33"/>
        <v>-1</v>
      </c>
      <c r="BO32" s="176"/>
      <c r="BP32" s="108">
        <v>2594</v>
      </c>
      <c r="BQ32" s="108">
        <v>7968</v>
      </c>
      <c r="BR32" s="115" t="e">
        <f t="shared" si="37"/>
        <v>#DIV/0!</v>
      </c>
      <c r="BS32" s="108"/>
      <c r="BT32" s="108"/>
    </row>
    <row r="33" spans="1:72">
      <c r="A33" s="110" t="s">
        <v>30</v>
      </c>
      <c r="B33" s="110" t="s">
        <v>30</v>
      </c>
      <c r="C33" s="179" t="s">
        <v>206</v>
      </c>
      <c r="D33" s="112" t="s">
        <v>104</v>
      </c>
      <c r="E33" s="112" t="s">
        <v>104</v>
      </c>
      <c r="F33" s="266" t="s">
        <v>183</v>
      </c>
      <c r="G33" s="266" t="s">
        <v>183</v>
      </c>
      <c r="H33" s="108" t="s">
        <v>176</v>
      </c>
      <c r="I33" s="175">
        <v>10</v>
      </c>
      <c r="J33" s="176"/>
      <c r="K33" s="176"/>
      <c r="L33" s="45" t="e">
        <f t="shared" si="0"/>
        <v>#DIV/0!</v>
      </c>
      <c r="M33" s="108">
        <v>16642</v>
      </c>
      <c r="N33" s="108"/>
      <c r="O33" s="45">
        <f t="shared" si="1"/>
        <v>-1</v>
      </c>
      <c r="P33" s="108">
        <f t="shared" si="2"/>
        <v>16642</v>
      </c>
      <c r="Q33" s="108">
        <f t="shared" si="3"/>
        <v>0</v>
      </c>
      <c r="R33" s="45">
        <f t="shared" si="4"/>
        <v>-1</v>
      </c>
      <c r="S33" s="36"/>
      <c r="T33" s="36">
        <v>1857</v>
      </c>
      <c r="U33" s="45" t="e">
        <f t="shared" si="5"/>
        <v>#DIV/0!</v>
      </c>
      <c r="V33" s="36">
        <f t="shared" si="6"/>
        <v>16642</v>
      </c>
      <c r="W33" s="36">
        <f t="shared" si="7"/>
        <v>1857</v>
      </c>
      <c r="X33" s="45">
        <f t="shared" si="8"/>
        <v>-0.888414853983896</v>
      </c>
      <c r="Y33" s="108">
        <v>10388</v>
      </c>
      <c r="Z33" s="108"/>
      <c r="AA33" s="45">
        <f t="shared" si="9"/>
        <v>-1</v>
      </c>
      <c r="AB33" s="108">
        <f t="shared" si="10"/>
        <v>27030</v>
      </c>
      <c r="AC33" s="108">
        <f t="shared" si="11"/>
        <v>1857</v>
      </c>
      <c r="AD33" s="45">
        <f t="shared" si="12"/>
        <v>-0.931298557158713</v>
      </c>
      <c r="AE33" s="108">
        <v>2624</v>
      </c>
      <c r="AF33" s="108"/>
      <c r="AG33" s="45">
        <f t="shared" si="13"/>
        <v>-1</v>
      </c>
      <c r="AH33" s="108">
        <f t="shared" si="14"/>
        <v>29654</v>
      </c>
      <c r="AI33" s="108">
        <f t="shared" si="15"/>
        <v>1857</v>
      </c>
      <c r="AJ33" s="45">
        <f t="shared" si="16"/>
        <v>-0.937377756795036</v>
      </c>
      <c r="AK33" s="108"/>
      <c r="AL33" s="108"/>
      <c r="AM33" s="45" t="e">
        <f t="shared" si="17"/>
        <v>#DIV/0!</v>
      </c>
      <c r="AN33" s="108">
        <f t="shared" si="18"/>
        <v>29654</v>
      </c>
      <c r="AO33" s="108">
        <f t="shared" si="19"/>
        <v>1857</v>
      </c>
      <c r="AP33" s="45">
        <f t="shared" si="20"/>
        <v>-0.937377756795036</v>
      </c>
      <c r="AQ33" s="108"/>
      <c r="AR33" s="108"/>
      <c r="AS33" s="45" t="e">
        <f t="shared" si="21"/>
        <v>#DIV/0!</v>
      </c>
      <c r="AT33" s="108">
        <f t="shared" si="22"/>
        <v>29654</v>
      </c>
      <c r="AU33" s="108">
        <f t="shared" si="23"/>
        <v>1857</v>
      </c>
      <c r="AV33" s="45">
        <f t="shared" si="24"/>
        <v>-0.937377756795036</v>
      </c>
      <c r="AW33" s="36"/>
      <c r="AX33" s="36"/>
      <c r="AY33" s="45" t="e">
        <f t="shared" si="25"/>
        <v>#DIV/0!</v>
      </c>
      <c r="AZ33" s="36">
        <f t="shared" si="26"/>
        <v>29654</v>
      </c>
      <c r="BA33" s="36">
        <f t="shared" si="27"/>
        <v>1857</v>
      </c>
      <c r="BB33" s="45">
        <f t="shared" si="28"/>
        <v>-0.937377756795036</v>
      </c>
      <c r="BC33" s="36"/>
      <c r="BD33" s="36"/>
      <c r="BE33" s="45" t="e">
        <f t="shared" si="29"/>
        <v>#DIV/0!</v>
      </c>
      <c r="BF33" s="36">
        <f t="shared" si="30"/>
        <v>29654</v>
      </c>
      <c r="BG33" s="36">
        <f t="shared" si="31"/>
        <v>1857</v>
      </c>
      <c r="BH33" s="45">
        <f t="shared" si="32"/>
        <v>-0.937377756795036</v>
      </c>
      <c r="BI33" s="177">
        <v>11543</v>
      </c>
      <c r="BJ33" s="177"/>
      <c r="BK33" s="45">
        <f t="shared" si="34"/>
        <v>-1</v>
      </c>
      <c r="BL33" s="177">
        <f t="shared" si="35"/>
        <v>41197</v>
      </c>
      <c r="BM33" s="177">
        <f t="shared" si="36"/>
        <v>1857</v>
      </c>
      <c r="BN33" s="45">
        <f t="shared" si="33"/>
        <v>-0.95492390222589</v>
      </c>
      <c r="BO33" s="176"/>
      <c r="BP33" s="108"/>
      <c r="BQ33" s="108">
        <v>41197</v>
      </c>
      <c r="BR33" s="115">
        <f t="shared" si="37"/>
        <v>0.01857</v>
      </c>
      <c r="BS33" s="108"/>
      <c r="BT33" s="108"/>
    </row>
    <row r="34" spans="1:72">
      <c r="A34" s="110" t="s">
        <v>30</v>
      </c>
      <c r="B34" s="110" t="s">
        <v>30</v>
      </c>
      <c r="C34" s="179" t="s">
        <v>207</v>
      </c>
      <c r="D34" s="112" t="s">
        <v>63</v>
      </c>
      <c r="E34" s="112" t="s">
        <v>63</v>
      </c>
      <c r="F34" s="112" t="s">
        <v>170</v>
      </c>
      <c r="G34" s="112" t="s">
        <v>188</v>
      </c>
      <c r="H34" s="112" t="s">
        <v>172</v>
      </c>
      <c r="I34" s="175">
        <v>0</v>
      </c>
      <c r="J34" s="176"/>
      <c r="K34" s="176"/>
      <c r="L34" s="45" t="e">
        <f t="shared" si="0"/>
        <v>#DIV/0!</v>
      </c>
      <c r="M34" s="108"/>
      <c r="N34" s="108"/>
      <c r="O34" s="45" t="e">
        <f t="shared" si="1"/>
        <v>#DIV/0!</v>
      </c>
      <c r="P34" s="108">
        <f t="shared" si="2"/>
        <v>0</v>
      </c>
      <c r="Q34" s="108">
        <f t="shared" si="3"/>
        <v>0</v>
      </c>
      <c r="R34" s="45" t="e">
        <f t="shared" si="4"/>
        <v>#DIV/0!</v>
      </c>
      <c r="S34" s="36"/>
      <c r="T34" s="36"/>
      <c r="U34" s="45" t="e">
        <f t="shared" si="5"/>
        <v>#DIV/0!</v>
      </c>
      <c r="V34" s="36">
        <f t="shared" si="6"/>
        <v>0</v>
      </c>
      <c r="W34" s="36">
        <f t="shared" si="7"/>
        <v>0</v>
      </c>
      <c r="X34" s="45" t="e">
        <f t="shared" si="8"/>
        <v>#DIV/0!</v>
      </c>
      <c r="Y34" s="108"/>
      <c r="Z34" s="108"/>
      <c r="AA34" s="45" t="e">
        <f t="shared" si="9"/>
        <v>#DIV/0!</v>
      </c>
      <c r="AB34" s="108">
        <f t="shared" si="10"/>
        <v>0</v>
      </c>
      <c r="AC34" s="108">
        <f t="shared" si="11"/>
        <v>0</v>
      </c>
      <c r="AD34" s="45" t="e">
        <f t="shared" si="12"/>
        <v>#DIV/0!</v>
      </c>
      <c r="AE34" s="108"/>
      <c r="AF34" s="108"/>
      <c r="AG34" s="45" t="e">
        <f t="shared" si="13"/>
        <v>#DIV/0!</v>
      </c>
      <c r="AH34" s="108">
        <f t="shared" si="14"/>
        <v>0</v>
      </c>
      <c r="AI34" s="108">
        <f t="shared" si="15"/>
        <v>0</v>
      </c>
      <c r="AJ34" s="45" t="e">
        <f t="shared" si="16"/>
        <v>#DIV/0!</v>
      </c>
      <c r="AK34" s="108"/>
      <c r="AL34" s="108"/>
      <c r="AM34" s="45" t="e">
        <f t="shared" si="17"/>
        <v>#DIV/0!</v>
      </c>
      <c r="AN34" s="108">
        <f t="shared" si="18"/>
        <v>0</v>
      </c>
      <c r="AO34" s="108">
        <f t="shared" si="19"/>
        <v>0</v>
      </c>
      <c r="AP34" s="45" t="e">
        <f t="shared" si="20"/>
        <v>#DIV/0!</v>
      </c>
      <c r="AQ34" s="108"/>
      <c r="AR34" s="108"/>
      <c r="AS34" s="45" t="e">
        <f t="shared" si="21"/>
        <v>#DIV/0!</v>
      </c>
      <c r="AT34" s="108">
        <f t="shared" si="22"/>
        <v>0</v>
      </c>
      <c r="AU34" s="108">
        <f t="shared" si="23"/>
        <v>0</v>
      </c>
      <c r="AV34" s="45" t="e">
        <f t="shared" si="24"/>
        <v>#DIV/0!</v>
      </c>
      <c r="AW34" s="36"/>
      <c r="AX34" s="36"/>
      <c r="AY34" s="45" t="e">
        <f t="shared" si="25"/>
        <v>#DIV/0!</v>
      </c>
      <c r="AZ34" s="36">
        <f t="shared" si="26"/>
        <v>0</v>
      </c>
      <c r="BA34" s="36">
        <f t="shared" si="27"/>
        <v>0</v>
      </c>
      <c r="BB34" s="45" t="e">
        <f t="shared" si="28"/>
        <v>#DIV/0!</v>
      </c>
      <c r="BC34" s="36"/>
      <c r="BD34" s="36"/>
      <c r="BE34" s="45" t="e">
        <f t="shared" si="29"/>
        <v>#DIV/0!</v>
      </c>
      <c r="BF34" s="36">
        <f t="shared" si="30"/>
        <v>0</v>
      </c>
      <c r="BG34" s="36">
        <f t="shared" si="31"/>
        <v>0</v>
      </c>
      <c r="BH34" s="45" t="e">
        <f t="shared" si="32"/>
        <v>#DIV/0!</v>
      </c>
      <c r="BI34" s="177">
        <v>30000</v>
      </c>
      <c r="BJ34" s="177"/>
      <c r="BK34" s="45">
        <f t="shared" si="34"/>
        <v>-1</v>
      </c>
      <c r="BL34" s="177">
        <f t="shared" si="35"/>
        <v>30000</v>
      </c>
      <c r="BM34" s="177">
        <f t="shared" si="36"/>
        <v>0</v>
      </c>
      <c r="BN34" s="45">
        <f t="shared" si="33"/>
        <v>-1</v>
      </c>
      <c r="BO34" s="176"/>
      <c r="BP34" s="108"/>
      <c r="BQ34" s="108">
        <v>30000</v>
      </c>
      <c r="BR34" s="115" t="e">
        <f t="shared" si="37"/>
        <v>#DIV/0!</v>
      </c>
      <c r="BS34" s="108"/>
      <c r="BT34" s="108"/>
    </row>
    <row r="35" spans="1:72">
      <c r="A35" s="110" t="s">
        <v>30</v>
      </c>
      <c r="B35" s="110" t="s">
        <v>30</v>
      </c>
      <c r="C35" s="179" t="s">
        <v>208</v>
      </c>
      <c r="D35" s="112" t="s">
        <v>116</v>
      </c>
      <c r="E35" s="112" t="s">
        <v>116</v>
      </c>
      <c r="F35" s="112" t="s">
        <v>166</v>
      </c>
      <c r="G35" s="112" t="s">
        <v>166</v>
      </c>
      <c r="H35" s="112" t="s">
        <v>167</v>
      </c>
      <c r="I35" s="175">
        <v>10</v>
      </c>
      <c r="J35" s="176"/>
      <c r="K35" s="176"/>
      <c r="L35" s="45" t="e">
        <f t="shared" si="0"/>
        <v>#DIV/0!</v>
      </c>
      <c r="M35" s="108"/>
      <c r="N35" s="108"/>
      <c r="O35" s="45" t="e">
        <f t="shared" si="1"/>
        <v>#DIV/0!</v>
      </c>
      <c r="P35" s="108">
        <f t="shared" si="2"/>
        <v>0</v>
      </c>
      <c r="Q35" s="108">
        <f t="shared" si="3"/>
        <v>0</v>
      </c>
      <c r="R35" s="45" t="e">
        <f t="shared" si="4"/>
        <v>#DIV/0!</v>
      </c>
      <c r="S35" s="36"/>
      <c r="T35" s="36">
        <v>-4080</v>
      </c>
      <c r="U35" s="45" t="e">
        <f t="shared" si="5"/>
        <v>#DIV/0!</v>
      </c>
      <c r="V35" s="36">
        <f t="shared" si="6"/>
        <v>0</v>
      </c>
      <c r="W35" s="36">
        <f t="shared" si="7"/>
        <v>-4080</v>
      </c>
      <c r="X35" s="45" t="e">
        <f t="shared" si="8"/>
        <v>#DIV/0!</v>
      </c>
      <c r="Y35" s="108"/>
      <c r="Z35" s="108"/>
      <c r="AA35" s="45" t="e">
        <f t="shared" si="9"/>
        <v>#DIV/0!</v>
      </c>
      <c r="AB35" s="108">
        <f t="shared" si="10"/>
        <v>0</v>
      </c>
      <c r="AC35" s="108">
        <f t="shared" si="11"/>
        <v>-4080</v>
      </c>
      <c r="AD35" s="45" t="e">
        <f t="shared" si="12"/>
        <v>#DIV/0!</v>
      </c>
      <c r="AE35" s="108"/>
      <c r="AF35" s="108">
        <v>-720</v>
      </c>
      <c r="AG35" s="45" t="e">
        <f t="shared" si="13"/>
        <v>#DIV/0!</v>
      </c>
      <c r="AH35" s="108">
        <f t="shared" si="14"/>
        <v>0</v>
      </c>
      <c r="AI35" s="108">
        <f t="shared" si="15"/>
        <v>-4800</v>
      </c>
      <c r="AJ35" s="45" t="e">
        <f t="shared" si="16"/>
        <v>#DIV/0!</v>
      </c>
      <c r="AK35" s="108">
        <v>8991</v>
      </c>
      <c r="AL35" s="108"/>
      <c r="AM35" s="45">
        <f t="shared" si="17"/>
        <v>-1</v>
      </c>
      <c r="AN35" s="108">
        <f t="shared" si="18"/>
        <v>8991</v>
      </c>
      <c r="AO35" s="108">
        <f t="shared" si="19"/>
        <v>-4800</v>
      </c>
      <c r="AP35" s="45">
        <f t="shared" si="20"/>
        <v>-1.53386720053387</v>
      </c>
      <c r="AQ35" s="108"/>
      <c r="AR35" s="108"/>
      <c r="AS35" s="45" t="e">
        <f t="shared" si="21"/>
        <v>#DIV/0!</v>
      </c>
      <c r="AT35" s="108">
        <f t="shared" si="22"/>
        <v>8991</v>
      </c>
      <c r="AU35" s="108">
        <f t="shared" si="23"/>
        <v>-4800</v>
      </c>
      <c r="AV35" s="45">
        <f t="shared" si="24"/>
        <v>-1.53386720053387</v>
      </c>
      <c r="AW35" s="36"/>
      <c r="AX35" s="36"/>
      <c r="AY35" s="45" t="e">
        <f t="shared" si="25"/>
        <v>#DIV/0!</v>
      </c>
      <c r="AZ35" s="36">
        <f t="shared" si="26"/>
        <v>8991</v>
      </c>
      <c r="BA35" s="36">
        <f t="shared" si="27"/>
        <v>-4800</v>
      </c>
      <c r="BB35" s="45">
        <f t="shared" si="28"/>
        <v>-1.53386720053387</v>
      </c>
      <c r="BC35" s="36">
        <v>4800</v>
      </c>
      <c r="BD35" s="36">
        <v>4597</v>
      </c>
      <c r="BE35" s="45">
        <f t="shared" si="29"/>
        <v>-0.0422916666666666</v>
      </c>
      <c r="BF35" s="36">
        <f t="shared" si="30"/>
        <v>13791</v>
      </c>
      <c r="BG35" s="36">
        <f t="shared" si="31"/>
        <v>-203</v>
      </c>
      <c r="BH35" s="45">
        <f t="shared" si="32"/>
        <v>-1.01471974476108</v>
      </c>
      <c r="BI35" s="177"/>
      <c r="BJ35" s="177"/>
      <c r="BK35" s="45" t="e">
        <f t="shared" si="34"/>
        <v>#DIV/0!</v>
      </c>
      <c r="BL35" s="177">
        <f t="shared" si="35"/>
        <v>13791</v>
      </c>
      <c r="BM35" s="177">
        <f t="shared" si="36"/>
        <v>-203</v>
      </c>
      <c r="BN35" s="45">
        <f t="shared" si="33"/>
        <v>-1.01471974476108</v>
      </c>
      <c r="BO35" s="176"/>
      <c r="BP35" s="108">
        <v>10235</v>
      </c>
      <c r="BQ35" s="108">
        <v>24026</v>
      </c>
      <c r="BR35" s="115">
        <f t="shared" si="37"/>
        <v>-0.00203</v>
      </c>
      <c r="BS35" s="108"/>
      <c r="BT35" s="108"/>
    </row>
    <row r="36" spans="1:72">
      <c r="A36" s="110" t="s">
        <v>30</v>
      </c>
      <c r="B36" s="110" t="s">
        <v>30</v>
      </c>
      <c r="C36" s="179" t="s">
        <v>209</v>
      </c>
      <c r="D36" s="112" t="s">
        <v>63</v>
      </c>
      <c r="E36" s="112" t="s">
        <v>63</v>
      </c>
      <c r="F36" s="112" t="s">
        <v>179</v>
      </c>
      <c r="G36" s="112" t="s">
        <v>179</v>
      </c>
      <c r="H36" s="112" t="s">
        <v>167</v>
      </c>
      <c r="I36" s="175">
        <v>0</v>
      </c>
      <c r="J36" s="176">
        <v>31502</v>
      </c>
      <c r="K36" s="176"/>
      <c r="L36" s="45">
        <f t="shared" si="0"/>
        <v>-1</v>
      </c>
      <c r="M36" s="108"/>
      <c r="N36" s="108"/>
      <c r="O36" s="45" t="e">
        <f t="shared" si="1"/>
        <v>#DIV/0!</v>
      </c>
      <c r="P36" s="108">
        <f t="shared" si="2"/>
        <v>31502</v>
      </c>
      <c r="Q36" s="108">
        <f t="shared" si="3"/>
        <v>0</v>
      </c>
      <c r="R36" s="45">
        <f t="shared" si="4"/>
        <v>-1</v>
      </c>
      <c r="S36" s="36">
        <v>72790</v>
      </c>
      <c r="T36" s="36"/>
      <c r="U36" s="45">
        <f t="shared" si="5"/>
        <v>-1</v>
      </c>
      <c r="V36" s="36">
        <f t="shared" si="6"/>
        <v>104292</v>
      </c>
      <c r="W36" s="36">
        <f t="shared" si="7"/>
        <v>0</v>
      </c>
      <c r="X36" s="45">
        <f t="shared" si="8"/>
        <v>-1</v>
      </c>
      <c r="Y36" s="108">
        <v>5831</v>
      </c>
      <c r="Z36" s="108"/>
      <c r="AA36" s="45">
        <f t="shared" si="9"/>
        <v>-1</v>
      </c>
      <c r="AB36" s="108">
        <f t="shared" si="10"/>
        <v>110123</v>
      </c>
      <c r="AC36" s="108">
        <f t="shared" si="11"/>
        <v>0</v>
      </c>
      <c r="AD36" s="45">
        <f t="shared" si="12"/>
        <v>-1</v>
      </c>
      <c r="AE36" s="108"/>
      <c r="AF36" s="108"/>
      <c r="AG36" s="45" t="e">
        <f t="shared" si="13"/>
        <v>#DIV/0!</v>
      </c>
      <c r="AH36" s="108">
        <f t="shared" si="14"/>
        <v>110123</v>
      </c>
      <c r="AI36" s="108">
        <f t="shared" si="15"/>
        <v>0</v>
      </c>
      <c r="AJ36" s="45">
        <f t="shared" si="16"/>
        <v>-1</v>
      </c>
      <c r="AK36" s="108">
        <v>605</v>
      </c>
      <c r="AL36" s="108"/>
      <c r="AM36" s="45">
        <f t="shared" si="17"/>
        <v>-1</v>
      </c>
      <c r="AN36" s="108">
        <f t="shared" si="18"/>
        <v>110728</v>
      </c>
      <c r="AO36" s="108">
        <f t="shared" si="19"/>
        <v>0</v>
      </c>
      <c r="AP36" s="45">
        <f t="shared" si="20"/>
        <v>-1</v>
      </c>
      <c r="AQ36" s="108">
        <v>1655</v>
      </c>
      <c r="AR36" s="108"/>
      <c r="AS36" s="45">
        <f t="shared" si="21"/>
        <v>-1</v>
      </c>
      <c r="AT36" s="108">
        <f t="shared" si="22"/>
        <v>112383</v>
      </c>
      <c r="AU36" s="108">
        <f t="shared" si="23"/>
        <v>0</v>
      </c>
      <c r="AV36" s="45">
        <f t="shared" si="24"/>
        <v>-1</v>
      </c>
      <c r="AW36" s="36">
        <v>8510</v>
      </c>
      <c r="AX36" s="36"/>
      <c r="AY36" s="45">
        <f t="shared" si="25"/>
        <v>-1</v>
      </c>
      <c r="AZ36" s="36">
        <f t="shared" si="26"/>
        <v>120893</v>
      </c>
      <c r="BA36" s="36">
        <f t="shared" si="27"/>
        <v>0</v>
      </c>
      <c r="BB36" s="45">
        <f t="shared" si="28"/>
        <v>-1</v>
      </c>
      <c r="BC36" s="36">
        <v>4861</v>
      </c>
      <c r="BD36" s="36"/>
      <c r="BE36" s="45">
        <f t="shared" si="29"/>
        <v>-1</v>
      </c>
      <c r="BF36" s="36">
        <f t="shared" si="30"/>
        <v>125754</v>
      </c>
      <c r="BG36" s="36">
        <f t="shared" si="31"/>
        <v>0</v>
      </c>
      <c r="BH36" s="45">
        <f t="shared" si="32"/>
        <v>-1</v>
      </c>
      <c r="BI36" s="177"/>
      <c r="BJ36" s="177"/>
      <c r="BK36" s="45" t="e">
        <f t="shared" ref="BK36:BK80" si="38">BJ36/BI36-1</f>
        <v>#DIV/0!</v>
      </c>
      <c r="BL36" s="177">
        <f t="shared" ref="BL36:BL79" si="39">BI36+BF36</f>
        <v>125754</v>
      </c>
      <c r="BM36" s="177">
        <f t="shared" ref="BM36:BM79" si="40">BJ36+BG36</f>
        <v>0</v>
      </c>
      <c r="BN36" s="45">
        <f t="shared" si="33"/>
        <v>-1</v>
      </c>
      <c r="BO36" s="176">
        <v>-72790</v>
      </c>
      <c r="BP36" s="108">
        <v>9560</v>
      </c>
      <c r="BQ36" s="108">
        <v>62524</v>
      </c>
      <c r="BR36" s="115" t="e">
        <f t="shared" ref="BR36:BR80" si="41">BM36/10000/I36</f>
        <v>#DIV/0!</v>
      </c>
      <c r="BS36" s="108"/>
      <c r="BT36" s="108"/>
    </row>
    <row r="37" spans="1:72">
      <c r="A37" s="110" t="s">
        <v>30</v>
      </c>
      <c r="B37" s="110" t="s">
        <v>30</v>
      </c>
      <c r="C37" s="179" t="s">
        <v>210</v>
      </c>
      <c r="D37" s="112" t="s">
        <v>104</v>
      </c>
      <c r="E37" s="112" t="s">
        <v>104</v>
      </c>
      <c r="F37" s="112" t="s">
        <v>170</v>
      </c>
      <c r="G37" s="112" t="s">
        <v>171</v>
      </c>
      <c r="H37" s="112" t="s">
        <v>172</v>
      </c>
      <c r="I37" s="175">
        <v>0</v>
      </c>
      <c r="J37" s="176"/>
      <c r="K37" s="176"/>
      <c r="L37" s="45" t="e">
        <f t="shared" si="0"/>
        <v>#DIV/0!</v>
      </c>
      <c r="M37" s="108"/>
      <c r="N37" s="108"/>
      <c r="O37" s="45" t="e">
        <f t="shared" si="1"/>
        <v>#DIV/0!</v>
      </c>
      <c r="P37" s="108">
        <f t="shared" si="2"/>
        <v>0</v>
      </c>
      <c r="Q37" s="108">
        <f t="shared" si="3"/>
        <v>0</v>
      </c>
      <c r="R37" s="45" t="e">
        <f t="shared" si="4"/>
        <v>#DIV/0!</v>
      </c>
      <c r="S37" s="36"/>
      <c r="T37" s="36"/>
      <c r="U37" s="45" t="e">
        <f t="shared" si="5"/>
        <v>#DIV/0!</v>
      </c>
      <c r="V37" s="36">
        <f t="shared" si="6"/>
        <v>0</v>
      </c>
      <c r="W37" s="36">
        <f t="shared" si="7"/>
        <v>0</v>
      </c>
      <c r="X37" s="45" t="e">
        <f t="shared" si="8"/>
        <v>#DIV/0!</v>
      </c>
      <c r="Y37" s="108">
        <v>9523</v>
      </c>
      <c r="Z37" s="108"/>
      <c r="AA37" s="45">
        <f t="shared" si="9"/>
        <v>-1</v>
      </c>
      <c r="AB37" s="108">
        <f t="shared" si="10"/>
        <v>9523</v>
      </c>
      <c r="AC37" s="108">
        <f t="shared" si="11"/>
        <v>0</v>
      </c>
      <c r="AD37" s="45">
        <f t="shared" si="12"/>
        <v>-1</v>
      </c>
      <c r="AE37" s="108"/>
      <c r="AF37" s="108"/>
      <c r="AG37" s="45" t="e">
        <f t="shared" si="13"/>
        <v>#DIV/0!</v>
      </c>
      <c r="AH37" s="108">
        <f t="shared" si="14"/>
        <v>9523</v>
      </c>
      <c r="AI37" s="108">
        <f t="shared" si="15"/>
        <v>0</v>
      </c>
      <c r="AJ37" s="45">
        <f t="shared" si="16"/>
        <v>-1</v>
      </c>
      <c r="AK37" s="108">
        <v>15368</v>
      </c>
      <c r="AL37" s="108"/>
      <c r="AM37" s="45">
        <f t="shared" si="17"/>
        <v>-1</v>
      </c>
      <c r="AN37" s="108">
        <f t="shared" si="18"/>
        <v>24891</v>
      </c>
      <c r="AO37" s="108">
        <f t="shared" si="19"/>
        <v>0</v>
      </c>
      <c r="AP37" s="45">
        <f t="shared" si="20"/>
        <v>-1</v>
      </c>
      <c r="AQ37" s="108"/>
      <c r="AR37" s="108"/>
      <c r="AS37" s="45" t="e">
        <f t="shared" si="21"/>
        <v>#DIV/0!</v>
      </c>
      <c r="AT37" s="108">
        <f t="shared" si="22"/>
        <v>24891</v>
      </c>
      <c r="AU37" s="108">
        <f t="shared" si="23"/>
        <v>0</v>
      </c>
      <c r="AV37" s="45">
        <f t="shared" si="24"/>
        <v>-1</v>
      </c>
      <c r="AW37" s="36"/>
      <c r="AX37" s="36"/>
      <c r="AY37" s="45" t="e">
        <f t="shared" si="25"/>
        <v>#DIV/0!</v>
      </c>
      <c r="AZ37" s="36">
        <f t="shared" si="26"/>
        <v>24891</v>
      </c>
      <c r="BA37" s="36">
        <f t="shared" si="27"/>
        <v>0</v>
      </c>
      <c r="BB37" s="45">
        <f t="shared" si="28"/>
        <v>-1</v>
      </c>
      <c r="BC37" s="36"/>
      <c r="BD37" s="36">
        <v>5519</v>
      </c>
      <c r="BE37" s="45" t="e">
        <f t="shared" si="29"/>
        <v>#DIV/0!</v>
      </c>
      <c r="BF37" s="36">
        <f t="shared" si="30"/>
        <v>24891</v>
      </c>
      <c r="BG37" s="36">
        <f t="shared" si="31"/>
        <v>5519</v>
      </c>
      <c r="BH37" s="45">
        <f t="shared" si="32"/>
        <v>-0.778273271463581</v>
      </c>
      <c r="BI37" s="177"/>
      <c r="BJ37" s="177"/>
      <c r="BK37" s="45" t="e">
        <f t="shared" si="38"/>
        <v>#DIV/0!</v>
      </c>
      <c r="BL37" s="177">
        <f t="shared" si="39"/>
        <v>24891</v>
      </c>
      <c r="BM37" s="177">
        <f t="shared" si="40"/>
        <v>5519</v>
      </c>
      <c r="BN37" s="45">
        <f t="shared" si="33"/>
        <v>-0.778273271463581</v>
      </c>
      <c r="BO37" s="176"/>
      <c r="BP37" s="108"/>
      <c r="BQ37" s="108">
        <v>24891</v>
      </c>
      <c r="BR37" s="115" t="e">
        <f t="shared" si="41"/>
        <v>#DIV/0!</v>
      </c>
      <c r="BS37" s="108"/>
      <c r="BT37" s="108"/>
    </row>
    <row r="38" spans="1:72">
      <c r="A38" s="110" t="s">
        <v>30</v>
      </c>
      <c r="B38" s="110" t="s">
        <v>30</v>
      </c>
      <c r="C38" s="179" t="s">
        <v>211</v>
      </c>
      <c r="D38" s="112" t="s">
        <v>63</v>
      </c>
      <c r="E38" s="112" t="s">
        <v>63</v>
      </c>
      <c r="F38" s="112" t="s">
        <v>179</v>
      </c>
      <c r="G38" s="112" t="s">
        <v>179</v>
      </c>
      <c r="H38" s="112" t="s">
        <v>167</v>
      </c>
      <c r="I38" s="175">
        <v>1</v>
      </c>
      <c r="J38" s="176"/>
      <c r="K38" s="176"/>
      <c r="L38" s="45" t="e">
        <f t="shared" si="0"/>
        <v>#DIV/0!</v>
      </c>
      <c r="M38" s="108"/>
      <c r="N38" s="108"/>
      <c r="O38" s="45" t="e">
        <f t="shared" si="1"/>
        <v>#DIV/0!</v>
      </c>
      <c r="P38" s="108">
        <f t="shared" si="2"/>
        <v>0</v>
      </c>
      <c r="Q38" s="108">
        <f t="shared" si="3"/>
        <v>0</v>
      </c>
      <c r="R38" s="45" t="e">
        <f t="shared" si="4"/>
        <v>#DIV/0!</v>
      </c>
      <c r="S38" s="36">
        <v>3210</v>
      </c>
      <c r="T38" s="36"/>
      <c r="U38" s="45">
        <f t="shared" si="5"/>
        <v>-1</v>
      </c>
      <c r="V38" s="36">
        <f t="shared" si="6"/>
        <v>3210</v>
      </c>
      <c r="W38" s="36">
        <f t="shared" si="7"/>
        <v>0</v>
      </c>
      <c r="X38" s="45">
        <f t="shared" si="8"/>
        <v>-1</v>
      </c>
      <c r="Y38" s="108"/>
      <c r="Z38" s="108"/>
      <c r="AA38" s="45" t="e">
        <f t="shared" si="9"/>
        <v>#DIV/0!</v>
      </c>
      <c r="AB38" s="108">
        <f t="shared" si="10"/>
        <v>3210</v>
      </c>
      <c r="AC38" s="108">
        <f t="shared" si="11"/>
        <v>0</v>
      </c>
      <c r="AD38" s="45">
        <f t="shared" si="12"/>
        <v>-1</v>
      </c>
      <c r="AE38" s="108"/>
      <c r="AF38" s="108"/>
      <c r="AG38" s="45" t="e">
        <f t="shared" si="13"/>
        <v>#DIV/0!</v>
      </c>
      <c r="AH38" s="108">
        <f t="shared" si="14"/>
        <v>3210</v>
      </c>
      <c r="AI38" s="108">
        <f t="shared" si="15"/>
        <v>0</v>
      </c>
      <c r="AJ38" s="45">
        <f t="shared" si="16"/>
        <v>-1</v>
      </c>
      <c r="AK38" s="108"/>
      <c r="AL38" s="108"/>
      <c r="AM38" s="45" t="e">
        <f t="shared" si="17"/>
        <v>#DIV/0!</v>
      </c>
      <c r="AN38" s="108">
        <f t="shared" si="18"/>
        <v>3210</v>
      </c>
      <c r="AO38" s="108">
        <f t="shared" si="19"/>
        <v>0</v>
      </c>
      <c r="AP38" s="45">
        <f t="shared" si="20"/>
        <v>-1</v>
      </c>
      <c r="AQ38" s="108"/>
      <c r="AR38" s="108"/>
      <c r="AS38" s="45" t="e">
        <f t="shared" si="21"/>
        <v>#DIV/0!</v>
      </c>
      <c r="AT38" s="108">
        <f t="shared" si="22"/>
        <v>3210</v>
      </c>
      <c r="AU38" s="108">
        <f t="shared" si="23"/>
        <v>0</v>
      </c>
      <c r="AV38" s="45">
        <f t="shared" si="24"/>
        <v>-1</v>
      </c>
      <c r="AW38" s="36"/>
      <c r="AX38" s="36"/>
      <c r="AY38" s="45" t="e">
        <f t="shared" si="25"/>
        <v>#DIV/0!</v>
      </c>
      <c r="AZ38" s="36">
        <f t="shared" si="26"/>
        <v>3210</v>
      </c>
      <c r="BA38" s="36">
        <f t="shared" si="27"/>
        <v>0</v>
      </c>
      <c r="BB38" s="45">
        <f t="shared" si="28"/>
        <v>-1</v>
      </c>
      <c r="BC38" s="36"/>
      <c r="BD38" s="36"/>
      <c r="BE38" s="45" t="e">
        <f t="shared" si="29"/>
        <v>#DIV/0!</v>
      </c>
      <c r="BF38" s="36">
        <f t="shared" si="30"/>
        <v>3210</v>
      </c>
      <c r="BG38" s="36">
        <f t="shared" si="31"/>
        <v>0</v>
      </c>
      <c r="BH38" s="45">
        <f t="shared" si="32"/>
        <v>-1</v>
      </c>
      <c r="BI38" s="177"/>
      <c r="BJ38" s="177"/>
      <c r="BK38" s="45" t="e">
        <f t="shared" si="38"/>
        <v>#DIV/0!</v>
      </c>
      <c r="BL38" s="177">
        <f t="shared" si="39"/>
        <v>3210</v>
      </c>
      <c r="BM38" s="177">
        <f t="shared" si="40"/>
        <v>0</v>
      </c>
      <c r="BN38" s="45">
        <f t="shared" si="33"/>
        <v>-1</v>
      </c>
      <c r="BO38" s="176"/>
      <c r="BP38" s="108">
        <v>3919</v>
      </c>
      <c r="BQ38" s="108">
        <v>7129</v>
      </c>
      <c r="BR38" s="115">
        <f t="shared" si="41"/>
        <v>0</v>
      </c>
      <c r="BS38" s="108"/>
      <c r="BT38" s="108"/>
    </row>
    <row r="39" spans="1:72">
      <c r="A39" s="110" t="s">
        <v>30</v>
      </c>
      <c r="B39" s="110" t="s">
        <v>30</v>
      </c>
      <c r="C39" s="179" t="s">
        <v>212</v>
      </c>
      <c r="D39" s="112" t="s">
        <v>104</v>
      </c>
      <c r="E39" s="112" t="s">
        <v>104</v>
      </c>
      <c r="F39" s="112" t="s">
        <v>179</v>
      </c>
      <c r="G39" s="112" t="s">
        <v>179</v>
      </c>
      <c r="H39" s="112" t="s">
        <v>167</v>
      </c>
      <c r="I39" s="175">
        <v>2</v>
      </c>
      <c r="J39" s="176"/>
      <c r="K39" s="176"/>
      <c r="L39" s="45" t="e">
        <f t="shared" si="0"/>
        <v>#DIV/0!</v>
      </c>
      <c r="M39" s="108"/>
      <c r="N39" s="108"/>
      <c r="O39" s="45" t="e">
        <f t="shared" si="1"/>
        <v>#DIV/0!</v>
      </c>
      <c r="P39" s="108">
        <f t="shared" si="2"/>
        <v>0</v>
      </c>
      <c r="Q39" s="108">
        <f t="shared" si="3"/>
        <v>0</v>
      </c>
      <c r="R39" s="45" t="e">
        <f t="shared" si="4"/>
        <v>#DIV/0!</v>
      </c>
      <c r="S39" s="36"/>
      <c r="T39" s="36"/>
      <c r="U39" s="45" t="e">
        <f t="shared" si="5"/>
        <v>#DIV/0!</v>
      </c>
      <c r="V39" s="36">
        <f t="shared" si="6"/>
        <v>0</v>
      </c>
      <c r="W39" s="36">
        <f t="shared" si="7"/>
        <v>0</v>
      </c>
      <c r="X39" s="45" t="e">
        <f t="shared" si="8"/>
        <v>#DIV/0!</v>
      </c>
      <c r="Y39" s="108"/>
      <c r="Z39" s="108"/>
      <c r="AA39" s="45" t="e">
        <f t="shared" si="9"/>
        <v>#DIV/0!</v>
      </c>
      <c r="AB39" s="108">
        <f t="shared" si="10"/>
        <v>0</v>
      </c>
      <c r="AC39" s="108">
        <f t="shared" si="11"/>
        <v>0</v>
      </c>
      <c r="AD39" s="45" t="e">
        <f t="shared" si="12"/>
        <v>#DIV/0!</v>
      </c>
      <c r="AE39" s="108"/>
      <c r="AF39" s="108"/>
      <c r="AG39" s="45" t="e">
        <f t="shared" si="13"/>
        <v>#DIV/0!</v>
      </c>
      <c r="AH39" s="108">
        <f t="shared" si="14"/>
        <v>0</v>
      </c>
      <c r="AI39" s="108">
        <f t="shared" si="15"/>
        <v>0</v>
      </c>
      <c r="AJ39" s="45" t="e">
        <f t="shared" si="16"/>
        <v>#DIV/0!</v>
      </c>
      <c r="AK39" s="108"/>
      <c r="AL39" s="108"/>
      <c r="AM39" s="45" t="e">
        <f t="shared" si="17"/>
        <v>#DIV/0!</v>
      </c>
      <c r="AN39" s="108">
        <f t="shared" si="18"/>
        <v>0</v>
      </c>
      <c r="AO39" s="108">
        <f t="shared" si="19"/>
        <v>0</v>
      </c>
      <c r="AP39" s="45" t="e">
        <f t="shared" si="20"/>
        <v>#DIV/0!</v>
      </c>
      <c r="AQ39" s="108"/>
      <c r="AR39" s="108"/>
      <c r="AS39" s="45" t="e">
        <f t="shared" si="21"/>
        <v>#DIV/0!</v>
      </c>
      <c r="AT39" s="108">
        <f t="shared" si="22"/>
        <v>0</v>
      </c>
      <c r="AU39" s="108">
        <f t="shared" si="23"/>
        <v>0</v>
      </c>
      <c r="AV39" s="45" t="e">
        <f t="shared" si="24"/>
        <v>#DIV/0!</v>
      </c>
      <c r="AW39" s="36"/>
      <c r="AX39" s="36"/>
      <c r="AY39" s="45" t="e">
        <f t="shared" si="25"/>
        <v>#DIV/0!</v>
      </c>
      <c r="AZ39" s="36">
        <f t="shared" si="26"/>
        <v>0</v>
      </c>
      <c r="BA39" s="36">
        <f t="shared" si="27"/>
        <v>0</v>
      </c>
      <c r="BB39" s="45" t="e">
        <f t="shared" si="28"/>
        <v>#DIV/0!</v>
      </c>
      <c r="BC39" s="36"/>
      <c r="BD39" s="36"/>
      <c r="BE39" s="45" t="e">
        <f t="shared" si="29"/>
        <v>#DIV/0!</v>
      </c>
      <c r="BF39" s="36">
        <f t="shared" si="30"/>
        <v>0</v>
      </c>
      <c r="BG39" s="36">
        <f t="shared" si="31"/>
        <v>0</v>
      </c>
      <c r="BH39" s="45" t="e">
        <f t="shared" si="32"/>
        <v>#DIV/0!</v>
      </c>
      <c r="BI39" s="177"/>
      <c r="BJ39" s="177"/>
      <c r="BK39" s="45" t="e">
        <f t="shared" si="38"/>
        <v>#DIV/0!</v>
      </c>
      <c r="BL39" s="177">
        <f t="shared" si="39"/>
        <v>0</v>
      </c>
      <c r="BM39" s="177">
        <f t="shared" si="40"/>
        <v>0</v>
      </c>
      <c r="BN39" s="45" t="e">
        <f t="shared" si="33"/>
        <v>#DIV/0!</v>
      </c>
      <c r="BO39" s="176"/>
      <c r="BP39" s="108">
        <v>14090</v>
      </c>
      <c r="BQ39" s="108">
        <v>14090</v>
      </c>
      <c r="BR39" s="115">
        <f t="shared" si="41"/>
        <v>0</v>
      </c>
      <c r="BS39" s="108"/>
      <c r="BT39" s="108"/>
    </row>
    <row r="40" spans="1:72">
      <c r="A40" s="110" t="s">
        <v>30</v>
      </c>
      <c r="B40" s="110" t="s">
        <v>30</v>
      </c>
      <c r="C40" s="179" t="s">
        <v>213</v>
      </c>
      <c r="D40" s="112" t="s">
        <v>104</v>
      </c>
      <c r="E40" s="112" t="s">
        <v>104</v>
      </c>
      <c r="F40" s="112" t="s">
        <v>170</v>
      </c>
      <c r="G40" s="112" t="s">
        <v>171</v>
      </c>
      <c r="H40" s="112" t="s">
        <v>172</v>
      </c>
      <c r="I40" s="175">
        <v>4</v>
      </c>
      <c r="J40" s="176"/>
      <c r="K40" s="176">
        <v>18040</v>
      </c>
      <c r="L40" s="45" t="e">
        <f t="shared" si="0"/>
        <v>#DIV/0!</v>
      </c>
      <c r="M40" s="108"/>
      <c r="N40" s="108"/>
      <c r="O40" s="45" t="e">
        <f t="shared" si="1"/>
        <v>#DIV/0!</v>
      </c>
      <c r="P40" s="108">
        <f t="shared" si="2"/>
        <v>0</v>
      </c>
      <c r="Q40" s="108">
        <f t="shared" si="3"/>
        <v>18040</v>
      </c>
      <c r="R40" s="45" t="e">
        <f t="shared" si="4"/>
        <v>#DIV/0!</v>
      </c>
      <c r="S40" s="36"/>
      <c r="T40" s="36">
        <v>18354</v>
      </c>
      <c r="U40" s="45" t="e">
        <f t="shared" si="5"/>
        <v>#DIV/0!</v>
      </c>
      <c r="V40" s="36">
        <f t="shared" si="6"/>
        <v>0</v>
      </c>
      <c r="W40" s="36">
        <f t="shared" si="7"/>
        <v>36394</v>
      </c>
      <c r="X40" s="45" t="e">
        <f t="shared" si="8"/>
        <v>#DIV/0!</v>
      </c>
      <c r="Y40" s="108">
        <v>20720</v>
      </c>
      <c r="Z40" s="108"/>
      <c r="AA40" s="45">
        <f t="shared" si="9"/>
        <v>-1</v>
      </c>
      <c r="AB40" s="108">
        <f t="shared" si="10"/>
        <v>20720</v>
      </c>
      <c r="AC40" s="108">
        <f t="shared" si="11"/>
        <v>36394</v>
      </c>
      <c r="AD40" s="45">
        <f t="shared" si="12"/>
        <v>0.756467181467182</v>
      </c>
      <c r="AE40" s="108">
        <v>-1100</v>
      </c>
      <c r="AF40" s="108"/>
      <c r="AG40" s="45">
        <f t="shared" si="13"/>
        <v>-1</v>
      </c>
      <c r="AH40" s="108">
        <f t="shared" si="14"/>
        <v>19620</v>
      </c>
      <c r="AI40" s="108">
        <f t="shared" si="15"/>
        <v>36394</v>
      </c>
      <c r="AJ40" s="45">
        <f t="shared" si="16"/>
        <v>0.854943934760449</v>
      </c>
      <c r="AK40" s="108"/>
      <c r="AL40" s="108"/>
      <c r="AM40" s="45" t="e">
        <f t="shared" si="17"/>
        <v>#DIV/0!</v>
      </c>
      <c r="AN40" s="108">
        <f t="shared" si="18"/>
        <v>19620</v>
      </c>
      <c r="AO40" s="108">
        <f t="shared" si="19"/>
        <v>36394</v>
      </c>
      <c r="AP40" s="45">
        <f t="shared" si="20"/>
        <v>0.854943934760449</v>
      </c>
      <c r="AQ40" s="108"/>
      <c r="AR40" s="108"/>
      <c r="AS40" s="45" t="e">
        <f t="shared" si="21"/>
        <v>#DIV/0!</v>
      </c>
      <c r="AT40" s="108">
        <f t="shared" si="22"/>
        <v>19620</v>
      </c>
      <c r="AU40" s="108">
        <f t="shared" si="23"/>
        <v>36394</v>
      </c>
      <c r="AV40" s="45">
        <f t="shared" si="24"/>
        <v>0.854943934760449</v>
      </c>
      <c r="AW40" s="36"/>
      <c r="AX40" s="36"/>
      <c r="AY40" s="45" t="e">
        <f t="shared" si="25"/>
        <v>#DIV/0!</v>
      </c>
      <c r="AZ40" s="36">
        <f t="shared" si="26"/>
        <v>19620</v>
      </c>
      <c r="BA40" s="36">
        <f t="shared" si="27"/>
        <v>36394</v>
      </c>
      <c r="BB40" s="45">
        <f t="shared" si="28"/>
        <v>0.854943934760449</v>
      </c>
      <c r="BC40" s="36"/>
      <c r="BD40" s="36"/>
      <c r="BE40" s="45" t="e">
        <f t="shared" si="29"/>
        <v>#DIV/0!</v>
      </c>
      <c r="BF40" s="36">
        <f t="shared" si="30"/>
        <v>19620</v>
      </c>
      <c r="BG40" s="36">
        <f t="shared" si="31"/>
        <v>36394</v>
      </c>
      <c r="BH40" s="45">
        <f t="shared" si="32"/>
        <v>0.854943934760449</v>
      </c>
      <c r="BI40" s="177"/>
      <c r="BJ40" s="177"/>
      <c r="BK40" s="45" t="e">
        <f t="shared" si="38"/>
        <v>#DIV/0!</v>
      </c>
      <c r="BL40" s="177">
        <f t="shared" si="39"/>
        <v>19620</v>
      </c>
      <c r="BM40" s="177">
        <f t="shared" si="40"/>
        <v>36394</v>
      </c>
      <c r="BN40" s="45">
        <f t="shared" si="33"/>
        <v>0.854943934760449</v>
      </c>
      <c r="BO40" s="176"/>
      <c r="BP40" s="108">
        <v>47089</v>
      </c>
      <c r="BQ40" s="108">
        <v>66709</v>
      </c>
      <c r="BR40" s="115">
        <f t="shared" si="41"/>
        <v>0.90985</v>
      </c>
      <c r="BS40" s="108"/>
      <c r="BT40" s="108"/>
    </row>
    <row r="41" spans="1:72">
      <c r="A41" s="110" t="s">
        <v>30</v>
      </c>
      <c r="B41" s="110" t="s">
        <v>30</v>
      </c>
      <c r="C41" s="179" t="s">
        <v>214</v>
      </c>
      <c r="D41" s="112" t="s">
        <v>63</v>
      </c>
      <c r="E41" s="112" t="s">
        <v>63</v>
      </c>
      <c r="F41" s="112" t="s">
        <v>170</v>
      </c>
      <c r="G41" s="112" t="s">
        <v>188</v>
      </c>
      <c r="H41" s="112" t="s">
        <v>172</v>
      </c>
      <c r="I41" s="175">
        <v>0</v>
      </c>
      <c r="J41" s="176">
        <v>10190</v>
      </c>
      <c r="K41" s="176"/>
      <c r="L41" s="45">
        <f t="shared" si="0"/>
        <v>-1</v>
      </c>
      <c r="M41" s="108"/>
      <c r="N41" s="108"/>
      <c r="O41" s="45" t="e">
        <f t="shared" si="1"/>
        <v>#DIV/0!</v>
      </c>
      <c r="P41" s="108">
        <f t="shared" si="2"/>
        <v>10190</v>
      </c>
      <c r="Q41" s="108">
        <f t="shared" si="3"/>
        <v>0</v>
      </c>
      <c r="R41" s="45">
        <f t="shared" si="4"/>
        <v>-1</v>
      </c>
      <c r="S41" s="36"/>
      <c r="T41" s="36">
        <v>4898</v>
      </c>
      <c r="U41" s="45" t="e">
        <f t="shared" si="5"/>
        <v>#DIV/0!</v>
      </c>
      <c r="V41" s="36">
        <f t="shared" si="6"/>
        <v>10190</v>
      </c>
      <c r="W41" s="36">
        <f t="shared" si="7"/>
        <v>4898</v>
      </c>
      <c r="X41" s="45">
        <f t="shared" si="8"/>
        <v>-0.519332679097154</v>
      </c>
      <c r="Y41" s="108">
        <v>2070</v>
      </c>
      <c r="Z41" s="108"/>
      <c r="AA41" s="45">
        <f t="shared" si="9"/>
        <v>-1</v>
      </c>
      <c r="AB41" s="108">
        <f t="shared" si="10"/>
        <v>12260</v>
      </c>
      <c r="AC41" s="108">
        <f t="shared" si="11"/>
        <v>4898</v>
      </c>
      <c r="AD41" s="45">
        <f t="shared" si="12"/>
        <v>-0.600489396411093</v>
      </c>
      <c r="AE41" s="108"/>
      <c r="AF41" s="108">
        <v>2691</v>
      </c>
      <c r="AG41" s="45" t="e">
        <f t="shared" si="13"/>
        <v>#DIV/0!</v>
      </c>
      <c r="AH41" s="108">
        <f t="shared" si="14"/>
        <v>12260</v>
      </c>
      <c r="AI41" s="108">
        <f t="shared" si="15"/>
        <v>7589</v>
      </c>
      <c r="AJ41" s="45">
        <f t="shared" si="16"/>
        <v>-0.380995106035889</v>
      </c>
      <c r="AK41" s="108">
        <v>6600</v>
      </c>
      <c r="AL41" s="108">
        <v>8324</v>
      </c>
      <c r="AM41" s="45">
        <f t="shared" si="17"/>
        <v>0.261212121212121</v>
      </c>
      <c r="AN41" s="108">
        <f t="shared" si="18"/>
        <v>18860</v>
      </c>
      <c r="AO41" s="108">
        <f t="shared" si="19"/>
        <v>15913</v>
      </c>
      <c r="AP41" s="45">
        <f t="shared" si="20"/>
        <v>-0.156256627783669</v>
      </c>
      <c r="AQ41" s="108"/>
      <c r="AR41" s="108"/>
      <c r="AS41" s="45" t="e">
        <f t="shared" si="21"/>
        <v>#DIV/0!</v>
      </c>
      <c r="AT41" s="108">
        <f t="shared" si="22"/>
        <v>18860</v>
      </c>
      <c r="AU41" s="108">
        <f t="shared" si="23"/>
        <v>15913</v>
      </c>
      <c r="AV41" s="45">
        <f t="shared" si="24"/>
        <v>-0.156256627783669</v>
      </c>
      <c r="AW41" s="36"/>
      <c r="AX41" s="36">
        <v>4914</v>
      </c>
      <c r="AY41" s="45" t="e">
        <f t="shared" si="25"/>
        <v>#DIV/0!</v>
      </c>
      <c r="AZ41" s="36">
        <f t="shared" si="26"/>
        <v>18860</v>
      </c>
      <c r="BA41" s="36">
        <f t="shared" si="27"/>
        <v>20827</v>
      </c>
      <c r="BB41" s="45">
        <f t="shared" si="28"/>
        <v>0.104294803817603</v>
      </c>
      <c r="BC41" s="36"/>
      <c r="BD41" s="36">
        <v>3149</v>
      </c>
      <c r="BE41" s="45" t="e">
        <f t="shared" si="29"/>
        <v>#DIV/0!</v>
      </c>
      <c r="BF41" s="36">
        <f t="shared" si="30"/>
        <v>18860</v>
      </c>
      <c r="BG41" s="36">
        <f t="shared" si="31"/>
        <v>23976</v>
      </c>
      <c r="BH41" s="45">
        <f t="shared" si="32"/>
        <v>0.271261930010605</v>
      </c>
      <c r="BI41" s="177">
        <v>8455</v>
      </c>
      <c r="BJ41" s="177">
        <v>6279</v>
      </c>
      <c r="BK41" s="45">
        <f t="shared" si="38"/>
        <v>-0.257362507392076</v>
      </c>
      <c r="BL41" s="177">
        <f t="shared" si="39"/>
        <v>27315</v>
      </c>
      <c r="BM41" s="177">
        <f t="shared" si="40"/>
        <v>30255</v>
      </c>
      <c r="BN41" s="45">
        <f t="shared" si="33"/>
        <v>0.107633168588688</v>
      </c>
      <c r="BO41" s="176">
        <v>3076</v>
      </c>
      <c r="BP41" s="108"/>
      <c r="BQ41" s="108">
        <v>30391</v>
      </c>
      <c r="BR41" s="115" t="e">
        <f t="shared" si="41"/>
        <v>#DIV/0!</v>
      </c>
      <c r="BS41" s="108"/>
      <c r="BT41" s="108"/>
    </row>
    <row r="42" spans="1:72">
      <c r="A42" s="110" t="s">
        <v>30</v>
      </c>
      <c r="B42" s="110" t="s">
        <v>30</v>
      </c>
      <c r="C42" s="179" t="s">
        <v>215</v>
      </c>
      <c r="D42" s="112" t="s">
        <v>104</v>
      </c>
      <c r="E42" s="112" t="s">
        <v>104</v>
      </c>
      <c r="F42" s="112" t="s">
        <v>170</v>
      </c>
      <c r="G42" s="112" t="s">
        <v>216</v>
      </c>
      <c r="H42" s="112" t="s">
        <v>172</v>
      </c>
      <c r="I42" s="175">
        <v>4.8014</v>
      </c>
      <c r="J42" s="176"/>
      <c r="K42" s="176">
        <v>12654</v>
      </c>
      <c r="L42" s="45" t="e">
        <f t="shared" si="0"/>
        <v>#DIV/0!</v>
      </c>
      <c r="M42" s="108"/>
      <c r="N42" s="108"/>
      <c r="O42" s="45" t="e">
        <f t="shared" si="1"/>
        <v>#DIV/0!</v>
      </c>
      <c r="P42" s="108">
        <f t="shared" si="2"/>
        <v>0</v>
      </c>
      <c r="Q42" s="108">
        <f t="shared" si="3"/>
        <v>12654</v>
      </c>
      <c r="R42" s="45" t="e">
        <f t="shared" si="4"/>
        <v>#DIV/0!</v>
      </c>
      <c r="S42" s="36"/>
      <c r="T42" s="36">
        <v>14635</v>
      </c>
      <c r="U42" s="45" t="e">
        <f t="shared" si="5"/>
        <v>#DIV/0!</v>
      </c>
      <c r="V42" s="36">
        <f t="shared" si="6"/>
        <v>0</v>
      </c>
      <c r="W42" s="36">
        <f t="shared" si="7"/>
        <v>27289</v>
      </c>
      <c r="X42" s="45" t="e">
        <f t="shared" si="8"/>
        <v>#DIV/0!</v>
      </c>
      <c r="Y42" s="108">
        <v>13520</v>
      </c>
      <c r="Z42" s="108"/>
      <c r="AA42" s="45">
        <f t="shared" si="9"/>
        <v>-1</v>
      </c>
      <c r="AB42" s="108">
        <f t="shared" si="10"/>
        <v>13520</v>
      </c>
      <c r="AC42" s="108">
        <f t="shared" si="11"/>
        <v>27289</v>
      </c>
      <c r="AD42" s="45">
        <f t="shared" si="12"/>
        <v>1.01841715976331</v>
      </c>
      <c r="AE42" s="108">
        <v>6598</v>
      </c>
      <c r="AF42" s="108"/>
      <c r="AG42" s="45">
        <f t="shared" si="13"/>
        <v>-1</v>
      </c>
      <c r="AH42" s="108">
        <f t="shared" si="14"/>
        <v>20118</v>
      </c>
      <c r="AI42" s="108">
        <f t="shared" si="15"/>
        <v>27289</v>
      </c>
      <c r="AJ42" s="45">
        <f t="shared" si="16"/>
        <v>0.356446962918779</v>
      </c>
      <c r="AK42" s="108">
        <v>11393</v>
      </c>
      <c r="AL42" s="108">
        <v>3803</v>
      </c>
      <c r="AM42" s="45">
        <f t="shared" si="17"/>
        <v>-0.666198542964978</v>
      </c>
      <c r="AN42" s="108">
        <f t="shared" si="18"/>
        <v>31511</v>
      </c>
      <c r="AO42" s="108">
        <f t="shared" si="19"/>
        <v>31092</v>
      </c>
      <c r="AP42" s="45">
        <f t="shared" si="20"/>
        <v>-0.0132969439243439</v>
      </c>
      <c r="AQ42" s="108">
        <v>16300</v>
      </c>
      <c r="AR42" s="108">
        <v>4305</v>
      </c>
      <c r="AS42" s="45">
        <f t="shared" si="21"/>
        <v>-0.735889570552147</v>
      </c>
      <c r="AT42" s="108">
        <f t="shared" si="22"/>
        <v>47811</v>
      </c>
      <c r="AU42" s="108">
        <f t="shared" si="23"/>
        <v>35397</v>
      </c>
      <c r="AV42" s="45">
        <f t="shared" si="24"/>
        <v>-0.259647361485851</v>
      </c>
      <c r="AW42" s="36">
        <v>3765</v>
      </c>
      <c r="AX42" s="36"/>
      <c r="AY42" s="45">
        <f t="shared" si="25"/>
        <v>-1</v>
      </c>
      <c r="AZ42" s="36">
        <f t="shared" si="26"/>
        <v>51576</v>
      </c>
      <c r="BA42" s="36">
        <f t="shared" si="27"/>
        <v>35397</v>
      </c>
      <c r="BB42" s="45">
        <f t="shared" si="28"/>
        <v>-0.31369241507678</v>
      </c>
      <c r="BC42" s="36"/>
      <c r="BD42" s="36">
        <v>6439</v>
      </c>
      <c r="BE42" s="45" t="e">
        <f t="shared" si="29"/>
        <v>#DIV/0!</v>
      </c>
      <c r="BF42" s="36">
        <f t="shared" si="30"/>
        <v>51576</v>
      </c>
      <c r="BG42" s="36">
        <f t="shared" si="31"/>
        <v>41836</v>
      </c>
      <c r="BH42" s="45">
        <f t="shared" si="32"/>
        <v>-0.188847525981076</v>
      </c>
      <c r="BI42" s="177"/>
      <c r="BJ42" s="177">
        <v>6439</v>
      </c>
      <c r="BK42" s="45" t="e">
        <f t="shared" si="38"/>
        <v>#DIV/0!</v>
      </c>
      <c r="BL42" s="177">
        <f t="shared" si="39"/>
        <v>51576</v>
      </c>
      <c r="BM42" s="177">
        <f t="shared" si="40"/>
        <v>48275</v>
      </c>
      <c r="BN42" s="45">
        <f t="shared" si="33"/>
        <v>-0.064002636885373</v>
      </c>
      <c r="BO42" s="176">
        <v>5389</v>
      </c>
      <c r="BP42" s="108">
        <v>828</v>
      </c>
      <c r="BQ42" s="108">
        <v>57793</v>
      </c>
      <c r="BR42" s="115">
        <f t="shared" si="41"/>
        <v>1.00543591452493</v>
      </c>
      <c r="BS42" s="108"/>
      <c r="BT42" s="108"/>
    </row>
    <row r="43" spans="1:72">
      <c r="A43" s="110" t="s">
        <v>30</v>
      </c>
      <c r="B43" s="110" t="s">
        <v>30</v>
      </c>
      <c r="C43" s="179" t="s">
        <v>217</v>
      </c>
      <c r="D43" s="112" t="s">
        <v>116</v>
      </c>
      <c r="E43" s="112" t="s">
        <v>116</v>
      </c>
      <c r="F43" s="112" t="s">
        <v>170</v>
      </c>
      <c r="G43" s="112" t="s">
        <v>82</v>
      </c>
      <c r="H43" s="112" t="s">
        <v>172</v>
      </c>
      <c r="I43" s="175">
        <v>28</v>
      </c>
      <c r="J43" s="176"/>
      <c r="K43" s="176">
        <v>2024</v>
      </c>
      <c r="L43" s="45" t="e">
        <f t="shared" si="0"/>
        <v>#DIV/0!</v>
      </c>
      <c r="M43" s="108"/>
      <c r="N43" s="108">
        <v>8445.84</v>
      </c>
      <c r="O43" s="45" t="e">
        <f t="shared" si="1"/>
        <v>#DIV/0!</v>
      </c>
      <c r="P43" s="108">
        <f t="shared" si="2"/>
        <v>0</v>
      </c>
      <c r="Q43" s="108">
        <f t="shared" si="3"/>
        <v>10469.84</v>
      </c>
      <c r="R43" s="45" t="e">
        <f t="shared" si="4"/>
        <v>#DIV/0!</v>
      </c>
      <c r="S43" s="36"/>
      <c r="T43" s="36"/>
      <c r="U43" s="45" t="e">
        <f t="shared" si="5"/>
        <v>#DIV/0!</v>
      </c>
      <c r="V43" s="36">
        <f t="shared" si="6"/>
        <v>0</v>
      </c>
      <c r="W43" s="36">
        <f t="shared" si="7"/>
        <v>10469.84</v>
      </c>
      <c r="X43" s="45" t="e">
        <f t="shared" si="8"/>
        <v>#DIV/0!</v>
      </c>
      <c r="Y43" s="108"/>
      <c r="Z43" s="108">
        <v>24539.8</v>
      </c>
      <c r="AA43" s="45" t="e">
        <f t="shared" si="9"/>
        <v>#DIV/0!</v>
      </c>
      <c r="AB43" s="108">
        <f t="shared" si="10"/>
        <v>0</v>
      </c>
      <c r="AC43" s="108">
        <f t="shared" si="11"/>
        <v>35009.64</v>
      </c>
      <c r="AD43" s="45" t="e">
        <f t="shared" si="12"/>
        <v>#DIV/0!</v>
      </c>
      <c r="AE43" s="108"/>
      <c r="AF43" s="108">
        <v>18827.5</v>
      </c>
      <c r="AG43" s="45" t="e">
        <f t="shared" si="13"/>
        <v>#DIV/0!</v>
      </c>
      <c r="AH43" s="108">
        <f t="shared" si="14"/>
        <v>0</v>
      </c>
      <c r="AI43" s="108">
        <f t="shared" si="15"/>
        <v>53837.14</v>
      </c>
      <c r="AJ43" s="45" t="e">
        <f t="shared" si="16"/>
        <v>#DIV/0!</v>
      </c>
      <c r="AK43" s="108"/>
      <c r="AL43" s="108">
        <v>51848.85</v>
      </c>
      <c r="AM43" s="45" t="e">
        <f t="shared" si="17"/>
        <v>#DIV/0!</v>
      </c>
      <c r="AN43" s="108">
        <f t="shared" si="18"/>
        <v>0</v>
      </c>
      <c r="AO43" s="108">
        <f t="shared" si="19"/>
        <v>105685.99</v>
      </c>
      <c r="AP43" s="45" t="e">
        <f t="shared" si="20"/>
        <v>#DIV/0!</v>
      </c>
      <c r="AQ43" s="108"/>
      <c r="AR43" s="108">
        <v>4399.2</v>
      </c>
      <c r="AS43" s="45" t="e">
        <f t="shared" si="21"/>
        <v>#DIV/0!</v>
      </c>
      <c r="AT43" s="108">
        <f t="shared" si="22"/>
        <v>0</v>
      </c>
      <c r="AU43" s="108">
        <f t="shared" si="23"/>
        <v>110085.19</v>
      </c>
      <c r="AV43" s="45" t="e">
        <f t="shared" si="24"/>
        <v>#DIV/0!</v>
      </c>
      <c r="AW43" s="36">
        <v>2640</v>
      </c>
      <c r="AX43" s="36">
        <v>57282.79</v>
      </c>
      <c r="AY43" s="45">
        <f t="shared" si="25"/>
        <v>20.6980265151515</v>
      </c>
      <c r="AZ43" s="36">
        <f t="shared" si="26"/>
        <v>2640</v>
      </c>
      <c r="BA43" s="36">
        <f t="shared" si="27"/>
        <v>167367.98</v>
      </c>
      <c r="BB43" s="45">
        <f t="shared" si="28"/>
        <v>62.3969621212121</v>
      </c>
      <c r="BC43" s="36">
        <v>873.36</v>
      </c>
      <c r="BD43" s="36">
        <v>2517.5</v>
      </c>
      <c r="BE43" s="45">
        <f t="shared" si="29"/>
        <v>1.8825455711276</v>
      </c>
      <c r="BF43" s="36">
        <f t="shared" si="30"/>
        <v>3513.36</v>
      </c>
      <c r="BG43" s="36">
        <f t="shared" si="31"/>
        <v>169885.48</v>
      </c>
      <c r="BH43" s="45">
        <f t="shared" si="32"/>
        <v>47.3541339344673</v>
      </c>
      <c r="BI43" s="177">
        <v>29873.1</v>
      </c>
      <c r="BJ43" s="177">
        <v>7460.9</v>
      </c>
      <c r="BK43" s="45">
        <f t="shared" si="38"/>
        <v>-0.75024687762569</v>
      </c>
      <c r="BL43" s="177">
        <f t="shared" si="39"/>
        <v>33386.46</v>
      </c>
      <c r="BM43" s="177">
        <f t="shared" si="40"/>
        <v>177346.38</v>
      </c>
      <c r="BN43" s="45">
        <f t="shared" si="33"/>
        <v>4.31192525353092</v>
      </c>
      <c r="BO43" s="176">
        <v>22911.5</v>
      </c>
      <c r="BP43" s="108">
        <v>6688</v>
      </c>
      <c r="BQ43" s="108">
        <v>62985.96</v>
      </c>
      <c r="BR43" s="115">
        <f t="shared" si="41"/>
        <v>0.633379928571429</v>
      </c>
      <c r="BS43" s="108"/>
      <c r="BT43" s="108"/>
    </row>
    <row r="44" spans="1:72">
      <c r="A44" s="110" t="s">
        <v>30</v>
      </c>
      <c r="B44" s="110" t="s">
        <v>30</v>
      </c>
      <c r="C44" s="179" t="s">
        <v>218</v>
      </c>
      <c r="D44" s="112" t="s">
        <v>104</v>
      </c>
      <c r="E44" s="112" t="s">
        <v>104</v>
      </c>
      <c r="F44" s="112" t="s">
        <v>170</v>
      </c>
      <c r="G44" s="112" t="s">
        <v>216</v>
      </c>
      <c r="H44" s="112" t="s">
        <v>172</v>
      </c>
      <c r="I44" s="175"/>
      <c r="J44" s="176">
        <v>3911</v>
      </c>
      <c r="K44" s="176"/>
      <c r="L44" s="45">
        <f t="shared" si="0"/>
        <v>-1</v>
      </c>
      <c r="M44" s="108"/>
      <c r="N44" s="108"/>
      <c r="O44" s="45" t="e">
        <f t="shared" si="1"/>
        <v>#DIV/0!</v>
      </c>
      <c r="P44" s="108">
        <f t="shared" si="2"/>
        <v>3911</v>
      </c>
      <c r="Q44" s="108">
        <f t="shared" si="3"/>
        <v>0</v>
      </c>
      <c r="R44" s="45">
        <f t="shared" si="4"/>
        <v>-1</v>
      </c>
      <c r="S44" s="36"/>
      <c r="T44" s="36"/>
      <c r="U44" s="45" t="e">
        <f t="shared" si="5"/>
        <v>#DIV/0!</v>
      </c>
      <c r="V44" s="36">
        <f t="shared" si="6"/>
        <v>3911</v>
      </c>
      <c r="W44" s="36">
        <f t="shared" si="7"/>
        <v>0</v>
      </c>
      <c r="X44" s="45">
        <f t="shared" si="8"/>
        <v>-1</v>
      </c>
      <c r="Y44" s="108"/>
      <c r="Z44" s="108"/>
      <c r="AA44" s="45" t="e">
        <f t="shared" si="9"/>
        <v>#DIV/0!</v>
      </c>
      <c r="AB44" s="108">
        <f t="shared" si="10"/>
        <v>3911</v>
      </c>
      <c r="AC44" s="108">
        <f t="shared" si="11"/>
        <v>0</v>
      </c>
      <c r="AD44" s="45">
        <f t="shared" si="12"/>
        <v>-1</v>
      </c>
      <c r="AE44" s="108"/>
      <c r="AF44" s="108"/>
      <c r="AG44" s="45" t="e">
        <f t="shared" si="13"/>
        <v>#DIV/0!</v>
      </c>
      <c r="AH44" s="108">
        <f t="shared" si="14"/>
        <v>3911</v>
      </c>
      <c r="AI44" s="108">
        <f t="shared" si="15"/>
        <v>0</v>
      </c>
      <c r="AJ44" s="45">
        <f t="shared" si="16"/>
        <v>-1</v>
      </c>
      <c r="AK44" s="108"/>
      <c r="AL44" s="108"/>
      <c r="AM44" s="45" t="e">
        <f t="shared" si="17"/>
        <v>#DIV/0!</v>
      </c>
      <c r="AN44" s="108">
        <f t="shared" si="18"/>
        <v>3911</v>
      </c>
      <c r="AO44" s="108">
        <f t="shared" si="19"/>
        <v>0</v>
      </c>
      <c r="AP44" s="45">
        <f t="shared" si="20"/>
        <v>-1</v>
      </c>
      <c r="AQ44" s="108"/>
      <c r="AR44" s="108"/>
      <c r="AS44" s="45" t="e">
        <f t="shared" si="21"/>
        <v>#DIV/0!</v>
      </c>
      <c r="AT44" s="108">
        <f t="shared" si="22"/>
        <v>3911</v>
      </c>
      <c r="AU44" s="108">
        <f t="shared" si="23"/>
        <v>0</v>
      </c>
      <c r="AV44" s="45">
        <f t="shared" si="24"/>
        <v>-1</v>
      </c>
      <c r="AW44" s="36"/>
      <c r="AX44" s="36"/>
      <c r="AY44" s="45" t="e">
        <f t="shared" si="25"/>
        <v>#DIV/0!</v>
      </c>
      <c r="AZ44" s="36">
        <f t="shared" si="26"/>
        <v>3911</v>
      </c>
      <c r="BA44" s="36">
        <f t="shared" si="27"/>
        <v>0</v>
      </c>
      <c r="BB44" s="45">
        <f t="shared" si="28"/>
        <v>-1</v>
      </c>
      <c r="BC44" s="36"/>
      <c r="BD44" s="36"/>
      <c r="BE44" s="45" t="e">
        <f t="shared" si="29"/>
        <v>#DIV/0!</v>
      </c>
      <c r="BF44" s="36">
        <f t="shared" si="30"/>
        <v>3911</v>
      </c>
      <c r="BG44" s="36">
        <f t="shared" si="31"/>
        <v>0</v>
      </c>
      <c r="BH44" s="45">
        <f t="shared" si="32"/>
        <v>-1</v>
      </c>
      <c r="BI44" s="177"/>
      <c r="BJ44" s="177"/>
      <c r="BK44" s="45" t="e">
        <f t="shared" si="38"/>
        <v>#DIV/0!</v>
      </c>
      <c r="BL44" s="177">
        <f t="shared" si="39"/>
        <v>3911</v>
      </c>
      <c r="BM44" s="177">
        <f t="shared" si="40"/>
        <v>0</v>
      </c>
      <c r="BN44" s="45">
        <f t="shared" si="33"/>
        <v>-1</v>
      </c>
      <c r="BO44" s="176"/>
      <c r="BP44" s="108"/>
      <c r="BQ44" s="108">
        <v>3911</v>
      </c>
      <c r="BR44" s="115" t="e">
        <f t="shared" si="41"/>
        <v>#DIV/0!</v>
      </c>
      <c r="BS44" s="108"/>
      <c r="BT44" s="108"/>
    </row>
    <row r="45" spans="1:72">
      <c r="A45" s="110" t="s">
        <v>30</v>
      </c>
      <c r="B45" s="110" t="s">
        <v>30</v>
      </c>
      <c r="C45" s="179" t="s">
        <v>219</v>
      </c>
      <c r="D45" s="112" t="s">
        <v>104</v>
      </c>
      <c r="E45" s="112" t="s">
        <v>104</v>
      </c>
      <c r="F45" s="112" t="s">
        <v>166</v>
      </c>
      <c r="G45" s="112" t="s">
        <v>166</v>
      </c>
      <c r="H45" s="112" t="s">
        <v>167</v>
      </c>
      <c r="I45" s="175"/>
      <c r="J45" s="176"/>
      <c r="K45" s="176"/>
      <c r="L45" s="45" t="e">
        <f t="shared" si="0"/>
        <v>#DIV/0!</v>
      </c>
      <c r="M45" s="108">
        <v>6431</v>
      </c>
      <c r="N45" s="108"/>
      <c r="O45" s="45">
        <f t="shared" si="1"/>
        <v>-1</v>
      </c>
      <c r="P45" s="108">
        <f t="shared" si="2"/>
        <v>6431</v>
      </c>
      <c r="Q45" s="108">
        <f t="shared" si="3"/>
        <v>0</v>
      </c>
      <c r="R45" s="45">
        <f t="shared" si="4"/>
        <v>-1</v>
      </c>
      <c r="S45" s="36"/>
      <c r="T45" s="36"/>
      <c r="U45" s="45" t="e">
        <f t="shared" si="5"/>
        <v>#DIV/0!</v>
      </c>
      <c r="V45" s="36">
        <f t="shared" si="6"/>
        <v>6431</v>
      </c>
      <c r="W45" s="36">
        <f t="shared" si="7"/>
        <v>0</v>
      </c>
      <c r="X45" s="45">
        <f t="shared" si="8"/>
        <v>-1</v>
      </c>
      <c r="Y45" s="108"/>
      <c r="Z45" s="108"/>
      <c r="AA45" s="45" t="e">
        <f t="shared" si="9"/>
        <v>#DIV/0!</v>
      </c>
      <c r="AB45" s="108">
        <f t="shared" si="10"/>
        <v>6431</v>
      </c>
      <c r="AC45" s="108">
        <f t="shared" si="11"/>
        <v>0</v>
      </c>
      <c r="AD45" s="45">
        <f t="shared" si="12"/>
        <v>-1</v>
      </c>
      <c r="AE45" s="108"/>
      <c r="AF45" s="108">
        <v>6566</v>
      </c>
      <c r="AG45" s="45" t="e">
        <f t="shared" si="13"/>
        <v>#DIV/0!</v>
      </c>
      <c r="AH45" s="108">
        <f t="shared" si="14"/>
        <v>6431</v>
      </c>
      <c r="AI45" s="108">
        <f t="shared" si="15"/>
        <v>6566</v>
      </c>
      <c r="AJ45" s="45">
        <f t="shared" si="16"/>
        <v>0.0209920696625718</v>
      </c>
      <c r="AK45" s="108"/>
      <c r="AL45" s="108"/>
      <c r="AM45" s="45" t="e">
        <f t="shared" si="17"/>
        <v>#DIV/0!</v>
      </c>
      <c r="AN45" s="108">
        <f t="shared" si="18"/>
        <v>6431</v>
      </c>
      <c r="AO45" s="108">
        <f t="shared" si="19"/>
        <v>6566</v>
      </c>
      <c r="AP45" s="45">
        <f t="shared" si="20"/>
        <v>0.0209920696625718</v>
      </c>
      <c r="AQ45" s="108"/>
      <c r="AR45" s="108"/>
      <c r="AS45" s="45" t="e">
        <f t="shared" si="21"/>
        <v>#DIV/0!</v>
      </c>
      <c r="AT45" s="108">
        <f t="shared" si="22"/>
        <v>6431</v>
      </c>
      <c r="AU45" s="108">
        <f t="shared" si="23"/>
        <v>6566</v>
      </c>
      <c r="AV45" s="45">
        <f t="shared" si="24"/>
        <v>0.0209920696625718</v>
      </c>
      <c r="AW45" s="36"/>
      <c r="AX45" s="36"/>
      <c r="AY45" s="45" t="e">
        <f t="shared" si="25"/>
        <v>#DIV/0!</v>
      </c>
      <c r="AZ45" s="36">
        <f t="shared" si="26"/>
        <v>6431</v>
      </c>
      <c r="BA45" s="36">
        <f t="shared" si="27"/>
        <v>6566</v>
      </c>
      <c r="BB45" s="45">
        <f t="shared" si="28"/>
        <v>0.0209920696625718</v>
      </c>
      <c r="BC45" s="36"/>
      <c r="BD45" s="36">
        <v>5382</v>
      </c>
      <c r="BE45" s="45" t="e">
        <f t="shared" si="29"/>
        <v>#DIV/0!</v>
      </c>
      <c r="BF45" s="36">
        <f t="shared" si="30"/>
        <v>6431</v>
      </c>
      <c r="BG45" s="36">
        <f t="shared" si="31"/>
        <v>11948</v>
      </c>
      <c r="BH45" s="45">
        <f t="shared" si="32"/>
        <v>0.857875913543772</v>
      </c>
      <c r="BI45" s="177"/>
      <c r="BJ45" s="177">
        <v>15422</v>
      </c>
      <c r="BK45" s="45" t="e">
        <f t="shared" si="38"/>
        <v>#DIV/0!</v>
      </c>
      <c r="BL45" s="177">
        <f t="shared" si="39"/>
        <v>6431</v>
      </c>
      <c r="BM45" s="177">
        <f t="shared" si="40"/>
        <v>27370</v>
      </c>
      <c r="BN45" s="45">
        <f t="shared" si="33"/>
        <v>3.25594775307106</v>
      </c>
      <c r="BO45" s="176"/>
      <c r="BP45" s="108"/>
      <c r="BQ45" s="108">
        <v>6431</v>
      </c>
      <c r="BR45" s="115" t="e">
        <f t="shared" si="41"/>
        <v>#DIV/0!</v>
      </c>
      <c r="BS45" s="108"/>
      <c r="BT45" s="108"/>
    </row>
    <row r="46" spans="1:72">
      <c r="A46" s="110" t="s">
        <v>30</v>
      </c>
      <c r="B46" s="110" t="s">
        <v>30</v>
      </c>
      <c r="C46" s="179" t="s">
        <v>220</v>
      </c>
      <c r="D46" s="112" t="s">
        <v>63</v>
      </c>
      <c r="E46" s="112" t="s">
        <v>63</v>
      </c>
      <c r="F46" s="112" t="s">
        <v>170</v>
      </c>
      <c r="G46" s="112" t="s">
        <v>188</v>
      </c>
      <c r="H46" s="112" t="s">
        <v>172</v>
      </c>
      <c r="I46" s="175">
        <v>0</v>
      </c>
      <c r="J46" s="176"/>
      <c r="K46" s="176"/>
      <c r="L46" s="45" t="e">
        <f t="shared" si="0"/>
        <v>#DIV/0!</v>
      </c>
      <c r="M46" s="108">
        <v>20000</v>
      </c>
      <c r="N46" s="108"/>
      <c r="O46" s="45">
        <f t="shared" si="1"/>
        <v>-1</v>
      </c>
      <c r="P46" s="108">
        <f t="shared" si="2"/>
        <v>20000</v>
      </c>
      <c r="Q46" s="108">
        <f t="shared" si="3"/>
        <v>0</v>
      </c>
      <c r="R46" s="45">
        <f t="shared" si="4"/>
        <v>-1</v>
      </c>
      <c r="S46" s="36"/>
      <c r="T46" s="36">
        <v>7105</v>
      </c>
      <c r="U46" s="45" t="e">
        <f t="shared" si="5"/>
        <v>#DIV/0!</v>
      </c>
      <c r="V46" s="36">
        <f t="shared" si="6"/>
        <v>20000</v>
      </c>
      <c r="W46" s="36">
        <f t="shared" si="7"/>
        <v>7105</v>
      </c>
      <c r="X46" s="45">
        <f t="shared" si="8"/>
        <v>-0.64475</v>
      </c>
      <c r="Y46" s="108"/>
      <c r="Z46" s="108"/>
      <c r="AA46" s="45" t="e">
        <f t="shared" si="9"/>
        <v>#DIV/0!</v>
      </c>
      <c r="AB46" s="108">
        <f t="shared" si="10"/>
        <v>20000</v>
      </c>
      <c r="AC46" s="108">
        <f t="shared" si="11"/>
        <v>7105</v>
      </c>
      <c r="AD46" s="45">
        <f t="shared" si="12"/>
        <v>-0.64475</v>
      </c>
      <c r="AE46" s="108"/>
      <c r="AF46" s="108"/>
      <c r="AG46" s="45" t="e">
        <f t="shared" si="13"/>
        <v>#DIV/0!</v>
      </c>
      <c r="AH46" s="108">
        <f t="shared" si="14"/>
        <v>20000</v>
      </c>
      <c r="AI46" s="108">
        <f t="shared" si="15"/>
        <v>7105</v>
      </c>
      <c r="AJ46" s="45">
        <f t="shared" si="16"/>
        <v>-0.64475</v>
      </c>
      <c r="AK46" s="108">
        <v>2310</v>
      </c>
      <c r="AL46" s="108"/>
      <c r="AM46" s="45">
        <f t="shared" si="17"/>
        <v>-1</v>
      </c>
      <c r="AN46" s="108">
        <f t="shared" si="18"/>
        <v>22310</v>
      </c>
      <c r="AO46" s="108">
        <f t="shared" si="19"/>
        <v>7105</v>
      </c>
      <c r="AP46" s="45">
        <f t="shared" si="20"/>
        <v>-0.681532944867772</v>
      </c>
      <c r="AQ46" s="108"/>
      <c r="AR46" s="108"/>
      <c r="AS46" s="45" t="e">
        <f t="shared" si="21"/>
        <v>#DIV/0!</v>
      </c>
      <c r="AT46" s="108">
        <f t="shared" si="22"/>
        <v>22310</v>
      </c>
      <c r="AU46" s="108">
        <f t="shared" si="23"/>
        <v>7105</v>
      </c>
      <c r="AV46" s="45">
        <f t="shared" si="24"/>
        <v>-0.681532944867772</v>
      </c>
      <c r="AW46" s="36"/>
      <c r="AX46" s="36"/>
      <c r="AY46" s="45" t="e">
        <f t="shared" si="25"/>
        <v>#DIV/0!</v>
      </c>
      <c r="AZ46" s="36">
        <f t="shared" si="26"/>
        <v>22310</v>
      </c>
      <c r="BA46" s="36">
        <f t="shared" si="27"/>
        <v>7105</v>
      </c>
      <c r="BB46" s="45">
        <f t="shared" si="28"/>
        <v>-0.681532944867772</v>
      </c>
      <c r="BC46" s="36">
        <v>15249</v>
      </c>
      <c r="BD46" s="36"/>
      <c r="BE46" s="45">
        <f t="shared" si="29"/>
        <v>-1</v>
      </c>
      <c r="BF46" s="36">
        <f t="shared" si="30"/>
        <v>37559</v>
      </c>
      <c r="BG46" s="36">
        <f t="shared" si="31"/>
        <v>7105</v>
      </c>
      <c r="BH46" s="45">
        <f t="shared" si="32"/>
        <v>-0.810830959290716</v>
      </c>
      <c r="BI46" s="177">
        <v>5443</v>
      </c>
      <c r="BJ46" s="177"/>
      <c r="BK46" s="45">
        <f t="shared" si="38"/>
        <v>-1</v>
      </c>
      <c r="BL46" s="177">
        <f t="shared" si="39"/>
        <v>43002</v>
      </c>
      <c r="BM46" s="177">
        <f t="shared" si="40"/>
        <v>7105</v>
      </c>
      <c r="BN46" s="45">
        <f t="shared" si="33"/>
        <v>-0.834775126738291</v>
      </c>
      <c r="BO46" s="176"/>
      <c r="BP46" s="108"/>
      <c r="BQ46" s="108">
        <v>43002</v>
      </c>
      <c r="BR46" s="115" t="e">
        <f t="shared" si="41"/>
        <v>#DIV/0!</v>
      </c>
      <c r="BS46" s="108"/>
      <c r="BT46" s="108"/>
    </row>
    <row r="47" spans="1:72">
      <c r="A47" s="110" t="s">
        <v>30</v>
      </c>
      <c r="B47" s="110" t="s">
        <v>30</v>
      </c>
      <c r="C47" s="121" t="s">
        <v>221</v>
      </c>
      <c r="D47" s="108" t="s">
        <v>63</v>
      </c>
      <c r="E47" s="112" t="s">
        <v>63</v>
      </c>
      <c r="F47" s="112" t="s">
        <v>179</v>
      </c>
      <c r="G47" s="112" t="s">
        <v>179</v>
      </c>
      <c r="H47" s="108" t="s">
        <v>167</v>
      </c>
      <c r="I47" s="175"/>
      <c r="J47" s="176"/>
      <c r="K47" s="176"/>
      <c r="L47" s="45" t="e">
        <f t="shared" si="0"/>
        <v>#DIV/0!</v>
      </c>
      <c r="M47" s="108"/>
      <c r="N47" s="108">
        <v>10000</v>
      </c>
      <c r="O47" s="45" t="e">
        <f t="shared" si="1"/>
        <v>#DIV/0!</v>
      </c>
      <c r="P47" s="108">
        <f t="shared" si="2"/>
        <v>0</v>
      </c>
      <c r="Q47" s="108">
        <f t="shared" si="3"/>
        <v>10000</v>
      </c>
      <c r="R47" s="45" t="e">
        <f t="shared" si="4"/>
        <v>#DIV/0!</v>
      </c>
      <c r="S47" s="36"/>
      <c r="T47" s="36"/>
      <c r="U47" s="45" t="e">
        <f t="shared" si="5"/>
        <v>#DIV/0!</v>
      </c>
      <c r="V47" s="36">
        <f t="shared" si="6"/>
        <v>0</v>
      </c>
      <c r="W47" s="36">
        <f t="shared" si="7"/>
        <v>10000</v>
      </c>
      <c r="X47" s="45" t="e">
        <f t="shared" si="8"/>
        <v>#DIV/0!</v>
      </c>
      <c r="Y47" s="108">
        <v>10000</v>
      </c>
      <c r="Z47" s="108"/>
      <c r="AA47" s="45">
        <f t="shared" si="9"/>
        <v>-1</v>
      </c>
      <c r="AB47" s="108">
        <f t="shared" si="10"/>
        <v>10000</v>
      </c>
      <c r="AC47" s="108">
        <f t="shared" si="11"/>
        <v>10000</v>
      </c>
      <c r="AD47" s="45">
        <f t="shared" si="12"/>
        <v>0</v>
      </c>
      <c r="AE47" s="108"/>
      <c r="AF47" s="108"/>
      <c r="AG47" s="45" t="e">
        <f t="shared" si="13"/>
        <v>#DIV/0!</v>
      </c>
      <c r="AH47" s="108">
        <f t="shared" si="14"/>
        <v>10000</v>
      </c>
      <c r="AI47" s="108">
        <f t="shared" si="15"/>
        <v>10000</v>
      </c>
      <c r="AJ47" s="45">
        <f t="shared" si="16"/>
        <v>0</v>
      </c>
      <c r="AK47" s="108"/>
      <c r="AL47" s="108"/>
      <c r="AM47" s="45" t="e">
        <f t="shared" si="17"/>
        <v>#DIV/0!</v>
      </c>
      <c r="AN47" s="108">
        <f t="shared" si="18"/>
        <v>10000</v>
      </c>
      <c r="AO47" s="108">
        <f t="shared" si="19"/>
        <v>10000</v>
      </c>
      <c r="AP47" s="45">
        <f t="shared" si="20"/>
        <v>0</v>
      </c>
      <c r="AQ47" s="108"/>
      <c r="AR47" s="108">
        <v>4124</v>
      </c>
      <c r="AS47" s="45" t="e">
        <f t="shared" si="21"/>
        <v>#DIV/0!</v>
      </c>
      <c r="AT47" s="108">
        <f t="shared" si="22"/>
        <v>10000</v>
      </c>
      <c r="AU47" s="108">
        <f t="shared" si="23"/>
        <v>14124</v>
      </c>
      <c r="AV47" s="45">
        <f t="shared" si="24"/>
        <v>0.4124</v>
      </c>
      <c r="AW47" s="36"/>
      <c r="AX47" s="36"/>
      <c r="AY47" s="45" t="e">
        <f t="shared" si="25"/>
        <v>#DIV/0!</v>
      </c>
      <c r="AZ47" s="36">
        <f t="shared" si="26"/>
        <v>10000</v>
      </c>
      <c r="BA47" s="36">
        <f t="shared" si="27"/>
        <v>14124</v>
      </c>
      <c r="BB47" s="45">
        <f t="shared" si="28"/>
        <v>0.4124</v>
      </c>
      <c r="BC47" s="36"/>
      <c r="BD47" s="36">
        <v>4124</v>
      </c>
      <c r="BE47" s="45" t="e">
        <f t="shared" si="29"/>
        <v>#DIV/0!</v>
      </c>
      <c r="BF47" s="36">
        <f t="shared" si="30"/>
        <v>10000</v>
      </c>
      <c r="BG47" s="36">
        <f t="shared" si="31"/>
        <v>18248</v>
      </c>
      <c r="BH47" s="45">
        <f t="shared" si="32"/>
        <v>0.8248</v>
      </c>
      <c r="BI47" s="177"/>
      <c r="BJ47" s="177"/>
      <c r="BK47" s="45" t="e">
        <f t="shared" si="38"/>
        <v>#DIV/0!</v>
      </c>
      <c r="BL47" s="177">
        <f t="shared" si="39"/>
        <v>10000</v>
      </c>
      <c r="BM47" s="177">
        <f t="shared" si="40"/>
        <v>18248</v>
      </c>
      <c r="BN47" s="45">
        <f t="shared" si="33"/>
        <v>0.8248</v>
      </c>
      <c r="BO47" s="176">
        <v>10000</v>
      </c>
      <c r="BP47" s="108"/>
      <c r="BQ47" s="108">
        <v>20000</v>
      </c>
      <c r="BR47" s="115" t="e">
        <f t="shared" si="41"/>
        <v>#DIV/0!</v>
      </c>
      <c r="BS47" s="108"/>
      <c r="BT47" s="108"/>
    </row>
    <row r="48" spans="1:72">
      <c r="A48" s="110" t="s">
        <v>30</v>
      </c>
      <c r="B48" s="110" t="s">
        <v>30</v>
      </c>
      <c r="C48" s="121" t="s">
        <v>222</v>
      </c>
      <c r="D48" s="108" t="s">
        <v>63</v>
      </c>
      <c r="E48" s="112" t="s">
        <v>63</v>
      </c>
      <c r="F48" s="180" t="s">
        <v>185</v>
      </c>
      <c r="G48" s="180" t="s">
        <v>185</v>
      </c>
      <c r="H48" s="108" t="s">
        <v>176</v>
      </c>
      <c r="I48" s="175">
        <v>5</v>
      </c>
      <c r="J48" s="176"/>
      <c r="K48" s="176"/>
      <c r="L48" s="45" t="e">
        <f t="shared" si="0"/>
        <v>#DIV/0!</v>
      </c>
      <c r="M48" s="108"/>
      <c r="N48" s="108"/>
      <c r="O48" s="45" t="e">
        <f t="shared" si="1"/>
        <v>#DIV/0!</v>
      </c>
      <c r="P48" s="108">
        <f t="shared" si="2"/>
        <v>0</v>
      </c>
      <c r="Q48" s="108">
        <f t="shared" si="3"/>
        <v>0</v>
      </c>
      <c r="R48" s="45" t="e">
        <f t="shared" si="4"/>
        <v>#DIV/0!</v>
      </c>
      <c r="S48" s="36"/>
      <c r="T48" s="36"/>
      <c r="U48" s="45" t="e">
        <f t="shared" si="5"/>
        <v>#DIV/0!</v>
      </c>
      <c r="V48" s="36">
        <f t="shared" si="6"/>
        <v>0</v>
      </c>
      <c r="W48" s="36">
        <f t="shared" si="7"/>
        <v>0</v>
      </c>
      <c r="X48" s="45" t="e">
        <f t="shared" si="8"/>
        <v>#DIV/0!</v>
      </c>
      <c r="Y48" s="108">
        <v>5382</v>
      </c>
      <c r="Z48" s="108"/>
      <c r="AA48" s="45">
        <f t="shared" si="9"/>
        <v>-1</v>
      </c>
      <c r="AB48" s="108">
        <f t="shared" si="10"/>
        <v>5382</v>
      </c>
      <c r="AC48" s="108">
        <f t="shared" si="11"/>
        <v>0</v>
      </c>
      <c r="AD48" s="45">
        <f t="shared" si="12"/>
        <v>-1</v>
      </c>
      <c r="AE48" s="108"/>
      <c r="AF48" s="108"/>
      <c r="AG48" s="45" t="e">
        <f t="shared" si="13"/>
        <v>#DIV/0!</v>
      </c>
      <c r="AH48" s="108">
        <f t="shared" si="14"/>
        <v>5382</v>
      </c>
      <c r="AI48" s="108">
        <f t="shared" si="15"/>
        <v>0</v>
      </c>
      <c r="AJ48" s="45">
        <f t="shared" si="16"/>
        <v>-1</v>
      </c>
      <c r="AK48" s="108"/>
      <c r="AL48" s="108"/>
      <c r="AM48" s="45" t="e">
        <f t="shared" si="17"/>
        <v>#DIV/0!</v>
      </c>
      <c r="AN48" s="108">
        <f t="shared" si="18"/>
        <v>5382</v>
      </c>
      <c r="AO48" s="108">
        <f t="shared" si="19"/>
        <v>0</v>
      </c>
      <c r="AP48" s="45">
        <f t="shared" si="20"/>
        <v>-1</v>
      </c>
      <c r="AQ48" s="108"/>
      <c r="AR48" s="108"/>
      <c r="AS48" s="45" t="e">
        <f t="shared" si="21"/>
        <v>#DIV/0!</v>
      </c>
      <c r="AT48" s="108">
        <f t="shared" si="22"/>
        <v>5382</v>
      </c>
      <c r="AU48" s="108">
        <f t="shared" si="23"/>
        <v>0</v>
      </c>
      <c r="AV48" s="45">
        <f t="shared" si="24"/>
        <v>-1</v>
      </c>
      <c r="AW48" s="36"/>
      <c r="AX48" s="36"/>
      <c r="AY48" s="45" t="e">
        <f t="shared" si="25"/>
        <v>#DIV/0!</v>
      </c>
      <c r="AZ48" s="36">
        <f t="shared" si="26"/>
        <v>5382</v>
      </c>
      <c r="BA48" s="36">
        <f t="shared" si="27"/>
        <v>0</v>
      </c>
      <c r="BB48" s="45">
        <f t="shared" si="28"/>
        <v>-1</v>
      </c>
      <c r="BC48" s="36"/>
      <c r="BD48" s="36"/>
      <c r="BE48" s="45" t="e">
        <f t="shared" si="29"/>
        <v>#DIV/0!</v>
      </c>
      <c r="BF48" s="36">
        <f t="shared" si="30"/>
        <v>5382</v>
      </c>
      <c r="BG48" s="36">
        <f t="shared" si="31"/>
        <v>0</v>
      </c>
      <c r="BH48" s="45">
        <f t="shared" si="32"/>
        <v>-1</v>
      </c>
      <c r="BI48" s="177"/>
      <c r="BJ48" s="177"/>
      <c r="BK48" s="45" t="e">
        <f t="shared" si="38"/>
        <v>#DIV/0!</v>
      </c>
      <c r="BL48" s="177">
        <f t="shared" si="39"/>
        <v>5382</v>
      </c>
      <c r="BM48" s="177">
        <f t="shared" si="40"/>
        <v>0</v>
      </c>
      <c r="BN48" s="45">
        <f t="shared" si="33"/>
        <v>-1</v>
      </c>
      <c r="BO48" s="176"/>
      <c r="BP48" s="108"/>
      <c r="BQ48" s="108">
        <v>5382</v>
      </c>
      <c r="BR48" s="115">
        <f t="shared" si="41"/>
        <v>0</v>
      </c>
      <c r="BS48" s="108"/>
      <c r="BT48" s="108"/>
    </row>
    <row r="49" spans="1:72">
      <c r="A49" s="110" t="s">
        <v>30</v>
      </c>
      <c r="B49" s="110" t="s">
        <v>30</v>
      </c>
      <c r="C49" s="121" t="s">
        <v>223</v>
      </c>
      <c r="D49" s="108" t="s">
        <v>63</v>
      </c>
      <c r="E49" s="112" t="s">
        <v>63</v>
      </c>
      <c r="F49" s="112" t="s">
        <v>166</v>
      </c>
      <c r="G49" s="112" t="s">
        <v>166</v>
      </c>
      <c r="H49" s="108" t="s">
        <v>167</v>
      </c>
      <c r="I49" s="175"/>
      <c r="J49" s="176"/>
      <c r="K49" s="176"/>
      <c r="L49" s="45" t="e">
        <f t="shared" si="0"/>
        <v>#DIV/0!</v>
      </c>
      <c r="M49" s="108"/>
      <c r="N49" s="108">
        <v>2992</v>
      </c>
      <c r="O49" s="45" t="e">
        <f t="shared" si="1"/>
        <v>#DIV/0!</v>
      </c>
      <c r="P49" s="108">
        <f t="shared" si="2"/>
        <v>0</v>
      </c>
      <c r="Q49" s="108">
        <f t="shared" si="3"/>
        <v>2992</v>
      </c>
      <c r="R49" s="45" t="e">
        <f t="shared" si="4"/>
        <v>#DIV/0!</v>
      </c>
      <c r="S49" s="36"/>
      <c r="T49" s="36"/>
      <c r="U49" s="45" t="e">
        <f t="shared" si="5"/>
        <v>#DIV/0!</v>
      </c>
      <c r="V49" s="36">
        <f t="shared" si="6"/>
        <v>0</v>
      </c>
      <c r="W49" s="36">
        <f t="shared" si="7"/>
        <v>2992</v>
      </c>
      <c r="X49" s="45" t="e">
        <f t="shared" si="8"/>
        <v>#DIV/0!</v>
      </c>
      <c r="Y49" s="108"/>
      <c r="Z49" s="108"/>
      <c r="AA49" s="45" t="e">
        <f t="shared" si="9"/>
        <v>#DIV/0!</v>
      </c>
      <c r="AB49" s="108">
        <f t="shared" si="10"/>
        <v>0</v>
      </c>
      <c r="AC49" s="108">
        <f t="shared" si="11"/>
        <v>2992</v>
      </c>
      <c r="AD49" s="45" t="e">
        <f t="shared" si="12"/>
        <v>#DIV/0!</v>
      </c>
      <c r="AE49" s="108">
        <v>5370</v>
      </c>
      <c r="AF49" s="108"/>
      <c r="AG49" s="45">
        <f t="shared" si="13"/>
        <v>-1</v>
      </c>
      <c r="AH49" s="108">
        <f t="shared" si="14"/>
        <v>5370</v>
      </c>
      <c r="AI49" s="108">
        <f t="shared" si="15"/>
        <v>2992</v>
      </c>
      <c r="AJ49" s="45">
        <f t="shared" si="16"/>
        <v>-0.442830540037244</v>
      </c>
      <c r="AK49" s="108"/>
      <c r="AL49" s="108"/>
      <c r="AM49" s="45" t="e">
        <f t="shared" si="17"/>
        <v>#DIV/0!</v>
      </c>
      <c r="AN49" s="108">
        <f t="shared" si="18"/>
        <v>5370</v>
      </c>
      <c r="AO49" s="108">
        <f t="shared" si="19"/>
        <v>2992</v>
      </c>
      <c r="AP49" s="45">
        <f t="shared" si="20"/>
        <v>-0.442830540037244</v>
      </c>
      <c r="AQ49" s="108"/>
      <c r="AR49" s="108"/>
      <c r="AS49" s="45" t="e">
        <f t="shared" si="21"/>
        <v>#DIV/0!</v>
      </c>
      <c r="AT49" s="108">
        <f t="shared" si="22"/>
        <v>5370</v>
      </c>
      <c r="AU49" s="108">
        <f t="shared" si="23"/>
        <v>2992</v>
      </c>
      <c r="AV49" s="45">
        <f t="shared" si="24"/>
        <v>-0.442830540037244</v>
      </c>
      <c r="AW49" s="36"/>
      <c r="AX49" s="36"/>
      <c r="AY49" s="45" t="e">
        <f t="shared" si="25"/>
        <v>#DIV/0!</v>
      </c>
      <c r="AZ49" s="36">
        <f t="shared" si="26"/>
        <v>5370</v>
      </c>
      <c r="BA49" s="36">
        <f t="shared" si="27"/>
        <v>2992</v>
      </c>
      <c r="BB49" s="45">
        <f t="shared" si="28"/>
        <v>-0.442830540037244</v>
      </c>
      <c r="BC49" s="36"/>
      <c r="BD49" s="36">
        <v>790</v>
      </c>
      <c r="BE49" s="45" t="e">
        <f t="shared" si="29"/>
        <v>#DIV/0!</v>
      </c>
      <c r="BF49" s="36">
        <f t="shared" si="30"/>
        <v>5370</v>
      </c>
      <c r="BG49" s="36">
        <f t="shared" si="31"/>
        <v>3782</v>
      </c>
      <c r="BH49" s="45">
        <f t="shared" si="32"/>
        <v>-0.295716945996276</v>
      </c>
      <c r="BI49" s="177">
        <v>4058</v>
      </c>
      <c r="BJ49" s="177"/>
      <c r="BK49" s="45">
        <f t="shared" si="38"/>
        <v>-1</v>
      </c>
      <c r="BL49" s="177">
        <f t="shared" si="39"/>
        <v>9428</v>
      </c>
      <c r="BM49" s="177">
        <f t="shared" si="40"/>
        <v>3782</v>
      </c>
      <c r="BN49" s="45">
        <f t="shared" si="33"/>
        <v>-0.59885447602885</v>
      </c>
      <c r="BO49" s="176"/>
      <c r="BP49" s="108"/>
      <c r="BQ49" s="108">
        <v>9428</v>
      </c>
      <c r="BR49" s="115" t="e">
        <f t="shared" si="41"/>
        <v>#DIV/0!</v>
      </c>
      <c r="BS49" s="108"/>
      <c r="BT49" s="108"/>
    </row>
    <row r="50" spans="1:72">
      <c r="A50" s="110" t="s">
        <v>30</v>
      </c>
      <c r="B50" s="110" t="s">
        <v>30</v>
      </c>
      <c r="C50" s="121" t="s">
        <v>224</v>
      </c>
      <c r="D50" s="108" t="s">
        <v>63</v>
      </c>
      <c r="E50" s="112" t="s">
        <v>63</v>
      </c>
      <c r="F50" s="112" t="s">
        <v>166</v>
      </c>
      <c r="G50" s="112" t="s">
        <v>166</v>
      </c>
      <c r="H50" s="108" t="s">
        <v>167</v>
      </c>
      <c r="I50" s="175"/>
      <c r="J50" s="176"/>
      <c r="K50" s="176"/>
      <c r="L50" s="45" t="e">
        <f t="shared" si="0"/>
        <v>#DIV/0!</v>
      </c>
      <c r="M50" s="108"/>
      <c r="N50" s="108"/>
      <c r="O50" s="45" t="e">
        <f t="shared" si="1"/>
        <v>#DIV/0!</v>
      </c>
      <c r="P50" s="108">
        <f t="shared" si="2"/>
        <v>0</v>
      </c>
      <c r="Q50" s="108">
        <f t="shared" si="3"/>
        <v>0</v>
      </c>
      <c r="R50" s="45" t="e">
        <f t="shared" si="4"/>
        <v>#DIV/0!</v>
      </c>
      <c r="S50" s="36"/>
      <c r="T50" s="36"/>
      <c r="U50" s="45" t="e">
        <f t="shared" si="5"/>
        <v>#DIV/0!</v>
      </c>
      <c r="V50" s="36">
        <f t="shared" si="6"/>
        <v>0</v>
      </c>
      <c r="W50" s="36">
        <f t="shared" si="7"/>
        <v>0</v>
      </c>
      <c r="X50" s="45" t="e">
        <f t="shared" si="8"/>
        <v>#DIV/0!</v>
      </c>
      <c r="Y50" s="108"/>
      <c r="Z50" s="108"/>
      <c r="AA50" s="45" t="e">
        <f t="shared" si="9"/>
        <v>#DIV/0!</v>
      </c>
      <c r="AB50" s="108">
        <f t="shared" si="10"/>
        <v>0</v>
      </c>
      <c r="AC50" s="108">
        <f t="shared" si="11"/>
        <v>0</v>
      </c>
      <c r="AD50" s="45" t="e">
        <f t="shared" si="12"/>
        <v>#DIV/0!</v>
      </c>
      <c r="AE50" s="108">
        <v>7590</v>
      </c>
      <c r="AF50" s="108"/>
      <c r="AG50" s="45">
        <f t="shared" si="13"/>
        <v>-1</v>
      </c>
      <c r="AH50" s="108">
        <f t="shared" si="14"/>
        <v>7590</v>
      </c>
      <c r="AI50" s="108">
        <f t="shared" si="15"/>
        <v>0</v>
      </c>
      <c r="AJ50" s="45">
        <f t="shared" si="16"/>
        <v>-1</v>
      </c>
      <c r="AK50" s="108">
        <v>11200</v>
      </c>
      <c r="AL50" s="108"/>
      <c r="AM50" s="45">
        <f t="shared" si="17"/>
        <v>-1</v>
      </c>
      <c r="AN50" s="108">
        <f t="shared" si="18"/>
        <v>18790</v>
      </c>
      <c r="AO50" s="108">
        <f t="shared" si="19"/>
        <v>0</v>
      </c>
      <c r="AP50" s="45">
        <f t="shared" si="20"/>
        <v>-1</v>
      </c>
      <c r="AQ50" s="108">
        <v>2148</v>
      </c>
      <c r="AR50" s="108"/>
      <c r="AS50" s="45">
        <f t="shared" si="21"/>
        <v>-1</v>
      </c>
      <c r="AT50" s="108">
        <f t="shared" si="22"/>
        <v>20938</v>
      </c>
      <c r="AU50" s="108">
        <f t="shared" si="23"/>
        <v>0</v>
      </c>
      <c r="AV50" s="45">
        <f t="shared" si="24"/>
        <v>-1</v>
      </c>
      <c r="AW50" s="36">
        <v>3919</v>
      </c>
      <c r="AX50" s="36"/>
      <c r="AY50" s="45">
        <f t="shared" si="25"/>
        <v>-1</v>
      </c>
      <c r="AZ50" s="36">
        <f t="shared" si="26"/>
        <v>24857</v>
      </c>
      <c r="BA50" s="36">
        <f t="shared" si="27"/>
        <v>0</v>
      </c>
      <c r="BB50" s="45">
        <f t="shared" si="28"/>
        <v>-1</v>
      </c>
      <c r="BC50" s="36">
        <v>4887</v>
      </c>
      <c r="BD50" s="36"/>
      <c r="BE50" s="45">
        <f t="shared" si="29"/>
        <v>-1</v>
      </c>
      <c r="BF50" s="36">
        <f t="shared" si="30"/>
        <v>29744</v>
      </c>
      <c r="BG50" s="36">
        <f t="shared" si="31"/>
        <v>0</v>
      </c>
      <c r="BH50" s="45">
        <f t="shared" si="32"/>
        <v>-1</v>
      </c>
      <c r="BI50" s="177">
        <v>23919</v>
      </c>
      <c r="BJ50" s="177"/>
      <c r="BK50" s="45">
        <f t="shared" si="38"/>
        <v>-1</v>
      </c>
      <c r="BL50" s="177">
        <f t="shared" si="39"/>
        <v>53663</v>
      </c>
      <c r="BM50" s="177">
        <f t="shared" si="40"/>
        <v>0</v>
      </c>
      <c r="BN50" s="45">
        <f t="shared" si="33"/>
        <v>-1</v>
      </c>
      <c r="BO50" s="176"/>
      <c r="BP50" s="108">
        <v>57800</v>
      </c>
      <c r="BQ50" s="108">
        <v>111463</v>
      </c>
      <c r="BR50" s="115" t="e">
        <f t="shared" si="41"/>
        <v>#DIV/0!</v>
      </c>
      <c r="BS50" s="108"/>
      <c r="BT50" s="108"/>
    </row>
    <row r="51" spans="1:72">
      <c r="A51" s="110" t="s">
        <v>30</v>
      </c>
      <c r="B51" s="110" t="s">
        <v>30</v>
      </c>
      <c r="C51" s="121" t="s">
        <v>225</v>
      </c>
      <c r="D51" s="108" t="s">
        <v>63</v>
      </c>
      <c r="E51" s="112" t="s">
        <v>63</v>
      </c>
      <c r="F51" s="180" t="s">
        <v>183</v>
      </c>
      <c r="G51" s="180" t="s">
        <v>183</v>
      </c>
      <c r="H51" s="108" t="s">
        <v>176</v>
      </c>
      <c r="I51" s="175"/>
      <c r="J51" s="176"/>
      <c r="K51" s="176"/>
      <c r="L51" s="45" t="e">
        <f t="shared" si="0"/>
        <v>#DIV/0!</v>
      </c>
      <c r="M51" s="108"/>
      <c r="N51" s="108"/>
      <c r="O51" s="45" t="e">
        <f t="shared" si="1"/>
        <v>#DIV/0!</v>
      </c>
      <c r="P51" s="108">
        <f t="shared" si="2"/>
        <v>0</v>
      </c>
      <c r="Q51" s="108">
        <f t="shared" si="3"/>
        <v>0</v>
      </c>
      <c r="R51" s="45" t="e">
        <f t="shared" si="4"/>
        <v>#DIV/0!</v>
      </c>
      <c r="S51" s="36"/>
      <c r="T51" s="36">
        <v>6400</v>
      </c>
      <c r="U51" s="45" t="e">
        <f t="shared" si="5"/>
        <v>#DIV/0!</v>
      </c>
      <c r="V51" s="36">
        <f t="shared" si="6"/>
        <v>0</v>
      </c>
      <c r="W51" s="36">
        <f t="shared" si="7"/>
        <v>6400</v>
      </c>
      <c r="X51" s="45" t="e">
        <f t="shared" si="8"/>
        <v>#DIV/0!</v>
      </c>
      <c r="Y51" s="108"/>
      <c r="Z51" s="108">
        <v>3934</v>
      </c>
      <c r="AA51" s="45" t="e">
        <f t="shared" si="9"/>
        <v>#DIV/0!</v>
      </c>
      <c r="AB51" s="108">
        <f t="shared" si="10"/>
        <v>0</v>
      </c>
      <c r="AC51" s="108">
        <f t="shared" si="11"/>
        <v>10334</v>
      </c>
      <c r="AD51" s="45" t="e">
        <f t="shared" si="12"/>
        <v>#DIV/0!</v>
      </c>
      <c r="AE51" s="108">
        <v>2388</v>
      </c>
      <c r="AF51" s="108">
        <v>2400</v>
      </c>
      <c r="AG51" s="45">
        <f t="shared" si="13"/>
        <v>0.00502512562814061</v>
      </c>
      <c r="AH51" s="108">
        <f t="shared" si="14"/>
        <v>2388</v>
      </c>
      <c r="AI51" s="108">
        <f t="shared" si="15"/>
        <v>12734</v>
      </c>
      <c r="AJ51" s="45">
        <f t="shared" si="16"/>
        <v>4.33249581239531</v>
      </c>
      <c r="AK51" s="108"/>
      <c r="AL51" s="108"/>
      <c r="AM51" s="45" t="e">
        <f t="shared" si="17"/>
        <v>#DIV/0!</v>
      </c>
      <c r="AN51" s="108">
        <f t="shared" si="18"/>
        <v>2388</v>
      </c>
      <c r="AO51" s="108">
        <f t="shared" si="19"/>
        <v>12734</v>
      </c>
      <c r="AP51" s="45">
        <f t="shared" si="20"/>
        <v>4.33249581239531</v>
      </c>
      <c r="AQ51" s="108"/>
      <c r="AR51" s="108"/>
      <c r="AS51" s="45" t="e">
        <f t="shared" si="21"/>
        <v>#DIV/0!</v>
      </c>
      <c r="AT51" s="108">
        <f t="shared" si="22"/>
        <v>2388</v>
      </c>
      <c r="AU51" s="108">
        <f t="shared" si="23"/>
        <v>12734</v>
      </c>
      <c r="AV51" s="45">
        <f t="shared" si="24"/>
        <v>4.33249581239531</v>
      </c>
      <c r="AW51" s="36">
        <v>7700</v>
      </c>
      <c r="AX51" s="36"/>
      <c r="AY51" s="45">
        <f t="shared" si="25"/>
        <v>-1</v>
      </c>
      <c r="AZ51" s="36">
        <f t="shared" si="26"/>
        <v>10088</v>
      </c>
      <c r="BA51" s="36">
        <f t="shared" si="27"/>
        <v>12734</v>
      </c>
      <c r="BB51" s="45">
        <f t="shared" si="28"/>
        <v>0.262291831879461</v>
      </c>
      <c r="BC51" s="36"/>
      <c r="BD51" s="36"/>
      <c r="BE51" s="45" t="e">
        <f t="shared" si="29"/>
        <v>#DIV/0!</v>
      </c>
      <c r="BF51" s="36">
        <f t="shared" si="30"/>
        <v>10088</v>
      </c>
      <c r="BG51" s="36">
        <f t="shared" si="31"/>
        <v>12734</v>
      </c>
      <c r="BH51" s="45">
        <f t="shared" si="32"/>
        <v>0.262291831879461</v>
      </c>
      <c r="BI51" s="177"/>
      <c r="BJ51" s="177"/>
      <c r="BK51" s="45" t="e">
        <f t="shared" si="38"/>
        <v>#DIV/0!</v>
      </c>
      <c r="BL51" s="177">
        <f t="shared" si="39"/>
        <v>10088</v>
      </c>
      <c r="BM51" s="177">
        <f t="shared" si="40"/>
        <v>12734</v>
      </c>
      <c r="BN51" s="45">
        <f t="shared" si="33"/>
        <v>0.262291831879461</v>
      </c>
      <c r="BO51" s="176"/>
      <c r="BP51" s="108"/>
      <c r="BQ51" s="108">
        <v>10088</v>
      </c>
      <c r="BR51" s="115" t="e">
        <f t="shared" si="41"/>
        <v>#DIV/0!</v>
      </c>
      <c r="BS51" s="108"/>
      <c r="BT51" s="108"/>
    </row>
    <row r="52" spans="1:72">
      <c r="A52" s="110" t="s">
        <v>30</v>
      </c>
      <c r="B52" s="110" t="s">
        <v>30</v>
      </c>
      <c r="C52" s="121" t="s">
        <v>226</v>
      </c>
      <c r="D52" s="108" t="s">
        <v>63</v>
      </c>
      <c r="E52" s="112" t="s">
        <v>63</v>
      </c>
      <c r="F52" s="180" t="s">
        <v>183</v>
      </c>
      <c r="G52" s="180" t="s">
        <v>183</v>
      </c>
      <c r="H52" s="108" t="s">
        <v>176</v>
      </c>
      <c r="I52" s="175"/>
      <c r="J52" s="176"/>
      <c r="K52" s="176"/>
      <c r="L52" s="45" t="e">
        <f t="shared" si="0"/>
        <v>#DIV/0!</v>
      </c>
      <c r="M52" s="108"/>
      <c r="N52" s="108"/>
      <c r="O52" s="45" t="e">
        <f t="shared" si="1"/>
        <v>#DIV/0!</v>
      </c>
      <c r="P52" s="108">
        <f t="shared" si="2"/>
        <v>0</v>
      </c>
      <c r="Q52" s="108">
        <f t="shared" si="3"/>
        <v>0</v>
      </c>
      <c r="R52" s="45" t="e">
        <f t="shared" si="4"/>
        <v>#DIV/0!</v>
      </c>
      <c r="S52" s="36"/>
      <c r="T52" s="36"/>
      <c r="U52" s="45" t="e">
        <f t="shared" si="5"/>
        <v>#DIV/0!</v>
      </c>
      <c r="V52" s="36">
        <f t="shared" si="6"/>
        <v>0</v>
      </c>
      <c r="W52" s="36">
        <f t="shared" si="7"/>
        <v>0</v>
      </c>
      <c r="X52" s="45" t="e">
        <f t="shared" si="8"/>
        <v>#DIV/0!</v>
      </c>
      <c r="Y52" s="108"/>
      <c r="Z52" s="108"/>
      <c r="AA52" s="45" t="e">
        <f t="shared" si="9"/>
        <v>#DIV/0!</v>
      </c>
      <c r="AB52" s="108">
        <f t="shared" si="10"/>
        <v>0</v>
      </c>
      <c r="AC52" s="108">
        <f t="shared" si="11"/>
        <v>0</v>
      </c>
      <c r="AD52" s="45" t="e">
        <f t="shared" si="12"/>
        <v>#DIV/0!</v>
      </c>
      <c r="AE52" s="108"/>
      <c r="AF52" s="108"/>
      <c r="AG52" s="45" t="e">
        <f t="shared" si="13"/>
        <v>#DIV/0!</v>
      </c>
      <c r="AH52" s="108">
        <f t="shared" si="14"/>
        <v>0</v>
      </c>
      <c r="AI52" s="108">
        <f t="shared" si="15"/>
        <v>0</v>
      </c>
      <c r="AJ52" s="45" t="e">
        <f t="shared" si="16"/>
        <v>#DIV/0!</v>
      </c>
      <c r="AK52" s="108">
        <v>2594</v>
      </c>
      <c r="AL52" s="108"/>
      <c r="AM52" s="45">
        <f t="shared" si="17"/>
        <v>-1</v>
      </c>
      <c r="AN52" s="108">
        <f t="shared" si="18"/>
        <v>2594</v>
      </c>
      <c r="AO52" s="108">
        <f t="shared" si="19"/>
        <v>0</v>
      </c>
      <c r="AP52" s="45">
        <f t="shared" si="20"/>
        <v>-1</v>
      </c>
      <c r="AQ52" s="108"/>
      <c r="AR52" s="108"/>
      <c r="AS52" s="45" t="e">
        <f t="shared" si="21"/>
        <v>#DIV/0!</v>
      </c>
      <c r="AT52" s="108">
        <f t="shared" si="22"/>
        <v>2594</v>
      </c>
      <c r="AU52" s="108">
        <f t="shared" si="23"/>
        <v>0</v>
      </c>
      <c r="AV52" s="45">
        <f t="shared" si="24"/>
        <v>-1</v>
      </c>
      <c r="AW52" s="36"/>
      <c r="AX52" s="36"/>
      <c r="AY52" s="45" t="e">
        <f t="shared" si="25"/>
        <v>#DIV/0!</v>
      </c>
      <c r="AZ52" s="36">
        <f t="shared" si="26"/>
        <v>2594</v>
      </c>
      <c r="BA52" s="36">
        <f t="shared" si="27"/>
        <v>0</v>
      </c>
      <c r="BB52" s="45">
        <f t="shared" si="28"/>
        <v>-1</v>
      </c>
      <c r="BC52" s="36"/>
      <c r="BD52" s="36"/>
      <c r="BE52" s="45" t="e">
        <f t="shared" si="29"/>
        <v>#DIV/0!</v>
      </c>
      <c r="BF52" s="36">
        <f t="shared" si="30"/>
        <v>2594</v>
      </c>
      <c r="BG52" s="36">
        <f t="shared" si="31"/>
        <v>0</v>
      </c>
      <c r="BH52" s="45">
        <f t="shared" si="32"/>
        <v>-1</v>
      </c>
      <c r="BI52" s="177"/>
      <c r="BJ52" s="177"/>
      <c r="BK52" s="45" t="e">
        <f t="shared" si="38"/>
        <v>#DIV/0!</v>
      </c>
      <c r="BL52" s="177">
        <f t="shared" si="39"/>
        <v>2594</v>
      </c>
      <c r="BM52" s="177">
        <f t="shared" si="40"/>
        <v>0</v>
      </c>
      <c r="BN52" s="45">
        <f t="shared" si="33"/>
        <v>-1</v>
      </c>
      <c r="BO52" s="176"/>
      <c r="BP52" s="108"/>
      <c r="BQ52" s="108">
        <v>2594</v>
      </c>
      <c r="BR52" s="115" t="e">
        <f t="shared" si="41"/>
        <v>#DIV/0!</v>
      </c>
      <c r="BS52" s="108"/>
      <c r="BT52" s="108"/>
    </row>
    <row r="53" spans="1:72">
      <c r="A53" s="110" t="s">
        <v>30</v>
      </c>
      <c r="B53" s="110" t="s">
        <v>30</v>
      </c>
      <c r="C53" s="121" t="s">
        <v>227</v>
      </c>
      <c r="D53" s="108" t="s">
        <v>63</v>
      </c>
      <c r="E53" s="112" t="s">
        <v>63</v>
      </c>
      <c r="F53" s="112" t="s">
        <v>166</v>
      </c>
      <c r="G53" s="112" t="s">
        <v>166</v>
      </c>
      <c r="H53" s="108" t="s">
        <v>167</v>
      </c>
      <c r="I53" s="175"/>
      <c r="J53" s="176"/>
      <c r="K53" s="176"/>
      <c r="L53" s="45" t="e">
        <f t="shared" si="0"/>
        <v>#DIV/0!</v>
      </c>
      <c r="M53" s="108"/>
      <c r="N53" s="108"/>
      <c r="O53" s="45" t="e">
        <f t="shared" si="1"/>
        <v>#DIV/0!</v>
      </c>
      <c r="P53" s="108">
        <f t="shared" si="2"/>
        <v>0</v>
      </c>
      <c r="Q53" s="108">
        <f t="shared" si="3"/>
        <v>0</v>
      </c>
      <c r="R53" s="45" t="e">
        <f t="shared" si="4"/>
        <v>#DIV/0!</v>
      </c>
      <c r="S53" s="36"/>
      <c r="T53" s="36"/>
      <c r="U53" s="45" t="e">
        <f t="shared" si="5"/>
        <v>#DIV/0!</v>
      </c>
      <c r="V53" s="36">
        <f t="shared" si="6"/>
        <v>0</v>
      </c>
      <c r="W53" s="36">
        <f t="shared" si="7"/>
        <v>0</v>
      </c>
      <c r="X53" s="45" t="e">
        <f t="shared" si="8"/>
        <v>#DIV/0!</v>
      </c>
      <c r="Y53" s="108"/>
      <c r="Z53" s="108"/>
      <c r="AA53" s="45" t="e">
        <f t="shared" si="9"/>
        <v>#DIV/0!</v>
      </c>
      <c r="AB53" s="108">
        <f t="shared" si="10"/>
        <v>0</v>
      </c>
      <c r="AC53" s="108">
        <f t="shared" si="11"/>
        <v>0</v>
      </c>
      <c r="AD53" s="45" t="e">
        <f t="shared" si="12"/>
        <v>#DIV/0!</v>
      </c>
      <c r="AE53" s="108"/>
      <c r="AF53" s="108"/>
      <c r="AG53" s="45" t="e">
        <f t="shared" si="13"/>
        <v>#DIV/0!</v>
      </c>
      <c r="AH53" s="108">
        <f t="shared" si="14"/>
        <v>0</v>
      </c>
      <c r="AI53" s="108">
        <f t="shared" si="15"/>
        <v>0</v>
      </c>
      <c r="AJ53" s="45" t="e">
        <f t="shared" si="16"/>
        <v>#DIV/0!</v>
      </c>
      <c r="AK53" s="108"/>
      <c r="AL53" s="108"/>
      <c r="AM53" s="45" t="e">
        <f t="shared" si="17"/>
        <v>#DIV/0!</v>
      </c>
      <c r="AN53" s="108">
        <f t="shared" si="18"/>
        <v>0</v>
      </c>
      <c r="AO53" s="108">
        <f t="shared" si="19"/>
        <v>0</v>
      </c>
      <c r="AP53" s="45" t="e">
        <f t="shared" si="20"/>
        <v>#DIV/0!</v>
      </c>
      <c r="AQ53" s="108">
        <v>4000</v>
      </c>
      <c r="AR53" s="108">
        <v>2104</v>
      </c>
      <c r="AS53" s="45">
        <f t="shared" si="21"/>
        <v>-0.474</v>
      </c>
      <c r="AT53" s="108">
        <f t="shared" si="22"/>
        <v>4000</v>
      </c>
      <c r="AU53" s="108">
        <f t="shared" si="23"/>
        <v>2104</v>
      </c>
      <c r="AV53" s="45">
        <f t="shared" si="24"/>
        <v>-0.474</v>
      </c>
      <c r="AW53" s="36"/>
      <c r="AX53" s="36"/>
      <c r="AY53" s="45" t="e">
        <f t="shared" si="25"/>
        <v>#DIV/0!</v>
      </c>
      <c r="AZ53" s="36">
        <f t="shared" si="26"/>
        <v>4000</v>
      </c>
      <c r="BA53" s="36">
        <f t="shared" si="27"/>
        <v>2104</v>
      </c>
      <c r="BB53" s="45">
        <f t="shared" si="28"/>
        <v>-0.474</v>
      </c>
      <c r="BC53" s="36">
        <v>3082</v>
      </c>
      <c r="BD53" s="36"/>
      <c r="BE53" s="45">
        <f t="shared" si="29"/>
        <v>-1</v>
      </c>
      <c r="BF53" s="36">
        <f t="shared" si="30"/>
        <v>7082</v>
      </c>
      <c r="BG53" s="36">
        <f t="shared" si="31"/>
        <v>2104</v>
      </c>
      <c r="BH53" s="45">
        <f t="shared" si="32"/>
        <v>-0.702908782829709</v>
      </c>
      <c r="BI53" s="177">
        <v>4260</v>
      </c>
      <c r="BJ53" s="177"/>
      <c r="BK53" s="45">
        <f t="shared" si="38"/>
        <v>-1</v>
      </c>
      <c r="BL53" s="177">
        <f t="shared" si="39"/>
        <v>11342</v>
      </c>
      <c r="BM53" s="177">
        <f t="shared" si="40"/>
        <v>2104</v>
      </c>
      <c r="BN53" s="45">
        <f t="shared" si="33"/>
        <v>-0.814494798095574</v>
      </c>
      <c r="BO53" s="176"/>
      <c r="BP53" s="108"/>
      <c r="BQ53" s="108">
        <v>11342</v>
      </c>
      <c r="BR53" s="115" t="e">
        <f t="shared" si="41"/>
        <v>#DIV/0!</v>
      </c>
      <c r="BS53" s="108"/>
      <c r="BT53" s="108"/>
    </row>
    <row r="54" spans="1:72">
      <c r="A54" s="110" t="s">
        <v>30</v>
      </c>
      <c r="B54" s="110" t="s">
        <v>30</v>
      </c>
      <c r="C54" s="121" t="s">
        <v>228</v>
      </c>
      <c r="D54" s="108" t="s">
        <v>63</v>
      </c>
      <c r="E54" s="112" t="s">
        <v>63</v>
      </c>
      <c r="F54" s="112" t="s">
        <v>166</v>
      </c>
      <c r="G54" s="112" t="s">
        <v>166</v>
      </c>
      <c r="H54" s="108" t="s">
        <v>167</v>
      </c>
      <c r="I54" s="175"/>
      <c r="J54" s="176"/>
      <c r="K54" s="176"/>
      <c r="L54" s="45" t="e">
        <f t="shared" si="0"/>
        <v>#DIV/0!</v>
      </c>
      <c r="M54" s="108"/>
      <c r="N54" s="108">
        <v>2644</v>
      </c>
      <c r="O54" s="45" t="e">
        <f t="shared" si="1"/>
        <v>#DIV/0!</v>
      </c>
      <c r="P54" s="108">
        <f t="shared" si="2"/>
        <v>0</v>
      </c>
      <c r="Q54" s="108">
        <f t="shared" si="3"/>
        <v>2644</v>
      </c>
      <c r="R54" s="45" t="e">
        <f t="shared" si="4"/>
        <v>#DIV/0!</v>
      </c>
      <c r="S54" s="36"/>
      <c r="T54" s="36"/>
      <c r="U54" s="45" t="e">
        <f t="shared" si="5"/>
        <v>#DIV/0!</v>
      </c>
      <c r="V54" s="36">
        <f t="shared" si="6"/>
        <v>0</v>
      </c>
      <c r="W54" s="36">
        <f t="shared" si="7"/>
        <v>2644</v>
      </c>
      <c r="X54" s="45" t="e">
        <f t="shared" si="8"/>
        <v>#DIV/0!</v>
      </c>
      <c r="Y54" s="108"/>
      <c r="Z54" s="108"/>
      <c r="AA54" s="45" t="e">
        <f t="shared" si="9"/>
        <v>#DIV/0!</v>
      </c>
      <c r="AB54" s="108">
        <f t="shared" si="10"/>
        <v>0</v>
      </c>
      <c r="AC54" s="108">
        <f t="shared" si="11"/>
        <v>2644</v>
      </c>
      <c r="AD54" s="45" t="e">
        <f t="shared" si="12"/>
        <v>#DIV/0!</v>
      </c>
      <c r="AE54" s="108"/>
      <c r="AF54" s="108"/>
      <c r="AG54" s="45" t="e">
        <f t="shared" si="13"/>
        <v>#DIV/0!</v>
      </c>
      <c r="AH54" s="108">
        <f t="shared" si="14"/>
        <v>0</v>
      </c>
      <c r="AI54" s="108">
        <f t="shared" si="15"/>
        <v>2644</v>
      </c>
      <c r="AJ54" s="45" t="e">
        <f t="shared" si="16"/>
        <v>#DIV/0!</v>
      </c>
      <c r="AK54" s="108"/>
      <c r="AL54" s="108"/>
      <c r="AM54" s="45" t="e">
        <f t="shared" si="17"/>
        <v>#DIV/0!</v>
      </c>
      <c r="AN54" s="108">
        <f t="shared" si="18"/>
        <v>0</v>
      </c>
      <c r="AO54" s="108">
        <f t="shared" si="19"/>
        <v>2644</v>
      </c>
      <c r="AP54" s="45" t="e">
        <f t="shared" si="20"/>
        <v>#DIV/0!</v>
      </c>
      <c r="AQ54" s="108">
        <v>18000</v>
      </c>
      <c r="AR54" s="108">
        <v>2200</v>
      </c>
      <c r="AS54" s="45">
        <f t="shared" si="21"/>
        <v>-0.877777777777778</v>
      </c>
      <c r="AT54" s="108">
        <f t="shared" si="22"/>
        <v>18000</v>
      </c>
      <c r="AU54" s="108">
        <f t="shared" si="23"/>
        <v>4844</v>
      </c>
      <c r="AV54" s="45">
        <f t="shared" si="24"/>
        <v>-0.730888888888889</v>
      </c>
      <c r="AW54" s="36"/>
      <c r="AX54" s="36">
        <v>5610</v>
      </c>
      <c r="AY54" s="45" t="e">
        <f t="shared" si="25"/>
        <v>#DIV/0!</v>
      </c>
      <c r="AZ54" s="36">
        <f t="shared" si="26"/>
        <v>18000</v>
      </c>
      <c r="BA54" s="36">
        <f t="shared" si="27"/>
        <v>10454</v>
      </c>
      <c r="BB54" s="45">
        <f t="shared" si="28"/>
        <v>-0.419222222222222</v>
      </c>
      <c r="BC54" s="36">
        <v>20000</v>
      </c>
      <c r="BD54" s="36">
        <v>5988</v>
      </c>
      <c r="BE54" s="45">
        <f t="shared" si="29"/>
        <v>-0.7006</v>
      </c>
      <c r="BF54" s="36">
        <f t="shared" si="30"/>
        <v>38000</v>
      </c>
      <c r="BG54" s="36">
        <f t="shared" si="31"/>
        <v>16442</v>
      </c>
      <c r="BH54" s="45">
        <f t="shared" si="32"/>
        <v>-0.567315789473684</v>
      </c>
      <c r="BI54" s="177">
        <v>7925</v>
      </c>
      <c r="BJ54" s="177"/>
      <c r="BK54" s="45">
        <f t="shared" si="38"/>
        <v>-1</v>
      </c>
      <c r="BL54" s="177">
        <f t="shared" si="39"/>
        <v>45925</v>
      </c>
      <c r="BM54" s="177">
        <f t="shared" si="40"/>
        <v>16442</v>
      </c>
      <c r="BN54" s="45">
        <f t="shared" si="33"/>
        <v>-0.64198149156233</v>
      </c>
      <c r="BO54" s="176">
        <v>2644</v>
      </c>
      <c r="BP54" s="108">
        <v>2644</v>
      </c>
      <c r="BQ54" s="108">
        <v>51213</v>
      </c>
      <c r="BR54" s="115" t="e">
        <f t="shared" si="41"/>
        <v>#DIV/0!</v>
      </c>
      <c r="BS54" s="108"/>
      <c r="BT54" s="108"/>
    </row>
    <row r="55" spans="1:72">
      <c r="A55" s="110" t="s">
        <v>30</v>
      </c>
      <c r="B55" s="110" t="s">
        <v>30</v>
      </c>
      <c r="C55" s="121" t="s">
        <v>229</v>
      </c>
      <c r="D55" s="180" t="s">
        <v>104</v>
      </c>
      <c r="E55" s="112" t="s">
        <v>104</v>
      </c>
      <c r="F55" s="112" t="s">
        <v>170</v>
      </c>
      <c r="G55" s="180"/>
      <c r="H55" s="112" t="s">
        <v>172</v>
      </c>
      <c r="I55" s="175"/>
      <c r="J55" s="176"/>
      <c r="K55" s="176">
        <v>10328</v>
      </c>
      <c r="L55" s="45" t="e">
        <f t="shared" si="0"/>
        <v>#DIV/0!</v>
      </c>
      <c r="M55" s="108"/>
      <c r="N55" s="108"/>
      <c r="O55" s="45" t="e">
        <f t="shared" si="1"/>
        <v>#DIV/0!</v>
      </c>
      <c r="P55" s="108">
        <f t="shared" si="2"/>
        <v>0</v>
      </c>
      <c r="Q55" s="108">
        <f t="shared" si="3"/>
        <v>10328</v>
      </c>
      <c r="R55" s="45" t="e">
        <f t="shared" si="4"/>
        <v>#DIV/0!</v>
      </c>
      <c r="S55" s="36"/>
      <c r="T55" s="36">
        <v>-1000</v>
      </c>
      <c r="U55" s="45" t="e">
        <f t="shared" si="5"/>
        <v>#DIV/0!</v>
      </c>
      <c r="V55" s="36">
        <f t="shared" si="6"/>
        <v>0</v>
      </c>
      <c r="W55" s="36">
        <f t="shared" si="7"/>
        <v>9328</v>
      </c>
      <c r="X55" s="45" t="e">
        <f t="shared" si="8"/>
        <v>#DIV/0!</v>
      </c>
      <c r="Y55" s="108"/>
      <c r="Z55" s="108"/>
      <c r="AA55" s="45" t="e">
        <f t="shared" si="9"/>
        <v>#DIV/0!</v>
      </c>
      <c r="AB55" s="108">
        <f t="shared" si="10"/>
        <v>0</v>
      </c>
      <c r="AC55" s="108">
        <f t="shared" si="11"/>
        <v>9328</v>
      </c>
      <c r="AD55" s="45" t="e">
        <f t="shared" si="12"/>
        <v>#DIV/0!</v>
      </c>
      <c r="AE55" s="108"/>
      <c r="AF55" s="108"/>
      <c r="AG55" s="45" t="e">
        <f t="shared" si="13"/>
        <v>#DIV/0!</v>
      </c>
      <c r="AH55" s="108">
        <f t="shared" si="14"/>
        <v>0</v>
      </c>
      <c r="AI55" s="108">
        <f t="shared" si="15"/>
        <v>9328</v>
      </c>
      <c r="AJ55" s="45" t="e">
        <f t="shared" si="16"/>
        <v>#DIV/0!</v>
      </c>
      <c r="AK55" s="108"/>
      <c r="AL55" s="108"/>
      <c r="AM55" s="45" t="e">
        <f t="shared" si="17"/>
        <v>#DIV/0!</v>
      </c>
      <c r="AN55" s="108">
        <f t="shared" si="18"/>
        <v>0</v>
      </c>
      <c r="AO55" s="108">
        <f t="shared" si="19"/>
        <v>9328</v>
      </c>
      <c r="AP55" s="45" t="e">
        <f t="shared" si="20"/>
        <v>#DIV/0!</v>
      </c>
      <c r="AQ55" s="108">
        <v>3868</v>
      </c>
      <c r="AR55" s="108">
        <v>4092</v>
      </c>
      <c r="AS55" s="45">
        <f t="shared" si="21"/>
        <v>0.0579110651499484</v>
      </c>
      <c r="AT55" s="108">
        <f t="shared" si="22"/>
        <v>3868</v>
      </c>
      <c r="AU55" s="108">
        <f t="shared" si="23"/>
        <v>13420</v>
      </c>
      <c r="AV55" s="45">
        <f t="shared" si="24"/>
        <v>2.46949327817994</v>
      </c>
      <c r="AW55" s="36"/>
      <c r="AX55" s="36">
        <v>8474</v>
      </c>
      <c r="AY55" s="45" t="e">
        <f t="shared" si="25"/>
        <v>#DIV/0!</v>
      </c>
      <c r="AZ55" s="36">
        <f t="shared" si="26"/>
        <v>3868</v>
      </c>
      <c r="BA55" s="36">
        <f t="shared" si="27"/>
        <v>21894</v>
      </c>
      <c r="BB55" s="45">
        <f t="shared" si="28"/>
        <v>4.66028955532575</v>
      </c>
      <c r="BC55" s="36"/>
      <c r="BD55" s="36">
        <v>9808</v>
      </c>
      <c r="BE55" s="45" t="e">
        <f t="shared" si="29"/>
        <v>#DIV/0!</v>
      </c>
      <c r="BF55" s="36">
        <f t="shared" si="30"/>
        <v>3868</v>
      </c>
      <c r="BG55" s="36">
        <f t="shared" si="31"/>
        <v>31702</v>
      </c>
      <c r="BH55" s="45">
        <f t="shared" si="32"/>
        <v>7.19596690796277</v>
      </c>
      <c r="BI55" s="177"/>
      <c r="BJ55" s="177"/>
      <c r="BK55" s="45" t="e">
        <f t="shared" si="38"/>
        <v>#DIV/0!</v>
      </c>
      <c r="BL55" s="177">
        <f t="shared" si="39"/>
        <v>3868</v>
      </c>
      <c r="BM55" s="177">
        <f t="shared" si="40"/>
        <v>31702</v>
      </c>
      <c r="BN55" s="45">
        <f t="shared" si="33"/>
        <v>7.19596690796277</v>
      </c>
      <c r="BO55" s="176"/>
      <c r="BP55" s="108"/>
      <c r="BQ55" s="108">
        <v>3868</v>
      </c>
      <c r="BR55" s="115" t="e">
        <f t="shared" si="41"/>
        <v>#DIV/0!</v>
      </c>
      <c r="BS55" s="108"/>
      <c r="BT55" s="108"/>
    </row>
    <row r="56" spans="1:72">
      <c r="A56" s="110" t="s">
        <v>30</v>
      </c>
      <c r="B56" s="110" t="s">
        <v>30</v>
      </c>
      <c r="C56" s="121" t="s">
        <v>230</v>
      </c>
      <c r="D56" s="108" t="s">
        <v>63</v>
      </c>
      <c r="E56" s="112" t="s">
        <v>63</v>
      </c>
      <c r="F56" s="112" t="s">
        <v>185</v>
      </c>
      <c r="G56" s="112" t="s">
        <v>185</v>
      </c>
      <c r="H56" s="108" t="s">
        <v>176</v>
      </c>
      <c r="I56" s="175"/>
      <c r="J56" s="176"/>
      <c r="K56" s="176"/>
      <c r="L56" s="45" t="e">
        <f t="shared" si="0"/>
        <v>#DIV/0!</v>
      </c>
      <c r="M56" s="108"/>
      <c r="N56" s="108"/>
      <c r="O56" s="45" t="e">
        <f t="shared" si="1"/>
        <v>#DIV/0!</v>
      </c>
      <c r="P56" s="108">
        <f t="shared" si="2"/>
        <v>0</v>
      </c>
      <c r="Q56" s="108">
        <f t="shared" si="3"/>
        <v>0</v>
      </c>
      <c r="R56" s="45" t="e">
        <f t="shared" si="4"/>
        <v>#DIV/0!</v>
      </c>
      <c r="S56" s="36"/>
      <c r="T56" s="36"/>
      <c r="U56" s="45" t="e">
        <f t="shared" si="5"/>
        <v>#DIV/0!</v>
      </c>
      <c r="V56" s="36">
        <f t="shared" si="6"/>
        <v>0</v>
      </c>
      <c r="W56" s="36">
        <f t="shared" si="7"/>
        <v>0</v>
      </c>
      <c r="X56" s="45" t="e">
        <f t="shared" si="8"/>
        <v>#DIV/0!</v>
      </c>
      <c r="Y56" s="108"/>
      <c r="Z56" s="108"/>
      <c r="AA56" s="45" t="e">
        <f t="shared" si="9"/>
        <v>#DIV/0!</v>
      </c>
      <c r="AB56" s="108">
        <f t="shared" si="10"/>
        <v>0</v>
      </c>
      <c r="AC56" s="108">
        <f t="shared" si="11"/>
        <v>0</v>
      </c>
      <c r="AD56" s="45" t="e">
        <f t="shared" si="12"/>
        <v>#DIV/0!</v>
      </c>
      <c r="AE56" s="108"/>
      <c r="AF56" s="108"/>
      <c r="AG56" s="45" t="e">
        <f t="shared" si="13"/>
        <v>#DIV/0!</v>
      </c>
      <c r="AH56" s="108">
        <f t="shared" si="14"/>
        <v>0</v>
      </c>
      <c r="AI56" s="108">
        <f t="shared" si="15"/>
        <v>0</v>
      </c>
      <c r="AJ56" s="45" t="e">
        <f t="shared" si="16"/>
        <v>#DIV/0!</v>
      </c>
      <c r="AK56" s="108"/>
      <c r="AL56" s="108"/>
      <c r="AM56" s="45" t="e">
        <f t="shared" si="17"/>
        <v>#DIV/0!</v>
      </c>
      <c r="AN56" s="108">
        <f t="shared" si="18"/>
        <v>0</v>
      </c>
      <c r="AO56" s="108">
        <f t="shared" si="19"/>
        <v>0</v>
      </c>
      <c r="AP56" s="45" t="e">
        <f t="shared" si="20"/>
        <v>#DIV/0!</v>
      </c>
      <c r="AQ56" s="108">
        <v>2549</v>
      </c>
      <c r="AR56" s="108"/>
      <c r="AS56" s="45">
        <f t="shared" si="21"/>
        <v>-1</v>
      </c>
      <c r="AT56" s="108">
        <f t="shared" si="22"/>
        <v>2549</v>
      </c>
      <c r="AU56" s="108">
        <f t="shared" si="23"/>
        <v>0</v>
      </c>
      <c r="AV56" s="45">
        <f t="shared" si="24"/>
        <v>-1</v>
      </c>
      <c r="AW56" s="36"/>
      <c r="AX56" s="36"/>
      <c r="AY56" s="45" t="e">
        <f t="shared" si="25"/>
        <v>#DIV/0!</v>
      </c>
      <c r="AZ56" s="36">
        <f t="shared" si="26"/>
        <v>2549</v>
      </c>
      <c r="BA56" s="36">
        <f t="shared" si="27"/>
        <v>0</v>
      </c>
      <c r="BB56" s="45">
        <f t="shared" si="28"/>
        <v>-1</v>
      </c>
      <c r="BC56" s="36"/>
      <c r="BD56" s="36"/>
      <c r="BE56" s="45" t="e">
        <f t="shared" si="29"/>
        <v>#DIV/0!</v>
      </c>
      <c r="BF56" s="36">
        <f t="shared" si="30"/>
        <v>2549</v>
      </c>
      <c r="BG56" s="36">
        <f t="shared" si="31"/>
        <v>0</v>
      </c>
      <c r="BH56" s="45">
        <f t="shared" si="32"/>
        <v>-1</v>
      </c>
      <c r="BI56" s="177"/>
      <c r="BJ56" s="177"/>
      <c r="BK56" s="45" t="e">
        <f t="shared" si="38"/>
        <v>#DIV/0!</v>
      </c>
      <c r="BL56" s="177">
        <f t="shared" si="39"/>
        <v>2549</v>
      </c>
      <c r="BM56" s="177">
        <f t="shared" si="40"/>
        <v>0</v>
      </c>
      <c r="BN56" s="45">
        <f t="shared" si="33"/>
        <v>-1</v>
      </c>
      <c r="BO56" s="176"/>
      <c r="BP56" s="108"/>
      <c r="BQ56" s="108">
        <v>2549</v>
      </c>
      <c r="BR56" s="115" t="e">
        <f t="shared" si="41"/>
        <v>#DIV/0!</v>
      </c>
      <c r="BS56" s="108"/>
      <c r="BT56" s="108"/>
    </row>
    <row r="57" spans="1:72">
      <c r="A57" s="110" t="s">
        <v>30</v>
      </c>
      <c r="B57" s="110" t="s">
        <v>30</v>
      </c>
      <c r="C57" s="121" t="s">
        <v>121</v>
      </c>
      <c r="D57" s="108" t="s">
        <v>63</v>
      </c>
      <c r="E57" s="112" t="s">
        <v>63</v>
      </c>
      <c r="F57" s="112" t="s">
        <v>170</v>
      </c>
      <c r="G57" s="112" t="s">
        <v>170</v>
      </c>
      <c r="H57" s="108" t="s">
        <v>176</v>
      </c>
      <c r="I57" s="175"/>
      <c r="J57" s="176"/>
      <c r="K57" s="176">
        <v>5704</v>
      </c>
      <c r="L57" s="45" t="e">
        <f t="shared" si="0"/>
        <v>#DIV/0!</v>
      </c>
      <c r="M57" s="108"/>
      <c r="N57" s="108"/>
      <c r="O57" s="45" t="e">
        <f t="shared" si="1"/>
        <v>#DIV/0!</v>
      </c>
      <c r="P57" s="108">
        <f t="shared" si="2"/>
        <v>0</v>
      </c>
      <c r="Q57" s="108">
        <f t="shared" si="3"/>
        <v>5704</v>
      </c>
      <c r="R57" s="45" t="e">
        <f t="shared" si="4"/>
        <v>#DIV/0!</v>
      </c>
      <c r="S57" s="36"/>
      <c r="T57" s="36"/>
      <c r="U57" s="45" t="e">
        <f t="shared" si="5"/>
        <v>#DIV/0!</v>
      </c>
      <c r="V57" s="36">
        <f t="shared" si="6"/>
        <v>0</v>
      </c>
      <c r="W57" s="36">
        <f t="shared" si="7"/>
        <v>5704</v>
      </c>
      <c r="X57" s="45" t="e">
        <f t="shared" si="8"/>
        <v>#DIV/0!</v>
      </c>
      <c r="Y57" s="108"/>
      <c r="Z57" s="108"/>
      <c r="AA57" s="45" t="e">
        <f t="shared" si="9"/>
        <v>#DIV/0!</v>
      </c>
      <c r="AB57" s="108">
        <f t="shared" si="10"/>
        <v>0</v>
      </c>
      <c r="AC57" s="108">
        <f t="shared" si="11"/>
        <v>5704</v>
      </c>
      <c r="AD57" s="45" t="e">
        <f t="shared" si="12"/>
        <v>#DIV/0!</v>
      </c>
      <c r="AE57" s="108"/>
      <c r="AF57" s="108"/>
      <c r="AG57" s="45" t="e">
        <f t="shared" si="13"/>
        <v>#DIV/0!</v>
      </c>
      <c r="AH57" s="108">
        <f t="shared" si="14"/>
        <v>0</v>
      </c>
      <c r="AI57" s="108">
        <f t="shared" si="15"/>
        <v>5704</v>
      </c>
      <c r="AJ57" s="45" t="e">
        <f t="shared" si="16"/>
        <v>#DIV/0!</v>
      </c>
      <c r="AK57" s="108"/>
      <c r="AL57" s="108"/>
      <c r="AM57" s="45" t="e">
        <f t="shared" si="17"/>
        <v>#DIV/0!</v>
      </c>
      <c r="AN57" s="108">
        <f t="shared" si="18"/>
        <v>0</v>
      </c>
      <c r="AO57" s="108">
        <f t="shared" si="19"/>
        <v>5704</v>
      </c>
      <c r="AP57" s="45" t="e">
        <f t="shared" si="20"/>
        <v>#DIV/0!</v>
      </c>
      <c r="AQ57" s="108"/>
      <c r="AR57" s="108"/>
      <c r="AS57" s="45" t="e">
        <f t="shared" si="21"/>
        <v>#DIV/0!</v>
      </c>
      <c r="AT57" s="108">
        <f t="shared" si="22"/>
        <v>0</v>
      </c>
      <c r="AU57" s="108">
        <f t="shared" si="23"/>
        <v>5704</v>
      </c>
      <c r="AV57" s="45" t="e">
        <f t="shared" si="24"/>
        <v>#DIV/0!</v>
      </c>
      <c r="AW57" s="36">
        <v>2203.4</v>
      </c>
      <c r="AX57" s="36"/>
      <c r="AY57" s="45">
        <f t="shared" si="25"/>
        <v>-1</v>
      </c>
      <c r="AZ57" s="36">
        <f t="shared" si="26"/>
        <v>2203.4</v>
      </c>
      <c r="BA57" s="36">
        <f t="shared" si="27"/>
        <v>5704</v>
      </c>
      <c r="BB57" s="45">
        <f t="shared" si="28"/>
        <v>1.58872651356994</v>
      </c>
      <c r="BC57" s="36"/>
      <c r="BD57" s="36">
        <v>657.8</v>
      </c>
      <c r="BE57" s="45" t="e">
        <f t="shared" si="29"/>
        <v>#DIV/0!</v>
      </c>
      <c r="BF57" s="36">
        <f t="shared" si="30"/>
        <v>2203.4</v>
      </c>
      <c r="BG57" s="36">
        <f t="shared" si="31"/>
        <v>6361.8</v>
      </c>
      <c r="BH57" s="45">
        <f t="shared" si="32"/>
        <v>1.88726513569937</v>
      </c>
      <c r="BI57" s="177">
        <v>5772.08</v>
      </c>
      <c r="BJ57" s="177"/>
      <c r="BK57" s="45">
        <f t="shared" si="38"/>
        <v>-1</v>
      </c>
      <c r="BL57" s="177">
        <f t="shared" si="39"/>
        <v>7975.48</v>
      </c>
      <c r="BM57" s="177">
        <f t="shared" si="40"/>
        <v>6361.8</v>
      </c>
      <c r="BN57" s="45">
        <f t="shared" si="33"/>
        <v>-0.202330141884877</v>
      </c>
      <c r="BO57" s="176"/>
      <c r="BP57" s="108">
        <v>2058.96</v>
      </c>
      <c r="BQ57" s="108">
        <v>10034.44</v>
      </c>
      <c r="BR57" s="115" t="e">
        <f t="shared" si="41"/>
        <v>#DIV/0!</v>
      </c>
      <c r="BS57" s="108"/>
      <c r="BT57" s="108"/>
    </row>
    <row r="58" spans="1:72">
      <c r="A58" s="110" t="s">
        <v>30</v>
      </c>
      <c r="B58" s="110" t="s">
        <v>30</v>
      </c>
      <c r="C58" s="121" t="s">
        <v>231</v>
      </c>
      <c r="D58" s="108" t="s">
        <v>63</v>
      </c>
      <c r="E58" s="112" t="s">
        <v>63</v>
      </c>
      <c r="F58" s="266" t="s">
        <v>185</v>
      </c>
      <c r="G58" s="266" t="s">
        <v>185</v>
      </c>
      <c r="H58" s="108" t="s">
        <v>176</v>
      </c>
      <c r="I58" s="175">
        <v>30</v>
      </c>
      <c r="J58" s="176"/>
      <c r="K58" s="176">
        <v>29664</v>
      </c>
      <c r="L58" s="45" t="e">
        <f t="shared" si="0"/>
        <v>#DIV/0!</v>
      </c>
      <c r="M58" s="108"/>
      <c r="N58" s="108">
        <v>19159</v>
      </c>
      <c r="O58" s="45" t="e">
        <f t="shared" si="1"/>
        <v>#DIV/0!</v>
      </c>
      <c r="P58" s="108">
        <f t="shared" si="2"/>
        <v>0</v>
      </c>
      <c r="Q58" s="108">
        <f t="shared" si="3"/>
        <v>48823</v>
      </c>
      <c r="R58" s="45" t="e">
        <f t="shared" si="4"/>
        <v>#DIV/0!</v>
      </c>
      <c r="S58" s="36"/>
      <c r="T58" s="36">
        <v>1887</v>
      </c>
      <c r="U58" s="45" t="e">
        <f t="shared" si="5"/>
        <v>#DIV/0!</v>
      </c>
      <c r="V58" s="36">
        <f t="shared" si="6"/>
        <v>0</v>
      </c>
      <c r="W58" s="36">
        <f t="shared" si="7"/>
        <v>50710</v>
      </c>
      <c r="X58" s="45" t="e">
        <f t="shared" si="8"/>
        <v>#DIV/0!</v>
      </c>
      <c r="Y58" s="108"/>
      <c r="Z58" s="108">
        <v>9073</v>
      </c>
      <c r="AA58" s="45" t="e">
        <f t="shared" si="9"/>
        <v>#DIV/0!</v>
      </c>
      <c r="AB58" s="108">
        <f t="shared" si="10"/>
        <v>0</v>
      </c>
      <c r="AC58" s="108">
        <f t="shared" si="11"/>
        <v>59783</v>
      </c>
      <c r="AD58" s="45" t="e">
        <f t="shared" si="12"/>
        <v>#DIV/0!</v>
      </c>
      <c r="AE58" s="108"/>
      <c r="AF58" s="108">
        <v>25484</v>
      </c>
      <c r="AG58" s="45" t="e">
        <f t="shared" si="13"/>
        <v>#DIV/0!</v>
      </c>
      <c r="AH58" s="108">
        <f t="shared" si="14"/>
        <v>0</v>
      </c>
      <c r="AI58" s="108">
        <f t="shared" si="15"/>
        <v>85267</v>
      </c>
      <c r="AJ58" s="45" t="e">
        <f t="shared" si="16"/>
        <v>#DIV/0!</v>
      </c>
      <c r="AK58" s="108"/>
      <c r="AL58" s="108">
        <v>6200</v>
      </c>
      <c r="AM58" s="45" t="e">
        <f t="shared" si="17"/>
        <v>#DIV/0!</v>
      </c>
      <c r="AN58" s="108">
        <f t="shared" si="18"/>
        <v>0</v>
      </c>
      <c r="AO58" s="108">
        <f t="shared" si="19"/>
        <v>91467</v>
      </c>
      <c r="AP58" s="45" t="e">
        <f t="shared" si="20"/>
        <v>#DIV/0!</v>
      </c>
      <c r="AQ58" s="108"/>
      <c r="AR58" s="108">
        <v>19429</v>
      </c>
      <c r="AS58" s="45" t="e">
        <f t="shared" si="21"/>
        <v>#DIV/0!</v>
      </c>
      <c r="AT58" s="108">
        <f t="shared" si="22"/>
        <v>0</v>
      </c>
      <c r="AU58" s="108">
        <f t="shared" si="23"/>
        <v>110896</v>
      </c>
      <c r="AV58" s="45" t="e">
        <f t="shared" si="24"/>
        <v>#DIV/0!</v>
      </c>
      <c r="AW58" s="36"/>
      <c r="AX58" s="36">
        <v>28500</v>
      </c>
      <c r="AY58" s="45" t="e">
        <f t="shared" si="25"/>
        <v>#DIV/0!</v>
      </c>
      <c r="AZ58" s="36">
        <f t="shared" si="26"/>
        <v>0</v>
      </c>
      <c r="BA58" s="36">
        <f t="shared" si="27"/>
        <v>139396</v>
      </c>
      <c r="BB58" s="45" t="e">
        <f t="shared" si="28"/>
        <v>#DIV/0!</v>
      </c>
      <c r="BC58" s="36">
        <v>5629</v>
      </c>
      <c r="BD58" s="36">
        <v>34226</v>
      </c>
      <c r="BE58" s="45">
        <f t="shared" si="29"/>
        <v>5.0802984544324</v>
      </c>
      <c r="BF58" s="36">
        <f t="shared" si="30"/>
        <v>5629</v>
      </c>
      <c r="BG58" s="36">
        <f t="shared" si="31"/>
        <v>173622</v>
      </c>
      <c r="BH58" s="45">
        <f t="shared" si="32"/>
        <v>29.8441996802274</v>
      </c>
      <c r="BI58" s="177">
        <v>24130</v>
      </c>
      <c r="BJ58" s="177">
        <v>17670</v>
      </c>
      <c r="BK58" s="45">
        <f t="shared" si="38"/>
        <v>-0.267716535433071</v>
      </c>
      <c r="BL58" s="177">
        <f t="shared" si="39"/>
        <v>29759</v>
      </c>
      <c r="BM58" s="177">
        <f t="shared" si="40"/>
        <v>191292</v>
      </c>
      <c r="BN58" s="45">
        <f t="shared" si="33"/>
        <v>5.42803857656507</v>
      </c>
      <c r="BO58" s="176">
        <v>38318</v>
      </c>
      <c r="BP58" s="108">
        <v>30121</v>
      </c>
      <c r="BQ58" s="108">
        <v>98198</v>
      </c>
      <c r="BR58" s="115">
        <f t="shared" si="41"/>
        <v>0.63764</v>
      </c>
      <c r="BS58" s="108"/>
      <c r="BT58" s="108"/>
    </row>
    <row r="59" spans="1:72">
      <c r="A59" s="110" t="s">
        <v>30</v>
      </c>
      <c r="B59" s="110" t="s">
        <v>30</v>
      </c>
      <c r="C59" s="121" t="s">
        <v>232</v>
      </c>
      <c r="D59" s="108" t="s">
        <v>63</v>
      </c>
      <c r="E59" s="112" t="s">
        <v>63</v>
      </c>
      <c r="F59" s="112" t="s">
        <v>166</v>
      </c>
      <c r="G59" s="112" t="s">
        <v>166</v>
      </c>
      <c r="H59" s="108" t="s">
        <v>167</v>
      </c>
      <c r="I59" s="175"/>
      <c r="J59" s="176"/>
      <c r="K59" s="176">
        <v>2992</v>
      </c>
      <c r="L59" s="45" t="e">
        <f t="shared" si="0"/>
        <v>#DIV/0!</v>
      </c>
      <c r="M59" s="108"/>
      <c r="N59" s="108"/>
      <c r="O59" s="45" t="e">
        <f t="shared" si="1"/>
        <v>#DIV/0!</v>
      </c>
      <c r="P59" s="108">
        <f t="shared" si="2"/>
        <v>0</v>
      </c>
      <c r="Q59" s="108">
        <f t="shared" si="3"/>
        <v>2992</v>
      </c>
      <c r="R59" s="45" t="e">
        <f t="shared" si="4"/>
        <v>#DIV/0!</v>
      </c>
      <c r="S59" s="36"/>
      <c r="T59" s="36">
        <v>2104</v>
      </c>
      <c r="U59" s="45" t="e">
        <f t="shared" si="5"/>
        <v>#DIV/0!</v>
      </c>
      <c r="V59" s="36">
        <f t="shared" si="6"/>
        <v>0</v>
      </c>
      <c r="W59" s="36">
        <f t="shared" si="7"/>
        <v>5096</v>
      </c>
      <c r="X59" s="45" t="e">
        <f t="shared" si="8"/>
        <v>#DIV/0!</v>
      </c>
      <c r="Y59" s="108"/>
      <c r="Z59" s="108"/>
      <c r="AA59" s="45" t="e">
        <f t="shared" si="9"/>
        <v>#DIV/0!</v>
      </c>
      <c r="AB59" s="108">
        <f t="shared" si="10"/>
        <v>0</v>
      </c>
      <c r="AC59" s="108">
        <f t="shared" si="11"/>
        <v>5096</v>
      </c>
      <c r="AD59" s="45" t="e">
        <f t="shared" si="12"/>
        <v>#DIV/0!</v>
      </c>
      <c r="AE59" s="108"/>
      <c r="AF59" s="108"/>
      <c r="AG59" s="45" t="e">
        <f t="shared" si="13"/>
        <v>#DIV/0!</v>
      </c>
      <c r="AH59" s="108">
        <f t="shared" si="14"/>
        <v>0</v>
      </c>
      <c r="AI59" s="108">
        <f t="shared" si="15"/>
        <v>5096</v>
      </c>
      <c r="AJ59" s="45" t="e">
        <f t="shared" si="16"/>
        <v>#DIV/0!</v>
      </c>
      <c r="AK59" s="108"/>
      <c r="AL59" s="108">
        <v>4347</v>
      </c>
      <c r="AM59" s="45" t="e">
        <f t="shared" si="17"/>
        <v>#DIV/0!</v>
      </c>
      <c r="AN59" s="108">
        <f t="shared" si="18"/>
        <v>0</v>
      </c>
      <c r="AO59" s="108">
        <f t="shared" si="19"/>
        <v>9443</v>
      </c>
      <c r="AP59" s="45" t="e">
        <f t="shared" si="20"/>
        <v>#DIV/0!</v>
      </c>
      <c r="AQ59" s="108"/>
      <c r="AR59" s="108">
        <v>5929</v>
      </c>
      <c r="AS59" s="45" t="e">
        <f t="shared" si="21"/>
        <v>#DIV/0!</v>
      </c>
      <c r="AT59" s="108">
        <f t="shared" si="22"/>
        <v>0</v>
      </c>
      <c r="AU59" s="108">
        <f t="shared" si="23"/>
        <v>15372</v>
      </c>
      <c r="AV59" s="45" t="e">
        <f t="shared" si="24"/>
        <v>#DIV/0!</v>
      </c>
      <c r="AW59" s="36"/>
      <c r="AX59" s="36"/>
      <c r="AY59" s="45" t="e">
        <f t="shared" si="25"/>
        <v>#DIV/0!</v>
      </c>
      <c r="AZ59" s="36">
        <f t="shared" si="26"/>
        <v>0</v>
      </c>
      <c r="BA59" s="36">
        <f t="shared" si="27"/>
        <v>15372</v>
      </c>
      <c r="BB59" s="45" t="e">
        <f t="shared" si="28"/>
        <v>#DIV/0!</v>
      </c>
      <c r="BC59" s="36"/>
      <c r="BD59" s="36">
        <v>3141</v>
      </c>
      <c r="BE59" s="45" t="e">
        <f t="shared" si="29"/>
        <v>#DIV/0!</v>
      </c>
      <c r="BF59" s="36">
        <f t="shared" si="30"/>
        <v>0</v>
      </c>
      <c r="BG59" s="36">
        <f t="shared" si="31"/>
        <v>18513</v>
      </c>
      <c r="BH59" s="45" t="e">
        <f t="shared" si="32"/>
        <v>#DIV/0!</v>
      </c>
      <c r="BI59" s="177">
        <v>8743</v>
      </c>
      <c r="BJ59" s="177"/>
      <c r="BK59" s="45">
        <f t="shared" si="38"/>
        <v>-1</v>
      </c>
      <c r="BL59" s="177">
        <f t="shared" si="39"/>
        <v>8743</v>
      </c>
      <c r="BM59" s="177">
        <f t="shared" si="40"/>
        <v>18513</v>
      </c>
      <c r="BN59" s="45">
        <f t="shared" si="33"/>
        <v>1.11746540089214</v>
      </c>
      <c r="BO59" s="176">
        <v>8532</v>
      </c>
      <c r="BP59" s="108">
        <v>10778</v>
      </c>
      <c r="BQ59" s="108">
        <v>28053</v>
      </c>
      <c r="BR59" s="115" t="e">
        <f t="shared" si="41"/>
        <v>#DIV/0!</v>
      </c>
      <c r="BS59" s="108"/>
      <c r="BT59" s="108"/>
    </row>
    <row r="60" spans="1:72">
      <c r="A60" s="110" t="s">
        <v>30</v>
      </c>
      <c r="B60" s="110" t="s">
        <v>30</v>
      </c>
      <c r="C60" s="121" t="s">
        <v>233</v>
      </c>
      <c r="D60" s="108" t="s">
        <v>63</v>
      </c>
      <c r="E60" s="112" t="s">
        <v>63</v>
      </c>
      <c r="F60" s="112" t="s">
        <v>179</v>
      </c>
      <c r="G60" s="112" t="s">
        <v>179</v>
      </c>
      <c r="H60" s="108" t="s">
        <v>167</v>
      </c>
      <c r="I60" s="175">
        <v>11</v>
      </c>
      <c r="J60" s="176"/>
      <c r="K60" s="176">
        <v>15756</v>
      </c>
      <c r="L60" s="45" t="e">
        <f t="shared" si="0"/>
        <v>#DIV/0!</v>
      </c>
      <c r="M60" s="108"/>
      <c r="N60" s="108">
        <v>40000</v>
      </c>
      <c r="O60" s="45" t="e">
        <f t="shared" si="1"/>
        <v>#DIV/0!</v>
      </c>
      <c r="P60" s="108">
        <f t="shared" si="2"/>
        <v>0</v>
      </c>
      <c r="Q60" s="108">
        <f t="shared" si="3"/>
        <v>55756</v>
      </c>
      <c r="R60" s="45" t="e">
        <f t="shared" si="4"/>
        <v>#DIV/0!</v>
      </c>
      <c r="S60" s="36"/>
      <c r="T60" s="36">
        <v>25190</v>
      </c>
      <c r="U60" s="45" t="e">
        <f t="shared" si="5"/>
        <v>#DIV/0!</v>
      </c>
      <c r="V60" s="36">
        <f t="shared" si="6"/>
        <v>0</v>
      </c>
      <c r="W60" s="36">
        <f t="shared" si="7"/>
        <v>80946</v>
      </c>
      <c r="X60" s="45" t="e">
        <f t="shared" si="8"/>
        <v>#DIV/0!</v>
      </c>
      <c r="Y60" s="108"/>
      <c r="Z60" s="108">
        <v>7652</v>
      </c>
      <c r="AA60" s="45" t="e">
        <f t="shared" si="9"/>
        <v>#DIV/0!</v>
      </c>
      <c r="AB60" s="108">
        <f t="shared" si="10"/>
        <v>0</v>
      </c>
      <c r="AC60" s="108">
        <f t="shared" si="11"/>
        <v>88598</v>
      </c>
      <c r="AD60" s="45" t="e">
        <f t="shared" si="12"/>
        <v>#DIV/0!</v>
      </c>
      <c r="AE60" s="108"/>
      <c r="AF60" s="108">
        <v>22404</v>
      </c>
      <c r="AG60" s="45" t="e">
        <f t="shared" si="13"/>
        <v>#DIV/0!</v>
      </c>
      <c r="AH60" s="108">
        <f t="shared" si="14"/>
        <v>0</v>
      </c>
      <c r="AI60" s="108">
        <f t="shared" si="15"/>
        <v>111002</v>
      </c>
      <c r="AJ60" s="45" t="e">
        <f t="shared" si="16"/>
        <v>#DIV/0!</v>
      </c>
      <c r="AK60" s="108"/>
      <c r="AL60" s="108">
        <v>8108</v>
      </c>
      <c r="AM60" s="45" t="e">
        <f t="shared" si="17"/>
        <v>#DIV/0!</v>
      </c>
      <c r="AN60" s="108">
        <f t="shared" si="18"/>
        <v>0</v>
      </c>
      <c r="AO60" s="108">
        <f t="shared" si="19"/>
        <v>119110</v>
      </c>
      <c r="AP60" s="45" t="e">
        <f t="shared" si="20"/>
        <v>#DIV/0!</v>
      </c>
      <c r="AQ60" s="108"/>
      <c r="AR60" s="108">
        <v>15674</v>
      </c>
      <c r="AS60" s="45" t="e">
        <f t="shared" si="21"/>
        <v>#DIV/0!</v>
      </c>
      <c r="AT60" s="108">
        <f t="shared" si="22"/>
        <v>0</v>
      </c>
      <c r="AU60" s="108">
        <f t="shared" si="23"/>
        <v>134784</v>
      </c>
      <c r="AV60" s="45" t="e">
        <f t="shared" si="24"/>
        <v>#DIV/0!</v>
      </c>
      <c r="AW60" s="36"/>
      <c r="AX60" s="36"/>
      <c r="AY60" s="45" t="e">
        <f t="shared" si="25"/>
        <v>#DIV/0!</v>
      </c>
      <c r="AZ60" s="36">
        <f t="shared" si="26"/>
        <v>0</v>
      </c>
      <c r="BA60" s="36">
        <f t="shared" si="27"/>
        <v>134784</v>
      </c>
      <c r="BB60" s="45" t="e">
        <f t="shared" si="28"/>
        <v>#DIV/0!</v>
      </c>
      <c r="BC60" s="36"/>
      <c r="BD60" s="36">
        <v>8589</v>
      </c>
      <c r="BE60" s="45" t="e">
        <f t="shared" si="29"/>
        <v>#DIV/0!</v>
      </c>
      <c r="BF60" s="36">
        <f t="shared" si="30"/>
        <v>0</v>
      </c>
      <c r="BG60" s="36">
        <f t="shared" si="31"/>
        <v>143373</v>
      </c>
      <c r="BH60" s="45" t="e">
        <f t="shared" si="32"/>
        <v>#DIV/0!</v>
      </c>
      <c r="BI60" s="177">
        <v>72790</v>
      </c>
      <c r="BJ60" s="177">
        <v>3556</v>
      </c>
      <c r="BK60" s="45">
        <f t="shared" si="38"/>
        <v>-0.951147135595549</v>
      </c>
      <c r="BL60" s="177">
        <f t="shared" si="39"/>
        <v>72790</v>
      </c>
      <c r="BM60" s="177">
        <f t="shared" si="40"/>
        <v>146929</v>
      </c>
      <c r="BN60" s="45">
        <f t="shared" si="33"/>
        <v>1.01853276548976</v>
      </c>
      <c r="BO60" s="176">
        <v>5444</v>
      </c>
      <c r="BP60" s="108">
        <v>9708</v>
      </c>
      <c r="BQ60" s="108">
        <v>87942</v>
      </c>
      <c r="BR60" s="115">
        <f t="shared" si="41"/>
        <v>1.33571818181818</v>
      </c>
      <c r="BS60" s="108"/>
      <c r="BT60" s="108"/>
    </row>
    <row r="61" spans="1:72">
      <c r="A61" s="110" t="s">
        <v>30</v>
      </c>
      <c r="B61" s="110" t="s">
        <v>30</v>
      </c>
      <c r="C61" s="181" t="s">
        <v>234</v>
      </c>
      <c r="D61" s="108" t="s">
        <v>63</v>
      </c>
      <c r="E61" s="112" t="s">
        <v>63</v>
      </c>
      <c r="F61" s="180" t="s">
        <v>183</v>
      </c>
      <c r="G61" s="180" t="s">
        <v>183</v>
      </c>
      <c r="H61" s="108" t="s">
        <v>176</v>
      </c>
      <c r="I61" s="175"/>
      <c r="J61" s="176"/>
      <c r="K61" s="176">
        <v>3980</v>
      </c>
      <c r="L61" s="45" t="e">
        <f t="shared" si="0"/>
        <v>#DIV/0!</v>
      </c>
      <c r="M61" s="108"/>
      <c r="N61" s="108"/>
      <c r="O61" s="45" t="e">
        <f t="shared" si="1"/>
        <v>#DIV/0!</v>
      </c>
      <c r="P61" s="108">
        <f t="shared" si="2"/>
        <v>0</v>
      </c>
      <c r="Q61" s="108">
        <f t="shared" si="3"/>
        <v>3980</v>
      </c>
      <c r="R61" s="45" t="e">
        <f t="shared" si="4"/>
        <v>#DIV/0!</v>
      </c>
      <c r="S61" s="36"/>
      <c r="T61" s="36"/>
      <c r="U61" s="45" t="e">
        <f t="shared" si="5"/>
        <v>#DIV/0!</v>
      </c>
      <c r="V61" s="36">
        <f t="shared" si="6"/>
        <v>0</v>
      </c>
      <c r="W61" s="36">
        <f t="shared" si="7"/>
        <v>3980</v>
      </c>
      <c r="X61" s="45" t="e">
        <f t="shared" si="8"/>
        <v>#DIV/0!</v>
      </c>
      <c r="Y61" s="108"/>
      <c r="Z61" s="108"/>
      <c r="AA61" s="45" t="e">
        <f t="shared" si="9"/>
        <v>#DIV/0!</v>
      </c>
      <c r="AB61" s="108">
        <f t="shared" si="10"/>
        <v>0</v>
      </c>
      <c r="AC61" s="108">
        <f t="shared" si="11"/>
        <v>3980</v>
      </c>
      <c r="AD61" s="45" t="e">
        <f t="shared" si="12"/>
        <v>#DIV/0!</v>
      </c>
      <c r="AE61" s="108"/>
      <c r="AF61" s="108"/>
      <c r="AG61" s="45" t="e">
        <f t="shared" si="13"/>
        <v>#DIV/0!</v>
      </c>
      <c r="AH61" s="108">
        <f t="shared" si="14"/>
        <v>0</v>
      </c>
      <c r="AI61" s="108">
        <f t="shared" si="15"/>
        <v>3980</v>
      </c>
      <c r="AJ61" s="45" t="e">
        <f t="shared" si="16"/>
        <v>#DIV/0!</v>
      </c>
      <c r="AK61" s="108"/>
      <c r="AL61" s="108"/>
      <c r="AM61" s="45" t="e">
        <f t="shared" si="17"/>
        <v>#DIV/0!</v>
      </c>
      <c r="AN61" s="108">
        <f t="shared" si="18"/>
        <v>0</v>
      </c>
      <c r="AO61" s="108">
        <f t="shared" si="19"/>
        <v>3980</v>
      </c>
      <c r="AP61" s="45" t="e">
        <f t="shared" si="20"/>
        <v>#DIV/0!</v>
      </c>
      <c r="AQ61" s="108"/>
      <c r="AR61" s="108"/>
      <c r="AS61" s="45" t="e">
        <f t="shared" si="21"/>
        <v>#DIV/0!</v>
      </c>
      <c r="AT61" s="108">
        <f t="shared" si="22"/>
        <v>0</v>
      </c>
      <c r="AU61" s="108">
        <f t="shared" si="23"/>
        <v>3980</v>
      </c>
      <c r="AV61" s="45" t="e">
        <f t="shared" si="24"/>
        <v>#DIV/0!</v>
      </c>
      <c r="AW61" s="36"/>
      <c r="AX61" s="36"/>
      <c r="AY61" s="45" t="e">
        <f t="shared" si="25"/>
        <v>#DIV/0!</v>
      </c>
      <c r="AZ61" s="36">
        <f t="shared" si="26"/>
        <v>0</v>
      </c>
      <c r="BA61" s="36">
        <f t="shared" si="27"/>
        <v>3980</v>
      </c>
      <c r="BB61" s="45" t="e">
        <f t="shared" si="28"/>
        <v>#DIV/0!</v>
      </c>
      <c r="BC61" s="36"/>
      <c r="BD61" s="36"/>
      <c r="BE61" s="45" t="e">
        <f t="shared" si="29"/>
        <v>#DIV/0!</v>
      </c>
      <c r="BF61" s="36">
        <f t="shared" si="30"/>
        <v>0</v>
      </c>
      <c r="BG61" s="36">
        <f t="shared" si="31"/>
        <v>3980</v>
      </c>
      <c r="BH61" s="45" t="e">
        <f t="shared" si="32"/>
        <v>#DIV/0!</v>
      </c>
      <c r="BI61" s="177"/>
      <c r="BJ61" s="177"/>
      <c r="BK61" s="45" t="e">
        <f t="shared" si="38"/>
        <v>#DIV/0!</v>
      </c>
      <c r="BL61" s="177">
        <f t="shared" si="39"/>
        <v>0</v>
      </c>
      <c r="BM61" s="177">
        <f t="shared" si="40"/>
        <v>3980</v>
      </c>
      <c r="BN61" s="45" t="e">
        <f t="shared" si="33"/>
        <v>#DIV/0!</v>
      </c>
      <c r="BO61" s="120">
        <v>4980</v>
      </c>
      <c r="BP61" s="108"/>
      <c r="BQ61" s="108">
        <v>4980</v>
      </c>
      <c r="BR61" s="115" t="e">
        <f t="shared" si="41"/>
        <v>#DIV/0!</v>
      </c>
      <c r="BS61" s="108"/>
      <c r="BT61" s="108"/>
    </row>
    <row r="62" spans="1:72">
      <c r="A62" s="110" t="s">
        <v>30</v>
      </c>
      <c r="B62" s="110" t="s">
        <v>30</v>
      </c>
      <c r="C62" s="181" t="s">
        <v>235</v>
      </c>
      <c r="D62" s="108" t="s">
        <v>63</v>
      </c>
      <c r="E62" s="112" t="s">
        <v>63</v>
      </c>
      <c r="F62" s="112" t="s">
        <v>170</v>
      </c>
      <c r="G62" s="180"/>
      <c r="H62" s="112" t="s">
        <v>172</v>
      </c>
      <c r="I62" s="175"/>
      <c r="J62" s="176"/>
      <c r="K62" s="176"/>
      <c r="L62" s="45" t="e">
        <f t="shared" si="0"/>
        <v>#DIV/0!</v>
      </c>
      <c r="M62" s="108"/>
      <c r="N62" s="108"/>
      <c r="O62" s="45" t="e">
        <f t="shared" si="1"/>
        <v>#DIV/0!</v>
      </c>
      <c r="P62" s="108">
        <f t="shared" si="2"/>
        <v>0</v>
      </c>
      <c r="Q62" s="108">
        <f t="shared" si="3"/>
        <v>0</v>
      </c>
      <c r="R62" s="45" t="e">
        <f t="shared" si="4"/>
        <v>#DIV/0!</v>
      </c>
      <c r="S62" s="36"/>
      <c r="T62" s="36"/>
      <c r="U62" s="45" t="e">
        <f t="shared" si="5"/>
        <v>#DIV/0!</v>
      </c>
      <c r="V62" s="36">
        <f t="shared" si="6"/>
        <v>0</v>
      </c>
      <c r="W62" s="36">
        <f t="shared" si="7"/>
        <v>0</v>
      </c>
      <c r="X62" s="45" t="e">
        <f t="shared" si="8"/>
        <v>#DIV/0!</v>
      </c>
      <c r="Y62" s="108"/>
      <c r="Z62" s="108"/>
      <c r="AA62" s="45" t="e">
        <f t="shared" si="9"/>
        <v>#DIV/0!</v>
      </c>
      <c r="AB62" s="108">
        <f t="shared" si="10"/>
        <v>0</v>
      </c>
      <c r="AC62" s="108">
        <f t="shared" si="11"/>
        <v>0</v>
      </c>
      <c r="AD62" s="45" t="e">
        <f t="shared" si="12"/>
        <v>#DIV/0!</v>
      </c>
      <c r="AE62" s="108"/>
      <c r="AF62" s="108"/>
      <c r="AG62" s="45" t="e">
        <f t="shared" si="13"/>
        <v>#DIV/0!</v>
      </c>
      <c r="AH62" s="108">
        <f t="shared" si="14"/>
        <v>0</v>
      </c>
      <c r="AI62" s="108">
        <f t="shared" si="15"/>
        <v>0</v>
      </c>
      <c r="AJ62" s="45" t="e">
        <f t="shared" si="16"/>
        <v>#DIV/0!</v>
      </c>
      <c r="AK62" s="108"/>
      <c r="AL62" s="108"/>
      <c r="AM62" s="45" t="e">
        <f t="shared" si="17"/>
        <v>#DIV/0!</v>
      </c>
      <c r="AN62" s="108">
        <f t="shared" si="18"/>
        <v>0</v>
      </c>
      <c r="AO62" s="108">
        <f t="shared" si="19"/>
        <v>0</v>
      </c>
      <c r="AP62" s="45" t="e">
        <f t="shared" si="20"/>
        <v>#DIV/0!</v>
      </c>
      <c r="AQ62" s="108"/>
      <c r="AR62" s="108"/>
      <c r="AS62" s="45" t="e">
        <f t="shared" si="21"/>
        <v>#DIV/0!</v>
      </c>
      <c r="AT62" s="108">
        <f t="shared" si="22"/>
        <v>0</v>
      </c>
      <c r="AU62" s="108">
        <f t="shared" si="23"/>
        <v>0</v>
      </c>
      <c r="AV62" s="45" t="e">
        <f t="shared" si="24"/>
        <v>#DIV/0!</v>
      </c>
      <c r="AW62" s="36"/>
      <c r="AX62" s="36"/>
      <c r="AY62" s="45" t="e">
        <f t="shared" si="25"/>
        <v>#DIV/0!</v>
      </c>
      <c r="AZ62" s="36">
        <f t="shared" si="26"/>
        <v>0</v>
      </c>
      <c r="BA62" s="36">
        <f t="shared" si="27"/>
        <v>0</v>
      </c>
      <c r="BB62" s="45" t="e">
        <f t="shared" si="28"/>
        <v>#DIV/0!</v>
      </c>
      <c r="BC62" s="36"/>
      <c r="BD62" s="36"/>
      <c r="BE62" s="45" t="e">
        <f t="shared" si="29"/>
        <v>#DIV/0!</v>
      </c>
      <c r="BF62" s="36">
        <f t="shared" si="30"/>
        <v>0</v>
      </c>
      <c r="BG62" s="36">
        <f t="shared" si="31"/>
        <v>0</v>
      </c>
      <c r="BH62" s="45" t="e">
        <f t="shared" si="32"/>
        <v>#DIV/0!</v>
      </c>
      <c r="BI62" s="177"/>
      <c r="BJ62" s="177"/>
      <c r="BK62" s="45" t="e">
        <f t="shared" si="38"/>
        <v>#DIV/0!</v>
      </c>
      <c r="BL62" s="177">
        <f t="shared" si="39"/>
        <v>0</v>
      </c>
      <c r="BM62" s="177">
        <f t="shared" si="40"/>
        <v>0</v>
      </c>
      <c r="BN62" s="45" t="e">
        <f t="shared" si="33"/>
        <v>#DIV/0!</v>
      </c>
      <c r="BO62" s="120">
        <v>18890</v>
      </c>
      <c r="BP62" s="108">
        <v>17758</v>
      </c>
      <c r="BQ62" s="108">
        <v>36648</v>
      </c>
      <c r="BR62" s="115" t="e">
        <f t="shared" si="41"/>
        <v>#DIV/0!</v>
      </c>
      <c r="BS62" s="108"/>
      <c r="BT62" s="108"/>
    </row>
    <row r="63" spans="1:72">
      <c r="A63" s="110" t="s">
        <v>30</v>
      </c>
      <c r="B63" s="110" t="s">
        <v>30</v>
      </c>
      <c r="C63" s="181" t="s">
        <v>236</v>
      </c>
      <c r="D63" s="108" t="s">
        <v>63</v>
      </c>
      <c r="E63" s="112" t="s">
        <v>63</v>
      </c>
      <c r="F63" s="112" t="s">
        <v>170</v>
      </c>
      <c r="G63" s="180"/>
      <c r="H63" s="112" t="s">
        <v>172</v>
      </c>
      <c r="I63" s="175">
        <v>0</v>
      </c>
      <c r="J63" s="176"/>
      <c r="K63" s="176"/>
      <c r="L63" s="45" t="e">
        <f t="shared" si="0"/>
        <v>#DIV/0!</v>
      </c>
      <c r="M63" s="108"/>
      <c r="N63" s="108"/>
      <c r="O63" s="45" t="e">
        <f t="shared" si="1"/>
        <v>#DIV/0!</v>
      </c>
      <c r="P63" s="108">
        <f t="shared" si="2"/>
        <v>0</v>
      </c>
      <c r="Q63" s="108">
        <f t="shared" si="3"/>
        <v>0</v>
      </c>
      <c r="R63" s="45" t="e">
        <f t="shared" si="4"/>
        <v>#DIV/0!</v>
      </c>
      <c r="S63" s="36"/>
      <c r="T63" s="36">
        <v>2196</v>
      </c>
      <c r="U63" s="45" t="e">
        <f t="shared" si="5"/>
        <v>#DIV/0!</v>
      </c>
      <c r="V63" s="36">
        <f t="shared" si="6"/>
        <v>0</v>
      </c>
      <c r="W63" s="36">
        <f t="shared" si="7"/>
        <v>2196</v>
      </c>
      <c r="X63" s="45" t="e">
        <f t="shared" si="8"/>
        <v>#DIV/0!</v>
      </c>
      <c r="Y63" s="108"/>
      <c r="Z63" s="108"/>
      <c r="AA63" s="45" t="e">
        <f t="shared" si="9"/>
        <v>#DIV/0!</v>
      </c>
      <c r="AB63" s="108">
        <f t="shared" si="10"/>
        <v>0</v>
      </c>
      <c r="AC63" s="108">
        <f t="shared" si="11"/>
        <v>2196</v>
      </c>
      <c r="AD63" s="45" t="e">
        <f t="shared" si="12"/>
        <v>#DIV/0!</v>
      </c>
      <c r="AE63" s="108"/>
      <c r="AF63" s="108"/>
      <c r="AG63" s="45" t="e">
        <f t="shared" si="13"/>
        <v>#DIV/0!</v>
      </c>
      <c r="AH63" s="108">
        <f t="shared" si="14"/>
        <v>0</v>
      </c>
      <c r="AI63" s="108">
        <f t="shared" si="15"/>
        <v>2196</v>
      </c>
      <c r="AJ63" s="45" t="e">
        <f t="shared" si="16"/>
        <v>#DIV/0!</v>
      </c>
      <c r="AK63" s="108"/>
      <c r="AL63" s="108"/>
      <c r="AM63" s="45" t="e">
        <f t="shared" si="17"/>
        <v>#DIV/0!</v>
      </c>
      <c r="AN63" s="108">
        <f t="shared" si="18"/>
        <v>0</v>
      </c>
      <c r="AO63" s="108">
        <f t="shared" si="19"/>
        <v>2196</v>
      </c>
      <c r="AP63" s="45" t="e">
        <f t="shared" si="20"/>
        <v>#DIV/0!</v>
      </c>
      <c r="AQ63" s="108"/>
      <c r="AR63" s="108"/>
      <c r="AS63" s="45" t="e">
        <f t="shared" si="21"/>
        <v>#DIV/0!</v>
      </c>
      <c r="AT63" s="108">
        <f t="shared" si="22"/>
        <v>0</v>
      </c>
      <c r="AU63" s="108">
        <f t="shared" si="23"/>
        <v>2196</v>
      </c>
      <c r="AV63" s="45" t="e">
        <f t="shared" si="24"/>
        <v>#DIV/0!</v>
      </c>
      <c r="AW63" s="36"/>
      <c r="AX63" s="36"/>
      <c r="AY63" s="45" t="e">
        <f t="shared" si="25"/>
        <v>#DIV/0!</v>
      </c>
      <c r="AZ63" s="36">
        <f t="shared" si="26"/>
        <v>0</v>
      </c>
      <c r="BA63" s="36">
        <f t="shared" si="27"/>
        <v>2196</v>
      </c>
      <c r="BB63" s="45" t="e">
        <f t="shared" si="28"/>
        <v>#DIV/0!</v>
      </c>
      <c r="BC63" s="36"/>
      <c r="BD63" s="36"/>
      <c r="BE63" s="45" t="e">
        <f t="shared" si="29"/>
        <v>#DIV/0!</v>
      </c>
      <c r="BF63" s="36">
        <f t="shared" si="30"/>
        <v>0</v>
      </c>
      <c r="BG63" s="36">
        <f t="shared" si="31"/>
        <v>2196</v>
      </c>
      <c r="BH63" s="45" t="e">
        <f t="shared" si="32"/>
        <v>#DIV/0!</v>
      </c>
      <c r="BI63" s="177"/>
      <c r="BJ63" s="177"/>
      <c r="BK63" s="45" t="e">
        <f t="shared" si="38"/>
        <v>#DIV/0!</v>
      </c>
      <c r="BL63" s="177">
        <f t="shared" si="39"/>
        <v>0</v>
      </c>
      <c r="BM63" s="177">
        <f t="shared" si="40"/>
        <v>2196</v>
      </c>
      <c r="BN63" s="45" t="e">
        <f t="shared" si="33"/>
        <v>#DIV/0!</v>
      </c>
      <c r="BO63" s="120">
        <v>4070</v>
      </c>
      <c r="BP63" s="108">
        <v>6204</v>
      </c>
      <c r="BQ63" s="108">
        <v>10274</v>
      </c>
      <c r="BR63" s="115" t="e">
        <f t="shared" si="41"/>
        <v>#DIV/0!</v>
      </c>
      <c r="BS63" s="108"/>
      <c r="BT63" s="108"/>
    </row>
    <row r="64" spans="1:72">
      <c r="A64" s="110" t="s">
        <v>30</v>
      </c>
      <c r="B64" s="110" t="s">
        <v>30</v>
      </c>
      <c r="C64" s="181" t="s">
        <v>237</v>
      </c>
      <c r="D64" s="108" t="s">
        <v>63</v>
      </c>
      <c r="E64" s="112" t="s">
        <v>63</v>
      </c>
      <c r="F64" s="112" t="s">
        <v>175</v>
      </c>
      <c r="G64" s="112"/>
      <c r="H64" s="108" t="s">
        <v>176</v>
      </c>
      <c r="I64" s="175"/>
      <c r="J64" s="176"/>
      <c r="K64" s="176"/>
      <c r="L64" s="45" t="e">
        <f t="shared" si="0"/>
        <v>#DIV/0!</v>
      </c>
      <c r="M64" s="108"/>
      <c r="N64" s="108"/>
      <c r="O64" s="45" t="e">
        <f t="shared" si="1"/>
        <v>#DIV/0!</v>
      </c>
      <c r="P64" s="108">
        <f t="shared" si="2"/>
        <v>0</v>
      </c>
      <c r="Q64" s="108">
        <f t="shared" si="3"/>
        <v>0</v>
      </c>
      <c r="R64" s="45" t="e">
        <f t="shared" si="4"/>
        <v>#DIV/0!</v>
      </c>
      <c r="S64" s="36"/>
      <c r="T64" s="36">
        <v>20000</v>
      </c>
      <c r="U64" s="45" t="e">
        <f t="shared" si="5"/>
        <v>#DIV/0!</v>
      </c>
      <c r="V64" s="36">
        <f t="shared" si="6"/>
        <v>0</v>
      </c>
      <c r="W64" s="36">
        <f t="shared" si="7"/>
        <v>20000</v>
      </c>
      <c r="X64" s="45" t="e">
        <f t="shared" si="8"/>
        <v>#DIV/0!</v>
      </c>
      <c r="Y64" s="108"/>
      <c r="Z64" s="108"/>
      <c r="AA64" s="45" t="e">
        <f t="shared" si="9"/>
        <v>#DIV/0!</v>
      </c>
      <c r="AB64" s="108">
        <f t="shared" si="10"/>
        <v>0</v>
      </c>
      <c r="AC64" s="108">
        <f t="shared" si="11"/>
        <v>20000</v>
      </c>
      <c r="AD64" s="45" t="e">
        <f t="shared" si="12"/>
        <v>#DIV/0!</v>
      </c>
      <c r="AE64" s="108"/>
      <c r="AF64" s="108">
        <v>10000</v>
      </c>
      <c r="AG64" s="45" t="e">
        <f t="shared" si="13"/>
        <v>#DIV/0!</v>
      </c>
      <c r="AH64" s="108">
        <f t="shared" si="14"/>
        <v>0</v>
      </c>
      <c r="AI64" s="108">
        <f t="shared" si="15"/>
        <v>30000</v>
      </c>
      <c r="AJ64" s="45" t="e">
        <f t="shared" si="16"/>
        <v>#DIV/0!</v>
      </c>
      <c r="AK64" s="108"/>
      <c r="AL64" s="108">
        <v>50000</v>
      </c>
      <c r="AM64" s="45" t="e">
        <f t="shared" si="17"/>
        <v>#DIV/0!</v>
      </c>
      <c r="AN64" s="108">
        <f t="shared" si="18"/>
        <v>0</v>
      </c>
      <c r="AO64" s="108">
        <f t="shared" si="19"/>
        <v>80000</v>
      </c>
      <c r="AP64" s="45" t="e">
        <f t="shared" si="20"/>
        <v>#DIV/0!</v>
      </c>
      <c r="AQ64" s="108"/>
      <c r="AR64" s="108"/>
      <c r="AS64" s="45" t="e">
        <f t="shared" si="21"/>
        <v>#DIV/0!</v>
      </c>
      <c r="AT64" s="108">
        <f t="shared" si="22"/>
        <v>0</v>
      </c>
      <c r="AU64" s="108">
        <f t="shared" si="23"/>
        <v>80000</v>
      </c>
      <c r="AV64" s="45" t="e">
        <f t="shared" si="24"/>
        <v>#DIV/0!</v>
      </c>
      <c r="AW64" s="36"/>
      <c r="AX64" s="36">
        <v>20000</v>
      </c>
      <c r="AY64" s="45" t="e">
        <f t="shared" si="25"/>
        <v>#DIV/0!</v>
      </c>
      <c r="AZ64" s="36">
        <f t="shared" si="26"/>
        <v>0</v>
      </c>
      <c r="BA64" s="36">
        <f t="shared" si="27"/>
        <v>100000</v>
      </c>
      <c r="BB64" s="45" t="e">
        <f t="shared" si="28"/>
        <v>#DIV/0!</v>
      </c>
      <c r="BC64" s="36"/>
      <c r="BD64" s="36"/>
      <c r="BE64" s="45" t="e">
        <f t="shared" si="29"/>
        <v>#DIV/0!</v>
      </c>
      <c r="BF64" s="36">
        <f t="shared" si="30"/>
        <v>0</v>
      </c>
      <c r="BG64" s="36">
        <f t="shared" si="31"/>
        <v>100000</v>
      </c>
      <c r="BH64" s="45" t="e">
        <f t="shared" si="32"/>
        <v>#DIV/0!</v>
      </c>
      <c r="BI64" s="177"/>
      <c r="BJ64" s="177">
        <v>20000</v>
      </c>
      <c r="BK64" s="45" t="e">
        <f t="shared" si="38"/>
        <v>#DIV/0!</v>
      </c>
      <c r="BL64" s="177">
        <f t="shared" si="39"/>
        <v>0</v>
      </c>
      <c r="BM64" s="177">
        <f t="shared" si="40"/>
        <v>120000</v>
      </c>
      <c r="BN64" s="45" t="e">
        <f t="shared" si="33"/>
        <v>#DIV/0!</v>
      </c>
      <c r="BO64" s="120">
        <v>50000</v>
      </c>
      <c r="BP64" s="108"/>
      <c r="BQ64" s="108">
        <v>50000</v>
      </c>
      <c r="BR64" s="115" t="e">
        <f t="shared" si="41"/>
        <v>#DIV/0!</v>
      </c>
      <c r="BS64" s="108"/>
      <c r="BT64" s="108"/>
    </row>
    <row r="65" spans="1:72">
      <c r="A65" s="110" t="s">
        <v>30</v>
      </c>
      <c r="B65" s="110" t="s">
        <v>30</v>
      </c>
      <c r="C65" s="181" t="s">
        <v>238</v>
      </c>
      <c r="D65" s="108" t="s">
        <v>63</v>
      </c>
      <c r="E65" s="112" t="s">
        <v>63</v>
      </c>
      <c r="F65" s="112" t="s">
        <v>170</v>
      </c>
      <c r="G65" s="180" t="s">
        <v>188</v>
      </c>
      <c r="H65" s="108" t="s">
        <v>172</v>
      </c>
      <c r="I65" s="175">
        <v>0</v>
      </c>
      <c r="J65" s="176"/>
      <c r="K65" s="176"/>
      <c r="L65" s="45" t="e">
        <f t="shared" si="0"/>
        <v>#DIV/0!</v>
      </c>
      <c r="M65" s="108"/>
      <c r="N65" s="108"/>
      <c r="O65" s="45" t="e">
        <f t="shared" si="1"/>
        <v>#DIV/0!</v>
      </c>
      <c r="P65" s="108">
        <f t="shared" si="2"/>
        <v>0</v>
      </c>
      <c r="Q65" s="108">
        <f t="shared" si="3"/>
        <v>0</v>
      </c>
      <c r="R65" s="45" t="e">
        <f t="shared" si="4"/>
        <v>#DIV/0!</v>
      </c>
      <c r="S65" s="36"/>
      <c r="T65" s="36"/>
      <c r="U65" s="45" t="e">
        <f t="shared" si="5"/>
        <v>#DIV/0!</v>
      </c>
      <c r="V65" s="36">
        <f t="shared" si="6"/>
        <v>0</v>
      </c>
      <c r="W65" s="36">
        <f t="shared" si="7"/>
        <v>0</v>
      </c>
      <c r="X65" s="45" t="e">
        <f t="shared" si="8"/>
        <v>#DIV/0!</v>
      </c>
      <c r="Y65" s="108"/>
      <c r="Z65" s="108"/>
      <c r="AA65" s="45" t="e">
        <f t="shared" si="9"/>
        <v>#DIV/0!</v>
      </c>
      <c r="AB65" s="108">
        <f t="shared" si="10"/>
        <v>0</v>
      </c>
      <c r="AC65" s="108">
        <f t="shared" si="11"/>
        <v>0</v>
      </c>
      <c r="AD65" s="45" t="e">
        <f t="shared" si="12"/>
        <v>#DIV/0!</v>
      </c>
      <c r="AE65" s="108"/>
      <c r="AF65" s="108"/>
      <c r="AG65" s="45" t="e">
        <f t="shared" si="13"/>
        <v>#DIV/0!</v>
      </c>
      <c r="AH65" s="108">
        <f t="shared" si="14"/>
        <v>0</v>
      </c>
      <c r="AI65" s="108">
        <f t="shared" si="15"/>
        <v>0</v>
      </c>
      <c r="AJ65" s="45" t="e">
        <f t="shared" si="16"/>
        <v>#DIV/0!</v>
      </c>
      <c r="AK65" s="108"/>
      <c r="AL65" s="108"/>
      <c r="AM65" s="45" t="e">
        <f t="shared" si="17"/>
        <v>#DIV/0!</v>
      </c>
      <c r="AN65" s="108">
        <f t="shared" si="18"/>
        <v>0</v>
      </c>
      <c r="AO65" s="108">
        <f t="shared" si="19"/>
        <v>0</v>
      </c>
      <c r="AP65" s="45" t="e">
        <f t="shared" si="20"/>
        <v>#DIV/0!</v>
      </c>
      <c r="AQ65" s="108"/>
      <c r="AR65" s="108"/>
      <c r="AS65" s="45" t="e">
        <f t="shared" si="21"/>
        <v>#DIV/0!</v>
      </c>
      <c r="AT65" s="108">
        <f t="shared" si="22"/>
        <v>0</v>
      </c>
      <c r="AU65" s="108">
        <f t="shared" si="23"/>
        <v>0</v>
      </c>
      <c r="AV65" s="45" t="e">
        <f t="shared" si="24"/>
        <v>#DIV/0!</v>
      </c>
      <c r="AW65" s="36"/>
      <c r="AX65" s="36"/>
      <c r="AY65" s="45" t="e">
        <f t="shared" si="25"/>
        <v>#DIV/0!</v>
      </c>
      <c r="AZ65" s="36">
        <f t="shared" si="26"/>
        <v>0</v>
      </c>
      <c r="BA65" s="36">
        <f t="shared" si="27"/>
        <v>0</v>
      </c>
      <c r="BB65" s="45" t="e">
        <f t="shared" si="28"/>
        <v>#DIV/0!</v>
      </c>
      <c r="BC65" s="36"/>
      <c r="BD65" s="36"/>
      <c r="BE65" s="45" t="e">
        <f t="shared" si="29"/>
        <v>#DIV/0!</v>
      </c>
      <c r="BF65" s="36">
        <f t="shared" si="30"/>
        <v>0</v>
      </c>
      <c r="BG65" s="36">
        <f t="shared" si="31"/>
        <v>0</v>
      </c>
      <c r="BH65" s="45" t="e">
        <f t="shared" si="32"/>
        <v>#DIV/0!</v>
      </c>
      <c r="BI65" s="177"/>
      <c r="BJ65" s="177"/>
      <c r="BK65" s="45" t="e">
        <f t="shared" si="38"/>
        <v>#DIV/0!</v>
      </c>
      <c r="BL65" s="177">
        <f t="shared" si="39"/>
        <v>0</v>
      </c>
      <c r="BM65" s="177">
        <f t="shared" si="40"/>
        <v>0</v>
      </c>
      <c r="BN65" s="45" t="e">
        <f t="shared" si="33"/>
        <v>#DIV/0!</v>
      </c>
      <c r="BO65" s="120">
        <v>1760</v>
      </c>
      <c r="BP65" s="108"/>
      <c r="BQ65" s="108">
        <v>1760</v>
      </c>
      <c r="BR65" s="115" t="e">
        <f t="shared" si="41"/>
        <v>#DIV/0!</v>
      </c>
      <c r="BS65" s="108"/>
      <c r="BT65" s="108"/>
    </row>
    <row r="66" spans="1:72">
      <c r="A66" s="110" t="s">
        <v>30</v>
      </c>
      <c r="B66" s="110" t="s">
        <v>30</v>
      </c>
      <c r="C66" s="181" t="s">
        <v>239</v>
      </c>
      <c r="D66" s="108" t="s">
        <v>240</v>
      </c>
      <c r="E66" s="112" t="s">
        <v>63</v>
      </c>
      <c r="F66" s="112" t="s">
        <v>179</v>
      </c>
      <c r="G66" s="112" t="s">
        <v>179</v>
      </c>
      <c r="H66" s="108" t="s">
        <v>167</v>
      </c>
      <c r="I66" s="175"/>
      <c r="J66" s="176"/>
      <c r="K66" s="176"/>
      <c r="L66" s="45" t="e">
        <f t="shared" si="0"/>
        <v>#DIV/0!</v>
      </c>
      <c r="M66" s="108"/>
      <c r="N66" s="108"/>
      <c r="O66" s="45" t="e">
        <f t="shared" si="1"/>
        <v>#DIV/0!</v>
      </c>
      <c r="P66" s="108">
        <f t="shared" si="2"/>
        <v>0</v>
      </c>
      <c r="Q66" s="108">
        <f t="shared" si="3"/>
        <v>0</v>
      </c>
      <c r="R66" s="45" t="e">
        <f t="shared" si="4"/>
        <v>#DIV/0!</v>
      </c>
      <c r="S66" s="36"/>
      <c r="T66" s="36"/>
      <c r="U66" s="45" t="e">
        <f t="shared" si="5"/>
        <v>#DIV/0!</v>
      </c>
      <c r="V66" s="36">
        <f t="shared" si="6"/>
        <v>0</v>
      </c>
      <c r="W66" s="36">
        <f t="shared" si="7"/>
        <v>0</v>
      </c>
      <c r="X66" s="45" t="e">
        <f t="shared" si="8"/>
        <v>#DIV/0!</v>
      </c>
      <c r="Y66" s="108"/>
      <c r="Z66" s="108"/>
      <c r="AA66" s="45" t="e">
        <f t="shared" si="9"/>
        <v>#DIV/0!</v>
      </c>
      <c r="AB66" s="108">
        <f t="shared" si="10"/>
        <v>0</v>
      </c>
      <c r="AC66" s="108">
        <f t="shared" si="11"/>
        <v>0</v>
      </c>
      <c r="AD66" s="45" t="e">
        <f t="shared" si="12"/>
        <v>#DIV/0!</v>
      </c>
      <c r="AE66" s="108"/>
      <c r="AF66" s="108"/>
      <c r="AG66" s="45" t="e">
        <f t="shared" si="13"/>
        <v>#DIV/0!</v>
      </c>
      <c r="AH66" s="108">
        <f t="shared" si="14"/>
        <v>0</v>
      </c>
      <c r="AI66" s="108">
        <f t="shared" si="15"/>
        <v>0</v>
      </c>
      <c r="AJ66" s="45" t="e">
        <f t="shared" si="16"/>
        <v>#DIV/0!</v>
      </c>
      <c r="AK66" s="108"/>
      <c r="AL66" s="108"/>
      <c r="AM66" s="45" t="e">
        <f t="shared" si="17"/>
        <v>#DIV/0!</v>
      </c>
      <c r="AN66" s="108">
        <f t="shared" si="18"/>
        <v>0</v>
      </c>
      <c r="AO66" s="108">
        <f t="shared" si="19"/>
        <v>0</v>
      </c>
      <c r="AP66" s="45" t="e">
        <f t="shared" si="20"/>
        <v>#DIV/0!</v>
      </c>
      <c r="AQ66" s="108"/>
      <c r="AR66" s="108">
        <v>3027</v>
      </c>
      <c r="AS66" s="45" t="e">
        <f t="shared" si="21"/>
        <v>#DIV/0!</v>
      </c>
      <c r="AT66" s="108">
        <f t="shared" si="22"/>
        <v>0</v>
      </c>
      <c r="AU66" s="108">
        <f t="shared" si="23"/>
        <v>3027</v>
      </c>
      <c r="AV66" s="45" t="e">
        <f t="shared" si="24"/>
        <v>#DIV/0!</v>
      </c>
      <c r="AW66" s="36"/>
      <c r="AX66" s="36"/>
      <c r="AY66" s="45" t="e">
        <f t="shared" si="25"/>
        <v>#DIV/0!</v>
      </c>
      <c r="AZ66" s="36">
        <f t="shared" si="26"/>
        <v>0</v>
      </c>
      <c r="BA66" s="36">
        <f t="shared" si="27"/>
        <v>3027</v>
      </c>
      <c r="BB66" s="45" t="e">
        <f t="shared" si="28"/>
        <v>#DIV/0!</v>
      </c>
      <c r="BC66" s="36"/>
      <c r="BD66" s="36"/>
      <c r="BE66" s="45" t="e">
        <f t="shared" si="29"/>
        <v>#DIV/0!</v>
      </c>
      <c r="BF66" s="36">
        <f t="shared" si="30"/>
        <v>0</v>
      </c>
      <c r="BG66" s="36">
        <f t="shared" si="31"/>
        <v>3027</v>
      </c>
      <c r="BH66" s="45" t="e">
        <f t="shared" si="32"/>
        <v>#DIV/0!</v>
      </c>
      <c r="BI66" s="177"/>
      <c r="BJ66" s="177"/>
      <c r="BK66" s="45" t="e">
        <f t="shared" si="38"/>
        <v>#DIV/0!</v>
      </c>
      <c r="BL66" s="177">
        <f t="shared" si="39"/>
        <v>0</v>
      </c>
      <c r="BM66" s="177">
        <f t="shared" si="40"/>
        <v>3027</v>
      </c>
      <c r="BN66" s="45" t="e">
        <f t="shared" si="33"/>
        <v>#DIV/0!</v>
      </c>
      <c r="BO66" s="120"/>
      <c r="BP66" s="108">
        <v>7362</v>
      </c>
      <c r="BQ66" s="108">
        <v>7362</v>
      </c>
      <c r="BR66" s="115" t="e">
        <f t="shared" si="41"/>
        <v>#DIV/0!</v>
      </c>
      <c r="BS66" s="108"/>
      <c r="BT66" s="108"/>
    </row>
    <row r="67" spans="1:72">
      <c r="A67" s="110" t="s">
        <v>30</v>
      </c>
      <c r="B67" s="110" t="s">
        <v>30</v>
      </c>
      <c r="C67" s="181" t="s">
        <v>241</v>
      </c>
      <c r="D67" s="108" t="s">
        <v>63</v>
      </c>
      <c r="E67" s="112" t="s">
        <v>63</v>
      </c>
      <c r="F67" s="112" t="s">
        <v>185</v>
      </c>
      <c r="G67" s="112"/>
      <c r="H67" s="108" t="s">
        <v>176</v>
      </c>
      <c r="I67" s="175">
        <v>0</v>
      </c>
      <c r="J67" s="176"/>
      <c r="K67" s="176"/>
      <c r="L67" s="45"/>
      <c r="M67" s="108"/>
      <c r="N67" s="108"/>
      <c r="O67" s="45"/>
      <c r="P67" s="108"/>
      <c r="Q67" s="108"/>
      <c r="R67" s="45"/>
      <c r="S67" s="36"/>
      <c r="T67" s="36">
        <v>23457</v>
      </c>
      <c r="U67" s="45" t="e">
        <f t="shared" ref="U67:U70" si="42">T67/S67-1</f>
        <v>#DIV/0!</v>
      </c>
      <c r="V67" s="36">
        <f t="shared" ref="V67:V70" si="43">S67+P67</f>
        <v>0</v>
      </c>
      <c r="W67" s="36">
        <f t="shared" ref="W67:W70" si="44">T67+Q67</f>
        <v>23457</v>
      </c>
      <c r="X67" s="45" t="e">
        <f t="shared" ref="X67:X70" si="45">W67/V67-1</f>
        <v>#DIV/0!</v>
      </c>
      <c r="Y67" s="108"/>
      <c r="Z67" s="108">
        <v>90</v>
      </c>
      <c r="AA67" s="45" t="e">
        <f t="shared" ref="AA67:AA70" si="46">Z67/Y67-1</f>
        <v>#DIV/0!</v>
      </c>
      <c r="AB67" s="108">
        <f t="shared" ref="AB67:AB70" si="47">Y67+V67</f>
        <v>0</v>
      </c>
      <c r="AC67" s="108">
        <f t="shared" ref="AC67:AC70" si="48">Z67+W67</f>
        <v>23547</v>
      </c>
      <c r="AD67" s="45" t="e">
        <f t="shared" ref="AD67:AD70" si="49">AC67/AB67-1</f>
        <v>#DIV/0!</v>
      </c>
      <c r="AE67" s="108"/>
      <c r="AF67" s="108"/>
      <c r="AG67" s="45" t="e">
        <f t="shared" ref="AG67:AG74" si="50">AF67/AE67-1</f>
        <v>#DIV/0!</v>
      </c>
      <c r="AH67" s="108">
        <f t="shared" ref="AH67:AH74" si="51">AE67+AB67</f>
        <v>0</v>
      </c>
      <c r="AI67" s="108">
        <f t="shared" ref="AI67:AI74" si="52">AF67+AC67</f>
        <v>23547</v>
      </c>
      <c r="AJ67" s="45" t="e">
        <f t="shared" ref="AJ67:AJ74" si="53">AI67/AH67-1</f>
        <v>#DIV/0!</v>
      </c>
      <c r="AK67" s="108"/>
      <c r="AL67" s="108"/>
      <c r="AM67" s="45" t="e">
        <f t="shared" ref="AM67:AM74" si="54">AL67/AK67-1</f>
        <v>#DIV/0!</v>
      </c>
      <c r="AN67" s="108">
        <f t="shared" ref="AN67:AN74" si="55">AK67+AH67</f>
        <v>0</v>
      </c>
      <c r="AO67" s="108">
        <f t="shared" ref="AO67:AO74" si="56">AL67+AI67</f>
        <v>23547</v>
      </c>
      <c r="AP67" s="45" t="e">
        <f t="shared" ref="AP67:AP74" si="57">AO67/AN67-1</f>
        <v>#DIV/0!</v>
      </c>
      <c r="AQ67" s="108"/>
      <c r="AR67" s="108"/>
      <c r="AS67" s="45" t="e">
        <f t="shared" ref="AS67:AS75" si="58">AR67/AQ67-1</f>
        <v>#DIV/0!</v>
      </c>
      <c r="AT67" s="108">
        <f t="shared" ref="AT67:AT75" si="59">AQ67+AN67</f>
        <v>0</v>
      </c>
      <c r="AU67" s="108">
        <f t="shared" ref="AU67:AU75" si="60">AR67+AO67</f>
        <v>23547</v>
      </c>
      <c r="AV67" s="45" t="e">
        <f t="shared" ref="AV67:AV75" si="61">AU67/AT67-1</f>
        <v>#DIV/0!</v>
      </c>
      <c r="AW67" s="36"/>
      <c r="AX67" s="36"/>
      <c r="AY67" s="45" t="e">
        <f t="shared" ref="AY67:AY75" si="62">AX67/AW67-1</f>
        <v>#DIV/0!</v>
      </c>
      <c r="AZ67" s="36">
        <f t="shared" ref="AZ67:AZ75" si="63">AW67+AT67</f>
        <v>0</v>
      </c>
      <c r="BA67" s="36">
        <f t="shared" ref="BA67:BA75" si="64">AX67+AU67</f>
        <v>23547</v>
      </c>
      <c r="BB67" s="45" t="e">
        <f t="shared" ref="BB67:BB75" si="65">BA67/AZ67-1</f>
        <v>#DIV/0!</v>
      </c>
      <c r="BC67" s="36"/>
      <c r="BD67" s="36"/>
      <c r="BE67" s="45" t="e">
        <f t="shared" ref="BE67:BE79" si="66">BD67/BC67-1</f>
        <v>#DIV/0!</v>
      </c>
      <c r="BF67" s="36">
        <f t="shared" ref="BF67:BF78" si="67">BC67+AZ67</f>
        <v>0</v>
      </c>
      <c r="BG67" s="36">
        <f t="shared" ref="BG67:BG78" si="68">BD67+BA67</f>
        <v>23547</v>
      </c>
      <c r="BH67" s="45" t="e">
        <f t="shared" ref="BH67:BH79" si="69">BG67/BF67-1</f>
        <v>#DIV/0!</v>
      </c>
      <c r="BI67" s="177"/>
      <c r="BJ67" s="177"/>
      <c r="BK67" s="45" t="e">
        <f t="shared" si="38"/>
        <v>#DIV/0!</v>
      </c>
      <c r="BL67" s="177">
        <f t="shared" si="39"/>
        <v>0</v>
      </c>
      <c r="BM67" s="177">
        <f t="shared" si="40"/>
        <v>23547</v>
      </c>
      <c r="BN67" s="45" t="e">
        <f t="shared" ref="BN67:BN80" si="70">BM67/BL67-1</f>
        <v>#DIV/0!</v>
      </c>
      <c r="BO67" s="120"/>
      <c r="BP67" s="108"/>
      <c r="BQ67" s="108"/>
      <c r="BR67" s="115" t="e">
        <f t="shared" si="41"/>
        <v>#DIV/0!</v>
      </c>
      <c r="BS67" s="108"/>
      <c r="BT67" s="108"/>
    </row>
    <row r="68" spans="1:72">
      <c r="A68" s="110" t="s">
        <v>30</v>
      </c>
      <c r="B68" s="110" t="s">
        <v>30</v>
      </c>
      <c r="C68" s="181" t="s">
        <v>242</v>
      </c>
      <c r="D68" s="108" t="s">
        <v>240</v>
      </c>
      <c r="E68" s="112" t="s">
        <v>63</v>
      </c>
      <c r="F68" s="112" t="s">
        <v>179</v>
      </c>
      <c r="G68" s="112" t="s">
        <v>179</v>
      </c>
      <c r="H68" s="108" t="s">
        <v>167</v>
      </c>
      <c r="I68" s="175"/>
      <c r="J68" s="176"/>
      <c r="K68" s="176">
        <v>3081</v>
      </c>
      <c r="L68" s="45" t="e">
        <f>K68/J68-1</f>
        <v>#DIV/0!</v>
      </c>
      <c r="M68" s="108"/>
      <c r="N68" s="108"/>
      <c r="O68" s="45" t="e">
        <f>N68/M68-1</f>
        <v>#DIV/0!</v>
      </c>
      <c r="P68" s="108">
        <f>M68+J68</f>
        <v>0</v>
      </c>
      <c r="Q68" s="108">
        <f>N68+K68</f>
        <v>3081</v>
      </c>
      <c r="R68" s="45" t="e">
        <f>Q68/P68-1</f>
        <v>#DIV/0!</v>
      </c>
      <c r="S68" s="36"/>
      <c r="T68" s="36"/>
      <c r="U68" s="45" t="e">
        <f t="shared" si="42"/>
        <v>#DIV/0!</v>
      </c>
      <c r="V68" s="36">
        <f t="shared" si="43"/>
        <v>0</v>
      </c>
      <c r="W68" s="36">
        <f t="shared" si="44"/>
        <v>3081</v>
      </c>
      <c r="X68" s="45" t="e">
        <f t="shared" si="45"/>
        <v>#DIV/0!</v>
      </c>
      <c r="Y68" s="108"/>
      <c r="Z68" s="108">
        <v>18653</v>
      </c>
      <c r="AA68" s="45" t="e">
        <f t="shared" si="46"/>
        <v>#DIV/0!</v>
      </c>
      <c r="AB68" s="108">
        <f t="shared" si="47"/>
        <v>0</v>
      </c>
      <c r="AC68" s="108">
        <f t="shared" si="48"/>
        <v>21734</v>
      </c>
      <c r="AD68" s="45" t="e">
        <f t="shared" si="49"/>
        <v>#DIV/0!</v>
      </c>
      <c r="AE68" s="108"/>
      <c r="AF68" s="108">
        <v>7102</v>
      </c>
      <c r="AG68" s="45" t="e">
        <f t="shared" si="50"/>
        <v>#DIV/0!</v>
      </c>
      <c r="AH68" s="108">
        <f t="shared" si="51"/>
        <v>0</v>
      </c>
      <c r="AI68" s="108">
        <f t="shared" si="52"/>
        <v>28836</v>
      </c>
      <c r="AJ68" s="45" t="e">
        <f t="shared" si="53"/>
        <v>#DIV/0!</v>
      </c>
      <c r="AK68" s="108"/>
      <c r="AL68" s="108">
        <v>24314</v>
      </c>
      <c r="AM68" s="45" t="e">
        <f t="shared" si="54"/>
        <v>#DIV/0!</v>
      </c>
      <c r="AN68" s="108">
        <f t="shared" si="55"/>
        <v>0</v>
      </c>
      <c r="AO68" s="108">
        <f t="shared" si="56"/>
        <v>53150</v>
      </c>
      <c r="AP68" s="45" t="e">
        <f t="shared" si="57"/>
        <v>#DIV/0!</v>
      </c>
      <c r="AQ68" s="108"/>
      <c r="AR68" s="108">
        <v>18974</v>
      </c>
      <c r="AS68" s="45" t="e">
        <f t="shared" si="58"/>
        <v>#DIV/0!</v>
      </c>
      <c r="AT68" s="108">
        <f t="shared" si="59"/>
        <v>0</v>
      </c>
      <c r="AU68" s="108">
        <f t="shared" si="60"/>
        <v>72124</v>
      </c>
      <c r="AV68" s="45" t="e">
        <f t="shared" si="61"/>
        <v>#DIV/0!</v>
      </c>
      <c r="AW68" s="36"/>
      <c r="AX68" s="36"/>
      <c r="AY68" s="45" t="e">
        <f t="shared" si="62"/>
        <v>#DIV/0!</v>
      </c>
      <c r="AZ68" s="36">
        <f t="shared" si="63"/>
        <v>0</v>
      </c>
      <c r="BA68" s="36">
        <f t="shared" si="64"/>
        <v>72124</v>
      </c>
      <c r="BB68" s="45" t="e">
        <f t="shared" si="65"/>
        <v>#DIV/0!</v>
      </c>
      <c r="BC68" s="36"/>
      <c r="BD68" s="36">
        <v>24920</v>
      </c>
      <c r="BE68" s="45" t="e">
        <f t="shared" si="66"/>
        <v>#DIV/0!</v>
      </c>
      <c r="BF68" s="36">
        <f t="shared" si="67"/>
        <v>0</v>
      </c>
      <c r="BG68" s="36">
        <f t="shared" si="68"/>
        <v>97044</v>
      </c>
      <c r="BH68" s="45" t="e">
        <f t="shared" si="69"/>
        <v>#DIV/0!</v>
      </c>
      <c r="BI68" s="177"/>
      <c r="BJ68" s="177">
        <v>29296</v>
      </c>
      <c r="BK68" s="45" t="e">
        <f t="shared" si="38"/>
        <v>#DIV/0!</v>
      </c>
      <c r="BL68" s="177">
        <f t="shared" si="39"/>
        <v>0</v>
      </c>
      <c r="BM68" s="177">
        <f t="shared" si="40"/>
        <v>126340</v>
      </c>
      <c r="BN68" s="45" t="e">
        <f t="shared" si="70"/>
        <v>#DIV/0!</v>
      </c>
      <c r="BO68" s="120"/>
      <c r="BP68" s="108"/>
      <c r="BQ68" s="108"/>
      <c r="BR68" s="115" t="e">
        <f t="shared" si="41"/>
        <v>#DIV/0!</v>
      </c>
      <c r="BS68" s="108"/>
      <c r="BT68" s="108"/>
    </row>
    <row r="69" spans="1:72">
      <c r="A69" s="87" t="s">
        <v>30</v>
      </c>
      <c r="B69" s="87" t="s">
        <v>30</v>
      </c>
      <c r="C69" s="95" t="s">
        <v>243</v>
      </c>
      <c r="D69" s="87" t="s">
        <v>116</v>
      </c>
      <c r="E69" s="87" t="s">
        <v>116</v>
      </c>
      <c r="F69" s="267" t="s">
        <v>185</v>
      </c>
      <c r="G69" s="268" t="s">
        <v>185</v>
      </c>
      <c r="H69" s="87" t="s">
        <v>176</v>
      </c>
      <c r="I69" s="175"/>
      <c r="J69" s="176"/>
      <c r="K69" s="176"/>
      <c r="L69" s="45"/>
      <c r="M69" s="108"/>
      <c r="N69" s="108"/>
      <c r="O69" s="45"/>
      <c r="P69" s="108"/>
      <c r="Q69" s="108"/>
      <c r="R69" s="45"/>
      <c r="S69" s="36"/>
      <c r="T69" s="36">
        <v>20000</v>
      </c>
      <c r="U69" s="45" t="e">
        <f t="shared" si="42"/>
        <v>#DIV/0!</v>
      </c>
      <c r="V69" s="36">
        <f t="shared" si="43"/>
        <v>0</v>
      </c>
      <c r="W69" s="36">
        <f t="shared" si="44"/>
        <v>20000</v>
      </c>
      <c r="X69" s="45" t="e">
        <f t="shared" si="45"/>
        <v>#DIV/0!</v>
      </c>
      <c r="Y69" s="108"/>
      <c r="Z69" s="108"/>
      <c r="AA69" s="45" t="e">
        <f t="shared" si="46"/>
        <v>#DIV/0!</v>
      </c>
      <c r="AB69" s="108">
        <f t="shared" si="47"/>
        <v>0</v>
      </c>
      <c r="AC69" s="108">
        <f t="shared" si="48"/>
        <v>20000</v>
      </c>
      <c r="AD69" s="45" t="e">
        <f t="shared" si="49"/>
        <v>#DIV/0!</v>
      </c>
      <c r="AE69" s="108"/>
      <c r="AF69" s="108"/>
      <c r="AG69" s="45" t="e">
        <f t="shared" si="50"/>
        <v>#DIV/0!</v>
      </c>
      <c r="AH69" s="108">
        <f t="shared" si="51"/>
        <v>0</v>
      </c>
      <c r="AI69" s="108">
        <f t="shared" si="52"/>
        <v>20000</v>
      </c>
      <c r="AJ69" s="45" t="e">
        <f t="shared" si="53"/>
        <v>#DIV/0!</v>
      </c>
      <c r="AK69" s="108"/>
      <c r="AL69" s="108"/>
      <c r="AM69" s="45" t="e">
        <f t="shared" si="54"/>
        <v>#DIV/0!</v>
      </c>
      <c r="AN69" s="108">
        <f t="shared" si="55"/>
        <v>0</v>
      </c>
      <c r="AO69" s="108">
        <f t="shared" si="56"/>
        <v>20000</v>
      </c>
      <c r="AP69" s="45" t="e">
        <f t="shared" si="57"/>
        <v>#DIV/0!</v>
      </c>
      <c r="AQ69" s="108"/>
      <c r="AR69" s="108"/>
      <c r="AS69" s="45" t="e">
        <f t="shared" si="58"/>
        <v>#DIV/0!</v>
      </c>
      <c r="AT69" s="108">
        <f t="shared" si="59"/>
        <v>0</v>
      </c>
      <c r="AU69" s="108">
        <f t="shared" si="60"/>
        <v>20000</v>
      </c>
      <c r="AV69" s="45" t="e">
        <f t="shared" si="61"/>
        <v>#DIV/0!</v>
      </c>
      <c r="AW69" s="36"/>
      <c r="AX69" s="36"/>
      <c r="AY69" s="45" t="e">
        <f t="shared" si="62"/>
        <v>#DIV/0!</v>
      </c>
      <c r="AZ69" s="36">
        <f t="shared" si="63"/>
        <v>0</v>
      </c>
      <c r="BA69" s="36">
        <f t="shared" si="64"/>
        <v>20000</v>
      </c>
      <c r="BB69" s="45" t="e">
        <f t="shared" si="65"/>
        <v>#DIV/0!</v>
      </c>
      <c r="BC69" s="36"/>
      <c r="BD69" s="36"/>
      <c r="BE69" s="45" t="e">
        <f t="shared" si="66"/>
        <v>#DIV/0!</v>
      </c>
      <c r="BF69" s="36">
        <f t="shared" si="67"/>
        <v>0</v>
      </c>
      <c r="BG69" s="36">
        <f t="shared" si="68"/>
        <v>20000</v>
      </c>
      <c r="BH69" s="45" t="e">
        <f t="shared" si="69"/>
        <v>#DIV/0!</v>
      </c>
      <c r="BI69" s="177"/>
      <c r="BJ69" s="177"/>
      <c r="BK69" s="45" t="e">
        <f t="shared" si="38"/>
        <v>#DIV/0!</v>
      </c>
      <c r="BL69" s="177">
        <f t="shared" si="39"/>
        <v>0</v>
      </c>
      <c r="BM69" s="177">
        <f t="shared" si="40"/>
        <v>20000</v>
      </c>
      <c r="BN69" s="45" t="e">
        <f t="shared" si="70"/>
        <v>#DIV/0!</v>
      </c>
      <c r="BO69" s="120"/>
      <c r="BP69" s="108"/>
      <c r="BQ69" s="108"/>
      <c r="BR69" s="115" t="e">
        <f t="shared" si="41"/>
        <v>#DIV/0!</v>
      </c>
      <c r="BS69" s="108"/>
      <c r="BT69" s="108"/>
    </row>
    <row r="70" spans="1:72">
      <c r="A70" s="87" t="s">
        <v>30</v>
      </c>
      <c r="B70" s="87" t="s">
        <v>30</v>
      </c>
      <c r="C70" s="95" t="s">
        <v>244</v>
      </c>
      <c r="D70" s="87" t="s">
        <v>63</v>
      </c>
      <c r="E70" s="87" t="s">
        <v>63</v>
      </c>
      <c r="F70" s="87" t="s">
        <v>179</v>
      </c>
      <c r="G70" s="182" t="s">
        <v>179</v>
      </c>
      <c r="H70" s="87" t="s">
        <v>167</v>
      </c>
      <c r="I70" s="175"/>
      <c r="J70" s="176"/>
      <c r="K70" s="176"/>
      <c r="L70" s="45"/>
      <c r="M70" s="108"/>
      <c r="N70" s="108"/>
      <c r="O70" s="45"/>
      <c r="P70" s="108"/>
      <c r="Q70" s="108"/>
      <c r="R70" s="45"/>
      <c r="S70" s="36"/>
      <c r="T70" s="36">
        <v>4305</v>
      </c>
      <c r="U70" s="45" t="e">
        <f t="shared" si="42"/>
        <v>#DIV/0!</v>
      </c>
      <c r="V70" s="36">
        <f t="shared" si="43"/>
        <v>0</v>
      </c>
      <c r="W70" s="36">
        <f t="shared" si="44"/>
        <v>4305</v>
      </c>
      <c r="X70" s="45" t="e">
        <f t="shared" si="45"/>
        <v>#DIV/0!</v>
      </c>
      <c r="Y70" s="108"/>
      <c r="Z70" s="108"/>
      <c r="AA70" s="45" t="e">
        <f t="shared" si="46"/>
        <v>#DIV/0!</v>
      </c>
      <c r="AB70" s="108">
        <f t="shared" si="47"/>
        <v>0</v>
      </c>
      <c r="AC70" s="108">
        <f t="shared" si="48"/>
        <v>4305</v>
      </c>
      <c r="AD70" s="45" t="e">
        <f t="shared" si="49"/>
        <v>#DIV/0!</v>
      </c>
      <c r="AE70" s="108"/>
      <c r="AF70" s="108"/>
      <c r="AG70" s="45" t="e">
        <f t="shared" si="50"/>
        <v>#DIV/0!</v>
      </c>
      <c r="AH70" s="108">
        <f t="shared" si="51"/>
        <v>0</v>
      </c>
      <c r="AI70" s="108">
        <f t="shared" si="52"/>
        <v>4305</v>
      </c>
      <c r="AJ70" s="45" t="e">
        <f t="shared" si="53"/>
        <v>#DIV/0!</v>
      </c>
      <c r="AK70" s="108"/>
      <c r="AL70" s="108"/>
      <c r="AM70" s="45" t="e">
        <f t="shared" si="54"/>
        <v>#DIV/0!</v>
      </c>
      <c r="AN70" s="108">
        <f t="shared" si="55"/>
        <v>0</v>
      </c>
      <c r="AO70" s="108">
        <f t="shared" si="56"/>
        <v>4305</v>
      </c>
      <c r="AP70" s="45" t="e">
        <f t="shared" si="57"/>
        <v>#DIV/0!</v>
      </c>
      <c r="AQ70" s="108"/>
      <c r="AR70" s="108"/>
      <c r="AS70" s="45" t="e">
        <f t="shared" si="58"/>
        <v>#DIV/0!</v>
      </c>
      <c r="AT70" s="108">
        <f t="shared" si="59"/>
        <v>0</v>
      </c>
      <c r="AU70" s="108">
        <f t="shared" si="60"/>
        <v>4305</v>
      </c>
      <c r="AV70" s="45" t="e">
        <f t="shared" si="61"/>
        <v>#DIV/0!</v>
      </c>
      <c r="AW70" s="36"/>
      <c r="AX70" s="36"/>
      <c r="AY70" s="45" t="e">
        <f t="shared" si="62"/>
        <v>#DIV/0!</v>
      </c>
      <c r="AZ70" s="36">
        <f t="shared" si="63"/>
        <v>0</v>
      </c>
      <c r="BA70" s="36">
        <f t="shared" si="64"/>
        <v>4305</v>
      </c>
      <c r="BB70" s="45" t="e">
        <f t="shared" si="65"/>
        <v>#DIV/0!</v>
      </c>
      <c r="BC70" s="36"/>
      <c r="BD70" s="36"/>
      <c r="BE70" s="45" t="e">
        <f t="shared" si="66"/>
        <v>#DIV/0!</v>
      </c>
      <c r="BF70" s="36">
        <f t="shared" si="67"/>
        <v>0</v>
      </c>
      <c r="BG70" s="36">
        <f t="shared" si="68"/>
        <v>4305</v>
      </c>
      <c r="BH70" s="45" t="e">
        <f t="shared" si="69"/>
        <v>#DIV/0!</v>
      </c>
      <c r="BI70" s="177"/>
      <c r="BJ70" s="177"/>
      <c r="BK70" s="45" t="e">
        <f t="shared" si="38"/>
        <v>#DIV/0!</v>
      </c>
      <c r="BL70" s="177">
        <f t="shared" si="39"/>
        <v>0</v>
      </c>
      <c r="BM70" s="177">
        <f t="shared" si="40"/>
        <v>4305</v>
      </c>
      <c r="BN70" s="45" t="e">
        <f t="shared" si="70"/>
        <v>#DIV/0!</v>
      </c>
      <c r="BO70" s="120"/>
      <c r="BP70" s="108"/>
      <c r="BQ70" s="108"/>
      <c r="BR70" s="115" t="e">
        <f t="shared" si="41"/>
        <v>#DIV/0!</v>
      </c>
      <c r="BS70" s="108"/>
      <c r="BT70" s="108"/>
    </row>
    <row r="71" spans="1:72">
      <c r="A71" s="87" t="s">
        <v>30</v>
      </c>
      <c r="B71" s="87" t="s">
        <v>30</v>
      </c>
      <c r="C71" s="95" t="s">
        <v>245</v>
      </c>
      <c r="D71" s="87" t="s">
        <v>81</v>
      </c>
      <c r="E71" s="87" t="s">
        <v>81</v>
      </c>
      <c r="F71" s="87" t="s">
        <v>170</v>
      </c>
      <c r="G71" s="182"/>
      <c r="H71" s="87" t="s">
        <v>172</v>
      </c>
      <c r="I71" s="175"/>
      <c r="J71" s="176"/>
      <c r="K71" s="176"/>
      <c r="L71" s="45"/>
      <c r="M71" s="108"/>
      <c r="N71" s="108"/>
      <c r="O71" s="45"/>
      <c r="P71" s="108"/>
      <c r="Q71" s="108"/>
      <c r="R71" s="45"/>
      <c r="S71" s="36"/>
      <c r="T71" s="36"/>
      <c r="U71" s="45"/>
      <c r="V71" s="36"/>
      <c r="W71" s="36"/>
      <c r="X71" s="45"/>
      <c r="Y71" s="108"/>
      <c r="Z71" s="108"/>
      <c r="AA71" s="45"/>
      <c r="AB71" s="108"/>
      <c r="AC71" s="108"/>
      <c r="AD71" s="45"/>
      <c r="AE71" s="108"/>
      <c r="AF71" s="108">
        <v>194929.35</v>
      </c>
      <c r="AG71" s="45" t="e">
        <f t="shared" si="50"/>
        <v>#DIV/0!</v>
      </c>
      <c r="AH71" s="108">
        <f t="shared" si="51"/>
        <v>0</v>
      </c>
      <c r="AI71" s="108">
        <f t="shared" si="52"/>
        <v>194929.35</v>
      </c>
      <c r="AJ71" s="45" t="e">
        <f t="shared" si="53"/>
        <v>#DIV/0!</v>
      </c>
      <c r="AK71" s="108"/>
      <c r="AL71" s="108">
        <v>214386.54</v>
      </c>
      <c r="AM71" s="45" t="e">
        <f t="shared" si="54"/>
        <v>#DIV/0!</v>
      </c>
      <c r="AN71" s="108">
        <f t="shared" si="55"/>
        <v>0</v>
      </c>
      <c r="AO71" s="108">
        <f t="shared" si="56"/>
        <v>409315.89</v>
      </c>
      <c r="AP71" s="45" t="e">
        <f t="shared" si="57"/>
        <v>#DIV/0!</v>
      </c>
      <c r="AQ71" s="108"/>
      <c r="AR71" s="108">
        <v>198566.8</v>
      </c>
      <c r="AS71" s="45" t="e">
        <f t="shared" si="58"/>
        <v>#DIV/0!</v>
      </c>
      <c r="AT71" s="108">
        <f t="shared" si="59"/>
        <v>0</v>
      </c>
      <c r="AU71" s="108">
        <f t="shared" si="60"/>
        <v>607882.69</v>
      </c>
      <c r="AV71" s="45" t="e">
        <f t="shared" si="61"/>
        <v>#DIV/0!</v>
      </c>
      <c r="AW71" s="36"/>
      <c r="AX71" s="36"/>
      <c r="AY71" s="45" t="e">
        <f t="shared" si="62"/>
        <v>#DIV/0!</v>
      </c>
      <c r="AZ71" s="36">
        <f t="shared" si="63"/>
        <v>0</v>
      </c>
      <c r="BA71" s="36">
        <f t="shared" si="64"/>
        <v>607882.69</v>
      </c>
      <c r="BB71" s="45" t="e">
        <f t="shared" si="65"/>
        <v>#DIV/0!</v>
      </c>
      <c r="BC71" s="36"/>
      <c r="BD71" s="36">
        <v>0.03</v>
      </c>
      <c r="BE71" s="45" t="e">
        <f t="shared" si="66"/>
        <v>#DIV/0!</v>
      </c>
      <c r="BF71" s="36">
        <f t="shared" si="67"/>
        <v>0</v>
      </c>
      <c r="BG71" s="36">
        <f t="shared" si="68"/>
        <v>607882.72</v>
      </c>
      <c r="BH71" s="45" t="e">
        <f t="shared" si="69"/>
        <v>#DIV/0!</v>
      </c>
      <c r="BI71" s="177"/>
      <c r="BJ71" s="177"/>
      <c r="BK71" s="45" t="e">
        <f t="shared" si="38"/>
        <v>#DIV/0!</v>
      </c>
      <c r="BL71" s="177">
        <f t="shared" si="39"/>
        <v>0</v>
      </c>
      <c r="BM71" s="177">
        <f t="shared" si="40"/>
        <v>607882.72</v>
      </c>
      <c r="BN71" s="45" t="e">
        <f t="shared" si="70"/>
        <v>#DIV/0!</v>
      </c>
      <c r="BO71" s="120"/>
      <c r="BP71" s="108"/>
      <c r="BQ71" s="108"/>
      <c r="BR71" s="115" t="e">
        <f t="shared" si="41"/>
        <v>#DIV/0!</v>
      </c>
      <c r="BS71" s="108"/>
      <c r="BT71" s="108"/>
    </row>
    <row r="72" spans="1:72">
      <c r="A72" s="87" t="s">
        <v>30</v>
      </c>
      <c r="B72" s="87" t="s">
        <v>30</v>
      </c>
      <c r="C72" s="95" t="s">
        <v>246</v>
      </c>
      <c r="D72" s="108" t="s">
        <v>247</v>
      </c>
      <c r="E72" s="87" t="s">
        <v>63</v>
      </c>
      <c r="F72" s="87" t="s">
        <v>170</v>
      </c>
      <c r="G72" s="182"/>
      <c r="H72" s="87" t="s">
        <v>172</v>
      </c>
      <c r="I72" s="175"/>
      <c r="J72" s="176"/>
      <c r="K72" s="176"/>
      <c r="L72" s="45"/>
      <c r="M72" s="108"/>
      <c r="N72" s="108"/>
      <c r="O72" s="45"/>
      <c r="P72" s="108"/>
      <c r="Q72" s="108"/>
      <c r="R72" s="45"/>
      <c r="S72" s="36"/>
      <c r="T72" s="36"/>
      <c r="U72" s="45"/>
      <c r="V72" s="36"/>
      <c r="W72" s="36"/>
      <c r="X72" s="45"/>
      <c r="Y72" s="108"/>
      <c r="Z72" s="108"/>
      <c r="AA72" s="45"/>
      <c r="AB72" s="108"/>
      <c r="AC72" s="108"/>
      <c r="AD72" s="45"/>
      <c r="AE72" s="108"/>
      <c r="AF72" s="108">
        <v>2196</v>
      </c>
      <c r="AG72" s="45" t="e">
        <f t="shared" si="50"/>
        <v>#DIV/0!</v>
      </c>
      <c r="AH72" s="108">
        <f t="shared" si="51"/>
        <v>0</v>
      </c>
      <c r="AI72" s="108">
        <f t="shared" si="52"/>
        <v>2196</v>
      </c>
      <c r="AJ72" s="45" t="e">
        <f t="shared" si="53"/>
        <v>#DIV/0!</v>
      </c>
      <c r="AK72" s="108"/>
      <c r="AL72" s="108"/>
      <c r="AM72" s="45" t="e">
        <f t="shared" si="54"/>
        <v>#DIV/0!</v>
      </c>
      <c r="AN72" s="108">
        <f t="shared" si="55"/>
        <v>0</v>
      </c>
      <c r="AO72" s="108">
        <f t="shared" si="56"/>
        <v>2196</v>
      </c>
      <c r="AP72" s="45" t="e">
        <f t="shared" si="57"/>
        <v>#DIV/0!</v>
      </c>
      <c r="AQ72" s="108"/>
      <c r="AR72" s="108"/>
      <c r="AS72" s="45" t="e">
        <f t="shared" si="58"/>
        <v>#DIV/0!</v>
      </c>
      <c r="AT72" s="108">
        <f t="shared" si="59"/>
        <v>0</v>
      </c>
      <c r="AU72" s="108">
        <f t="shared" si="60"/>
        <v>2196</v>
      </c>
      <c r="AV72" s="45" t="e">
        <f t="shared" si="61"/>
        <v>#DIV/0!</v>
      </c>
      <c r="AW72" s="36"/>
      <c r="AX72" s="36"/>
      <c r="AY72" s="45" t="e">
        <f t="shared" si="62"/>
        <v>#DIV/0!</v>
      </c>
      <c r="AZ72" s="36">
        <f t="shared" si="63"/>
        <v>0</v>
      </c>
      <c r="BA72" s="36">
        <f t="shared" si="64"/>
        <v>2196</v>
      </c>
      <c r="BB72" s="45" t="e">
        <f t="shared" si="65"/>
        <v>#DIV/0!</v>
      </c>
      <c r="BC72" s="36"/>
      <c r="BD72" s="36"/>
      <c r="BE72" s="45" t="e">
        <f t="shared" si="66"/>
        <v>#DIV/0!</v>
      </c>
      <c r="BF72" s="36">
        <f t="shared" si="67"/>
        <v>0</v>
      </c>
      <c r="BG72" s="36">
        <f t="shared" si="68"/>
        <v>2196</v>
      </c>
      <c r="BH72" s="45" t="e">
        <f t="shared" si="69"/>
        <v>#DIV/0!</v>
      </c>
      <c r="BI72" s="177"/>
      <c r="BJ72" s="177"/>
      <c r="BK72" s="45" t="e">
        <f t="shared" si="38"/>
        <v>#DIV/0!</v>
      </c>
      <c r="BL72" s="177">
        <f t="shared" si="39"/>
        <v>0</v>
      </c>
      <c r="BM72" s="177">
        <f t="shared" si="40"/>
        <v>2196</v>
      </c>
      <c r="BN72" s="45" t="e">
        <f t="shared" si="70"/>
        <v>#DIV/0!</v>
      </c>
      <c r="BO72" s="120"/>
      <c r="BP72" s="108"/>
      <c r="BQ72" s="108"/>
      <c r="BR72" s="115" t="e">
        <f t="shared" si="41"/>
        <v>#DIV/0!</v>
      </c>
      <c r="BS72" s="108"/>
      <c r="BT72" s="108"/>
    </row>
    <row r="73" spans="1:72">
      <c r="A73" s="87" t="s">
        <v>30</v>
      </c>
      <c r="B73" s="87" t="s">
        <v>30</v>
      </c>
      <c r="C73" s="95" t="s">
        <v>248</v>
      </c>
      <c r="D73" s="108" t="s">
        <v>63</v>
      </c>
      <c r="E73" s="87" t="s">
        <v>63</v>
      </c>
      <c r="F73" s="87" t="s">
        <v>179</v>
      </c>
      <c r="G73" s="182"/>
      <c r="H73" s="87" t="s">
        <v>167</v>
      </c>
      <c r="I73" s="175"/>
      <c r="J73" s="176"/>
      <c r="K73" s="176"/>
      <c r="L73" s="45"/>
      <c r="M73" s="108"/>
      <c r="N73" s="108"/>
      <c r="O73" s="45"/>
      <c r="P73" s="108"/>
      <c r="Q73" s="108"/>
      <c r="R73" s="45"/>
      <c r="S73" s="36"/>
      <c r="T73" s="36"/>
      <c r="U73" s="45"/>
      <c r="V73" s="36"/>
      <c r="W73" s="36"/>
      <c r="X73" s="45"/>
      <c r="Y73" s="108"/>
      <c r="Z73" s="108"/>
      <c r="AA73" s="45"/>
      <c r="AB73" s="108"/>
      <c r="AC73" s="108"/>
      <c r="AD73" s="45"/>
      <c r="AE73" s="108"/>
      <c r="AF73" s="108">
        <v>6252</v>
      </c>
      <c r="AG73" s="45" t="e">
        <f t="shared" si="50"/>
        <v>#DIV/0!</v>
      </c>
      <c r="AH73" s="108">
        <f t="shared" si="51"/>
        <v>0</v>
      </c>
      <c r="AI73" s="108">
        <f t="shared" si="52"/>
        <v>6252</v>
      </c>
      <c r="AJ73" s="45" t="e">
        <f t="shared" si="53"/>
        <v>#DIV/0!</v>
      </c>
      <c r="AK73" s="108"/>
      <c r="AL73" s="108"/>
      <c r="AM73" s="45" t="e">
        <f t="shared" si="54"/>
        <v>#DIV/0!</v>
      </c>
      <c r="AN73" s="108">
        <f t="shared" si="55"/>
        <v>0</v>
      </c>
      <c r="AO73" s="108">
        <f t="shared" si="56"/>
        <v>6252</v>
      </c>
      <c r="AP73" s="45" t="e">
        <f t="shared" si="57"/>
        <v>#DIV/0!</v>
      </c>
      <c r="AQ73" s="108"/>
      <c r="AR73" s="108"/>
      <c r="AS73" s="45" t="e">
        <f t="shared" si="58"/>
        <v>#DIV/0!</v>
      </c>
      <c r="AT73" s="108">
        <f t="shared" si="59"/>
        <v>0</v>
      </c>
      <c r="AU73" s="108">
        <f t="shared" si="60"/>
        <v>6252</v>
      </c>
      <c r="AV73" s="45" t="e">
        <f t="shared" si="61"/>
        <v>#DIV/0!</v>
      </c>
      <c r="AW73" s="36"/>
      <c r="AX73" s="36"/>
      <c r="AY73" s="45" t="e">
        <f t="shared" si="62"/>
        <v>#DIV/0!</v>
      </c>
      <c r="AZ73" s="36">
        <f t="shared" si="63"/>
        <v>0</v>
      </c>
      <c r="BA73" s="36">
        <f t="shared" si="64"/>
        <v>6252</v>
      </c>
      <c r="BB73" s="45" t="e">
        <f t="shared" si="65"/>
        <v>#DIV/0!</v>
      </c>
      <c r="BC73" s="36"/>
      <c r="BD73" s="36"/>
      <c r="BE73" s="45" t="e">
        <f t="shared" si="66"/>
        <v>#DIV/0!</v>
      </c>
      <c r="BF73" s="36">
        <f t="shared" si="67"/>
        <v>0</v>
      </c>
      <c r="BG73" s="36">
        <f t="shared" si="68"/>
        <v>6252</v>
      </c>
      <c r="BH73" s="45" t="e">
        <f t="shared" si="69"/>
        <v>#DIV/0!</v>
      </c>
      <c r="BI73" s="177"/>
      <c r="BJ73" s="177"/>
      <c r="BK73" s="45" t="e">
        <f t="shared" si="38"/>
        <v>#DIV/0!</v>
      </c>
      <c r="BL73" s="177">
        <f t="shared" si="39"/>
        <v>0</v>
      </c>
      <c r="BM73" s="177">
        <f t="shared" si="40"/>
        <v>6252</v>
      </c>
      <c r="BN73" s="45" t="e">
        <f t="shared" si="70"/>
        <v>#DIV/0!</v>
      </c>
      <c r="BO73" s="120"/>
      <c r="BP73" s="108"/>
      <c r="BQ73" s="108"/>
      <c r="BR73" s="115" t="e">
        <f t="shared" si="41"/>
        <v>#DIV/0!</v>
      </c>
      <c r="BS73" s="108"/>
      <c r="BT73" s="108"/>
    </row>
    <row r="74" spans="1:72">
      <c r="A74" s="87" t="s">
        <v>30</v>
      </c>
      <c r="B74" s="87" t="s">
        <v>30</v>
      </c>
      <c r="C74" s="181" t="s">
        <v>249</v>
      </c>
      <c r="D74" s="108" t="s">
        <v>240</v>
      </c>
      <c r="E74" s="87" t="s">
        <v>63</v>
      </c>
      <c r="F74" s="87" t="s">
        <v>179</v>
      </c>
      <c r="G74" s="182" t="s">
        <v>179</v>
      </c>
      <c r="H74" s="87" t="s">
        <v>167</v>
      </c>
      <c r="I74" s="175"/>
      <c r="J74" s="176"/>
      <c r="K74" s="176"/>
      <c r="L74" s="45"/>
      <c r="M74" s="108"/>
      <c r="N74" s="108"/>
      <c r="O74" s="45"/>
      <c r="P74" s="108"/>
      <c r="Q74" s="108"/>
      <c r="R74" s="45"/>
      <c r="S74" s="36"/>
      <c r="T74" s="36"/>
      <c r="U74" s="36"/>
      <c r="V74" s="36"/>
      <c r="W74" s="36"/>
      <c r="X74" s="36"/>
      <c r="Y74" s="108"/>
      <c r="Z74" s="108">
        <v>3364</v>
      </c>
      <c r="AA74" s="45" t="e">
        <f>Z74/Y74-1</f>
        <v>#DIV/0!</v>
      </c>
      <c r="AB74" s="108">
        <f>Y74+V74</f>
        <v>0</v>
      </c>
      <c r="AC74" s="108">
        <f>Z74+W74</f>
        <v>3364</v>
      </c>
      <c r="AD74" s="45" t="e">
        <f>AC74/AB74-1</f>
        <v>#DIV/0!</v>
      </c>
      <c r="AE74" s="108"/>
      <c r="AF74" s="108"/>
      <c r="AG74" s="45" t="e">
        <f t="shared" si="50"/>
        <v>#DIV/0!</v>
      </c>
      <c r="AH74" s="108">
        <f t="shared" si="51"/>
        <v>0</v>
      </c>
      <c r="AI74" s="108">
        <f t="shared" si="52"/>
        <v>3364</v>
      </c>
      <c r="AJ74" s="45" t="e">
        <f t="shared" si="53"/>
        <v>#DIV/0!</v>
      </c>
      <c r="AK74" s="108"/>
      <c r="AL74" s="108"/>
      <c r="AM74" s="45" t="e">
        <f t="shared" si="54"/>
        <v>#DIV/0!</v>
      </c>
      <c r="AN74" s="108">
        <f t="shared" si="55"/>
        <v>0</v>
      </c>
      <c r="AO74" s="108">
        <f t="shared" si="56"/>
        <v>3364</v>
      </c>
      <c r="AP74" s="45" t="e">
        <f t="shared" si="57"/>
        <v>#DIV/0!</v>
      </c>
      <c r="AQ74" s="108"/>
      <c r="AR74" s="108"/>
      <c r="AS74" s="45" t="e">
        <f t="shared" si="58"/>
        <v>#DIV/0!</v>
      </c>
      <c r="AT74" s="108">
        <f t="shared" si="59"/>
        <v>0</v>
      </c>
      <c r="AU74" s="108">
        <f t="shared" si="60"/>
        <v>3364</v>
      </c>
      <c r="AV74" s="45" t="e">
        <f t="shared" si="61"/>
        <v>#DIV/0!</v>
      </c>
      <c r="AW74" s="36"/>
      <c r="AX74" s="36"/>
      <c r="AY74" s="45" t="e">
        <f t="shared" si="62"/>
        <v>#DIV/0!</v>
      </c>
      <c r="AZ74" s="36">
        <f t="shared" si="63"/>
        <v>0</v>
      </c>
      <c r="BA74" s="36">
        <f t="shared" si="64"/>
        <v>3364</v>
      </c>
      <c r="BB74" s="45" t="e">
        <f t="shared" si="65"/>
        <v>#DIV/0!</v>
      </c>
      <c r="BC74" s="36"/>
      <c r="BD74" s="36"/>
      <c r="BE74" s="45" t="e">
        <f t="shared" si="66"/>
        <v>#DIV/0!</v>
      </c>
      <c r="BF74" s="36">
        <f t="shared" si="67"/>
        <v>0</v>
      </c>
      <c r="BG74" s="36">
        <f t="shared" si="68"/>
        <v>3364</v>
      </c>
      <c r="BH74" s="45" t="e">
        <f t="shared" si="69"/>
        <v>#DIV/0!</v>
      </c>
      <c r="BI74" s="177"/>
      <c r="BJ74" s="177"/>
      <c r="BK74" s="45" t="e">
        <f t="shared" si="38"/>
        <v>#DIV/0!</v>
      </c>
      <c r="BL74" s="177">
        <f t="shared" si="39"/>
        <v>0</v>
      </c>
      <c r="BM74" s="177">
        <f t="shared" si="40"/>
        <v>3364</v>
      </c>
      <c r="BN74" s="45" t="e">
        <f t="shared" si="70"/>
        <v>#DIV/0!</v>
      </c>
      <c r="BO74" s="120"/>
      <c r="BP74" s="108"/>
      <c r="BQ74" s="108"/>
      <c r="BR74" s="115" t="e">
        <f t="shared" si="41"/>
        <v>#DIV/0!</v>
      </c>
      <c r="BS74" s="108"/>
      <c r="BT74" s="108"/>
    </row>
    <row r="75" spans="1:72">
      <c r="A75" s="87" t="s">
        <v>30</v>
      </c>
      <c r="B75" s="87" t="s">
        <v>30</v>
      </c>
      <c r="C75" s="181" t="s">
        <v>250</v>
      </c>
      <c r="D75" s="108" t="s">
        <v>63</v>
      </c>
      <c r="E75" s="112" t="s">
        <v>63</v>
      </c>
      <c r="F75" s="112" t="s">
        <v>185</v>
      </c>
      <c r="G75" s="112" t="s">
        <v>185</v>
      </c>
      <c r="H75" s="108" t="s">
        <v>176</v>
      </c>
      <c r="I75" s="175"/>
      <c r="J75" s="176"/>
      <c r="K75" s="176"/>
      <c r="L75" s="45"/>
      <c r="M75" s="108"/>
      <c r="N75" s="108"/>
      <c r="O75" s="45"/>
      <c r="P75" s="108"/>
      <c r="Q75" s="108"/>
      <c r="R75" s="45"/>
      <c r="S75" s="36"/>
      <c r="T75" s="36"/>
      <c r="U75" s="36"/>
      <c r="V75" s="36"/>
      <c r="W75" s="36"/>
      <c r="X75" s="36"/>
      <c r="Y75" s="108"/>
      <c r="Z75" s="108"/>
      <c r="AA75" s="45"/>
      <c r="AB75" s="108"/>
      <c r="AC75" s="108"/>
      <c r="AD75" s="45"/>
      <c r="AE75" s="108"/>
      <c r="AF75" s="108"/>
      <c r="AG75" s="45"/>
      <c r="AH75" s="108"/>
      <c r="AI75" s="108"/>
      <c r="AJ75" s="45"/>
      <c r="AK75" s="108"/>
      <c r="AL75" s="108"/>
      <c r="AM75" s="45"/>
      <c r="AN75" s="108"/>
      <c r="AO75" s="108"/>
      <c r="AP75" s="45"/>
      <c r="AQ75" s="108"/>
      <c r="AR75" s="108">
        <v>2200</v>
      </c>
      <c r="AS75" s="45" t="e">
        <f t="shared" si="58"/>
        <v>#DIV/0!</v>
      </c>
      <c r="AT75" s="108">
        <f t="shared" si="59"/>
        <v>0</v>
      </c>
      <c r="AU75" s="108">
        <f t="shared" si="60"/>
        <v>2200</v>
      </c>
      <c r="AV75" s="45" t="e">
        <f t="shared" si="61"/>
        <v>#DIV/0!</v>
      </c>
      <c r="AW75" s="36"/>
      <c r="AX75" s="36"/>
      <c r="AY75" s="45" t="e">
        <f t="shared" si="62"/>
        <v>#DIV/0!</v>
      </c>
      <c r="AZ75" s="36">
        <f t="shared" si="63"/>
        <v>0</v>
      </c>
      <c r="BA75" s="36">
        <f t="shared" si="64"/>
        <v>2200</v>
      </c>
      <c r="BB75" s="45" t="e">
        <f t="shared" si="65"/>
        <v>#DIV/0!</v>
      </c>
      <c r="BC75" s="36"/>
      <c r="BD75" s="36">
        <v>4883</v>
      </c>
      <c r="BE75" s="45" t="e">
        <f t="shared" si="66"/>
        <v>#DIV/0!</v>
      </c>
      <c r="BF75" s="36">
        <f t="shared" si="67"/>
        <v>0</v>
      </c>
      <c r="BG75" s="36">
        <f t="shared" si="68"/>
        <v>7083</v>
      </c>
      <c r="BH75" s="45" t="e">
        <f t="shared" si="69"/>
        <v>#DIV/0!</v>
      </c>
      <c r="BI75" s="177"/>
      <c r="BJ75" s="177"/>
      <c r="BK75" s="45" t="e">
        <f t="shared" si="38"/>
        <v>#DIV/0!</v>
      </c>
      <c r="BL75" s="177">
        <f t="shared" si="39"/>
        <v>0</v>
      </c>
      <c r="BM75" s="177">
        <f t="shared" si="40"/>
        <v>7083</v>
      </c>
      <c r="BN75" s="45" t="e">
        <f t="shared" si="70"/>
        <v>#DIV/0!</v>
      </c>
      <c r="BO75" s="120"/>
      <c r="BP75" s="108"/>
      <c r="BQ75" s="108"/>
      <c r="BR75" s="115" t="e">
        <f t="shared" si="41"/>
        <v>#DIV/0!</v>
      </c>
      <c r="BS75" s="108"/>
      <c r="BT75" s="108"/>
    </row>
    <row r="76" spans="1:72">
      <c r="A76" s="87" t="s">
        <v>30</v>
      </c>
      <c r="B76" s="87" t="s">
        <v>30</v>
      </c>
      <c r="C76" s="181" t="s">
        <v>251</v>
      </c>
      <c r="D76" s="108" t="s">
        <v>63</v>
      </c>
      <c r="E76" s="112" t="s">
        <v>63</v>
      </c>
      <c r="F76" s="112" t="s">
        <v>185</v>
      </c>
      <c r="G76" s="112" t="s">
        <v>185</v>
      </c>
      <c r="H76" s="108" t="s">
        <v>176</v>
      </c>
      <c r="I76" s="175"/>
      <c r="J76" s="176"/>
      <c r="K76" s="176"/>
      <c r="L76" s="45"/>
      <c r="M76" s="108"/>
      <c r="N76" s="108"/>
      <c r="O76" s="45"/>
      <c r="P76" s="108"/>
      <c r="Q76" s="108"/>
      <c r="R76" s="45"/>
      <c r="S76" s="36"/>
      <c r="T76" s="36"/>
      <c r="U76" s="36"/>
      <c r="V76" s="36"/>
      <c r="W76" s="36"/>
      <c r="X76" s="36"/>
      <c r="Y76" s="108"/>
      <c r="Z76" s="108"/>
      <c r="AA76" s="45"/>
      <c r="AB76" s="108"/>
      <c r="AC76" s="108"/>
      <c r="AD76" s="45"/>
      <c r="AE76" s="108"/>
      <c r="AF76" s="108"/>
      <c r="AG76" s="45"/>
      <c r="AH76" s="108"/>
      <c r="AI76" s="108"/>
      <c r="AJ76" s="45"/>
      <c r="AK76" s="108"/>
      <c r="AL76" s="108"/>
      <c r="AM76" s="45"/>
      <c r="AN76" s="108"/>
      <c r="AO76" s="108"/>
      <c r="AP76" s="45"/>
      <c r="AQ76" s="108"/>
      <c r="AR76" s="108"/>
      <c r="AS76" s="45"/>
      <c r="AT76" s="108"/>
      <c r="AU76" s="108"/>
      <c r="AV76" s="45"/>
      <c r="AW76" s="36"/>
      <c r="AX76" s="36"/>
      <c r="AY76" s="45"/>
      <c r="AZ76" s="36"/>
      <c r="BA76" s="36"/>
      <c r="BB76" s="45"/>
      <c r="BC76" s="36"/>
      <c r="BD76" s="36">
        <v>1970</v>
      </c>
      <c r="BE76" s="45" t="e">
        <f t="shared" si="66"/>
        <v>#DIV/0!</v>
      </c>
      <c r="BF76" s="36">
        <f t="shared" si="67"/>
        <v>0</v>
      </c>
      <c r="BG76" s="36">
        <f t="shared" si="68"/>
        <v>1970</v>
      </c>
      <c r="BH76" s="45" t="e">
        <f t="shared" si="69"/>
        <v>#DIV/0!</v>
      </c>
      <c r="BI76" s="177"/>
      <c r="BJ76" s="177">
        <v>2400</v>
      </c>
      <c r="BK76" s="45" t="e">
        <f t="shared" si="38"/>
        <v>#DIV/0!</v>
      </c>
      <c r="BL76" s="177">
        <f t="shared" si="39"/>
        <v>0</v>
      </c>
      <c r="BM76" s="177">
        <f t="shared" si="40"/>
        <v>4370</v>
      </c>
      <c r="BN76" s="45" t="e">
        <f t="shared" si="70"/>
        <v>#DIV/0!</v>
      </c>
      <c r="BO76" s="120"/>
      <c r="BP76" s="108"/>
      <c r="BQ76" s="108"/>
      <c r="BR76" s="115" t="e">
        <f t="shared" si="41"/>
        <v>#DIV/0!</v>
      </c>
      <c r="BS76" s="108"/>
      <c r="BT76" s="108"/>
    </row>
    <row r="77" spans="1:72">
      <c r="A77" s="87" t="s">
        <v>30</v>
      </c>
      <c r="B77" s="87" t="s">
        <v>30</v>
      </c>
      <c r="C77" s="181" t="s">
        <v>252</v>
      </c>
      <c r="D77" s="108" t="s">
        <v>63</v>
      </c>
      <c r="E77" s="112" t="s">
        <v>63</v>
      </c>
      <c r="F77" s="112" t="s">
        <v>185</v>
      </c>
      <c r="G77" s="112" t="s">
        <v>185</v>
      </c>
      <c r="H77" s="108" t="s">
        <v>176</v>
      </c>
      <c r="I77" s="175"/>
      <c r="J77" s="176"/>
      <c r="K77" s="176"/>
      <c r="L77" s="45"/>
      <c r="M77" s="108"/>
      <c r="N77" s="108"/>
      <c r="O77" s="45"/>
      <c r="P77" s="108"/>
      <c r="Q77" s="108"/>
      <c r="R77" s="45"/>
      <c r="S77" s="36"/>
      <c r="T77" s="36"/>
      <c r="U77" s="36"/>
      <c r="V77" s="36"/>
      <c r="W77" s="36"/>
      <c r="X77" s="36"/>
      <c r="Y77" s="108"/>
      <c r="Z77" s="108"/>
      <c r="AA77" s="45"/>
      <c r="AB77" s="108"/>
      <c r="AC77" s="108"/>
      <c r="AD77" s="45"/>
      <c r="AE77" s="108"/>
      <c r="AF77" s="108"/>
      <c r="AG77" s="45"/>
      <c r="AH77" s="108"/>
      <c r="AI77" s="108"/>
      <c r="AJ77" s="45"/>
      <c r="AK77" s="108"/>
      <c r="AL77" s="108"/>
      <c r="AM77" s="45"/>
      <c r="AN77" s="108"/>
      <c r="AO77" s="108"/>
      <c r="AP77" s="45"/>
      <c r="AQ77" s="108"/>
      <c r="AR77" s="108"/>
      <c r="AS77" s="45"/>
      <c r="AT77" s="108"/>
      <c r="AU77" s="108"/>
      <c r="AV77" s="45"/>
      <c r="AW77" s="36"/>
      <c r="AX77" s="36"/>
      <c r="AY77" s="45"/>
      <c r="AZ77" s="36"/>
      <c r="BA77" s="36"/>
      <c r="BB77" s="45"/>
      <c r="BC77" s="36"/>
      <c r="BD77" s="36">
        <v>3899</v>
      </c>
      <c r="BE77" s="45" t="e">
        <f t="shared" si="66"/>
        <v>#DIV/0!</v>
      </c>
      <c r="BF77" s="36">
        <f t="shared" si="67"/>
        <v>0</v>
      </c>
      <c r="BG77" s="36">
        <f t="shared" si="68"/>
        <v>3899</v>
      </c>
      <c r="BH77" s="45" t="e">
        <f t="shared" si="69"/>
        <v>#DIV/0!</v>
      </c>
      <c r="BI77" s="177"/>
      <c r="BJ77" s="177"/>
      <c r="BK77" s="45" t="e">
        <f t="shared" si="38"/>
        <v>#DIV/0!</v>
      </c>
      <c r="BL77" s="177">
        <f t="shared" si="39"/>
        <v>0</v>
      </c>
      <c r="BM77" s="177">
        <f t="shared" si="40"/>
        <v>3899</v>
      </c>
      <c r="BN77" s="45" t="e">
        <f t="shared" si="70"/>
        <v>#DIV/0!</v>
      </c>
      <c r="BO77" s="120"/>
      <c r="BP77" s="108"/>
      <c r="BQ77" s="108"/>
      <c r="BR77" s="115" t="e">
        <f t="shared" si="41"/>
        <v>#DIV/0!</v>
      </c>
      <c r="BS77" s="108"/>
      <c r="BT77" s="108"/>
    </row>
    <row r="78" spans="1:72">
      <c r="A78" s="87" t="s">
        <v>30</v>
      </c>
      <c r="B78" s="87" t="s">
        <v>30</v>
      </c>
      <c r="C78" s="181" t="s">
        <v>253</v>
      </c>
      <c r="D78" s="108" t="s">
        <v>116</v>
      </c>
      <c r="E78" s="112" t="s">
        <v>116</v>
      </c>
      <c r="F78" s="112" t="s">
        <v>185</v>
      </c>
      <c r="G78" s="112" t="s">
        <v>185</v>
      </c>
      <c r="H78" s="108" t="s">
        <v>176</v>
      </c>
      <c r="I78" s="175">
        <v>10</v>
      </c>
      <c r="J78" s="176"/>
      <c r="K78" s="176"/>
      <c r="L78" s="45"/>
      <c r="M78" s="108"/>
      <c r="N78" s="108"/>
      <c r="O78" s="45"/>
      <c r="P78" s="108"/>
      <c r="Q78" s="108"/>
      <c r="R78" s="45"/>
      <c r="S78" s="36"/>
      <c r="T78" s="36"/>
      <c r="U78" s="36"/>
      <c r="V78" s="36"/>
      <c r="W78" s="36"/>
      <c r="X78" s="36"/>
      <c r="Y78" s="108"/>
      <c r="Z78" s="108"/>
      <c r="AA78" s="45"/>
      <c r="AB78" s="108"/>
      <c r="AC78" s="108"/>
      <c r="AD78" s="45"/>
      <c r="AE78" s="108"/>
      <c r="AF78" s="108"/>
      <c r="AG78" s="45"/>
      <c r="AH78" s="108"/>
      <c r="AI78" s="108"/>
      <c r="AJ78" s="45"/>
      <c r="AK78" s="108"/>
      <c r="AL78" s="108"/>
      <c r="AM78" s="45"/>
      <c r="AN78" s="108"/>
      <c r="AO78" s="108"/>
      <c r="AP78" s="45"/>
      <c r="AQ78" s="108"/>
      <c r="AR78" s="108"/>
      <c r="AS78" s="45"/>
      <c r="AT78" s="108"/>
      <c r="AU78" s="108"/>
      <c r="AV78" s="45"/>
      <c r="AW78" s="36"/>
      <c r="AX78" s="36">
        <v>4928</v>
      </c>
      <c r="AY78" s="45" t="e">
        <f>AX78/AW78-1</f>
        <v>#DIV/0!</v>
      </c>
      <c r="AZ78" s="36">
        <f>AW78+AT78</f>
        <v>0</v>
      </c>
      <c r="BA78" s="36">
        <f>AX78+AU78</f>
        <v>4928</v>
      </c>
      <c r="BB78" s="45" t="e">
        <f>BA78/AZ78-1</f>
        <v>#DIV/0!</v>
      </c>
      <c r="BC78" s="36"/>
      <c r="BD78" s="36"/>
      <c r="BE78" s="45" t="e">
        <f t="shared" si="66"/>
        <v>#DIV/0!</v>
      </c>
      <c r="BF78" s="36">
        <f t="shared" si="67"/>
        <v>0</v>
      </c>
      <c r="BG78" s="36">
        <f t="shared" si="68"/>
        <v>4928</v>
      </c>
      <c r="BH78" s="45" t="e">
        <f t="shared" si="69"/>
        <v>#DIV/0!</v>
      </c>
      <c r="BI78" s="177"/>
      <c r="BJ78" s="177"/>
      <c r="BK78" s="45" t="e">
        <f t="shared" si="38"/>
        <v>#DIV/0!</v>
      </c>
      <c r="BL78" s="177">
        <f t="shared" si="39"/>
        <v>0</v>
      </c>
      <c r="BM78" s="177">
        <f t="shared" si="40"/>
        <v>4928</v>
      </c>
      <c r="BN78" s="45" t="e">
        <f t="shared" si="70"/>
        <v>#DIV/0!</v>
      </c>
      <c r="BO78" s="120"/>
      <c r="BP78" s="108"/>
      <c r="BQ78" s="108"/>
      <c r="BR78" s="115">
        <f t="shared" si="41"/>
        <v>0.04928</v>
      </c>
      <c r="BS78" s="108"/>
      <c r="BT78" s="108"/>
    </row>
    <row r="79" spans="1:72">
      <c r="A79" s="87" t="s">
        <v>30</v>
      </c>
      <c r="B79" s="87" t="s">
        <v>30</v>
      </c>
      <c r="C79" s="181" t="s">
        <v>254</v>
      </c>
      <c r="D79" s="112" t="s">
        <v>104</v>
      </c>
      <c r="E79" s="112" t="s">
        <v>104</v>
      </c>
      <c r="F79" s="112" t="s">
        <v>175</v>
      </c>
      <c r="G79" s="112" t="s">
        <v>175</v>
      </c>
      <c r="H79" s="108" t="s">
        <v>176</v>
      </c>
      <c r="I79" s="175"/>
      <c r="J79" s="176"/>
      <c r="K79" s="176"/>
      <c r="L79" s="45"/>
      <c r="M79" s="108"/>
      <c r="N79" s="108"/>
      <c r="O79" s="45"/>
      <c r="P79" s="108"/>
      <c r="Q79" s="108"/>
      <c r="R79" s="45"/>
      <c r="S79" s="36"/>
      <c r="T79" s="36"/>
      <c r="U79" s="36"/>
      <c r="V79" s="36"/>
      <c r="W79" s="36"/>
      <c r="X79" s="36"/>
      <c r="Y79" s="108"/>
      <c r="Z79" s="108"/>
      <c r="AA79" s="45"/>
      <c r="AB79" s="108"/>
      <c r="AC79" s="108"/>
      <c r="AD79" s="45"/>
      <c r="AE79" s="108"/>
      <c r="AF79" s="108"/>
      <c r="AG79" s="45"/>
      <c r="AH79" s="108"/>
      <c r="AI79" s="108"/>
      <c r="AJ79" s="45"/>
      <c r="AK79" s="108"/>
      <c r="AL79" s="108"/>
      <c r="AM79" s="45"/>
      <c r="AN79" s="108"/>
      <c r="AO79" s="108"/>
      <c r="AP79" s="45"/>
      <c r="AQ79" s="108"/>
      <c r="AR79" s="108"/>
      <c r="AS79" s="45"/>
      <c r="AT79" s="108"/>
      <c r="AU79" s="108"/>
      <c r="AV79" s="45"/>
      <c r="AW79" s="36"/>
      <c r="AX79" s="36"/>
      <c r="AY79" s="45"/>
      <c r="AZ79" s="36"/>
      <c r="BA79" s="36"/>
      <c r="BB79" s="45"/>
      <c r="BC79" s="36"/>
      <c r="BD79" s="36"/>
      <c r="BE79" s="45"/>
      <c r="BF79" s="36"/>
      <c r="BG79" s="36"/>
      <c r="BH79" s="45"/>
      <c r="BI79" s="177"/>
      <c r="BJ79" s="177">
        <v>27626</v>
      </c>
      <c r="BK79" s="45" t="e">
        <f t="shared" si="38"/>
        <v>#DIV/0!</v>
      </c>
      <c r="BL79" s="177">
        <f t="shared" si="39"/>
        <v>0</v>
      </c>
      <c r="BM79" s="177">
        <f t="shared" si="40"/>
        <v>27626</v>
      </c>
      <c r="BN79" s="45" t="e">
        <f t="shared" si="70"/>
        <v>#DIV/0!</v>
      </c>
      <c r="BO79" s="120"/>
      <c r="BP79" s="108"/>
      <c r="BQ79" s="108"/>
      <c r="BR79" s="115" t="e">
        <f t="shared" si="41"/>
        <v>#DIV/0!</v>
      </c>
      <c r="BS79" s="108"/>
      <c r="BT79" s="108"/>
    </row>
    <row r="80" spans="1:72">
      <c r="A80" s="110" t="s">
        <v>30</v>
      </c>
      <c r="B80" s="110" t="s">
        <v>30</v>
      </c>
      <c r="C80" s="111" t="s">
        <v>37</v>
      </c>
      <c r="D80" s="112"/>
      <c r="E80" s="112"/>
      <c r="F80" s="112"/>
      <c r="G80" s="112"/>
      <c r="H80" s="112"/>
      <c r="I80" s="125">
        <f t="shared" ref="I80:K80" si="71">SUBTOTAL(9,I3:I74)</f>
        <v>1441.88</v>
      </c>
      <c r="J80" s="29">
        <f t="shared" si="71"/>
        <v>757967.7</v>
      </c>
      <c r="K80" s="29">
        <f t="shared" si="71"/>
        <v>1062811.5</v>
      </c>
      <c r="L80" s="45">
        <f>K80/J80-1</f>
        <v>0.40218573957703</v>
      </c>
      <c r="M80" s="29">
        <f t="shared" ref="M80:Q80" si="72">SUBTOTAL(9,M3:M74)</f>
        <v>650701</v>
      </c>
      <c r="N80" s="29">
        <f t="shared" si="72"/>
        <v>653921.1</v>
      </c>
      <c r="O80" s="45">
        <f>N80/M80-1</f>
        <v>0.00494866305722597</v>
      </c>
      <c r="P80" s="29">
        <f t="shared" si="72"/>
        <v>1408668.7</v>
      </c>
      <c r="Q80" s="29">
        <f t="shared" si="72"/>
        <v>1716732.6</v>
      </c>
      <c r="R80" s="45">
        <f>Q80/P80-1</f>
        <v>0.218691520582519</v>
      </c>
      <c r="S80" s="29">
        <f t="shared" ref="S80:W80" si="73">SUBTOTAL(9,S3:S74)</f>
        <v>834107.08</v>
      </c>
      <c r="T80" s="29">
        <f t="shared" si="73"/>
        <v>1262815.5</v>
      </c>
      <c r="U80" s="45">
        <f>T80/S80-1</f>
        <v>0.513972882234736</v>
      </c>
      <c r="V80" s="29">
        <f t="shared" si="73"/>
        <v>2242775.78</v>
      </c>
      <c r="W80" s="29">
        <f t="shared" si="73"/>
        <v>2979548.1</v>
      </c>
      <c r="X80" s="45">
        <f>W80/V80-1</f>
        <v>0.328509129878333</v>
      </c>
      <c r="Y80" s="29">
        <f t="shared" ref="Y80:AC80" si="74">SUBTOTAL(9,Y3:Y74)</f>
        <v>1174295.4</v>
      </c>
      <c r="Z80" s="29">
        <f t="shared" si="74"/>
        <v>591900.56</v>
      </c>
      <c r="AA80" s="45">
        <f>Z80/Y80-1</f>
        <v>-0.495952585695218</v>
      </c>
      <c r="AB80" s="29">
        <f t="shared" si="74"/>
        <v>3417071.18</v>
      </c>
      <c r="AC80" s="29">
        <f t="shared" si="74"/>
        <v>3571448.66</v>
      </c>
      <c r="AD80" s="45">
        <f>AC80/AB80-1</f>
        <v>0.045178303836211</v>
      </c>
      <c r="AE80" s="29">
        <f t="shared" ref="AE80:AI80" si="75">SUBTOTAL(9,AE3:AE74)</f>
        <v>841508.5</v>
      </c>
      <c r="AF80" s="29">
        <f t="shared" si="75"/>
        <v>1004931.65</v>
      </c>
      <c r="AG80" s="45">
        <f>AF80/AE80-1</f>
        <v>0.194202613520838</v>
      </c>
      <c r="AH80" s="29">
        <f t="shared" si="75"/>
        <v>4258579.68</v>
      </c>
      <c r="AI80" s="29">
        <f t="shared" si="75"/>
        <v>4576380.31</v>
      </c>
      <c r="AJ80" s="45">
        <f>AI80/AH80-1</f>
        <v>0.0746259677827608</v>
      </c>
      <c r="AK80" s="29">
        <f t="shared" ref="AK80:AO80" si="76">SUBTOTAL(9,AK3:AK74)</f>
        <v>1079235.6</v>
      </c>
      <c r="AL80" s="29">
        <f t="shared" si="76"/>
        <v>1527170.63</v>
      </c>
      <c r="AM80" s="45">
        <f>AL80/AK80-1</f>
        <v>0.4150484194554</v>
      </c>
      <c r="AN80" s="29">
        <f t="shared" si="76"/>
        <v>5337815.28</v>
      </c>
      <c r="AO80" s="29">
        <f t="shared" si="76"/>
        <v>6103550.94</v>
      </c>
      <c r="AP80" s="45">
        <f>AO80/AN80-1</f>
        <v>0.143454881788266</v>
      </c>
      <c r="AQ80" s="29">
        <f>SUBTOTAL(9,AQ3:AQ74)</f>
        <v>767814</v>
      </c>
      <c r="AR80" s="29">
        <f t="shared" ref="AR80:AU80" si="77">SUBTOTAL(9,AR3:AR75)</f>
        <v>1057782.99</v>
      </c>
      <c r="AS80" s="45">
        <f>AR80/AQ80-1</f>
        <v>0.377655252443951</v>
      </c>
      <c r="AT80" s="29">
        <f t="shared" si="77"/>
        <v>6105629.28</v>
      </c>
      <c r="AU80" s="29">
        <f t="shared" si="77"/>
        <v>7161333.93</v>
      </c>
      <c r="AV80" s="45">
        <f>AU80/AT80-1</f>
        <v>0.172906772027272</v>
      </c>
      <c r="AW80" s="29">
        <f>SUBTOTAL(9,AW3:AW75)</f>
        <v>611076.9</v>
      </c>
      <c r="AX80" s="29">
        <f t="shared" ref="AX80:BA80" si="78">SUBTOTAL(9,AX3:AX78)</f>
        <v>976642.51</v>
      </c>
      <c r="AY80" s="45">
        <f>AX80/AW80-1</f>
        <v>0.598231761010766</v>
      </c>
      <c r="AZ80" s="29">
        <f t="shared" si="78"/>
        <v>6716706.18</v>
      </c>
      <c r="BA80" s="29">
        <f t="shared" si="78"/>
        <v>8137976.44</v>
      </c>
      <c r="BB80" s="45">
        <f>BA80/AZ80-1</f>
        <v>0.211602267824674</v>
      </c>
      <c r="BC80" s="29">
        <f t="shared" ref="BC80:BG80" si="79">SUBTOTAL(9,BC3:BC78)</f>
        <v>1467492.09</v>
      </c>
      <c r="BD80" s="29">
        <f t="shared" si="79"/>
        <v>781228.93</v>
      </c>
      <c r="BE80" s="45">
        <f>BD80/BC80-1</f>
        <v>-0.467643515543583</v>
      </c>
      <c r="BF80" s="29">
        <f t="shared" si="79"/>
        <v>8184198.27</v>
      </c>
      <c r="BG80" s="29">
        <f t="shared" si="79"/>
        <v>8919205.37</v>
      </c>
      <c r="BH80" s="45">
        <f>BG80/BF80-1</f>
        <v>0.089808075971747</v>
      </c>
      <c r="BI80" s="29">
        <f t="shared" ref="BI80:BM80" si="80">SUBTOTAL(9,BI3:BI79)</f>
        <v>2289433.89</v>
      </c>
      <c r="BJ80" s="29">
        <f t="shared" si="80"/>
        <v>911115.36</v>
      </c>
      <c r="BK80" s="45">
        <f t="shared" si="38"/>
        <v>-0.602034649709846</v>
      </c>
      <c r="BL80" s="29">
        <f t="shared" si="80"/>
        <v>10473632.16</v>
      </c>
      <c r="BM80" s="29">
        <f t="shared" si="80"/>
        <v>9830320.73</v>
      </c>
      <c r="BN80" s="45">
        <f t="shared" si="70"/>
        <v>-0.06142199956734</v>
      </c>
      <c r="BO80" s="126">
        <v>1909912.36</v>
      </c>
      <c r="BP80" s="126">
        <v>2428025.22</v>
      </c>
      <c r="BQ80" s="126">
        <v>15040266.74</v>
      </c>
      <c r="BR80" s="115">
        <f t="shared" si="41"/>
        <v>0.681771071795156</v>
      </c>
      <c r="BS80" s="108"/>
      <c r="BT80" s="108"/>
    </row>
  </sheetData>
  <mergeCells count="46"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AZ1:BA1"/>
    <mergeCell ref="BC1:BD1"/>
    <mergeCell ref="BF1:BG1"/>
    <mergeCell ref="BI1:BJ1"/>
    <mergeCell ref="BL1:BM1"/>
    <mergeCell ref="C1:C2"/>
    <mergeCell ref="D1:D2"/>
    <mergeCell ref="E1:E2"/>
    <mergeCell ref="F1:F2"/>
    <mergeCell ref="G1:G2"/>
    <mergeCell ref="H1:H2"/>
    <mergeCell ref="I1:I2"/>
    <mergeCell ref="L1:L2"/>
    <mergeCell ref="O1:O2"/>
    <mergeCell ref="R1:R2"/>
    <mergeCell ref="U1:U2"/>
    <mergeCell ref="X1:X2"/>
    <mergeCell ref="AA1:AA2"/>
    <mergeCell ref="AD1:AD2"/>
    <mergeCell ref="AG1:AG2"/>
    <mergeCell ref="AJ1:AJ2"/>
    <mergeCell ref="AM1:AM2"/>
    <mergeCell ref="AP1:AP2"/>
    <mergeCell ref="AS1:AS2"/>
    <mergeCell ref="AV1:AV2"/>
    <mergeCell ref="AY1:AY2"/>
    <mergeCell ref="BB1:BB2"/>
    <mergeCell ref="BE1:BE2"/>
    <mergeCell ref="BH1:BH2"/>
    <mergeCell ref="BK1:BK2"/>
    <mergeCell ref="BN1:BN2"/>
    <mergeCell ref="BR1:BR2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0000"/>
  </sheetPr>
  <dimension ref="A1:BT33"/>
  <sheetViews>
    <sheetView workbookViewId="0">
      <pane xSplit="9" ySplit="2" topLeftCell="J3" activePane="bottomRight" state="frozen"/>
      <selection/>
      <selection pane="topRight"/>
      <selection pane="bottomLeft"/>
      <selection pane="bottomRight" activeCell="BJ3" sqref="BJ3:BJ27"/>
    </sheetView>
  </sheetViews>
  <sheetFormatPr defaultColWidth="9" defaultRowHeight="14"/>
  <cols>
    <col min="1" max="1" width="6.25454545454545" style="130" customWidth="1"/>
    <col min="2" max="2" width="4.87272727272727" customWidth="1"/>
    <col min="3" max="3" width="25" customWidth="1"/>
    <col min="4" max="5" width="7.50909090909091" customWidth="1"/>
    <col min="6" max="6" width="11.1272727272727" style="7" customWidth="1"/>
    <col min="7" max="7" width="7.87272727272727" hidden="1" customWidth="1"/>
    <col min="8" max="9" width="9.25454545454545" customWidth="1"/>
    <col min="10" max="12" width="11.1272727272727" style="20" hidden="1" customWidth="1"/>
    <col min="13" max="24" width="10.1272727272727" hidden="1" customWidth="1"/>
    <col min="25" max="25" width="10.7545454545455" hidden="1" customWidth="1"/>
    <col min="26" max="30" width="9.25454545454545" hidden="1" customWidth="1"/>
    <col min="31" max="36" width="10.7545454545455" hidden="1" customWidth="1"/>
    <col min="37" max="42" width="10.7545454545455" style="131" hidden="1" customWidth="1"/>
    <col min="43" max="54" width="10.7545454545455" hidden="1" customWidth="1"/>
    <col min="55" max="60" width="10.7545454545455" style="131" hidden="1" customWidth="1"/>
    <col min="61" max="66" width="10.7545454545455" style="21" customWidth="1"/>
    <col min="67" max="69" width="10.7545454545455" style="21" hidden="1" customWidth="1"/>
    <col min="70" max="70" width="10.7545454545455" customWidth="1"/>
    <col min="71" max="71" width="9" hidden="1" customWidth="1"/>
    <col min="72" max="72" width="9.25454545454545" customWidth="1"/>
  </cols>
  <sheetData>
    <row r="1" spans="1:72">
      <c r="A1" s="29" t="s">
        <v>46</v>
      </c>
      <c r="B1" s="151" t="s">
        <v>47</v>
      </c>
      <c r="C1" s="151" t="s">
        <v>255</v>
      </c>
      <c r="D1" s="152" t="s">
        <v>49</v>
      </c>
      <c r="E1" s="153" t="s">
        <v>50</v>
      </c>
      <c r="F1" s="154" t="s">
        <v>51</v>
      </c>
      <c r="G1" s="155" t="s">
        <v>52</v>
      </c>
      <c r="H1" s="156" t="s">
        <v>53</v>
      </c>
      <c r="I1" s="156" t="s">
        <v>39</v>
      </c>
      <c r="J1" s="157" t="s">
        <v>3</v>
      </c>
      <c r="K1" s="67"/>
      <c r="L1" s="68" t="s">
        <v>4</v>
      </c>
      <c r="M1" s="23" t="s">
        <v>5</v>
      </c>
      <c r="N1" s="23"/>
      <c r="O1" s="24" t="s">
        <v>4</v>
      </c>
      <c r="P1" s="23" t="s">
        <v>40</v>
      </c>
      <c r="Q1" s="23"/>
      <c r="R1" s="24" t="s">
        <v>4</v>
      </c>
      <c r="S1" s="23" t="s">
        <v>6</v>
      </c>
      <c r="T1" s="23"/>
      <c r="U1" s="24" t="s">
        <v>4</v>
      </c>
      <c r="V1" s="23" t="s">
        <v>7</v>
      </c>
      <c r="W1" s="23"/>
      <c r="X1" s="24" t="s">
        <v>4</v>
      </c>
      <c r="Y1" s="23" t="s">
        <v>8</v>
      </c>
      <c r="Z1" s="23"/>
      <c r="AA1" s="24" t="s">
        <v>4</v>
      </c>
      <c r="AB1" s="23" t="s">
        <v>9</v>
      </c>
      <c r="AC1" s="23"/>
      <c r="AD1" s="24" t="s">
        <v>4</v>
      </c>
      <c r="AE1" s="23" t="s">
        <v>10</v>
      </c>
      <c r="AF1" s="23"/>
      <c r="AG1" s="24" t="s">
        <v>4</v>
      </c>
      <c r="AH1" s="23" t="s">
        <v>11</v>
      </c>
      <c r="AI1" s="23"/>
      <c r="AJ1" s="24" t="s">
        <v>4</v>
      </c>
      <c r="AK1" s="23" t="s">
        <v>12</v>
      </c>
      <c r="AL1" s="23"/>
      <c r="AM1" s="24" t="s">
        <v>4</v>
      </c>
      <c r="AN1" s="23" t="s">
        <v>13</v>
      </c>
      <c r="AO1" s="23"/>
      <c r="AP1" s="24" t="s">
        <v>4</v>
      </c>
      <c r="AQ1" s="23" t="s">
        <v>14</v>
      </c>
      <c r="AR1" s="23"/>
      <c r="AS1" s="24" t="s">
        <v>4</v>
      </c>
      <c r="AT1" s="23" t="s">
        <v>41</v>
      </c>
      <c r="AU1" s="23"/>
      <c r="AV1" s="71" t="s">
        <v>4</v>
      </c>
      <c r="AW1" s="23" t="s">
        <v>15</v>
      </c>
      <c r="AX1" s="23"/>
      <c r="AY1" s="24" t="s">
        <v>4</v>
      </c>
      <c r="AZ1" s="23" t="s">
        <v>42</v>
      </c>
      <c r="BA1" s="23"/>
      <c r="BB1" s="71" t="s">
        <v>4</v>
      </c>
      <c r="BC1" s="72" t="s">
        <v>16</v>
      </c>
      <c r="BD1" s="73"/>
      <c r="BE1" s="71" t="s">
        <v>4</v>
      </c>
      <c r="BF1" s="72" t="s">
        <v>18</v>
      </c>
      <c r="BG1" s="73"/>
      <c r="BH1" s="71" t="s">
        <v>4</v>
      </c>
      <c r="BI1" s="72" t="s">
        <v>19</v>
      </c>
      <c r="BJ1" s="73"/>
      <c r="BK1" s="71" t="s">
        <v>4</v>
      </c>
      <c r="BL1" s="72" t="s">
        <v>20</v>
      </c>
      <c r="BM1" s="73"/>
      <c r="BN1" s="71" t="s">
        <v>4</v>
      </c>
      <c r="BO1" s="158" t="s">
        <v>43</v>
      </c>
      <c r="BP1" s="158" t="s">
        <v>44</v>
      </c>
      <c r="BQ1" s="138" t="s">
        <v>135</v>
      </c>
      <c r="BR1" s="138" t="s">
        <v>21</v>
      </c>
      <c r="BS1" s="37"/>
      <c r="BT1" s="37"/>
    </row>
    <row r="2" ht="12" customHeight="1" spans="1:72">
      <c r="A2" s="29"/>
      <c r="B2" s="159"/>
      <c r="C2" s="159"/>
      <c r="D2" s="160"/>
      <c r="E2" s="153"/>
      <c r="F2" s="154"/>
      <c r="G2" s="161"/>
      <c r="H2" s="162"/>
      <c r="I2" s="162"/>
      <c r="J2" s="77" t="s">
        <v>22</v>
      </c>
      <c r="K2" s="77" t="s">
        <v>23</v>
      </c>
      <c r="L2" s="78"/>
      <c r="M2" s="30" t="s">
        <v>22</v>
      </c>
      <c r="N2" s="30" t="s">
        <v>23</v>
      </c>
      <c r="O2" s="24"/>
      <c r="P2" s="30" t="s">
        <v>22</v>
      </c>
      <c r="Q2" s="30" t="s">
        <v>23</v>
      </c>
      <c r="R2" s="24"/>
      <c r="S2" s="30" t="s">
        <v>22</v>
      </c>
      <c r="T2" s="30" t="s">
        <v>23</v>
      </c>
      <c r="U2" s="24"/>
      <c r="V2" s="30" t="s">
        <v>22</v>
      </c>
      <c r="W2" s="30" t="s">
        <v>23</v>
      </c>
      <c r="X2" s="24"/>
      <c r="Y2" s="30" t="s">
        <v>22</v>
      </c>
      <c r="Z2" s="30" t="s">
        <v>23</v>
      </c>
      <c r="AA2" s="24"/>
      <c r="AB2" s="30" t="s">
        <v>22</v>
      </c>
      <c r="AC2" s="30" t="s">
        <v>23</v>
      </c>
      <c r="AD2" s="24"/>
      <c r="AE2" s="30" t="s">
        <v>22</v>
      </c>
      <c r="AF2" s="30" t="s">
        <v>23</v>
      </c>
      <c r="AG2" s="24"/>
      <c r="AH2" s="30" t="s">
        <v>22</v>
      </c>
      <c r="AI2" s="30" t="s">
        <v>23</v>
      </c>
      <c r="AJ2" s="24"/>
      <c r="AK2" s="30" t="s">
        <v>22</v>
      </c>
      <c r="AL2" s="30" t="s">
        <v>23</v>
      </c>
      <c r="AM2" s="24"/>
      <c r="AN2" s="30" t="s">
        <v>22</v>
      </c>
      <c r="AO2" s="30" t="s">
        <v>23</v>
      </c>
      <c r="AP2" s="24"/>
      <c r="AQ2" s="30" t="s">
        <v>22</v>
      </c>
      <c r="AR2" s="30" t="s">
        <v>23</v>
      </c>
      <c r="AS2" s="24"/>
      <c r="AT2" s="30" t="s">
        <v>22</v>
      </c>
      <c r="AU2" s="30" t="s">
        <v>23</v>
      </c>
      <c r="AV2" s="71"/>
      <c r="AW2" s="30" t="s">
        <v>22</v>
      </c>
      <c r="AX2" s="30" t="s">
        <v>23</v>
      </c>
      <c r="AY2" s="24"/>
      <c r="AZ2" s="30" t="s">
        <v>22</v>
      </c>
      <c r="BA2" s="30" t="s">
        <v>23</v>
      </c>
      <c r="BB2" s="71"/>
      <c r="BC2" s="30" t="s">
        <v>22</v>
      </c>
      <c r="BD2" s="30" t="s">
        <v>23</v>
      </c>
      <c r="BE2" s="71"/>
      <c r="BF2" s="30" t="s">
        <v>22</v>
      </c>
      <c r="BG2" s="30" t="s">
        <v>23</v>
      </c>
      <c r="BH2" s="71"/>
      <c r="BI2" s="30" t="s">
        <v>22</v>
      </c>
      <c r="BJ2" s="30" t="s">
        <v>23</v>
      </c>
      <c r="BK2" s="71"/>
      <c r="BL2" s="30" t="s">
        <v>22</v>
      </c>
      <c r="BM2" s="30" t="s">
        <v>23</v>
      </c>
      <c r="BN2" s="71"/>
      <c r="BO2" s="29" t="s">
        <v>22</v>
      </c>
      <c r="BP2" s="29" t="s">
        <v>22</v>
      </c>
      <c r="BQ2" s="29" t="s">
        <v>22</v>
      </c>
      <c r="BR2" s="138"/>
      <c r="BS2" s="38" t="s">
        <v>256</v>
      </c>
      <c r="BT2" s="38" t="s">
        <v>257</v>
      </c>
    </row>
    <row r="3" spans="1:72">
      <c r="A3" s="29" t="s">
        <v>258</v>
      </c>
      <c r="B3" s="138" t="s">
        <v>258</v>
      </c>
      <c r="C3" s="54" t="s">
        <v>259</v>
      </c>
      <c r="D3" s="163" t="s">
        <v>67</v>
      </c>
      <c r="E3" s="163" t="s">
        <v>67</v>
      </c>
      <c r="F3" s="112" t="s">
        <v>260</v>
      </c>
      <c r="G3" s="54" t="s">
        <v>260</v>
      </c>
      <c r="H3" s="46" t="s">
        <v>261</v>
      </c>
      <c r="I3" s="46">
        <v>220</v>
      </c>
      <c r="J3" s="29">
        <v>365000</v>
      </c>
      <c r="K3" s="29">
        <f>73000+11500</f>
        <v>84500</v>
      </c>
      <c r="L3" s="114">
        <f>K3/J3-1</f>
        <v>-0.768493150684932</v>
      </c>
      <c r="M3" s="150">
        <v>30000</v>
      </c>
      <c r="N3" s="150">
        <f>15000+21876</f>
        <v>36876</v>
      </c>
      <c r="O3" s="114">
        <f t="shared" ref="O3:O27" si="0">N3/M3-1</f>
        <v>0.2292</v>
      </c>
      <c r="P3" s="150">
        <f>M3+J3</f>
        <v>395000</v>
      </c>
      <c r="Q3" s="150">
        <f>N3+K3</f>
        <v>121376</v>
      </c>
      <c r="R3" s="114">
        <f t="shared" ref="R3:R27" si="1">Q3/P3-1</f>
        <v>-0.692718987341772</v>
      </c>
      <c r="S3" s="46">
        <v>148000</v>
      </c>
      <c r="T3" s="46">
        <f>38155.54+91496-15078</f>
        <v>114573.54</v>
      </c>
      <c r="U3" s="114">
        <f t="shared" ref="U3:U27" si="2">T3/S3-1</f>
        <v>-0.225854459459459</v>
      </c>
      <c r="V3" s="36">
        <f>S3+P3</f>
        <v>543000</v>
      </c>
      <c r="W3" s="36">
        <f>T3+Q3</f>
        <v>235949.54</v>
      </c>
      <c r="X3" s="114">
        <f>W3/V3-1</f>
        <v>-0.565470460405157</v>
      </c>
      <c r="Y3" s="46">
        <v>115000</v>
      </c>
      <c r="Z3" s="46">
        <v>156103</v>
      </c>
      <c r="AA3" s="114">
        <f t="shared" ref="AA3:AA28" si="3">Z3/Y3-1</f>
        <v>0.357417391304348</v>
      </c>
      <c r="AB3" s="46">
        <f>Y3+V3</f>
        <v>658000</v>
      </c>
      <c r="AC3" s="46">
        <f>Z3+W3</f>
        <v>392052.54</v>
      </c>
      <c r="AD3" s="114">
        <f>AC3/AB3-1</f>
        <v>-0.40417547112462</v>
      </c>
      <c r="AE3" s="46">
        <v>171600</v>
      </c>
      <c r="AF3" s="46">
        <v>51953</v>
      </c>
      <c r="AG3" s="114">
        <f>AF3/AE3-1</f>
        <v>-0.69724358974359</v>
      </c>
      <c r="AH3" s="46">
        <f>AE3+AB3</f>
        <v>829600</v>
      </c>
      <c r="AI3" s="46">
        <f>AF3+AC3</f>
        <v>444005.54</v>
      </c>
      <c r="AJ3" s="114">
        <f>AI3/AH3-1</f>
        <v>-0.464795636451302</v>
      </c>
      <c r="AK3" s="36">
        <v>165430.3</v>
      </c>
      <c r="AL3" s="36">
        <v>113309</v>
      </c>
      <c r="AM3" s="114">
        <f>AL3/AK3-1</f>
        <v>-0.315065015296472</v>
      </c>
      <c r="AN3" s="36">
        <f>AK3+AH3</f>
        <v>995030.3</v>
      </c>
      <c r="AO3" s="36">
        <f>AL3+AI3</f>
        <v>557314.54</v>
      </c>
      <c r="AP3" s="114">
        <f>AO3/AN3-1</f>
        <v>-0.43990194067457</v>
      </c>
      <c r="AQ3" s="46">
        <v>130000</v>
      </c>
      <c r="AR3" s="46">
        <v>18500</v>
      </c>
      <c r="AS3" s="114">
        <f t="shared" ref="AS3:AS31" si="4">AR3/AQ3-1</f>
        <v>-0.857692307692308</v>
      </c>
      <c r="AT3" s="46">
        <f>AQ3+AN3</f>
        <v>1125030.3</v>
      </c>
      <c r="AU3" s="46">
        <f>AR3+AO3</f>
        <v>575814.54</v>
      </c>
      <c r="AV3" s="114">
        <f>AU3/AT3-1</f>
        <v>-0.488178638388673</v>
      </c>
      <c r="AW3" s="46">
        <v>110000</v>
      </c>
      <c r="AX3" s="46">
        <v>80100</v>
      </c>
      <c r="AY3" s="114">
        <f>AX3/AW3-1</f>
        <v>-0.271818181818182</v>
      </c>
      <c r="AZ3" s="46">
        <f>AW3+AT3</f>
        <v>1235030.3</v>
      </c>
      <c r="BA3" s="46">
        <f>AX3+AU3</f>
        <v>655914.54</v>
      </c>
      <c r="BB3" s="114">
        <f>BA3/AZ3-1</f>
        <v>-0.468908139338768</v>
      </c>
      <c r="BC3" s="36">
        <v>220362</v>
      </c>
      <c r="BD3" s="36">
        <f>2800+58867</f>
        <v>61667</v>
      </c>
      <c r="BE3" s="114">
        <f>BD3/BC3-1</f>
        <v>-0.72015592525027</v>
      </c>
      <c r="BF3" s="36">
        <f>BC3+AZ3</f>
        <v>1455392.3</v>
      </c>
      <c r="BG3" s="36">
        <f>BD3+BA3</f>
        <v>717581.54</v>
      </c>
      <c r="BH3" s="114">
        <f>BG3/BF3-1</f>
        <v>-0.506949748188169</v>
      </c>
      <c r="BI3" s="44">
        <v>194142</v>
      </c>
      <c r="BJ3" s="44">
        <v>8362</v>
      </c>
      <c r="BK3" s="114">
        <f>BJ3/BI3-1</f>
        <v>-0.956928433826787</v>
      </c>
      <c r="BL3" s="44">
        <f>BI3+BF3</f>
        <v>1649534.3</v>
      </c>
      <c r="BM3" s="44">
        <f>BJ3+BG3</f>
        <v>725943.54</v>
      </c>
      <c r="BN3" s="114">
        <f>BM3/BL3-1</f>
        <v>-0.559910006115059</v>
      </c>
      <c r="BO3" s="44">
        <v>187500</v>
      </c>
      <c r="BP3" s="44">
        <v>177140</v>
      </c>
      <c r="BQ3" s="44">
        <v>2014174.3</v>
      </c>
      <c r="BR3" s="45">
        <f>BM3/10000/I3</f>
        <v>0.329974336363636</v>
      </c>
      <c r="BS3" s="38">
        <v>63600</v>
      </c>
      <c r="BT3" s="37"/>
    </row>
    <row r="4" ht="15" spans="1:72">
      <c r="A4" s="29" t="s">
        <v>258</v>
      </c>
      <c r="B4" s="138" t="s">
        <v>262</v>
      </c>
      <c r="C4" s="164" t="s">
        <v>263</v>
      </c>
      <c r="D4" s="163" t="s">
        <v>58</v>
      </c>
      <c r="E4" s="163" t="s">
        <v>58</v>
      </c>
      <c r="F4" s="112" t="s">
        <v>264</v>
      </c>
      <c r="G4" s="54" t="s">
        <v>265</v>
      </c>
      <c r="H4" s="46" t="s">
        <v>266</v>
      </c>
      <c r="I4" s="165">
        <v>200</v>
      </c>
      <c r="J4" s="29">
        <v>203140.4</v>
      </c>
      <c r="K4" s="29">
        <v>211568</v>
      </c>
      <c r="L4" s="114">
        <f t="shared" ref="L4:L27" si="5">K4/J4-1</f>
        <v>0.0414865777560742</v>
      </c>
      <c r="M4" s="150">
        <v>108325</v>
      </c>
      <c r="N4" s="150">
        <v>126251</v>
      </c>
      <c r="O4" s="114">
        <f t="shared" si="0"/>
        <v>0.165483498730672</v>
      </c>
      <c r="P4" s="150">
        <f t="shared" ref="P4:P26" si="6">M4+J4</f>
        <v>311465.4</v>
      </c>
      <c r="Q4" s="150">
        <f t="shared" ref="Q4:Q26" si="7">N4+K4</f>
        <v>337819</v>
      </c>
      <c r="R4" s="114">
        <f t="shared" si="1"/>
        <v>0.0846116454668799</v>
      </c>
      <c r="S4" s="46">
        <v>64094</v>
      </c>
      <c r="T4" s="46">
        <v>164562</v>
      </c>
      <c r="U4" s="114">
        <f t="shared" si="2"/>
        <v>1.56751021936531</v>
      </c>
      <c r="V4" s="36">
        <f t="shared" ref="V4:V26" si="8">S4+P4</f>
        <v>375559.4</v>
      </c>
      <c r="W4" s="36">
        <f t="shared" ref="W4:W26" si="9">T4+Q4</f>
        <v>502381</v>
      </c>
      <c r="X4" s="114">
        <f t="shared" ref="X4:X27" si="10">W4/V4-1</f>
        <v>0.33768719408967</v>
      </c>
      <c r="Y4" s="46">
        <v>66218</v>
      </c>
      <c r="Z4" s="46">
        <v>103867</v>
      </c>
      <c r="AA4" s="114">
        <f t="shared" si="3"/>
        <v>0.568561418345465</v>
      </c>
      <c r="AB4" s="46">
        <f t="shared" ref="AB4:AB27" si="11">Y4+V4</f>
        <v>441777.4</v>
      </c>
      <c r="AC4" s="46">
        <f t="shared" ref="AC4:AC27" si="12">Z4+W4</f>
        <v>606248</v>
      </c>
      <c r="AD4" s="114">
        <f t="shared" ref="AD4:AD28" si="13">AC4/AB4-1</f>
        <v>0.372292923992943</v>
      </c>
      <c r="AE4" s="46">
        <v>62805</v>
      </c>
      <c r="AF4" s="46">
        <f>95846+40500</f>
        <v>136346</v>
      </c>
      <c r="AG4" s="114">
        <f t="shared" ref="AG4:AG30" si="14">AF4/AE4-1</f>
        <v>1.1709418039965</v>
      </c>
      <c r="AH4" s="46">
        <f t="shared" ref="AH4:AH30" si="15">AE4+AB4</f>
        <v>504582.4</v>
      </c>
      <c r="AI4" s="46">
        <f t="shared" ref="AI4:AI30" si="16">AF4+AC4</f>
        <v>742594</v>
      </c>
      <c r="AJ4" s="114">
        <f t="shared" ref="AJ4:AJ30" si="17">AI4/AH4-1</f>
        <v>0.471700162352076</v>
      </c>
      <c r="AK4" s="36">
        <v>109740</v>
      </c>
      <c r="AL4" s="36">
        <v>208633</v>
      </c>
      <c r="AM4" s="114">
        <f t="shared" ref="AM4:AM30" si="18">AL4/AK4-1</f>
        <v>0.901157280845635</v>
      </c>
      <c r="AN4" s="36">
        <f t="shared" ref="AN4:AN30" si="19">AK4+AH4</f>
        <v>614322.4</v>
      </c>
      <c r="AO4" s="36">
        <f t="shared" ref="AO4:AO30" si="20">AL4+AI4</f>
        <v>951227</v>
      </c>
      <c r="AP4" s="114">
        <f t="shared" ref="AP4:AP30" si="21">AO4/AN4-1</f>
        <v>0.548416596887888</v>
      </c>
      <c r="AQ4" s="46">
        <v>81839</v>
      </c>
      <c r="AR4" s="46">
        <v>124398</v>
      </c>
      <c r="AS4" s="114">
        <f t="shared" si="4"/>
        <v>0.520033235987732</v>
      </c>
      <c r="AT4" s="46">
        <f t="shared" ref="AT4:AT30" si="22">AQ4+AN4</f>
        <v>696161.4</v>
      </c>
      <c r="AU4" s="46">
        <f t="shared" ref="AU4:AU30" si="23">AR4+AO4</f>
        <v>1075625</v>
      </c>
      <c r="AV4" s="114">
        <f t="shared" ref="AV4:AV31" si="24">AU4/AT4-1</f>
        <v>0.545079919685291</v>
      </c>
      <c r="AW4" s="46">
        <v>111235</v>
      </c>
      <c r="AX4" s="46">
        <v>61741</v>
      </c>
      <c r="AY4" s="114">
        <f t="shared" ref="AY4:AY31" si="25">AX4/AW4-1</f>
        <v>-0.444949880882816</v>
      </c>
      <c r="AZ4" s="46">
        <f t="shared" ref="AZ4:AZ30" si="26">AW4+AT4</f>
        <v>807396.4</v>
      </c>
      <c r="BA4" s="46">
        <f t="shared" ref="BA4:BA30" si="27">AX4+AU4</f>
        <v>1137366</v>
      </c>
      <c r="BB4" s="114">
        <f t="shared" ref="BB4:BB31" si="28">BA4/AZ4-1</f>
        <v>0.408683516547758</v>
      </c>
      <c r="BC4" s="36">
        <v>85147</v>
      </c>
      <c r="BD4" s="36">
        <f>88360+20000</f>
        <v>108360</v>
      </c>
      <c r="BE4" s="114">
        <f t="shared" ref="BE4:BE32" si="29">BD4/BC4-1</f>
        <v>0.272622640844657</v>
      </c>
      <c r="BF4" s="36">
        <f t="shared" ref="BF4:BF32" si="30">BC4+AZ4</f>
        <v>892543.4</v>
      </c>
      <c r="BG4" s="36">
        <f t="shared" ref="BG4:BG32" si="31">BD4+BA4</f>
        <v>1245726</v>
      </c>
      <c r="BH4" s="114">
        <f t="shared" ref="BH4:BH32" si="32">BG4/BF4-1</f>
        <v>0.395703559065027</v>
      </c>
      <c r="BI4" s="44">
        <v>232045</v>
      </c>
      <c r="BJ4" s="44">
        <f>73131+20200</f>
        <v>93331</v>
      </c>
      <c r="BK4" s="114">
        <f t="shared" ref="BK4:BK32" si="33">BJ4/BI4-1</f>
        <v>-0.597789221918162</v>
      </c>
      <c r="BL4" s="44">
        <f t="shared" ref="BL4:BL31" si="34">BI4+BF4</f>
        <v>1124588.4</v>
      </c>
      <c r="BM4" s="44">
        <f t="shared" ref="BM4:BM31" si="35">BJ4+BG4</f>
        <v>1339057</v>
      </c>
      <c r="BN4" s="114">
        <f t="shared" ref="BN4:BN32" si="36">BM4/BL4-1</f>
        <v>0.19070852944953</v>
      </c>
      <c r="BO4" s="44">
        <v>330393</v>
      </c>
      <c r="BP4" s="44">
        <v>298629</v>
      </c>
      <c r="BQ4" s="44">
        <v>1753610.4</v>
      </c>
      <c r="BR4" s="45">
        <f t="shared" ref="BR4:BR32" si="37">BM4/10000/I4</f>
        <v>0.6695285</v>
      </c>
      <c r="BS4" s="38"/>
      <c r="BT4" s="38">
        <f>20500+20000+20000+20200</f>
        <v>80700</v>
      </c>
    </row>
    <row r="5" s="7" customFormat="1" spans="1:72">
      <c r="A5" s="29" t="s">
        <v>258</v>
      </c>
      <c r="B5" s="138" t="s">
        <v>258</v>
      </c>
      <c r="C5" s="166" t="s">
        <v>267</v>
      </c>
      <c r="D5" s="167" t="s">
        <v>81</v>
      </c>
      <c r="E5" s="163" t="s">
        <v>81</v>
      </c>
      <c r="F5" s="112" t="s">
        <v>268</v>
      </c>
      <c r="G5" s="112" t="s">
        <v>82</v>
      </c>
      <c r="H5" s="46" t="s">
        <v>269</v>
      </c>
      <c r="I5" s="46"/>
      <c r="J5" s="29">
        <v>97567.31</v>
      </c>
      <c r="K5" s="29">
        <v>170180.19</v>
      </c>
      <c r="L5" s="114">
        <f t="shared" si="5"/>
        <v>0.744233698766523</v>
      </c>
      <c r="M5" s="150"/>
      <c r="N5" s="150">
        <v>33500.8</v>
      </c>
      <c r="O5" s="114" t="e">
        <f t="shared" si="0"/>
        <v>#DIV/0!</v>
      </c>
      <c r="P5" s="150">
        <f t="shared" si="6"/>
        <v>97567.31</v>
      </c>
      <c r="Q5" s="150">
        <f t="shared" si="7"/>
        <v>203680.99</v>
      </c>
      <c r="R5" s="114">
        <f t="shared" si="1"/>
        <v>1.08759460520127</v>
      </c>
      <c r="S5" s="46"/>
      <c r="T5" s="46">
        <v>337846.67</v>
      </c>
      <c r="U5" s="114" t="e">
        <f t="shared" si="2"/>
        <v>#DIV/0!</v>
      </c>
      <c r="V5" s="36">
        <f t="shared" si="8"/>
        <v>97567.31</v>
      </c>
      <c r="W5" s="36">
        <f t="shared" si="9"/>
        <v>541527.66</v>
      </c>
      <c r="X5" s="114">
        <f t="shared" si="10"/>
        <v>4.55029814801699</v>
      </c>
      <c r="Y5" s="46">
        <v>240583.45</v>
      </c>
      <c r="Z5" s="46">
        <f>204513.1+40000</f>
        <v>244513.1</v>
      </c>
      <c r="AA5" s="114">
        <f t="shared" si="3"/>
        <v>0.0163338334370049</v>
      </c>
      <c r="AB5" s="46">
        <f t="shared" si="11"/>
        <v>338150.76</v>
      </c>
      <c r="AC5" s="46">
        <f t="shared" si="12"/>
        <v>786040.76</v>
      </c>
      <c r="AD5" s="114">
        <f t="shared" si="13"/>
        <v>1.32452755688025</v>
      </c>
      <c r="AE5" s="46">
        <v>100835.81</v>
      </c>
      <c r="AF5" s="46">
        <f>177019.03+16000</f>
        <v>193019.03</v>
      </c>
      <c r="AG5" s="114">
        <f t="shared" si="14"/>
        <v>0.914191297714572</v>
      </c>
      <c r="AH5" s="46">
        <f t="shared" si="15"/>
        <v>438986.57</v>
      </c>
      <c r="AI5" s="46">
        <f t="shared" si="16"/>
        <v>979059.79</v>
      </c>
      <c r="AJ5" s="114">
        <f t="shared" si="17"/>
        <v>1.23027276210295</v>
      </c>
      <c r="AK5" s="36">
        <v>64337.91</v>
      </c>
      <c r="AL5" s="36">
        <v>241756.98</v>
      </c>
      <c r="AM5" s="114">
        <f t="shared" si="18"/>
        <v>2.75761320192092</v>
      </c>
      <c r="AN5" s="36">
        <f t="shared" si="19"/>
        <v>503324.48</v>
      </c>
      <c r="AO5" s="36">
        <f t="shared" si="20"/>
        <v>1220816.77</v>
      </c>
      <c r="AP5" s="114">
        <f t="shared" si="21"/>
        <v>1.42550644466965</v>
      </c>
      <c r="AQ5" s="46">
        <v>130913.08</v>
      </c>
      <c r="AR5" s="46">
        <v>124862.42</v>
      </c>
      <c r="AS5" s="114">
        <f t="shared" si="4"/>
        <v>-0.046218911051516</v>
      </c>
      <c r="AT5" s="46">
        <f t="shared" si="22"/>
        <v>634237.56</v>
      </c>
      <c r="AU5" s="46">
        <f t="shared" si="23"/>
        <v>1345679.19</v>
      </c>
      <c r="AV5" s="114">
        <f t="shared" si="24"/>
        <v>1.1217273697887</v>
      </c>
      <c r="AW5" s="46">
        <v>41058.21</v>
      </c>
      <c r="AX5" s="46"/>
      <c r="AY5" s="114">
        <f t="shared" si="25"/>
        <v>-1</v>
      </c>
      <c r="AZ5" s="46">
        <f t="shared" si="26"/>
        <v>675295.77</v>
      </c>
      <c r="BA5" s="46">
        <f t="shared" si="27"/>
        <v>1345679.19</v>
      </c>
      <c r="BB5" s="114">
        <f t="shared" si="28"/>
        <v>0.992725631910889</v>
      </c>
      <c r="BC5" s="36">
        <v>115479.04</v>
      </c>
      <c r="BD5" s="36">
        <v>10000</v>
      </c>
      <c r="BE5" s="114">
        <f t="shared" si="29"/>
        <v>-0.913404198718659</v>
      </c>
      <c r="BF5" s="36">
        <f t="shared" si="30"/>
        <v>790774.81</v>
      </c>
      <c r="BG5" s="36">
        <f t="shared" si="31"/>
        <v>1355679.19</v>
      </c>
      <c r="BH5" s="114">
        <f t="shared" si="32"/>
        <v>0.71436820300333</v>
      </c>
      <c r="BI5" s="44">
        <v>171817.37</v>
      </c>
      <c r="BJ5" s="44">
        <v>39700</v>
      </c>
      <c r="BK5" s="114">
        <f t="shared" si="33"/>
        <v>-0.768940707217204</v>
      </c>
      <c r="BL5" s="44">
        <f t="shared" si="34"/>
        <v>962592.18</v>
      </c>
      <c r="BM5" s="44">
        <f t="shared" si="35"/>
        <v>1395379.19</v>
      </c>
      <c r="BN5" s="114">
        <f t="shared" si="36"/>
        <v>0.449605782170389</v>
      </c>
      <c r="BO5" s="44">
        <v>249700.3</v>
      </c>
      <c r="BP5" s="44">
        <v>153495.25</v>
      </c>
      <c r="BQ5" s="44">
        <v>1365787.73</v>
      </c>
      <c r="BR5" s="45" t="e">
        <f t="shared" si="37"/>
        <v>#DIV/0!</v>
      </c>
      <c r="BS5" s="168">
        <v>46300</v>
      </c>
      <c r="BT5" s="168">
        <f>40000+16000+10000+39700</f>
        <v>105700</v>
      </c>
    </row>
    <row r="6" spans="1:72">
      <c r="A6" s="29" t="s">
        <v>258</v>
      </c>
      <c r="B6" s="138" t="s">
        <v>258</v>
      </c>
      <c r="C6" s="54" t="s">
        <v>270</v>
      </c>
      <c r="D6" s="163" t="s">
        <v>86</v>
      </c>
      <c r="E6" s="163" t="s">
        <v>86</v>
      </c>
      <c r="F6" s="112" t="s">
        <v>268</v>
      </c>
      <c r="G6" s="54" t="s">
        <v>271</v>
      </c>
      <c r="H6" s="46" t="s">
        <v>272</v>
      </c>
      <c r="I6" s="46"/>
      <c r="J6" s="29">
        <v>17958</v>
      </c>
      <c r="K6" s="29"/>
      <c r="L6" s="114">
        <f t="shared" si="5"/>
        <v>-1</v>
      </c>
      <c r="M6" s="150">
        <v>3966</v>
      </c>
      <c r="N6" s="150"/>
      <c r="O6" s="114">
        <f t="shared" si="0"/>
        <v>-1</v>
      </c>
      <c r="P6" s="150">
        <f t="shared" si="6"/>
        <v>21924</v>
      </c>
      <c r="Q6" s="150">
        <f t="shared" si="7"/>
        <v>0</v>
      </c>
      <c r="R6" s="114">
        <f t="shared" si="1"/>
        <v>-1</v>
      </c>
      <c r="S6" s="46">
        <v>6800</v>
      </c>
      <c r="T6" s="46"/>
      <c r="U6" s="114">
        <f t="shared" si="2"/>
        <v>-1</v>
      </c>
      <c r="V6" s="36">
        <f t="shared" si="8"/>
        <v>28724</v>
      </c>
      <c r="W6" s="36">
        <f t="shared" si="9"/>
        <v>0</v>
      </c>
      <c r="X6" s="114">
        <f t="shared" si="10"/>
        <v>-1</v>
      </c>
      <c r="Y6" s="46"/>
      <c r="Z6" s="46"/>
      <c r="AA6" s="114" t="e">
        <f t="shared" si="3"/>
        <v>#DIV/0!</v>
      </c>
      <c r="AB6" s="46">
        <f t="shared" si="11"/>
        <v>28724</v>
      </c>
      <c r="AC6" s="46">
        <f t="shared" si="12"/>
        <v>0</v>
      </c>
      <c r="AD6" s="114">
        <f t="shared" si="13"/>
        <v>-1</v>
      </c>
      <c r="AE6" s="46"/>
      <c r="AF6" s="46"/>
      <c r="AG6" s="114" t="e">
        <f t="shared" si="14"/>
        <v>#DIV/0!</v>
      </c>
      <c r="AH6" s="46">
        <f t="shared" si="15"/>
        <v>28724</v>
      </c>
      <c r="AI6" s="46">
        <f t="shared" si="16"/>
        <v>0</v>
      </c>
      <c r="AJ6" s="114">
        <f t="shared" si="17"/>
        <v>-1</v>
      </c>
      <c r="AK6" s="36"/>
      <c r="AL6" s="36"/>
      <c r="AM6" s="114" t="e">
        <f t="shared" si="18"/>
        <v>#DIV/0!</v>
      </c>
      <c r="AN6" s="36">
        <f t="shared" si="19"/>
        <v>28724</v>
      </c>
      <c r="AO6" s="36">
        <f t="shared" si="20"/>
        <v>0</v>
      </c>
      <c r="AP6" s="114">
        <f t="shared" si="21"/>
        <v>-1</v>
      </c>
      <c r="AQ6" s="46"/>
      <c r="AR6" s="46"/>
      <c r="AS6" s="114" t="e">
        <f t="shared" si="4"/>
        <v>#DIV/0!</v>
      </c>
      <c r="AT6" s="46">
        <f t="shared" si="22"/>
        <v>28724</v>
      </c>
      <c r="AU6" s="46">
        <f t="shared" si="23"/>
        <v>0</v>
      </c>
      <c r="AV6" s="114">
        <f t="shared" si="24"/>
        <v>-1</v>
      </c>
      <c r="AW6" s="46"/>
      <c r="AX6" s="46"/>
      <c r="AY6" s="114" t="e">
        <f t="shared" si="25"/>
        <v>#DIV/0!</v>
      </c>
      <c r="AZ6" s="46">
        <f t="shared" si="26"/>
        <v>28724</v>
      </c>
      <c r="BA6" s="46">
        <f t="shared" si="27"/>
        <v>0</v>
      </c>
      <c r="BB6" s="114">
        <f t="shared" si="28"/>
        <v>-1</v>
      </c>
      <c r="BC6" s="36"/>
      <c r="BD6" s="36"/>
      <c r="BE6" s="114" t="e">
        <f t="shared" si="29"/>
        <v>#DIV/0!</v>
      </c>
      <c r="BF6" s="36">
        <f t="shared" si="30"/>
        <v>28724</v>
      </c>
      <c r="BG6" s="36">
        <f t="shared" si="31"/>
        <v>0</v>
      </c>
      <c r="BH6" s="114">
        <f t="shared" si="32"/>
        <v>-1</v>
      </c>
      <c r="BI6" s="44"/>
      <c r="BJ6" s="44"/>
      <c r="BK6" s="114" t="e">
        <f t="shared" si="33"/>
        <v>#DIV/0!</v>
      </c>
      <c r="BL6" s="44">
        <f t="shared" si="34"/>
        <v>28724</v>
      </c>
      <c r="BM6" s="44">
        <f t="shared" si="35"/>
        <v>0</v>
      </c>
      <c r="BN6" s="114">
        <f t="shared" si="36"/>
        <v>-1</v>
      </c>
      <c r="BO6" s="44"/>
      <c r="BP6" s="44"/>
      <c r="BQ6" s="44">
        <v>28724</v>
      </c>
      <c r="BR6" s="45" t="e">
        <f t="shared" si="37"/>
        <v>#DIV/0!</v>
      </c>
      <c r="BS6" s="37"/>
      <c r="BT6" s="37"/>
    </row>
    <row r="7" ht="15" customHeight="1" spans="1:72">
      <c r="A7" s="29" t="s">
        <v>258</v>
      </c>
      <c r="B7" s="138" t="s">
        <v>262</v>
      </c>
      <c r="C7" s="54" t="s">
        <v>273</v>
      </c>
      <c r="D7" s="163" t="s">
        <v>67</v>
      </c>
      <c r="E7" s="163" t="s">
        <v>67</v>
      </c>
      <c r="F7" s="112" t="s">
        <v>264</v>
      </c>
      <c r="G7" s="54" t="s">
        <v>274</v>
      </c>
      <c r="H7" s="46" t="s">
        <v>266</v>
      </c>
      <c r="I7" s="165">
        <v>80</v>
      </c>
      <c r="J7" s="29">
        <v>25400</v>
      </c>
      <c r="K7" s="29">
        <f>3850+26880</f>
        <v>30730</v>
      </c>
      <c r="L7" s="114">
        <f t="shared" si="5"/>
        <v>0.209842519685039</v>
      </c>
      <c r="M7" s="150">
        <v>10400</v>
      </c>
      <c r="N7" s="150"/>
      <c r="O7" s="114">
        <f t="shared" si="0"/>
        <v>-1</v>
      </c>
      <c r="P7" s="150">
        <f t="shared" si="6"/>
        <v>35800</v>
      </c>
      <c r="Q7" s="150">
        <f t="shared" si="7"/>
        <v>30730</v>
      </c>
      <c r="R7" s="114">
        <f t="shared" si="1"/>
        <v>-0.141620111731844</v>
      </c>
      <c r="S7" s="46">
        <v>30900</v>
      </c>
      <c r="T7" s="46">
        <f>11396+20456</f>
        <v>31852</v>
      </c>
      <c r="U7" s="114">
        <f t="shared" si="2"/>
        <v>0.0308090614886731</v>
      </c>
      <c r="V7" s="36">
        <f t="shared" si="8"/>
        <v>66700</v>
      </c>
      <c r="W7" s="36">
        <f t="shared" si="9"/>
        <v>62582</v>
      </c>
      <c r="X7" s="114">
        <f t="shared" si="10"/>
        <v>-0.0617391304347826</v>
      </c>
      <c r="Y7" s="46">
        <v>32900</v>
      </c>
      <c r="Z7" s="46">
        <v>39671</v>
      </c>
      <c r="AA7" s="114">
        <f t="shared" si="3"/>
        <v>0.20580547112462</v>
      </c>
      <c r="AB7" s="46">
        <f t="shared" si="11"/>
        <v>99600</v>
      </c>
      <c r="AC7" s="46">
        <f t="shared" si="12"/>
        <v>102253</v>
      </c>
      <c r="AD7" s="114">
        <f t="shared" si="13"/>
        <v>0.0266365461847389</v>
      </c>
      <c r="AE7" s="46">
        <v>65953</v>
      </c>
      <c r="AF7" s="46">
        <f>3394+45002</f>
        <v>48396</v>
      </c>
      <c r="AG7" s="114">
        <f t="shared" si="14"/>
        <v>-0.26620472154413</v>
      </c>
      <c r="AH7" s="46">
        <f t="shared" si="15"/>
        <v>165553</v>
      </c>
      <c r="AI7" s="46">
        <f t="shared" si="16"/>
        <v>150649</v>
      </c>
      <c r="AJ7" s="114">
        <f t="shared" si="17"/>
        <v>-0.0900255507299778</v>
      </c>
      <c r="AK7" s="36">
        <v>14600</v>
      </c>
      <c r="AL7" s="36">
        <v>79258</v>
      </c>
      <c r="AM7" s="114">
        <f t="shared" si="18"/>
        <v>4.4286301369863</v>
      </c>
      <c r="AN7" s="36">
        <f t="shared" si="19"/>
        <v>180153</v>
      </c>
      <c r="AO7" s="36">
        <f t="shared" si="20"/>
        <v>229907</v>
      </c>
      <c r="AP7" s="114">
        <f t="shared" si="21"/>
        <v>0.276176361204088</v>
      </c>
      <c r="AQ7" s="46">
        <v>20800</v>
      </c>
      <c r="AR7" s="46"/>
      <c r="AS7" s="114">
        <f t="shared" si="4"/>
        <v>-1</v>
      </c>
      <c r="AT7" s="46">
        <f t="shared" si="22"/>
        <v>200953</v>
      </c>
      <c r="AU7" s="46">
        <f t="shared" si="23"/>
        <v>229907</v>
      </c>
      <c r="AV7" s="114">
        <f t="shared" si="24"/>
        <v>0.144083442396978</v>
      </c>
      <c r="AW7" s="46">
        <v>49150</v>
      </c>
      <c r="AX7" s="46">
        <v>11352</v>
      </c>
      <c r="AY7" s="114">
        <f t="shared" si="25"/>
        <v>-0.769033570701933</v>
      </c>
      <c r="AZ7" s="46">
        <f t="shared" si="26"/>
        <v>250103</v>
      </c>
      <c r="BA7" s="46">
        <f t="shared" si="27"/>
        <v>241259</v>
      </c>
      <c r="BB7" s="114">
        <f t="shared" si="28"/>
        <v>-0.0353614310903908</v>
      </c>
      <c r="BC7" s="36">
        <v>24900</v>
      </c>
      <c r="BD7" s="36">
        <f>3080+12188</f>
        <v>15268</v>
      </c>
      <c r="BE7" s="114">
        <f t="shared" si="29"/>
        <v>-0.386827309236948</v>
      </c>
      <c r="BF7" s="36">
        <f t="shared" si="30"/>
        <v>275003</v>
      </c>
      <c r="BG7" s="36">
        <f t="shared" si="31"/>
        <v>256527</v>
      </c>
      <c r="BH7" s="114">
        <f t="shared" si="32"/>
        <v>-0.0671847216212187</v>
      </c>
      <c r="BI7" s="44">
        <v>29262</v>
      </c>
      <c r="BJ7" s="44">
        <v>19913</v>
      </c>
      <c r="BK7" s="114">
        <f t="shared" si="33"/>
        <v>-0.319492857631057</v>
      </c>
      <c r="BL7" s="44">
        <f t="shared" si="34"/>
        <v>304265</v>
      </c>
      <c r="BM7" s="44">
        <f t="shared" si="35"/>
        <v>276440</v>
      </c>
      <c r="BN7" s="114">
        <f t="shared" si="36"/>
        <v>-0.0914498874336516</v>
      </c>
      <c r="BO7" s="44">
        <v>23000</v>
      </c>
      <c r="BP7" s="44">
        <v>27417</v>
      </c>
      <c r="BQ7" s="44">
        <v>354682</v>
      </c>
      <c r="BR7" s="45">
        <f t="shared" si="37"/>
        <v>0.34555</v>
      </c>
      <c r="BS7" s="37">
        <v>37953</v>
      </c>
      <c r="BT7" s="37"/>
    </row>
    <row r="8" spans="1:72">
      <c r="A8" s="29" t="s">
        <v>258</v>
      </c>
      <c r="B8" s="138" t="s">
        <v>258</v>
      </c>
      <c r="C8" s="54" t="s">
        <v>275</v>
      </c>
      <c r="D8" s="163" t="s">
        <v>63</v>
      </c>
      <c r="E8" s="163" t="s">
        <v>63</v>
      </c>
      <c r="F8" s="112" t="s">
        <v>276</v>
      </c>
      <c r="G8" s="54" t="s">
        <v>276</v>
      </c>
      <c r="H8" s="46" t="s">
        <v>261</v>
      </c>
      <c r="I8" s="46">
        <v>20</v>
      </c>
      <c r="J8" s="29">
        <v>25000</v>
      </c>
      <c r="K8" s="29">
        <v>4298</v>
      </c>
      <c r="L8" s="114">
        <f t="shared" si="5"/>
        <v>-0.82808</v>
      </c>
      <c r="M8" s="150"/>
      <c r="N8" s="150">
        <v>5186</v>
      </c>
      <c r="O8" s="114" t="e">
        <f t="shared" si="0"/>
        <v>#DIV/0!</v>
      </c>
      <c r="P8" s="150">
        <f t="shared" si="6"/>
        <v>25000</v>
      </c>
      <c r="Q8" s="150">
        <f t="shared" si="7"/>
        <v>9484</v>
      </c>
      <c r="R8" s="114">
        <f t="shared" si="1"/>
        <v>-0.62064</v>
      </c>
      <c r="S8" s="46"/>
      <c r="T8" s="46"/>
      <c r="U8" s="114" t="e">
        <f t="shared" si="2"/>
        <v>#DIV/0!</v>
      </c>
      <c r="V8" s="36">
        <f t="shared" si="8"/>
        <v>25000</v>
      </c>
      <c r="W8" s="36">
        <f t="shared" si="9"/>
        <v>9484</v>
      </c>
      <c r="X8" s="114">
        <f t="shared" si="10"/>
        <v>-0.62064</v>
      </c>
      <c r="Y8" s="46">
        <v>800</v>
      </c>
      <c r="Z8" s="46">
        <v>2766</v>
      </c>
      <c r="AA8" s="114">
        <f t="shared" si="3"/>
        <v>2.4575</v>
      </c>
      <c r="AB8" s="46">
        <f t="shared" si="11"/>
        <v>25800</v>
      </c>
      <c r="AC8" s="46">
        <f t="shared" si="12"/>
        <v>12250</v>
      </c>
      <c r="AD8" s="114">
        <f t="shared" si="13"/>
        <v>-0.525193798449612</v>
      </c>
      <c r="AE8" s="46">
        <v>18078</v>
      </c>
      <c r="AF8" s="46"/>
      <c r="AG8" s="114">
        <f t="shared" si="14"/>
        <v>-1</v>
      </c>
      <c r="AH8" s="46">
        <f t="shared" si="15"/>
        <v>43878</v>
      </c>
      <c r="AI8" s="46">
        <f t="shared" si="16"/>
        <v>12250</v>
      </c>
      <c r="AJ8" s="114">
        <f t="shared" si="17"/>
        <v>-0.720816810246593</v>
      </c>
      <c r="AK8" s="36"/>
      <c r="AL8" s="36"/>
      <c r="AM8" s="114" t="e">
        <f t="shared" si="18"/>
        <v>#DIV/0!</v>
      </c>
      <c r="AN8" s="36">
        <f t="shared" si="19"/>
        <v>43878</v>
      </c>
      <c r="AO8" s="36">
        <f t="shared" si="20"/>
        <v>12250</v>
      </c>
      <c r="AP8" s="114">
        <f t="shared" si="21"/>
        <v>-0.720816810246593</v>
      </c>
      <c r="AQ8" s="46"/>
      <c r="AR8" s="46"/>
      <c r="AS8" s="114" t="e">
        <f t="shared" si="4"/>
        <v>#DIV/0!</v>
      </c>
      <c r="AT8" s="46">
        <f t="shared" si="22"/>
        <v>43878</v>
      </c>
      <c r="AU8" s="46">
        <f t="shared" si="23"/>
        <v>12250</v>
      </c>
      <c r="AV8" s="114">
        <f t="shared" si="24"/>
        <v>-0.720816810246593</v>
      </c>
      <c r="AW8" s="46"/>
      <c r="AX8" s="46"/>
      <c r="AY8" s="114" t="e">
        <f t="shared" si="25"/>
        <v>#DIV/0!</v>
      </c>
      <c r="AZ8" s="46">
        <f t="shared" si="26"/>
        <v>43878</v>
      </c>
      <c r="BA8" s="46">
        <f t="shared" si="27"/>
        <v>12250</v>
      </c>
      <c r="BB8" s="114">
        <f t="shared" si="28"/>
        <v>-0.720816810246593</v>
      </c>
      <c r="BC8" s="36"/>
      <c r="BD8" s="36"/>
      <c r="BE8" s="114" t="e">
        <f t="shared" si="29"/>
        <v>#DIV/0!</v>
      </c>
      <c r="BF8" s="36">
        <f t="shared" si="30"/>
        <v>43878</v>
      </c>
      <c r="BG8" s="36">
        <f t="shared" si="31"/>
        <v>12250</v>
      </c>
      <c r="BH8" s="114">
        <f t="shared" si="32"/>
        <v>-0.720816810246593</v>
      </c>
      <c r="BI8" s="44">
        <v>29878</v>
      </c>
      <c r="BJ8" s="44"/>
      <c r="BK8" s="114">
        <f t="shared" si="33"/>
        <v>-1</v>
      </c>
      <c r="BL8" s="44">
        <f t="shared" si="34"/>
        <v>73756</v>
      </c>
      <c r="BM8" s="44">
        <f t="shared" si="35"/>
        <v>12250</v>
      </c>
      <c r="BN8" s="114">
        <f t="shared" si="36"/>
        <v>-0.833911817343674</v>
      </c>
      <c r="BO8" s="44"/>
      <c r="BP8" s="44">
        <v>5508</v>
      </c>
      <c r="BQ8" s="44">
        <v>79264</v>
      </c>
      <c r="BR8" s="45">
        <f t="shared" si="37"/>
        <v>0.06125</v>
      </c>
      <c r="BS8" s="37"/>
      <c r="BT8" s="37"/>
    </row>
    <row r="9" spans="1:72">
      <c r="A9" s="29" t="s">
        <v>258</v>
      </c>
      <c r="B9" s="138" t="s">
        <v>258</v>
      </c>
      <c r="C9" s="54" t="s">
        <v>277</v>
      </c>
      <c r="D9" s="163" t="s">
        <v>67</v>
      </c>
      <c r="E9" s="163" t="s">
        <v>67</v>
      </c>
      <c r="F9" s="112" t="s">
        <v>278</v>
      </c>
      <c r="G9" s="54" t="s">
        <v>278</v>
      </c>
      <c r="H9" s="46" t="s">
        <v>269</v>
      </c>
      <c r="I9" s="46"/>
      <c r="J9" s="29">
        <v>149023</v>
      </c>
      <c r="K9" s="29"/>
      <c r="L9" s="114">
        <f t="shared" si="5"/>
        <v>-1</v>
      </c>
      <c r="M9" s="150">
        <v>3015</v>
      </c>
      <c r="N9" s="150"/>
      <c r="O9" s="114">
        <f t="shared" si="0"/>
        <v>-1</v>
      </c>
      <c r="P9" s="150">
        <f t="shared" si="6"/>
        <v>152038</v>
      </c>
      <c r="Q9" s="150">
        <f t="shared" si="7"/>
        <v>0</v>
      </c>
      <c r="R9" s="114">
        <f t="shared" si="1"/>
        <v>-1</v>
      </c>
      <c r="S9" s="46">
        <v>19327</v>
      </c>
      <c r="T9" s="46"/>
      <c r="U9" s="114">
        <f t="shared" si="2"/>
        <v>-1</v>
      </c>
      <c r="V9" s="36">
        <f t="shared" si="8"/>
        <v>171365</v>
      </c>
      <c r="W9" s="36">
        <f t="shared" si="9"/>
        <v>0</v>
      </c>
      <c r="X9" s="114">
        <f t="shared" si="10"/>
        <v>-1</v>
      </c>
      <c r="Y9" s="46">
        <v>13493</v>
      </c>
      <c r="Z9" s="46"/>
      <c r="AA9" s="114">
        <f t="shared" si="3"/>
        <v>-1</v>
      </c>
      <c r="AB9" s="46">
        <f t="shared" si="11"/>
        <v>184858</v>
      </c>
      <c r="AC9" s="46">
        <f t="shared" si="12"/>
        <v>0</v>
      </c>
      <c r="AD9" s="114">
        <f t="shared" si="13"/>
        <v>-1</v>
      </c>
      <c r="AE9" s="46">
        <v>36809</v>
      </c>
      <c r="AF9" s="46"/>
      <c r="AG9" s="114">
        <f t="shared" si="14"/>
        <v>-1</v>
      </c>
      <c r="AH9" s="46">
        <f t="shared" si="15"/>
        <v>221667</v>
      </c>
      <c r="AI9" s="46">
        <f t="shared" si="16"/>
        <v>0</v>
      </c>
      <c r="AJ9" s="114">
        <f t="shared" si="17"/>
        <v>-1</v>
      </c>
      <c r="AK9" s="36">
        <v>34615</v>
      </c>
      <c r="AL9" s="36"/>
      <c r="AM9" s="114">
        <f t="shared" si="18"/>
        <v>-1</v>
      </c>
      <c r="AN9" s="36">
        <f t="shared" si="19"/>
        <v>256282</v>
      </c>
      <c r="AO9" s="36">
        <f t="shared" si="20"/>
        <v>0</v>
      </c>
      <c r="AP9" s="114">
        <f t="shared" si="21"/>
        <v>-1</v>
      </c>
      <c r="AQ9" s="46">
        <v>58454</v>
      </c>
      <c r="AR9" s="46"/>
      <c r="AS9" s="114">
        <f t="shared" si="4"/>
        <v>-1</v>
      </c>
      <c r="AT9" s="46">
        <f t="shared" si="22"/>
        <v>314736</v>
      </c>
      <c r="AU9" s="46">
        <f t="shared" si="23"/>
        <v>0</v>
      </c>
      <c r="AV9" s="114">
        <f t="shared" si="24"/>
        <v>-1</v>
      </c>
      <c r="AW9" s="46">
        <v>36959</v>
      </c>
      <c r="AX9" s="46"/>
      <c r="AY9" s="114">
        <f t="shared" si="25"/>
        <v>-1</v>
      </c>
      <c r="AZ9" s="46">
        <f t="shared" si="26"/>
        <v>351695</v>
      </c>
      <c r="BA9" s="46">
        <f t="shared" si="27"/>
        <v>0</v>
      </c>
      <c r="BB9" s="114">
        <f t="shared" si="28"/>
        <v>-1</v>
      </c>
      <c r="BC9" s="36">
        <v>1147</v>
      </c>
      <c r="BD9" s="36"/>
      <c r="BE9" s="114">
        <f t="shared" si="29"/>
        <v>-1</v>
      </c>
      <c r="BF9" s="36">
        <f t="shared" si="30"/>
        <v>352842</v>
      </c>
      <c r="BG9" s="36">
        <f t="shared" si="31"/>
        <v>0</v>
      </c>
      <c r="BH9" s="114">
        <f t="shared" si="32"/>
        <v>-1</v>
      </c>
      <c r="BI9" s="44"/>
      <c r="BJ9" s="44"/>
      <c r="BK9" s="114" t="e">
        <f t="shared" si="33"/>
        <v>#DIV/0!</v>
      </c>
      <c r="BL9" s="44">
        <f t="shared" si="34"/>
        <v>352842</v>
      </c>
      <c r="BM9" s="44">
        <f t="shared" si="35"/>
        <v>0</v>
      </c>
      <c r="BN9" s="114">
        <f t="shared" si="36"/>
        <v>-1</v>
      </c>
      <c r="BO9" s="44"/>
      <c r="BP9" s="44"/>
      <c r="BQ9" s="44">
        <v>352842</v>
      </c>
      <c r="BR9" s="45" t="e">
        <f t="shared" si="37"/>
        <v>#DIV/0!</v>
      </c>
      <c r="BS9" s="37">
        <v>29947</v>
      </c>
      <c r="BT9" s="37"/>
    </row>
    <row r="10" spans="1:72">
      <c r="A10" s="29" t="s">
        <v>258</v>
      </c>
      <c r="B10" s="138" t="s">
        <v>258</v>
      </c>
      <c r="C10" s="54" t="s">
        <v>279</v>
      </c>
      <c r="D10" s="163" t="s">
        <v>86</v>
      </c>
      <c r="E10" s="163" t="s">
        <v>86</v>
      </c>
      <c r="F10" s="112" t="s">
        <v>268</v>
      </c>
      <c r="G10" s="54" t="s">
        <v>271</v>
      </c>
      <c r="H10" s="46" t="s">
        <v>272</v>
      </c>
      <c r="I10" s="46">
        <v>200</v>
      </c>
      <c r="J10" s="29">
        <v>84544</v>
      </c>
      <c r="K10" s="29">
        <f>297537-26880</f>
        <v>270657</v>
      </c>
      <c r="L10" s="114">
        <f t="shared" si="5"/>
        <v>2.2013744322483</v>
      </c>
      <c r="M10" s="150">
        <v>15592</v>
      </c>
      <c r="N10" s="150">
        <v>114255</v>
      </c>
      <c r="O10" s="114">
        <f t="shared" si="0"/>
        <v>6.32779630579785</v>
      </c>
      <c r="P10" s="150">
        <f t="shared" si="6"/>
        <v>100136</v>
      </c>
      <c r="Q10" s="150">
        <f t="shared" si="7"/>
        <v>384912</v>
      </c>
      <c r="R10" s="114">
        <f t="shared" si="1"/>
        <v>2.84389230646321</v>
      </c>
      <c r="S10" s="46">
        <v>40421</v>
      </c>
      <c r="T10" s="46">
        <f>257334+15078</f>
        <v>272412</v>
      </c>
      <c r="U10" s="114">
        <f t="shared" si="2"/>
        <v>5.73936815021895</v>
      </c>
      <c r="V10" s="36">
        <f t="shared" si="8"/>
        <v>140557</v>
      </c>
      <c r="W10" s="36">
        <f t="shared" si="9"/>
        <v>657324</v>
      </c>
      <c r="X10" s="114">
        <f t="shared" si="10"/>
        <v>3.67656537917002</v>
      </c>
      <c r="Y10" s="46">
        <v>95170</v>
      </c>
      <c r="Z10" s="46">
        <v>144687</v>
      </c>
      <c r="AA10" s="114">
        <f t="shared" si="3"/>
        <v>0.520300514868131</v>
      </c>
      <c r="AB10" s="46">
        <f t="shared" si="11"/>
        <v>235727</v>
      </c>
      <c r="AC10" s="46">
        <f t="shared" si="12"/>
        <v>802011</v>
      </c>
      <c r="AD10" s="114">
        <f t="shared" si="13"/>
        <v>2.40228739177099</v>
      </c>
      <c r="AE10" s="46">
        <v>66978</v>
      </c>
      <c r="AF10" s="46">
        <v>201219</v>
      </c>
      <c r="AG10" s="114">
        <f t="shared" si="14"/>
        <v>2.00425512854967</v>
      </c>
      <c r="AH10" s="46">
        <f t="shared" si="15"/>
        <v>302705</v>
      </c>
      <c r="AI10" s="46">
        <f t="shared" si="16"/>
        <v>1003230</v>
      </c>
      <c r="AJ10" s="114">
        <f t="shared" si="17"/>
        <v>2.31421681174741</v>
      </c>
      <c r="AK10" s="36">
        <v>187833</v>
      </c>
      <c r="AL10" s="36">
        <v>310376</v>
      </c>
      <c r="AM10" s="114">
        <f t="shared" si="18"/>
        <v>0.652403997167697</v>
      </c>
      <c r="AN10" s="36">
        <f t="shared" si="19"/>
        <v>490538</v>
      </c>
      <c r="AO10" s="36">
        <f t="shared" si="20"/>
        <v>1313606</v>
      </c>
      <c r="AP10" s="114">
        <f t="shared" si="21"/>
        <v>1.67788835931161</v>
      </c>
      <c r="AQ10" s="46">
        <v>88914</v>
      </c>
      <c r="AR10" s="46">
        <v>82249</v>
      </c>
      <c r="AS10" s="114">
        <f t="shared" si="4"/>
        <v>-0.0749600737791574</v>
      </c>
      <c r="AT10" s="46">
        <f t="shared" si="22"/>
        <v>579452</v>
      </c>
      <c r="AU10" s="46">
        <f t="shared" si="23"/>
        <v>1395855</v>
      </c>
      <c r="AV10" s="114">
        <f t="shared" si="24"/>
        <v>1.40892256821963</v>
      </c>
      <c r="AW10" s="46">
        <v>50005.4</v>
      </c>
      <c r="AX10" s="46">
        <v>82118</v>
      </c>
      <c r="AY10" s="114">
        <f t="shared" si="25"/>
        <v>0.642182644274418</v>
      </c>
      <c r="AZ10" s="46">
        <f t="shared" si="26"/>
        <v>629457.4</v>
      </c>
      <c r="BA10" s="46">
        <f t="shared" si="27"/>
        <v>1477973</v>
      </c>
      <c r="BB10" s="114">
        <f t="shared" si="28"/>
        <v>1.34801116008804</v>
      </c>
      <c r="BC10" s="36">
        <v>169503</v>
      </c>
      <c r="BD10" s="36">
        <v>94853</v>
      </c>
      <c r="BE10" s="114">
        <f t="shared" si="29"/>
        <v>-0.440405184569005</v>
      </c>
      <c r="BF10" s="36">
        <f t="shared" si="30"/>
        <v>798960.4</v>
      </c>
      <c r="BG10" s="36">
        <f t="shared" si="31"/>
        <v>1572826</v>
      </c>
      <c r="BH10" s="114">
        <f t="shared" si="32"/>
        <v>0.96859068359333</v>
      </c>
      <c r="BI10" s="44">
        <v>351448</v>
      </c>
      <c r="BJ10" s="44">
        <v>57125</v>
      </c>
      <c r="BK10" s="114">
        <f t="shared" si="33"/>
        <v>-0.837458173044092</v>
      </c>
      <c r="BL10" s="44">
        <f t="shared" si="34"/>
        <v>1150408.4</v>
      </c>
      <c r="BM10" s="44">
        <f t="shared" si="35"/>
        <v>1629951</v>
      </c>
      <c r="BN10" s="114">
        <f t="shared" si="36"/>
        <v>0.416845530682843</v>
      </c>
      <c r="BO10" s="44">
        <v>164797</v>
      </c>
      <c r="BP10" s="44">
        <v>369216</v>
      </c>
      <c r="BQ10" s="44">
        <v>1684421.4</v>
      </c>
      <c r="BR10" s="45">
        <f t="shared" si="37"/>
        <v>0.8149755</v>
      </c>
      <c r="BS10" s="37"/>
      <c r="BT10" s="37"/>
    </row>
    <row r="11" ht="15" spans="1:72">
      <c r="A11" s="29" t="s">
        <v>258</v>
      </c>
      <c r="B11" s="138" t="s">
        <v>258</v>
      </c>
      <c r="C11" s="54" t="s">
        <v>280</v>
      </c>
      <c r="D11" s="163" t="s">
        <v>63</v>
      </c>
      <c r="E11" s="163" t="s">
        <v>63</v>
      </c>
      <c r="F11" s="112" t="s">
        <v>278</v>
      </c>
      <c r="G11" s="54" t="s">
        <v>278</v>
      </c>
      <c r="H11" s="46" t="s">
        <v>269</v>
      </c>
      <c r="I11" s="165">
        <v>30</v>
      </c>
      <c r="J11" s="29">
        <v>30425</v>
      </c>
      <c r="K11" s="29">
        <v>21359</v>
      </c>
      <c r="L11" s="114">
        <f t="shared" si="5"/>
        <v>-0.29797863599014</v>
      </c>
      <c r="M11" s="150">
        <v>10451</v>
      </c>
      <c r="N11" s="150">
        <f>1528+7277</f>
        <v>8805</v>
      </c>
      <c r="O11" s="114">
        <f t="shared" si="0"/>
        <v>-0.157496890249737</v>
      </c>
      <c r="P11" s="150">
        <f t="shared" si="6"/>
        <v>40876</v>
      </c>
      <c r="Q11" s="150">
        <f t="shared" si="7"/>
        <v>30164</v>
      </c>
      <c r="R11" s="114">
        <f t="shared" si="1"/>
        <v>-0.262060867012428</v>
      </c>
      <c r="S11" s="46"/>
      <c r="T11" s="46">
        <v>3203</v>
      </c>
      <c r="U11" s="114" t="e">
        <f t="shared" si="2"/>
        <v>#DIV/0!</v>
      </c>
      <c r="V11" s="36">
        <f t="shared" si="8"/>
        <v>40876</v>
      </c>
      <c r="W11" s="36">
        <f t="shared" si="9"/>
        <v>33367</v>
      </c>
      <c r="X11" s="114">
        <f t="shared" si="10"/>
        <v>-0.183701927781583</v>
      </c>
      <c r="Y11" s="46">
        <v>7276</v>
      </c>
      <c r="Z11" s="46">
        <v>1479</v>
      </c>
      <c r="AA11" s="114">
        <f t="shared" si="3"/>
        <v>-0.796728971962617</v>
      </c>
      <c r="AB11" s="46">
        <f t="shared" si="11"/>
        <v>48152</v>
      </c>
      <c r="AC11" s="46">
        <f t="shared" si="12"/>
        <v>34846</v>
      </c>
      <c r="AD11" s="114">
        <f t="shared" si="13"/>
        <v>-0.276333277953148</v>
      </c>
      <c r="AE11" s="46">
        <v>21993</v>
      </c>
      <c r="AF11" s="46"/>
      <c r="AG11" s="114">
        <f t="shared" si="14"/>
        <v>-1</v>
      </c>
      <c r="AH11" s="46">
        <f t="shared" si="15"/>
        <v>70145</v>
      </c>
      <c r="AI11" s="46">
        <f t="shared" si="16"/>
        <v>34846</v>
      </c>
      <c r="AJ11" s="114">
        <f t="shared" si="17"/>
        <v>-0.50322902558985</v>
      </c>
      <c r="AK11" s="36"/>
      <c r="AL11" s="36"/>
      <c r="AM11" s="114" t="e">
        <f t="shared" si="18"/>
        <v>#DIV/0!</v>
      </c>
      <c r="AN11" s="36">
        <f t="shared" si="19"/>
        <v>70145</v>
      </c>
      <c r="AO11" s="36">
        <f t="shared" si="20"/>
        <v>34846</v>
      </c>
      <c r="AP11" s="114">
        <f t="shared" si="21"/>
        <v>-0.50322902558985</v>
      </c>
      <c r="AQ11" s="46">
        <v>12632</v>
      </c>
      <c r="AR11" s="46"/>
      <c r="AS11" s="114">
        <f t="shared" si="4"/>
        <v>-1</v>
      </c>
      <c r="AT11" s="46">
        <f t="shared" si="22"/>
        <v>82777</v>
      </c>
      <c r="AU11" s="46">
        <f t="shared" si="23"/>
        <v>34846</v>
      </c>
      <c r="AV11" s="114">
        <f t="shared" si="24"/>
        <v>-0.579037655387366</v>
      </c>
      <c r="AW11" s="46">
        <v>15224</v>
      </c>
      <c r="AX11" s="46"/>
      <c r="AY11" s="114">
        <f t="shared" si="25"/>
        <v>-1</v>
      </c>
      <c r="AZ11" s="46">
        <f t="shared" si="26"/>
        <v>98001</v>
      </c>
      <c r="BA11" s="46">
        <f t="shared" si="27"/>
        <v>34846</v>
      </c>
      <c r="BB11" s="114">
        <f t="shared" si="28"/>
        <v>-0.644432199671432</v>
      </c>
      <c r="BC11" s="36">
        <v>21656</v>
      </c>
      <c r="BD11" s="36"/>
      <c r="BE11" s="114">
        <f t="shared" si="29"/>
        <v>-1</v>
      </c>
      <c r="BF11" s="36">
        <f t="shared" si="30"/>
        <v>119657</v>
      </c>
      <c r="BG11" s="36">
        <f t="shared" si="31"/>
        <v>34846</v>
      </c>
      <c r="BH11" s="114">
        <f t="shared" si="32"/>
        <v>-0.708784275052859</v>
      </c>
      <c r="BI11" s="44">
        <v>33726</v>
      </c>
      <c r="BJ11" s="44"/>
      <c r="BK11" s="114">
        <f t="shared" si="33"/>
        <v>-1</v>
      </c>
      <c r="BL11" s="44">
        <f t="shared" si="34"/>
        <v>153383</v>
      </c>
      <c r="BM11" s="44">
        <f t="shared" si="35"/>
        <v>34846</v>
      </c>
      <c r="BN11" s="114">
        <f t="shared" si="36"/>
        <v>-0.77281706577652</v>
      </c>
      <c r="BO11" s="44">
        <v>22763</v>
      </c>
      <c r="BP11" s="44"/>
      <c r="BQ11" s="44">
        <v>176146</v>
      </c>
      <c r="BR11" s="45">
        <f t="shared" si="37"/>
        <v>0.116153333333333</v>
      </c>
      <c r="BS11" s="37"/>
      <c r="BT11" s="37"/>
    </row>
    <row r="12" spans="1:72">
      <c r="A12" s="29" t="s">
        <v>258</v>
      </c>
      <c r="B12" s="138" t="s">
        <v>258</v>
      </c>
      <c r="C12" s="54" t="s">
        <v>281</v>
      </c>
      <c r="D12" s="163" t="s">
        <v>90</v>
      </c>
      <c r="E12" s="163" t="s">
        <v>90</v>
      </c>
      <c r="F12" s="112" t="s">
        <v>268</v>
      </c>
      <c r="G12" s="54" t="s">
        <v>82</v>
      </c>
      <c r="H12" s="46" t="s">
        <v>272</v>
      </c>
      <c r="I12" s="46"/>
      <c r="J12" s="29">
        <v>3850</v>
      </c>
      <c r="K12" s="29">
        <v>4018</v>
      </c>
      <c r="L12" s="114">
        <f t="shared" si="5"/>
        <v>0.0436363636363637</v>
      </c>
      <c r="M12" s="150"/>
      <c r="N12" s="150"/>
      <c r="O12" s="114" t="e">
        <f t="shared" si="0"/>
        <v>#DIV/0!</v>
      </c>
      <c r="P12" s="150">
        <f t="shared" si="6"/>
        <v>3850</v>
      </c>
      <c r="Q12" s="150">
        <f t="shared" si="7"/>
        <v>4018</v>
      </c>
      <c r="R12" s="114">
        <f t="shared" si="1"/>
        <v>0.0436363636363637</v>
      </c>
      <c r="S12" s="46">
        <v>8800</v>
      </c>
      <c r="T12" s="46">
        <v>6295</v>
      </c>
      <c r="U12" s="114">
        <f t="shared" si="2"/>
        <v>-0.284659090909091</v>
      </c>
      <c r="V12" s="36">
        <f t="shared" si="8"/>
        <v>12650</v>
      </c>
      <c r="W12" s="36">
        <f t="shared" si="9"/>
        <v>10313</v>
      </c>
      <c r="X12" s="114">
        <f t="shared" si="10"/>
        <v>-0.184743083003953</v>
      </c>
      <c r="Y12" s="46"/>
      <c r="Z12" s="46">
        <v>12000</v>
      </c>
      <c r="AA12" s="114" t="e">
        <f t="shared" si="3"/>
        <v>#DIV/0!</v>
      </c>
      <c r="AB12" s="46">
        <f t="shared" si="11"/>
        <v>12650</v>
      </c>
      <c r="AC12" s="46">
        <f t="shared" si="12"/>
        <v>22313</v>
      </c>
      <c r="AD12" s="114">
        <f t="shared" si="13"/>
        <v>0.763873517786561</v>
      </c>
      <c r="AE12" s="46">
        <v>1800</v>
      </c>
      <c r="AF12" s="46"/>
      <c r="AG12" s="114">
        <f t="shared" si="14"/>
        <v>-1</v>
      </c>
      <c r="AH12" s="46">
        <f t="shared" si="15"/>
        <v>14450</v>
      </c>
      <c r="AI12" s="46">
        <f t="shared" si="16"/>
        <v>22313</v>
      </c>
      <c r="AJ12" s="114">
        <f t="shared" si="17"/>
        <v>0.544152249134948</v>
      </c>
      <c r="AK12" s="36">
        <v>10093</v>
      </c>
      <c r="AL12" s="36">
        <v>2502</v>
      </c>
      <c r="AM12" s="114">
        <f t="shared" si="18"/>
        <v>-0.752105419597741</v>
      </c>
      <c r="AN12" s="36">
        <f t="shared" si="19"/>
        <v>24543</v>
      </c>
      <c r="AO12" s="36">
        <f t="shared" si="20"/>
        <v>24815</v>
      </c>
      <c r="AP12" s="114">
        <f t="shared" si="21"/>
        <v>0.0110825897404556</v>
      </c>
      <c r="AQ12" s="46">
        <v>20900</v>
      </c>
      <c r="AR12" s="46">
        <v>3253</v>
      </c>
      <c r="AS12" s="114">
        <f t="shared" si="4"/>
        <v>-0.844354066985646</v>
      </c>
      <c r="AT12" s="46">
        <f t="shared" si="22"/>
        <v>45443</v>
      </c>
      <c r="AU12" s="46">
        <f t="shared" si="23"/>
        <v>28068</v>
      </c>
      <c r="AV12" s="114">
        <f t="shared" si="24"/>
        <v>-0.382347116167506</v>
      </c>
      <c r="AW12" s="46">
        <v>7922</v>
      </c>
      <c r="AX12" s="46">
        <v>4280</v>
      </c>
      <c r="AY12" s="114">
        <f t="shared" si="25"/>
        <v>-0.459732390810401</v>
      </c>
      <c r="AZ12" s="46">
        <f t="shared" si="26"/>
        <v>53365</v>
      </c>
      <c r="BA12" s="46">
        <f t="shared" si="27"/>
        <v>32348</v>
      </c>
      <c r="BB12" s="114">
        <f t="shared" si="28"/>
        <v>-0.393834910521878</v>
      </c>
      <c r="BC12" s="36">
        <v>1410</v>
      </c>
      <c r="BD12" s="36"/>
      <c r="BE12" s="114">
        <f t="shared" si="29"/>
        <v>-1</v>
      </c>
      <c r="BF12" s="36">
        <f t="shared" si="30"/>
        <v>54775</v>
      </c>
      <c r="BG12" s="36">
        <f t="shared" si="31"/>
        <v>32348</v>
      </c>
      <c r="BH12" s="114">
        <f t="shared" si="32"/>
        <v>-0.409438612505705</v>
      </c>
      <c r="BI12" s="44">
        <v>10980</v>
      </c>
      <c r="BJ12" s="44"/>
      <c r="BK12" s="114">
        <f t="shared" si="33"/>
        <v>-1</v>
      </c>
      <c r="BL12" s="44">
        <f t="shared" si="34"/>
        <v>65755</v>
      </c>
      <c r="BM12" s="44">
        <f t="shared" si="35"/>
        <v>32348</v>
      </c>
      <c r="BN12" s="114">
        <f t="shared" si="36"/>
        <v>-0.508052619572656</v>
      </c>
      <c r="BO12" s="44">
        <v>4350</v>
      </c>
      <c r="BP12" s="44">
        <v>1750</v>
      </c>
      <c r="BQ12" s="44">
        <v>71855</v>
      </c>
      <c r="BR12" s="45" t="e">
        <f t="shared" si="37"/>
        <v>#DIV/0!</v>
      </c>
      <c r="BS12" s="37"/>
      <c r="BT12" s="37"/>
    </row>
    <row r="13" spans="1:72">
      <c r="A13" s="29" t="s">
        <v>258</v>
      </c>
      <c r="B13" s="138" t="s">
        <v>258</v>
      </c>
      <c r="C13" s="54" t="s">
        <v>282</v>
      </c>
      <c r="D13" s="163" t="s">
        <v>63</v>
      </c>
      <c r="E13" s="163" t="s">
        <v>63</v>
      </c>
      <c r="F13" s="112" t="s">
        <v>283</v>
      </c>
      <c r="G13" s="54" t="s">
        <v>283</v>
      </c>
      <c r="H13" s="46" t="s">
        <v>261</v>
      </c>
      <c r="I13" s="46"/>
      <c r="J13" s="29">
        <v>6649</v>
      </c>
      <c r="K13" s="29"/>
      <c r="L13" s="114">
        <f t="shared" si="5"/>
        <v>-1</v>
      </c>
      <c r="M13" s="150"/>
      <c r="N13" s="150"/>
      <c r="O13" s="114" t="e">
        <f t="shared" si="0"/>
        <v>#DIV/0!</v>
      </c>
      <c r="P13" s="150">
        <f t="shared" si="6"/>
        <v>6649</v>
      </c>
      <c r="Q13" s="150">
        <f t="shared" si="7"/>
        <v>0</v>
      </c>
      <c r="R13" s="114">
        <f t="shared" si="1"/>
        <v>-1</v>
      </c>
      <c r="S13" s="46"/>
      <c r="T13" s="46"/>
      <c r="U13" s="114" t="e">
        <f t="shared" si="2"/>
        <v>#DIV/0!</v>
      </c>
      <c r="V13" s="36">
        <f t="shared" si="8"/>
        <v>6649</v>
      </c>
      <c r="W13" s="36">
        <f t="shared" si="9"/>
        <v>0</v>
      </c>
      <c r="X13" s="114">
        <f t="shared" si="10"/>
        <v>-1</v>
      </c>
      <c r="Y13" s="46"/>
      <c r="Z13" s="46"/>
      <c r="AA13" s="114" t="e">
        <f t="shared" si="3"/>
        <v>#DIV/0!</v>
      </c>
      <c r="AB13" s="46">
        <f t="shared" si="11"/>
        <v>6649</v>
      </c>
      <c r="AC13" s="46">
        <f t="shared" si="12"/>
        <v>0</v>
      </c>
      <c r="AD13" s="114">
        <f t="shared" si="13"/>
        <v>-1</v>
      </c>
      <c r="AE13" s="46"/>
      <c r="AF13" s="46"/>
      <c r="AG13" s="114" t="e">
        <f t="shared" si="14"/>
        <v>#DIV/0!</v>
      </c>
      <c r="AH13" s="46">
        <f t="shared" si="15"/>
        <v>6649</v>
      </c>
      <c r="AI13" s="46">
        <f t="shared" si="16"/>
        <v>0</v>
      </c>
      <c r="AJ13" s="114">
        <f t="shared" si="17"/>
        <v>-1</v>
      </c>
      <c r="AK13" s="36"/>
      <c r="AL13" s="36"/>
      <c r="AM13" s="114" t="e">
        <f t="shared" si="18"/>
        <v>#DIV/0!</v>
      </c>
      <c r="AN13" s="36">
        <f t="shared" si="19"/>
        <v>6649</v>
      </c>
      <c r="AO13" s="36">
        <f t="shared" si="20"/>
        <v>0</v>
      </c>
      <c r="AP13" s="114">
        <f t="shared" si="21"/>
        <v>-1</v>
      </c>
      <c r="AQ13" s="46"/>
      <c r="AR13" s="46"/>
      <c r="AS13" s="114" t="e">
        <f t="shared" si="4"/>
        <v>#DIV/0!</v>
      </c>
      <c r="AT13" s="46">
        <f t="shared" si="22"/>
        <v>6649</v>
      </c>
      <c r="AU13" s="46">
        <f t="shared" si="23"/>
        <v>0</v>
      </c>
      <c r="AV13" s="114">
        <f t="shared" si="24"/>
        <v>-1</v>
      </c>
      <c r="AW13" s="46"/>
      <c r="AX13" s="46"/>
      <c r="AY13" s="114" t="e">
        <f t="shared" si="25"/>
        <v>#DIV/0!</v>
      </c>
      <c r="AZ13" s="46">
        <f t="shared" si="26"/>
        <v>6649</v>
      </c>
      <c r="BA13" s="46">
        <f t="shared" si="27"/>
        <v>0</v>
      </c>
      <c r="BB13" s="114">
        <f t="shared" si="28"/>
        <v>-1</v>
      </c>
      <c r="BC13" s="36"/>
      <c r="BD13" s="36"/>
      <c r="BE13" s="114" t="e">
        <f t="shared" si="29"/>
        <v>#DIV/0!</v>
      </c>
      <c r="BF13" s="36">
        <f t="shared" si="30"/>
        <v>6649</v>
      </c>
      <c r="BG13" s="36">
        <f t="shared" si="31"/>
        <v>0</v>
      </c>
      <c r="BH13" s="114">
        <f t="shared" si="32"/>
        <v>-1</v>
      </c>
      <c r="BI13" s="44"/>
      <c r="BJ13" s="44"/>
      <c r="BK13" s="114" t="e">
        <f t="shared" si="33"/>
        <v>#DIV/0!</v>
      </c>
      <c r="BL13" s="44">
        <f t="shared" si="34"/>
        <v>6649</v>
      </c>
      <c r="BM13" s="44">
        <f t="shared" si="35"/>
        <v>0</v>
      </c>
      <c r="BN13" s="114">
        <f t="shared" si="36"/>
        <v>-1</v>
      </c>
      <c r="BO13" s="44"/>
      <c r="BP13" s="44"/>
      <c r="BQ13" s="44">
        <v>6649</v>
      </c>
      <c r="BR13" s="45" t="e">
        <f t="shared" si="37"/>
        <v>#DIV/0!</v>
      </c>
      <c r="BS13" s="37"/>
      <c r="BT13" s="37"/>
    </row>
    <row r="14" spans="1:72">
      <c r="A14" s="29" t="s">
        <v>258</v>
      </c>
      <c r="B14" s="138" t="s">
        <v>262</v>
      </c>
      <c r="C14" s="54" t="s">
        <v>284</v>
      </c>
      <c r="D14" s="163" t="s">
        <v>63</v>
      </c>
      <c r="E14" s="163" t="s">
        <v>63</v>
      </c>
      <c r="F14" s="112" t="s">
        <v>285</v>
      </c>
      <c r="G14" s="54" t="s">
        <v>285</v>
      </c>
      <c r="H14" s="46" t="s">
        <v>266</v>
      </c>
      <c r="I14" s="46"/>
      <c r="J14" s="29"/>
      <c r="K14" s="29"/>
      <c r="L14" s="114" t="e">
        <f t="shared" si="5"/>
        <v>#DIV/0!</v>
      </c>
      <c r="M14" s="150">
        <v>19218</v>
      </c>
      <c r="N14" s="150"/>
      <c r="O14" s="114">
        <f t="shared" si="0"/>
        <v>-1</v>
      </c>
      <c r="P14" s="150">
        <f t="shared" si="6"/>
        <v>19218</v>
      </c>
      <c r="Q14" s="150">
        <f t="shared" si="7"/>
        <v>0</v>
      </c>
      <c r="R14" s="114">
        <f t="shared" si="1"/>
        <v>-1</v>
      </c>
      <c r="S14" s="46"/>
      <c r="T14" s="46"/>
      <c r="U14" s="114" t="e">
        <f t="shared" si="2"/>
        <v>#DIV/0!</v>
      </c>
      <c r="V14" s="36">
        <f t="shared" si="8"/>
        <v>19218</v>
      </c>
      <c r="W14" s="36">
        <f t="shared" si="9"/>
        <v>0</v>
      </c>
      <c r="X14" s="114">
        <f t="shared" si="10"/>
        <v>-1</v>
      </c>
      <c r="Y14" s="46"/>
      <c r="Z14" s="46"/>
      <c r="AA14" s="114" t="e">
        <f t="shared" si="3"/>
        <v>#DIV/0!</v>
      </c>
      <c r="AB14" s="46">
        <f t="shared" si="11"/>
        <v>19218</v>
      </c>
      <c r="AC14" s="46">
        <f t="shared" si="12"/>
        <v>0</v>
      </c>
      <c r="AD14" s="114">
        <f t="shared" si="13"/>
        <v>-1</v>
      </c>
      <c r="AE14" s="46"/>
      <c r="AF14" s="46"/>
      <c r="AG14" s="114" t="e">
        <f t="shared" si="14"/>
        <v>#DIV/0!</v>
      </c>
      <c r="AH14" s="46">
        <f t="shared" si="15"/>
        <v>19218</v>
      </c>
      <c r="AI14" s="46">
        <f t="shared" si="16"/>
        <v>0</v>
      </c>
      <c r="AJ14" s="114">
        <f t="shared" si="17"/>
        <v>-1</v>
      </c>
      <c r="AK14" s="36"/>
      <c r="AL14" s="36"/>
      <c r="AM14" s="114" t="e">
        <f t="shared" si="18"/>
        <v>#DIV/0!</v>
      </c>
      <c r="AN14" s="36">
        <f t="shared" si="19"/>
        <v>19218</v>
      </c>
      <c r="AO14" s="36">
        <f t="shared" si="20"/>
        <v>0</v>
      </c>
      <c r="AP14" s="114">
        <f t="shared" si="21"/>
        <v>-1</v>
      </c>
      <c r="AQ14" s="46"/>
      <c r="AR14" s="46"/>
      <c r="AS14" s="114" t="e">
        <f t="shared" si="4"/>
        <v>#DIV/0!</v>
      </c>
      <c r="AT14" s="46">
        <f t="shared" si="22"/>
        <v>19218</v>
      </c>
      <c r="AU14" s="46">
        <f t="shared" si="23"/>
        <v>0</v>
      </c>
      <c r="AV14" s="114">
        <f t="shared" si="24"/>
        <v>-1</v>
      </c>
      <c r="AW14" s="46"/>
      <c r="AX14" s="46"/>
      <c r="AY14" s="114" t="e">
        <f t="shared" si="25"/>
        <v>#DIV/0!</v>
      </c>
      <c r="AZ14" s="46">
        <f t="shared" si="26"/>
        <v>19218</v>
      </c>
      <c r="BA14" s="46">
        <f t="shared" si="27"/>
        <v>0</v>
      </c>
      <c r="BB14" s="114">
        <f t="shared" si="28"/>
        <v>-1</v>
      </c>
      <c r="BC14" s="36"/>
      <c r="BD14" s="36"/>
      <c r="BE14" s="114" t="e">
        <f t="shared" si="29"/>
        <v>#DIV/0!</v>
      </c>
      <c r="BF14" s="36">
        <f t="shared" si="30"/>
        <v>19218</v>
      </c>
      <c r="BG14" s="36">
        <f t="shared" si="31"/>
        <v>0</v>
      </c>
      <c r="BH14" s="114">
        <f t="shared" si="32"/>
        <v>-1</v>
      </c>
      <c r="BI14" s="44"/>
      <c r="BJ14" s="44"/>
      <c r="BK14" s="114" t="e">
        <f t="shared" si="33"/>
        <v>#DIV/0!</v>
      </c>
      <c r="BL14" s="44">
        <f t="shared" si="34"/>
        <v>19218</v>
      </c>
      <c r="BM14" s="44">
        <f t="shared" si="35"/>
        <v>0</v>
      </c>
      <c r="BN14" s="114">
        <f t="shared" si="36"/>
        <v>-1</v>
      </c>
      <c r="BO14" s="44"/>
      <c r="BP14" s="44"/>
      <c r="BQ14" s="44">
        <v>19218</v>
      </c>
      <c r="BR14" s="45" t="e">
        <f t="shared" si="37"/>
        <v>#DIV/0!</v>
      </c>
      <c r="BS14" s="37"/>
      <c r="BT14" s="37"/>
    </row>
    <row r="15" spans="1:72">
      <c r="A15" s="29" t="s">
        <v>258</v>
      </c>
      <c r="B15" s="138" t="s">
        <v>258</v>
      </c>
      <c r="C15" s="54" t="s">
        <v>286</v>
      </c>
      <c r="D15" s="163" t="s">
        <v>67</v>
      </c>
      <c r="E15" s="163" t="s">
        <v>67</v>
      </c>
      <c r="F15" s="112" t="s">
        <v>260</v>
      </c>
      <c r="G15" s="54" t="s">
        <v>260</v>
      </c>
      <c r="H15" s="46" t="s">
        <v>261</v>
      </c>
      <c r="I15" s="46"/>
      <c r="J15" s="29">
        <v>95208</v>
      </c>
      <c r="K15" s="29"/>
      <c r="L15" s="114">
        <f t="shared" si="5"/>
        <v>-1</v>
      </c>
      <c r="M15" s="150">
        <v>23568</v>
      </c>
      <c r="N15" s="150"/>
      <c r="O15" s="114">
        <f t="shared" si="0"/>
        <v>-1</v>
      </c>
      <c r="P15" s="150">
        <f t="shared" si="6"/>
        <v>118776</v>
      </c>
      <c r="Q15" s="150">
        <f t="shared" si="7"/>
        <v>0</v>
      </c>
      <c r="R15" s="114">
        <f t="shared" si="1"/>
        <v>-1</v>
      </c>
      <c r="S15" s="46">
        <v>27546</v>
      </c>
      <c r="T15" s="46"/>
      <c r="U15" s="114">
        <f t="shared" si="2"/>
        <v>-1</v>
      </c>
      <c r="V15" s="36">
        <f t="shared" si="8"/>
        <v>146322</v>
      </c>
      <c r="W15" s="36">
        <f t="shared" si="9"/>
        <v>0</v>
      </c>
      <c r="X15" s="114">
        <f t="shared" si="10"/>
        <v>-1</v>
      </c>
      <c r="Y15" s="46">
        <v>48756</v>
      </c>
      <c r="Z15" s="46"/>
      <c r="AA15" s="114">
        <f t="shared" si="3"/>
        <v>-1</v>
      </c>
      <c r="AB15" s="46">
        <f t="shared" si="11"/>
        <v>195078</v>
      </c>
      <c r="AC15" s="46">
        <f t="shared" si="12"/>
        <v>0</v>
      </c>
      <c r="AD15" s="114">
        <f t="shared" si="13"/>
        <v>-1</v>
      </c>
      <c r="AE15" s="46">
        <v>57457</v>
      </c>
      <c r="AF15" s="46"/>
      <c r="AG15" s="114">
        <f t="shared" si="14"/>
        <v>-1</v>
      </c>
      <c r="AH15" s="46">
        <f t="shared" si="15"/>
        <v>252535</v>
      </c>
      <c r="AI15" s="46">
        <f t="shared" si="16"/>
        <v>0</v>
      </c>
      <c r="AJ15" s="114">
        <f t="shared" si="17"/>
        <v>-1</v>
      </c>
      <c r="AK15" s="36">
        <v>34276</v>
      </c>
      <c r="AL15" s="36"/>
      <c r="AM15" s="114">
        <f t="shared" si="18"/>
        <v>-1</v>
      </c>
      <c r="AN15" s="36">
        <f t="shared" si="19"/>
        <v>286811</v>
      </c>
      <c r="AO15" s="36">
        <f t="shared" si="20"/>
        <v>0</v>
      </c>
      <c r="AP15" s="114">
        <f t="shared" si="21"/>
        <v>-1</v>
      </c>
      <c r="AQ15" s="46">
        <v>66284</v>
      </c>
      <c r="AR15" s="46"/>
      <c r="AS15" s="114">
        <f t="shared" si="4"/>
        <v>-1</v>
      </c>
      <c r="AT15" s="46">
        <f t="shared" si="22"/>
        <v>353095</v>
      </c>
      <c r="AU15" s="46">
        <f t="shared" si="23"/>
        <v>0</v>
      </c>
      <c r="AV15" s="114">
        <f t="shared" si="24"/>
        <v>-1</v>
      </c>
      <c r="AW15" s="46">
        <v>21828</v>
      </c>
      <c r="AX15" s="46"/>
      <c r="AY15" s="114">
        <f t="shared" si="25"/>
        <v>-1</v>
      </c>
      <c r="AZ15" s="46">
        <f t="shared" si="26"/>
        <v>374923</v>
      </c>
      <c r="BA15" s="46">
        <f t="shared" si="27"/>
        <v>0</v>
      </c>
      <c r="BB15" s="114">
        <f t="shared" si="28"/>
        <v>-1</v>
      </c>
      <c r="BC15" s="36"/>
      <c r="BD15" s="36"/>
      <c r="BE15" s="114" t="e">
        <f t="shared" si="29"/>
        <v>#DIV/0!</v>
      </c>
      <c r="BF15" s="36">
        <f t="shared" si="30"/>
        <v>374923</v>
      </c>
      <c r="BG15" s="36">
        <f t="shared" si="31"/>
        <v>0</v>
      </c>
      <c r="BH15" s="114">
        <f t="shared" si="32"/>
        <v>-1</v>
      </c>
      <c r="BI15" s="44"/>
      <c r="BJ15" s="44"/>
      <c r="BK15" s="114" t="e">
        <f t="shared" si="33"/>
        <v>#DIV/0!</v>
      </c>
      <c r="BL15" s="44">
        <f t="shared" si="34"/>
        <v>374923</v>
      </c>
      <c r="BM15" s="44">
        <f t="shared" si="35"/>
        <v>0</v>
      </c>
      <c r="BN15" s="114">
        <f t="shared" si="36"/>
        <v>-1</v>
      </c>
      <c r="BO15" s="44"/>
      <c r="BP15" s="44"/>
      <c r="BQ15" s="44">
        <v>374923</v>
      </c>
      <c r="BR15" s="45" t="e">
        <f t="shared" si="37"/>
        <v>#DIV/0!</v>
      </c>
      <c r="BS15" s="37"/>
      <c r="BT15" s="37"/>
    </row>
    <row r="16" spans="1:72">
      <c r="A16" s="29" t="s">
        <v>258</v>
      </c>
      <c r="B16" s="138" t="s">
        <v>258</v>
      </c>
      <c r="C16" s="54" t="s">
        <v>287</v>
      </c>
      <c r="D16" s="163" t="s">
        <v>63</v>
      </c>
      <c r="E16" s="163" t="s">
        <v>63</v>
      </c>
      <c r="F16" s="112" t="s">
        <v>276</v>
      </c>
      <c r="G16" s="54" t="s">
        <v>276</v>
      </c>
      <c r="H16" s="46" t="s">
        <v>261</v>
      </c>
      <c r="I16" s="46"/>
      <c r="J16" s="29">
        <v>1690</v>
      </c>
      <c r="K16" s="29"/>
      <c r="L16" s="114">
        <f t="shared" si="5"/>
        <v>-1</v>
      </c>
      <c r="M16" s="150"/>
      <c r="N16" s="150"/>
      <c r="O16" s="114" t="e">
        <f t="shared" si="0"/>
        <v>#DIV/0!</v>
      </c>
      <c r="P16" s="150">
        <f t="shared" si="6"/>
        <v>1690</v>
      </c>
      <c r="Q16" s="150">
        <f t="shared" si="7"/>
        <v>0</v>
      </c>
      <c r="R16" s="114">
        <f t="shared" si="1"/>
        <v>-1</v>
      </c>
      <c r="S16" s="46"/>
      <c r="T16" s="46"/>
      <c r="U16" s="114" t="e">
        <f t="shared" si="2"/>
        <v>#DIV/0!</v>
      </c>
      <c r="V16" s="36">
        <f t="shared" si="8"/>
        <v>1690</v>
      </c>
      <c r="W16" s="36">
        <f t="shared" si="9"/>
        <v>0</v>
      </c>
      <c r="X16" s="114">
        <f t="shared" si="10"/>
        <v>-1</v>
      </c>
      <c r="Y16" s="46">
        <v>3375</v>
      </c>
      <c r="Z16" s="46"/>
      <c r="AA16" s="114">
        <f t="shared" si="3"/>
        <v>-1</v>
      </c>
      <c r="AB16" s="46">
        <f t="shared" si="11"/>
        <v>5065</v>
      </c>
      <c r="AC16" s="46">
        <f t="shared" si="12"/>
        <v>0</v>
      </c>
      <c r="AD16" s="114">
        <f t="shared" si="13"/>
        <v>-1</v>
      </c>
      <c r="AE16" s="46"/>
      <c r="AF16" s="46"/>
      <c r="AG16" s="114" t="e">
        <f t="shared" si="14"/>
        <v>#DIV/0!</v>
      </c>
      <c r="AH16" s="46">
        <f t="shared" si="15"/>
        <v>5065</v>
      </c>
      <c r="AI16" s="46">
        <f t="shared" si="16"/>
        <v>0</v>
      </c>
      <c r="AJ16" s="114">
        <f t="shared" si="17"/>
        <v>-1</v>
      </c>
      <c r="AK16" s="36"/>
      <c r="AL16" s="36"/>
      <c r="AM16" s="114" t="e">
        <f t="shared" si="18"/>
        <v>#DIV/0!</v>
      </c>
      <c r="AN16" s="36">
        <f t="shared" si="19"/>
        <v>5065</v>
      </c>
      <c r="AO16" s="36">
        <f t="shared" si="20"/>
        <v>0</v>
      </c>
      <c r="AP16" s="114">
        <f t="shared" si="21"/>
        <v>-1</v>
      </c>
      <c r="AQ16" s="46"/>
      <c r="AR16" s="46"/>
      <c r="AS16" s="114" t="e">
        <f t="shared" si="4"/>
        <v>#DIV/0!</v>
      </c>
      <c r="AT16" s="46">
        <f t="shared" si="22"/>
        <v>5065</v>
      </c>
      <c r="AU16" s="46">
        <f t="shared" si="23"/>
        <v>0</v>
      </c>
      <c r="AV16" s="114">
        <f t="shared" si="24"/>
        <v>-1</v>
      </c>
      <c r="AW16" s="46"/>
      <c r="AX16" s="46"/>
      <c r="AY16" s="114" t="e">
        <f t="shared" si="25"/>
        <v>#DIV/0!</v>
      </c>
      <c r="AZ16" s="46">
        <f t="shared" si="26"/>
        <v>5065</v>
      </c>
      <c r="BA16" s="46">
        <f t="shared" si="27"/>
        <v>0</v>
      </c>
      <c r="BB16" s="114">
        <f t="shared" si="28"/>
        <v>-1</v>
      </c>
      <c r="BC16" s="36">
        <v>3375</v>
      </c>
      <c r="BD16" s="36"/>
      <c r="BE16" s="114">
        <f t="shared" si="29"/>
        <v>-1</v>
      </c>
      <c r="BF16" s="36">
        <f t="shared" si="30"/>
        <v>8440</v>
      </c>
      <c r="BG16" s="36">
        <f t="shared" si="31"/>
        <v>0</v>
      </c>
      <c r="BH16" s="114">
        <f t="shared" si="32"/>
        <v>-1</v>
      </c>
      <c r="BI16" s="44"/>
      <c r="BJ16" s="44"/>
      <c r="BK16" s="114" t="e">
        <f t="shared" si="33"/>
        <v>#DIV/0!</v>
      </c>
      <c r="BL16" s="44">
        <f t="shared" si="34"/>
        <v>8440</v>
      </c>
      <c r="BM16" s="44">
        <f t="shared" si="35"/>
        <v>0</v>
      </c>
      <c r="BN16" s="114">
        <f t="shared" si="36"/>
        <v>-1</v>
      </c>
      <c r="BO16" s="44"/>
      <c r="BP16" s="44"/>
      <c r="BQ16" s="44">
        <v>8440</v>
      </c>
      <c r="BR16" s="45" t="e">
        <f t="shared" si="37"/>
        <v>#DIV/0!</v>
      </c>
      <c r="BS16" s="37"/>
      <c r="BT16" s="37"/>
    </row>
    <row r="17" spans="1:72">
      <c r="A17" s="29" t="s">
        <v>258</v>
      </c>
      <c r="B17" s="138" t="s">
        <v>258</v>
      </c>
      <c r="C17" s="54" t="s">
        <v>288</v>
      </c>
      <c r="D17" s="163" t="s">
        <v>63</v>
      </c>
      <c r="E17" s="163" t="s">
        <v>63</v>
      </c>
      <c r="F17" s="112" t="s">
        <v>268</v>
      </c>
      <c r="G17" s="54" t="s">
        <v>289</v>
      </c>
      <c r="H17" s="46" t="s">
        <v>269</v>
      </c>
      <c r="I17" s="46">
        <v>30</v>
      </c>
      <c r="J17" s="29">
        <v>5412</v>
      </c>
      <c r="K17" s="29">
        <v>-8765</v>
      </c>
      <c r="L17" s="114">
        <f t="shared" si="5"/>
        <v>-2.61954915003695</v>
      </c>
      <c r="M17" s="150">
        <v>729</v>
      </c>
      <c r="N17" s="150">
        <v>2310</v>
      </c>
      <c r="O17" s="114">
        <f t="shared" si="0"/>
        <v>2.16872427983539</v>
      </c>
      <c r="P17" s="150">
        <f t="shared" si="6"/>
        <v>6141</v>
      </c>
      <c r="Q17" s="150">
        <f t="shared" si="7"/>
        <v>-6455</v>
      </c>
      <c r="R17" s="114">
        <f t="shared" si="1"/>
        <v>-2.05113173750204</v>
      </c>
      <c r="S17" s="46">
        <v>20000</v>
      </c>
      <c r="T17" s="46">
        <v>5229</v>
      </c>
      <c r="U17" s="114">
        <f t="shared" si="2"/>
        <v>-0.73855</v>
      </c>
      <c r="V17" s="36">
        <f t="shared" si="8"/>
        <v>26141</v>
      </c>
      <c r="W17" s="36">
        <f t="shared" si="9"/>
        <v>-1226</v>
      </c>
      <c r="X17" s="114">
        <f t="shared" si="10"/>
        <v>-1.04689950652232</v>
      </c>
      <c r="Y17" s="46"/>
      <c r="Z17" s="46"/>
      <c r="AA17" s="114" t="e">
        <f t="shared" si="3"/>
        <v>#DIV/0!</v>
      </c>
      <c r="AB17" s="46">
        <f t="shared" si="11"/>
        <v>26141</v>
      </c>
      <c r="AC17" s="46">
        <f t="shared" si="12"/>
        <v>-1226</v>
      </c>
      <c r="AD17" s="114">
        <f t="shared" si="13"/>
        <v>-1.04689950652232</v>
      </c>
      <c r="AE17" s="46"/>
      <c r="AF17" s="46"/>
      <c r="AG17" s="114" t="e">
        <f t="shared" si="14"/>
        <v>#DIV/0!</v>
      </c>
      <c r="AH17" s="46">
        <f t="shared" si="15"/>
        <v>26141</v>
      </c>
      <c r="AI17" s="46">
        <f t="shared" si="16"/>
        <v>-1226</v>
      </c>
      <c r="AJ17" s="114">
        <f t="shared" si="17"/>
        <v>-1.04689950652232</v>
      </c>
      <c r="AK17" s="36">
        <v>47792</v>
      </c>
      <c r="AL17" s="36">
        <v>3242</v>
      </c>
      <c r="AM17" s="114">
        <f t="shared" si="18"/>
        <v>-0.932164378975561</v>
      </c>
      <c r="AN17" s="36">
        <f t="shared" si="19"/>
        <v>73933</v>
      </c>
      <c r="AO17" s="36">
        <f t="shared" si="20"/>
        <v>2016</v>
      </c>
      <c r="AP17" s="114">
        <f t="shared" si="21"/>
        <v>-0.972732068223932</v>
      </c>
      <c r="AQ17" s="46">
        <v>37572</v>
      </c>
      <c r="AR17" s="46">
        <v>1535</v>
      </c>
      <c r="AS17" s="114">
        <f t="shared" si="4"/>
        <v>-0.959145108059193</v>
      </c>
      <c r="AT17" s="46">
        <f t="shared" si="22"/>
        <v>111505</v>
      </c>
      <c r="AU17" s="46">
        <f t="shared" si="23"/>
        <v>3551</v>
      </c>
      <c r="AV17" s="114">
        <f t="shared" si="24"/>
        <v>-0.968153894444195</v>
      </c>
      <c r="AW17" s="46"/>
      <c r="AX17" s="46"/>
      <c r="AY17" s="114" t="e">
        <f t="shared" si="25"/>
        <v>#DIV/0!</v>
      </c>
      <c r="AZ17" s="46">
        <f t="shared" si="26"/>
        <v>111505</v>
      </c>
      <c r="BA17" s="46">
        <f t="shared" si="27"/>
        <v>3551</v>
      </c>
      <c r="BB17" s="114">
        <f t="shared" si="28"/>
        <v>-0.968153894444195</v>
      </c>
      <c r="BC17" s="36">
        <v>13087</v>
      </c>
      <c r="BD17" s="36"/>
      <c r="BE17" s="114">
        <f t="shared" si="29"/>
        <v>-1</v>
      </c>
      <c r="BF17" s="36">
        <f t="shared" si="30"/>
        <v>124592</v>
      </c>
      <c r="BG17" s="36">
        <f t="shared" si="31"/>
        <v>3551</v>
      </c>
      <c r="BH17" s="114">
        <f t="shared" si="32"/>
        <v>-0.971498972646719</v>
      </c>
      <c r="BI17" s="44">
        <v>19477</v>
      </c>
      <c r="BJ17" s="44"/>
      <c r="BK17" s="114">
        <f t="shared" si="33"/>
        <v>-1</v>
      </c>
      <c r="BL17" s="44">
        <f t="shared" si="34"/>
        <v>144069</v>
      </c>
      <c r="BM17" s="44">
        <f t="shared" si="35"/>
        <v>3551</v>
      </c>
      <c r="BN17" s="114">
        <f t="shared" si="36"/>
        <v>-0.975352088235498</v>
      </c>
      <c r="BO17" s="44">
        <v>37873</v>
      </c>
      <c r="BP17" s="44">
        <v>35797</v>
      </c>
      <c r="BQ17" s="44">
        <v>217739</v>
      </c>
      <c r="BR17" s="45">
        <f t="shared" si="37"/>
        <v>0.0118366666666667</v>
      </c>
      <c r="BS17" s="37"/>
      <c r="BT17" s="37"/>
    </row>
    <row r="18" spans="1:72">
      <c r="A18" s="29" t="s">
        <v>258</v>
      </c>
      <c r="B18" s="138" t="s">
        <v>262</v>
      </c>
      <c r="C18" s="54" t="s">
        <v>290</v>
      </c>
      <c r="D18" s="163" t="s">
        <v>63</v>
      </c>
      <c r="E18" s="163" t="s">
        <v>63</v>
      </c>
      <c r="F18" s="112" t="s">
        <v>291</v>
      </c>
      <c r="G18" s="54" t="s">
        <v>291</v>
      </c>
      <c r="H18" s="46" t="s">
        <v>266</v>
      </c>
      <c r="I18" s="46">
        <v>5</v>
      </c>
      <c r="J18" s="29"/>
      <c r="K18" s="29">
        <v>2310</v>
      </c>
      <c r="L18" s="114" t="e">
        <f t="shared" si="5"/>
        <v>#DIV/0!</v>
      </c>
      <c r="M18" s="150"/>
      <c r="N18" s="150">
        <v>3302</v>
      </c>
      <c r="O18" s="114" t="e">
        <f t="shared" si="0"/>
        <v>#DIV/0!</v>
      </c>
      <c r="P18" s="150">
        <f t="shared" si="6"/>
        <v>0</v>
      </c>
      <c r="Q18" s="150">
        <f t="shared" si="7"/>
        <v>5612</v>
      </c>
      <c r="R18" s="114" t="e">
        <f t="shared" si="1"/>
        <v>#DIV/0!</v>
      </c>
      <c r="S18" s="46"/>
      <c r="T18" s="46"/>
      <c r="U18" s="114" t="e">
        <f t="shared" si="2"/>
        <v>#DIV/0!</v>
      </c>
      <c r="V18" s="36">
        <f t="shared" si="8"/>
        <v>0</v>
      </c>
      <c r="W18" s="36">
        <f t="shared" si="9"/>
        <v>5612</v>
      </c>
      <c r="X18" s="114" t="e">
        <f t="shared" si="10"/>
        <v>#DIV/0!</v>
      </c>
      <c r="Y18" s="46">
        <v>2998</v>
      </c>
      <c r="Z18" s="46"/>
      <c r="AA18" s="114">
        <f t="shared" si="3"/>
        <v>-1</v>
      </c>
      <c r="AB18" s="46">
        <f t="shared" si="11"/>
        <v>2998</v>
      </c>
      <c r="AC18" s="46">
        <f t="shared" si="12"/>
        <v>5612</v>
      </c>
      <c r="AD18" s="114">
        <f t="shared" si="13"/>
        <v>0.871914609739826</v>
      </c>
      <c r="AE18" s="46"/>
      <c r="AF18" s="46"/>
      <c r="AG18" s="114" t="e">
        <f t="shared" si="14"/>
        <v>#DIV/0!</v>
      </c>
      <c r="AH18" s="46">
        <f t="shared" si="15"/>
        <v>2998</v>
      </c>
      <c r="AI18" s="46">
        <f t="shared" si="16"/>
        <v>5612</v>
      </c>
      <c r="AJ18" s="114">
        <f t="shared" si="17"/>
        <v>0.871914609739826</v>
      </c>
      <c r="AK18" s="36"/>
      <c r="AL18" s="36"/>
      <c r="AM18" s="114" t="e">
        <f t="shared" si="18"/>
        <v>#DIV/0!</v>
      </c>
      <c r="AN18" s="36">
        <f t="shared" si="19"/>
        <v>2998</v>
      </c>
      <c r="AO18" s="36">
        <f t="shared" si="20"/>
        <v>5612</v>
      </c>
      <c r="AP18" s="114">
        <f t="shared" si="21"/>
        <v>0.871914609739826</v>
      </c>
      <c r="AQ18" s="46"/>
      <c r="AR18" s="46">
        <v>4354</v>
      </c>
      <c r="AS18" s="114" t="e">
        <f t="shared" si="4"/>
        <v>#DIV/0!</v>
      </c>
      <c r="AT18" s="46">
        <f t="shared" si="22"/>
        <v>2998</v>
      </c>
      <c r="AU18" s="46">
        <f t="shared" si="23"/>
        <v>9966</v>
      </c>
      <c r="AV18" s="114">
        <f t="shared" si="24"/>
        <v>2.32421614409606</v>
      </c>
      <c r="AW18" s="46"/>
      <c r="AX18" s="46"/>
      <c r="AY18" s="114" t="e">
        <f t="shared" si="25"/>
        <v>#DIV/0!</v>
      </c>
      <c r="AZ18" s="46">
        <f t="shared" si="26"/>
        <v>2998</v>
      </c>
      <c r="BA18" s="46">
        <f t="shared" si="27"/>
        <v>9966</v>
      </c>
      <c r="BB18" s="114">
        <f t="shared" si="28"/>
        <v>2.32421614409606</v>
      </c>
      <c r="BC18" s="36"/>
      <c r="BD18" s="36"/>
      <c r="BE18" s="114" t="e">
        <f t="shared" si="29"/>
        <v>#DIV/0!</v>
      </c>
      <c r="BF18" s="36">
        <f t="shared" si="30"/>
        <v>2998</v>
      </c>
      <c r="BG18" s="36">
        <f t="shared" si="31"/>
        <v>9966</v>
      </c>
      <c r="BH18" s="114">
        <f t="shared" si="32"/>
        <v>2.32421614409606</v>
      </c>
      <c r="BI18" s="44">
        <v>2334</v>
      </c>
      <c r="BJ18" s="44"/>
      <c r="BK18" s="114">
        <f t="shared" si="33"/>
        <v>-1</v>
      </c>
      <c r="BL18" s="44">
        <f t="shared" si="34"/>
        <v>5332</v>
      </c>
      <c r="BM18" s="44">
        <f t="shared" si="35"/>
        <v>9966</v>
      </c>
      <c r="BN18" s="114">
        <f t="shared" si="36"/>
        <v>0.869092273068267</v>
      </c>
      <c r="BO18" s="44">
        <v>2890</v>
      </c>
      <c r="BP18" s="44">
        <v>3100</v>
      </c>
      <c r="BQ18" s="44">
        <v>11322</v>
      </c>
      <c r="BR18" s="45">
        <f t="shared" si="37"/>
        <v>0.19932</v>
      </c>
      <c r="BS18" s="37"/>
      <c r="BT18" s="37"/>
    </row>
    <row r="19" spans="1:72">
      <c r="A19" s="29" t="s">
        <v>258</v>
      </c>
      <c r="B19" s="138" t="s">
        <v>262</v>
      </c>
      <c r="C19" s="54" t="s">
        <v>292</v>
      </c>
      <c r="D19" s="163" t="s">
        <v>63</v>
      </c>
      <c r="E19" s="163" t="s">
        <v>63</v>
      </c>
      <c r="F19" s="112" t="s">
        <v>293</v>
      </c>
      <c r="G19" s="54" t="s">
        <v>293</v>
      </c>
      <c r="H19" s="46" t="s">
        <v>266</v>
      </c>
      <c r="I19" s="46">
        <v>30</v>
      </c>
      <c r="J19" s="29"/>
      <c r="K19" s="29"/>
      <c r="L19" s="114" t="e">
        <f t="shared" si="5"/>
        <v>#DIV/0!</v>
      </c>
      <c r="M19" s="150"/>
      <c r="N19" s="150"/>
      <c r="O19" s="114" t="e">
        <f t="shared" si="0"/>
        <v>#DIV/0!</v>
      </c>
      <c r="P19" s="150">
        <f t="shared" si="6"/>
        <v>0</v>
      </c>
      <c r="Q19" s="150">
        <f t="shared" si="7"/>
        <v>0</v>
      </c>
      <c r="R19" s="114" t="e">
        <f t="shared" si="1"/>
        <v>#DIV/0!</v>
      </c>
      <c r="S19" s="46"/>
      <c r="T19" s="46"/>
      <c r="U19" s="114" t="e">
        <f t="shared" si="2"/>
        <v>#DIV/0!</v>
      </c>
      <c r="V19" s="36">
        <f t="shared" si="8"/>
        <v>0</v>
      </c>
      <c r="W19" s="36">
        <f t="shared" si="9"/>
        <v>0</v>
      </c>
      <c r="X19" s="114" t="e">
        <f t="shared" si="10"/>
        <v>#DIV/0!</v>
      </c>
      <c r="Y19" s="46">
        <v>20000</v>
      </c>
      <c r="Z19" s="46"/>
      <c r="AA19" s="114">
        <f t="shared" si="3"/>
        <v>-1</v>
      </c>
      <c r="AB19" s="46">
        <f t="shared" si="11"/>
        <v>20000</v>
      </c>
      <c r="AC19" s="46">
        <f t="shared" si="12"/>
        <v>0</v>
      </c>
      <c r="AD19" s="114">
        <f t="shared" si="13"/>
        <v>-1</v>
      </c>
      <c r="AE19" s="46"/>
      <c r="AF19" s="46"/>
      <c r="AG19" s="114" t="e">
        <f t="shared" si="14"/>
        <v>#DIV/0!</v>
      </c>
      <c r="AH19" s="46">
        <f t="shared" si="15"/>
        <v>20000</v>
      </c>
      <c r="AI19" s="46">
        <f t="shared" si="16"/>
        <v>0</v>
      </c>
      <c r="AJ19" s="114">
        <f t="shared" si="17"/>
        <v>-1</v>
      </c>
      <c r="AK19" s="36"/>
      <c r="AL19" s="36"/>
      <c r="AM19" s="114" t="e">
        <f t="shared" si="18"/>
        <v>#DIV/0!</v>
      </c>
      <c r="AN19" s="36">
        <f t="shared" si="19"/>
        <v>20000</v>
      </c>
      <c r="AO19" s="36">
        <f t="shared" si="20"/>
        <v>0</v>
      </c>
      <c r="AP19" s="114">
        <f t="shared" si="21"/>
        <v>-1</v>
      </c>
      <c r="AQ19" s="46">
        <v>10000</v>
      </c>
      <c r="AR19" s="46"/>
      <c r="AS19" s="114">
        <f t="shared" si="4"/>
        <v>-1</v>
      </c>
      <c r="AT19" s="46">
        <f t="shared" si="22"/>
        <v>30000</v>
      </c>
      <c r="AU19" s="46">
        <f t="shared" si="23"/>
        <v>0</v>
      </c>
      <c r="AV19" s="114">
        <f t="shared" si="24"/>
        <v>-1</v>
      </c>
      <c r="AW19" s="46"/>
      <c r="AX19" s="46"/>
      <c r="AY19" s="114" t="e">
        <f t="shared" si="25"/>
        <v>#DIV/0!</v>
      </c>
      <c r="AZ19" s="46">
        <f t="shared" si="26"/>
        <v>30000</v>
      </c>
      <c r="BA19" s="46">
        <f t="shared" si="27"/>
        <v>0</v>
      </c>
      <c r="BB19" s="114">
        <f t="shared" si="28"/>
        <v>-1</v>
      </c>
      <c r="BC19" s="36"/>
      <c r="BD19" s="36"/>
      <c r="BE19" s="114" t="e">
        <f t="shared" si="29"/>
        <v>#DIV/0!</v>
      </c>
      <c r="BF19" s="36">
        <f t="shared" si="30"/>
        <v>30000</v>
      </c>
      <c r="BG19" s="36">
        <f t="shared" si="31"/>
        <v>0</v>
      </c>
      <c r="BH19" s="114">
        <f t="shared" si="32"/>
        <v>-1</v>
      </c>
      <c r="BI19" s="44"/>
      <c r="BJ19" s="44"/>
      <c r="BK19" s="114" t="e">
        <f t="shared" si="33"/>
        <v>#DIV/0!</v>
      </c>
      <c r="BL19" s="44">
        <f t="shared" si="34"/>
        <v>30000</v>
      </c>
      <c r="BM19" s="44">
        <f t="shared" si="35"/>
        <v>0</v>
      </c>
      <c r="BN19" s="114">
        <f t="shared" si="36"/>
        <v>-1</v>
      </c>
      <c r="BO19" s="44"/>
      <c r="BP19" s="44"/>
      <c r="BQ19" s="44">
        <v>30000</v>
      </c>
      <c r="BR19" s="45">
        <f t="shared" si="37"/>
        <v>0</v>
      </c>
      <c r="BS19" s="37"/>
      <c r="BT19" s="37"/>
    </row>
    <row r="20" spans="1:72">
      <c r="A20" s="29" t="s">
        <v>258</v>
      </c>
      <c r="B20" s="138" t="s">
        <v>258</v>
      </c>
      <c r="C20" s="54" t="s">
        <v>294</v>
      </c>
      <c r="D20" s="163" t="s">
        <v>63</v>
      </c>
      <c r="E20" s="163" t="s">
        <v>63</v>
      </c>
      <c r="F20" s="112" t="s">
        <v>268</v>
      </c>
      <c r="G20" s="54" t="s">
        <v>271</v>
      </c>
      <c r="H20" s="46" t="s">
        <v>269</v>
      </c>
      <c r="I20" s="46">
        <v>10</v>
      </c>
      <c r="J20" s="29"/>
      <c r="K20" s="29">
        <v>840</v>
      </c>
      <c r="L20" s="114" t="e">
        <f t="shared" si="5"/>
        <v>#DIV/0!</v>
      </c>
      <c r="M20" s="150"/>
      <c r="N20" s="150">
        <v>10504</v>
      </c>
      <c r="O20" s="114" t="e">
        <f t="shared" si="0"/>
        <v>#DIV/0!</v>
      </c>
      <c r="P20" s="150">
        <f t="shared" si="6"/>
        <v>0</v>
      </c>
      <c r="Q20" s="150">
        <f t="shared" si="7"/>
        <v>11344</v>
      </c>
      <c r="R20" s="114" t="e">
        <f t="shared" si="1"/>
        <v>#DIV/0!</v>
      </c>
      <c r="S20" s="46"/>
      <c r="T20" s="46">
        <v>3070</v>
      </c>
      <c r="U20" s="114" t="e">
        <f t="shared" si="2"/>
        <v>#DIV/0!</v>
      </c>
      <c r="V20" s="36">
        <f t="shared" si="8"/>
        <v>0</v>
      </c>
      <c r="W20" s="36">
        <f t="shared" si="9"/>
        <v>14414</v>
      </c>
      <c r="X20" s="114" t="e">
        <f t="shared" si="10"/>
        <v>#DIV/0!</v>
      </c>
      <c r="Y20" s="46">
        <v>1810</v>
      </c>
      <c r="Z20" s="46"/>
      <c r="AA20" s="114">
        <f t="shared" si="3"/>
        <v>-1</v>
      </c>
      <c r="AB20" s="46">
        <f t="shared" si="11"/>
        <v>1810</v>
      </c>
      <c r="AC20" s="46">
        <f t="shared" si="12"/>
        <v>14414</v>
      </c>
      <c r="AD20" s="114">
        <f t="shared" si="13"/>
        <v>6.96353591160221</v>
      </c>
      <c r="AE20" s="46">
        <v>4787</v>
      </c>
      <c r="AF20" s="46"/>
      <c r="AG20" s="114">
        <f t="shared" si="14"/>
        <v>-1</v>
      </c>
      <c r="AH20" s="46">
        <f t="shared" si="15"/>
        <v>6597</v>
      </c>
      <c r="AI20" s="46">
        <f t="shared" si="16"/>
        <v>14414</v>
      </c>
      <c r="AJ20" s="114">
        <f t="shared" si="17"/>
        <v>1.18493254509626</v>
      </c>
      <c r="AK20" s="36">
        <v>8454</v>
      </c>
      <c r="AL20" s="36"/>
      <c r="AM20" s="114">
        <f t="shared" si="18"/>
        <v>-1</v>
      </c>
      <c r="AN20" s="36">
        <f t="shared" si="19"/>
        <v>15051</v>
      </c>
      <c r="AO20" s="36">
        <f t="shared" si="20"/>
        <v>14414</v>
      </c>
      <c r="AP20" s="114">
        <f t="shared" si="21"/>
        <v>-0.0423227692512126</v>
      </c>
      <c r="AQ20" s="46"/>
      <c r="AR20" s="46"/>
      <c r="AS20" s="114" t="e">
        <f t="shared" si="4"/>
        <v>#DIV/0!</v>
      </c>
      <c r="AT20" s="46">
        <f t="shared" si="22"/>
        <v>15051</v>
      </c>
      <c r="AU20" s="46">
        <f t="shared" si="23"/>
        <v>14414</v>
      </c>
      <c r="AV20" s="114">
        <f t="shared" si="24"/>
        <v>-0.0423227692512126</v>
      </c>
      <c r="AW20" s="46">
        <v>2987</v>
      </c>
      <c r="AX20" s="46"/>
      <c r="AY20" s="114">
        <f t="shared" si="25"/>
        <v>-1</v>
      </c>
      <c r="AZ20" s="46">
        <f t="shared" si="26"/>
        <v>18038</v>
      </c>
      <c r="BA20" s="46">
        <f t="shared" si="27"/>
        <v>14414</v>
      </c>
      <c r="BB20" s="114">
        <f t="shared" si="28"/>
        <v>-0.200909191706398</v>
      </c>
      <c r="BC20" s="36"/>
      <c r="BD20" s="36">
        <v>2452</v>
      </c>
      <c r="BE20" s="114" t="e">
        <f t="shared" si="29"/>
        <v>#DIV/0!</v>
      </c>
      <c r="BF20" s="36">
        <f t="shared" si="30"/>
        <v>18038</v>
      </c>
      <c r="BG20" s="36">
        <f t="shared" si="31"/>
        <v>16866</v>
      </c>
      <c r="BH20" s="114">
        <f t="shared" si="32"/>
        <v>-0.0649739438962191</v>
      </c>
      <c r="BI20" s="44">
        <v>6500</v>
      </c>
      <c r="BJ20" s="44"/>
      <c r="BK20" s="114">
        <f t="shared" si="33"/>
        <v>-1</v>
      </c>
      <c r="BL20" s="44">
        <f t="shared" si="34"/>
        <v>24538</v>
      </c>
      <c r="BM20" s="44">
        <f t="shared" si="35"/>
        <v>16866</v>
      </c>
      <c r="BN20" s="114">
        <f t="shared" si="36"/>
        <v>-0.312657918330752</v>
      </c>
      <c r="BO20" s="44">
        <v>18255</v>
      </c>
      <c r="BP20" s="44">
        <v>22290</v>
      </c>
      <c r="BQ20" s="44">
        <v>65083</v>
      </c>
      <c r="BR20" s="45">
        <f t="shared" si="37"/>
        <v>0.16866</v>
      </c>
      <c r="BS20" s="37"/>
      <c r="BT20" s="37"/>
    </row>
    <row r="21" spans="1:72">
      <c r="A21" s="29" t="s">
        <v>258</v>
      </c>
      <c r="B21" s="138" t="s">
        <v>258</v>
      </c>
      <c r="C21" s="54" t="s">
        <v>295</v>
      </c>
      <c r="D21" s="163" t="s">
        <v>63</v>
      </c>
      <c r="E21" s="163" t="s">
        <v>63</v>
      </c>
      <c r="F21" s="112" t="s">
        <v>278</v>
      </c>
      <c r="G21" s="54" t="s">
        <v>278</v>
      </c>
      <c r="H21" s="46" t="s">
        <v>269</v>
      </c>
      <c r="I21" s="46"/>
      <c r="J21" s="29"/>
      <c r="K21" s="29"/>
      <c r="L21" s="114" t="e">
        <f t="shared" si="5"/>
        <v>#DIV/0!</v>
      </c>
      <c r="M21" s="150"/>
      <c r="N21" s="150"/>
      <c r="O21" s="114" t="e">
        <f t="shared" si="0"/>
        <v>#DIV/0!</v>
      </c>
      <c r="P21" s="150">
        <f t="shared" si="6"/>
        <v>0</v>
      </c>
      <c r="Q21" s="150">
        <f t="shared" si="7"/>
        <v>0</v>
      </c>
      <c r="R21" s="114" t="e">
        <f t="shared" si="1"/>
        <v>#DIV/0!</v>
      </c>
      <c r="S21" s="46"/>
      <c r="T21" s="46"/>
      <c r="U21" s="114" t="e">
        <f t="shared" si="2"/>
        <v>#DIV/0!</v>
      </c>
      <c r="V21" s="36">
        <f t="shared" si="8"/>
        <v>0</v>
      </c>
      <c r="W21" s="36">
        <f t="shared" si="9"/>
        <v>0</v>
      </c>
      <c r="X21" s="114" t="e">
        <f t="shared" si="10"/>
        <v>#DIV/0!</v>
      </c>
      <c r="Y21" s="46"/>
      <c r="Z21" s="46"/>
      <c r="AA21" s="114" t="e">
        <f t="shared" si="3"/>
        <v>#DIV/0!</v>
      </c>
      <c r="AB21" s="46">
        <f t="shared" si="11"/>
        <v>0</v>
      </c>
      <c r="AC21" s="46">
        <f t="shared" si="12"/>
        <v>0</v>
      </c>
      <c r="AD21" s="114" t="e">
        <f t="shared" si="13"/>
        <v>#DIV/0!</v>
      </c>
      <c r="AE21" s="46">
        <v>30000</v>
      </c>
      <c r="AF21" s="46"/>
      <c r="AG21" s="114">
        <f t="shared" si="14"/>
        <v>-1</v>
      </c>
      <c r="AH21" s="46">
        <f t="shared" si="15"/>
        <v>30000</v>
      </c>
      <c r="AI21" s="46">
        <f t="shared" si="16"/>
        <v>0</v>
      </c>
      <c r="AJ21" s="114">
        <f t="shared" si="17"/>
        <v>-1</v>
      </c>
      <c r="AK21" s="36"/>
      <c r="AL21" s="36"/>
      <c r="AM21" s="114" t="e">
        <f t="shared" si="18"/>
        <v>#DIV/0!</v>
      </c>
      <c r="AN21" s="36">
        <f t="shared" si="19"/>
        <v>30000</v>
      </c>
      <c r="AO21" s="36">
        <f t="shared" si="20"/>
        <v>0</v>
      </c>
      <c r="AP21" s="114">
        <f t="shared" si="21"/>
        <v>-1</v>
      </c>
      <c r="AQ21" s="46"/>
      <c r="AR21" s="46"/>
      <c r="AS21" s="114" t="e">
        <f t="shared" si="4"/>
        <v>#DIV/0!</v>
      </c>
      <c r="AT21" s="46">
        <f t="shared" si="22"/>
        <v>30000</v>
      </c>
      <c r="AU21" s="46">
        <f t="shared" si="23"/>
        <v>0</v>
      </c>
      <c r="AV21" s="114">
        <f t="shared" si="24"/>
        <v>-1</v>
      </c>
      <c r="AW21" s="46"/>
      <c r="AX21" s="46"/>
      <c r="AY21" s="114" t="e">
        <f t="shared" si="25"/>
        <v>#DIV/0!</v>
      </c>
      <c r="AZ21" s="46">
        <f t="shared" si="26"/>
        <v>30000</v>
      </c>
      <c r="BA21" s="46">
        <f t="shared" si="27"/>
        <v>0</v>
      </c>
      <c r="BB21" s="114">
        <f t="shared" si="28"/>
        <v>-1</v>
      </c>
      <c r="BC21" s="36"/>
      <c r="BD21" s="36"/>
      <c r="BE21" s="114" t="e">
        <f t="shared" si="29"/>
        <v>#DIV/0!</v>
      </c>
      <c r="BF21" s="36">
        <f t="shared" si="30"/>
        <v>30000</v>
      </c>
      <c r="BG21" s="36">
        <f t="shared" si="31"/>
        <v>0</v>
      </c>
      <c r="BH21" s="114">
        <f t="shared" si="32"/>
        <v>-1</v>
      </c>
      <c r="BI21" s="44"/>
      <c r="BJ21" s="44"/>
      <c r="BK21" s="114" t="e">
        <f t="shared" si="33"/>
        <v>#DIV/0!</v>
      </c>
      <c r="BL21" s="44">
        <f t="shared" si="34"/>
        <v>30000</v>
      </c>
      <c r="BM21" s="44">
        <f t="shared" si="35"/>
        <v>0</v>
      </c>
      <c r="BN21" s="114">
        <f t="shared" si="36"/>
        <v>-1</v>
      </c>
      <c r="BO21" s="44"/>
      <c r="BP21" s="44">
        <v>3658</v>
      </c>
      <c r="BQ21" s="44">
        <v>33658</v>
      </c>
      <c r="BR21" s="45" t="e">
        <f t="shared" si="37"/>
        <v>#DIV/0!</v>
      </c>
      <c r="BS21" s="37"/>
      <c r="BT21" s="37"/>
    </row>
    <row r="22" spans="1:72">
      <c r="A22" s="29" t="s">
        <v>258</v>
      </c>
      <c r="B22" s="138" t="s">
        <v>258</v>
      </c>
      <c r="C22" s="54" t="s">
        <v>117</v>
      </c>
      <c r="D22" s="163" t="s">
        <v>116</v>
      </c>
      <c r="E22" s="163" t="s">
        <v>116</v>
      </c>
      <c r="F22" s="112" t="s">
        <v>268</v>
      </c>
      <c r="G22" s="54"/>
      <c r="H22" s="46" t="s">
        <v>269</v>
      </c>
      <c r="I22" s="46"/>
      <c r="J22" s="29"/>
      <c r="K22" s="29"/>
      <c r="L22" s="114" t="e">
        <f t="shared" si="5"/>
        <v>#DIV/0!</v>
      </c>
      <c r="M22" s="150"/>
      <c r="N22" s="150"/>
      <c r="O22" s="114" t="e">
        <f t="shared" si="0"/>
        <v>#DIV/0!</v>
      </c>
      <c r="P22" s="150">
        <f t="shared" si="6"/>
        <v>0</v>
      </c>
      <c r="Q22" s="150">
        <f t="shared" si="7"/>
        <v>0</v>
      </c>
      <c r="R22" s="114" t="e">
        <f t="shared" si="1"/>
        <v>#DIV/0!</v>
      </c>
      <c r="S22" s="46"/>
      <c r="T22" s="46">
        <v>1732</v>
      </c>
      <c r="U22" s="114" t="e">
        <f t="shared" si="2"/>
        <v>#DIV/0!</v>
      </c>
      <c r="V22" s="36">
        <f t="shared" si="8"/>
        <v>0</v>
      </c>
      <c r="W22" s="36">
        <f t="shared" si="9"/>
        <v>1732</v>
      </c>
      <c r="X22" s="114" t="e">
        <f t="shared" si="10"/>
        <v>#DIV/0!</v>
      </c>
      <c r="Y22" s="46"/>
      <c r="Z22" s="46">
        <v>2701</v>
      </c>
      <c r="AA22" s="114" t="e">
        <f t="shared" si="3"/>
        <v>#DIV/0!</v>
      </c>
      <c r="AB22" s="46">
        <f t="shared" si="11"/>
        <v>0</v>
      </c>
      <c r="AC22" s="46">
        <f t="shared" si="12"/>
        <v>4433</v>
      </c>
      <c r="AD22" s="114" t="e">
        <f t="shared" si="13"/>
        <v>#DIV/0!</v>
      </c>
      <c r="AE22" s="46"/>
      <c r="AF22" s="46"/>
      <c r="AG22" s="114" t="e">
        <f t="shared" si="14"/>
        <v>#DIV/0!</v>
      </c>
      <c r="AH22" s="46">
        <f t="shared" si="15"/>
        <v>0</v>
      </c>
      <c r="AI22" s="46">
        <f t="shared" si="16"/>
        <v>4433</v>
      </c>
      <c r="AJ22" s="114" t="e">
        <f t="shared" si="17"/>
        <v>#DIV/0!</v>
      </c>
      <c r="AK22" s="36"/>
      <c r="AL22" s="36"/>
      <c r="AM22" s="114" t="e">
        <f t="shared" si="18"/>
        <v>#DIV/0!</v>
      </c>
      <c r="AN22" s="36">
        <f t="shared" si="19"/>
        <v>0</v>
      </c>
      <c r="AO22" s="36">
        <f t="shared" si="20"/>
        <v>4433</v>
      </c>
      <c r="AP22" s="114" t="e">
        <f t="shared" si="21"/>
        <v>#DIV/0!</v>
      </c>
      <c r="AQ22" s="46"/>
      <c r="AR22" s="46"/>
      <c r="AS22" s="114" t="e">
        <f t="shared" si="4"/>
        <v>#DIV/0!</v>
      </c>
      <c r="AT22" s="46">
        <f t="shared" si="22"/>
        <v>0</v>
      </c>
      <c r="AU22" s="46">
        <f t="shared" si="23"/>
        <v>4433</v>
      </c>
      <c r="AV22" s="114" t="e">
        <f t="shared" si="24"/>
        <v>#DIV/0!</v>
      </c>
      <c r="AW22" s="46">
        <v>5806.24</v>
      </c>
      <c r="AX22" s="46">
        <v>433</v>
      </c>
      <c r="AY22" s="114">
        <f t="shared" si="25"/>
        <v>-0.925425059935518</v>
      </c>
      <c r="AZ22" s="46">
        <f t="shared" si="26"/>
        <v>5806.24</v>
      </c>
      <c r="BA22" s="46">
        <f t="shared" si="27"/>
        <v>4866</v>
      </c>
      <c r="BB22" s="114">
        <f t="shared" si="28"/>
        <v>-0.161936123894293</v>
      </c>
      <c r="BC22" s="36">
        <v>5640</v>
      </c>
      <c r="BD22" s="36"/>
      <c r="BE22" s="114">
        <f t="shared" si="29"/>
        <v>-1</v>
      </c>
      <c r="BF22" s="36">
        <f t="shared" si="30"/>
        <v>11446.24</v>
      </c>
      <c r="BG22" s="36">
        <f t="shared" si="31"/>
        <v>4866</v>
      </c>
      <c r="BH22" s="114">
        <f t="shared" si="32"/>
        <v>-0.574882232069221</v>
      </c>
      <c r="BI22" s="44">
        <v>2295</v>
      </c>
      <c r="BJ22" s="44">
        <v>11652</v>
      </c>
      <c r="BK22" s="114">
        <f t="shared" si="33"/>
        <v>4.07712418300654</v>
      </c>
      <c r="BL22" s="44">
        <f t="shared" si="34"/>
        <v>13741.24</v>
      </c>
      <c r="BM22" s="44">
        <f t="shared" si="35"/>
        <v>16518</v>
      </c>
      <c r="BN22" s="114">
        <f t="shared" si="36"/>
        <v>0.202074921913888</v>
      </c>
      <c r="BO22" s="44">
        <v>5066</v>
      </c>
      <c r="BP22" s="44"/>
      <c r="BQ22" s="44">
        <v>18807.24</v>
      </c>
      <c r="BR22" s="45" t="e">
        <f t="shared" si="37"/>
        <v>#DIV/0!</v>
      </c>
      <c r="BS22" s="37"/>
      <c r="BT22" s="37"/>
    </row>
    <row r="23" spans="1:72">
      <c r="A23" s="29" t="s">
        <v>258</v>
      </c>
      <c r="B23" s="138" t="s">
        <v>258</v>
      </c>
      <c r="C23" s="54" t="s">
        <v>121</v>
      </c>
      <c r="D23" s="163" t="s">
        <v>63</v>
      </c>
      <c r="E23" s="163" t="s">
        <v>63</v>
      </c>
      <c r="F23" s="112" t="s">
        <v>268</v>
      </c>
      <c r="G23" s="54"/>
      <c r="H23" s="46" t="s">
        <v>269</v>
      </c>
      <c r="I23" s="46"/>
      <c r="J23" s="29"/>
      <c r="K23" s="29"/>
      <c r="L23" s="114" t="e">
        <f t="shared" si="5"/>
        <v>#DIV/0!</v>
      </c>
      <c r="M23" s="150"/>
      <c r="N23" s="150">
        <v>12400.68</v>
      </c>
      <c r="O23" s="114" t="e">
        <f t="shared" si="0"/>
        <v>#DIV/0!</v>
      </c>
      <c r="P23" s="150">
        <f t="shared" si="6"/>
        <v>0</v>
      </c>
      <c r="Q23" s="150">
        <f t="shared" si="7"/>
        <v>12400.68</v>
      </c>
      <c r="R23" s="114" t="e">
        <f t="shared" si="1"/>
        <v>#DIV/0!</v>
      </c>
      <c r="S23" s="46"/>
      <c r="T23" s="46">
        <v>3939.44</v>
      </c>
      <c r="U23" s="114" t="e">
        <f t="shared" si="2"/>
        <v>#DIV/0!</v>
      </c>
      <c r="V23" s="36">
        <f t="shared" si="8"/>
        <v>0</v>
      </c>
      <c r="W23" s="36">
        <f t="shared" si="9"/>
        <v>16340.12</v>
      </c>
      <c r="X23" s="114" t="e">
        <f t="shared" si="10"/>
        <v>#DIV/0!</v>
      </c>
      <c r="Y23" s="46"/>
      <c r="Z23" s="46"/>
      <c r="AA23" s="114" t="e">
        <f t="shared" si="3"/>
        <v>#DIV/0!</v>
      </c>
      <c r="AB23" s="46">
        <f t="shared" si="11"/>
        <v>0</v>
      </c>
      <c r="AC23" s="46">
        <f t="shared" si="12"/>
        <v>16340.12</v>
      </c>
      <c r="AD23" s="114" t="e">
        <f t="shared" si="13"/>
        <v>#DIV/0!</v>
      </c>
      <c r="AE23" s="46"/>
      <c r="AF23" s="46"/>
      <c r="AG23" s="114" t="e">
        <f t="shared" si="14"/>
        <v>#DIV/0!</v>
      </c>
      <c r="AH23" s="46">
        <f t="shared" si="15"/>
        <v>0</v>
      </c>
      <c r="AI23" s="46">
        <f t="shared" si="16"/>
        <v>16340.12</v>
      </c>
      <c r="AJ23" s="114" t="e">
        <f t="shared" si="17"/>
        <v>#DIV/0!</v>
      </c>
      <c r="AK23" s="36"/>
      <c r="AL23" s="36"/>
      <c r="AM23" s="114" t="e">
        <f t="shared" si="18"/>
        <v>#DIV/0!</v>
      </c>
      <c r="AN23" s="36">
        <f t="shared" si="19"/>
        <v>0</v>
      </c>
      <c r="AO23" s="36">
        <f t="shared" si="20"/>
        <v>16340.12</v>
      </c>
      <c r="AP23" s="114" t="e">
        <f t="shared" si="21"/>
        <v>#DIV/0!</v>
      </c>
      <c r="AQ23" s="46"/>
      <c r="AR23" s="46"/>
      <c r="AS23" s="114" t="e">
        <f t="shared" si="4"/>
        <v>#DIV/0!</v>
      </c>
      <c r="AT23" s="46">
        <f t="shared" si="22"/>
        <v>0</v>
      </c>
      <c r="AU23" s="46">
        <f t="shared" si="23"/>
        <v>16340.12</v>
      </c>
      <c r="AV23" s="114" t="e">
        <f t="shared" si="24"/>
        <v>#DIV/0!</v>
      </c>
      <c r="AW23" s="46">
        <v>662.33</v>
      </c>
      <c r="AX23" s="46"/>
      <c r="AY23" s="114">
        <f t="shared" si="25"/>
        <v>-1</v>
      </c>
      <c r="AZ23" s="46">
        <f t="shared" si="26"/>
        <v>662.33</v>
      </c>
      <c r="BA23" s="46">
        <f t="shared" si="27"/>
        <v>16340.12</v>
      </c>
      <c r="BB23" s="114">
        <f t="shared" si="28"/>
        <v>23.6706626606072</v>
      </c>
      <c r="BC23" s="36">
        <v>10457.72</v>
      </c>
      <c r="BD23" s="36">
        <v>5675.48</v>
      </c>
      <c r="BE23" s="114">
        <f t="shared" si="29"/>
        <v>-0.457292794222833</v>
      </c>
      <c r="BF23" s="36">
        <f t="shared" si="30"/>
        <v>11120.05</v>
      </c>
      <c r="BG23" s="36">
        <f t="shared" si="31"/>
        <v>22015.6</v>
      </c>
      <c r="BH23" s="114">
        <f t="shared" si="32"/>
        <v>0.979811241855927</v>
      </c>
      <c r="BI23" s="44">
        <v>1246.6</v>
      </c>
      <c r="BJ23" s="44"/>
      <c r="BK23" s="114">
        <f t="shared" si="33"/>
        <v>-1</v>
      </c>
      <c r="BL23" s="44">
        <f t="shared" si="34"/>
        <v>12366.65</v>
      </c>
      <c r="BM23" s="44">
        <f t="shared" si="35"/>
        <v>22015.6</v>
      </c>
      <c r="BN23" s="114">
        <f t="shared" si="36"/>
        <v>0.780239596010237</v>
      </c>
      <c r="BO23" s="44"/>
      <c r="BP23" s="44"/>
      <c r="BQ23" s="44">
        <v>12366.65</v>
      </c>
      <c r="BR23" s="45" t="e">
        <f t="shared" si="37"/>
        <v>#DIV/0!</v>
      </c>
      <c r="BS23" s="37"/>
      <c r="BT23" s="37"/>
    </row>
    <row r="24" spans="1:72">
      <c r="A24" s="29" t="s">
        <v>258</v>
      </c>
      <c r="B24" s="138" t="s">
        <v>262</v>
      </c>
      <c r="C24" s="54" t="s">
        <v>296</v>
      </c>
      <c r="D24" s="163" t="s">
        <v>63</v>
      </c>
      <c r="E24" s="163" t="s">
        <v>63</v>
      </c>
      <c r="F24" s="112" t="s">
        <v>264</v>
      </c>
      <c r="G24" s="54" t="s">
        <v>274</v>
      </c>
      <c r="H24" s="46" t="s">
        <v>266</v>
      </c>
      <c r="I24" s="46"/>
      <c r="J24" s="29"/>
      <c r="K24" s="29">
        <v>5688</v>
      </c>
      <c r="L24" s="114" t="e">
        <f t="shared" si="5"/>
        <v>#DIV/0!</v>
      </c>
      <c r="M24" s="150"/>
      <c r="N24" s="150"/>
      <c r="O24" s="114" t="e">
        <f t="shared" si="0"/>
        <v>#DIV/0!</v>
      </c>
      <c r="P24" s="150">
        <f t="shared" si="6"/>
        <v>0</v>
      </c>
      <c r="Q24" s="150">
        <f t="shared" si="7"/>
        <v>5688</v>
      </c>
      <c r="R24" s="114" t="e">
        <f t="shared" si="1"/>
        <v>#DIV/0!</v>
      </c>
      <c r="S24" s="46"/>
      <c r="T24" s="46">
        <v>2300</v>
      </c>
      <c r="U24" s="114" t="e">
        <f t="shared" si="2"/>
        <v>#DIV/0!</v>
      </c>
      <c r="V24" s="36">
        <f t="shared" si="8"/>
        <v>0</v>
      </c>
      <c r="W24" s="36">
        <f t="shared" si="9"/>
        <v>7988</v>
      </c>
      <c r="X24" s="114" t="e">
        <f t="shared" si="10"/>
        <v>#DIV/0!</v>
      </c>
      <c r="Y24" s="46"/>
      <c r="Z24" s="46"/>
      <c r="AA24" s="114" t="e">
        <f t="shared" si="3"/>
        <v>#DIV/0!</v>
      </c>
      <c r="AB24" s="46">
        <f t="shared" si="11"/>
        <v>0</v>
      </c>
      <c r="AC24" s="46">
        <f t="shared" si="12"/>
        <v>7988</v>
      </c>
      <c r="AD24" s="114" t="e">
        <f t="shared" si="13"/>
        <v>#DIV/0!</v>
      </c>
      <c r="AE24" s="46"/>
      <c r="AF24" s="46"/>
      <c r="AG24" s="114" t="e">
        <f t="shared" si="14"/>
        <v>#DIV/0!</v>
      </c>
      <c r="AH24" s="46">
        <f t="shared" si="15"/>
        <v>0</v>
      </c>
      <c r="AI24" s="46">
        <f t="shared" si="16"/>
        <v>7988</v>
      </c>
      <c r="AJ24" s="114" t="e">
        <f t="shared" si="17"/>
        <v>#DIV/0!</v>
      </c>
      <c r="AK24" s="36"/>
      <c r="AL24" s="36"/>
      <c r="AM24" s="114" t="e">
        <f t="shared" si="18"/>
        <v>#DIV/0!</v>
      </c>
      <c r="AN24" s="36">
        <f t="shared" si="19"/>
        <v>0</v>
      </c>
      <c r="AO24" s="36">
        <f t="shared" si="20"/>
        <v>7988</v>
      </c>
      <c r="AP24" s="114" t="e">
        <f t="shared" si="21"/>
        <v>#DIV/0!</v>
      </c>
      <c r="AQ24" s="46"/>
      <c r="AR24" s="46"/>
      <c r="AS24" s="114" t="e">
        <f t="shared" si="4"/>
        <v>#DIV/0!</v>
      </c>
      <c r="AT24" s="46">
        <f t="shared" si="22"/>
        <v>0</v>
      </c>
      <c r="AU24" s="46">
        <f t="shared" si="23"/>
        <v>7988</v>
      </c>
      <c r="AV24" s="114" t="e">
        <f t="shared" si="24"/>
        <v>#DIV/0!</v>
      </c>
      <c r="AW24" s="46"/>
      <c r="AX24" s="46"/>
      <c r="AY24" s="114" t="e">
        <f t="shared" si="25"/>
        <v>#DIV/0!</v>
      </c>
      <c r="AZ24" s="46">
        <f t="shared" si="26"/>
        <v>0</v>
      </c>
      <c r="BA24" s="46">
        <f t="shared" si="27"/>
        <v>7988</v>
      </c>
      <c r="BB24" s="114" t="e">
        <f t="shared" si="28"/>
        <v>#DIV/0!</v>
      </c>
      <c r="BC24" s="36"/>
      <c r="BD24" s="36"/>
      <c r="BE24" s="114" t="e">
        <f t="shared" si="29"/>
        <v>#DIV/0!</v>
      </c>
      <c r="BF24" s="36">
        <f t="shared" si="30"/>
        <v>0</v>
      </c>
      <c r="BG24" s="36">
        <f t="shared" si="31"/>
        <v>7988</v>
      </c>
      <c r="BH24" s="114" t="e">
        <f t="shared" si="32"/>
        <v>#DIV/0!</v>
      </c>
      <c r="BI24" s="44"/>
      <c r="BJ24" s="44"/>
      <c r="BK24" s="114" t="e">
        <f t="shared" si="33"/>
        <v>#DIV/0!</v>
      </c>
      <c r="BL24" s="44">
        <f t="shared" si="34"/>
        <v>0</v>
      </c>
      <c r="BM24" s="44">
        <f t="shared" si="35"/>
        <v>7988</v>
      </c>
      <c r="BN24" s="114" t="e">
        <f t="shared" si="36"/>
        <v>#DIV/0!</v>
      </c>
      <c r="BO24" s="44">
        <v>4405</v>
      </c>
      <c r="BP24" s="44"/>
      <c r="BQ24" s="44">
        <v>4405</v>
      </c>
      <c r="BR24" s="45" t="e">
        <f t="shared" si="37"/>
        <v>#DIV/0!</v>
      </c>
      <c r="BS24" s="37"/>
      <c r="BT24" s="37"/>
    </row>
    <row r="25" spans="1:72">
      <c r="A25" s="29" t="s">
        <v>258</v>
      </c>
      <c r="B25" s="138" t="s">
        <v>258</v>
      </c>
      <c r="C25" s="54" t="s">
        <v>297</v>
      </c>
      <c r="D25" s="163" t="s">
        <v>63</v>
      </c>
      <c r="E25" s="163" t="s">
        <v>63</v>
      </c>
      <c r="F25" s="112" t="s">
        <v>268</v>
      </c>
      <c r="G25" s="54" t="s">
        <v>289</v>
      </c>
      <c r="H25" s="46" t="s">
        <v>269</v>
      </c>
      <c r="I25" s="46"/>
      <c r="J25" s="29"/>
      <c r="K25" s="29"/>
      <c r="L25" s="114" t="e">
        <f t="shared" si="5"/>
        <v>#DIV/0!</v>
      </c>
      <c r="M25" s="150"/>
      <c r="N25" s="150"/>
      <c r="O25" s="114" t="e">
        <f t="shared" si="0"/>
        <v>#DIV/0!</v>
      </c>
      <c r="P25" s="150">
        <f t="shared" si="6"/>
        <v>0</v>
      </c>
      <c r="Q25" s="150">
        <f t="shared" si="7"/>
        <v>0</v>
      </c>
      <c r="R25" s="114" t="e">
        <f t="shared" si="1"/>
        <v>#DIV/0!</v>
      </c>
      <c r="S25" s="46"/>
      <c r="T25" s="46"/>
      <c r="U25" s="114" t="e">
        <f t="shared" si="2"/>
        <v>#DIV/0!</v>
      </c>
      <c r="V25" s="36">
        <f t="shared" si="8"/>
        <v>0</v>
      </c>
      <c r="W25" s="36">
        <f t="shared" si="9"/>
        <v>0</v>
      </c>
      <c r="X25" s="114" t="e">
        <f t="shared" si="10"/>
        <v>#DIV/0!</v>
      </c>
      <c r="Y25" s="46"/>
      <c r="Z25" s="46"/>
      <c r="AA25" s="114" t="e">
        <f t="shared" si="3"/>
        <v>#DIV/0!</v>
      </c>
      <c r="AB25" s="46">
        <f t="shared" si="11"/>
        <v>0</v>
      </c>
      <c r="AC25" s="46">
        <f t="shared" si="12"/>
        <v>0</v>
      </c>
      <c r="AD25" s="114" t="e">
        <f t="shared" si="13"/>
        <v>#DIV/0!</v>
      </c>
      <c r="AE25" s="46"/>
      <c r="AF25" s="46"/>
      <c r="AG25" s="114" t="e">
        <f t="shared" si="14"/>
        <v>#DIV/0!</v>
      </c>
      <c r="AH25" s="46">
        <f t="shared" si="15"/>
        <v>0</v>
      </c>
      <c r="AI25" s="46">
        <f t="shared" si="16"/>
        <v>0</v>
      </c>
      <c r="AJ25" s="114" t="e">
        <f t="shared" si="17"/>
        <v>#DIV/0!</v>
      </c>
      <c r="AK25" s="36"/>
      <c r="AL25" s="36"/>
      <c r="AM25" s="114" t="e">
        <f t="shared" si="18"/>
        <v>#DIV/0!</v>
      </c>
      <c r="AN25" s="36">
        <f t="shared" si="19"/>
        <v>0</v>
      </c>
      <c r="AO25" s="36">
        <f t="shared" si="20"/>
        <v>0</v>
      </c>
      <c r="AP25" s="114" t="e">
        <f t="shared" si="21"/>
        <v>#DIV/0!</v>
      </c>
      <c r="AQ25" s="46"/>
      <c r="AR25" s="46"/>
      <c r="AS25" s="114" t="e">
        <f t="shared" si="4"/>
        <v>#DIV/0!</v>
      </c>
      <c r="AT25" s="46">
        <f t="shared" si="22"/>
        <v>0</v>
      </c>
      <c r="AU25" s="46">
        <f t="shared" si="23"/>
        <v>0</v>
      </c>
      <c r="AV25" s="114" t="e">
        <f t="shared" si="24"/>
        <v>#DIV/0!</v>
      </c>
      <c r="AW25" s="46"/>
      <c r="AX25" s="46"/>
      <c r="AY25" s="114" t="e">
        <f t="shared" si="25"/>
        <v>#DIV/0!</v>
      </c>
      <c r="AZ25" s="46">
        <f t="shared" si="26"/>
        <v>0</v>
      </c>
      <c r="BA25" s="46">
        <f t="shared" si="27"/>
        <v>0</v>
      </c>
      <c r="BB25" s="114" t="e">
        <f t="shared" si="28"/>
        <v>#DIV/0!</v>
      </c>
      <c r="BC25" s="36"/>
      <c r="BD25" s="36"/>
      <c r="BE25" s="114" t="e">
        <f t="shared" si="29"/>
        <v>#DIV/0!</v>
      </c>
      <c r="BF25" s="36">
        <f t="shared" si="30"/>
        <v>0</v>
      </c>
      <c r="BG25" s="36">
        <f t="shared" si="31"/>
        <v>0</v>
      </c>
      <c r="BH25" s="114" t="e">
        <f t="shared" si="32"/>
        <v>#DIV/0!</v>
      </c>
      <c r="BI25" s="44">
        <v>10000</v>
      </c>
      <c r="BJ25" s="44"/>
      <c r="BK25" s="114">
        <f t="shared" si="33"/>
        <v>-1</v>
      </c>
      <c r="BL25" s="44">
        <f t="shared" si="34"/>
        <v>10000</v>
      </c>
      <c r="BM25" s="44">
        <f t="shared" si="35"/>
        <v>0</v>
      </c>
      <c r="BN25" s="114">
        <f t="shared" si="36"/>
        <v>-1</v>
      </c>
      <c r="BO25" s="44"/>
      <c r="BP25" s="44"/>
      <c r="BQ25" s="44">
        <v>10000</v>
      </c>
      <c r="BR25" s="45" t="e">
        <f t="shared" si="37"/>
        <v>#DIV/0!</v>
      </c>
      <c r="BS25" s="37"/>
      <c r="BT25" s="37"/>
    </row>
    <row r="26" spans="1:72">
      <c r="A26" s="29" t="s">
        <v>258</v>
      </c>
      <c r="B26" s="138" t="s">
        <v>258</v>
      </c>
      <c r="C26" s="3" t="s">
        <v>298</v>
      </c>
      <c r="D26" s="163" t="s">
        <v>63</v>
      </c>
      <c r="E26" s="163" t="s">
        <v>63</v>
      </c>
      <c r="F26" s="112" t="s">
        <v>268</v>
      </c>
      <c r="G26" s="54" t="s">
        <v>289</v>
      </c>
      <c r="H26" s="46" t="s">
        <v>269</v>
      </c>
      <c r="I26" s="46"/>
      <c r="J26" s="29"/>
      <c r="K26" s="29"/>
      <c r="L26" s="114"/>
      <c r="M26" s="150"/>
      <c r="N26" s="150"/>
      <c r="O26" s="114"/>
      <c r="P26" s="150"/>
      <c r="Q26" s="150"/>
      <c r="R26" s="114"/>
      <c r="S26" s="46"/>
      <c r="T26" s="46"/>
      <c r="U26" s="114"/>
      <c r="V26" s="36"/>
      <c r="W26" s="36"/>
      <c r="X26" s="114"/>
      <c r="Y26" s="46"/>
      <c r="Z26" s="46"/>
      <c r="AA26" s="114"/>
      <c r="AB26" s="46"/>
      <c r="AC26" s="46"/>
      <c r="AD26" s="114"/>
      <c r="AE26" s="46"/>
      <c r="AF26" s="46">
        <v>10781</v>
      </c>
      <c r="AG26" s="114" t="e">
        <f t="shared" si="14"/>
        <v>#DIV/0!</v>
      </c>
      <c r="AH26" s="46">
        <f t="shared" si="15"/>
        <v>0</v>
      </c>
      <c r="AI26" s="46">
        <f t="shared" si="16"/>
        <v>10781</v>
      </c>
      <c r="AJ26" s="114" t="e">
        <f t="shared" si="17"/>
        <v>#DIV/0!</v>
      </c>
      <c r="AK26" s="36"/>
      <c r="AL26" s="36">
        <v>11769</v>
      </c>
      <c r="AM26" s="114" t="e">
        <f t="shared" si="18"/>
        <v>#DIV/0!</v>
      </c>
      <c r="AN26" s="36">
        <f t="shared" si="19"/>
        <v>0</v>
      </c>
      <c r="AO26" s="36">
        <f t="shared" si="20"/>
        <v>22550</v>
      </c>
      <c r="AP26" s="114" t="e">
        <f t="shared" si="21"/>
        <v>#DIV/0!</v>
      </c>
      <c r="AQ26" s="46"/>
      <c r="AR26" s="46">
        <v>22469</v>
      </c>
      <c r="AS26" s="114" t="e">
        <f t="shared" si="4"/>
        <v>#DIV/0!</v>
      </c>
      <c r="AT26" s="46">
        <f t="shared" si="22"/>
        <v>0</v>
      </c>
      <c r="AU26" s="46">
        <f t="shared" si="23"/>
        <v>45019</v>
      </c>
      <c r="AV26" s="114" t="e">
        <f t="shared" si="24"/>
        <v>#DIV/0!</v>
      </c>
      <c r="AW26" s="46"/>
      <c r="AX26" s="46">
        <v>2200</v>
      </c>
      <c r="AY26" s="114" t="e">
        <f t="shared" si="25"/>
        <v>#DIV/0!</v>
      </c>
      <c r="AZ26" s="46">
        <f t="shared" si="26"/>
        <v>0</v>
      </c>
      <c r="BA26" s="46">
        <f t="shared" si="27"/>
        <v>47219</v>
      </c>
      <c r="BB26" s="114" t="e">
        <f t="shared" si="28"/>
        <v>#DIV/0!</v>
      </c>
      <c r="BC26" s="36"/>
      <c r="BD26" s="36">
        <v>19839</v>
      </c>
      <c r="BE26" s="114" t="e">
        <f t="shared" si="29"/>
        <v>#DIV/0!</v>
      </c>
      <c r="BF26" s="36">
        <f t="shared" si="30"/>
        <v>0</v>
      </c>
      <c r="BG26" s="36">
        <f t="shared" si="31"/>
        <v>67058</v>
      </c>
      <c r="BH26" s="114" t="e">
        <f t="shared" si="32"/>
        <v>#DIV/0!</v>
      </c>
      <c r="BI26" s="44"/>
      <c r="BJ26" s="44">
        <v>25150</v>
      </c>
      <c r="BK26" s="114" t="e">
        <f t="shared" si="33"/>
        <v>#DIV/0!</v>
      </c>
      <c r="BL26" s="44">
        <f t="shared" si="34"/>
        <v>0</v>
      </c>
      <c r="BM26" s="44">
        <f t="shared" si="35"/>
        <v>92208</v>
      </c>
      <c r="BN26" s="114" t="e">
        <f t="shared" si="36"/>
        <v>#DIV/0!</v>
      </c>
      <c r="BO26" s="44"/>
      <c r="BP26" s="44"/>
      <c r="BQ26" s="44"/>
      <c r="BR26" s="45" t="e">
        <f t="shared" si="37"/>
        <v>#DIV/0!</v>
      </c>
      <c r="BS26" s="37"/>
      <c r="BT26" s="37"/>
    </row>
    <row r="27" spans="1:72">
      <c r="A27" s="29" t="s">
        <v>258</v>
      </c>
      <c r="B27" s="138" t="s">
        <v>258</v>
      </c>
      <c r="C27" s="3" t="s">
        <v>299</v>
      </c>
      <c r="D27" s="163" t="s">
        <v>63</v>
      </c>
      <c r="E27" s="163" t="s">
        <v>63</v>
      </c>
      <c r="F27" s="112" t="s">
        <v>260</v>
      </c>
      <c r="G27" s="54"/>
      <c r="H27" s="46" t="s">
        <v>261</v>
      </c>
      <c r="I27" s="46">
        <v>10</v>
      </c>
      <c r="J27" s="29"/>
      <c r="K27" s="29"/>
      <c r="L27" s="114"/>
      <c r="M27" s="150"/>
      <c r="N27" s="150"/>
      <c r="O27" s="114"/>
      <c r="P27" s="150"/>
      <c r="Q27" s="150"/>
      <c r="R27" s="114"/>
      <c r="S27" s="46"/>
      <c r="T27" s="46"/>
      <c r="U27" s="114"/>
      <c r="V27" s="36"/>
      <c r="W27" s="36"/>
      <c r="X27" s="114"/>
      <c r="Y27" s="46"/>
      <c r="Z27" s="46"/>
      <c r="AA27" s="114"/>
      <c r="AB27" s="46"/>
      <c r="AC27" s="46"/>
      <c r="AD27" s="114"/>
      <c r="AE27" s="46"/>
      <c r="AF27" s="46">
        <v>20000</v>
      </c>
      <c r="AG27" s="114" t="e">
        <f t="shared" si="14"/>
        <v>#DIV/0!</v>
      </c>
      <c r="AH27" s="46">
        <f t="shared" si="15"/>
        <v>0</v>
      </c>
      <c r="AI27" s="46">
        <f t="shared" si="16"/>
        <v>20000</v>
      </c>
      <c r="AJ27" s="114" t="e">
        <f t="shared" si="17"/>
        <v>#DIV/0!</v>
      </c>
      <c r="AK27" s="36"/>
      <c r="AL27" s="36"/>
      <c r="AM27" s="114" t="e">
        <f t="shared" si="18"/>
        <v>#DIV/0!</v>
      </c>
      <c r="AN27" s="36">
        <f t="shared" si="19"/>
        <v>0</v>
      </c>
      <c r="AO27" s="36">
        <f t="shared" si="20"/>
        <v>20000</v>
      </c>
      <c r="AP27" s="114" t="e">
        <f t="shared" si="21"/>
        <v>#DIV/0!</v>
      </c>
      <c r="AQ27" s="46"/>
      <c r="AR27" s="46"/>
      <c r="AS27" s="114" t="e">
        <f t="shared" si="4"/>
        <v>#DIV/0!</v>
      </c>
      <c r="AT27" s="46">
        <f t="shared" si="22"/>
        <v>0</v>
      </c>
      <c r="AU27" s="46">
        <f t="shared" si="23"/>
        <v>20000</v>
      </c>
      <c r="AV27" s="114" t="e">
        <f t="shared" si="24"/>
        <v>#DIV/0!</v>
      </c>
      <c r="AW27" s="46"/>
      <c r="AX27" s="46"/>
      <c r="AY27" s="114" t="e">
        <f t="shared" si="25"/>
        <v>#DIV/0!</v>
      </c>
      <c r="AZ27" s="46">
        <f t="shared" si="26"/>
        <v>0</v>
      </c>
      <c r="BA27" s="46">
        <f t="shared" si="27"/>
        <v>20000</v>
      </c>
      <c r="BB27" s="114" t="e">
        <f t="shared" si="28"/>
        <v>#DIV/0!</v>
      </c>
      <c r="BC27" s="36"/>
      <c r="BD27" s="36"/>
      <c r="BE27" s="114" t="e">
        <f t="shared" si="29"/>
        <v>#DIV/0!</v>
      </c>
      <c r="BF27" s="36">
        <f t="shared" si="30"/>
        <v>0</v>
      </c>
      <c r="BG27" s="36">
        <f t="shared" si="31"/>
        <v>20000</v>
      </c>
      <c r="BH27" s="114" t="e">
        <f t="shared" si="32"/>
        <v>#DIV/0!</v>
      </c>
      <c r="BI27" s="44"/>
      <c r="BJ27" s="44"/>
      <c r="BK27" s="114" t="e">
        <f t="shared" si="33"/>
        <v>#DIV/0!</v>
      </c>
      <c r="BL27" s="44">
        <f t="shared" si="34"/>
        <v>0</v>
      </c>
      <c r="BM27" s="44">
        <f t="shared" si="35"/>
        <v>20000</v>
      </c>
      <c r="BN27" s="114" t="e">
        <f t="shared" si="36"/>
        <v>#DIV/0!</v>
      </c>
      <c r="BO27" s="44"/>
      <c r="BP27" s="44"/>
      <c r="BQ27" s="44"/>
      <c r="BR27" s="45">
        <f t="shared" si="37"/>
        <v>0.2</v>
      </c>
      <c r="BS27" s="37"/>
      <c r="BT27" s="37"/>
    </row>
    <row r="28" ht="15" spans="1:72">
      <c r="A28" s="29" t="s">
        <v>258</v>
      </c>
      <c r="B28" s="138" t="s">
        <v>258</v>
      </c>
      <c r="C28" s="54" t="s">
        <v>300</v>
      </c>
      <c r="D28" s="163" t="s">
        <v>63</v>
      </c>
      <c r="E28" s="163" t="s">
        <v>63</v>
      </c>
      <c r="F28" s="112" t="s">
        <v>268</v>
      </c>
      <c r="G28" s="54"/>
      <c r="H28" s="46" t="s">
        <v>269</v>
      </c>
      <c r="I28" s="165">
        <v>10</v>
      </c>
      <c r="J28" s="29"/>
      <c r="K28" s="29">
        <v>4928</v>
      </c>
      <c r="L28" s="114" t="e">
        <f>K28/J28-1</f>
        <v>#DIV/0!</v>
      </c>
      <c r="M28" s="150"/>
      <c r="N28" s="150"/>
      <c r="O28" s="114" t="e">
        <f>N28/M28-1</f>
        <v>#DIV/0!</v>
      </c>
      <c r="P28" s="150">
        <f>M28+J28</f>
        <v>0</v>
      </c>
      <c r="Q28" s="150">
        <f>N28+K28</f>
        <v>4928</v>
      </c>
      <c r="R28" s="114" t="e">
        <f>Q28/P28-1</f>
        <v>#DIV/0!</v>
      </c>
      <c r="S28" s="46"/>
      <c r="T28" s="46">
        <v>22339</v>
      </c>
      <c r="U28" s="114" t="e">
        <f>T28/S28-1</f>
        <v>#DIV/0!</v>
      </c>
      <c r="V28" s="36">
        <f>S28+P28</f>
        <v>0</v>
      </c>
      <c r="W28" s="36">
        <f>T28+Q28</f>
        <v>27267</v>
      </c>
      <c r="X28" s="114" t="e">
        <f>W28/V28-1</f>
        <v>#DIV/0!</v>
      </c>
      <c r="Y28" s="46"/>
      <c r="Z28" s="46"/>
      <c r="AA28" s="114" t="e">
        <f>Z28/Y28-1</f>
        <v>#DIV/0!</v>
      </c>
      <c r="AB28" s="46">
        <f>Y28+V28</f>
        <v>0</v>
      </c>
      <c r="AC28" s="46">
        <f>Z28+W28</f>
        <v>27267</v>
      </c>
      <c r="AD28" s="114" t="e">
        <f>AC28/AB28-1</f>
        <v>#DIV/0!</v>
      </c>
      <c r="AE28" s="46"/>
      <c r="AF28" s="46"/>
      <c r="AG28" s="114" t="e">
        <f t="shared" si="14"/>
        <v>#DIV/0!</v>
      </c>
      <c r="AH28" s="46">
        <f t="shared" si="15"/>
        <v>0</v>
      </c>
      <c r="AI28" s="46">
        <f t="shared" si="16"/>
        <v>27267</v>
      </c>
      <c r="AJ28" s="114" t="e">
        <f t="shared" si="17"/>
        <v>#DIV/0!</v>
      </c>
      <c r="AK28" s="36"/>
      <c r="AL28" s="36"/>
      <c r="AM28" s="114" t="e">
        <f t="shared" si="18"/>
        <v>#DIV/0!</v>
      </c>
      <c r="AN28" s="36">
        <f t="shared" si="19"/>
        <v>0</v>
      </c>
      <c r="AO28" s="36">
        <f t="shared" si="20"/>
        <v>27267</v>
      </c>
      <c r="AP28" s="114" t="e">
        <f t="shared" si="21"/>
        <v>#DIV/0!</v>
      </c>
      <c r="AQ28" s="46"/>
      <c r="AR28" s="46"/>
      <c r="AS28" s="114" t="e">
        <f t="shared" si="4"/>
        <v>#DIV/0!</v>
      </c>
      <c r="AT28" s="46">
        <f t="shared" si="22"/>
        <v>0</v>
      </c>
      <c r="AU28" s="46">
        <f t="shared" si="23"/>
        <v>27267</v>
      </c>
      <c r="AV28" s="114" t="e">
        <f t="shared" si="24"/>
        <v>#DIV/0!</v>
      </c>
      <c r="AW28" s="46"/>
      <c r="AX28" s="46"/>
      <c r="AY28" s="114" t="e">
        <f t="shared" si="25"/>
        <v>#DIV/0!</v>
      </c>
      <c r="AZ28" s="46">
        <f t="shared" si="26"/>
        <v>0</v>
      </c>
      <c r="BA28" s="46">
        <f t="shared" si="27"/>
        <v>27267</v>
      </c>
      <c r="BB28" s="114" t="e">
        <f t="shared" si="28"/>
        <v>#DIV/0!</v>
      </c>
      <c r="BC28" s="36"/>
      <c r="BD28" s="36">
        <v>11500</v>
      </c>
      <c r="BE28" s="114" t="e">
        <f t="shared" si="29"/>
        <v>#DIV/0!</v>
      </c>
      <c r="BF28" s="36">
        <f t="shared" si="30"/>
        <v>0</v>
      </c>
      <c r="BG28" s="36">
        <f t="shared" si="31"/>
        <v>38767</v>
      </c>
      <c r="BH28" s="114" t="e">
        <f t="shared" si="32"/>
        <v>#DIV/0!</v>
      </c>
      <c r="BI28" s="44"/>
      <c r="BJ28" s="44"/>
      <c r="BK28" s="114" t="e">
        <f t="shared" si="33"/>
        <v>#DIV/0!</v>
      </c>
      <c r="BL28" s="44">
        <f t="shared" si="34"/>
        <v>0</v>
      </c>
      <c r="BM28" s="44">
        <f t="shared" si="35"/>
        <v>38767</v>
      </c>
      <c r="BN28" s="114" t="e">
        <f t="shared" si="36"/>
        <v>#DIV/0!</v>
      </c>
      <c r="BO28" s="44">
        <v>20000</v>
      </c>
      <c r="BP28" s="44">
        <v>14207</v>
      </c>
      <c r="BQ28" s="44">
        <v>34207</v>
      </c>
      <c r="BR28" s="45">
        <f t="shared" si="37"/>
        <v>0.38767</v>
      </c>
      <c r="BS28" s="37"/>
      <c r="BT28" s="37"/>
    </row>
    <row r="29" spans="1:72">
      <c r="A29" s="29" t="s">
        <v>258</v>
      </c>
      <c r="B29" s="138" t="s">
        <v>258</v>
      </c>
      <c r="C29" s="54" t="s">
        <v>301</v>
      </c>
      <c r="D29" s="163" t="s">
        <v>63</v>
      </c>
      <c r="E29" s="163" t="s">
        <v>63</v>
      </c>
      <c r="F29" s="112" t="s">
        <v>268</v>
      </c>
      <c r="G29" s="54"/>
      <c r="H29" s="46" t="s">
        <v>269</v>
      </c>
      <c r="I29" s="169">
        <v>54</v>
      </c>
      <c r="J29" s="29"/>
      <c r="K29" s="29"/>
      <c r="L29" s="114"/>
      <c r="M29" s="150"/>
      <c r="N29" s="150"/>
      <c r="O29" s="114"/>
      <c r="P29" s="150"/>
      <c r="Q29" s="150"/>
      <c r="R29" s="114"/>
      <c r="S29" s="46"/>
      <c r="T29" s="46"/>
      <c r="U29" s="114"/>
      <c r="V29" s="36"/>
      <c r="W29" s="36"/>
      <c r="X29" s="114"/>
      <c r="Y29" s="46"/>
      <c r="Z29" s="46">
        <v>150000</v>
      </c>
      <c r="AA29" s="114" t="e">
        <f>Z29/Y29-1</f>
        <v>#DIV/0!</v>
      </c>
      <c r="AB29" s="46">
        <f>Y29+V29</f>
        <v>0</v>
      </c>
      <c r="AC29" s="46">
        <f>Z29+W29</f>
        <v>150000</v>
      </c>
      <c r="AD29" s="114" t="e">
        <f>AC29/AB29-1</f>
        <v>#DIV/0!</v>
      </c>
      <c r="AE29" s="46"/>
      <c r="AF29" s="46"/>
      <c r="AG29" s="114" t="e">
        <f t="shared" si="14"/>
        <v>#DIV/0!</v>
      </c>
      <c r="AH29" s="46">
        <f t="shared" si="15"/>
        <v>0</v>
      </c>
      <c r="AI29" s="46">
        <f t="shared" si="16"/>
        <v>150000</v>
      </c>
      <c r="AJ29" s="114" t="e">
        <f t="shared" si="17"/>
        <v>#DIV/0!</v>
      </c>
      <c r="AK29" s="36"/>
      <c r="AL29" s="36"/>
      <c r="AM29" s="114" t="e">
        <f t="shared" si="18"/>
        <v>#DIV/0!</v>
      </c>
      <c r="AN29" s="36">
        <f t="shared" si="19"/>
        <v>0</v>
      </c>
      <c r="AO29" s="36">
        <f t="shared" si="20"/>
        <v>150000</v>
      </c>
      <c r="AP29" s="114" t="e">
        <f t="shared" si="21"/>
        <v>#DIV/0!</v>
      </c>
      <c r="AQ29" s="46"/>
      <c r="AR29" s="46"/>
      <c r="AS29" s="114" t="e">
        <f t="shared" si="4"/>
        <v>#DIV/0!</v>
      </c>
      <c r="AT29" s="46">
        <f t="shared" si="22"/>
        <v>0</v>
      </c>
      <c r="AU29" s="46">
        <f t="shared" si="23"/>
        <v>150000</v>
      </c>
      <c r="AV29" s="114" t="e">
        <f t="shared" si="24"/>
        <v>#DIV/0!</v>
      </c>
      <c r="AW29" s="46"/>
      <c r="AX29" s="46"/>
      <c r="AY29" s="114" t="e">
        <f t="shared" si="25"/>
        <v>#DIV/0!</v>
      </c>
      <c r="AZ29" s="46">
        <f t="shared" si="26"/>
        <v>0</v>
      </c>
      <c r="BA29" s="46">
        <f t="shared" si="27"/>
        <v>150000</v>
      </c>
      <c r="BB29" s="114" t="e">
        <f t="shared" si="28"/>
        <v>#DIV/0!</v>
      </c>
      <c r="BC29" s="36"/>
      <c r="BD29" s="36"/>
      <c r="BE29" s="114" t="e">
        <f t="shared" si="29"/>
        <v>#DIV/0!</v>
      </c>
      <c r="BF29" s="36">
        <f t="shared" si="30"/>
        <v>0</v>
      </c>
      <c r="BG29" s="36">
        <f t="shared" si="31"/>
        <v>150000</v>
      </c>
      <c r="BH29" s="114" t="e">
        <f t="shared" si="32"/>
        <v>#DIV/0!</v>
      </c>
      <c r="BI29" s="44"/>
      <c r="BJ29" s="44">
        <v>136.9</v>
      </c>
      <c r="BK29" s="114" t="e">
        <f t="shared" si="33"/>
        <v>#DIV/0!</v>
      </c>
      <c r="BL29" s="44">
        <f t="shared" si="34"/>
        <v>0</v>
      </c>
      <c r="BM29" s="44">
        <f t="shared" si="35"/>
        <v>150136.9</v>
      </c>
      <c r="BN29" s="114" t="e">
        <f t="shared" si="36"/>
        <v>#DIV/0!</v>
      </c>
      <c r="BO29" s="44"/>
      <c r="BP29" s="44"/>
      <c r="BQ29" s="44"/>
      <c r="BR29" s="45">
        <f t="shared" si="37"/>
        <v>0.278031296296296</v>
      </c>
      <c r="BS29" s="37"/>
      <c r="BT29" s="37"/>
    </row>
    <row r="30" spans="1:72">
      <c r="A30" s="29" t="s">
        <v>258</v>
      </c>
      <c r="B30" s="138" t="s">
        <v>262</v>
      </c>
      <c r="C30" s="54" t="s">
        <v>302</v>
      </c>
      <c r="D30" s="163" t="s">
        <v>63</v>
      </c>
      <c r="E30" s="163" t="s">
        <v>63</v>
      </c>
      <c r="F30" s="112" t="s">
        <v>264</v>
      </c>
      <c r="G30" s="54" t="s">
        <v>274</v>
      </c>
      <c r="H30" s="46" t="s">
        <v>266</v>
      </c>
      <c r="I30" s="169"/>
      <c r="J30" s="29"/>
      <c r="K30" s="29"/>
      <c r="L30" s="114"/>
      <c r="M30" s="150"/>
      <c r="N30" s="150"/>
      <c r="O30" s="114"/>
      <c r="P30" s="150"/>
      <c r="Q30" s="150"/>
      <c r="R30" s="114"/>
      <c r="S30" s="46"/>
      <c r="T30" s="46"/>
      <c r="U30" s="114"/>
      <c r="V30" s="36"/>
      <c r="W30" s="36"/>
      <c r="X30" s="114"/>
      <c r="Y30" s="46"/>
      <c r="Z30" s="46"/>
      <c r="AA30" s="114"/>
      <c r="AB30" s="46"/>
      <c r="AC30" s="46"/>
      <c r="AD30" s="114"/>
      <c r="AE30" s="46"/>
      <c r="AF30" s="46"/>
      <c r="AG30" s="114"/>
      <c r="AH30" s="46"/>
      <c r="AI30" s="46"/>
      <c r="AJ30" s="114"/>
      <c r="AK30" s="36"/>
      <c r="AL30" s="36"/>
      <c r="AM30" s="114"/>
      <c r="AN30" s="36"/>
      <c r="AO30" s="36"/>
      <c r="AP30" s="114"/>
      <c r="AQ30" s="46"/>
      <c r="AR30" s="46"/>
      <c r="AS30" s="114"/>
      <c r="AT30" s="46"/>
      <c r="AU30" s="46"/>
      <c r="AV30" s="114"/>
      <c r="AW30" s="46"/>
      <c r="AX30" s="46"/>
      <c r="AY30" s="114"/>
      <c r="AZ30" s="46"/>
      <c r="BA30" s="46"/>
      <c r="BB30" s="114"/>
      <c r="BC30" s="36"/>
      <c r="BD30" s="36">
        <v>14577</v>
      </c>
      <c r="BE30" s="114" t="e">
        <f t="shared" si="29"/>
        <v>#DIV/0!</v>
      </c>
      <c r="BF30" s="36">
        <f t="shared" si="30"/>
        <v>0</v>
      </c>
      <c r="BG30" s="36">
        <f t="shared" si="31"/>
        <v>14577</v>
      </c>
      <c r="BH30" s="114" t="e">
        <f t="shared" si="32"/>
        <v>#DIV/0!</v>
      </c>
      <c r="BI30" s="44"/>
      <c r="BJ30" s="44"/>
      <c r="BK30" s="114" t="e">
        <f t="shared" si="33"/>
        <v>#DIV/0!</v>
      </c>
      <c r="BL30" s="44">
        <f t="shared" si="34"/>
        <v>0</v>
      </c>
      <c r="BM30" s="44">
        <f t="shared" si="35"/>
        <v>14577</v>
      </c>
      <c r="BN30" s="114" t="e">
        <f t="shared" si="36"/>
        <v>#DIV/0!</v>
      </c>
      <c r="BO30" s="44"/>
      <c r="BP30" s="44"/>
      <c r="BQ30" s="44"/>
      <c r="BR30" s="45" t="e">
        <f t="shared" si="37"/>
        <v>#DIV/0!</v>
      </c>
      <c r="BS30" s="37"/>
      <c r="BT30" s="37"/>
    </row>
    <row r="31" spans="1:72">
      <c r="A31" s="29" t="s">
        <v>258</v>
      </c>
      <c r="B31" s="138" t="s">
        <v>258</v>
      </c>
      <c r="C31" s="54" t="s">
        <v>303</v>
      </c>
      <c r="D31" s="163" t="s">
        <v>63</v>
      </c>
      <c r="E31" s="163" t="s">
        <v>63</v>
      </c>
      <c r="F31" s="112" t="s">
        <v>268</v>
      </c>
      <c r="G31" s="54"/>
      <c r="H31" s="46" t="s">
        <v>269</v>
      </c>
      <c r="I31" s="169"/>
      <c r="J31" s="29"/>
      <c r="K31" s="29"/>
      <c r="L31" s="114"/>
      <c r="M31" s="150"/>
      <c r="N31" s="150"/>
      <c r="O31" s="114"/>
      <c r="P31" s="150"/>
      <c r="Q31" s="150"/>
      <c r="R31" s="114"/>
      <c r="S31" s="46"/>
      <c r="T31" s="46"/>
      <c r="U31" s="114"/>
      <c r="V31" s="36"/>
      <c r="W31" s="36"/>
      <c r="X31" s="114"/>
      <c r="Y31" s="46"/>
      <c r="Z31" s="46"/>
      <c r="AA31" s="114"/>
      <c r="AB31" s="46"/>
      <c r="AC31" s="46"/>
      <c r="AD31" s="114"/>
      <c r="AE31" s="46"/>
      <c r="AF31" s="46"/>
      <c r="AG31" s="114"/>
      <c r="AH31" s="46"/>
      <c r="AI31" s="46"/>
      <c r="AJ31" s="114"/>
      <c r="AK31" s="36"/>
      <c r="AL31" s="36"/>
      <c r="AM31" s="114"/>
      <c r="AN31" s="36"/>
      <c r="AO31" s="36"/>
      <c r="AP31" s="114"/>
      <c r="AQ31" s="46"/>
      <c r="AR31" s="46">
        <v>1918</v>
      </c>
      <c r="AS31" s="114" t="e">
        <f>AR31/AQ31-1</f>
        <v>#DIV/0!</v>
      </c>
      <c r="AT31" s="46">
        <f>AQ31+AN31</f>
        <v>0</v>
      </c>
      <c r="AU31" s="46">
        <f>AR31+AO31</f>
        <v>1918</v>
      </c>
      <c r="AV31" s="114" t="e">
        <f>AU31/AT31-1</f>
        <v>#DIV/0!</v>
      </c>
      <c r="AW31" s="46"/>
      <c r="AX31" s="46">
        <v>868</v>
      </c>
      <c r="AY31" s="114" t="e">
        <f>AX31/AW31-1</f>
        <v>#DIV/0!</v>
      </c>
      <c r="AZ31" s="46">
        <f>AW31+AT31</f>
        <v>0</v>
      </c>
      <c r="BA31" s="46">
        <f>AX31+AU31</f>
        <v>2786</v>
      </c>
      <c r="BB31" s="114" t="e">
        <f>BA31/AZ31-1</f>
        <v>#DIV/0!</v>
      </c>
      <c r="BC31" s="36"/>
      <c r="BD31" s="36">
        <v>3160</v>
      </c>
      <c r="BE31" s="114" t="e">
        <f t="shared" si="29"/>
        <v>#DIV/0!</v>
      </c>
      <c r="BF31" s="36">
        <f t="shared" si="30"/>
        <v>0</v>
      </c>
      <c r="BG31" s="36">
        <f t="shared" si="31"/>
        <v>5946</v>
      </c>
      <c r="BH31" s="114" t="e">
        <f t="shared" si="32"/>
        <v>#DIV/0!</v>
      </c>
      <c r="BI31" s="44"/>
      <c r="BJ31" s="44">
        <v>7490</v>
      </c>
      <c r="BK31" s="114" t="e">
        <f t="shared" si="33"/>
        <v>#DIV/0!</v>
      </c>
      <c r="BL31" s="44">
        <f t="shared" si="34"/>
        <v>0</v>
      </c>
      <c r="BM31" s="44">
        <f t="shared" si="35"/>
        <v>13436</v>
      </c>
      <c r="BN31" s="114" t="e">
        <f t="shared" si="36"/>
        <v>#DIV/0!</v>
      </c>
      <c r="BO31" s="44"/>
      <c r="BP31" s="44"/>
      <c r="BQ31" s="44"/>
      <c r="BR31" s="45" t="e">
        <f t="shared" si="37"/>
        <v>#DIV/0!</v>
      </c>
      <c r="BS31" s="37"/>
      <c r="BT31" s="37"/>
    </row>
    <row r="32" spans="1:72">
      <c r="A32" s="29"/>
      <c r="B32" s="138"/>
      <c r="C32" s="54" t="s">
        <v>32</v>
      </c>
      <c r="D32" s="54"/>
      <c r="E32" s="54"/>
      <c r="F32" s="112"/>
      <c r="G32" s="54"/>
      <c r="H32" s="46"/>
      <c r="I32" s="125">
        <f>SUBTOTAL(9,I3:I31)</f>
        <v>899</v>
      </c>
      <c r="J32" s="125">
        <f>SUBTOTAL(9,J3:J29)</f>
        <v>1110866.71</v>
      </c>
      <c r="K32" s="125">
        <f>SUBTOTAL(9,K3:K29)</f>
        <v>802311.19</v>
      </c>
      <c r="L32" s="114">
        <f>K32/J32-1</f>
        <v>-0.277761064601531</v>
      </c>
      <c r="M32" s="125">
        <f>SUBTOTAL(9,M3:M29)</f>
        <v>225264</v>
      </c>
      <c r="N32" s="125">
        <f>SUBTOTAL(9,N3:N29)</f>
        <v>353390.48</v>
      </c>
      <c r="O32" s="114">
        <f>N32/M32-1</f>
        <v>0.568783649406918</v>
      </c>
      <c r="P32" s="125">
        <f>SUBTOTAL(9,P3:P29)</f>
        <v>1336130.71</v>
      </c>
      <c r="Q32" s="125">
        <f>SUBTOTAL(9,Q3:Q29)</f>
        <v>1155701.67</v>
      </c>
      <c r="R32" s="114">
        <f>Q32/P32-1</f>
        <v>-0.135038464911865</v>
      </c>
      <c r="S32" s="125">
        <f>SUBTOTAL(9,S3:S29)</f>
        <v>365888</v>
      </c>
      <c r="T32" s="125">
        <f>SUBTOTAL(9,T3:T29)</f>
        <v>969353.65</v>
      </c>
      <c r="U32" s="114">
        <f>T32/S32-1</f>
        <v>1.64931796068742</v>
      </c>
      <c r="V32" s="125">
        <f>SUBTOTAL(9,V3:V29)</f>
        <v>1702018.71</v>
      </c>
      <c r="W32" s="125">
        <f>SUBTOTAL(9,W3:W29)</f>
        <v>2125055.32</v>
      </c>
      <c r="X32" s="114">
        <f>W32/V32-1</f>
        <v>0.248549917527052</v>
      </c>
      <c r="Y32" s="125">
        <f>SUBTOTAL(9,Y3:Y29)</f>
        <v>648379.45</v>
      </c>
      <c r="Z32" s="125">
        <f t="shared" ref="Z32:AF32" si="38">SUBTOTAL(9,Z3:Z29)</f>
        <v>857787.1</v>
      </c>
      <c r="AA32" s="114">
        <f>Z32/Y32-1</f>
        <v>0.322970831355004</v>
      </c>
      <c r="AB32" s="125">
        <f t="shared" si="38"/>
        <v>2350398.16</v>
      </c>
      <c r="AC32" s="125">
        <f t="shared" si="38"/>
        <v>2982842.42</v>
      </c>
      <c r="AD32" s="114">
        <f>AC32/AB32-1</f>
        <v>0.269079626917339</v>
      </c>
      <c r="AE32" s="125">
        <f t="shared" si="38"/>
        <v>639095.81</v>
      </c>
      <c r="AF32" s="125">
        <f t="shared" si="38"/>
        <v>661714.03</v>
      </c>
      <c r="AG32" s="114">
        <f>AF32/AE32-1</f>
        <v>0.0353909690004071</v>
      </c>
      <c r="AH32" s="125">
        <f t="shared" ref="AH32:AL32" si="39">SUBTOTAL(9,AH3:AH29)</f>
        <v>2989493.97</v>
      </c>
      <c r="AI32" s="125">
        <f t="shared" si="39"/>
        <v>3644556.45</v>
      </c>
      <c r="AJ32" s="114">
        <f>AI32/AH32-1</f>
        <v>0.219121525774478</v>
      </c>
      <c r="AK32" s="125">
        <f t="shared" si="39"/>
        <v>677171.21</v>
      </c>
      <c r="AL32" s="125">
        <f t="shared" si="39"/>
        <v>970845.98</v>
      </c>
      <c r="AM32" s="114">
        <f>AL32/AK32-1</f>
        <v>0.43367875902462</v>
      </c>
      <c r="AN32" s="147">
        <f>SUBTOTAL(9,AN3:AN29)</f>
        <v>3666665.18</v>
      </c>
      <c r="AO32" s="147">
        <f>SUBTOTAL(9,AO3:AO29)</f>
        <v>4615402.43</v>
      </c>
      <c r="AP32" s="114">
        <f>AO32/AN32-1</f>
        <v>0.258746627637269</v>
      </c>
      <c r="AQ32" s="125">
        <f>SUBTOTAL(9,AQ3:AQ31)</f>
        <v>658308.08</v>
      </c>
      <c r="AR32" s="148">
        <f>SUBTOTAL(9,AR3:AR31)</f>
        <v>383538.42</v>
      </c>
      <c r="AS32" s="114">
        <f>AR32/AQ32-1</f>
        <v>-0.417387646221812</v>
      </c>
      <c r="AT32" s="148">
        <f>SUBTOTAL(9,AT3:AT31)</f>
        <v>4324973.26</v>
      </c>
      <c r="AU32" s="148">
        <f>SUBTOTAL(9,AU3:AU31)</f>
        <v>4998940.85</v>
      </c>
      <c r="AV32" s="114">
        <f>AU32/AT32-1</f>
        <v>0.155831620101161</v>
      </c>
      <c r="AW32" s="148">
        <f>SUBTOTAL(9,AW3:AW31)</f>
        <v>452837.18</v>
      </c>
      <c r="AX32" s="148">
        <f>SUBTOTAL(9,AX3:AX31)</f>
        <v>243092</v>
      </c>
      <c r="AY32" s="114">
        <f>AX32/AW32-1</f>
        <v>-0.463180121384909</v>
      </c>
      <c r="AZ32" s="148">
        <f>SUBTOTAL(9,AZ3:AZ31)</f>
        <v>4777810.44</v>
      </c>
      <c r="BA32" s="148">
        <f t="shared" ref="BA32:BG32" si="40">SUBTOTAL(9,BA3:BA31)</f>
        <v>5242032.85</v>
      </c>
      <c r="BB32" s="114">
        <f>BA32/AZ32-1</f>
        <v>0.0971621657723198</v>
      </c>
      <c r="BC32" s="148">
        <f t="shared" si="40"/>
        <v>672163.76</v>
      </c>
      <c r="BD32" s="148">
        <f t="shared" si="40"/>
        <v>347351.48</v>
      </c>
      <c r="BE32" s="114">
        <f t="shared" si="29"/>
        <v>-0.48323384765641</v>
      </c>
      <c r="BF32" s="148">
        <f t="shared" si="40"/>
        <v>5449974.2</v>
      </c>
      <c r="BG32" s="148">
        <f t="shared" si="40"/>
        <v>5589384.33</v>
      </c>
      <c r="BH32" s="114">
        <f t="shared" si="32"/>
        <v>0.0255799614611019</v>
      </c>
      <c r="BI32" s="148">
        <f t="shared" ref="BI32:BM32" si="41">SUBTOTAL(9,BI3:BI31)</f>
        <v>1095150.97</v>
      </c>
      <c r="BJ32" s="148">
        <f t="shared" si="41"/>
        <v>262859.9</v>
      </c>
      <c r="BK32" s="114">
        <f t="shared" si="33"/>
        <v>-0.759978389098263</v>
      </c>
      <c r="BL32" s="148">
        <f t="shared" si="41"/>
        <v>6545125.17</v>
      </c>
      <c r="BM32" s="148">
        <f t="shared" si="41"/>
        <v>5852244.23</v>
      </c>
      <c r="BN32" s="114">
        <f t="shared" si="36"/>
        <v>-0.105862137392859</v>
      </c>
      <c r="BO32" s="170">
        <v>1070992.3</v>
      </c>
      <c r="BP32" s="170">
        <v>1112207.25</v>
      </c>
      <c r="BQ32" s="170">
        <v>8728324.72</v>
      </c>
      <c r="BR32" s="45">
        <f t="shared" si="37"/>
        <v>0.650972661846496</v>
      </c>
      <c r="BS32" s="37"/>
      <c r="BT32" s="37"/>
    </row>
    <row r="33" ht="15" spans="2:70">
      <c r="B33" s="40"/>
      <c r="C33" s="40"/>
      <c r="D33" s="40"/>
      <c r="E33" s="40"/>
      <c r="F33" s="42"/>
      <c r="G33" s="40"/>
      <c r="H33" s="40"/>
      <c r="I33" s="40"/>
      <c r="J33" s="53"/>
      <c r="K33" s="53"/>
      <c r="L33" s="53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171"/>
      <c r="AL33" s="171"/>
      <c r="AM33" s="171"/>
      <c r="AN33" s="171"/>
      <c r="AO33" s="171"/>
      <c r="AP33" s="171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171"/>
      <c r="BD33" s="171"/>
      <c r="BE33" s="171"/>
      <c r="BF33" s="171"/>
      <c r="BG33" s="171"/>
      <c r="BH33" s="171"/>
      <c r="BI33" s="41"/>
      <c r="BJ33" s="41"/>
      <c r="BK33" s="41"/>
      <c r="BL33" s="41"/>
      <c r="BM33" s="41"/>
      <c r="BN33" s="41"/>
      <c r="BO33" s="41"/>
      <c r="BP33" s="41"/>
      <c r="BQ33" s="41"/>
      <c r="BR33" s="40"/>
    </row>
  </sheetData>
  <autoFilter xmlns:etc="http://www.wps.cn/officeDocument/2017/etCustomData" ref="A2:BT31" etc:filterBottomFollowUsedRange="0">
    <extLst/>
  </autoFilter>
  <mergeCells count="48"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AZ1:BA1"/>
    <mergeCell ref="BC1:BD1"/>
    <mergeCell ref="BF1:BG1"/>
    <mergeCell ref="BI1:BJ1"/>
    <mergeCell ref="BL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L1:L2"/>
    <mergeCell ref="O1:O2"/>
    <mergeCell ref="R1:R2"/>
    <mergeCell ref="U1:U2"/>
    <mergeCell ref="X1:X2"/>
    <mergeCell ref="AA1:AA2"/>
    <mergeCell ref="AD1:AD2"/>
    <mergeCell ref="AG1:AG2"/>
    <mergeCell ref="AJ1:AJ2"/>
    <mergeCell ref="AM1:AM2"/>
    <mergeCell ref="AP1:AP2"/>
    <mergeCell ref="AS1:AS2"/>
    <mergeCell ref="AV1:AV2"/>
    <mergeCell ref="AY1:AY2"/>
    <mergeCell ref="BB1:BB2"/>
    <mergeCell ref="BE1:BE2"/>
    <mergeCell ref="BH1:BH2"/>
    <mergeCell ref="BK1:BK2"/>
    <mergeCell ref="BN1:BN2"/>
    <mergeCell ref="BR1:BR2"/>
  </mergeCells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0000"/>
  </sheetPr>
  <dimension ref="A1:BT35"/>
  <sheetViews>
    <sheetView workbookViewId="0">
      <pane xSplit="9" ySplit="2" topLeftCell="BG15" activePane="bottomRight" state="frozen"/>
      <selection/>
      <selection pane="topRight"/>
      <selection pane="bottomLeft"/>
      <selection pane="bottomRight" activeCell="BL35" sqref="BL35:BM35"/>
    </sheetView>
  </sheetViews>
  <sheetFormatPr defaultColWidth="9" defaultRowHeight="14"/>
  <cols>
    <col min="1" max="1" width="5.12727272727273" style="37" customWidth="1"/>
    <col min="2" max="2" width="5.25454545454545" customWidth="1"/>
    <col min="3" max="3" width="25.3727272727273" style="102" customWidth="1"/>
    <col min="4" max="5" width="8.87272727272727" style="7" customWidth="1"/>
    <col min="6" max="6" width="7.50909090909091" style="7" customWidth="1"/>
    <col min="7" max="7" width="7.12727272727273" style="7" hidden="1" customWidth="1"/>
    <col min="8" max="8" width="7.12727272727273" style="7" customWidth="1"/>
    <col min="9" max="9" width="11.1272727272727" style="7" customWidth="1"/>
    <col min="10" max="12" width="10.8727272727273" style="20" customWidth="1"/>
    <col min="13" max="14" width="9.50909090909091" style="130" customWidth="1"/>
    <col min="15" max="15" width="9.50909090909091" style="21" customWidth="1"/>
    <col min="16" max="17" width="9.50909090909091" style="59" customWidth="1"/>
    <col min="18" max="18" width="9.50909090909091" style="21" customWidth="1"/>
    <col min="19" max="24" width="9.87272727272727" style="21" customWidth="1"/>
    <col min="25" max="30" width="9.25454545454545" style="21" customWidth="1"/>
    <col min="31" max="35" width="11.6272727272727" style="21" customWidth="1"/>
    <col min="36" max="36" width="7.50909090909091" style="21" customWidth="1"/>
    <col min="37" max="38" width="11.8727272727273" style="103" customWidth="1"/>
    <col min="39" max="39" width="7.50909090909091" style="131" customWidth="1"/>
    <col min="40" max="42" width="11.8727272727273" style="131" customWidth="1"/>
    <col min="43" max="45" width="9.75454545454545" style="21" customWidth="1"/>
    <col min="46" max="47" width="11.1272727272727" style="21" customWidth="1"/>
    <col min="48" max="48" width="9.75454545454545" style="21" customWidth="1"/>
    <col min="49" max="50" width="9.62727272727273" style="130" customWidth="1"/>
    <col min="51" max="51" width="9.62727272727273" style="21" customWidth="1"/>
    <col min="52" max="53" width="9.62727272727273" style="130" customWidth="1"/>
    <col min="54" max="54" width="9.62727272727273" style="21" customWidth="1"/>
    <col min="55" max="60" width="11.1272727272727" style="131" customWidth="1"/>
    <col min="61" max="62" width="10.1272727272727" style="132" customWidth="1"/>
    <col min="63" max="63" width="7.5" style="132" customWidth="1"/>
    <col min="64" max="65" width="11.7545454545455" style="132" customWidth="1"/>
    <col min="66" max="66" width="8.5" style="132" customWidth="1"/>
    <col min="67" max="69" width="11.7545454545455" style="21" hidden="1" customWidth="1"/>
    <col min="70" max="70" width="9.25454545454545" style="21" customWidth="1"/>
    <col min="71" max="71" width="9" style="21" customWidth="1"/>
  </cols>
  <sheetData>
    <row r="1" ht="14.25" customHeight="1" spans="1:72">
      <c r="B1" s="133" t="s">
        <v>47</v>
      </c>
      <c r="C1" s="105" t="s">
        <v>255</v>
      </c>
      <c r="D1" s="104" t="s">
        <v>49</v>
      </c>
      <c r="E1" s="134" t="s">
        <v>50</v>
      </c>
      <c r="F1" s="134" t="s">
        <v>51</v>
      </c>
      <c r="G1" s="135" t="s">
        <v>52</v>
      </c>
      <c r="H1" s="136" t="s">
        <v>53</v>
      </c>
      <c r="I1" s="137" t="s">
        <v>39</v>
      </c>
      <c r="J1" s="66" t="s">
        <v>3</v>
      </c>
      <c r="K1" s="67"/>
      <c r="L1" s="68" t="s">
        <v>4</v>
      </c>
      <c r="M1" s="23" t="s">
        <v>5</v>
      </c>
      <c r="N1" s="23"/>
      <c r="O1" s="24" t="s">
        <v>4</v>
      </c>
      <c r="P1" s="69" t="s">
        <v>40</v>
      </c>
      <c r="Q1" s="69"/>
      <c r="R1" s="24" t="s">
        <v>4</v>
      </c>
      <c r="S1" s="23" t="s">
        <v>6</v>
      </c>
      <c r="T1" s="23"/>
      <c r="U1" s="24" t="s">
        <v>4</v>
      </c>
      <c r="V1" s="23" t="s">
        <v>7</v>
      </c>
      <c r="W1" s="23"/>
      <c r="X1" s="24" t="s">
        <v>4</v>
      </c>
      <c r="Y1" s="23" t="s">
        <v>8</v>
      </c>
      <c r="Z1" s="23"/>
      <c r="AA1" s="24" t="s">
        <v>4</v>
      </c>
      <c r="AB1" s="23" t="s">
        <v>9</v>
      </c>
      <c r="AC1" s="23"/>
      <c r="AD1" s="24" t="s">
        <v>4</v>
      </c>
      <c r="AE1" s="23" t="s">
        <v>10</v>
      </c>
      <c r="AF1" s="23"/>
      <c r="AG1" s="24" t="s">
        <v>4</v>
      </c>
      <c r="AH1" s="23" t="s">
        <v>11</v>
      </c>
      <c r="AI1" s="23"/>
      <c r="AJ1" s="24" t="s">
        <v>4</v>
      </c>
      <c r="AK1" s="23" t="s">
        <v>12</v>
      </c>
      <c r="AL1" s="23"/>
      <c r="AM1" s="24" t="s">
        <v>4</v>
      </c>
      <c r="AN1" s="23" t="s">
        <v>13</v>
      </c>
      <c r="AO1" s="23"/>
      <c r="AP1" s="24" t="s">
        <v>4</v>
      </c>
      <c r="AQ1" s="23" t="s">
        <v>14</v>
      </c>
      <c r="AR1" s="23"/>
      <c r="AS1" s="24" t="s">
        <v>4</v>
      </c>
      <c r="AT1" s="23" t="s">
        <v>41</v>
      </c>
      <c r="AU1" s="23"/>
      <c r="AV1" s="71" t="s">
        <v>4</v>
      </c>
      <c r="AW1" s="23" t="s">
        <v>15</v>
      </c>
      <c r="AX1" s="23"/>
      <c r="AY1" s="24" t="s">
        <v>4</v>
      </c>
      <c r="AZ1" s="23" t="s">
        <v>42</v>
      </c>
      <c r="BA1" s="23"/>
      <c r="BB1" s="71" t="s">
        <v>4</v>
      </c>
      <c r="BC1" s="72" t="s">
        <v>16</v>
      </c>
      <c r="BD1" s="73"/>
      <c r="BE1" s="71" t="s">
        <v>4</v>
      </c>
      <c r="BF1" s="72" t="s">
        <v>18</v>
      </c>
      <c r="BG1" s="73"/>
      <c r="BH1" s="71" t="s">
        <v>4</v>
      </c>
      <c r="BI1" s="72" t="s">
        <v>19</v>
      </c>
      <c r="BJ1" s="73"/>
      <c r="BK1" s="71" t="s">
        <v>4</v>
      </c>
      <c r="BL1" s="72" t="s">
        <v>20</v>
      </c>
      <c r="BM1" s="73"/>
      <c r="BN1" s="71" t="s">
        <v>4</v>
      </c>
      <c r="BO1" s="138" t="s">
        <v>43</v>
      </c>
      <c r="BP1" s="138" t="s">
        <v>44</v>
      </c>
      <c r="BQ1" s="138" t="s">
        <v>135</v>
      </c>
      <c r="BR1" s="75" t="s">
        <v>164</v>
      </c>
    </row>
    <row r="2" ht="14.25" customHeight="1" spans="1:72">
      <c r="B2" s="133"/>
      <c r="C2" s="105"/>
      <c r="D2" s="104"/>
      <c r="E2" s="139"/>
      <c r="F2" s="139"/>
      <c r="G2" s="135"/>
      <c r="H2" s="140"/>
      <c r="I2" s="141"/>
      <c r="J2" s="67" t="s">
        <v>22</v>
      </c>
      <c r="K2" s="77" t="s">
        <v>23</v>
      </c>
      <c r="L2" s="78"/>
      <c r="M2" s="30" t="s">
        <v>22</v>
      </c>
      <c r="N2" s="30" t="s">
        <v>23</v>
      </c>
      <c r="O2" s="24"/>
      <c r="P2" s="79" t="s">
        <v>22</v>
      </c>
      <c r="Q2" s="79" t="s">
        <v>23</v>
      </c>
      <c r="R2" s="24"/>
      <c r="S2" s="30" t="s">
        <v>22</v>
      </c>
      <c r="T2" s="30" t="s">
        <v>23</v>
      </c>
      <c r="U2" s="24"/>
      <c r="V2" s="30" t="s">
        <v>22</v>
      </c>
      <c r="W2" s="30" t="s">
        <v>23</v>
      </c>
      <c r="X2" s="24"/>
      <c r="Y2" s="30" t="s">
        <v>22</v>
      </c>
      <c r="Z2" s="30" t="s">
        <v>23</v>
      </c>
      <c r="AA2" s="24"/>
      <c r="AB2" s="30" t="s">
        <v>22</v>
      </c>
      <c r="AC2" s="30" t="s">
        <v>23</v>
      </c>
      <c r="AD2" s="24"/>
      <c r="AE2" s="30" t="s">
        <v>22</v>
      </c>
      <c r="AF2" s="30" t="s">
        <v>23</v>
      </c>
      <c r="AG2" s="24"/>
      <c r="AH2" s="30" t="s">
        <v>22</v>
      </c>
      <c r="AI2" s="30" t="s">
        <v>23</v>
      </c>
      <c r="AJ2" s="24"/>
      <c r="AK2" s="30" t="s">
        <v>22</v>
      </c>
      <c r="AL2" s="30" t="s">
        <v>23</v>
      </c>
      <c r="AM2" s="24"/>
      <c r="AN2" s="30" t="s">
        <v>22</v>
      </c>
      <c r="AO2" s="30" t="s">
        <v>23</v>
      </c>
      <c r="AP2" s="24"/>
      <c r="AQ2" s="30" t="s">
        <v>22</v>
      </c>
      <c r="AR2" s="30" t="s">
        <v>23</v>
      </c>
      <c r="AS2" s="24"/>
      <c r="AT2" s="30" t="s">
        <v>22</v>
      </c>
      <c r="AU2" s="30" t="s">
        <v>23</v>
      </c>
      <c r="AV2" s="71"/>
      <c r="AW2" s="30" t="s">
        <v>22</v>
      </c>
      <c r="AX2" s="30" t="s">
        <v>23</v>
      </c>
      <c r="AY2" s="24"/>
      <c r="AZ2" s="30" t="s">
        <v>22</v>
      </c>
      <c r="BA2" s="30" t="s">
        <v>23</v>
      </c>
      <c r="BB2" s="71"/>
      <c r="BC2" s="30" t="s">
        <v>22</v>
      </c>
      <c r="BD2" s="30" t="s">
        <v>23</v>
      </c>
      <c r="BE2" s="71"/>
      <c r="BF2" s="30" t="s">
        <v>22</v>
      </c>
      <c r="BG2" s="30" t="s">
        <v>23</v>
      </c>
      <c r="BH2" s="71"/>
      <c r="BI2" s="30" t="s">
        <v>22</v>
      </c>
      <c r="BJ2" s="30" t="s">
        <v>23</v>
      </c>
      <c r="BK2" s="71"/>
      <c r="BL2" s="30" t="s">
        <v>22</v>
      </c>
      <c r="BM2" s="30" t="s">
        <v>23</v>
      </c>
      <c r="BN2" s="71"/>
      <c r="BO2" s="29" t="s">
        <v>22</v>
      </c>
      <c r="BP2" s="29" t="s">
        <v>22</v>
      </c>
      <c r="BQ2" s="29" t="s">
        <v>22</v>
      </c>
      <c r="BR2" s="81"/>
      <c r="BS2" s="21" t="s">
        <v>54</v>
      </c>
      <c r="BT2" t="s">
        <v>55</v>
      </c>
    </row>
    <row r="3" ht="14.25" customHeight="1" spans="1:72">
      <c r="A3" s="38" t="s">
        <v>31</v>
      </c>
      <c r="B3" s="133" t="s">
        <v>31</v>
      </c>
      <c r="C3" s="269" t="s">
        <v>304</v>
      </c>
      <c r="D3" s="104" t="s">
        <v>63</v>
      </c>
      <c r="E3" s="104" t="s">
        <v>63</v>
      </c>
      <c r="F3" s="104" t="s">
        <v>305</v>
      </c>
      <c r="G3" s="104" t="s">
        <v>306</v>
      </c>
      <c r="H3" s="104" t="s">
        <v>307</v>
      </c>
      <c r="I3" s="104">
        <v>40</v>
      </c>
      <c r="J3" s="29">
        <v>32537</v>
      </c>
      <c r="K3" s="29"/>
      <c r="L3" s="114">
        <f>K3/J3-1</f>
        <v>-1</v>
      </c>
      <c r="M3" s="29">
        <v>22586</v>
      </c>
      <c r="N3" s="29">
        <v>32655</v>
      </c>
      <c r="O3" s="114">
        <f>N3/M3-1</f>
        <v>0.445807137164615</v>
      </c>
      <c r="P3" s="80">
        <f>M3+J3</f>
        <v>55123</v>
      </c>
      <c r="Q3" s="80">
        <f>N3+K3</f>
        <v>32655</v>
      </c>
      <c r="R3" s="114">
        <f>Q3/P3-1</f>
        <v>-0.407597554559803</v>
      </c>
      <c r="S3" s="46">
        <v>37044</v>
      </c>
      <c r="T3" s="46">
        <v>44580</v>
      </c>
      <c r="U3" s="114">
        <f>T3/S3-1</f>
        <v>0.203433754454163</v>
      </c>
      <c r="V3" s="36">
        <f>S3+P3</f>
        <v>92167</v>
      </c>
      <c r="W3" s="36">
        <f>T3+Q3</f>
        <v>77235</v>
      </c>
      <c r="X3" s="114">
        <f>W3/V3-1</f>
        <v>-0.162010263977346</v>
      </c>
      <c r="Y3" s="46">
        <v>10726</v>
      </c>
      <c r="Z3" s="46">
        <v>10654</v>
      </c>
      <c r="AA3" s="114">
        <f>Z3/Y3-1</f>
        <v>-0.00671266082416555</v>
      </c>
      <c r="AB3" s="46">
        <f>V3+Y3</f>
        <v>102893</v>
      </c>
      <c r="AC3" s="46">
        <f>W3+Z3</f>
        <v>87889</v>
      </c>
      <c r="AD3" s="114">
        <f>AC3/AB3-1</f>
        <v>-0.145821387266383</v>
      </c>
      <c r="AE3" s="142"/>
      <c r="AF3" s="142">
        <v>21384</v>
      </c>
      <c r="AG3" s="114" t="e">
        <f>AF3/AE3-1</f>
        <v>#DIV/0!</v>
      </c>
      <c r="AH3" s="142">
        <f>AE3+AB3</f>
        <v>102893</v>
      </c>
      <c r="AI3" s="142">
        <f>AF3+AC3</f>
        <v>109273</v>
      </c>
      <c r="AJ3" s="114">
        <f>AI3/AH3-1</f>
        <v>0.0620061617408376</v>
      </c>
      <c r="AK3" s="108">
        <v>10055</v>
      </c>
      <c r="AL3" s="108">
        <v>32633</v>
      </c>
      <c r="AM3" s="114">
        <f>AL3/AK3-1</f>
        <v>2.24545002486325</v>
      </c>
      <c r="AN3" s="143">
        <f>AK3+AH3</f>
        <v>112948</v>
      </c>
      <c r="AO3" s="143">
        <f>AL3+AI3</f>
        <v>141906</v>
      </c>
      <c r="AP3" s="114">
        <f>AO3/AN3-1</f>
        <v>0.256383468498778</v>
      </c>
      <c r="AQ3" s="29">
        <v>35569</v>
      </c>
      <c r="AR3" s="29">
        <v>26738</v>
      </c>
      <c r="AS3" s="114">
        <f>AR3/AQ3-1</f>
        <v>-0.248277994883185</v>
      </c>
      <c r="AT3" s="29">
        <f>AQ3+AN3</f>
        <v>148517</v>
      </c>
      <c r="AU3" s="29">
        <f>AR3+AO3</f>
        <v>168644</v>
      </c>
      <c r="AV3" s="114">
        <f>AU3/AT3-1</f>
        <v>0.135519839479656</v>
      </c>
      <c r="AW3" s="29">
        <v>22906</v>
      </c>
      <c r="AX3" s="29"/>
      <c r="AY3" s="114">
        <f>AX3/AW3-1</f>
        <v>-1</v>
      </c>
      <c r="AZ3" s="29">
        <f>AW3+AT3</f>
        <v>171423</v>
      </c>
      <c r="BA3" s="29">
        <f>AX3+AU3</f>
        <v>168644</v>
      </c>
      <c r="BB3" s="114">
        <f>BA3/AZ3-1</f>
        <v>-0.0162113602025399</v>
      </c>
      <c r="BC3" s="143">
        <v>45152</v>
      </c>
      <c r="BD3" s="143">
        <v>10128</v>
      </c>
      <c r="BE3" s="114">
        <f>BD3/BC3-1</f>
        <v>-0.775690999291283</v>
      </c>
      <c r="BF3" s="143">
        <f>BC3+AZ3</f>
        <v>216575</v>
      </c>
      <c r="BG3" s="143">
        <f>BD3+BA3</f>
        <v>178772</v>
      </c>
      <c r="BH3" s="114">
        <f>BG3/BF3-1</f>
        <v>-0.17454923236754</v>
      </c>
      <c r="BI3" s="46">
        <v>106673</v>
      </c>
      <c r="BJ3" s="46">
        <v>12134</v>
      </c>
      <c r="BK3" s="114">
        <f>BJ3/BI3-1</f>
        <v>-0.886250503876332</v>
      </c>
      <c r="BL3" s="46">
        <f>BI3+BF3</f>
        <v>323248</v>
      </c>
      <c r="BM3" s="46">
        <f>BJ3+BG3</f>
        <v>190906</v>
      </c>
      <c r="BN3" s="114">
        <f>BM3/BL3-1</f>
        <v>-0.409413205959511</v>
      </c>
      <c r="BO3" s="44">
        <v>87898</v>
      </c>
      <c r="BP3" s="142">
        <v>71108</v>
      </c>
      <c r="BQ3" s="29">
        <v>482254</v>
      </c>
      <c r="BR3" s="45">
        <f>BM3/10000/I3</f>
        <v>0.477265</v>
      </c>
    </row>
    <row r="4" ht="14.25" customHeight="1" spans="1:72">
      <c r="A4" s="38" t="s">
        <v>31</v>
      </c>
      <c r="B4" s="133" t="s">
        <v>31</v>
      </c>
      <c r="C4" s="269" t="s">
        <v>308</v>
      </c>
      <c r="D4" s="104" t="s">
        <v>63</v>
      </c>
      <c r="E4" s="104" t="s">
        <v>63</v>
      </c>
      <c r="F4" s="104" t="s">
        <v>305</v>
      </c>
      <c r="G4" s="104" t="s">
        <v>306</v>
      </c>
      <c r="H4" s="104" t="s">
        <v>307</v>
      </c>
      <c r="I4" s="104">
        <v>30</v>
      </c>
      <c r="J4" s="29">
        <v>10000</v>
      </c>
      <c r="K4" s="29">
        <v>10000</v>
      </c>
      <c r="L4" s="114">
        <f t="shared" ref="L4:L34" si="0">K4/J4-1</f>
        <v>0</v>
      </c>
      <c r="M4" s="29">
        <v>20000</v>
      </c>
      <c r="N4" s="29">
        <v>10000</v>
      </c>
      <c r="O4" s="114">
        <f t="shared" ref="O4:O34" si="1">N4/M4-1</f>
        <v>-0.5</v>
      </c>
      <c r="P4" s="80">
        <f t="shared" ref="P4:P33" si="2">M4+J4</f>
        <v>30000</v>
      </c>
      <c r="Q4" s="80">
        <f t="shared" ref="Q4:Q33" si="3">N4+K4</f>
        <v>20000</v>
      </c>
      <c r="R4" s="114">
        <f t="shared" ref="R4:R34" si="4">Q4/P4-1</f>
        <v>-0.333333333333333</v>
      </c>
      <c r="S4" s="46"/>
      <c r="T4" s="46">
        <v>10000</v>
      </c>
      <c r="U4" s="114" t="e">
        <f t="shared" ref="U4:U34" si="5">T4/S4-1</f>
        <v>#DIV/0!</v>
      </c>
      <c r="V4" s="36">
        <f t="shared" ref="V4:V34" si="6">S4+P4</f>
        <v>30000</v>
      </c>
      <c r="W4" s="36">
        <f t="shared" ref="W4:W34" si="7">T4+Q4</f>
        <v>30000</v>
      </c>
      <c r="X4" s="114">
        <f t="shared" ref="X4:X34" si="8">W4/V4-1</f>
        <v>0</v>
      </c>
      <c r="Y4" s="46">
        <v>10000</v>
      </c>
      <c r="Z4" s="46">
        <v>5763</v>
      </c>
      <c r="AA4" s="114">
        <f t="shared" ref="AA4:AA34" si="9">Z4/Y4-1</f>
        <v>-0.4237</v>
      </c>
      <c r="AB4" s="46">
        <f t="shared" ref="AB4:AB33" si="10">V4+Y4</f>
        <v>40000</v>
      </c>
      <c r="AC4" s="46">
        <f t="shared" ref="AC4:AC33" si="11">W4+Z4</f>
        <v>35763</v>
      </c>
      <c r="AD4" s="114">
        <f t="shared" ref="AD4:AD34" si="12">AC4/AB4-1</f>
        <v>-0.105925</v>
      </c>
      <c r="AE4" s="142"/>
      <c r="AF4" s="142">
        <v>2159</v>
      </c>
      <c r="AG4" s="114" t="e">
        <f t="shared" ref="AG4:AG34" si="13">AF4/AE4-1</f>
        <v>#DIV/0!</v>
      </c>
      <c r="AH4" s="142">
        <f t="shared" ref="AH4:AH34" si="14">AE4+AB4</f>
        <v>40000</v>
      </c>
      <c r="AI4" s="142">
        <f t="shared" ref="AI4:AI34" si="15">AF4+AC4</f>
        <v>37922</v>
      </c>
      <c r="AJ4" s="114">
        <f t="shared" ref="AJ4:AJ34" si="16">AI4/AH4-1</f>
        <v>-0.0519500000000001</v>
      </c>
      <c r="AK4" s="108"/>
      <c r="AL4" s="108"/>
      <c r="AM4" s="114" t="e">
        <f t="shared" ref="AM4:AM34" si="17">AL4/AK4-1</f>
        <v>#DIV/0!</v>
      </c>
      <c r="AN4" s="143">
        <f t="shared" ref="AN4:AN34" si="18">AK4+AH4</f>
        <v>40000</v>
      </c>
      <c r="AO4" s="143">
        <f t="shared" ref="AO4:AO34" si="19">AL4+AI4</f>
        <v>37922</v>
      </c>
      <c r="AP4" s="114">
        <f t="shared" ref="AP4:AP34" si="20">AO4/AN4-1</f>
        <v>-0.0519500000000001</v>
      </c>
      <c r="AQ4" s="29">
        <v>30000</v>
      </c>
      <c r="AR4" s="29">
        <v>14886</v>
      </c>
      <c r="AS4" s="114">
        <f t="shared" ref="AS4:AS34" si="21">AR4/AQ4-1</f>
        <v>-0.5038</v>
      </c>
      <c r="AT4" s="29">
        <f t="shared" ref="AT4:AT34" si="22">AQ4+AN4</f>
        <v>70000</v>
      </c>
      <c r="AU4" s="29">
        <f t="shared" ref="AU4:AU34" si="23">AR4+AO4</f>
        <v>52808</v>
      </c>
      <c r="AV4" s="114">
        <f t="shared" ref="AV4:AV34" si="24">AU4/AT4-1</f>
        <v>-0.2456</v>
      </c>
      <c r="AW4" s="29">
        <v>20000</v>
      </c>
      <c r="AX4" s="29">
        <v>5654</v>
      </c>
      <c r="AY4" s="114">
        <f t="shared" ref="AY4:AY34" si="25">AX4/AW4-1</f>
        <v>-0.7173</v>
      </c>
      <c r="AZ4" s="29">
        <f t="shared" ref="AZ4:AZ34" si="26">AW4+AT4</f>
        <v>90000</v>
      </c>
      <c r="BA4" s="29">
        <f t="shared" ref="BA4:BA34" si="27">AX4+AU4</f>
        <v>58462</v>
      </c>
      <c r="BB4" s="114">
        <f t="shared" ref="BB4:BB34" si="28">BA4/AZ4-1</f>
        <v>-0.350422222222222</v>
      </c>
      <c r="BC4" s="143"/>
      <c r="BD4" s="143"/>
      <c r="BE4" s="114" t="e">
        <f t="shared" ref="BE4:BE35" si="29">BD4/BC4-1</f>
        <v>#DIV/0!</v>
      </c>
      <c r="BF4" s="143">
        <f t="shared" ref="BF4:BF35" si="30">BC4+AZ4</f>
        <v>90000</v>
      </c>
      <c r="BG4" s="143">
        <f t="shared" ref="BG4:BG35" si="31">BD4+BA4</f>
        <v>58462</v>
      </c>
      <c r="BH4" s="114">
        <f t="shared" ref="BH4:BH35" si="32">BG4/BF4-1</f>
        <v>-0.350422222222222</v>
      </c>
      <c r="BI4" s="46">
        <v>60000</v>
      </c>
      <c r="BJ4" s="46">
        <v>4006</v>
      </c>
      <c r="BK4" s="114">
        <f t="shared" ref="BK4:BK35" si="33">BJ4/BI4-1</f>
        <v>-0.933233333333333</v>
      </c>
      <c r="BL4" s="46">
        <f t="shared" ref="BL4:BL35" si="34">BI4+BF4</f>
        <v>150000</v>
      </c>
      <c r="BM4" s="46">
        <f t="shared" ref="BM4:BM35" si="35">BJ4+BG4</f>
        <v>62468</v>
      </c>
      <c r="BN4" s="114">
        <f t="shared" ref="BN4:BN35" si="36">BM4/BL4-1</f>
        <v>-0.583546666666667</v>
      </c>
      <c r="BO4" s="44">
        <v>20000</v>
      </c>
      <c r="BP4" s="142"/>
      <c r="BQ4" s="29">
        <v>170000</v>
      </c>
      <c r="BR4" s="45">
        <f t="shared" ref="BR4:BR35" si="37">BM4/10000/I4</f>
        <v>0.208226666666667</v>
      </c>
    </row>
    <row r="5" ht="14.25" customHeight="1" spans="1:72">
      <c r="A5" s="38" t="s">
        <v>31</v>
      </c>
      <c r="B5" s="133" t="s">
        <v>31</v>
      </c>
      <c r="C5" s="105" t="s">
        <v>309</v>
      </c>
      <c r="D5" s="104" t="s">
        <v>63</v>
      </c>
      <c r="E5" s="104" t="s">
        <v>58</v>
      </c>
      <c r="F5" s="104" t="s">
        <v>310</v>
      </c>
      <c r="G5" s="104" t="s">
        <v>310</v>
      </c>
      <c r="H5" s="104" t="s">
        <v>311</v>
      </c>
      <c r="I5" s="104">
        <v>100</v>
      </c>
      <c r="J5" s="29"/>
      <c r="K5" s="29">
        <v>200000</v>
      </c>
      <c r="L5" s="114" t="e">
        <f t="shared" si="0"/>
        <v>#DIV/0!</v>
      </c>
      <c r="M5" s="29"/>
      <c r="N5" s="29"/>
      <c r="O5" s="114" t="e">
        <f t="shared" si="1"/>
        <v>#DIV/0!</v>
      </c>
      <c r="P5" s="80">
        <f t="shared" si="2"/>
        <v>0</v>
      </c>
      <c r="Q5" s="80">
        <f t="shared" si="3"/>
        <v>200000</v>
      </c>
      <c r="R5" s="114" t="e">
        <f t="shared" si="4"/>
        <v>#DIV/0!</v>
      </c>
      <c r="S5" s="46">
        <v>250000</v>
      </c>
      <c r="T5" s="46">
        <f>200000+20000</f>
        <v>220000</v>
      </c>
      <c r="U5" s="114">
        <f t="shared" si="5"/>
        <v>-0.12</v>
      </c>
      <c r="V5" s="36">
        <f t="shared" si="6"/>
        <v>250000</v>
      </c>
      <c r="W5" s="36">
        <f t="shared" si="7"/>
        <v>420000</v>
      </c>
      <c r="X5" s="114">
        <f t="shared" si="8"/>
        <v>0.68</v>
      </c>
      <c r="Y5" s="46"/>
      <c r="Z5" s="46">
        <v>250000</v>
      </c>
      <c r="AA5" s="114" t="e">
        <f t="shared" si="9"/>
        <v>#DIV/0!</v>
      </c>
      <c r="AB5" s="46">
        <f t="shared" si="10"/>
        <v>250000</v>
      </c>
      <c r="AC5" s="46">
        <f t="shared" si="11"/>
        <v>670000</v>
      </c>
      <c r="AD5" s="114">
        <f t="shared" si="12"/>
        <v>1.68</v>
      </c>
      <c r="AE5" s="142"/>
      <c r="AF5" s="142"/>
      <c r="AG5" s="114" t="e">
        <f t="shared" si="13"/>
        <v>#DIV/0!</v>
      </c>
      <c r="AH5" s="142">
        <f t="shared" si="14"/>
        <v>250000</v>
      </c>
      <c r="AI5" s="142">
        <f t="shared" si="15"/>
        <v>670000</v>
      </c>
      <c r="AJ5" s="114">
        <f t="shared" si="16"/>
        <v>1.68</v>
      </c>
      <c r="AK5" s="108"/>
      <c r="AL5" s="108">
        <f>200000+20000</f>
        <v>220000</v>
      </c>
      <c r="AM5" s="114" t="e">
        <f t="shared" si="17"/>
        <v>#DIV/0!</v>
      </c>
      <c r="AN5" s="143">
        <f t="shared" si="18"/>
        <v>250000</v>
      </c>
      <c r="AO5" s="143">
        <f t="shared" si="19"/>
        <v>890000</v>
      </c>
      <c r="AP5" s="114">
        <f t="shared" si="20"/>
        <v>2.56</v>
      </c>
      <c r="AQ5" s="29"/>
      <c r="AR5" s="29"/>
      <c r="AS5" s="114" t="e">
        <f t="shared" si="21"/>
        <v>#DIV/0!</v>
      </c>
      <c r="AT5" s="29">
        <f t="shared" si="22"/>
        <v>250000</v>
      </c>
      <c r="AU5" s="29">
        <f t="shared" si="23"/>
        <v>890000</v>
      </c>
      <c r="AV5" s="114">
        <f t="shared" si="24"/>
        <v>2.56</v>
      </c>
      <c r="AW5" s="29">
        <v>250000</v>
      </c>
      <c r="AX5" s="29"/>
      <c r="AY5" s="114">
        <f t="shared" si="25"/>
        <v>-1</v>
      </c>
      <c r="AZ5" s="29">
        <f t="shared" si="26"/>
        <v>500000</v>
      </c>
      <c r="BA5" s="29">
        <f t="shared" si="27"/>
        <v>890000</v>
      </c>
      <c r="BB5" s="114">
        <f t="shared" si="28"/>
        <v>0.78</v>
      </c>
      <c r="BC5" s="143">
        <v>250000</v>
      </c>
      <c r="BD5" s="143"/>
      <c r="BE5" s="114">
        <f t="shared" si="29"/>
        <v>-1</v>
      </c>
      <c r="BF5" s="143">
        <f t="shared" si="30"/>
        <v>750000</v>
      </c>
      <c r="BG5" s="143">
        <f t="shared" si="31"/>
        <v>890000</v>
      </c>
      <c r="BH5" s="114">
        <f t="shared" si="32"/>
        <v>0.186666666666667</v>
      </c>
      <c r="BI5" s="46"/>
      <c r="BJ5" s="46"/>
      <c r="BK5" s="114" t="e">
        <f t="shared" si="33"/>
        <v>#DIV/0!</v>
      </c>
      <c r="BL5" s="46">
        <f t="shared" si="34"/>
        <v>750000</v>
      </c>
      <c r="BM5" s="46">
        <f t="shared" si="35"/>
        <v>890000</v>
      </c>
      <c r="BN5" s="114">
        <f t="shared" si="36"/>
        <v>0.186666666666667</v>
      </c>
      <c r="BO5" s="44">
        <v>250000</v>
      </c>
      <c r="BP5" s="142"/>
      <c r="BQ5" s="29">
        <v>1000000</v>
      </c>
      <c r="BR5" s="45">
        <f t="shared" si="37"/>
        <v>0.89</v>
      </c>
      <c r="BT5">
        <v>40000</v>
      </c>
    </row>
    <row r="6" ht="14.25" customHeight="1" spans="1:72">
      <c r="A6" s="38" t="s">
        <v>31</v>
      </c>
      <c r="B6" s="133" t="s">
        <v>31</v>
      </c>
      <c r="C6" s="269" t="s">
        <v>312</v>
      </c>
      <c r="D6" s="104" t="s">
        <v>63</v>
      </c>
      <c r="E6" s="104" t="s">
        <v>63</v>
      </c>
      <c r="F6" s="104" t="s">
        <v>310</v>
      </c>
      <c r="G6" s="104" t="s">
        <v>310</v>
      </c>
      <c r="H6" s="104" t="s">
        <v>311</v>
      </c>
      <c r="I6" s="104">
        <v>30</v>
      </c>
      <c r="J6" s="29">
        <v>12244</v>
      </c>
      <c r="K6" s="29">
        <v>8690</v>
      </c>
      <c r="L6" s="114">
        <f t="shared" si="0"/>
        <v>-0.290264619405423</v>
      </c>
      <c r="M6" s="29"/>
      <c r="N6" s="29"/>
      <c r="O6" s="114" t="e">
        <f t="shared" si="1"/>
        <v>#DIV/0!</v>
      </c>
      <c r="P6" s="80">
        <f t="shared" si="2"/>
        <v>12244</v>
      </c>
      <c r="Q6" s="80">
        <f t="shared" si="3"/>
        <v>8690</v>
      </c>
      <c r="R6" s="114">
        <f t="shared" si="4"/>
        <v>-0.290264619405423</v>
      </c>
      <c r="S6" s="46"/>
      <c r="T6" s="46">
        <v>5307</v>
      </c>
      <c r="U6" s="114" t="e">
        <f t="shared" si="5"/>
        <v>#DIV/0!</v>
      </c>
      <c r="V6" s="36">
        <f t="shared" si="6"/>
        <v>12244</v>
      </c>
      <c r="W6" s="36">
        <f t="shared" si="7"/>
        <v>13997</v>
      </c>
      <c r="X6" s="114">
        <f t="shared" si="8"/>
        <v>0.143172165958837</v>
      </c>
      <c r="Y6" s="46"/>
      <c r="Z6" s="46"/>
      <c r="AA6" s="114" t="e">
        <f t="shared" si="9"/>
        <v>#DIV/0!</v>
      </c>
      <c r="AB6" s="46">
        <f t="shared" si="10"/>
        <v>12244</v>
      </c>
      <c r="AC6" s="46">
        <f t="shared" si="11"/>
        <v>13997</v>
      </c>
      <c r="AD6" s="114">
        <f t="shared" si="12"/>
        <v>0.143172165958837</v>
      </c>
      <c r="AE6" s="142">
        <v>5295</v>
      </c>
      <c r="AF6" s="142">
        <v>1701</v>
      </c>
      <c r="AG6" s="114">
        <f t="shared" si="13"/>
        <v>-0.678753541076487</v>
      </c>
      <c r="AH6" s="142">
        <f t="shared" si="14"/>
        <v>17539</v>
      </c>
      <c r="AI6" s="142">
        <f t="shared" si="15"/>
        <v>15698</v>
      </c>
      <c r="AJ6" s="114">
        <f t="shared" si="16"/>
        <v>-0.104966075602942</v>
      </c>
      <c r="AK6" s="108">
        <v>5337</v>
      </c>
      <c r="AL6" s="108">
        <v>9051</v>
      </c>
      <c r="AM6" s="114">
        <f t="shared" si="17"/>
        <v>0.695896571107364</v>
      </c>
      <c r="AN6" s="143">
        <f t="shared" si="18"/>
        <v>22876</v>
      </c>
      <c r="AO6" s="143">
        <f t="shared" si="19"/>
        <v>24749</v>
      </c>
      <c r="AP6" s="114">
        <f t="shared" si="20"/>
        <v>0.08187620213324</v>
      </c>
      <c r="AQ6" s="29"/>
      <c r="AR6" s="29">
        <v>5556</v>
      </c>
      <c r="AS6" s="114" t="e">
        <f t="shared" si="21"/>
        <v>#DIV/0!</v>
      </c>
      <c r="AT6" s="29">
        <f t="shared" si="22"/>
        <v>22876</v>
      </c>
      <c r="AU6" s="29">
        <f t="shared" si="23"/>
        <v>30305</v>
      </c>
      <c r="AV6" s="114">
        <f t="shared" si="24"/>
        <v>0.324750830564784</v>
      </c>
      <c r="AW6" s="29"/>
      <c r="AX6" s="29"/>
      <c r="AY6" s="114" t="e">
        <f t="shared" si="25"/>
        <v>#DIV/0!</v>
      </c>
      <c r="AZ6" s="29">
        <f t="shared" si="26"/>
        <v>22876</v>
      </c>
      <c r="BA6" s="29">
        <f t="shared" si="27"/>
        <v>30305</v>
      </c>
      <c r="BB6" s="114">
        <f t="shared" si="28"/>
        <v>0.324750830564784</v>
      </c>
      <c r="BC6" s="143">
        <v>11878</v>
      </c>
      <c r="BD6" s="143"/>
      <c r="BE6" s="114">
        <f t="shared" si="29"/>
        <v>-1</v>
      </c>
      <c r="BF6" s="143">
        <f t="shared" si="30"/>
        <v>34754</v>
      </c>
      <c r="BG6" s="143">
        <f t="shared" si="31"/>
        <v>30305</v>
      </c>
      <c r="BH6" s="114">
        <f t="shared" si="32"/>
        <v>-0.128014041549174</v>
      </c>
      <c r="BI6" s="46"/>
      <c r="BJ6" s="46"/>
      <c r="BK6" s="114" t="e">
        <f t="shared" si="33"/>
        <v>#DIV/0!</v>
      </c>
      <c r="BL6" s="46">
        <f t="shared" si="34"/>
        <v>34754</v>
      </c>
      <c r="BM6" s="46">
        <f t="shared" si="35"/>
        <v>30305</v>
      </c>
      <c r="BN6" s="114">
        <f t="shared" si="36"/>
        <v>-0.128014041549174</v>
      </c>
      <c r="BO6" s="44">
        <v>6702</v>
      </c>
      <c r="BP6" s="142"/>
      <c r="BQ6" s="29">
        <v>41456</v>
      </c>
      <c r="BR6" s="45">
        <f t="shared" si="37"/>
        <v>0.101016666666667</v>
      </c>
    </row>
    <row r="7" ht="14.25" customHeight="1" spans="1:72">
      <c r="A7" s="38" t="s">
        <v>31</v>
      </c>
      <c r="B7" s="133" t="s">
        <v>31</v>
      </c>
      <c r="C7" s="105" t="s">
        <v>313</v>
      </c>
      <c r="D7" s="104" t="s">
        <v>63</v>
      </c>
      <c r="E7" s="104" t="s">
        <v>63</v>
      </c>
      <c r="F7" s="104" t="s">
        <v>314</v>
      </c>
      <c r="G7" s="104" t="s">
        <v>314</v>
      </c>
      <c r="H7" s="104" t="s">
        <v>311</v>
      </c>
      <c r="I7" s="104">
        <v>20</v>
      </c>
      <c r="J7" s="29"/>
      <c r="K7" s="29">
        <v>49260</v>
      </c>
      <c r="L7" s="114" t="e">
        <f t="shared" si="0"/>
        <v>#DIV/0!</v>
      </c>
      <c r="M7" s="29"/>
      <c r="N7" s="29"/>
      <c r="O7" s="114" t="e">
        <f t="shared" si="1"/>
        <v>#DIV/0!</v>
      </c>
      <c r="P7" s="80">
        <f t="shared" si="2"/>
        <v>0</v>
      </c>
      <c r="Q7" s="80">
        <f t="shared" si="3"/>
        <v>49260</v>
      </c>
      <c r="R7" s="114" t="e">
        <f t="shared" si="4"/>
        <v>#DIV/0!</v>
      </c>
      <c r="S7" s="46"/>
      <c r="T7" s="46">
        <v>16510</v>
      </c>
      <c r="U7" s="114" t="e">
        <f t="shared" si="5"/>
        <v>#DIV/0!</v>
      </c>
      <c r="V7" s="36">
        <f t="shared" si="6"/>
        <v>0</v>
      </c>
      <c r="W7" s="36">
        <f t="shared" si="7"/>
        <v>65770</v>
      </c>
      <c r="X7" s="114" t="e">
        <f t="shared" si="8"/>
        <v>#DIV/0!</v>
      </c>
      <c r="Y7" s="46">
        <v>12370</v>
      </c>
      <c r="Z7" s="46"/>
      <c r="AA7" s="114">
        <f t="shared" si="9"/>
        <v>-1</v>
      </c>
      <c r="AB7" s="46">
        <f t="shared" si="10"/>
        <v>12370</v>
      </c>
      <c r="AC7" s="46">
        <f t="shared" si="11"/>
        <v>65770</v>
      </c>
      <c r="AD7" s="114">
        <f t="shared" si="12"/>
        <v>4.31689571544058</v>
      </c>
      <c r="AE7" s="142">
        <v>4996</v>
      </c>
      <c r="AF7" s="142">
        <v>16510</v>
      </c>
      <c r="AG7" s="114">
        <f t="shared" si="13"/>
        <v>2.30464371497198</v>
      </c>
      <c r="AH7" s="142">
        <f t="shared" si="14"/>
        <v>17366</v>
      </c>
      <c r="AI7" s="142">
        <f t="shared" si="15"/>
        <v>82280</v>
      </c>
      <c r="AJ7" s="114">
        <f t="shared" si="16"/>
        <v>3.73799378095128</v>
      </c>
      <c r="AK7" s="108"/>
      <c r="AL7" s="108"/>
      <c r="AM7" s="114" t="e">
        <f t="shared" si="17"/>
        <v>#DIV/0!</v>
      </c>
      <c r="AN7" s="143">
        <f t="shared" si="18"/>
        <v>17366</v>
      </c>
      <c r="AO7" s="143">
        <f t="shared" si="19"/>
        <v>82280</v>
      </c>
      <c r="AP7" s="114">
        <f t="shared" si="20"/>
        <v>3.73799378095128</v>
      </c>
      <c r="AQ7" s="29"/>
      <c r="AR7" s="29"/>
      <c r="AS7" s="114" t="e">
        <f t="shared" si="21"/>
        <v>#DIV/0!</v>
      </c>
      <c r="AT7" s="29">
        <f t="shared" si="22"/>
        <v>17366</v>
      </c>
      <c r="AU7" s="29">
        <f t="shared" si="23"/>
        <v>82280</v>
      </c>
      <c r="AV7" s="114">
        <f t="shared" si="24"/>
        <v>3.73799378095128</v>
      </c>
      <c r="AW7" s="29"/>
      <c r="AX7" s="29"/>
      <c r="AY7" s="114" t="e">
        <f t="shared" si="25"/>
        <v>#DIV/0!</v>
      </c>
      <c r="AZ7" s="29">
        <f t="shared" si="26"/>
        <v>17366</v>
      </c>
      <c r="BA7" s="29">
        <f t="shared" si="27"/>
        <v>82280</v>
      </c>
      <c r="BB7" s="114">
        <f t="shared" si="28"/>
        <v>3.73799378095128</v>
      </c>
      <c r="BC7" s="143"/>
      <c r="BD7" s="143">
        <v>9829</v>
      </c>
      <c r="BE7" s="114" t="e">
        <f t="shared" si="29"/>
        <v>#DIV/0!</v>
      </c>
      <c r="BF7" s="143">
        <f t="shared" si="30"/>
        <v>17366</v>
      </c>
      <c r="BG7" s="143">
        <f t="shared" si="31"/>
        <v>92109</v>
      </c>
      <c r="BH7" s="114">
        <f t="shared" si="32"/>
        <v>4.30398479788092</v>
      </c>
      <c r="BI7" s="46">
        <v>26066</v>
      </c>
      <c r="BJ7" s="46"/>
      <c r="BK7" s="114">
        <f t="shared" si="33"/>
        <v>-1</v>
      </c>
      <c r="BL7" s="46">
        <f t="shared" si="34"/>
        <v>43432</v>
      </c>
      <c r="BM7" s="46">
        <f t="shared" si="35"/>
        <v>92109</v>
      </c>
      <c r="BN7" s="114">
        <f t="shared" si="36"/>
        <v>1.12076349235587</v>
      </c>
      <c r="BO7" s="44">
        <v>10065</v>
      </c>
      <c r="BP7" s="142"/>
      <c r="BQ7" s="29">
        <v>53497</v>
      </c>
      <c r="BR7" s="45">
        <f t="shared" si="37"/>
        <v>0.460545</v>
      </c>
    </row>
    <row r="8" ht="14.25" customHeight="1" spans="1:72">
      <c r="A8" s="38" t="s">
        <v>31</v>
      </c>
      <c r="B8" s="133" t="s">
        <v>31</v>
      </c>
      <c r="C8" s="105" t="s">
        <v>315</v>
      </c>
      <c r="D8" s="104" t="s">
        <v>63</v>
      </c>
      <c r="E8" s="104" t="s">
        <v>58</v>
      </c>
      <c r="F8" s="104" t="s">
        <v>305</v>
      </c>
      <c r="G8" s="104" t="s">
        <v>316</v>
      </c>
      <c r="H8" s="104" t="s">
        <v>317</v>
      </c>
      <c r="I8" s="104">
        <v>40</v>
      </c>
      <c r="J8" s="29">
        <v>20000</v>
      </c>
      <c r="K8" s="29">
        <f>30000+30000</f>
        <v>60000</v>
      </c>
      <c r="L8" s="114">
        <f t="shared" si="0"/>
        <v>2</v>
      </c>
      <c r="M8" s="29">
        <v>30000</v>
      </c>
      <c r="N8" s="29">
        <v>60000</v>
      </c>
      <c r="O8" s="114">
        <f t="shared" si="1"/>
        <v>1</v>
      </c>
      <c r="P8" s="80">
        <f t="shared" si="2"/>
        <v>50000</v>
      </c>
      <c r="Q8" s="80">
        <f t="shared" si="3"/>
        <v>120000</v>
      </c>
      <c r="R8" s="114">
        <f t="shared" si="4"/>
        <v>1.4</v>
      </c>
      <c r="S8" s="46"/>
      <c r="T8" s="46">
        <f>11533+80000</f>
        <v>91533</v>
      </c>
      <c r="U8" s="114" t="e">
        <f t="shared" si="5"/>
        <v>#DIV/0!</v>
      </c>
      <c r="V8" s="36">
        <f t="shared" si="6"/>
        <v>50000</v>
      </c>
      <c r="W8" s="36">
        <f t="shared" si="7"/>
        <v>211533</v>
      </c>
      <c r="X8" s="114">
        <f t="shared" si="8"/>
        <v>3.23066</v>
      </c>
      <c r="Y8" s="46">
        <v>30000</v>
      </c>
      <c r="Z8" s="46">
        <v>40000</v>
      </c>
      <c r="AA8" s="114">
        <f t="shared" si="9"/>
        <v>0.333333333333333</v>
      </c>
      <c r="AB8" s="46">
        <f t="shared" si="10"/>
        <v>80000</v>
      </c>
      <c r="AC8" s="46">
        <f t="shared" si="11"/>
        <v>251533</v>
      </c>
      <c r="AD8" s="114">
        <f t="shared" si="12"/>
        <v>2.1441625</v>
      </c>
      <c r="AE8" s="142">
        <v>20000</v>
      </c>
      <c r="AF8" s="142">
        <v>40000</v>
      </c>
      <c r="AG8" s="114">
        <f t="shared" si="13"/>
        <v>1</v>
      </c>
      <c r="AH8" s="142">
        <f t="shared" si="14"/>
        <v>100000</v>
      </c>
      <c r="AI8" s="142">
        <f t="shared" si="15"/>
        <v>291533</v>
      </c>
      <c r="AJ8" s="114">
        <f t="shared" si="16"/>
        <v>1.91533</v>
      </c>
      <c r="AK8" s="108"/>
      <c r="AL8" s="108">
        <v>50000</v>
      </c>
      <c r="AM8" s="114" t="e">
        <f t="shared" si="17"/>
        <v>#DIV/0!</v>
      </c>
      <c r="AN8" s="143">
        <f t="shared" si="18"/>
        <v>100000</v>
      </c>
      <c r="AO8" s="143">
        <f t="shared" si="19"/>
        <v>341533</v>
      </c>
      <c r="AP8" s="114">
        <f t="shared" si="20"/>
        <v>2.41533</v>
      </c>
      <c r="AQ8" s="29"/>
      <c r="AR8" s="29">
        <v>20000</v>
      </c>
      <c r="AS8" s="114" t="e">
        <f t="shared" si="21"/>
        <v>#DIV/0!</v>
      </c>
      <c r="AT8" s="29">
        <f t="shared" si="22"/>
        <v>100000</v>
      </c>
      <c r="AU8" s="29">
        <f t="shared" si="23"/>
        <v>361533</v>
      </c>
      <c r="AV8" s="114">
        <f t="shared" si="24"/>
        <v>2.61533</v>
      </c>
      <c r="AW8" s="29"/>
      <c r="AX8" s="29">
        <v>30000</v>
      </c>
      <c r="AY8" s="114" t="e">
        <f t="shared" si="25"/>
        <v>#DIV/0!</v>
      </c>
      <c r="AZ8" s="29">
        <f t="shared" si="26"/>
        <v>100000</v>
      </c>
      <c r="BA8" s="29">
        <f t="shared" si="27"/>
        <v>391533</v>
      </c>
      <c r="BB8" s="114">
        <f t="shared" si="28"/>
        <v>2.91533</v>
      </c>
      <c r="BC8" s="143">
        <v>91900</v>
      </c>
      <c r="BD8" s="143">
        <f>30000+20000</f>
        <v>50000</v>
      </c>
      <c r="BE8" s="114">
        <f t="shared" si="29"/>
        <v>-0.455930359085963</v>
      </c>
      <c r="BF8" s="143">
        <f t="shared" si="30"/>
        <v>191900</v>
      </c>
      <c r="BG8" s="143">
        <f t="shared" si="31"/>
        <v>441533</v>
      </c>
      <c r="BH8" s="114">
        <f t="shared" si="32"/>
        <v>1.30084940072955</v>
      </c>
      <c r="BI8" s="46">
        <v>70000</v>
      </c>
      <c r="BJ8" s="46">
        <v>30000</v>
      </c>
      <c r="BK8" s="114">
        <f t="shared" si="33"/>
        <v>-0.571428571428571</v>
      </c>
      <c r="BL8" s="46">
        <f t="shared" si="34"/>
        <v>261900</v>
      </c>
      <c r="BM8" s="46">
        <f t="shared" si="35"/>
        <v>471533</v>
      </c>
      <c r="BN8" s="114">
        <f t="shared" si="36"/>
        <v>0.800431462390225</v>
      </c>
      <c r="BO8" s="44">
        <v>110000</v>
      </c>
      <c r="BP8" s="142">
        <v>120000</v>
      </c>
      <c r="BQ8" s="29">
        <v>491900</v>
      </c>
      <c r="BR8" s="45">
        <f t="shared" si="37"/>
        <v>1.1788325</v>
      </c>
    </row>
    <row r="9" ht="14.25" customHeight="1" spans="1:72">
      <c r="A9" s="38" t="s">
        <v>31</v>
      </c>
      <c r="B9" s="133" t="s">
        <v>31</v>
      </c>
      <c r="C9" s="105" t="s">
        <v>318</v>
      </c>
      <c r="D9" s="104" t="s">
        <v>63</v>
      </c>
      <c r="E9" s="104" t="s">
        <v>63</v>
      </c>
      <c r="F9" s="104" t="s">
        <v>310</v>
      </c>
      <c r="G9" s="104" t="s">
        <v>310</v>
      </c>
      <c r="H9" s="104" t="s">
        <v>317</v>
      </c>
      <c r="I9" s="104">
        <v>10</v>
      </c>
      <c r="J9" s="29">
        <v>10000</v>
      </c>
      <c r="K9" s="29"/>
      <c r="L9" s="114">
        <f t="shared" si="0"/>
        <v>-1</v>
      </c>
      <c r="M9" s="29"/>
      <c r="N9" s="29">
        <v>12145</v>
      </c>
      <c r="O9" s="114" t="e">
        <f t="shared" si="1"/>
        <v>#DIV/0!</v>
      </c>
      <c r="P9" s="80">
        <f t="shared" si="2"/>
        <v>10000</v>
      </c>
      <c r="Q9" s="80">
        <f t="shared" si="3"/>
        <v>12145</v>
      </c>
      <c r="R9" s="114">
        <f t="shared" si="4"/>
        <v>0.2145</v>
      </c>
      <c r="S9" s="46">
        <v>20000</v>
      </c>
      <c r="T9" s="46">
        <v>15398</v>
      </c>
      <c r="U9" s="114">
        <f t="shared" si="5"/>
        <v>-0.2301</v>
      </c>
      <c r="V9" s="36">
        <f t="shared" si="6"/>
        <v>30000</v>
      </c>
      <c r="W9" s="36">
        <f t="shared" si="7"/>
        <v>27543</v>
      </c>
      <c r="X9" s="114">
        <f t="shared" si="8"/>
        <v>-0.0819</v>
      </c>
      <c r="Y9" s="46"/>
      <c r="Z9" s="46"/>
      <c r="AA9" s="114" t="e">
        <f t="shared" si="9"/>
        <v>#DIV/0!</v>
      </c>
      <c r="AB9" s="46">
        <f t="shared" si="10"/>
        <v>30000</v>
      </c>
      <c r="AC9" s="46">
        <f t="shared" si="11"/>
        <v>27543</v>
      </c>
      <c r="AD9" s="114">
        <f t="shared" si="12"/>
        <v>-0.0819</v>
      </c>
      <c r="AE9" s="142">
        <v>10000</v>
      </c>
      <c r="AF9" s="142">
        <v>6777</v>
      </c>
      <c r="AG9" s="114">
        <f t="shared" si="13"/>
        <v>-0.3223</v>
      </c>
      <c r="AH9" s="142">
        <f t="shared" si="14"/>
        <v>40000</v>
      </c>
      <c r="AI9" s="142">
        <f t="shared" si="15"/>
        <v>34320</v>
      </c>
      <c r="AJ9" s="114">
        <f t="shared" si="16"/>
        <v>-0.142</v>
      </c>
      <c r="AK9" s="108"/>
      <c r="AL9" s="108"/>
      <c r="AM9" s="114" t="e">
        <f t="shared" si="17"/>
        <v>#DIV/0!</v>
      </c>
      <c r="AN9" s="143">
        <f t="shared" si="18"/>
        <v>40000</v>
      </c>
      <c r="AO9" s="143">
        <f t="shared" si="19"/>
        <v>34320</v>
      </c>
      <c r="AP9" s="114">
        <f t="shared" si="20"/>
        <v>-0.142</v>
      </c>
      <c r="AQ9" s="29"/>
      <c r="AR9" s="29">
        <v>4441</v>
      </c>
      <c r="AS9" s="114" t="e">
        <f t="shared" si="21"/>
        <v>#DIV/0!</v>
      </c>
      <c r="AT9" s="29">
        <f t="shared" si="22"/>
        <v>40000</v>
      </c>
      <c r="AU9" s="29">
        <f t="shared" si="23"/>
        <v>38761</v>
      </c>
      <c r="AV9" s="114">
        <f t="shared" si="24"/>
        <v>-0.030975</v>
      </c>
      <c r="AW9" s="29"/>
      <c r="AX9" s="29">
        <v>2259</v>
      </c>
      <c r="AY9" s="114" t="e">
        <f t="shared" si="25"/>
        <v>#DIV/0!</v>
      </c>
      <c r="AZ9" s="29">
        <f t="shared" si="26"/>
        <v>40000</v>
      </c>
      <c r="BA9" s="29">
        <f t="shared" si="27"/>
        <v>41020</v>
      </c>
      <c r="BB9" s="114">
        <f t="shared" si="28"/>
        <v>0.0255000000000001</v>
      </c>
      <c r="BC9" s="143"/>
      <c r="BD9" s="143"/>
      <c r="BE9" s="114" t="e">
        <f t="shared" si="29"/>
        <v>#DIV/0!</v>
      </c>
      <c r="BF9" s="143">
        <f t="shared" si="30"/>
        <v>40000</v>
      </c>
      <c r="BG9" s="143">
        <f t="shared" si="31"/>
        <v>41020</v>
      </c>
      <c r="BH9" s="114">
        <f t="shared" si="32"/>
        <v>0.0255000000000001</v>
      </c>
      <c r="BI9" s="46"/>
      <c r="BJ9" s="46">
        <v>6034</v>
      </c>
      <c r="BK9" s="114" t="e">
        <f t="shared" si="33"/>
        <v>#DIV/0!</v>
      </c>
      <c r="BL9" s="46">
        <f t="shared" si="34"/>
        <v>40000</v>
      </c>
      <c r="BM9" s="46">
        <f t="shared" si="35"/>
        <v>47054</v>
      </c>
      <c r="BN9" s="114">
        <f t="shared" si="36"/>
        <v>0.17635</v>
      </c>
      <c r="BO9" s="44"/>
      <c r="BP9" s="142"/>
      <c r="BQ9" s="29">
        <v>40000</v>
      </c>
      <c r="BR9" s="45">
        <f t="shared" si="37"/>
        <v>0.47054</v>
      </c>
    </row>
    <row r="10" ht="14.25" customHeight="1" spans="1:72">
      <c r="A10" s="38" t="s">
        <v>31</v>
      </c>
      <c r="B10" s="133" t="s">
        <v>31</v>
      </c>
      <c r="C10" s="105" t="s">
        <v>319</v>
      </c>
      <c r="D10" s="104" t="s">
        <v>58</v>
      </c>
      <c r="E10" s="104" t="s">
        <v>58</v>
      </c>
      <c r="F10" s="104" t="s">
        <v>305</v>
      </c>
      <c r="G10" s="104" t="s">
        <v>320</v>
      </c>
      <c r="H10" s="104" t="s">
        <v>317</v>
      </c>
      <c r="I10" s="104">
        <v>180</v>
      </c>
      <c r="J10" s="29"/>
      <c r="K10" s="29">
        <v>179439</v>
      </c>
      <c r="L10" s="114" t="e">
        <f t="shared" si="0"/>
        <v>#DIV/0!</v>
      </c>
      <c r="M10" s="29">
        <v>246787</v>
      </c>
      <c r="N10" s="29"/>
      <c r="O10" s="114">
        <f t="shared" si="1"/>
        <v>-1</v>
      </c>
      <c r="P10" s="80">
        <f t="shared" si="2"/>
        <v>246787</v>
      </c>
      <c r="Q10" s="80">
        <f t="shared" si="3"/>
        <v>179439</v>
      </c>
      <c r="R10" s="114">
        <f t="shared" si="4"/>
        <v>-0.272899301827082</v>
      </c>
      <c r="S10" s="46"/>
      <c r="T10" s="46">
        <v>185346</v>
      </c>
      <c r="U10" s="114" t="e">
        <f t="shared" si="5"/>
        <v>#DIV/0!</v>
      </c>
      <c r="V10" s="36">
        <f t="shared" si="6"/>
        <v>246787</v>
      </c>
      <c r="W10" s="36">
        <f t="shared" si="7"/>
        <v>364785</v>
      </c>
      <c r="X10" s="114">
        <f t="shared" si="8"/>
        <v>0.478137016941735</v>
      </c>
      <c r="Y10" s="46">
        <v>188927</v>
      </c>
      <c r="Z10" s="46">
        <v>428097</v>
      </c>
      <c r="AA10" s="114">
        <f t="shared" si="9"/>
        <v>1.26593869589842</v>
      </c>
      <c r="AB10" s="46">
        <f t="shared" si="10"/>
        <v>435714</v>
      </c>
      <c r="AC10" s="46">
        <f t="shared" si="11"/>
        <v>792882</v>
      </c>
      <c r="AD10" s="114">
        <f t="shared" si="12"/>
        <v>0.819730373593688</v>
      </c>
      <c r="AE10" s="142">
        <v>97716</v>
      </c>
      <c r="AF10" s="142">
        <v>312244</v>
      </c>
      <c r="AG10" s="114">
        <f t="shared" si="13"/>
        <v>2.19542347210283</v>
      </c>
      <c r="AH10" s="142">
        <f t="shared" si="14"/>
        <v>533430</v>
      </c>
      <c r="AI10" s="142">
        <f t="shared" si="15"/>
        <v>1105126</v>
      </c>
      <c r="AJ10" s="114">
        <f t="shared" si="16"/>
        <v>1.07173574789569</v>
      </c>
      <c r="AK10" s="108">
        <v>80416</v>
      </c>
      <c r="AL10" s="108">
        <f>146030+50000</f>
        <v>196030</v>
      </c>
      <c r="AM10" s="114">
        <f t="shared" si="17"/>
        <v>1.43769896538002</v>
      </c>
      <c r="AN10" s="143">
        <f t="shared" si="18"/>
        <v>613846</v>
      </c>
      <c r="AO10" s="143">
        <f t="shared" si="19"/>
        <v>1301156</v>
      </c>
      <c r="AP10" s="114">
        <f t="shared" si="20"/>
        <v>1.11967822548326</v>
      </c>
      <c r="AQ10" s="29">
        <v>106060</v>
      </c>
      <c r="AR10" s="29">
        <v>162621</v>
      </c>
      <c r="AS10" s="114">
        <f t="shared" si="21"/>
        <v>0.533292475957005</v>
      </c>
      <c r="AT10" s="29">
        <f t="shared" si="22"/>
        <v>719906</v>
      </c>
      <c r="AU10" s="29">
        <f t="shared" si="23"/>
        <v>1463777</v>
      </c>
      <c r="AV10" s="114">
        <f t="shared" si="24"/>
        <v>1.03328906829503</v>
      </c>
      <c r="AW10" s="29">
        <v>101699</v>
      </c>
      <c r="AX10" s="29">
        <v>147977</v>
      </c>
      <c r="AY10" s="114">
        <f t="shared" si="25"/>
        <v>0.455048722209658</v>
      </c>
      <c r="AZ10" s="29">
        <f t="shared" si="26"/>
        <v>821605</v>
      </c>
      <c r="BA10" s="29">
        <f t="shared" si="27"/>
        <v>1611754</v>
      </c>
      <c r="BB10" s="114">
        <f t="shared" si="28"/>
        <v>0.961713962305487</v>
      </c>
      <c r="BC10" s="143">
        <v>457030</v>
      </c>
      <c r="BD10" s="143">
        <v>78519</v>
      </c>
      <c r="BE10" s="114">
        <f t="shared" si="29"/>
        <v>-0.828197273701945</v>
      </c>
      <c r="BF10" s="143">
        <f t="shared" si="30"/>
        <v>1278635</v>
      </c>
      <c r="BG10" s="143">
        <f t="shared" si="31"/>
        <v>1690273</v>
      </c>
      <c r="BH10" s="114">
        <f t="shared" si="32"/>
        <v>0.32193550153093</v>
      </c>
      <c r="BI10" s="46"/>
      <c r="BJ10" s="46">
        <v>99630</v>
      </c>
      <c r="BK10" s="114" t="e">
        <f t="shared" si="33"/>
        <v>#DIV/0!</v>
      </c>
      <c r="BL10" s="46">
        <f t="shared" si="34"/>
        <v>1278635</v>
      </c>
      <c r="BM10" s="46">
        <f t="shared" si="35"/>
        <v>1789903</v>
      </c>
      <c r="BN10" s="114">
        <f t="shared" si="36"/>
        <v>0.399854532372413</v>
      </c>
      <c r="BO10" s="44">
        <v>389940</v>
      </c>
      <c r="BP10" s="142">
        <v>350334</v>
      </c>
      <c r="BQ10" s="29">
        <v>2018909</v>
      </c>
      <c r="BR10" s="45">
        <f t="shared" si="37"/>
        <v>0.994390555555556</v>
      </c>
      <c r="BT10">
        <v>50000</v>
      </c>
    </row>
    <row r="11" ht="14.25" customHeight="1" spans="1:72">
      <c r="A11" s="38" t="s">
        <v>31</v>
      </c>
      <c r="B11" s="133" t="s">
        <v>31</v>
      </c>
      <c r="C11" s="105" t="s">
        <v>321</v>
      </c>
      <c r="D11" s="104" t="s">
        <v>86</v>
      </c>
      <c r="E11" s="104" t="s">
        <v>86</v>
      </c>
      <c r="F11" s="104" t="s">
        <v>305</v>
      </c>
      <c r="G11" s="104" t="s">
        <v>320</v>
      </c>
      <c r="H11" s="104" t="s">
        <v>317</v>
      </c>
      <c r="I11" s="104">
        <v>60</v>
      </c>
      <c r="J11" s="29">
        <v>38390</v>
      </c>
      <c r="K11" s="29">
        <f>8920+-4500</f>
        <v>4420</v>
      </c>
      <c r="L11" s="114">
        <f t="shared" si="0"/>
        <v>-0.884865850481896</v>
      </c>
      <c r="M11" s="29">
        <v>30026</v>
      </c>
      <c r="N11" s="29">
        <f>9790+23840</f>
        <v>33630</v>
      </c>
      <c r="O11" s="114">
        <f t="shared" si="1"/>
        <v>0.120029307933125</v>
      </c>
      <c r="P11" s="80">
        <f t="shared" si="2"/>
        <v>68416</v>
      </c>
      <c r="Q11" s="80">
        <f t="shared" si="3"/>
        <v>38050</v>
      </c>
      <c r="R11" s="114">
        <f t="shared" si="4"/>
        <v>-0.443843545369504</v>
      </c>
      <c r="S11" s="46">
        <v>43778</v>
      </c>
      <c r="T11" s="46">
        <v>82867</v>
      </c>
      <c r="U11" s="114">
        <f t="shared" si="5"/>
        <v>0.892891406642606</v>
      </c>
      <c r="V11" s="36">
        <f t="shared" si="6"/>
        <v>112194</v>
      </c>
      <c r="W11" s="36">
        <f t="shared" si="7"/>
        <v>120917</v>
      </c>
      <c r="X11" s="114">
        <f t="shared" si="8"/>
        <v>0.0777492557534272</v>
      </c>
      <c r="Y11" s="46">
        <v>22130</v>
      </c>
      <c r="Z11" s="46">
        <v>41129.25</v>
      </c>
      <c r="AA11" s="114">
        <f t="shared" si="9"/>
        <v>0.858529145955716</v>
      </c>
      <c r="AB11" s="46">
        <f t="shared" si="10"/>
        <v>134324</v>
      </c>
      <c r="AC11" s="46">
        <f t="shared" si="11"/>
        <v>162046.25</v>
      </c>
      <c r="AD11" s="114">
        <f t="shared" si="12"/>
        <v>0.206383445996248</v>
      </c>
      <c r="AE11" s="142">
        <v>67490</v>
      </c>
      <c r="AF11" s="142">
        <v>28685.2</v>
      </c>
      <c r="AG11" s="114">
        <f t="shared" si="13"/>
        <v>-0.574971106830642</v>
      </c>
      <c r="AH11" s="142">
        <f t="shared" si="14"/>
        <v>201814</v>
      </c>
      <c r="AI11" s="142">
        <f t="shared" si="15"/>
        <v>190731.45</v>
      </c>
      <c r="AJ11" s="114">
        <f t="shared" si="16"/>
        <v>-0.0549146739076575</v>
      </c>
      <c r="AK11" s="108">
        <v>45250</v>
      </c>
      <c r="AL11" s="108">
        <f>25600+40505.7</f>
        <v>66105.7</v>
      </c>
      <c r="AM11" s="114">
        <f t="shared" si="17"/>
        <v>0.460899447513812</v>
      </c>
      <c r="AN11" s="143">
        <f t="shared" si="18"/>
        <v>247064</v>
      </c>
      <c r="AO11" s="143">
        <f t="shared" si="19"/>
        <v>256837.15</v>
      </c>
      <c r="AP11" s="114">
        <f t="shared" si="20"/>
        <v>0.0395571592785675</v>
      </c>
      <c r="AQ11" s="29">
        <v>19180</v>
      </c>
      <c r="AR11" s="29">
        <f>34206+13421</f>
        <v>47627</v>
      </c>
      <c r="AS11" s="114">
        <f t="shared" si="21"/>
        <v>1.48315954118874</v>
      </c>
      <c r="AT11" s="29">
        <f t="shared" si="22"/>
        <v>266244</v>
      </c>
      <c r="AU11" s="29">
        <f t="shared" si="23"/>
        <v>304464.15</v>
      </c>
      <c r="AV11" s="114">
        <f t="shared" si="24"/>
        <v>0.143553094154234</v>
      </c>
      <c r="AW11" s="29">
        <v>53110</v>
      </c>
      <c r="AX11" s="29">
        <f>16880+2625</f>
        <v>19505</v>
      </c>
      <c r="AY11" s="114">
        <f t="shared" si="25"/>
        <v>-0.632743362831858</v>
      </c>
      <c r="AZ11" s="29">
        <f t="shared" si="26"/>
        <v>319354</v>
      </c>
      <c r="BA11" s="29">
        <f t="shared" si="27"/>
        <v>323969.15</v>
      </c>
      <c r="BB11" s="114">
        <f t="shared" si="28"/>
        <v>0.0144515177514608</v>
      </c>
      <c r="BC11" s="143">
        <v>49884</v>
      </c>
      <c r="BD11" s="143">
        <v>41886</v>
      </c>
      <c r="BE11" s="114">
        <f t="shared" si="29"/>
        <v>-0.160331970170796</v>
      </c>
      <c r="BF11" s="143">
        <f t="shared" si="30"/>
        <v>369238</v>
      </c>
      <c r="BG11" s="143">
        <f t="shared" si="31"/>
        <v>365855.15</v>
      </c>
      <c r="BH11" s="114">
        <f t="shared" si="32"/>
        <v>-0.00916170599992405</v>
      </c>
      <c r="BI11" s="46">
        <v>70019</v>
      </c>
      <c r="BJ11" s="46">
        <v>24600</v>
      </c>
      <c r="BK11" s="114">
        <f t="shared" si="33"/>
        <v>-0.648666790442594</v>
      </c>
      <c r="BL11" s="46">
        <f t="shared" si="34"/>
        <v>439257</v>
      </c>
      <c r="BM11" s="46">
        <f t="shared" si="35"/>
        <v>390455.15</v>
      </c>
      <c r="BN11" s="114">
        <f t="shared" si="36"/>
        <v>-0.111100904481886</v>
      </c>
      <c r="BO11" s="44">
        <v>21875</v>
      </c>
      <c r="BP11" s="142">
        <v>76406</v>
      </c>
      <c r="BQ11" s="29">
        <v>537538</v>
      </c>
      <c r="BR11" s="45">
        <f t="shared" si="37"/>
        <v>0.650758583333333</v>
      </c>
    </row>
    <row r="12" ht="14.25" customHeight="1" spans="1:72">
      <c r="A12" s="38" t="s">
        <v>31</v>
      </c>
      <c r="B12" s="133" t="s">
        <v>31</v>
      </c>
      <c r="C12" s="144" t="s">
        <v>322</v>
      </c>
      <c r="D12" s="104" t="s">
        <v>86</v>
      </c>
      <c r="E12" s="104" t="s">
        <v>86</v>
      </c>
      <c r="F12" s="104" t="s">
        <v>305</v>
      </c>
      <c r="G12" s="104" t="s">
        <v>320</v>
      </c>
      <c r="H12" s="104" t="s">
        <v>317</v>
      </c>
      <c r="I12" s="104"/>
      <c r="J12" s="29"/>
      <c r="K12" s="29"/>
      <c r="L12" s="114" t="e">
        <f t="shared" si="0"/>
        <v>#DIV/0!</v>
      </c>
      <c r="M12" s="29">
        <v>-4100</v>
      </c>
      <c r="N12" s="29"/>
      <c r="O12" s="114">
        <f t="shared" si="1"/>
        <v>-1</v>
      </c>
      <c r="P12" s="80">
        <f t="shared" si="2"/>
        <v>-4100</v>
      </c>
      <c r="Q12" s="80">
        <f t="shared" si="3"/>
        <v>0</v>
      </c>
      <c r="R12" s="114">
        <f t="shared" si="4"/>
        <v>-1</v>
      </c>
      <c r="S12" s="46"/>
      <c r="T12" s="46"/>
      <c r="U12" s="114" t="e">
        <f t="shared" si="5"/>
        <v>#DIV/0!</v>
      </c>
      <c r="V12" s="36">
        <f t="shared" si="6"/>
        <v>-4100</v>
      </c>
      <c r="W12" s="36">
        <f t="shared" si="7"/>
        <v>0</v>
      </c>
      <c r="X12" s="114">
        <f t="shared" si="8"/>
        <v>-1</v>
      </c>
      <c r="Y12" s="46"/>
      <c r="Z12" s="46"/>
      <c r="AA12" s="114" t="e">
        <f t="shared" si="9"/>
        <v>#DIV/0!</v>
      </c>
      <c r="AB12" s="46">
        <f t="shared" si="10"/>
        <v>-4100</v>
      </c>
      <c r="AC12" s="46">
        <f t="shared" si="11"/>
        <v>0</v>
      </c>
      <c r="AD12" s="114">
        <f t="shared" si="12"/>
        <v>-1</v>
      </c>
      <c r="AE12" s="142"/>
      <c r="AF12" s="142"/>
      <c r="AG12" s="114" t="e">
        <f t="shared" si="13"/>
        <v>#DIV/0!</v>
      </c>
      <c r="AH12" s="142">
        <f t="shared" si="14"/>
        <v>-4100</v>
      </c>
      <c r="AI12" s="142">
        <f t="shared" si="15"/>
        <v>0</v>
      </c>
      <c r="AJ12" s="114">
        <f t="shared" si="16"/>
        <v>-1</v>
      </c>
      <c r="AK12" s="108"/>
      <c r="AL12" s="108"/>
      <c r="AM12" s="114" t="e">
        <f t="shared" si="17"/>
        <v>#DIV/0!</v>
      </c>
      <c r="AN12" s="143">
        <f t="shared" si="18"/>
        <v>-4100</v>
      </c>
      <c r="AO12" s="143">
        <f t="shared" si="19"/>
        <v>0</v>
      </c>
      <c r="AP12" s="114">
        <f t="shared" si="20"/>
        <v>-1</v>
      </c>
      <c r="AQ12" s="29"/>
      <c r="AR12" s="29"/>
      <c r="AS12" s="114" t="e">
        <f t="shared" si="21"/>
        <v>#DIV/0!</v>
      </c>
      <c r="AT12" s="29">
        <f t="shared" si="22"/>
        <v>-4100</v>
      </c>
      <c r="AU12" s="29">
        <f t="shared" si="23"/>
        <v>0</v>
      </c>
      <c r="AV12" s="114">
        <f t="shared" si="24"/>
        <v>-1</v>
      </c>
      <c r="AW12" s="29"/>
      <c r="AX12" s="29"/>
      <c r="AY12" s="114" t="e">
        <f t="shared" si="25"/>
        <v>#DIV/0!</v>
      </c>
      <c r="AZ12" s="29">
        <f t="shared" si="26"/>
        <v>-4100</v>
      </c>
      <c r="BA12" s="29">
        <f t="shared" si="27"/>
        <v>0</v>
      </c>
      <c r="BB12" s="114">
        <f t="shared" si="28"/>
        <v>-1</v>
      </c>
      <c r="BC12" s="143"/>
      <c r="BD12" s="143"/>
      <c r="BE12" s="114" t="e">
        <f t="shared" si="29"/>
        <v>#DIV/0!</v>
      </c>
      <c r="BF12" s="143">
        <f t="shared" si="30"/>
        <v>-4100</v>
      </c>
      <c r="BG12" s="143">
        <f t="shared" si="31"/>
        <v>0</v>
      </c>
      <c r="BH12" s="114">
        <f t="shared" si="32"/>
        <v>-1</v>
      </c>
      <c r="BI12" s="46"/>
      <c r="BJ12" s="46"/>
      <c r="BK12" s="114" t="e">
        <f t="shared" si="33"/>
        <v>#DIV/0!</v>
      </c>
      <c r="BL12" s="46">
        <f t="shared" si="34"/>
        <v>-4100</v>
      </c>
      <c r="BM12" s="46">
        <f t="shared" si="35"/>
        <v>0</v>
      </c>
      <c r="BN12" s="114">
        <f t="shared" si="36"/>
        <v>-1</v>
      </c>
      <c r="BO12" s="44"/>
      <c r="BP12" s="142"/>
      <c r="BQ12" s="29">
        <v>-4100</v>
      </c>
      <c r="BR12" s="45" t="e">
        <f t="shared" si="37"/>
        <v>#DIV/0!</v>
      </c>
    </row>
    <row r="13" ht="14.25" customHeight="1" spans="1:72">
      <c r="A13" s="38" t="s">
        <v>31</v>
      </c>
      <c r="B13" s="133" t="s">
        <v>31</v>
      </c>
      <c r="C13" s="105" t="s">
        <v>323</v>
      </c>
      <c r="D13" s="104" t="s">
        <v>67</v>
      </c>
      <c r="E13" s="104" t="s">
        <v>67</v>
      </c>
      <c r="F13" s="104" t="s">
        <v>324</v>
      </c>
      <c r="G13" s="104" t="s">
        <v>324</v>
      </c>
      <c r="H13" s="104" t="s">
        <v>311</v>
      </c>
      <c r="I13" s="104">
        <v>80</v>
      </c>
      <c r="J13" s="29">
        <v>80326</v>
      </c>
      <c r="K13" s="29">
        <v>23324</v>
      </c>
      <c r="L13" s="114">
        <f t="shared" si="0"/>
        <v>-0.709633244528546</v>
      </c>
      <c r="M13" s="29">
        <v>5033</v>
      </c>
      <c r="N13" s="29">
        <v>21751</v>
      </c>
      <c r="O13" s="114">
        <f t="shared" si="1"/>
        <v>3.32167693224717</v>
      </c>
      <c r="P13" s="80">
        <f t="shared" si="2"/>
        <v>85359</v>
      </c>
      <c r="Q13" s="80">
        <f t="shared" si="3"/>
        <v>45075</v>
      </c>
      <c r="R13" s="114">
        <f t="shared" si="4"/>
        <v>-0.471936175447229</v>
      </c>
      <c r="S13" s="46">
        <v>50000</v>
      </c>
      <c r="T13" s="46">
        <v>23844</v>
      </c>
      <c r="U13" s="114">
        <f t="shared" si="5"/>
        <v>-0.52312</v>
      </c>
      <c r="V13" s="36">
        <f t="shared" si="6"/>
        <v>135359</v>
      </c>
      <c r="W13" s="36">
        <f t="shared" si="7"/>
        <v>68919</v>
      </c>
      <c r="X13" s="114">
        <f t="shared" si="8"/>
        <v>-0.490842869702052</v>
      </c>
      <c r="Y13" s="46"/>
      <c r="Z13" s="46"/>
      <c r="AA13" s="114" t="e">
        <f t="shared" si="9"/>
        <v>#DIV/0!</v>
      </c>
      <c r="AB13" s="46">
        <f t="shared" si="10"/>
        <v>135359</v>
      </c>
      <c r="AC13" s="46">
        <f t="shared" si="11"/>
        <v>68919</v>
      </c>
      <c r="AD13" s="114">
        <f t="shared" si="12"/>
        <v>-0.490842869702052</v>
      </c>
      <c r="AE13" s="142">
        <v>18721</v>
      </c>
      <c r="AF13" s="142">
        <v>34862</v>
      </c>
      <c r="AG13" s="114">
        <f t="shared" si="13"/>
        <v>0.862186848993109</v>
      </c>
      <c r="AH13" s="142">
        <f t="shared" si="14"/>
        <v>154080</v>
      </c>
      <c r="AI13" s="142">
        <f t="shared" si="15"/>
        <v>103781</v>
      </c>
      <c r="AJ13" s="114">
        <f t="shared" si="16"/>
        <v>-0.326447300103842</v>
      </c>
      <c r="AK13" s="108"/>
      <c r="AL13" s="108"/>
      <c r="AM13" s="114" t="e">
        <f t="shared" si="17"/>
        <v>#DIV/0!</v>
      </c>
      <c r="AN13" s="143">
        <f t="shared" si="18"/>
        <v>154080</v>
      </c>
      <c r="AO13" s="143">
        <f t="shared" si="19"/>
        <v>103781</v>
      </c>
      <c r="AP13" s="114">
        <f t="shared" si="20"/>
        <v>-0.326447300103842</v>
      </c>
      <c r="AQ13" s="29">
        <v>25918</v>
      </c>
      <c r="AR13" s="29">
        <v>10900</v>
      </c>
      <c r="AS13" s="114">
        <f t="shared" si="21"/>
        <v>-0.579442858245235</v>
      </c>
      <c r="AT13" s="29">
        <f t="shared" si="22"/>
        <v>179998</v>
      </c>
      <c r="AU13" s="29">
        <f t="shared" si="23"/>
        <v>114681</v>
      </c>
      <c r="AV13" s="114">
        <f t="shared" si="24"/>
        <v>-0.362876254180602</v>
      </c>
      <c r="AW13" s="29">
        <v>50000</v>
      </c>
      <c r="AX13" s="29">
        <v>17800</v>
      </c>
      <c r="AY13" s="114">
        <f t="shared" si="25"/>
        <v>-0.644</v>
      </c>
      <c r="AZ13" s="29">
        <f t="shared" si="26"/>
        <v>229998</v>
      </c>
      <c r="BA13" s="29">
        <f t="shared" si="27"/>
        <v>132481</v>
      </c>
      <c r="BB13" s="114">
        <f t="shared" si="28"/>
        <v>-0.423990643396899</v>
      </c>
      <c r="BC13" s="143">
        <v>13006</v>
      </c>
      <c r="BD13" s="143">
        <v>30085</v>
      </c>
      <c r="BE13" s="114">
        <f t="shared" si="29"/>
        <v>1.31316315546671</v>
      </c>
      <c r="BF13" s="143">
        <f t="shared" si="30"/>
        <v>243004</v>
      </c>
      <c r="BG13" s="143">
        <f t="shared" si="31"/>
        <v>162566</v>
      </c>
      <c r="BH13" s="114">
        <f t="shared" si="32"/>
        <v>-0.331015127323007</v>
      </c>
      <c r="BI13" s="46"/>
      <c r="BJ13" s="46">
        <v>5786</v>
      </c>
      <c r="BK13" s="114" t="e">
        <f t="shared" si="33"/>
        <v>#DIV/0!</v>
      </c>
      <c r="BL13" s="46">
        <f t="shared" si="34"/>
        <v>243004</v>
      </c>
      <c r="BM13" s="46">
        <f t="shared" si="35"/>
        <v>168352</v>
      </c>
      <c r="BN13" s="114">
        <f t="shared" si="36"/>
        <v>-0.30720481967375</v>
      </c>
      <c r="BO13" s="44">
        <v>110000</v>
      </c>
      <c r="BP13" s="142">
        <v>100023</v>
      </c>
      <c r="BQ13" s="29">
        <v>453027</v>
      </c>
      <c r="BR13" s="45">
        <f t="shared" si="37"/>
        <v>0.21044</v>
      </c>
      <c r="BT13">
        <v>34862</v>
      </c>
    </row>
    <row r="14" ht="14.25" customHeight="1" spans="1:72">
      <c r="A14" s="38" t="s">
        <v>31</v>
      </c>
      <c r="B14" s="133" t="s">
        <v>31</v>
      </c>
      <c r="C14" s="144" t="s">
        <v>325</v>
      </c>
      <c r="D14" s="104" t="s">
        <v>63</v>
      </c>
      <c r="E14" s="104" t="s">
        <v>63</v>
      </c>
      <c r="F14" s="104" t="s">
        <v>310</v>
      </c>
      <c r="G14" s="104" t="s">
        <v>310</v>
      </c>
      <c r="H14" s="104" t="s">
        <v>311</v>
      </c>
      <c r="I14" s="104">
        <v>30</v>
      </c>
      <c r="J14" s="29">
        <v>11054</v>
      </c>
      <c r="K14" s="29"/>
      <c r="L14" s="114">
        <f t="shared" si="0"/>
        <v>-1</v>
      </c>
      <c r="M14" s="29"/>
      <c r="N14" s="29"/>
      <c r="O14" s="114" t="e">
        <f t="shared" si="1"/>
        <v>#DIV/0!</v>
      </c>
      <c r="P14" s="80">
        <f t="shared" si="2"/>
        <v>11054</v>
      </c>
      <c r="Q14" s="80">
        <f t="shared" si="3"/>
        <v>0</v>
      </c>
      <c r="R14" s="114">
        <f t="shared" si="4"/>
        <v>-1</v>
      </c>
      <c r="S14" s="46"/>
      <c r="T14" s="46"/>
      <c r="U14" s="114" t="e">
        <f t="shared" si="5"/>
        <v>#DIV/0!</v>
      </c>
      <c r="V14" s="36">
        <f t="shared" si="6"/>
        <v>11054</v>
      </c>
      <c r="W14" s="36">
        <f t="shared" si="7"/>
        <v>0</v>
      </c>
      <c r="X14" s="114">
        <f t="shared" si="8"/>
        <v>-1</v>
      </c>
      <c r="Y14" s="46">
        <v>9650</v>
      </c>
      <c r="Z14" s="46"/>
      <c r="AA14" s="114">
        <f t="shared" si="9"/>
        <v>-1</v>
      </c>
      <c r="AB14" s="46">
        <f t="shared" si="10"/>
        <v>20704</v>
      </c>
      <c r="AC14" s="46">
        <f t="shared" si="11"/>
        <v>0</v>
      </c>
      <c r="AD14" s="114">
        <f t="shared" si="12"/>
        <v>-1</v>
      </c>
      <c r="AE14" s="142"/>
      <c r="AF14" s="142"/>
      <c r="AG14" s="114" t="e">
        <f t="shared" si="13"/>
        <v>#DIV/0!</v>
      </c>
      <c r="AH14" s="142">
        <f t="shared" si="14"/>
        <v>20704</v>
      </c>
      <c r="AI14" s="142">
        <f t="shared" si="15"/>
        <v>0</v>
      </c>
      <c r="AJ14" s="114">
        <f t="shared" si="16"/>
        <v>-1</v>
      </c>
      <c r="AK14" s="108"/>
      <c r="AL14" s="108"/>
      <c r="AM14" s="114" t="e">
        <f t="shared" si="17"/>
        <v>#DIV/0!</v>
      </c>
      <c r="AN14" s="143">
        <f t="shared" si="18"/>
        <v>20704</v>
      </c>
      <c r="AO14" s="143">
        <f t="shared" si="19"/>
        <v>0</v>
      </c>
      <c r="AP14" s="114">
        <f t="shared" si="20"/>
        <v>-1</v>
      </c>
      <c r="AQ14" s="29"/>
      <c r="AR14" s="29"/>
      <c r="AS14" s="114" t="e">
        <f t="shared" si="21"/>
        <v>#DIV/0!</v>
      </c>
      <c r="AT14" s="29">
        <f t="shared" si="22"/>
        <v>20704</v>
      </c>
      <c r="AU14" s="29">
        <f t="shared" si="23"/>
        <v>0</v>
      </c>
      <c r="AV14" s="114">
        <f t="shared" si="24"/>
        <v>-1</v>
      </c>
      <c r="AW14" s="29"/>
      <c r="AX14" s="29"/>
      <c r="AY14" s="114" t="e">
        <f t="shared" si="25"/>
        <v>#DIV/0!</v>
      </c>
      <c r="AZ14" s="29">
        <f t="shared" si="26"/>
        <v>20704</v>
      </c>
      <c r="BA14" s="29">
        <f t="shared" si="27"/>
        <v>0</v>
      </c>
      <c r="BB14" s="114">
        <f t="shared" si="28"/>
        <v>-1</v>
      </c>
      <c r="BC14" s="143"/>
      <c r="BD14" s="143"/>
      <c r="BE14" s="114" t="e">
        <f t="shared" si="29"/>
        <v>#DIV/0!</v>
      </c>
      <c r="BF14" s="143">
        <f t="shared" si="30"/>
        <v>20704</v>
      </c>
      <c r="BG14" s="143">
        <f t="shared" si="31"/>
        <v>0</v>
      </c>
      <c r="BH14" s="114">
        <f t="shared" si="32"/>
        <v>-1</v>
      </c>
      <c r="BI14" s="46"/>
      <c r="BJ14" s="46"/>
      <c r="BK14" s="114" t="e">
        <f t="shared" si="33"/>
        <v>#DIV/0!</v>
      </c>
      <c r="BL14" s="46">
        <f t="shared" si="34"/>
        <v>20704</v>
      </c>
      <c r="BM14" s="46">
        <f t="shared" si="35"/>
        <v>0</v>
      </c>
      <c r="BN14" s="114">
        <f t="shared" si="36"/>
        <v>-1</v>
      </c>
      <c r="BO14" s="44"/>
      <c r="BP14" s="142"/>
      <c r="BQ14" s="29">
        <v>20704</v>
      </c>
      <c r="BR14" s="45">
        <f t="shared" si="37"/>
        <v>0</v>
      </c>
    </row>
    <row r="15" ht="14.25" customHeight="1" spans="1:72">
      <c r="A15" s="38" t="s">
        <v>31</v>
      </c>
      <c r="B15" s="133" t="s">
        <v>31</v>
      </c>
      <c r="C15" s="111" t="s">
        <v>326</v>
      </c>
      <c r="D15" s="104" t="s">
        <v>90</v>
      </c>
      <c r="E15" s="104" t="s">
        <v>90</v>
      </c>
      <c r="F15" s="104" t="s">
        <v>305</v>
      </c>
      <c r="G15" s="104" t="s">
        <v>320</v>
      </c>
      <c r="H15" s="104"/>
      <c r="I15" s="104"/>
      <c r="J15" s="29">
        <v>106482</v>
      </c>
      <c r="K15" s="29">
        <v>179573.4</v>
      </c>
      <c r="L15" s="114">
        <f t="shared" si="0"/>
        <v>0.68642024004057</v>
      </c>
      <c r="M15" s="29">
        <v>47216</v>
      </c>
      <c r="N15" s="29">
        <v>105249</v>
      </c>
      <c r="O15" s="114">
        <f t="shared" si="1"/>
        <v>1.22909606912911</v>
      </c>
      <c r="P15" s="80">
        <f t="shared" si="2"/>
        <v>153698</v>
      </c>
      <c r="Q15" s="80">
        <f t="shared" si="3"/>
        <v>284822.4</v>
      </c>
      <c r="R15" s="114">
        <f t="shared" si="4"/>
        <v>0.853130164348268</v>
      </c>
      <c r="S15" s="46">
        <v>137272</v>
      </c>
      <c r="T15" s="46">
        <f>84087+13980.32</f>
        <v>98067.32</v>
      </c>
      <c r="U15" s="114">
        <f t="shared" si="5"/>
        <v>-0.285598519727257</v>
      </c>
      <c r="V15" s="36">
        <f t="shared" si="6"/>
        <v>290970</v>
      </c>
      <c r="W15" s="36">
        <f t="shared" si="7"/>
        <v>382889.72</v>
      </c>
      <c r="X15" s="114">
        <f t="shared" si="8"/>
        <v>0.315907894284634</v>
      </c>
      <c r="Y15" s="46">
        <v>106839</v>
      </c>
      <c r="Z15" s="46">
        <v>26001</v>
      </c>
      <c r="AA15" s="114">
        <f t="shared" si="9"/>
        <v>-0.756633813495072</v>
      </c>
      <c r="AB15" s="46">
        <f t="shared" si="10"/>
        <v>397809</v>
      </c>
      <c r="AC15" s="46">
        <f t="shared" si="11"/>
        <v>408890.72</v>
      </c>
      <c r="AD15" s="114">
        <f t="shared" si="12"/>
        <v>0.0278568860935777</v>
      </c>
      <c r="AE15" s="142">
        <v>104179</v>
      </c>
      <c r="AF15" s="142">
        <v>145162</v>
      </c>
      <c r="AG15" s="114">
        <f t="shared" si="13"/>
        <v>0.393390222597644</v>
      </c>
      <c r="AH15" s="142">
        <f t="shared" si="14"/>
        <v>501988</v>
      </c>
      <c r="AI15" s="142">
        <f t="shared" si="15"/>
        <v>554052.72</v>
      </c>
      <c r="AJ15" s="114">
        <f t="shared" si="16"/>
        <v>0.103717060965601</v>
      </c>
      <c r="AK15" s="108">
        <v>94199.4</v>
      </c>
      <c r="AL15" s="108">
        <v>117019.56</v>
      </c>
      <c r="AM15" s="114">
        <f t="shared" si="17"/>
        <v>0.242253772317021</v>
      </c>
      <c r="AN15" s="143">
        <f t="shared" si="18"/>
        <v>596187.4</v>
      </c>
      <c r="AO15" s="143">
        <f t="shared" si="19"/>
        <v>671072.28</v>
      </c>
      <c r="AP15" s="114">
        <f t="shared" si="20"/>
        <v>0.125606277489259</v>
      </c>
      <c r="AQ15" s="29">
        <v>85550</v>
      </c>
      <c r="AR15" s="29">
        <v>92805</v>
      </c>
      <c r="AS15" s="114">
        <f t="shared" si="21"/>
        <v>0.0848042080654587</v>
      </c>
      <c r="AT15" s="29">
        <f t="shared" si="22"/>
        <v>681737.4</v>
      </c>
      <c r="AU15" s="29">
        <f t="shared" si="23"/>
        <v>763877.28</v>
      </c>
      <c r="AV15" s="114">
        <f t="shared" si="24"/>
        <v>0.120486099193032</v>
      </c>
      <c r="AW15" s="29">
        <v>113437.2</v>
      </c>
      <c r="AX15" s="29">
        <v>201219.76</v>
      </c>
      <c r="AY15" s="114">
        <f t="shared" si="25"/>
        <v>0.773842795837697</v>
      </c>
      <c r="AZ15" s="29">
        <f t="shared" si="26"/>
        <v>795174.6</v>
      </c>
      <c r="BA15" s="29">
        <f t="shared" si="27"/>
        <v>965097.04</v>
      </c>
      <c r="BB15" s="114">
        <f t="shared" si="28"/>
        <v>0.213691986640418</v>
      </c>
      <c r="BC15" s="143">
        <v>137063</v>
      </c>
      <c r="BD15" s="143">
        <v>114860.2</v>
      </c>
      <c r="BE15" s="114">
        <f t="shared" si="29"/>
        <v>-0.161989741943486</v>
      </c>
      <c r="BF15" s="143">
        <f t="shared" si="30"/>
        <v>932237.6</v>
      </c>
      <c r="BG15" s="143">
        <f t="shared" si="31"/>
        <v>1079957.24</v>
      </c>
      <c r="BH15" s="114">
        <f t="shared" si="32"/>
        <v>0.158457071459036</v>
      </c>
      <c r="BI15" s="46">
        <v>172689</v>
      </c>
      <c r="BJ15" s="46">
        <v>239224</v>
      </c>
      <c r="BK15" s="114">
        <f t="shared" si="33"/>
        <v>0.38528800328915</v>
      </c>
      <c r="BL15" s="46">
        <f t="shared" si="34"/>
        <v>1104926.6</v>
      </c>
      <c r="BM15" s="46">
        <f t="shared" si="35"/>
        <v>1319181.24</v>
      </c>
      <c r="BN15" s="114">
        <f t="shared" si="36"/>
        <v>0.193908482246694</v>
      </c>
      <c r="BO15" s="44">
        <v>124406.7</v>
      </c>
      <c r="BP15" s="142">
        <v>253098.7</v>
      </c>
      <c r="BQ15" s="29">
        <v>1482432</v>
      </c>
      <c r="BR15" s="45" t="e">
        <f t="shared" si="37"/>
        <v>#DIV/0!</v>
      </c>
    </row>
    <row r="16" ht="14.25" customHeight="1" spans="1:72">
      <c r="A16" s="38" t="s">
        <v>31</v>
      </c>
      <c r="B16" s="133" t="s">
        <v>31</v>
      </c>
      <c r="C16" s="111" t="s">
        <v>327</v>
      </c>
      <c r="D16" s="104" t="s">
        <v>67</v>
      </c>
      <c r="E16" s="104" t="s">
        <v>67</v>
      </c>
      <c r="F16" s="104" t="s">
        <v>314</v>
      </c>
      <c r="G16" s="104" t="s">
        <v>314</v>
      </c>
      <c r="H16" s="104" t="s">
        <v>311</v>
      </c>
      <c r="I16" s="104">
        <v>80</v>
      </c>
      <c r="J16" s="29">
        <v>199467</v>
      </c>
      <c r="K16" s="29">
        <v>33384</v>
      </c>
      <c r="L16" s="114">
        <f t="shared" si="0"/>
        <v>-0.832633969528794</v>
      </c>
      <c r="M16" s="29">
        <v>16962</v>
      </c>
      <c r="N16" s="29">
        <v>18012</v>
      </c>
      <c r="O16" s="114">
        <f t="shared" si="1"/>
        <v>0.0619030774672797</v>
      </c>
      <c r="P16" s="80">
        <f t="shared" si="2"/>
        <v>216429</v>
      </c>
      <c r="Q16" s="80">
        <f t="shared" si="3"/>
        <v>51396</v>
      </c>
      <c r="R16" s="114">
        <f t="shared" si="4"/>
        <v>-0.76252720291643</v>
      </c>
      <c r="S16" s="46">
        <v>21823</v>
      </c>
      <c r="T16" s="46">
        <v>12509</v>
      </c>
      <c r="U16" s="114">
        <f t="shared" si="5"/>
        <v>-0.426797415570728</v>
      </c>
      <c r="V16" s="36">
        <f t="shared" si="6"/>
        <v>238252</v>
      </c>
      <c r="W16" s="36">
        <f t="shared" si="7"/>
        <v>63905</v>
      </c>
      <c r="X16" s="114">
        <f t="shared" si="8"/>
        <v>-0.731775598945654</v>
      </c>
      <c r="Y16" s="46">
        <v>37539</v>
      </c>
      <c r="Z16" s="46">
        <v>14479</v>
      </c>
      <c r="AA16" s="114">
        <f t="shared" si="9"/>
        <v>-0.614294467087562</v>
      </c>
      <c r="AB16" s="46">
        <f t="shared" si="10"/>
        <v>275791</v>
      </c>
      <c r="AC16" s="46">
        <f t="shared" si="11"/>
        <v>78384</v>
      </c>
      <c r="AD16" s="114">
        <f t="shared" si="12"/>
        <v>-0.715784779053704</v>
      </c>
      <c r="AE16" s="142">
        <v>98292</v>
      </c>
      <c r="AF16" s="142">
        <f>17747+33866</f>
        <v>51613</v>
      </c>
      <c r="AG16" s="114">
        <f t="shared" si="13"/>
        <v>-0.47490131445082</v>
      </c>
      <c r="AH16" s="142">
        <f t="shared" si="14"/>
        <v>374083</v>
      </c>
      <c r="AI16" s="142">
        <f t="shared" si="15"/>
        <v>129997</v>
      </c>
      <c r="AJ16" s="114">
        <f t="shared" si="16"/>
        <v>-0.652491559359821</v>
      </c>
      <c r="AK16" s="108"/>
      <c r="AL16" s="108">
        <v>12263</v>
      </c>
      <c r="AM16" s="114" t="e">
        <f t="shared" si="17"/>
        <v>#DIV/0!</v>
      </c>
      <c r="AN16" s="143">
        <f t="shared" si="18"/>
        <v>374083</v>
      </c>
      <c r="AO16" s="143">
        <f t="shared" si="19"/>
        <v>142260</v>
      </c>
      <c r="AP16" s="114">
        <f t="shared" si="20"/>
        <v>-0.619710064344009</v>
      </c>
      <c r="AQ16" s="29">
        <v>21043</v>
      </c>
      <c r="AR16" s="29">
        <v>53011</v>
      </c>
      <c r="AS16" s="114">
        <f t="shared" si="21"/>
        <v>1.51917502257283</v>
      </c>
      <c r="AT16" s="29">
        <f t="shared" si="22"/>
        <v>395126</v>
      </c>
      <c r="AU16" s="29">
        <f t="shared" si="23"/>
        <v>195271</v>
      </c>
      <c r="AV16" s="114">
        <f t="shared" si="24"/>
        <v>-0.505800681301661</v>
      </c>
      <c r="AW16" s="29">
        <v>28974</v>
      </c>
      <c r="AX16" s="29">
        <v>58711</v>
      </c>
      <c r="AY16" s="114">
        <f t="shared" si="25"/>
        <v>1.02633395457997</v>
      </c>
      <c r="AZ16" s="29">
        <f t="shared" si="26"/>
        <v>424100</v>
      </c>
      <c r="BA16" s="29">
        <f t="shared" si="27"/>
        <v>253982</v>
      </c>
      <c r="BB16" s="114">
        <f t="shared" si="28"/>
        <v>-0.401127092666824</v>
      </c>
      <c r="BC16" s="143">
        <v>55387</v>
      </c>
      <c r="BD16" s="143">
        <v>18338</v>
      </c>
      <c r="BE16" s="114">
        <f t="shared" si="29"/>
        <v>-0.6689114774225</v>
      </c>
      <c r="BF16" s="143">
        <f t="shared" si="30"/>
        <v>479487</v>
      </c>
      <c r="BG16" s="143">
        <f t="shared" si="31"/>
        <v>272320</v>
      </c>
      <c r="BH16" s="114">
        <f t="shared" si="32"/>
        <v>-0.432059680450148</v>
      </c>
      <c r="BI16" s="46">
        <v>1903</v>
      </c>
      <c r="BJ16" s="46">
        <v>35423</v>
      </c>
      <c r="BK16" s="114">
        <f t="shared" si="33"/>
        <v>17.6142932212296</v>
      </c>
      <c r="BL16" s="46">
        <f t="shared" si="34"/>
        <v>481390</v>
      </c>
      <c r="BM16" s="46">
        <f t="shared" si="35"/>
        <v>307743</v>
      </c>
      <c r="BN16" s="114">
        <f t="shared" si="36"/>
        <v>-0.360719998338146</v>
      </c>
      <c r="BO16" s="44">
        <v>102468</v>
      </c>
      <c r="BP16" s="142">
        <v>297008</v>
      </c>
      <c r="BQ16" s="29">
        <v>880866</v>
      </c>
      <c r="BR16" s="45">
        <f t="shared" si="37"/>
        <v>0.38467875</v>
      </c>
      <c r="BS16" s="21">
        <v>45659</v>
      </c>
      <c r="BT16">
        <v>33866</v>
      </c>
    </row>
    <row r="17" ht="14.25" customHeight="1" spans="1:72">
      <c r="A17" s="38" t="s">
        <v>31</v>
      </c>
      <c r="B17" s="133" t="s">
        <v>31</v>
      </c>
      <c r="C17" s="111" t="s">
        <v>328</v>
      </c>
      <c r="D17" s="104" t="s">
        <v>104</v>
      </c>
      <c r="E17" s="104" t="s">
        <v>104</v>
      </c>
      <c r="F17" s="104" t="s">
        <v>314</v>
      </c>
      <c r="G17" s="104" t="s">
        <v>314</v>
      </c>
      <c r="H17" s="104" t="s">
        <v>311</v>
      </c>
      <c r="I17" s="104">
        <v>30</v>
      </c>
      <c r="J17" s="29">
        <v>17565</v>
      </c>
      <c r="K17" s="29"/>
      <c r="L17" s="114">
        <f t="shared" si="0"/>
        <v>-1</v>
      </c>
      <c r="M17" s="29">
        <v>11220</v>
      </c>
      <c r="N17" s="29"/>
      <c r="O17" s="114">
        <f t="shared" si="1"/>
        <v>-1</v>
      </c>
      <c r="P17" s="80">
        <f t="shared" si="2"/>
        <v>28785</v>
      </c>
      <c r="Q17" s="80">
        <f t="shared" si="3"/>
        <v>0</v>
      </c>
      <c r="R17" s="114">
        <f t="shared" si="4"/>
        <v>-1</v>
      </c>
      <c r="S17" s="46"/>
      <c r="T17" s="46"/>
      <c r="U17" s="114" t="e">
        <f t="shared" si="5"/>
        <v>#DIV/0!</v>
      </c>
      <c r="V17" s="36">
        <f t="shared" si="6"/>
        <v>28785</v>
      </c>
      <c r="W17" s="36">
        <f t="shared" si="7"/>
        <v>0</v>
      </c>
      <c r="X17" s="114">
        <f t="shared" si="8"/>
        <v>-1</v>
      </c>
      <c r="Y17" s="46"/>
      <c r="Z17" s="46"/>
      <c r="AA17" s="114" t="e">
        <f t="shared" si="9"/>
        <v>#DIV/0!</v>
      </c>
      <c r="AB17" s="46">
        <f t="shared" si="10"/>
        <v>28785</v>
      </c>
      <c r="AC17" s="46">
        <f t="shared" si="11"/>
        <v>0</v>
      </c>
      <c r="AD17" s="114">
        <f t="shared" si="12"/>
        <v>-1</v>
      </c>
      <c r="AE17" s="142">
        <v>24500</v>
      </c>
      <c r="AF17" s="142"/>
      <c r="AG17" s="114">
        <f t="shared" si="13"/>
        <v>-1</v>
      </c>
      <c r="AH17" s="142">
        <f t="shared" si="14"/>
        <v>53285</v>
      </c>
      <c r="AI17" s="142">
        <f t="shared" si="15"/>
        <v>0</v>
      </c>
      <c r="AJ17" s="114">
        <f t="shared" si="16"/>
        <v>-1</v>
      </c>
      <c r="AK17" s="108">
        <v>5320</v>
      </c>
      <c r="AL17" s="108">
        <v>5700</v>
      </c>
      <c r="AM17" s="114">
        <f t="shared" si="17"/>
        <v>0.0714285714285714</v>
      </c>
      <c r="AN17" s="143">
        <f t="shared" si="18"/>
        <v>58605</v>
      </c>
      <c r="AO17" s="143">
        <f t="shared" si="19"/>
        <v>5700</v>
      </c>
      <c r="AP17" s="114">
        <f t="shared" si="20"/>
        <v>-0.902738674174558</v>
      </c>
      <c r="AQ17" s="29"/>
      <c r="AR17" s="29"/>
      <c r="AS17" s="114" t="e">
        <f t="shared" si="21"/>
        <v>#DIV/0!</v>
      </c>
      <c r="AT17" s="29">
        <f t="shared" si="22"/>
        <v>58605</v>
      </c>
      <c r="AU17" s="29">
        <f t="shared" si="23"/>
        <v>5700</v>
      </c>
      <c r="AV17" s="114">
        <f t="shared" si="24"/>
        <v>-0.902738674174558</v>
      </c>
      <c r="AW17" s="29"/>
      <c r="AX17" s="29">
        <v>10808</v>
      </c>
      <c r="AY17" s="114" t="e">
        <f t="shared" si="25"/>
        <v>#DIV/0!</v>
      </c>
      <c r="AZ17" s="29">
        <f t="shared" si="26"/>
        <v>58605</v>
      </c>
      <c r="BA17" s="29">
        <f t="shared" si="27"/>
        <v>16508</v>
      </c>
      <c r="BB17" s="114">
        <f t="shared" si="28"/>
        <v>-0.718317549697125</v>
      </c>
      <c r="BC17" s="143">
        <v>10808</v>
      </c>
      <c r="BD17" s="143"/>
      <c r="BE17" s="114">
        <f t="shared" si="29"/>
        <v>-1</v>
      </c>
      <c r="BF17" s="143">
        <f t="shared" si="30"/>
        <v>69413</v>
      </c>
      <c r="BG17" s="143">
        <f t="shared" si="31"/>
        <v>16508</v>
      </c>
      <c r="BH17" s="114">
        <f t="shared" si="32"/>
        <v>-0.762177113797127</v>
      </c>
      <c r="BI17" s="46">
        <v>19050</v>
      </c>
      <c r="BJ17" s="46">
        <v>1760</v>
      </c>
      <c r="BK17" s="114">
        <f t="shared" si="33"/>
        <v>-0.90761154855643</v>
      </c>
      <c r="BL17" s="46">
        <f t="shared" si="34"/>
        <v>88463</v>
      </c>
      <c r="BM17" s="46">
        <f t="shared" si="35"/>
        <v>18268</v>
      </c>
      <c r="BN17" s="114">
        <f t="shared" si="36"/>
        <v>-0.793495585725105</v>
      </c>
      <c r="BO17" s="44">
        <v>27500</v>
      </c>
      <c r="BP17" s="142">
        <v>31561</v>
      </c>
      <c r="BQ17" s="29">
        <v>147524</v>
      </c>
      <c r="BR17" s="45">
        <f t="shared" si="37"/>
        <v>0.0608933333333333</v>
      </c>
    </row>
    <row r="18" ht="14.25" customHeight="1" spans="1:72">
      <c r="A18" s="38" t="s">
        <v>31</v>
      </c>
      <c r="B18" s="133" t="s">
        <v>31</v>
      </c>
      <c r="C18" s="145" t="s">
        <v>329</v>
      </c>
      <c r="D18" s="104" t="s">
        <v>104</v>
      </c>
      <c r="E18" s="104" t="s">
        <v>104</v>
      </c>
      <c r="F18" s="104" t="s">
        <v>310</v>
      </c>
      <c r="G18" s="104" t="s">
        <v>310</v>
      </c>
      <c r="H18" s="104" t="s">
        <v>317</v>
      </c>
      <c r="I18" s="104">
        <v>30</v>
      </c>
      <c r="J18" s="29">
        <v>10000</v>
      </c>
      <c r="K18" s="29">
        <v>20000</v>
      </c>
      <c r="L18" s="114">
        <f t="shared" si="0"/>
        <v>1</v>
      </c>
      <c r="M18" s="29">
        <v>20000</v>
      </c>
      <c r="N18" s="29"/>
      <c r="O18" s="114">
        <f t="shared" si="1"/>
        <v>-1</v>
      </c>
      <c r="P18" s="80">
        <f t="shared" si="2"/>
        <v>30000</v>
      </c>
      <c r="Q18" s="80">
        <f t="shared" si="3"/>
        <v>20000</v>
      </c>
      <c r="R18" s="114">
        <f t="shared" si="4"/>
        <v>-0.333333333333333</v>
      </c>
      <c r="S18" s="46">
        <v>10000</v>
      </c>
      <c r="T18" s="46">
        <v>10000</v>
      </c>
      <c r="U18" s="114">
        <f t="shared" si="5"/>
        <v>0</v>
      </c>
      <c r="V18" s="36">
        <f t="shared" si="6"/>
        <v>40000</v>
      </c>
      <c r="W18" s="36">
        <f t="shared" si="7"/>
        <v>30000</v>
      </c>
      <c r="X18" s="114">
        <f t="shared" si="8"/>
        <v>-0.25</v>
      </c>
      <c r="Y18" s="46"/>
      <c r="Z18" s="46"/>
      <c r="AA18" s="114" t="e">
        <f t="shared" si="9"/>
        <v>#DIV/0!</v>
      </c>
      <c r="AB18" s="46">
        <f t="shared" si="10"/>
        <v>40000</v>
      </c>
      <c r="AC18" s="46">
        <f t="shared" si="11"/>
        <v>30000</v>
      </c>
      <c r="AD18" s="114">
        <f t="shared" si="12"/>
        <v>-0.25</v>
      </c>
      <c r="AE18" s="142">
        <v>20000</v>
      </c>
      <c r="AF18" s="142">
        <v>20000</v>
      </c>
      <c r="AG18" s="114">
        <f t="shared" si="13"/>
        <v>0</v>
      </c>
      <c r="AH18" s="142">
        <f t="shared" si="14"/>
        <v>60000</v>
      </c>
      <c r="AI18" s="142">
        <f t="shared" si="15"/>
        <v>50000</v>
      </c>
      <c r="AJ18" s="114">
        <f t="shared" si="16"/>
        <v>-0.166666666666667</v>
      </c>
      <c r="AK18" s="108"/>
      <c r="AL18" s="108">
        <v>10000</v>
      </c>
      <c r="AM18" s="114" t="e">
        <f t="shared" si="17"/>
        <v>#DIV/0!</v>
      </c>
      <c r="AN18" s="143">
        <f t="shared" si="18"/>
        <v>60000</v>
      </c>
      <c r="AO18" s="143">
        <f t="shared" si="19"/>
        <v>60000</v>
      </c>
      <c r="AP18" s="114">
        <f t="shared" si="20"/>
        <v>0</v>
      </c>
      <c r="AQ18" s="29">
        <v>20000</v>
      </c>
      <c r="AR18" s="29"/>
      <c r="AS18" s="114">
        <f t="shared" si="21"/>
        <v>-1</v>
      </c>
      <c r="AT18" s="29">
        <f t="shared" si="22"/>
        <v>80000</v>
      </c>
      <c r="AU18" s="29">
        <f t="shared" si="23"/>
        <v>60000</v>
      </c>
      <c r="AV18" s="114">
        <f t="shared" si="24"/>
        <v>-0.25</v>
      </c>
      <c r="AW18" s="29"/>
      <c r="AX18" s="29"/>
      <c r="AY18" s="114" t="e">
        <f t="shared" si="25"/>
        <v>#DIV/0!</v>
      </c>
      <c r="AZ18" s="29">
        <f t="shared" si="26"/>
        <v>80000</v>
      </c>
      <c r="BA18" s="29">
        <f t="shared" si="27"/>
        <v>60000</v>
      </c>
      <c r="BB18" s="114">
        <f t="shared" si="28"/>
        <v>-0.25</v>
      </c>
      <c r="BC18" s="143"/>
      <c r="BD18" s="143"/>
      <c r="BE18" s="114" t="e">
        <f t="shared" si="29"/>
        <v>#DIV/0!</v>
      </c>
      <c r="BF18" s="143">
        <f t="shared" si="30"/>
        <v>80000</v>
      </c>
      <c r="BG18" s="143">
        <f t="shared" si="31"/>
        <v>60000</v>
      </c>
      <c r="BH18" s="114">
        <f t="shared" si="32"/>
        <v>-0.25</v>
      </c>
      <c r="BI18" s="46"/>
      <c r="BJ18" s="46">
        <v>10000</v>
      </c>
      <c r="BK18" s="114" t="e">
        <f t="shared" si="33"/>
        <v>#DIV/0!</v>
      </c>
      <c r="BL18" s="46">
        <f t="shared" si="34"/>
        <v>80000</v>
      </c>
      <c r="BM18" s="46">
        <f t="shared" si="35"/>
        <v>70000</v>
      </c>
      <c r="BN18" s="114">
        <f t="shared" si="36"/>
        <v>-0.125</v>
      </c>
      <c r="BO18" s="44"/>
      <c r="BP18" s="142">
        <v>10000</v>
      </c>
      <c r="BQ18" s="29">
        <v>90000</v>
      </c>
      <c r="BR18" s="45">
        <f t="shared" si="37"/>
        <v>0.233333333333333</v>
      </c>
    </row>
    <row r="19" ht="14.25" customHeight="1" spans="1:72">
      <c r="A19" s="38" t="s">
        <v>31</v>
      </c>
      <c r="B19" s="133" t="s">
        <v>31</v>
      </c>
      <c r="C19" s="145" t="s">
        <v>330</v>
      </c>
      <c r="D19" s="104" t="s">
        <v>104</v>
      </c>
      <c r="E19" s="104" t="s">
        <v>104</v>
      </c>
      <c r="F19" s="104" t="s">
        <v>305</v>
      </c>
      <c r="G19" s="104" t="s">
        <v>320</v>
      </c>
      <c r="H19" s="104" t="s">
        <v>317</v>
      </c>
      <c r="I19" s="104">
        <v>30</v>
      </c>
      <c r="J19" s="29">
        <v>40000</v>
      </c>
      <c r="K19" s="29">
        <v>20000</v>
      </c>
      <c r="L19" s="114">
        <f t="shared" si="0"/>
        <v>-0.5</v>
      </c>
      <c r="M19" s="29"/>
      <c r="N19" s="29">
        <v>40000</v>
      </c>
      <c r="O19" s="114" t="e">
        <f t="shared" si="1"/>
        <v>#DIV/0!</v>
      </c>
      <c r="P19" s="80">
        <f t="shared" si="2"/>
        <v>40000</v>
      </c>
      <c r="Q19" s="80">
        <f t="shared" si="3"/>
        <v>60000</v>
      </c>
      <c r="R19" s="114">
        <f t="shared" si="4"/>
        <v>0.5</v>
      </c>
      <c r="S19" s="46">
        <v>20000</v>
      </c>
      <c r="T19" s="46"/>
      <c r="U19" s="114">
        <f t="shared" si="5"/>
        <v>-1</v>
      </c>
      <c r="V19" s="36">
        <f t="shared" si="6"/>
        <v>60000</v>
      </c>
      <c r="W19" s="36">
        <f t="shared" si="7"/>
        <v>60000</v>
      </c>
      <c r="X19" s="114">
        <f t="shared" si="8"/>
        <v>0</v>
      </c>
      <c r="Y19" s="46">
        <v>10000</v>
      </c>
      <c r="Z19" s="46">
        <v>30000</v>
      </c>
      <c r="AA19" s="114">
        <f t="shared" si="9"/>
        <v>2</v>
      </c>
      <c r="AB19" s="46">
        <f t="shared" si="10"/>
        <v>70000</v>
      </c>
      <c r="AC19" s="46">
        <f t="shared" si="11"/>
        <v>90000</v>
      </c>
      <c r="AD19" s="114">
        <f t="shared" si="12"/>
        <v>0.285714285714286</v>
      </c>
      <c r="AE19" s="142"/>
      <c r="AF19" s="142">
        <v>60568</v>
      </c>
      <c r="AG19" s="114" t="e">
        <f t="shared" si="13"/>
        <v>#DIV/0!</v>
      </c>
      <c r="AH19" s="142">
        <f t="shared" si="14"/>
        <v>70000</v>
      </c>
      <c r="AI19" s="142">
        <f t="shared" si="15"/>
        <v>150568</v>
      </c>
      <c r="AJ19" s="114">
        <f t="shared" si="16"/>
        <v>1.15097142857143</v>
      </c>
      <c r="AK19" s="108"/>
      <c r="AL19" s="108"/>
      <c r="AM19" s="114" t="e">
        <f t="shared" si="17"/>
        <v>#DIV/0!</v>
      </c>
      <c r="AN19" s="143">
        <f t="shared" si="18"/>
        <v>70000</v>
      </c>
      <c r="AO19" s="143">
        <f t="shared" si="19"/>
        <v>150568</v>
      </c>
      <c r="AP19" s="114">
        <f t="shared" si="20"/>
        <v>1.15097142857143</v>
      </c>
      <c r="AQ19" s="29">
        <v>20000</v>
      </c>
      <c r="AR19" s="29"/>
      <c r="AS19" s="114">
        <f t="shared" si="21"/>
        <v>-1</v>
      </c>
      <c r="AT19" s="29">
        <f t="shared" si="22"/>
        <v>90000</v>
      </c>
      <c r="AU19" s="29">
        <f t="shared" si="23"/>
        <v>150568</v>
      </c>
      <c r="AV19" s="114">
        <f t="shared" si="24"/>
        <v>0.672977777777778</v>
      </c>
      <c r="AW19" s="29">
        <v>20000</v>
      </c>
      <c r="AX19" s="29"/>
      <c r="AY19" s="114">
        <f t="shared" si="25"/>
        <v>-1</v>
      </c>
      <c r="AZ19" s="29">
        <f t="shared" si="26"/>
        <v>110000</v>
      </c>
      <c r="BA19" s="29">
        <f t="shared" si="27"/>
        <v>150568</v>
      </c>
      <c r="BB19" s="114">
        <f t="shared" si="28"/>
        <v>0.3688</v>
      </c>
      <c r="BC19" s="143"/>
      <c r="BD19" s="143">
        <v>9121</v>
      </c>
      <c r="BE19" s="114" t="e">
        <f t="shared" si="29"/>
        <v>#DIV/0!</v>
      </c>
      <c r="BF19" s="143">
        <f t="shared" si="30"/>
        <v>110000</v>
      </c>
      <c r="BG19" s="143">
        <f t="shared" si="31"/>
        <v>159689</v>
      </c>
      <c r="BH19" s="114">
        <f t="shared" si="32"/>
        <v>0.451718181818182</v>
      </c>
      <c r="BI19" s="46"/>
      <c r="BJ19" s="46"/>
      <c r="BK19" s="114" t="e">
        <f t="shared" si="33"/>
        <v>#DIV/0!</v>
      </c>
      <c r="BL19" s="46">
        <f t="shared" si="34"/>
        <v>110000</v>
      </c>
      <c r="BM19" s="46">
        <f t="shared" si="35"/>
        <v>159689</v>
      </c>
      <c r="BN19" s="114">
        <f t="shared" si="36"/>
        <v>0.451718181818182</v>
      </c>
      <c r="BO19" s="44">
        <v>21000</v>
      </c>
      <c r="BP19" s="142">
        <v>45000</v>
      </c>
      <c r="BQ19" s="29">
        <v>176000</v>
      </c>
      <c r="BR19" s="45">
        <f t="shared" si="37"/>
        <v>0.532296666666667</v>
      </c>
    </row>
    <row r="20" ht="14.25" customHeight="1" spans="1:72">
      <c r="A20" s="38" t="s">
        <v>31</v>
      </c>
      <c r="B20" s="133" t="s">
        <v>31</v>
      </c>
      <c r="C20" s="145" t="s">
        <v>331</v>
      </c>
      <c r="D20" s="104" t="s">
        <v>81</v>
      </c>
      <c r="E20" s="104" t="s">
        <v>81</v>
      </c>
      <c r="F20" s="104" t="s">
        <v>305</v>
      </c>
      <c r="G20" s="104" t="s">
        <v>320</v>
      </c>
      <c r="H20" s="104" t="s">
        <v>317</v>
      </c>
      <c r="I20" s="104"/>
      <c r="J20" s="29"/>
      <c r="K20" s="29">
        <v>54440.36</v>
      </c>
      <c r="L20" s="114" t="e">
        <f t="shared" si="0"/>
        <v>#DIV/0!</v>
      </c>
      <c r="M20" s="29">
        <v>10797.73</v>
      </c>
      <c r="N20" s="29">
        <v>29508.02</v>
      </c>
      <c r="O20" s="114">
        <f t="shared" si="1"/>
        <v>1.73279846782611</v>
      </c>
      <c r="P20" s="80">
        <f t="shared" si="2"/>
        <v>10797.73</v>
      </c>
      <c r="Q20" s="80">
        <f t="shared" si="3"/>
        <v>83948.38</v>
      </c>
      <c r="R20" s="114">
        <f t="shared" si="4"/>
        <v>6.7746322606696</v>
      </c>
      <c r="S20" s="46">
        <v>56823.31</v>
      </c>
      <c r="T20" s="46">
        <v>3457.13</v>
      </c>
      <c r="U20" s="114">
        <f t="shared" si="5"/>
        <v>-0.939160003174753</v>
      </c>
      <c r="V20" s="36">
        <f t="shared" si="6"/>
        <v>67621.04</v>
      </c>
      <c r="W20" s="36">
        <f t="shared" si="7"/>
        <v>87405.51</v>
      </c>
      <c r="X20" s="114">
        <f t="shared" si="8"/>
        <v>0.292578611627387</v>
      </c>
      <c r="Y20" s="46">
        <v>14596</v>
      </c>
      <c r="Z20" s="46">
        <v>11403.76</v>
      </c>
      <c r="AA20" s="114">
        <f t="shared" si="9"/>
        <v>-0.218706494930118</v>
      </c>
      <c r="AB20" s="46">
        <f t="shared" si="10"/>
        <v>82217.04</v>
      </c>
      <c r="AC20" s="46">
        <f t="shared" si="11"/>
        <v>98809.27</v>
      </c>
      <c r="AD20" s="114">
        <f t="shared" si="12"/>
        <v>0.201810111383236</v>
      </c>
      <c r="AE20" s="142">
        <v>41660.41</v>
      </c>
      <c r="AF20" s="142">
        <f>51243.95+10000</f>
        <v>61243.95</v>
      </c>
      <c r="AG20" s="114">
        <f t="shared" si="13"/>
        <v>0.470075546544069</v>
      </c>
      <c r="AH20" s="142">
        <f t="shared" si="14"/>
        <v>123877.45</v>
      </c>
      <c r="AI20" s="142">
        <f t="shared" si="15"/>
        <v>160053.22</v>
      </c>
      <c r="AJ20" s="114">
        <f t="shared" si="16"/>
        <v>0.29202869448798</v>
      </c>
      <c r="AK20" s="108">
        <v>92552.98</v>
      </c>
      <c r="AL20" s="108">
        <v>46338.06</v>
      </c>
      <c r="AM20" s="114">
        <f t="shared" si="17"/>
        <v>-0.499334759399427</v>
      </c>
      <c r="AN20" s="143">
        <f t="shared" si="18"/>
        <v>216430.43</v>
      </c>
      <c r="AO20" s="143">
        <f t="shared" si="19"/>
        <v>206391.28</v>
      </c>
      <c r="AP20" s="114">
        <f t="shared" si="20"/>
        <v>-0.0463851132209089</v>
      </c>
      <c r="AQ20" s="29">
        <v>79159.98</v>
      </c>
      <c r="AR20" s="29">
        <v>161520.61</v>
      </c>
      <c r="AS20" s="114">
        <f t="shared" si="21"/>
        <v>1.04043267822958</v>
      </c>
      <c r="AT20" s="29">
        <f t="shared" si="22"/>
        <v>295590.41</v>
      </c>
      <c r="AU20" s="29">
        <f t="shared" si="23"/>
        <v>367911.89</v>
      </c>
      <c r="AV20" s="114">
        <f t="shared" si="24"/>
        <v>0.244667883508129</v>
      </c>
      <c r="AW20" s="29"/>
      <c r="AX20" s="29"/>
      <c r="AY20" s="114" t="e">
        <f t="shared" si="25"/>
        <v>#DIV/0!</v>
      </c>
      <c r="AZ20" s="29">
        <f t="shared" si="26"/>
        <v>295590.41</v>
      </c>
      <c r="BA20" s="29">
        <f t="shared" si="27"/>
        <v>367911.89</v>
      </c>
      <c r="BB20" s="114">
        <f t="shared" si="28"/>
        <v>0.244667883508129</v>
      </c>
      <c r="BC20" s="143">
        <v>37043.76</v>
      </c>
      <c r="BD20" s="143"/>
      <c r="BE20" s="114">
        <f t="shared" si="29"/>
        <v>-1</v>
      </c>
      <c r="BF20" s="143">
        <f t="shared" si="30"/>
        <v>332634.17</v>
      </c>
      <c r="BG20" s="143">
        <f t="shared" si="31"/>
        <v>367911.89</v>
      </c>
      <c r="BH20" s="114">
        <f t="shared" si="32"/>
        <v>0.106055610582641</v>
      </c>
      <c r="BI20" s="46">
        <v>78063.57</v>
      </c>
      <c r="BJ20" s="46">
        <v>71511.68</v>
      </c>
      <c r="BK20" s="114">
        <f t="shared" si="33"/>
        <v>-0.0839301866414771</v>
      </c>
      <c r="BL20" s="46">
        <f t="shared" si="34"/>
        <v>410697.74</v>
      </c>
      <c r="BM20" s="46">
        <f t="shared" si="35"/>
        <v>439423.57</v>
      </c>
      <c r="BN20" s="114">
        <f t="shared" si="36"/>
        <v>0.0699439690123447</v>
      </c>
      <c r="BO20" s="44">
        <v>186738.72</v>
      </c>
      <c r="BP20" s="142">
        <v>130096.34</v>
      </c>
      <c r="BQ20" s="29">
        <v>727532.8</v>
      </c>
      <c r="BR20" s="45" t="e">
        <f t="shared" si="37"/>
        <v>#DIV/0!</v>
      </c>
      <c r="BS20" s="21">
        <v>10000</v>
      </c>
      <c r="BT20">
        <v>10000</v>
      </c>
    </row>
    <row r="21" s="7" customFormat="1" ht="14.25" customHeight="1" spans="1:72">
      <c r="A21" s="38" t="s">
        <v>31</v>
      </c>
      <c r="B21" s="133" t="s">
        <v>31</v>
      </c>
      <c r="C21" s="119" t="s">
        <v>332</v>
      </c>
      <c r="D21" s="104" t="s">
        <v>67</v>
      </c>
      <c r="E21" s="104" t="s">
        <v>67</v>
      </c>
      <c r="F21" s="104" t="s">
        <v>324</v>
      </c>
      <c r="G21" s="104" t="s">
        <v>324</v>
      </c>
      <c r="H21" s="104" t="s">
        <v>311</v>
      </c>
      <c r="I21" s="104">
        <v>0</v>
      </c>
      <c r="J21" s="29"/>
      <c r="K21" s="29"/>
      <c r="L21" s="114" t="e">
        <f t="shared" si="0"/>
        <v>#DIV/0!</v>
      </c>
      <c r="M21" s="29"/>
      <c r="N21" s="29"/>
      <c r="O21" s="114" t="e">
        <f t="shared" si="1"/>
        <v>#DIV/0!</v>
      </c>
      <c r="P21" s="80">
        <f t="shared" si="2"/>
        <v>0</v>
      </c>
      <c r="Q21" s="80">
        <f t="shared" si="3"/>
        <v>0</v>
      </c>
      <c r="R21" s="114" t="e">
        <f t="shared" si="4"/>
        <v>#DIV/0!</v>
      </c>
      <c r="S21" s="46"/>
      <c r="T21" s="46"/>
      <c r="U21" s="114" t="e">
        <f t="shared" si="5"/>
        <v>#DIV/0!</v>
      </c>
      <c r="V21" s="36">
        <f t="shared" si="6"/>
        <v>0</v>
      </c>
      <c r="W21" s="36">
        <f t="shared" si="7"/>
        <v>0</v>
      </c>
      <c r="X21" s="114" t="e">
        <f t="shared" si="8"/>
        <v>#DIV/0!</v>
      </c>
      <c r="Y21" s="46"/>
      <c r="Z21" s="46"/>
      <c r="AA21" s="114" t="e">
        <f t="shared" si="9"/>
        <v>#DIV/0!</v>
      </c>
      <c r="AB21" s="46">
        <f t="shared" si="10"/>
        <v>0</v>
      </c>
      <c r="AC21" s="46">
        <f t="shared" si="11"/>
        <v>0</v>
      </c>
      <c r="AD21" s="114" t="e">
        <f t="shared" si="12"/>
        <v>#DIV/0!</v>
      </c>
      <c r="AE21" s="142">
        <v>48949</v>
      </c>
      <c r="AF21" s="142"/>
      <c r="AG21" s="114">
        <f t="shared" si="13"/>
        <v>-1</v>
      </c>
      <c r="AH21" s="142">
        <f t="shared" si="14"/>
        <v>48949</v>
      </c>
      <c r="AI21" s="142">
        <f t="shared" si="15"/>
        <v>0</v>
      </c>
      <c r="AJ21" s="114">
        <f t="shared" si="16"/>
        <v>-1</v>
      </c>
      <c r="AK21" s="108"/>
      <c r="AL21" s="108"/>
      <c r="AM21" s="114" t="e">
        <f t="shared" si="17"/>
        <v>#DIV/0!</v>
      </c>
      <c r="AN21" s="143">
        <f t="shared" si="18"/>
        <v>48949</v>
      </c>
      <c r="AO21" s="143">
        <f t="shared" si="19"/>
        <v>0</v>
      </c>
      <c r="AP21" s="114">
        <f t="shared" si="20"/>
        <v>-1</v>
      </c>
      <c r="AQ21" s="29"/>
      <c r="AR21" s="29"/>
      <c r="AS21" s="114" t="e">
        <f t="shared" si="21"/>
        <v>#DIV/0!</v>
      </c>
      <c r="AT21" s="29">
        <f t="shared" si="22"/>
        <v>48949</v>
      </c>
      <c r="AU21" s="29">
        <f t="shared" si="23"/>
        <v>0</v>
      </c>
      <c r="AV21" s="114">
        <f t="shared" si="24"/>
        <v>-1</v>
      </c>
      <c r="AW21" s="29"/>
      <c r="AX21" s="29"/>
      <c r="AY21" s="114" t="e">
        <f t="shared" si="25"/>
        <v>#DIV/0!</v>
      </c>
      <c r="AZ21" s="29">
        <f t="shared" si="26"/>
        <v>48949</v>
      </c>
      <c r="BA21" s="29">
        <f t="shared" si="27"/>
        <v>0</v>
      </c>
      <c r="BB21" s="114">
        <f t="shared" si="28"/>
        <v>-1</v>
      </c>
      <c r="BC21" s="143"/>
      <c r="BD21" s="143">
        <v>3200</v>
      </c>
      <c r="BE21" s="114" t="e">
        <f t="shared" si="29"/>
        <v>#DIV/0!</v>
      </c>
      <c r="BF21" s="143">
        <f t="shared" si="30"/>
        <v>48949</v>
      </c>
      <c r="BG21" s="143">
        <f t="shared" si="31"/>
        <v>3200</v>
      </c>
      <c r="BH21" s="114">
        <f t="shared" si="32"/>
        <v>-0.93462583505281</v>
      </c>
      <c r="BI21" s="46"/>
      <c r="BJ21" s="46"/>
      <c r="BK21" s="114" t="e">
        <f t="shared" si="33"/>
        <v>#DIV/0!</v>
      </c>
      <c r="BL21" s="46">
        <f t="shared" si="34"/>
        <v>48949</v>
      </c>
      <c r="BM21" s="46">
        <f t="shared" si="35"/>
        <v>3200</v>
      </c>
      <c r="BN21" s="114">
        <f t="shared" si="36"/>
        <v>-0.93462583505281</v>
      </c>
      <c r="BO21" s="44"/>
      <c r="BP21" s="142"/>
      <c r="BQ21" s="29">
        <v>48949</v>
      </c>
      <c r="BR21" s="45" t="e">
        <f t="shared" si="37"/>
        <v>#DIV/0!</v>
      </c>
      <c r="BS21" s="131">
        <v>48949</v>
      </c>
    </row>
    <row r="22" s="7" customFormat="1" ht="14.25" customHeight="1" spans="1:72">
      <c r="A22" s="38" t="s">
        <v>31</v>
      </c>
      <c r="B22" s="133" t="s">
        <v>31</v>
      </c>
      <c r="C22" s="119" t="s">
        <v>333</v>
      </c>
      <c r="D22" s="104" t="s">
        <v>67</v>
      </c>
      <c r="E22" s="104" t="s">
        <v>67</v>
      </c>
      <c r="F22" s="104" t="s">
        <v>334</v>
      </c>
      <c r="G22" s="104" t="s">
        <v>334</v>
      </c>
      <c r="H22" s="104" t="s">
        <v>307</v>
      </c>
      <c r="I22" s="104">
        <v>80</v>
      </c>
      <c r="J22" s="29">
        <v>198197</v>
      </c>
      <c r="K22" s="29">
        <v>57653</v>
      </c>
      <c r="L22" s="114">
        <f t="shared" si="0"/>
        <v>-0.70911265054466</v>
      </c>
      <c r="M22" s="29">
        <v>22955</v>
      </c>
      <c r="N22" s="29">
        <v>38882</v>
      </c>
      <c r="O22" s="114">
        <f t="shared" si="1"/>
        <v>0.693835765628403</v>
      </c>
      <c r="P22" s="80">
        <f t="shared" si="2"/>
        <v>221152</v>
      </c>
      <c r="Q22" s="80">
        <f t="shared" si="3"/>
        <v>96535</v>
      </c>
      <c r="R22" s="114">
        <f t="shared" si="4"/>
        <v>-0.56349026913616</v>
      </c>
      <c r="S22" s="46">
        <v>13490</v>
      </c>
      <c r="T22" s="46">
        <v>55448</v>
      </c>
      <c r="U22" s="114">
        <f t="shared" si="5"/>
        <v>3.11030392883617</v>
      </c>
      <c r="V22" s="36">
        <f t="shared" si="6"/>
        <v>234642</v>
      </c>
      <c r="W22" s="36">
        <f t="shared" si="7"/>
        <v>151983</v>
      </c>
      <c r="X22" s="114">
        <f t="shared" si="8"/>
        <v>-0.352277085943693</v>
      </c>
      <c r="Y22" s="46">
        <v>37102</v>
      </c>
      <c r="Z22" s="46">
        <v>26004</v>
      </c>
      <c r="AA22" s="114">
        <f t="shared" si="9"/>
        <v>-0.299121341167592</v>
      </c>
      <c r="AB22" s="46">
        <f t="shared" si="10"/>
        <v>271744</v>
      </c>
      <c r="AC22" s="46">
        <f t="shared" si="11"/>
        <v>177987</v>
      </c>
      <c r="AD22" s="114">
        <f t="shared" si="12"/>
        <v>-0.345019577249176</v>
      </c>
      <c r="AE22" s="142">
        <v>92010</v>
      </c>
      <c r="AF22" s="142">
        <f>3441+51497+26151</f>
        <v>81089</v>
      </c>
      <c r="AG22" s="114">
        <f t="shared" si="13"/>
        <v>-0.118693620258668</v>
      </c>
      <c r="AH22" s="142">
        <f t="shared" si="14"/>
        <v>363754</v>
      </c>
      <c r="AI22" s="142">
        <f t="shared" si="15"/>
        <v>259076</v>
      </c>
      <c r="AJ22" s="114">
        <f t="shared" si="16"/>
        <v>-0.287771405950175</v>
      </c>
      <c r="AK22" s="108">
        <v>3173</v>
      </c>
      <c r="AL22" s="108">
        <f>4480+152569</f>
        <v>157049</v>
      </c>
      <c r="AM22" s="114">
        <f t="shared" si="17"/>
        <v>48.4954301922471</v>
      </c>
      <c r="AN22" s="143">
        <f t="shared" si="18"/>
        <v>366927</v>
      </c>
      <c r="AO22" s="143">
        <f t="shared" si="19"/>
        <v>416125</v>
      </c>
      <c r="AP22" s="114">
        <f t="shared" si="20"/>
        <v>0.134081166008498</v>
      </c>
      <c r="AQ22" s="29">
        <v>50791</v>
      </c>
      <c r="AR22" s="29">
        <v>2560</v>
      </c>
      <c r="AS22" s="114">
        <f t="shared" si="21"/>
        <v>-0.949597369612727</v>
      </c>
      <c r="AT22" s="29">
        <f t="shared" si="22"/>
        <v>417718</v>
      </c>
      <c r="AU22" s="29">
        <f t="shared" si="23"/>
        <v>418685</v>
      </c>
      <c r="AV22" s="114">
        <f t="shared" si="24"/>
        <v>0.00231495889571431</v>
      </c>
      <c r="AW22" s="29">
        <v>46822</v>
      </c>
      <c r="AX22" s="29">
        <f>21040+27726</f>
        <v>48766</v>
      </c>
      <c r="AY22" s="114">
        <f t="shared" si="25"/>
        <v>0.0415189440861135</v>
      </c>
      <c r="AZ22" s="29">
        <f t="shared" si="26"/>
        <v>464540</v>
      </c>
      <c r="BA22" s="29">
        <f t="shared" si="27"/>
        <v>467451</v>
      </c>
      <c r="BB22" s="114">
        <f t="shared" si="28"/>
        <v>0.00626641408705386</v>
      </c>
      <c r="BC22" s="143">
        <v>42696</v>
      </c>
      <c r="BD22" s="143">
        <v>35244.5</v>
      </c>
      <c r="BE22" s="114">
        <f t="shared" si="29"/>
        <v>-0.174524545624883</v>
      </c>
      <c r="BF22" s="143">
        <f t="shared" si="30"/>
        <v>507236</v>
      </c>
      <c r="BG22" s="143">
        <f t="shared" si="31"/>
        <v>502695.5</v>
      </c>
      <c r="BH22" s="114">
        <f t="shared" si="32"/>
        <v>-0.00895145454975588</v>
      </c>
      <c r="BI22" s="46">
        <v>139827</v>
      </c>
      <c r="BJ22" s="46">
        <v>39220.1</v>
      </c>
      <c r="BK22" s="114">
        <f t="shared" si="33"/>
        <v>-0.719509822852525</v>
      </c>
      <c r="BL22" s="46">
        <f t="shared" si="34"/>
        <v>647063</v>
      </c>
      <c r="BM22" s="46">
        <f t="shared" si="35"/>
        <v>541915.6</v>
      </c>
      <c r="BN22" s="114">
        <f t="shared" si="36"/>
        <v>-0.162499478412458</v>
      </c>
      <c r="BO22" s="44">
        <v>55709</v>
      </c>
      <c r="BP22" s="142">
        <v>155422</v>
      </c>
      <c r="BQ22" s="29">
        <v>858194</v>
      </c>
      <c r="BR22" s="45">
        <f t="shared" si="37"/>
        <v>0.6773945</v>
      </c>
      <c r="BS22" s="131">
        <v>34635</v>
      </c>
      <c r="BT22" s="7">
        <v>26151</v>
      </c>
    </row>
    <row r="23" s="7" customFormat="1" ht="14.25" customHeight="1" spans="1:72">
      <c r="A23" s="38" t="s">
        <v>31</v>
      </c>
      <c r="B23" s="133" t="s">
        <v>31</v>
      </c>
      <c r="C23" s="145" t="s">
        <v>335</v>
      </c>
      <c r="D23" s="104" t="s">
        <v>63</v>
      </c>
      <c r="E23" s="104" t="s">
        <v>63</v>
      </c>
      <c r="F23" s="104" t="s">
        <v>310</v>
      </c>
      <c r="G23" s="104" t="s">
        <v>310</v>
      </c>
      <c r="H23" s="104" t="s">
        <v>311</v>
      </c>
      <c r="I23" s="104">
        <v>30</v>
      </c>
      <c r="J23" s="29">
        <v>25253</v>
      </c>
      <c r="K23" s="29"/>
      <c r="L23" s="114">
        <f t="shared" si="0"/>
        <v>-1</v>
      </c>
      <c r="M23" s="29"/>
      <c r="N23" s="29">
        <v>8054</v>
      </c>
      <c r="O23" s="114" t="e">
        <f t="shared" si="1"/>
        <v>#DIV/0!</v>
      </c>
      <c r="P23" s="80">
        <f t="shared" si="2"/>
        <v>25253</v>
      </c>
      <c r="Q23" s="80">
        <f t="shared" si="3"/>
        <v>8054</v>
      </c>
      <c r="R23" s="114">
        <f t="shared" si="4"/>
        <v>-0.681067595929197</v>
      </c>
      <c r="S23" s="46">
        <v>10166</v>
      </c>
      <c r="T23" s="46"/>
      <c r="U23" s="114">
        <f t="shared" si="5"/>
        <v>-1</v>
      </c>
      <c r="V23" s="36">
        <f t="shared" si="6"/>
        <v>35419</v>
      </c>
      <c r="W23" s="36">
        <f t="shared" si="7"/>
        <v>8054</v>
      </c>
      <c r="X23" s="114">
        <f t="shared" si="8"/>
        <v>-0.77260792230159</v>
      </c>
      <c r="Y23" s="46">
        <v>9194</v>
      </c>
      <c r="Z23" s="46"/>
      <c r="AA23" s="114">
        <f t="shared" si="9"/>
        <v>-1</v>
      </c>
      <c r="AB23" s="46">
        <f t="shared" si="10"/>
        <v>44613</v>
      </c>
      <c r="AC23" s="46">
        <f t="shared" si="11"/>
        <v>8054</v>
      </c>
      <c r="AD23" s="114">
        <f t="shared" si="12"/>
        <v>-0.819469661309484</v>
      </c>
      <c r="AE23" s="142">
        <v>16472</v>
      </c>
      <c r="AF23" s="142"/>
      <c r="AG23" s="114">
        <f t="shared" si="13"/>
        <v>-1</v>
      </c>
      <c r="AH23" s="142">
        <f t="shared" si="14"/>
        <v>61085</v>
      </c>
      <c r="AI23" s="142">
        <f t="shared" si="15"/>
        <v>8054</v>
      </c>
      <c r="AJ23" s="114">
        <f t="shared" si="16"/>
        <v>-0.86815093721863</v>
      </c>
      <c r="AK23" s="108">
        <v>23766</v>
      </c>
      <c r="AL23" s="108"/>
      <c r="AM23" s="114">
        <f t="shared" si="17"/>
        <v>-1</v>
      </c>
      <c r="AN23" s="143">
        <f t="shared" si="18"/>
        <v>84851</v>
      </c>
      <c r="AO23" s="143">
        <f t="shared" si="19"/>
        <v>8054</v>
      </c>
      <c r="AP23" s="114">
        <f t="shared" si="20"/>
        <v>-0.905080670822972</v>
      </c>
      <c r="AQ23" s="29">
        <v>19411</v>
      </c>
      <c r="AR23" s="29">
        <v>4303</v>
      </c>
      <c r="AS23" s="114">
        <f t="shared" si="21"/>
        <v>-0.778321570243676</v>
      </c>
      <c r="AT23" s="29">
        <f t="shared" si="22"/>
        <v>104262</v>
      </c>
      <c r="AU23" s="29">
        <f t="shared" si="23"/>
        <v>12357</v>
      </c>
      <c r="AV23" s="114">
        <f t="shared" si="24"/>
        <v>-0.881481268343212</v>
      </c>
      <c r="AW23" s="29"/>
      <c r="AX23" s="29"/>
      <c r="AY23" s="114" t="e">
        <f t="shared" si="25"/>
        <v>#DIV/0!</v>
      </c>
      <c r="AZ23" s="29">
        <f t="shared" si="26"/>
        <v>104262</v>
      </c>
      <c r="BA23" s="29">
        <f t="shared" si="27"/>
        <v>12357</v>
      </c>
      <c r="BB23" s="114">
        <f t="shared" si="28"/>
        <v>-0.881481268343212</v>
      </c>
      <c r="BC23" s="143">
        <v>2358</v>
      </c>
      <c r="BD23" s="143"/>
      <c r="BE23" s="114">
        <f t="shared" si="29"/>
        <v>-1</v>
      </c>
      <c r="BF23" s="143">
        <f t="shared" si="30"/>
        <v>106620</v>
      </c>
      <c r="BG23" s="143">
        <f t="shared" si="31"/>
        <v>12357</v>
      </c>
      <c r="BH23" s="114">
        <f t="shared" si="32"/>
        <v>-0.884102419808666</v>
      </c>
      <c r="BI23" s="46">
        <v>4176</v>
      </c>
      <c r="BJ23" s="46"/>
      <c r="BK23" s="114">
        <f t="shared" si="33"/>
        <v>-1</v>
      </c>
      <c r="BL23" s="46">
        <f t="shared" si="34"/>
        <v>110796</v>
      </c>
      <c r="BM23" s="46">
        <f t="shared" si="35"/>
        <v>12357</v>
      </c>
      <c r="BN23" s="114">
        <f t="shared" si="36"/>
        <v>-0.888470702913463</v>
      </c>
      <c r="BO23" s="44">
        <v>17786</v>
      </c>
      <c r="BP23" s="142">
        <v>1859</v>
      </c>
      <c r="BQ23" s="29">
        <v>130441</v>
      </c>
      <c r="BR23" s="45">
        <f t="shared" si="37"/>
        <v>0.04119</v>
      </c>
      <c r="BS23" s="131"/>
    </row>
    <row r="24" s="7" customFormat="1" ht="14.25" customHeight="1" spans="1:72">
      <c r="A24" s="38" t="s">
        <v>31</v>
      </c>
      <c r="B24" s="133" t="s">
        <v>31</v>
      </c>
      <c r="C24" s="145" t="s">
        <v>336</v>
      </c>
      <c r="D24" s="104" t="s">
        <v>63</v>
      </c>
      <c r="E24" s="104" t="s">
        <v>63</v>
      </c>
      <c r="F24" s="104" t="s">
        <v>310</v>
      </c>
      <c r="G24" s="104" t="s">
        <v>310</v>
      </c>
      <c r="H24" s="104" t="s">
        <v>311</v>
      </c>
      <c r="I24" s="104">
        <v>30</v>
      </c>
      <c r="J24" s="29">
        <v>44290</v>
      </c>
      <c r="K24" s="29"/>
      <c r="L24" s="114">
        <f t="shared" si="0"/>
        <v>-1</v>
      </c>
      <c r="M24" s="29"/>
      <c r="N24" s="29"/>
      <c r="O24" s="114" t="e">
        <f t="shared" si="1"/>
        <v>#DIV/0!</v>
      </c>
      <c r="P24" s="80">
        <f t="shared" si="2"/>
        <v>44290</v>
      </c>
      <c r="Q24" s="80">
        <f t="shared" si="3"/>
        <v>0</v>
      </c>
      <c r="R24" s="114">
        <f t="shared" si="4"/>
        <v>-1</v>
      </c>
      <c r="S24" s="46">
        <v>11484</v>
      </c>
      <c r="T24" s="46">
        <v>9000</v>
      </c>
      <c r="U24" s="114">
        <f t="shared" si="5"/>
        <v>-0.216300940438871</v>
      </c>
      <c r="V24" s="36">
        <f t="shared" si="6"/>
        <v>55774</v>
      </c>
      <c r="W24" s="36">
        <f t="shared" si="7"/>
        <v>9000</v>
      </c>
      <c r="X24" s="114">
        <f t="shared" si="8"/>
        <v>-0.838634489188511</v>
      </c>
      <c r="Y24" s="46">
        <v>3652</v>
      </c>
      <c r="Z24" s="46"/>
      <c r="AA24" s="114">
        <f t="shared" si="9"/>
        <v>-1</v>
      </c>
      <c r="AB24" s="46">
        <f t="shared" si="10"/>
        <v>59426</v>
      </c>
      <c r="AC24" s="46">
        <f t="shared" si="11"/>
        <v>9000</v>
      </c>
      <c r="AD24" s="114">
        <f t="shared" si="12"/>
        <v>-0.848551139231986</v>
      </c>
      <c r="AE24" s="142"/>
      <c r="AF24" s="142">
        <v>17704</v>
      </c>
      <c r="AG24" s="114" t="e">
        <f t="shared" si="13"/>
        <v>#DIV/0!</v>
      </c>
      <c r="AH24" s="142">
        <f t="shared" si="14"/>
        <v>59426</v>
      </c>
      <c r="AI24" s="142">
        <f t="shared" si="15"/>
        <v>26704</v>
      </c>
      <c r="AJ24" s="114">
        <f t="shared" si="16"/>
        <v>-0.550634402450106</v>
      </c>
      <c r="AK24" s="108">
        <v>6319</v>
      </c>
      <c r="AL24" s="108"/>
      <c r="AM24" s="114">
        <f t="shared" si="17"/>
        <v>-1</v>
      </c>
      <c r="AN24" s="143">
        <f t="shared" si="18"/>
        <v>65745</v>
      </c>
      <c r="AO24" s="143">
        <f t="shared" si="19"/>
        <v>26704</v>
      </c>
      <c r="AP24" s="114">
        <f t="shared" si="20"/>
        <v>-0.593824625446802</v>
      </c>
      <c r="AQ24" s="29"/>
      <c r="AR24" s="29"/>
      <c r="AS24" s="114" t="e">
        <f t="shared" si="21"/>
        <v>#DIV/0!</v>
      </c>
      <c r="AT24" s="29">
        <f t="shared" si="22"/>
        <v>65745</v>
      </c>
      <c r="AU24" s="29">
        <f t="shared" si="23"/>
        <v>26704</v>
      </c>
      <c r="AV24" s="114">
        <f t="shared" si="24"/>
        <v>-0.593824625446802</v>
      </c>
      <c r="AW24" s="29">
        <v>11439</v>
      </c>
      <c r="AX24" s="29">
        <v>5927</v>
      </c>
      <c r="AY24" s="114">
        <f t="shared" si="25"/>
        <v>-0.481860302473992</v>
      </c>
      <c r="AZ24" s="29">
        <f t="shared" si="26"/>
        <v>77184</v>
      </c>
      <c r="BA24" s="29">
        <f t="shared" si="27"/>
        <v>32631</v>
      </c>
      <c r="BB24" s="114">
        <f t="shared" si="28"/>
        <v>-0.577231032338309</v>
      </c>
      <c r="BC24" s="143">
        <v>20000</v>
      </c>
      <c r="BD24" s="143">
        <v>15873</v>
      </c>
      <c r="BE24" s="114">
        <f t="shared" si="29"/>
        <v>-0.20635</v>
      </c>
      <c r="BF24" s="143">
        <f t="shared" si="30"/>
        <v>97184</v>
      </c>
      <c r="BG24" s="143">
        <f t="shared" si="31"/>
        <v>48504</v>
      </c>
      <c r="BH24" s="114">
        <f t="shared" si="32"/>
        <v>-0.500905498847547</v>
      </c>
      <c r="BI24" s="46"/>
      <c r="BJ24" s="46"/>
      <c r="BK24" s="114" t="e">
        <f t="shared" si="33"/>
        <v>#DIV/0!</v>
      </c>
      <c r="BL24" s="46">
        <f t="shared" si="34"/>
        <v>97184</v>
      </c>
      <c r="BM24" s="46">
        <f t="shared" si="35"/>
        <v>48504</v>
      </c>
      <c r="BN24" s="114">
        <f t="shared" si="36"/>
        <v>-0.500905498847547</v>
      </c>
      <c r="BO24" s="44"/>
      <c r="BP24" s="142">
        <v>18807</v>
      </c>
      <c r="BQ24" s="29">
        <v>115991</v>
      </c>
      <c r="BR24" s="45">
        <f t="shared" si="37"/>
        <v>0.16168</v>
      </c>
      <c r="BS24" s="131"/>
    </row>
    <row r="25" s="7" customFormat="1" ht="14.25" customHeight="1" spans="1:72">
      <c r="A25" s="38" t="s">
        <v>31</v>
      </c>
      <c r="B25" s="133" t="s">
        <v>31</v>
      </c>
      <c r="C25" s="145" t="s">
        <v>337</v>
      </c>
      <c r="D25" s="104" t="s">
        <v>67</v>
      </c>
      <c r="E25" s="104" t="s">
        <v>67</v>
      </c>
      <c r="F25" s="104" t="s">
        <v>305</v>
      </c>
      <c r="G25" s="104" t="s">
        <v>306</v>
      </c>
      <c r="H25" s="104" t="s">
        <v>317</v>
      </c>
      <c r="I25" s="104">
        <v>30</v>
      </c>
      <c r="J25" s="29">
        <v>13315</v>
      </c>
      <c r="K25" s="29">
        <v>8525</v>
      </c>
      <c r="L25" s="114">
        <f t="shared" si="0"/>
        <v>-0.359744648892227</v>
      </c>
      <c r="M25" s="29">
        <v>4203</v>
      </c>
      <c r="N25" s="29">
        <v>5014</v>
      </c>
      <c r="O25" s="114">
        <f t="shared" si="1"/>
        <v>0.192957411372829</v>
      </c>
      <c r="P25" s="80">
        <f t="shared" si="2"/>
        <v>17518</v>
      </c>
      <c r="Q25" s="80">
        <f t="shared" si="3"/>
        <v>13539</v>
      </c>
      <c r="R25" s="114">
        <f t="shared" si="4"/>
        <v>-0.227137801118849</v>
      </c>
      <c r="S25" s="46">
        <v>17227</v>
      </c>
      <c r="T25" s="46">
        <v>8116</v>
      </c>
      <c r="U25" s="114">
        <f t="shared" si="5"/>
        <v>-0.528879085157021</v>
      </c>
      <c r="V25" s="36">
        <f t="shared" si="6"/>
        <v>34745</v>
      </c>
      <c r="W25" s="36">
        <f t="shared" si="7"/>
        <v>21655</v>
      </c>
      <c r="X25" s="114">
        <f t="shared" si="8"/>
        <v>-0.376744855374874</v>
      </c>
      <c r="Y25" s="46">
        <v>5384</v>
      </c>
      <c r="Z25" s="46">
        <v>13951</v>
      </c>
      <c r="AA25" s="114">
        <f t="shared" si="9"/>
        <v>1.59119613670134</v>
      </c>
      <c r="AB25" s="46">
        <f t="shared" si="10"/>
        <v>40129</v>
      </c>
      <c r="AC25" s="46">
        <f t="shared" si="11"/>
        <v>35606</v>
      </c>
      <c r="AD25" s="114">
        <f t="shared" si="12"/>
        <v>-0.112711505395101</v>
      </c>
      <c r="AE25" s="142">
        <v>29220</v>
      </c>
      <c r="AF25" s="142">
        <f>20450+33725</f>
        <v>54175</v>
      </c>
      <c r="AG25" s="114">
        <f t="shared" si="13"/>
        <v>0.85403832991102</v>
      </c>
      <c r="AH25" s="142">
        <f t="shared" si="14"/>
        <v>69349</v>
      </c>
      <c r="AI25" s="142">
        <f t="shared" si="15"/>
        <v>89781</v>
      </c>
      <c r="AJ25" s="114">
        <f t="shared" si="16"/>
        <v>0.294625733608271</v>
      </c>
      <c r="AK25" s="108">
        <v>18804</v>
      </c>
      <c r="AL25" s="108">
        <v>42855</v>
      </c>
      <c r="AM25" s="114">
        <f t="shared" si="17"/>
        <v>1.27903637523931</v>
      </c>
      <c r="AN25" s="143">
        <f t="shared" si="18"/>
        <v>88153</v>
      </c>
      <c r="AO25" s="143">
        <f t="shared" si="19"/>
        <v>132636</v>
      </c>
      <c r="AP25" s="114">
        <f t="shared" si="20"/>
        <v>0.504611300806552</v>
      </c>
      <c r="AQ25" s="29">
        <v>12513</v>
      </c>
      <c r="AR25" s="29">
        <v>38045</v>
      </c>
      <c r="AS25" s="114">
        <f t="shared" si="21"/>
        <v>2.04043794453768</v>
      </c>
      <c r="AT25" s="29">
        <f t="shared" si="22"/>
        <v>100666</v>
      </c>
      <c r="AU25" s="29">
        <f t="shared" si="23"/>
        <v>170681</v>
      </c>
      <c r="AV25" s="114">
        <f t="shared" si="24"/>
        <v>0.695517851111597</v>
      </c>
      <c r="AW25" s="29">
        <v>7756</v>
      </c>
      <c r="AX25" s="29">
        <v>30459</v>
      </c>
      <c r="AY25" s="114">
        <f t="shared" si="25"/>
        <v>2.92715317173801</v>
      </c>
      <c r="AZ25" s="29">
        <f t="shared" si="26"/>
        <v>108422</v>
      </c>
      <c r="BA25" s="29">
        <f t="shared" si="27"/>
        <v>201140</v>
      </c>
      <c r="BB25" s="114">
        <f t="shared" si="28"/>
        <v>0.855158547158326</v>
      </c>
      <c r="BC25" s="143">
        <v>41531</v>
      </c>
      <c r="BD25" s="143">
        <v>23024</v>
      </c>
      <c r="BE25" s="114">
        <f t="shared" si="29"/>
        <v>-0.445618935253184</v>
      </c>
      <c r="BF25" s="143">
        <f t="shared" si="30"/>
        <v>149953</v>
      </c>
      <c r="BG25" s="143">
        <f t="shared" si="31"/>
        <v>224164</v>
      </c>
      <c r="BH25" s="114">
        <f t="shared" si="32"/>
        <v>0.494895067121031</v>
      </c>
      <c r="BI25" s="46"/>
      <c r="BJ25" s="46">
        <v>32980</v>
      </c>
      <c r="BK25" s="114" t="e">
        <f t="shared" si="33"/>
        <v>#DIV/0!</v>
      </c>
      <c r="BL25" s="46">
        <f t="shared" si="34"/>
        <v>149953</v>
      </c>
      <c r="BM25" s="46">
        <f t="shared" si="35"/>
        <v>257144</v>
      </c>
      <c r="BN25" s="114">
        <f t="shared" si="36"/>
        <v>0.71483064693604</v>
      </c>
      <c r="BO25" s="44">
        <v>5651</v>
      </c>
      <c r="BP25" s="142">
        <v>56416</v>
      </c>
      <c r="BQ25" s="29">
        <v>212020</v>
      </c>
      <c r="BR25" s="45">
        <f t="shared" si="37"/>
        <v>0.857146666666667</v>
      </c>
      <c r="BS25" s="131">
        <v>11238</v>
      </c>
      <c r="BT25" s="7">
        <v>33725</v>
      </c>
    </row>
    <row r="26" s="7" customFormat="1" ht="14.25" customHeight="1" spans="1:72">
      <c r="A26" s="38" t="s">
        <v>31</v>
      </c>
      <c r="B26" s="133" t="s">
        <v>31</v>
      </c>
      <c r="C26" s="145" t="s">
        <v>338</v>
      </c>
      <c r="D26" s="104" t="s">
        <v>104</v>
      </c>
      <c r="E26" s="104" t="s">
        <v>104</v>
      </c>
      <c r="F26" s="104" t="s">
        <v>339</v>
      </c>
      <c r="G26" s="104" t="s">
        <v>339</v>
      </c>
      <c r="H26" s="104" t="s">
        <v>307</v>
      </c>
      <c r="I26" s="104">
        <v>120</v>
      </c>
      <c r="J26" s="29">
        <v>41589</v>
      </c>
      <c r="K26" s="29"/>
      <c r="L26" s="114">
        <f t="shared" si="0"/>
        <v>-1</v>
      </c>
      <c r="M26" s="29"/>
      <c r="N26" s="29"/>
      <c r="O26" s="114" t="e">
        <f t="shared" si="1"/>
        <v>#DIV/0!</v>
      </c>
      <c r="P26" s="80">
        <f t="shared" si="2"/>
        <v>41589</v>
      </c>
      <c r="Q26" s="80">
        <f t="shared" si="3"/>
        <v>0</v>
      </c>
      <c r="R26" s="114">
        <f t="shared" si="4"/>
        <v>-1</v>
      </c>
      <c r="S26" s="46"/>
      <c r="T26" s="46"/>
      <c r="U26" s="114" t="e">
        <f t="shared" si="5"/>
        <v>#DIV/0!</v>
      </c>
      <c r="V26" s="36">
        <f t="shared" si="6"/>
        <v>41589</v>
      </c>
      <c r="W26" s="36">
        <f t="shared" si="7"/>
        <v>0</v>
      </c>
      <c r="X26" s="114">
        <f t="shared" si="8"/>
        <v>-1</v>
      </c>
      <c r="Y26" s="46"/>
      <c r="Z26" s="46"/>
      <c r="AA26" s="114" t="e">
        <f t="shared" si="9"/>
        <v>#DIV/0!</v>
      </c>
      <c r="AB26" s="46">
        <f t="shared" si="10"/>
        <v>41589</v>
      </c>
      <c r="AC26" s="46">
        <f t="shared" si="11"/>
        <v>0</v>
      </c>
      <c r="AD26" s="114">
        <f t="shared" si="12"/>
        <v>-1</v>
      </c>
      <c r="AE26" s="142"/>
      <c r="AF26" s="142"/>
      <c r="AG26" s="114" t="e">
        <f t="shared" si="13"/>
        <v>#DIV/0!</v>
      </c>
      <c r="AH26" s="142">
        <f t="shared" si="14"/>
        <v>41589</v>
      </c>
      <c r="AI26" s="142">
        <f t="shared" si="15"/>
        <v>0</v>
      </c>
      <c r="AJ26" s="114">
        <f t="shared" si="16"/>
        <v>-1</v>
      </c>
      <c r="AK26" s="108"/>
      <c r="AL26" s="108"/>
      <c r="AM26" s="114" t="e">
        <f t="shared" si="17"/>
        <v>#DIV/0!</v>
      </c>
      <c r="AN26" s="143">
        <f t="shared" si="18"/>
        <v>41589</v>
      </c>
      <c r="AO26" s="143">
        <f t="shared" si="19"/>
        <v>0</v>
      </c>
      <c r="AP26" s="114">
        <f t="shared" si="20"/>
        <v>-1</v>
      </c>
      <c r="AQ26" s="29"/>
      <c r="AR26" s="29"/>
      <c r="AS26" s="114" t="e">
        <f t="shared" si="21"/>
        <v>#DIV/0!</v>
      </c>
      <c r="AT26" s="29">
        <f t="shared" si="22"/>
        <v>41589</v>
      </c>
      <c r="AU26" s="29">
        <f t="shared" si="23"/>
        <v>0</v>
      </c>
      <c r="AV26" s="114">
        <f t="shared" si="24"/>
        <v>-1</v>
      </c>
      <c r="AW26" s="29"/>
      <c r="AX26" s="29">
        <v>21000</v>
      </c>
      <c r="AY26" s="114" t="e">
        <f t="shared" si="25"/>
        <v>#DIV/0!</v>
      </c>
      <c r="AZ26" s="29">
        <f t="shared" si="26"/>
        <v>41589</v>
      </c>
      <c r="BA26" s="29">
        <f t="shared" si="27"/>
        <v>21000</v>
      </c>
      <c r="BB26" s="114">
        <f t="shared" si="28"/>
        <v>-0.495058789583784</v>
      </c>
      <c r="BC26" s="143">
        <v>17800</v>
      </c>
      <c r="BD26" s="143"/>
      <c r="BE26" s="114">
        <f t="shared" si="29"/>
        <v>-1</v>
      </c>
      <c r="BF26" s="143">
        <f t="shared" si="30"/>
        <v>59389</v>
      </c>
      <c r="BG26" s="143">
        <f t="shared" si="31"/>
        <v>21000</v>
      </c>
      <c r="BH26" s="114">
        <f t="shared" si="32"/>
        <v>-0.646399164828504</v>
      </c>
      <c r="BI26" s="46"/>
      <c r="BJ26" s="46"/>
      <c r="BK26" s="114" t="e">
        <f t="shared" si="33"/>
        <v>#DIV/0!</v>
      </c>
      <c r="BL26" s="46">
        <f t="shared" si="34"/>
        <v>59389</v>
      </c>
      <c r="BM26" s="46">
        <f t="shared" si="35"/>
        <v>21000</v>
      </c>
      <c r="BN26" s="114">
        <f t="shared" si="36"/>
        <v>-0.646399164828504</v>
      </c>
      <c r="BO26" s="44"/>
      <c r="BP26" s="142"/>
      <c r="BQ26" s="29">
        <v>59389</v>
      </c>
      <c r="BR26" s="45">
        <f t="shared" si="37"/>
        <v>0.0175</v>
      </c>
      <c r="BS26" s="131"/>
    </row>
    <row r="27" s="7" customFormat="1" ht="14.25" customHeight="1" spans="1:72">
      <c r="A27" s="38" t="s">
        <v>31</v>
      </c>
      <c r="B27" s="133" t="s">
        <v>31</v>
      </c>
      <c r="C27" s="145" t="s">
        <v>340</v>
      </c>
      <c r="D27" s="104" t="s">
        <v>104</v>
      </c>
      <c r="E27" s="104" t="s">
        <v>104</v>
      </c>
      <c r="F27" s="104" t="s">
        <v>339</v>
      </c>
      <c r="G27" s="104" t="s">
        <v>339</v>
      </c>
      <c r="H27" s="104" t="s">
        <v>307</v>
      </c>
      <c r="I27" s="104">
        <v>0</v>
      </c>
      <c r="J27" s="29">
        <v>28962</v>
      </c>
      <c r="K27" s="29">
        <v>19172</v>
      </c>
      <c r="L27" s="114">
        <f t="shared" si="0"/>
        <v>-0.338029141633865</v>
      </c>
      <c r="M27" s="29">
        <v>790</v>
      </c>
      <c r="N27" s="29"/>
      <c r="O27" s="114">
        <f t="shared" si="1"/>
        <v>-1</v>
      </c>
      <c r="P27" s="80">
        <f t="shared" si="2"/>
        <v>29752</v>
      </c>
      <c r="Q27" s="80">
        <f t="shared" si="3"/>
        <v>19172</v>
      </c>
      <c r="R27" s="114">
        <f t="shared" si="4"/>
        <v>-0.35560634579188</v>
      </c>
      <c r="S27" s="46">
        <v>5710</v>
      </c>
      <c r="T27" s="46"/>
      <c r="U27" s="114">
        <f t="shared" si="5"/>
        <v>-1</v>
      </c>
      <c r="V27" s="36">
        <f t="shared" si="6"/>
        <v>35462</v>
      </c>
      <c r="W27" s="36">
        <f t="shared" si="7"/>
        <v>19172</v>
      </c>
      <c r="X27" s="114">
        <f t="shared" si="8"/>
        <v>-0.459364954035305</v>
      </c>
      <c r="Y27" s="46"/>
      <c r="Z27" s="46">
        <v>5160</v>
      </c>
      <c r="AA27" s="114" t="e">
        <f t="shared" si="9"/>
        <v>#DIV/0!</v>
      </c>
      <c r="AB27" s="46">
        <f t="shared" si="10"/>
        <v>35462</v>
      </c>
      <c r="AC27" s="46">
        <f t="shared" si="11"/>
        <v>24332</v>
      </c>
      <c r="AD27" s="114">
        <f t="shared" si="12"/>
        <v>-0.313857086458745</v>
      </c>
      <c r="AE27" s="142"/>
      <c r="AF27" s="142"/>
      <c r="AG27" s="114" t="e">
        <f t="shared" si="13"/>
        <v>#DIV/0!</v>
      </c>
      <c r="AH27" s="142">
        <f t="shared" si="14"/>
        <v>35462</v>
      </c>
      <c r="AI27" s="142">
        <f t="shared" si="15"/>
        <v>24332</v>
      </c>
      <c r="AJ27" s="114">
        <f t="shared" si="16"/>
        <v>-0.313857086458745</v>
      </c>
      <c r="AK27" s="108">
        <v>3173</v>
      </c>
      <c r="AL27" s="108">
        <v>10808</v>
      </c>
      <c r="AM27" s="114">
        <f t="shared" si="17"/>
        <v>2.40624015127639</v>
      </c>
      <c r="AN27" s="143">
        <f t="shared" si="18"/>
        <v>38635</v>
      </c>
      <c r="AO27" s="143">
        <f t="shared" si="19"/>
        <v>35140</v>
      </c>
      <c r="AP27" s="114">
        <f t="shared" si="20"/>
        <v>-0.0904620163064579</v>
      </c>
      <c r="AQ27" s="29">
        <v>3611</v>
      </c>
      <c r="AR27" s="29">
        <v>6500</v>
      </c>
      <c r="AS27" s="114">
        <f t="shared" si="21"/>
        <v>0.800055386319579</v>
      </c>
      <c r="AT27" s="29">
        <f t="shared" si="22"/>
        <v>42246</v>
      </c>
      <c r="AU27" s="29">
        <f t="shared" si="23"/>
        <v>41640</v>
      </c>
      <c r="AV27" s="114">
        <f t="shared" si="24"/>
        <v>-0.0143445533304928</v>
      </c>
      <c r="AW27" s="29"/>
      <c r="AX27" s="29"/>
      <c r="AY27" s="114" t="e">
        <f t="shared" si="25"/>
        <v>#DIV/0!</v>
      </c>
      <c r="AZ27" s="29">
        <f t="shared" si="26"/>
        <v>42246</v>
      </c>
      <c r="BA27" s="29">
        <f t="shared" si="27"/>
        <v>41640</v>
      </c>
      <c r="BB27" s="114">
        <f t="shared" si="28"/>
        <v>-0.0143445533304928</v>
      </c>
      <c r="BC27" s="143">
        <v>5946</v>
      </c>
      <c r="BD27" s="143"/>
      <c r="BE27" s="114">
        <f t="shared" si="29"/>
        <v>-1</v>
      </c>
      <c r="BF27" s="143">
        <f t="shared" si="30"/>
        <v>48192</v>
      </c>
      <c r="BG27" s="143">
        <f t="shared" si="31"/>
        <v>41640</v>
      </c>
      <c r="BH27" s="114">
        <f t="shared" si="32"/>
        <v>-0.135956175298805</v>
      </c>
      <c r="BI27" s="46">
        <v>13781</v>
      </c>
      <c r="BJ27" s="46"/>
      <c r="BK27" s="114">
        <f t="shared" si="33"/>
        <v>-1</v>
      </c>
      <c r="BL27" s="46">
        <f t="shared" si="34"/>
        <v>61973</v>
      </c>
      <c r="BM27" s="46">
        <f t="shared" si="35"/>
        <v>41640</v>
      </c>
      <c r="BN27" s="114">
        <f t="shared" si="36"/>
        <v>-0.328094492762977</v>
      </c>
      <c r="BO27" s="44">
        <v>7931</v>
      </c>
      <c r="BP27" s="142"/>
      <c r="BQ27" s="29">
        <v>69904</v>
      </c>
      <c r="BR27" s="45" t="e">
        <f t="shared" si="37"/>
        <v>#DIV/0!</v>
      </c>
      <c r="BS27" s="131"/>
    </row>
    <row r="28" s="7" customFormat="1" ht="14.25" customHeight="1" spans="1:72">
      <c r="A28" s="38" t="s">
        <v>31</v>
      </c>
      <c r="B28" s="133" t="s">
        <v>31</v>
      </c>
      <c r="C28" s="145" t="s">
        <v>341</v>
      </c>
      <c r="D28" s="104" t="s">
        <v>104</v>
      </c>
      <c r="E28" s="104" t="s">
        <v>104</v>
      </c>
      <c r="F28" s="104" t="s">
        <v>305</v>
      </c>
      <c r="G28" s="104" t="s">
        <v>320</v>
      </c>
      <c r="H28" s="104" t="s">
        <v>317</v>
      </c>
      <c r="I28" s="104"/>
      <c r="J28" s="29">
        <v>5339</v>
      </c>
      <c r="K28" s="29">
        <v>35308</v>
      </c>
      <c r="L28" s="114">
        <f t="shared" si="0"/>
        <v>5.61322345008429</v>
      </c>
      <c r="M28" s="29">
        <v>10724</v>
      </c>
      <c r="N28" s="29"/>
      <c r="O28" s="114">
        <f t="shared" si="1"/>
        <v>-1</v>
      </c>
      <c r="P28" s="80">
        <f t="shared" si="2"/>
        <v>16063</v>
      </c>
      <c r="Q28" s="80">
        <f t="shared" si="3"/>
        <v>35308</v>
      </c>
      <c r="R28" s="114">
        <f t="shared" si="4"/>
        <v>1.19809500093382</v>
      </c>
      <c r="S28" s="46"/>
      <c r="T28" s="46"/>
      <c r="U28" s="114" t="e">
        <f t="shared" si="5"/>
        <v>#DIV/0!</v>
      </c>
      <c r="V28" s="36">
        <f t="shared" si="6"/>
        <v>16063</v>
      </c>
      <c r="W28" s="36">
        <f t="shared" si="7"/>
        <v>35308</v>
      </c>
      <c r="X28" s="114">
        <f t="shared" si="8"/>
        <v>1.19809500093382</v>
      </c>
      <c r="Y28" s="46">
        <v>1207</v>
      </c>
      <c r="Z28" s="46"/>
      <c r="AA28" s="114">
        <f t="shared" si="9"/>
        <v>-1</v>
      </c>
      <c r="AB28" s="46">
        <f t="shared" si="10"/>
        <v>17270</v>
      </c>
      <c r="AC28" s="46">
        <f t="shared" si="11"/>
        <v>35308</v>
      </c>
      <c r="AD28" s="114">
        <f t="shared" si="12"/>
        <v>1.04447017950203</v>
      </c>
      <c r="AE28" s="142">
        <v>24500</v>
      </c>
      <c r="AF28" s="142"/>
      <c r="AG28" s="114">
        <f t="shared" si="13"/>
        <v>-1</v>
      </c>
      <c r="AH28" s="142">
        <f t="shared" si="14"/>
        <v>41770</v>
      </c>
      <c r="AI28" s="142">
        <f t="shared" si="15"/>
        <v>35308</v>
      </c>
      <c r="AJ28" s="114">
        <f t="shared" si="16"/>
        <v>-0.154704333253531</v>
      </c>
      <c r="AK28" s="108">
        <v>1692</v>
      </c>
      <c r="AL28" s="108"/>
      <c r="AM28" s="114">
        <f t="shared" si="17"/>
        <v>-1</v>
      </c>
      <c r="AN28" s="143">
        <f t="shared" si="18"/>
        <v>43462</v>
      </c>
      <c r="AO28" s="143">
        <f t="shared" si="19"/>
        <v>35308</v>
      </c>
      <c r="AP28" s="114">
        <f t="shared" si="20"/>
        <v>-0.187612166950439</v>
      </c>
      <c r="AQ28" s="29"/>
      <c r="AR28" s="29">
        <v>3173</v>
      </c>
      <c r="AS28" s="114" t="e">
        <f t="shared" si="21"/>
        <v>#DIV/0!</v>
      </c>
      <c r="AT28" s="29">
        <f t="shared" si="22"/>
        <v>43462</v>
      </c>
      <c r="AU28" s="29">
        <f t="shared" si="23"/>
        <v>38481</v>
      </c>
      <c r="AV28" s="114">
        <f t="shared" si="24"/>
        <v>-0.11460586259261</v>
      </c>
      <c r="AW28" s="29"/>
      <c r="AX28" s="29"/>
      <c r="AY28" s="114" t="e">
        <f t="shared" si="25"/>
        <v>#DIV/0!</v>
      </c>
      <c r="AZ28" s="29">
        <f t="shared" si="26"/>
        <v>43462</v>
      </c>
      <c r="BA28" s="29">
        <f t="shared" si="27"/>
        <v>38481</v>
      </c>
      <c r="BB28" s="114">
        <f t="shared" si="28"/>
        <v>-0.11460586259261</v>
      </c>
      <c r="BC28" s="143"/>
      <c r="BD28" s="143"/>
      <c r="BE28" s="114" t="e">
        <f t="shared" si="29"/>
        <v>#DIV/0!</v>
      </c>
      <c r="BF28" s="143">
        <f t="shared" si="30"/>
        <v>43462</v>
      </c>
      <c r="BG28" s="143">
        <f t="shared" si="31"/>
        <v>38481</v>
      </c>
      <c r="BH28" s="114">
        <f t="shared" si="32"/>
        <v>-0.11460586259261</v>
      </c>
      <c r="BI28" s="46"/>
      <c r="BJ28" s="46">
        <v>49109</v>
      </c>
      <c r="BK28" s="114" t="e">
        <f t="shared" si="33"/>
        <v>#DIV/0!</v>
      </c>
      <c r="BL28" s="46">
        <f t="shared" si="34"/>
        <v>43462</v>
      </c>
      <c r="BM28" s="46">
        <f t="shared" si="35"/>
        <v>87590</v>
      </c>
      <c r="BN28" s="114">
        <f t="shared" si="36"/>
        <v>1.01532373107542</v>
      </c>
      <c r="BO28" s="44"/>
      <c r="BP28" s="142"/>
      <c r="BQ28" s="29">
        <v>43462</v>
      </c>
      <c r="BR28" s="45" t="e">
        <f t="shared" si="37"/>
        <v>#DIV/0!</v>
      </c>
      <c r="BS28" s="131"/>
    </row>
    <row r="29" s="7" customFormat="1" ht="14.25" customHeight="1" spans="1:72">
      <c r="A29" s="38" t="s">
        <v>31</v>
      </c>
      <c r="B29" s="133" t="s">
        <v>31</v>
      </c>
      <c r="C29" s="145" t="s">
        <v>342</v>
      </c>
      <c r="D29" s="104" t="s">
        <v>63</v>
      </c>
      <c r="E29" s="104" t="s">
        <v>63</v>
      </c>
      <c r="F29" s="104" t="s">
        <v>305</v>
      </c>
      <c r="G29" s="104" t="s">
        <v>306</v>
      </c>
      <c r="H29" s="104" t="s">
        <v>307</v>
      </c>
      <c r="I29" s="104">
        <v>30</v>
      </c>
      <c r="J29" s="29"/>
      <c r="K29" s="29">
        <v>13405</v>
      </c>
      <c r="L29" s="114" t="e">
        <f t="shared" si="0"/>
        <v>#DIV/0!</v>
      </c>
      <c r="M29" s="29"/>
      <c r="N29" s="29">
        <v>10992</v>
      </c>
      <c r="O29" s="114" t="e">
        <f t="shared" si="1"/>
        <v>#DIV/0!</v>
      </c>
      <c r="P29" s="80">
        <f t="shared" si="2"/>
        <v>0</v>
      </c>
      <c r="Q29" s="80">
        <f t="shared" si="3"/>
        <v>24397</v>
      </c>
      <c r="R29" s="114" t="e">
        <f t="shared" si="4"/>
        <v>#DIV/0!</v>
      </c>
      <c r="S29" s="46"/>
      <c r="T29" s="46">
        <v>3990</v>
      </c>
      <c r="U29" s="114" t="e">
        <f t="shared" si="5"/>
        <v>#DIV/0!</v>
      </c>
      <c r="V29" s="36">
        <f t="shared" si="6"/>
        <v>0</v>
      </c>
      <c r="W29" s="36">
        <f t="shared" si="7"/>
        <v>28387</v>
      </c>
      <c r="X29" s="114" t="e">
        <f t="shared" si="8"/>
        <v>#DIV/0!</v>
      </c>
      <c r="Y29" s="46">
        <v>10134</v>
      </c>
      <c r="Z29" s="46">
        <v>25320</v>
      </c>
      <c r="AA29" s="114">
        <f t="shared" si="9"/>
        <v>1.49851983422143</v>
      </c>
      <c r="AB29" s="46">
        <f t="shared" si="10"/>
        <v>10134</v>
      </c>
      <c r="AC29" s="46">
        <f t="shared" si="11"/>
        <v>53707</v>
      </c>
      <c r="AD29" s="114">
        <f t="shared" si="12"/>
        <v>4.29968423130057</v>
      </c>
      <c r="AE29" s="142">
        <v>6473</v>
      </c>
      <c r="AF29" s="142">
        <v>4206</v>
      </c>
      <c r="AG29" s="114">
        <f t="shared" si="13"/>
        <v>-0.350224007415418</v>
      </c>
      <c r="AH29" s="142">
        <f t="shared" si="14"/>
        <v>16607</v>
      </c>
      <c r="AI29" s="142">
        <f t="shared" si="15"/>
        <v>57913</v>
      </c>
      <c r="AJ29" s="114">
        <f t="shared" si="16"/>
        <v>2.48726440657554</v>
      </c>
      <c r="AK29" s="108">
        <v>6644</v>
      </c>
      <c r="AL29" s="108">
        <v>11402</v>
      </c>
      <c r="AM29" s="114">
        <f t="shared" si="17"/>
        <v>0.716134858518964</v>
      </c>
      <c r="AN29" s="143">
        <f t="shared" si="18"/>
        <v>23251</v>
      </c>
      <c r="AO29" s="143">
        <f t="shared" si="19"/>
        <v>69315</v>
      </c>
      <c r="AP29" s="114">
        <f t="shared" si="20"/>
        <v>1.98116210055482</v>
      </c>
      <c r="AQ29" s="29"/>
      <c r="AR29" s="29"/>
      <c r="AS29" s="114" t="e">
        <f t="shared" si="21"/>
        <v>#DIV/0!</v>
      </c>
      <c r="AT29" s="29">
        <f t="shared" si="22"/>
        <v>23251</v>
      </c>
      <c r="AU29" s="29">
        <f t="shared" si="23"/>
        <v>69315</v>
      </c>
      <c r="AV29" s="114">
        <f t="shared" si="24"/>
        <v>1.98116210055482</v>
      </c>
      <c r="AW29" s="29"/>
      <c r="AX29" s="29"/>
      <c r="AY29" s="114" t="e">
        <f t="shared" si="25"/>
        <v>#DIV/0!</v>
      </c>
      <c r="AZ29" s="29">
        <f t="shared" si="26"/>
        <v>23251</v>
      </c>
      <c r="BA29" s="29">
        <f t="shared" si="27"/>
        <v>69315</v>
      </c>
      <c r="BB29" s="114">
        <f t="shared" si="28"/>
        <v>1.98116210055482</v>
      </c>
      <c r="BC29" s="143">
        <v>15033</v>
      </c>
      <c r="BD29" s="143">
        <v>6809</v>
      </c>
      <c r="BE29" s="114">
        <f t="shared" si="29"/>
        <v>-0.547063127785538</v>
      </c>
      <c r="BF29" s="143">
        <f t="shared" si="30"/>
        <v>38284</v>
      </c>
      <c r="BG29" s="143">
        <f t="shared" si="31"/>
        <v>76124</v>
      </c>
      <c r="BH29" s="114">
        <f t="shared" si="32"/>
        <v>0.98840246578205</v>
      </c>
      <c r="BI29" s="46"/>
      <c r="BJ29" s="46">
        <v>3791</v>
      </c>
      <c r="BK29" s="114" t="e">
        <f t="shared" si="33"/>
        <v>#DIV/0!</v>
      </c>
      <c r="BL29" s="46">
        <f t="shared" si="34"/>
        <v>38284</v>
      </c>
      <c r="BM29" s="46">
        <f t="shared" si="35"/>
        <v>79915</v>
      </c>
      <c r="BN29" s="114">
        <f t="shared" si="36"/>
        <v>1.0874255563682</v>
      </c>
      <c r="BO29" s="44">
        <v>1580</v>
      </c>
      <c r="BP29" s="142">
        <v>15123</v>
      </c>
      <c r="BQ29" s="29">
        <v>54987</v>
      </c>
      <c r="BR29" s="45">
        <f t="shared" si="37"/>
        <v>0.266383333333333</v>
      </c>
      <c r="BS29" s="131"/>
    </row>
    <row r="30" s="7" customFormat="1" ht="14.25" customHeight="1" spans="1:72">
      <c r="A30" s="38" t="s">
        <v>31</v>
      </c>
      <c r="B30" s="133" t="s">
        <v>31</v>
      </c>
      <c r="C30" s="145" t="s">
        <v>343</v>
      </c>
      <c r="D30" s="104" t="s">
        <v>116</v>
      </c>
      <c r="E30" s="104" t="s">
        <v>116</v>
      </c>
      <c r="F30" s="104" t="s">
        <v>305</v>
      </c>
      <c r="G30" s="104" t="s">
        <v>320</v>
      </c>
      <c r="H30" s="104" t="s">
        <v>307</v>
      </c>
      <c r="I30" s="104"/>
      <c r="J30" s="29">
        <v>42263</v>
      </c>
      <c r="K30" s="29"/>
      <c r="L30" s="114">
        <f t="shared" si="0"/>
        <v>-1</v>
      </c>
      <c r="M30" s="29">
        <v>1790</v>
      </c>
      <c r="N30" s="29"/>
      <c r="O30" s="114">
        <f t="shared" si="1"/>
        <v>-1</v>
      </c>
      <c r="P30" s="80">
        <f t="shared" si="2"/>
        <v>44053</v>
      </c>
      <c r="Q30" s="80">
        <f t="shared" si="3"/>
        <v>0</v>
      </c>
      <c r="R30" s="114">
        <f t="shared" si="4"/>
        <v>-1</v>
      </c>
      <c r="S30" s="46"/>
      <c r="T30" s="46"/>
      <c r="U30" s="114" t="e">
        <f t="shared" si="5"/>
        <v>#DIV/0!</v>
      </c>
      <c r="V30" s="36">
        <f t="shared" si="6"/>
        <v>44053</v>
      </c>
      <c r="W30" s="36">
        <f t="shared" si="7"/>
        <v>0</v>
      </c>
      <c r="X30" s="114">
        <f t="shared" si="8"/>
        <v>-1</v>
      </c>
      <c r="Y30" s="46"/>
      <c r="Z30" s="46"/>
      <c r="AA30" s="114" t="e">
        <f t="shared" si="9"/>
        <v>#DIV/0!</v>
      </c>
      <c r="AB30" s="46">
        <f t="shared" si="10"/>
        <v>44053</v>
      </c>
      <c r="AC30" s="46">
        <f t="shared" si="11"/>
        <v>0</v>
      </c>
      <c r="AD30" s="114">
        <f t="shared" si="12"/>
        <v>-1</v>
      </c>
      <c r="AE30" s="142"/>
      <c r="AF30" s="142"/>
      <c r="AG30" s="114" t="e">
        <f t="shared" si="13"/>
        <v>#DIV/0!</v>
      </c>
      <c r="AH30" s="142">
        <f t="shared" si="14"/>
        <v>44053</v>
      </c>
      <c r="AI30" s="142">
        <f t="shared" si="15"/>
        <v>0</v>
      </c>
      <c r="AJ30" s="114">
        <f t="shared" si="16"/>
        <v>-1</v>
      </c>
      <c r="AK30" s="108"/>
      <c r="AL30" s="108"/>
      <c r="AM30" s="114" t="e">
        <f t="shared" si="17"/>
        <v>#DIV/0!</v>
      </c>
      <c r="AN30" s="143">
        <f t="shared" si="18"/>
        <v>44053</v>
      </c>
      <c r="AO30" s="143">
        <f t="shared" si="19"/>
        <v>0</v>
      </c>
      <c r="AP30" s="114">
        <f t="shared" si="20"/>
        <v>-1</v>
      </c>
      <c r="AQ30" s="29"/>
      <c r="AR30" s="29"/>
      <c r="AS30" s="114" t="e">
        <f t="shared" si="21"/>
        <v>#DIV/0!</v>
      </c>
      <c r="AT30" s="29">
        <f t="shared" si="22"/>
        <v>44053</v>
      </c>
      <c r="AU30" s="29">
        <f t="shared" si="23"/>
        <v>0</v>
      </c>
      <c r="AV30" s="114">
        <f t="shared" si="24"/>
        <v>-1</v>
      </c>
      <c r="AW30" s="29"/>
      <c r="AX30" s="29"/>
      <c r="AY30" s="114" t="e">
        <f t="shared" si="25"/>
        <v>#DIV/0!</v>
      </c>
      <c r="AZ30" s="29">
        <f t="shared" si="26"/>
        <v>44053</v>
      </c>
      <c r="BA30" s="29">
        <f t="shared" si="27"/>
        <v>0</v>
      </c>
      <c r="BB30" s="114">
        <f t="shared" si="28"/>
        <v>-1</v>
      </c>
      <c r="BC30" s="143"/>
      <c r="BD30" s="143"/>
      <c r="BE30" s="114" t="e">
        <f t="shared" si="29"/>
        <v>#DIV/0!</v>
      </c>
      <c r="BF30" s="143">
        <f t="shared" si="30"/>
        <v>44053</v>
      </c>
      <c r="BG30" s="143">
        <f t="shared" si="31"/>
        <v>0</v>
      </c>
      <c r="BH30" s="114">
        <f t="shared" si="32"/>
        <v>-1</v>
      </c>
      <c r="BI30" s="46"/>
      <c r="BJ30" s="46"/>
      <c r="BK30" s="114" t="e">
        <f t="shared" si="33"/>
        <v>#DIV/0!</v>
      </c>
      <c r="BL30" s="46">
        <f t="shared" si="34"/>
        <v>44053</v>
      </c>
      <c r="BM30" s="46">
        <f t="shared" si="35"/>
        <v>0</v>
      </c>
      <c r="BN30" s="114">
        <f t="shared" si="36"/>
        <v>-1</v>
      </c>
      <c r="BO30" s="44"/>
      <c r="BP30" s="142"/>
      <c r="BQ30" s="29">
        <v>44053</v>
      </c>
      <c r="BR30" s="45" t="e">
        <f t="shared" si="37"/>
        <v>#DIV/0!</v>
      </c>
      <c r="BS30" s="131"/>
    </row>
    <row r="31" s="7" customFormat="1" ht="14.25" customHeight="1" spans="1:72">
      <c r="A31" s="38" t="s">
        <v>31</v>
      </c>
      <c r="B31" s="133" t="s">
        <v>31</v>
      </c>
      <c r="C31" s="145" t="s">
        <v>344</v>
      </c>
      <c r="D31" s="104" t="s">
        <v>104</v>
      </c>
      <c r="E31" s="104" t="s">
        <v>104</v>
      </c>
      <c r="F31" s="104" t="s">
        <v>345</v>
      </c>
      <c r="G31" s="104" t="s">
        <v>345</v>
      </c>
      <c r="H31" s="104" t="s">
        <v>311</v>
      </c>
      <c r="I31" s="104">
        <v>30</v>
      </c>
      <c r="J31" s="29"/>
      <c r="K31" s="29"/>
      <c r="L31" s="114" t="e">
        <f t="shared" si="0"/>
        <v>#DIV/0!</v>
      </c>
      <c r="M31" s="29"/>
      <c r="N31" s="29"/>
      <c r="O31" s="114" t="e">
        <f t="shared" si="1"/>
        <v>#DIV/0!</v>
      </c>
      <c r="P31" s="80">
        <f t="shared" si="2"/>
        <v>0</v>
      </c>
      <c r="Q31" s="80">
        <f t="shared" si="3"/>
        <v>0</v>
      </c>
      <c r="R31" s="114" t="e">
        <f t="shared" si="4"/>
        <v>#DIV/0!</v>
      </c>
      <c r="S31" s="46"/>
      <c r="T31" s="46">
        <v>0</v>
      </c>
      <c r="U31" s="114" t="e">
        <f t="shared" si="5"/>
        <v>#DIV/0!</v>
      </c>
      <c r="V31" s="36">
        <f t="shared" si="6"/>
        <v>0</v>
      </c>
      <c r="W31" s="36">
        <f t="shared" si="7"/>
        <v>0</v>
      </c>
      <c r="X31" s="114" t="e">
        <f t="shared" si="8"/>
        <v>#DIV/0!</v>
      </c>
      <c r="Y31" s="46">
        <v>8400</v>
      </c>
      <c r="Z31" s="46"/>
      <c r="AA31" s="114">
        <f t="shared" si="9"/>
        <v>-1</v>
      </c>
      <c r="AB31" s="46">
        <f t="shared" si="10"/>
        <v>8400</v>
      </c>
      <c r="AC31" s="46">
        <f t="shared" si="11"/>
        <v>0</v>
      </c>
      <c r="AD31" s="114">
        <f t="shared" si="12"/>
        <v>-1</v>
      </c>
      <c r="AE31" s="142"/>
      <c r="AF31" s="142"/>
      <c r="AG31" s="114" t="e">
        <f t="shared" si="13"/>
        <v>#DIV/0!</v>
      </c>
      <c r="AH31" s="142">
        <f t="shared" si="14"/>
        <v>8400</v>
      </c>
      <c r="AI31" s="142">
        <f t="shared" si="15"/>
        <v>0</v>
      </c>
      <c r="AJ31" s="114">
        <f t="shared" si="16"/>
        <v>-1</v>
      </c>
      <c r="AK31" s="108"/>
      <c r="AL31" s="108"/>
      <c r="AM31" s="114" t="e">
        <f t="shared" si="17"/>
        <v>#DIV/0!</v>
      </c>
      <c r="AN31" s="143">
        <f t="shared" si="18"/>
        <v>8400</v>
      </c>
      <c r="AO31" s="143">
        <f t="shared" si="19"/>
        <v>0</v>
      </c>
      <c r="AP31" s="114">
        <f t="shared" si="20"/>
        <v>-1</v>
      </c>
      <c r="AQ31" s="29"/>
      <c r="AR31" s="29"/>
      <c r="AS31" s="114" t="e">
        <f t="shared" si="21"/>
        <v>#DIV/0!</v>
      </c>
      <c r="AT31" s="29">
        <f t="shared" si="22"/>
        <v>8400</v>
      </c>
      <c r="AU31" s="29">
        <f t="shared" si="23"/>
        <v>0</v>
      </c>
      <c r="AV31" s="114">
        <f t="shared" si="24"/>
        <v>-1</v>
      </c>
      <c r="AW31" s="29">
        <v>21616</v>
      </c>
      <c r="AX31" s="29"/>
      <c r="AY31" s="114">
        <f t="shared" si="25"/>
        <v>-1</v>
      </c>
      <c r="AZ31" s="29">
        <f t="shared" si="26"/>
        <v>30016</v>
      </c>
      <c r="BA31" s="29">
        <f t="shared" si="27"/>
        <v>0</v>
      </c>
      <c r="BB31" s="114">
        <f t="shared" si="28"/>
        <v>-1</v>
      </c>
      <c r="BC31" s="143"/>
      <c r="BD31" s="143"/>
      <c r="BE31" s="114" t="e">
        <f t="shared" si="29"/>
        <v>#DIV/0!</v>
      </c>
      <c r="BF31" s="143">
        <f t="shared" si="30"/>
        <v>30016</v>
      </c>
      <c r="BG31" s="143">
        <f t="shared" si="31"/>
        <v>0</v>
      </c>
      <c r="BH31" s="114">
        <f t="shared" si="32"/>
        <v>-1</v>
      </c>
      <c r="BI31" s="46">
        <v>6071</v>
      </c>
      <c r="BJ31" s="46"/>
      <c r="BK31" s="114">
        <f t="shared" si="33"/>
        <v>-1</v>
      </c>
      <c r="BL31" s="46">
        <f t="shared" si="34"/>
        <v>36087</v>
      </c>
      <c r="BM31" s="46">
        <f t="shared" si="35"/>
        <v>0</v>
      </c>
      <c r="BN31" s="114">
        <f t="shared" si="36"/>
        <v>-1</v>
      </c>
      <c r="BO31" s="44"/>
      <c r="BP31" s="142"/>
      <c r="BQ31" s="29">
        <v>36087</v>
      </c>
      <c r="BR31" s="45">
        <f t="shared" si="37"/>
        <v>0</v>
      </c>
      <c r="BS31" s="131"/>
    </row>
    <row r="32" s="7" customFormat="1" ht="14.25" customHeight="1" spans="1:72">
      <c r="A32" s="38" t="s">
        <v>31</v>
      </c>
      <c r="B32" s="133" t="s">
        <v>31</v>
      </c>
      <c r="C32" s="145" t="s">
        <v>346</v>
      </c>
      <c r="D32" s="104" t="s">
        <v>63</v>
      </c>
      <c r="E32" s="104" t="s">
        <v>63</v>
      </c>
      <c r="F32" s="104" t="s">
        <v>305</v>
      </c>
      <c r="G32" s="104" t="s">
        <v>320</v>
      </c>
      <c r="H32" s="104" t="s">
        <v>317</v>
      </c>
      <c r="I32" s="104"/>
      <c r="J32" s="29"/>
      <c r="K32" s="29"/>
      <c r="L32" s="114" t="e">
        <f t="shared" si="0"/>
        <v>#DIV/0!</v>
      </c>
      <c r="M32" s="29"/>
      <c r="N32" s="29"/>
      <c r="O32" s="114" t="e">
        <f t="shared" si="1"/>
        <v>#DIV/0!</v>
      </c>
      <c r="P32" s="80">
        <f t="shared" si="2"/>
        <v>0</v>
      </c>
      <c r="Q32" s="80">
        <f t="shared" si="3"/>
        <v>0</v>
      </c>
      <c r="R32" s="114" t="e">
        <f t="shared" si="4"/>
        <v>#DIV/0!</v>
      </c>
      <c r="S32" s="46"/>
      <c r="T32" s="46"/>
      <c r="U32" s="114" t="e">
        <f t="shared" si="5"/>
        <v>#DIV/0!</v>
      </c>
      <c r="V32" s="36">
        <f t="shared" si="6"/>
        <v>0</v>
      </c>
      <c r="W32" s="36">
        <f t="shared" si="7"/>
        <v>0</v>
      </c>
      <c r="X32" s="114" t="e">
        <f t="shared" si="8"/>
        <v>#DIV/0!</v>
      </c>
      <c r="Y32" s="46">
        <v>107064</v>
      </c>
      <c r="Z32" s="46"/>
      <c r="AA32" s="114">
        <f t="shared" si="9"/>
        <v>-1</v>
      </c>
      <c r="AB32" s="46">
        <f t="shared" si="10"/>
        <v>107064</v>
      </c>
      <c r="AC32" s="46">
        <f t="shared" si="11"/>
        <v>0</v>
      </c>
      <c r="AD32" s="114">
        <f t="shared" si="12"/>
        <v>-1</v>
      </c>
      <c r="AE32" s="142"/>
      <c r="AF32" s="142"/>
      <c r="AG32" s="114" t="e">
        <f t="shared" si="13"/>
        <v>#DIV/0!</v>
      </c>
      <c r="AH32" s="142">
        <f t="shared" si="14"/>
        <v>107064</v>
      </c>
      <c r="AI32" s="142">
        <f t="shared" si="15"/>
        <v>0</v>
      </c>
      <c r="AJ32" s="114">
        <f t="shared" si="16"/>
        <v>-1</v>
      </c>
      <c r="AK32" s="108"/>
      <c r="AL32" s="108"/>
      <c r="AM32" s="114" t="e">
        <f t="shared" si="17"/>
        <v>#DIV/0!</v>
      </c>
      <c r="AN32" s="143">
        <f t="shared" si="18"/>
        <v>107064</v>
      </c>
      <c r="AO32" s="143">
        <f t="shared" si="19"/>
        <v>0</v>
      </c>
      <c r="AP32" s="114">
        <f t="shared" si="20"/>
        <v>-1</v>
      </c>
      <c r="AQ32" s="29"/>
      <c r="AR32" s="29"/>
      <c r="AS32" s="114" t="e">
        <f t="shared" si="21"/>
        <v>#DIV/0!</v>
      </c>
      <c r="AT32" s="29">
        <f t="shared" si="22"/>
        <v>107064</v>
      </c>
      <c r="AU32" s="29">
        <f t="shared" si="23"/>
        <v>0</v>
      </c>
      <c r="AV32" s="114">
        <f t="shared" si="24"/>
        <v>-1</v>
      </c>
      <c r="AW32" s="29"/>
      <c r="AX32" s="29"/>
      <c r="AY32" s="114" t="e">
        <f t="shared" si="25"/>
        <v>#DIV/0!</v>
      </c>
      <c r="AZ32" s="29">
        <f t="shared" si="26"/>
        <v>107064</v>
      </c>
      <c r="BA32" s="29">
        <f t="shared" si="27"/>
        <v>0</v>
      </c>
      <c r="BB32" s="114">
        <f t="shared" si="28"/>
        <v>-1</v>
      </c>
      <c r="BC32" s="143"/>
      <c r="BD32" s="143"/>
      <c r="BE32" s="114" t="e">
        <f t="shared" si="29"/>
        <v>#DIV/0!</v>
      </c>
      <c r="BF32" s="143">
        <f t="shared" si="30"/>
        <v>107064</v>
      </c>
      <c r="BG32" s="143">
        <f t="shared" si="31"/>
        <v>0</v>
      </c>
      <c r="BH32" s="114">
        <f t="shared" si="32"/>
        <v>-1</v>
      </c>
      <c r="BI32" s="46"/>
      <c r="BJ32" s="46"/>
      <c r="BK32" s="114" t="e">
        <f t="shared" si="33"/>
        <v>#DIV/0!</v>
      </c>
      <c r="BL32" s="46">
        <f t="shared" si="34"/>
        <v>107064</v>
      </c>
      <c r="BM32" s="46">
        <f t="shared" si="35"/>
        <v>0</v>
      </c>
      <c r="BN32" s="114">
        <f t="shared" si="36"/>
        <v>-1</v>
      </c>
      <c r="BO32" s="44"/>
      <c r="BP32" s="142"/>
      <c r="BQ32" s="29">
        <v>107064</v>
      </c>
      <c r="BR32" s="45" t="e">
        <f t="shared" si="37"/>
        <v>#DIV/0!</v>
      </c>
      <c r="BS32" s="131"/>
    </row>
    <row r="33" s="7" customFormat="1" ht="14.25" customHeight="1" spans="1:71">
      <c r="A33" s="38" t="s">
        <v>31</v>
      </c>
      <c r="B33" s="133" t="s">
        <v>31</v>
      </c>
      <c r="C33" s="145" t="s">
        <v>347</v>
      </c>
      <c r="D33" s="104" t="s">
        <v>116</v>
      </c>
      <c r="E33" s="104" t="s">
        <v>116</v>
      </c>
      <c r="F33" s="104" t="s">
        <v>305</v>
      </c>
      <c r="G33" s="104" t="s">
        <v>305</v>
      </c>
      <c r="H33" s="104" t="s">
        <v>307</v>
      </c>
      <c r="I33" s="104"/>
      <c r="J33" s="29"/>
      <c r="K33" s="29">
        <v>3080</v>
      </c>
      <c r="L33" s="114" t="e">
        <f t="shared" si="0"/>
        <v>#DIV/0!</v>
      </c>
      <c r="M33" s="29"/>
      <c r="N33" s="29">
        <v>456</v>
      </c>
      <c r="O33" s="114" t="e">
        <f t="shared" si="1"/>
        <v>#DIV/0!</v>
      </c>
      <c r="P33" s="80">
        <f t="shared" si="2"/>
        <v>0</v>
      </c>
      <c r="Q33" s="80">
        <f t="shared" si="3"/>
        <v>3536</v>
      </c>
      <c r="R33" s="114" t="e">
        <f t="shared" si="4"/>
        <v>#DIV/0!</v>
      </c>
      <c r="S33" s="46"/>
      <c r="T33" s="46"/>
      <c r="U33" s="114" t="e">
        <f t="shared" si="5"/>
        <v>#DIV/0!</v>
      </c>
      <c r="V33" s="36">
        <f t="shared" si="6"/>
        <v>0</v>
      </c>
      <c r="W33" s="36">
        <f t="shared" si="7"/>
        <v>3536</v>
      </c>
      <c r="X33" s="114" t="e">
        <f t="shared" si="8"/>
        <v>#DIV/0!</v>
      </c>
      <c r="Y33" s="46"/>
      <c r="Z33" s="46">
        <v>12921</v>
      </c>
      <c r="AA33" s="114" t="e">
        <f t="shared" si="9"/>
        <v>#DIV/0!</v>
      </c>
      <c r="AB33" s="46">
        <f t="shared" si="10"/>
        <v>0</v>
      </c>
      <c r="AC33" s="46">
        <f t="shared" si="11"/>
        <v>16457</v>
      </c>
      <c r="AD33" s="114" t="e">
        <f t="shared" si="12"/>
        <v>#DIV/0!</v>
      </c>
      <c r="AE33" s="142"/>
      <c r="AF33" s="142">
        <v>7300</v>
      </c>
      <c r="AG33" s="114" t="e">
        <f t="shared" si="13"/>
        <v>#DIV/0!</v>
      </c>
      <c r="AH33" s="142">
        <f t="shared" si="14"/>
        <v>0</v>
      </c>
      <c r="AI33" s="142">
        <f t="shared" si="15"/>
        <v>23757</v>
      </c>
      <c r="AJ33" s="114" t="e">
        <f t="shared" si="16"/>
        <v>#DIV/0!</v>
      </c>
      <c r="AK33" s="108"/>
      <c r="AL33" s="108">
        <v>8131.2</v>
      </c>
      <c r="AM33" s="114" t="e">
        <f t="shared" si="17"/>
        <v>#DIV/0!</v>
      </c>
      <c r="AN33" s="143">
        <f t="shared" si="18"/>
        <v>0</v>
      </c>
      <c r="AO33" s="143">
        <f t="shared" si="19"/>
        <v>31888.2</v>
      </c>
      <c r="AP33" s="114" t="e">
        <f t="shared" si="20"/>
        <v>#DIV/0!</v>
      </c>
      <c r="AQ33" s="29"/>
      <c r="AR33" s="29">
        <v>10884</v>
      </c>
      <c r="AS33" s="114" t="e">
        <f t="shared" si="21"/>
        <v>#DIV/0!</v>
      </c>
      <c r="AT33" s="29">
        <f t="shared" si="22"/>
        <v>0</v>
      </c>
      <c r="AU33" s="29">
        <f t="shared" si="23"/>
        <v>42772.2</v>
      </c>
      <c r="AV33" s="114" t="e">
        <f t="shared" si="24"/>
        <v>#DIV/0!</v>
      </c>
      <c r="AW33" s="29"/>
      <c r="AX33" s="29">
        <v>114</v>
      </c>
      <c r="AY33" s="114" t="e">
        <f t="shared" si="25"/>
        <v>#DIV/0!</v>
      </c>
      <c r="AZ33" s="29">
        <f t="shared" si="26"/>
        <v>0</v>
      </c>
      <c r="BA33" s="29">
        <f t="shared" si="27"/>
        <v>42886.2</v>
      </c>
      <c r="BB33" s="114" t="e">
        <f t="shared" si="28"/>
        <v>#DIV/0!</v>
      </c>
      <c r="BC33" s="143"/>
      <c r="BD33" s="143">
        <v>7300</v>
      </c>
      <c r="BE33" s="114" t="e">
        <f t="shared" si="29"/>
        <v>#DIV/0!</v>
      </c>
      <c r="BF33" s="143">
        <f t="shared" si="30"/>
        <v>0</v>
      </c>
      <c r="BG33" s="143">
        <f t="shared" si="31"/>
        <v>50186.2</v>
      </c>
      <c r="BH33" s="114" t="e">
        <f t="shared" si="32"/>
        <v>#DIV/0!</v>
      </c>
      <c r="BI33" s="46"/>
      <c r="BJ33" s="46">
        <v>1038</v>
      </c>
      <c r="BK33" s="114" t="e">
        <f t="shared" si="33"/>
        <v>#DIV/0!</v>
      </c>
      <c r="BL33" s="46">
        <f t="shared" si="34"/>
        <v>0</v>
      </c>
      <c r="BM33" s="46">
        <f t="shared" si="35"/>
        <v>51224.2</v>
      </c>
      <c r="BN33" s="114" t="e">
        <f t="shared" si="36"/>
        <v>#DIV/0!</v>
      </c>
      <c r="BO33" s="44"/>
      <c r="BP33" s="142">
        <v>5748.4</v>
      </c>
      <c r="BQ33" s="29">
        <v>5748.4</v>
      </c>
      <c r="BR33" s="45" t="e">
        <f t="shared" si="37"/>
        <v>#DIV/0!</v>
      </c>
      <c r="BS33" s="131"/>
    </row>
    <row r="34" s="7" customFormat="1" ht="14.25" customHeight="1" spans="1:71">
      <c r="A34" s="38" t="s">
        <v>31</v>
      </c>
      <c r="B34" s="133" t="s">
        <v>31</v>
      </c>
      <c r="C34" s="145" t="s">
        <v>348</v>
      </c>
      <c r="D34" s="104" t="s">
        <v>63</v>
      </c>
      <c r="E34" s="104" t="s">
        <v>63</v>
      </c>
      <c r="F34" s="104" t="s">
        <v>339</v>
      </c>
      <c r="G34" s="104" t="s">
        <v>339</v>
      </c>
      <c r="H34" s="104" t="s">
        <v>307</v>
      </c>
      <c r="I34" s="104"/>
      <c r="J34" s="29"/>
      <c r="K34" s="29"/>
      <c r="L34" s="114"/>
      <c r="M34" s="29"/>
      <c r="N34" s="29"/>
      <c r="O34" s="114"/>
      <c r="P34" s="80"/>
      <c r="Q34" s="80"/>
      <c r="R34" s="114"/>
      <c r="S34" s="46"/>
      <c r="T34" s="46"/>
      <c r="U34" s="114"/>
      <c r="V34" s="36"/>
      <c r="W34" s="36"/>
      <c r="X34" s="114"/>
      <c r="Y34" s="46"/>
      <c r="Z34" s="46"/>
      <c r="AA34" s="114"/>
      <c r="AB34" s="46"/>
      <c r="AC34" s="46"/>
      <c r="AD34" s="114"/>
      <c r="AE34" s="142"/>
      <c r="AF34" s="142"/>
      <c r="AG34" s="114"/>
      <c r="AH34" s="142"/>
      <c r="AI34" s="142"/>
      <c r="AJ34" s="114"/>
      <c r="AK34" s="108"/>
      <c r="AL34" s="108"/>
      <c r="AM34" s="114"/>
      <c r="AN34" s="143"/>
      <c r="AO34" s="143"/>
      <c r="AP34" s="114"/>
      <c r="AQ34" s="29"/>
      <c r="AR34" s="29"/>
      <c r="AS34" s="114"/>
      <c r="AT34" s="29"/>
      <c r="AU34" s="29"/>
      <c r="AV34" s="114"/>
      <c r="AW34" s="29"/>
      <c r="AX34" s="29"/>
      <c r="AY34" s="114"/>
      <c r="AZ34" s="29"/>
      <c r="BA34" s="29"/>
      <c r="BB34" s="114"/>
      <c r="BC34" s="143"/>
      <c r="BD34" s="143">
        <v>9504</v>
      </c>
      <c r="BE34" s="114" t="e">
        <f t="shared" si="29"/>
        <v>#DIV/0!</v>
      </c>
      <c r="BF34" s="143">
        <f t="shared" si="30"/>
        <v>0</v>
      </c>
      <c r="BG34" s="143">
        <f t="shared" si="31"/>
        <v>9504</v>
      </c>
      <c r="BH34" s="114" t="e">
        <f t="shared" si="32"/>
        <v>#DIV/0!</v>
      </c>
      <c r="BI34" s="46"/>
      <c r="BJ34" s="46"/>
      <c r="BK34" s="114" t="e">
        <f t="shared" si="33"/>
        <v>#DIV/0!</v>
      </c>
      <c r="BL34" s="46">
        <f t="shared" si="34"/>
        <v>0</v>
      </c>
      <c r="BM34" s="46">
        <f t="shared" si="35"/>
        <v>9504</v>
      </c>
      <c r="BN34" s="114" t="e">
        <f t="shared" si="36"/>
        <v>#DIV/0!</v>
      </c>
      <c r="BO34" s="44"/>
      <c r="BP34" s="142"/>
      <c r="BQ34" s="29"/>
      <c r="BR34" s="45" t="e">
        <f t="shared" si="37"/>
        <v>#DIV/0!</v>
      </c>
      <c r="BS34" s="131"/>
    </row>
    <row r="35" ht="14.25" customHeight="1" spans="1:71">
      <c r="A35" s="38" t="s">
        <v>31</v>
      </c>
      <c r="B35" s="133">
        <v>42</v>
      </c>
      <c r="C35" s="111" t="s">
        <v>32</v>
      </c>
      <c r="D35" s="104"/>
      <c r="E35" s="104"/>
      <c r="F35" s="104">
        <v>0</v>
      </c>
      <c r="G35" s="112"/>
      <c r="H35" s="104"/>
      <c r="I35" s="125">
        <f>SUM(I3:I33)</f>
        <v>1140</v>
      </c>
      <c r="J35" s="44">
        <f t="shared" ref="J35:N35" si="38">SUM(J3:J33)</f>
        <v>987273</v>
      </c>
      <c r="K35" s="44">
        <f t="shared" si="38"/>
        <v>979673.76</v>
      </c>
      <c r="L35" s="114">
        <f>K35/J35-1</f>
        <v>-0.0076972022935905</v>
      </c>
      <c r="M35" s="44">
        <f t="shared" si="38"/>
        <v>496989.73</v>
      </c>
      <c r="N35" s="44">
        <f t="shared" si="38"/>
        <v>426348.02</v>
      </c>
      <c r="O35" s="114">
        <f>N35/M35-1</f>
        <v>-0.142139174586163</v>
      </c>
      <c r="P35" s="146">
        <f t="shared" ref="P35:T35" si="39">SUM(P3:P33)</f>
        <v>1484262.73</v>
      </c>
      <c r="Q35" s="146">
        <f t="shared" si="39"/>
        <v>1406021.78</v>
      </c>
      <c r="R35" s="114">
        <f>Q35/P35-1</f>
        <v>-0.0527136796057662</v>
      </c>
      <c r="S35" s="146">
        <f t="shared" si="39"/>
        <v>704817.31</v>
      </c>
      <c r="T35" s="146">
        <f t="shared" si="39"/>
        <v>895972.45</v>
      </c>
      <c r="U35" s="114">
        <f>T35/S35-1</f>
        <v>0.271212323091213</v>
      </c>
      <c r="V35" s="146">
        <f t="shared" ref="V35:Z35" si="40">SUM(V3:V33)</f>
        <v>2189080.04</v>
      </c>
      <c r="W35" s="146">
        <f t="shared" si="40"/>
        <v>2301994.23</v>
      </c>
      <c r="X35" s="114">
        <f>W35/V35-1</f>
        <v>0.0515806585126051</v>
      </c>
      <c r="Y35" s="146">
        <f t="shared" si="40"/>
        <v>634914</v>
      </c>
      <c r="Z35" s="146">
        <f t="shared" si="40"/>
        <v>940883.01</v>
      </c>
      <c r="AA35" s="114">
        <f>Z35/Y35-1</f>
        <v>0.481906226670069</v>
      </c>
      <c r="AB35" s="146">
        <f t="shared" ref="AB35:AF35" si="41">SUM(AB3:AB33)</f>
        <v>2823994.04</v>
      </c>
      <c r="AC35" s="146">
        <f t="shared" si="41"/>
        <v>3242877.24</v>
      </c>
      <c r="AD35" s="114">
        <f>AC35/AB35-1</f>
        <v>0.148330058090349</v>
      </c>
      <c r="AE35" s="125">
        <f t="shared" si="41"/>
        <v>730473.41</v>
      </c>
      <c r="AF35" s="125">
        <f t="shared" si="41"/>
        <v>967383.15</v>
      </c>
      <c r="AG35" s="114">
        <f>AF35/AE35-1</f>
        <v>0.324323564358078</v>
      </c>
      <c r="AH35" s="125">
        <f t="shared" ref="AH35:AL35" si="42">SUM(AH3:AH33)</f>
        <v>3554467.45</v>
      </c>
      <c r="AI35" s="125">
        <f t="shared" si="42"/>
        <v>4210260.39</v>
      </c>
      <c r="AJ35" s="114">
        <f>AI35/AH35-1</f>
        <v>0.184498226309542</v>
      </c>
      <c r="AK35" s="147">
        <f t="shared" si="42"/>
        <v>396701.38</v>
      </c>
      <c r="AL35" s="147">
        <f t="shared" si="42"/>
        <v>995385.52</v>
      </c>
      <c r="AM35" s="114">
        <f>AL35/AK35-1</f>
        <v>1.50915567775439</v>
      </c>
      <c r="AN35" s="147">
        <f t="shared" ref="AN35:AR35" si="43">SUM(AN3:AN33)</f>
        <v>3951168.83</v>
      </c>
      <c r="AO35" s="147">
        <f t="shared" si="43"/>
        <v>5205645.91</v>
      </c>
      <c r="AP35" s="114">
        <f>AO35/AN35-1</f>
        <v>0.317495185342409</v>
      </c>
      <c r="AQ35" s="147">
        <f t="shared" si="43"/>
        <v>528805.98</v>
      </c>
      <c r="AR35" s="147">
        <f t="shared" si="43"/>
        <v>665570.61</v>
      </c>
      <c r="AS35" s="114">
        <f>AR35/AQ35-1</f>
        <v>0.258629128967112</v>
      </c>
      <c r="AT35" s="148">
        <f t="shared" ref="AT35:AX35" si="44">SUM(AT3:AT33)</f>
        <v>4479974.81</v>
      </c>
      <c r="AU35" s="148">
        <f t="shared" si="44"/>
        <v>5871216.52</v>
      </c>
      <c r="AV35" s="114">
        <f>AU35/AT35-1</f>
        <v>0.310546770685971</v>
      </c>
      <c r="AW35" s="148">
        <f t="shared" si="44"/>
        <v>747759.2</v>
      </c>
      <c r="AX35" s="148">
        <f t="shared" si="44"/>
        <v>600199.76</v>
      </c>
      <c r="AY35" s="114">
        <f>AX35/AW35-1</f>
        <v>-0.197335505868734</v>
      </c>
      <c r="AZ35" s="148">
        <f t="shared" ref="AZ35:BD35" si="45">SUM(AZ3:AZ33)</f>
        <v>5227734.01</v>
      </c>
      <c r="BA35" s="148">
        <f t="shared" si="45"/>
        <v>6471416.28</v>
      </c>
      <c r="BB35" s="114">
        <f>BA35/AZ35-1</f>
        <v>0.237900831913213</v>
      </c>
      <c r="BC35" s="148">
        <f t="shared" ref="BC35:BG35" si="46">SUM(BC3:BC34)</f>
        <v>1304515.76</v>
      </c>
      <c r="BD35" s="148">
        <f t="shared" si="46"/>
        <v>463720.7</v>
      </c>
      <c r="BE35" s="114">
        <f t="shared" si="29"/>
        <v>-0.644526563634616</v>
      </c>
      <c r="BF35" s="148">
        <f t="shared" si="46"/>
        <v>6532249.77</v>
      </c>
      <c r="BG35" s="148">
        <f t="shared" si="46"/>
        <v>6935136.98</v>
      </c>
      <c r="BH35" s="114">
        <f t="shared" si="32"/>
        <v>0.0616766388588352</v>
      </c>
      <c r="BI35" s="148">
        <f t="shared" ref="BI35:BM35" si="47">SUM(BI3:BI34)</f>
        <v>768318.57</v>
      </c>
      <c r="BJ35" s="148">
        <f t="shared" si="47"/>
        <v>666246.78</v>
      </c>
      <c r="BK35" s="114">
        <f t="shared" si="33"/>
        <v>-0.132850869399135</v>
      </c>
      <c r="BL35" s="148">
        <f t="shared" si="47"/>
        <v>7300568.34</v>
      </c>
      <c r="BM35" s="148">
        <f t="shared" si="47"/>
        <v>7601383.76</v>
      </c>
      <c r="BN35" s="114">
        <f t="shared" si="36"/>
        <v>0.0412043838219862</v>
      </c>
      <c r="BO35" s="149">
        <v>1557250.42</v>
      </c>
      <c r="BP35" s="149">
        <v>1738010.44</v>
      </c>
      <c r="BQ35" s="150">
        <v>10595829.2</v>
      </c>
      <c r="BR35" s="45">
        <f t="shared" si="37"/>
        <v>0.666788049122807</v>
      </c>
    </row>
  </sheetData>
  <mergeCells count="47"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AZ1:BA1"/>
    <mergeCell ref="BC1:BD1"/>
    <mergeCell ref="BF1:BG1"/>
    <mergeCell ref="BI1:BJ1"/>
    <mergeCell ref="BL1:BM1"/>
    <mergeCell ref="B1:B2"/>
    <mergeCell ref="C1:C2"/>
    <mergeCell ref="D1:D2"/>
    <mergeCell ref="E1:E2"/>
    <mergeCell ref="F1:F2"/>
    <mergeCell ref="G1:G2"/>
    <mergeCell ref="H1:H2"/>
    <mergeCell ref="I1:I2"/>
    <mergeCell ref="L1:L2"/>
    <mergeCell ref="O1:O2"/>
    <mergeCell ref="R1:R2"/>
    <mergeCell ref="U1:U2"/>
    <mergeCell ref="X1:X2"/>
    <mergeCell ref="AA1:AA2"/>
    <mergeCell ref="AD1:AD2"/>
    <mergeCell ref="AG1:AG2"/>
    <mergeCell ref="AJ1:AJ2"/>
    <mergeCell ref="AM1:AM2"/>
    <mergeCell ref="AP1:AP2"/>
    <mergeCell ref="AS1:AS2"/>
    <mergeCell ref="AV1:AV2"/>
    <mergeCell ref="AY1:AY2"/>
    <mergeCell ref="BB1:BB2"/>
    <mergeCell ref="BE1:BE2"/>
    <mergeCell ref="BH1:BH2"/>
    <mergeCell ref="BK1:BK2"/>
    <mergeCell ref="BN1:BN2"/>
    <mergeCell ref="BR1:BR2"/>
  </mergeCells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U62"/>
  <sheetViews>
    <sheetView workbookViewId="0">
      <pane xSplit="9" ySplit="2" topLeftCell="BH36" activePane="bottomRight" state="frozen"/>
      <selection/>
      <selection pane="topRight"/>
      <selection pane="bottomLeft"/>
      <selection pane="bottomRight" activeCell="BL61" sqref="BL61:BM61"/>
    </sheetView>
  </sheetViews>
  <sheetFormatPr defaultColWidth="9" defaultRowHeight="14"/>
  <cols>
    <col min="1" max="1" width="4.12727272727273" style="101" customWidth="1"/>
    <col min="2" max="2" width="5.25454545454545" style="101" customWidth="1"/>
    <col min="3" max="3" width="30.6272727272727" style="102" customWidth="1"/>
    <col min="4" max="6" width="8.37272727272727" style="101" customWidth="1"/>
    <col min="7" max="7" width="8.25454545454545" style="101" hidden="1" customWidth="1"/>
    <col min="8" max="9" width="8.25454545454545" style="101" customWidth="1"/>
    <col min="10" max="16" width="9" style="103" customWidth="1"/>
    <col min="17" max="17" width="9.5" style="103" customWidth="1"/>
    <col min="18" max="18" width="9" style="103" customWidth="1"/>
    <col min="19" max="24" width="9.87272727272727" style="101" customWidth="1"/>
    <col min="25" max="27" width="9" style="103" customWidth="1"/>
    <col min="28" max="29" width="11.1272727272727" style="103" customWidth="1"/>
    <col min="30" max="30" width="9" style="103" customWidth="1"/>
    <col min="31" max="36" width="10.1272727272727" style="103" customWidth="1"/>
    <col min="37" max="54" width="11.1272727272727" style="103" customWidth="1"/>
    <col min="55" max="57" width="9.12727272727273" style="103" customWidth="1"/>
    <col min="58" max="59" width="11.1272727272727" style="103" customWidth="1"/>
    <col min="60" max="60" width="9.12727272727273" style="103" customWidth="1"/>
    <col min="61" max="62" width="11.1272727272727" style="103" customWidth="1"/>
    <col min="63" max="63" width="8.37272727272727" style="103" customWidth="1"/>
    <col min="64" max="65" width="11.1272727272727" style="103" customWidth="1"/>
    <col min="66" max="66" width="9.75454545454545" style="103" customWidth="1"/>
    <col min="67" max="67" width="10.1272727272727" style="103" hidden="1" customWidth="1"/>
    <col min="68" max="69" width="11.1272727272727" style="103" hidden="1" customWidth="1"/>
    <col min="70" max="70" width="11.1272727272727" style="103"/>
    <col min="71" max="71" width="9" style="103" customWidth="1"/>
    <col min="72" max="73" width="9" style="101"/>
  </cols>
  <sheetData>
    <row r="1" spans="1:71">
      <c r="A1" s="104"/>
      <c r="B1" s="104"/>
      <c r="C1" s="105" t="s">
        <v>48</v>
      </c>
      <c r="D1" s="104" t="s">
        <v>49</v>
      </c>
      <c r="E1" s="104" t="s">
        <v>50</v>
      </c>
      <c r="F1" s="104" t="s">
        <v>51</v>
      </c>
      <c r="G1" s="104" t="s">
        <v>52</v>
      </c>
      <c r="H1" s="106" t="s">
        <v>53</v>
      </c>
      <c r="I1" s="107" t="s">
        <v>39</v>
      </c>
      <c r="J1" s="66" t="s">
        <v>3</v>
      </c>
      <c r="K1" s="67"/>
      <c r="L1" s="68" t="s">
        <v>4</v>
      </c>
      <c r="M1" s="23" t="s">
        <v>5</v>
      </c>
      <c r="N1" s="23"/>
      <c r="O1" s="24" t="s">
        <v>4</v>
      </c>
      <c r="P1" s="23" t="s">
        <v>40</v>
      </c>
      <c r="Q1" s="23"/>
      <c r="R1" s="24" t="s">
        <v>4</v>
      </c>
      <c r="S1" s="23" t="s">
        <v>6</v>
      </c>
      <c r="T1" s="23"/>
      <c r="U1" s="24" t="s">
        <v>4</v>
      </c>
      <c r="V1" s="23" t="s">
        <v>7</v>
      </c>
      <c r="W1" s="23"/>
      <c r="X1" s="24" t="s">
        <v>4</v>
      </c>
      <c r="Y1" s="23" t="s">
        <v>8</v>
      </c>
      <c r="Z1" s="23"/>
      <c r="AA1" s="24" t="s">
        <v>4</v>
      </c>
      <c r="AB1" s="23" t="s">
        <v>9</v>
      </c>
      <c r="AC1" s="23"/>
      <c r="AD1" s="24" t="s">
        <v>4</v>
      </c>
      <c r="AE1" s="23" t="s">
        <v>10</v>
      </c>
      <c r="AF1" s="23"/>
      <c r="AG1" s="24" t="s">
        <v>4</v>
      </c>
      <c r="AH1" s="23" t="s">
        <v>11</v>
      </c>
      <c r="AI1" s="23"/>
      <c r="AJ1" s="24" t="s">
        <v>4</v>
      </c>
      <c r="AK1" s="23" t="s">
        <v>12</v>
      </c>
      <c r="AL1" s="23"/>
      <c r="AM1" s="24" t="s">
        <v>4</v>
      </c>
      <c r="AN1" s="23" t="s">
        <v>13</v>
      </c>
      <c r="AO1" s="23"/>
      <c r="AP1" s="24" t="s">
        <v>4</v>
      </c>
      <c r="AQ1" s="23" t="s">
        <v>14</v>
      </c>
      <c r="AR1" s="23"/>
      <c r="AS1" s="24" t="s">
        <v>4</v>
      </c>
      <c r="AT1" s="23" t="s">
        <v>41</v>
      </c>
      <c r="AU1" s="23"/>
      <c r="AV1" s="71" t="s">
        <v>4</v>
      </c>
      <c r="AW1" s="23" t="s">
        <v>15</v>
      </c>
      <c r="AX1" s="23"/>
      <c r="AY1" s="24" t="s">
        <v>4</v>
      </c>
      <c r="AZ1" s="23" t="s">
        <v>42</v>
      </c>
      <c r="BA1" s="23"/>
      <c r="BB1" s="71" t="s">
        <v>4</v>
      </c>
      <c r="BC1" s="72" t="s">
        <v>16</v>
      </c>
      <c r="BD1" s="73"/>
      <c r="BE1" s="71" t="s">
        <v>4</v>
      </c>
      <c r="BF1" s="72" t="s">
        <v>18</v>
      </c>
      <c r="BG1" s="73"/>
      <c r="BH1" s="71" t="s">
        <v>4</v>
      </c>
      <c r="BI1" s="72" t="s">
        <v>19</v>
      </c>
      <c r="BJ1" s="73"/>
      <c r="BK1" s="71" t="s">
        <v>4</v>
      </c>
      <c r="BL1" s="72" t="s">
        <v>20</v>
      </c>
      <c r="BM1" s="73"/>
      <c r="BN1" s="71" t="s">
        <v>4</v>
      </c>
      <c r="BO1" s="104" t="s">
        <v>43</v>
      </c>
      <c r="BP1" s="104" t="s">
        <v>44</v>
      </c>
      <c r="BQ1" s="104" t="s">
        <v>135</v>
      </c>
      <c r="BR1" s="108" t="s">
        <v>21</v>
      </c>
      <c r="BS1" s="108"/>
    </row>
    <row r="2" spans="1:71">
      <c r="A2" s="104"/>
      <c r="B2" s="104"/>
      <c r="C2" s="105"/>
      <c r="D2" s="104"/>
      <c r="E2" s="104"/>
      <c r="F2" s="104"/>
      <c r="G2" s="104"/>
      <c r="H2" s="106"/>
      <c r="I2" s="109"/>
      <c r="J2" s="67" t="s">
        <v>22</v>
      </c>
      <c r="K2" s="77" t="s">
        <v>23</v>
      </c>
      <c r="L2" s="78"/>
      <c r="M2" s="30" t="s">
        <v>22</v>
      </c>
      <c r="N2" s="30" t="s">
        <v>23</v>
      </c>
      <c r="O2" s="24"/>
      <c r="P2" s="30" t="s">
        <v>22</v>
      </c>
      <c r="Q2" s="30" t="s">
        <v>23</v>
      </c>
      <c r="R2" s="24"/>
      <c r="S2" s="30" t="s">
        <v>22</v>
      </c>
      <c r="T2" s="30" t="s">
        <v>23</v>
      </c>
      <c r="U2" s="24"/>
      <c r="V2" s="30" t="s">
        <v>22</v>
      </c>
      <c r="W2" s="30" t="s">
        <v>23</v>
      </c>
      <c r="X2" s="24"/>
      <c r="Y2" s="30" t="s">
        <v>22</v>
      </c>
      <c r="Z2" s="30" t="s">
        <v>23</v>
      </c>
      <c r="AA2" s="24"/>
      <c r="AB2" s="30" t="s">
        <v>22</v>
      </c>
      <c r="AC2" s="30" t="s">
        <v>23</v>
      </c>
      <c r="AD2" s="24"/>
      <c r="AE2" s="30" t="s">
        <v>22</v>
      </c>
      <c r="AF2" s="30" t="s">
        <v>23</v>
      </c>
      <c r="AG2" s="24"/>
      <c r="AH2" s="30" t="s">
        <v>22</v>
      </c>
      <c r="AI2" s="30" t="s">
        <v>23</v>
      </c>
      <c r="AJ2" s="24"/>
      <c r="AK2" s="30" t="s">
        <v>22</v>
      </c>
      <c r="AL2" s="30" t="s">
        <v>23</v>
      </c>
      <c r="AM2" s="24"/>
      <c r="AN2" s="30" t="s">
        <v>22</v>
      </c>
      <c r="AO2" s="30" t="s">
        <v>23</v>
      </c>
      <c r="AP2" s="24"/>
      <c r="AQ2" s="30" t="s">
        <v>22</v>
      </c>
      <c r="AR2" s="30" t="s">
        <v>23</v>
      </c>
      <c r="AS2" s="24"/>
      <c r="AT2" s="30" t="s">
        <v>22</v>
      </c>
      <c r="AU2" s="30" t="s">
        <v>23</v>
      </c>
      <c r="AV2" s="71"/>
      <c r="AW2" s="30" t="s">
        <v>22</v>
      </c>
      <c r="AX2" s="30" t="s">
        <v>23</v>
      </c>
      <c r="AY2" s="24"/>
      <c r="AZ2" s="30" t="s">
        <v>22</v>
      </c>
      <c r="BA2" s="30" t="s">
        <v>23</v>
      </c>
      <c r="BB2" s="71"/>
      <c r="BC2" s="30" t="s">
        <v>22</v>
      </c>
      <c r="BD2" s="30" t="s">
        <v>23</v>
      </c>
      <c r="BE2" s="71"/>
      <c r="BF2" s="30" t="s">
        <v>22</v>
      </c>
      <c r="BG2" s="30" t="s">
        <v>23</v>
      </c>
      <c r="BH2" s="71"/>
      <c r="BI2" s="30" t="s">
        <v>22</v>
      </c>
      <c r="BJ2" s="30" t="s">
        <v>23</v>
      </c>
      <c r="BK2" s="71"/>
      <c r="BL2" s="30" t="s">
        <v>22</v>
      </c>
      <c r="BM2" s="30" t="s">
        <v>23</v>
      </c>
      <c r="BN2" s="71"/>
      <c r="BO2" s="77" t="s">
        <v>22</v>
      </c>
      <c r="BP2" s="77" t="s">
        <v>22</v>
      </c>
      <c r="BQ2" s="77" t="s">
        <v>22</v>
      </c>
      <c r="BR2" s="108"/>
      <c r="BS2" s="108" t="s">
        <v>54</v>
      </c>
    </row>
    <row r="3" spans="1:71">
      <c r="A3" s="110" t="s">
        <v>34</v>
      </c>
      <c r="B3" s="110" t="s">
        <v>34</v>
      </c>
      <c r="C3" s="262" t="s">
        <v>349</v>
      </c>
      <c r="D3" s="112" t="s">
        <v>58</v>
      </c>
      <c r="E3" s="112" t="s">
        <v>58</v>
      </c>
      <c r="F3" s="266" t="s">
        <v>350</v>
      </c>
      <c r="G3" s="266" t="s">
        <v>350</v>
      </c>
      <c r="H3" s="112" t="s">
        <v>351</v>
      </c>
      <c r="I3" s="112">
        <v>350</v>
      </c>
      <c r="J3" s="113"/>
      <c r="K3" s="113">
        <v>420000</v>
      </c>
      <c r="L3" s="114" t="e">
        <f t="shared" ref="L3:L50" si="0">K3/J3-1</f>
        <v>#DIV/0!</v>
      </c>
      <c r="M3" s="113"/>
      <c r="N3" s="113"/>
      <c r="O3" s="114" t="e">
        <f t="shared" ref="O3:O50" si="1">N3/M3-1</f>
        <v>#DIV/0!</v>
      </c>
      <c r="P3" s="113">
        <f t="shared" ref="P3:P50" si="2">M3+J3</f>
        <v>0</v>
      </c>
      <c r="Q3" s="113">
        <f t="shared" ref="Q3:Q50" si="3">N3+K3</f>
        <v>420000</v>
      </c>
      <c r="R3" s="114" t="e">
        <f t="shared" ref="R3:R50" si="4">Q3/P3-1</f>
        <v>#DIV/0!</v>
      </c>
      <c r="S3" s="36">
        <v>170000</v>
      </c>
      <c r="T3" s="36">
        <v>950000</v>
      </c>
      <c r="U3" s="114">
        <f t="shared" ref="U3:U51" si="5">T3/S3-1</f>
        <v>4.58823529411765</v>
      </c>
      <c r="V3" s="36">
        <f t="shared" ref="V3:V51" si="6">S3+P3</f>
        <v>170000</v>
      </c>
      <c r="W3" s="36">
        <f t="shared" ref="W3:W51" si="7">T3+Q3</f>
        <v>1370000</v>
      </c>
      <c r="X3" s="114">
        <f t="shared" ref="X3:X51" si="8">W3/V3-1</f>
        <v>7.05882352941176</v>
      </c>
      <c r="Y3" s="36">
        <v>90000</v>
      </c>
      <c r="Z3" s="36">
        <v>260000</v>
      </c>
      <c r="AA3" s="114">
        <f t="shared" ref="AA3:AA52" si="9">Z3/Y3-1</f>
        <v>1.88888888888889</v>
      </c>
      <c r="AB3" s="36">
        <f t="shared" ref="AB3:AB52" si="10">V3+Y3</f>
        <v>260000</v>
      </c>
      <c r="AC3" s="36">
        <f t="shared" ref="AC3:AC52" si="11">W3+Z3</f>
        <v>1630000</v>
      </c>
      <c r="AD3" s="114">
        <f t="shared" ref="AD3:AD52" si="12">AC3/AB3-1</f>
        <v>5.26923076923077</v>
      </c>
      <c r="AE3" s="108">
        <v>300000</v>
      </c>
      <c r="AF3" s="108">
        <v>170000</v>
      </c>
      <c r="AG3" s="114">
        <f t="shared" ref="AG3:AG55" si="13">AF3/AE3-1</f>
        <v>-0.433333333333333</v>
      </c>
      <c r="AH3" s="108">
        <f t="shared" ref="AH3:AH55" si="14">AE3+AB3</f>
        <v>560000</v>
      </c>
      <c r="AI3" s="108">
        <f t="shared" ref="AI3:AI55" si="15">AF3+AC3</f>
        <v>1800000</v>
      </c>
      <c r="AJ3" s="114">
        <f t="shared" ref="AJ3:AJ55" si="16">AI3/AH3-1</f>
        <v>2.21428571428571</v>
      </c>
      <c r="AK3" s="108">
        <v>170000</v>
      </c>
      <c r="AL3" s="108">
        <v>570000</v>
      </c>
      <c r="AM3" s="114">
        <f t="shared" ref="AM3:AM55" si="17">AL3/AK3-1</f>
        <v>2.35294117647059</v>
      </c>
      <c r="AN3" s="108">
        <f t="shared" ref="AN3:AN55" si="18">AK3+AH3</f>
        <v>730000</v>
      </c>
      <c r="AO3" s="108">
        <f t="shared" ref="AO3:AO55" si="19">AL3+AI3</f>
        <v>2370000</v>
      </c>
      <c r="AP3" s="114">
        <f t="shared" ref="AP3:AP55" si="20">AO3/AN3-1</f>
        <v>2.24657534246575</v>
      </c>
      <c r="AQ3" s="108">
        <v>350000</v>
      </c>
      <c r="AR3" s="108">
        <v>500000</v>
      </c>
      <c r="AS3" s="114">
        <f t="shared" ref="AS3:AS60" si="21">AR3/AQ3-1</f>
        <v>0.428571428571429</v>
      </c>
      <c r="AT3" s="108">
        <f t="shared" ref="AT3:AT60" si="22">AQ3+AN3</f>
        <v>1080000</v>
      </c>
      <c r="AU3" s="108">
        <f t="shared" ref="AU3:AU60" si="23">AR3+AO3</f>
        <v>2870000</v>
      </c>
      <c r="AV3" s="114">
        <f t="shared" ref="AV3:AV60" si="24">AU3/AT3-1</f>
        <v>1.65740740740741</v>
      </c>
      <c r="AW3" s="36">
        <v>390000</v>
      </c>
      <c r="AX3" s="36">
        <v>200000</v>
      </c>
      <c r="AY3" s="114">
        <f t="shared" ref="AY3:AY62" si="25">AX3/AW3-1</f>
        <v>-0.487179487179487</v>
      </c>
      <c r="AZ3" s="36">
        <f t="shared" ref="AZ3:AZ61" si="26">AT3+AW3</f>
        <v>1470000</v>
      </c>
      <c r="BA3" s="36">
        <f t="shared" ref="BA3:BA61" si="27">AU3+AX3</f>
        <v>3070000</v>
      </c>
      <c r="BB3" s="114">
        <f t="shared" ref="BB3:BB62" si="28">BA3/AZ3-1</f>
        <v>1.08843537414966</v>
      </c>
      <c r="BC3" s="36">
        <v>350000</v>
      </c>
      <c r="BD3" s="36">
        <v>230000</v>
      </c>
      <c r="BE3" s="114">
        <f t="shared" ref="BE3:BE62" si="29">BD3/BC3-1</f>
        <v>-0.342857142857143</v>
      </c>
      <c r="BF3" s="36">
        <f t="shared" ref="BF3:BF61" si="30">BC3+AZ3</f>
        <v>1820000</v>
      </c>
      <c r="BG3" s="36">
        <f t="shared" ref="BG3:BG61" si="31">BD3+BA3</f>
        <v>3300000</v>
      </c>
      <c r="BH3" s="114">
        <f t="shared" ref="BH3:BH62" si="32">BG3/BF3-1</f>
        <v>0.813186813186813</v>
      </c>
      <c r="BI3" s="108">
        <v>300000</v>
      </c>
      <c r="BJ3" s="108">
        <v>290000</v>
      </c>
      <c r="BK3" s="114">
        <f>BJ3/BI3-1</f>
        <v>-0.0333333333333333</v>
      </c>
      <c r="BL3" s="108">
        <f>BI3+BF3</f>
        <v>2120000</v>
      </c>
      <c r="BM3" s="108">
        <f>BJ3+BG3</f>
        <v>3590000</v>
      </c>
      <c r="BN3" s="114">
        <f>BM3/BL3-1</f>
        <v>0.693396226415094</v>
      </c>
      <c r="BO3" s="108">
        <v>650000</v>
      </c>
      <c r="BP3" s="108">
        <v>230000</v>
      </c>
      <c r="BQ3" s="108">
        <v>3000000</v>
      </c>
      <c r="BR3" s="115">
        <f>BM3/10000/I3</f>
        <v>1.02571428571429</v>
      </c>
      <c r="BS3" s="108"/>
    </row>
    <row r="4" spans="1:71">
      <c r="A4" s="110" t="s">
        <v>34</v>
      </c>
      <c r="B4" s="110" t="s">
        <v>34</v>
      </c>
      <c r="C4" s="116" t="s">
        <v>352</v>
      </c>
      <c r="D4" s="112" t="s">
        <v>63</v>
      </c>
      <c r="E4" s="112" t="s">
        <v>63</v>
      </c>
      <c r="F4" s="266" t="s">
        <v>350</v>
      </c>
      <c r="G4" s="266" t="s">
        <v>350</v>
      </c>
      <c r="H4" s="112" t="s">
        <v>351</v>
      </c>
      <c r="I4" s="112">
        <v>40</v>
      </c>
      <c r="J4" s="113"/>
      <c r="K4" s="113"/>
      <c r="L4" s="114" t="e">
        <f t="shared" si="0"/>
        <v>#DIV/0!</v>
      </c>
      <c r="M4" s="113"/>
      <c r="N4" s="113"/>
      <c r="O4" s="114" t="e">
        <f t="shared" si="1"/>
        <v>#DIV/0!</v>
      </c>
      <c r="P4" s="113">
        <f t="shared" si="2"/>
        <v>0</v>
      </c>
      <c r="Q4" s="113">
        <f t="shared" si="3"/>
        <v>0</v>
      </c>
      <c r="R4" s="114" t="e">
        <f t="shared" si="4"/>
        <v>#DIV/0!</v>
      </c>
      <c r="S4" s="36"/>
      <c r="T4" s="36">
        <v>17000</v>
      </c>
      <c r="U4" s="114" t="e">
        <f t="shared" si="5"/>
        <v>#DIV/0!</v>
      </c>
      <c r="V4" s="36">
        <f t="shared" si="6"/>
        <v>0</v>
      </c>
      <c r="W4" s="36">
        <f t="shared" si="7"/>
        <v>17000</v>
      </c>
      <c r="X4" s="114" t="e">
        <f t="shared" si="8"/>
        <v>#DIV/0!</v>
      </c>
      <c r="Y4" s="36">
        <v>30000</v>
      </c>
      <c r="Z4" s="36"/>
      <c r="AA4" s="114">
        <f t="shared" si="9"/>
        <v>-1</v>
      </c>
      <c r="AB4" s="36">
        <f t="shared" si="10"/>
        <v>30000</v>
      </c>
      <c r="AC4" s="36">
        <f t="shared" si="11"/>
        <v>17000</v>
      </c>
      <c r="AD4" s="114">
        <f t="shared" si="12"/>
        <v>-0.433333333333333</v>
      </c>
      <c r="AE4" s="108"/>
      <c r="AF4" s="108"/>
      <c r="AG4" s="114" t="e">
        <f t="shared" si="13"/>
        <v>#DIV/0!</v>
      </c>
      <c r="AH4" s="108">
        <f t="shared" si="14"/>
        <v>30000</v>
      </c>
      <c r="AI4" s="108">
        <f t="shared" si="15"/>
        <v>17000</v>
      </c>
      <c r="AJ4" s="114">
        <f t="shared" si="16"/>
        <v>-0.433333333333333</v>
      </c>
      <c r="AK4" s="108">
        <v>30000</v>
      </c>
      <c r="AL4" s="108"/>
      <c r="AM4" s="114">
        <f t="shared" si="17"/>
        <v>-1</v>
      </c>
      <c r="AN4" s="108">
        <f t="shared" si="18"/>
        <v>60000</v>
      </c>
      <c r="AO4" s="108">
        <f t="shared" si="19"/>
        <v>17000</v>
      </c>
      <c r="AP4" s="114">
        <f t="shared" si="20"/>
        <v>-0.716666666666667</v>
      </c>
      <c r="AQ4" s="108"/>
      <c r="AR4" s="108"/>
      <c r="AS4" s="114" t="e">
        <f t="shared" si="21"/>
        <v>#DIV/0!</v>
      </c>
      <c r="AT4" s="108">
        <f t="shared" si="22"/>
        <v>60000</v>
      </c>
      <c r="AU4" s="108">
        <f t="shared" si="23"/>
        <v>17000</v>
      </c>
      <c r="AV4" s="114">
        <f t="shared" si="24"/>
        <v>-0.716666666666667</v>
      </c>
      <c r="AW4" s="36"/>
      <c r="AX4" s="36"/>
      <c r="AY4" s="114" t="e">
        <f t="shared" si="25"/>
        <v>#DIV/0!</v>
      </c>
      <c r="AZ4" s="36">
        <f t="shared" si="26"/>
        <v>60000</v>
      </c>
      <c r="BA4" s="36">
        <f t="shared" si="27"/>
        <v>17000</v>
      </c>
      <c r="BB4" s="114">
        <f t="shared" si="28"/>
        <v>-0.716666666666667</v>
      </c>
      <c r="BC4" s="36"/>
      <c r="BD4" s="36"/>
      <c r="BE4" s="114" t="e">
        <f t="shared" si="29"/>
        <v>#DIV/0!</v>
      </c>
      <c r="BF4" s="36">
        <f t="shared" si="30"/>
        <v>60000</v>
      </c>
      <c r="BG4" s="36">
        <f t="shared" si="31"/>
        <v>17000</v>
      </c>
      <c r="BH4" s="114">
        <f t="shared" si="32"/>
        <v>-0.716666666666667</v>
      </c>
      <c r="BI4" s="108">
        <v>50000</v>
      </c>
      <c r="BJ4" s="108"/>
      <c r="BK4" s="114">
        <f t="shared" ref="BK4:BK35" si="33">BJ4/BI4-1</f>
        <v>-1</v>
      </c>
      <c r="BL4" s="108">
        <f t="shared" ref="BL4:BL35" si="34">BI4+BF4</f>
        <v>110000</v>
      </c>
      <c r="BM4" s="108">
        <f t="shared" ref="BM4:BM35" si="35">BJ4+BG4</f>
        <v>17000</v>
      </c>
      <c r="BN4" s="114">
        <f t="shared" ref="BN4:BN35" si="36">BM4/BL4-1</f>
        <v>-0.845454545454545</v>
      </c>
      <c r="BO4" s="108"/>
      <c r="BP4" s="108"/>
      <c r="BQ4" s="108">
        <v>110000</v>
      </c>
      <c r="BR4" s="115">
        <f t="shared" ref="BR4:BR35" si="37">BM4/10000/I4</f>
        <v>0.0425</v>
      </c>
      <c r="BS4" s="108"/>
    </row>
    <row r="5" spans="1:71">
      <c r="A5" s="110" t="s">
        <v>34</v>
      </c>
      <c r="B5" s="110" t="s">
        <v>34</v>
      </c>
      <c r="C5" s="262" t="s">
        <v>353</v>
      </c>
      <c r="D5" s="112" t="s">
        <v>63</v>
      </c>
      <c r="E5" s="112" t="s">
        <v>58</v>
      </c>
      <c r="F5" s="112" t="s">
        <v>354</v>
      </c>
      <c r="G5" s="112" t="s">
        <v>354</v>
      </c>
      <c r="H5" s="112" t="s">
        <v>355</v>
      </c>
      <c r="I5" s="112">
        <v>50</v>
      </c>
      <c r="J5" s="113">
        <v>50000</v>
      </c>
      <c r="K5" s="113">
        <v>110000</v>
      </c>
      <c r="L5" s="114">
        <f t="shared" si="0"/>
        <v>1.2</v>
      </c>
      <c r="M5" s="113"/>
      <c r="N5" s="113"/>
      <c r="O5" s="114" t="e">
        <f t="shared" si="1"/>
        <v>#DIV/0!</v>
      </c>
      <c r="P5" s="113">
        <f t="shared" si="2"/>
        <v>50000</v>
      </c>
      <c r="Q5" s="113">
        <f t="shared" si="3"/>
        <v>110000</v>
      </c>
      <c r="R5" s="114">
        <f t="shared" si="4"/>
        <v>1.2</v>
      </c>
      <c r="S5" s="36">
        <v>60000</v>
      </c>
      <c r="T5" s="36">
        <v>110000</v>
      </c>
      <c r="U5" s="114">
        <f t="shared" si="5"/>
        <v>0.833333333333333</v>
      </c>
      <c r="V5" s="36">
        <f t="shared" si="6"/>
        <v>110000</v>
      </c>
      <c r="W5" s="36">
        <f t="shared" si="7"/>
        <v>220000</v>
      </c>
      <c r="X5" s="114">
        <f t="shared" si="8"/>
        <v>1</v>
      </c>
      <c r="Y5" s="36">
        <v>30000</v>
      </c>
      <c r="Z5" s="36">
        <v>80000</v>
      </c>
      <c r="AA5" s="114">
        <f t="shared" si="9"/>
        <v>1.66666666666667</v>
      </c>
      <c r="AB5" s="36">
        <f t="shared" si="10"/>
        <v>140000</v>
      </c>
      <c r="AC5" s="36">
        <f t="shared" si="11"/>
        <v>300000</v>
      </c>
      <c r="AD5" s="114">
        <f t="shared" si="12"/>
        <v>1.14285714285714</v>
      </c>
      <c r="AE5" s="108">
        <v>80000</v>
      </c>
      <c r="AF5" s="108">
        <v>110000</v>
      </c>
      <c r="AG5" s="114">
        <f t="shared" si="13"/>
        <v>0.375</v>
      </c>
      <c r="AH5" s="108">
        <f t="shared" si="14"/>
        <v>220000</v>
      </c>
      <c r="AI5" s="108">
        <f t="shared" si="15"/>
        <v>410000</v>
      </c>
      <c r="AJ5" s="114">
        <f t="shared" si="16"/>
        <v>0.863636363636364</v>
      </c>
      <c r="AK5" s="108">
        <v>118042</v>
      </c>
      <c r="AL5" s="108">
        <v>80000</v>
      </c>
      <c r="AM5" s="114">
        <f t="shared" si="17"/>
        <v>-0.322275122414056</v>
      </c>
      <c r="AN5" s="108">
        <f t="shared" si="18"/>
        <v>338042</v>
      </c>
      <c r="AO5" s="108">
        <f t="shared" si="19"/>
        <v>490000</v>
      </c>
      <c r="AP5" s="114">
        <f t="shared" si="20"/>
        <v>0.449524023642033</v>
      </c>
      <c r="AQ5" s="108"/>
      <c r="AR5" s="108">
        <v>80000</v>
      </c>
      <c r="AS5" s="114" t="e">
        <f t="shared" si="21"/>
        <v>#DIV/0!</v>
      </c>
      <c r="AT5" s="108">
        <f t="shared" si="22"/>
        <v>338042</v>
      </c>
      <c r="AU5" s="108">
        <f t="shared" si="23"/>
        <v>570000</v>
      </c>
      <c r="AV5" s="114">
        <f t="shared" si="24"/>
        <v>0.686181007093793</v>
      </c>
      <c r="AW5" s="36"/>
      <c r="AX5" s="36">
        <v>50000</v>
      </c>
      <c r="AY5" s="114" t="e">
        <f t="shared" si="25"/>
        <v>#DIV/0!</v>
      </c>
      <c r="AZ5" s="36">
        <f t="shared" si="26"/>
        <v>338042</v>
      </c>
      <c r="BA5" s="36">
        <f t="shared" si="27"/>
        <v>620000</v>
      </c>
      <c r="BB5" s="114">
        <f t="shared" si="28"/>
        <v>0.834091621751143</v>
      </c>
      <c r="BC5" s="36">
        <v>110000</v>
      </c>
      <c r="BD5" s="36">
        <v>30000</v>
      </c>
      <c r="BE5" s="114">
        <f t="shared" si="29"/>
        <v>-0.727272727272727</v>
      </c>
      <c r="BF5" s="36">
        <f t="shared" si="30"/>
        <v>448042</v>
      </c>
      <c r="BG5" s="36">
        <f t="shared" si="31"/>
        <v>650000</v>
      </c>
      <c r="BH5" s="114">
        <f t="shared" si="32"/>
        <v>0.450756848688293</v>
      </c>
      <c r="BI5" s="108">
        <v>110000</v>
      </c>
      <c r="BJ5" s="108">
        <v>80000</v>
      </c>
      <c r="BK5" s="114">
        <f t="shared" si="33"/>
        <v>-0.272727272727273</v>
      </c>
      <c r="BL5" s="108">
        <f t="shared" si="34"/>
        <v>558042</v>
      </c>
      <c r="BM5" s="108">
        <f t="shared" si="35"/>
        <v>730000</v>
      </c>
      <c r="BN5" s="114">
        <f t="shared" si="36"/>
        <v>0.308145265051734</v>
      </c>
      <c r="BO5" s="108">
        <v>190000</v>
      </c>
      <c r="BP5" s="108">
        <v>50000</v>
      </c>
      <c r="BQ5" s="108">
        <v>798042</v>
      </c>
      <c r="BR5" s="115">
        <f t="shared" si="37"/>
        <v>1.46</v>
      </c>
      <c r="BS5" s="108"/>
    </row>
    <row r="6" spans="1:71">
      <c r="A6" s="110" t="s">
        <v>34</v>
      </c>
      <c r="B6" s="110" t="s">
        <v>34</v>
      </c>
      <c r="C6" s="262" t="s">
        <v>356</v>
      </c>
      <c r="D6" s="112" t="s">
        <v>63</v>
      </c>
      <c r="E6" s="112" t="s">
        <v>63</v>
      </c>
      <c r="F6" s="266" t="s">
        <v>350</v>
      </c>
      <c r="G6" s="266" t="s">
        <v>350</v>
      </c>
      <c r="H6" s="112" t="s">
        <v>351</v>
      </c>
      <c r="I6" s="112">
        <v>40</v>
      </c>
      <c r="J6" s="113">
        <v>10203</v>
      </c>
      <c r="K6" s="113"/>
      <c r="L6" s="114">
        <f t="shared" si="0"/>
        <v>-1</v>
      </c>
      <c r="M6" s="113">
        <v>14925</v>
      </c>
      <c r="N6" s="113"/>
      <c r="O6" s="114">
        <f t="shared" si="1"/>
        <v>-1</v>
      </c>
      <c r="P6" s="113">
        <f t="shared" si="2"/>
        <v>25128</v>
      </c>
      <c r="Q6" s="113">
        <f t="shared" si="3"/>
        <v>0</v>
      </c>
      <c r="R6" s="114">
        <f t="shared" si="4"/>
        <v>-1</v>
      </c>
      <c r="S6" s="36">
        <v>17163</v>
      </c>
      <c r="T6" s="36">
        <v>3953</v>
      </c>
      <c r="U6" s="114">
        <f t="shared" si="5"/>
        <v>-0.769678960554682</v>
      </c>
      <c r="V6" s="36">
        <f t="shared" si="6"/>
        <v>42291</v>
      </c>
      <c r="W6" s="36">
        <f t="shared" si="7"/>
        <v>3953</v>
      </c>
      <c r="X6" s="114">
        <f t="shared" si="8"/>
        <v>-0.906528575819914</v>
      </c>
      <c r="Y6" s="36">
        <v>29060</v>
      </c>
      <c r="Z6" s="36">
        <v>4074</v>
      </c>
      <c r="AA6" s="114">
        <f t="shared" si="9"/>
        <v>-0.859807295251204</v>
      </c>
      <c r="AB6" s="36">
        <f t="shared" si="10"/>
        <v>71351</v>
      </c>
      <c r="AC6" s="36">
        <f t="shared" si="11"/>
        <v>8027</v>
      </c>
      <c r="AD6" s="114">
        <f t="shared" si="12"/>
        <v>-0.887499824809743</v>
      </c>
      <c r="AE6" s="108">
        <v>35379</v>
      </c>
      <c r="AF6" s="108"/>
      <c r="AG6" s="114">
        <f t="shared" si="13"/>
        <v>-1</v>
      </c>
      <c r="AH6" s="108">
        <f t="shared" si="14"/>
        <v>106730</v>
      </c>
      <c r="AI6" s="108">
        <f t="shared" si="15"/>
        <v>8027</v>
      </c>
      <c r="AJ6" s="114">
        <f t="shared" si="16"/>
        <v>-0.924791530029045</v>
      </c>
      <c r="AK6" s="108">
        <v>13721</v>
      </c>
      <c r="AL6" s="108">
        <v>12739</v>
      </c>
      <c r="AM6" s="114">
        <f t="shared" si="17"/>
        <v>-0.0715691276146053</v>
      </c>
      <c r="AN6" s="108">
        <f t="shared" si="18"/>
        <v>120451</v>
      </c>
      <c r="AO6" s="108">
        <f t="shared" si="19"/>
        <v>20766</v>
      </c>
      <c r="AP6" s="114">
        <f t="shared" si="20"/>
        <v>-0.827597944392325</v>
      </c>
      <c r="AQ6" s="108">
        <v>15953</v>
      </c>
      <c r="AR6" s="108">
        <v>5143</v>
      </c>
      <c r="AS6" s="114">
        <f t="shared" si="21"/>
        <v>-0.677615495518084</v>
      </c>
      <c r="AT6" s="108">
        <f t="shared" si="22"/>
        <v>136404</v>
      </c>
      <c r="AU6" s="108">
        <f t="shared" si="23"/>
        <v>25909</v>
      </c>
      <c r="AV6" s="114">
        <f t="shared" si="24"/>
        <v>-0.810056889827278</v>
      </c>
      <c r="AW6" s="36">
        <v>17927</v>
      </c>
      <c r="AX6" s="36">
        <v>42982</v>
      </c>
      <c r="AY6" s="114">
        <f t="shared" si="25"/>
        <v>1.39761253974452</v>
      </c>
      <c r="AZ6" s="36">
        <f t="shared" si="26"/>
        <v>154331</v>
      </c>
      <c r="BA6" s="36">
        <f t="shared" si="27"/>
        <v>68891</v>
      </c>
      <c r="BB6" s="114">
        <f t="shared" si="28"/>
        <v>-0.55361528144054</v>
      </c>
      <c r="BC6" s="36">
        <v>29976</v>
      </c>
      <c r="BD6" s="36"/>
      <c r="BE6" s="114">
        <f t="shared" si="29"/>
        <v>-1</v>
      </c>
      <c r="BF6" s="36">
        <f t="shared" si="30"/>
        <v>184307</v>
      </c>
      <c r="BG6" s="36">
        <f t="shared" si="31"/>
        <v>68891</v>
      </c>
      <c r="BH6" s="114">
        <f t="shared" si="32"/>
        <v>-0.626216041713011</v>
      </c>
      <c r="BI6" s="108">
        <v>48396</v>
      </c>
      <c r="BJ6" s="108">
        <v>4996</v>
      </c>
      <c r="BK6" s="114">
        <f t="shared" si="33"/>
        <v>-0.896768327960988</v>
      </c>
      <c r="BL6" s="108">
        <f t="shared" si="34"/>
        <v>232703</v>
      </c>
      <c r="BM6" s="108">
        <f t="shared" si="35"/>
        <v>73887</v>
      </c>
      <c r="BN6" s="114">
        <f t="shared" si="36"/>
        <v>-0.682483680915158</v>
      </c>
      <c r="BO6" s="108">
        <v>45019</v>
      </c>
      <c r="BP6" s="108">
        <v>102148</v>
      </c>
      <c r="BQ6" s="108">
        <v>379870</v>
      </c>
      <c r="BR6" s="115">
        <f t="shared" si="37"/>
        <v>0.1847175</v>
      </c>
      <c r="BS6" s="108"/>
    </row>
    <row r="7" spans="1:71">
      <c r="A7" s="110" t="s">
        <v>34</v>
      </c>
      <c r="B7" s="110" t="s">
        <v>34</v>
      </c>
      <c r="C7" s="270" t="s">
        <v>357</v>
      </c>
      <c r="D7" s="112" t="s">
        <v>63</v>
      </c>
      <c r="E7" s="112" t="s">
        <v>63</v>
      </c>
      <c r="F7" s="266" t="s">
        <v>354</v>
      </c>
      <c r="G7" s="266" t="s">
        <v>354</v>
      </c>
      <c r="H7" s="112" t="s">
        <v>355</v>
      </c>
      <c r="I7" s="112">
        <v>15</v>
      </c>
      <c r="J7" s="113"/>
      <c r="K7" s="113"/>
      <c r="L7" s="114" t="e">
        <f t="shared" si="0"/>
        <v>#DIV/0!</v>
      </c>
      <c r="M7" s="113"/>
      <c r="N7" s="113">
        <v>50000</v>
      </c>
      <c r="O7" s="114" t="e">
        <f t="shared" si="1"/>
        <v>#DIV/0!</v>
      </c>
      <c r="P7" s="113">
        <f t="shared" si="2"/>
        <v>0</v>
      </c>
      <c r="Q7" s="113">
        <f t="shared" si="3"/>
        <v>50000</v>
      </c>
      <c r="R7" s="114" t="e">
        <f t="shared" si="4"/>
        <v>#DIV/0!</v>
      </c>
      <c r="S7" s="36"/>
      <c r="T7" s="36"/>
      <c r="U7" s="114" t="e">
        <f t="shared" si="5"/>
        <v>#DIV/0!</v>
      </c>
      <c r="V7" s="36">
        <f t="shared" si="6"/>
        <v>0</v>
      </c>
      <c r="W7" s="36">
        <f t="shared" si="7"/>
        <v>50000</v>
      </c>
      <c r="X7" s="114" t="e">
        <f t="shared" si="8"/>
        <v>#DIV/0!</v>
      </c>
      <c r="Y7" s="36"/>
      <c r="Z7" s="36"/>
      <c r="AA7" s="114" t="e">
        <f t="shared" si="9"/>
        <v>#DIV/0!</v>
      </c>
      <c r="AB7" s="36">
        <f t="shared" si="10"/>
        <v>0</v>
      </c>
      <c r="AC7" s="36">
        <f t="shared" si="11"/>
        <v>50000</v>
      </c>
      <c r="AD7" s="114" t="e">
        <f t="shared" si="12"/>
        <v>#DIV/0!</v>
      </c>
      <c r="AE7" s="108">
        <v>50000</v>
      </c>
      <c r="AF7" s="108"/>
      <c r="AG7" s="114">
        <f t="shared" si="13"/>
        <v>-1</v>
      </c>
      <c r="AH7" s="108">
        <f t="shared" si="14"/>
        <v>50000</v>
      </c>
      <c r="AI7" s="108">
        <f t="shared" si="15"/>
        <v>50000</v>
      </c>
      <c r="AJ7" s="114">
        <f t="shared" si="16"/>
        <v>0</v>
      </c>
      <c r="AK7" s="108"/>
      <c r="AL7" s="108">
        <v>50000</v>
      </c>
      <c r="AM7" s="114" t="e">
        <f t="shared" si="17"/>
        <v>#DIV/0!</v>
      </c>
      <c r="AN7" s="108">
        <f t="shared" si="18"/>
        <v>50000</v>
      </c>
      <c r="AO7" s="108">
        <f t="shared" si="19"/>
        <v>100000</v>
      </c>
      <c r="AP7" s="114">
        <f t="shared" si="20"/>
        <v>1</v>
      </c>
      <c r="AQ7" s="108"/>
      <c r="AR7" s="108"/>
      <c r="AS7" s="114" t="e">
        <f t="shared" si="21"/>
        <v>#DIV/0!</v>
      </c>
      <c r="AT7" s="108">
        <f t="shared" si="22"/>
        <v>50000</v>
      </c>
      <c r="AU7" s="108">
        <f t="shared" si="23"/>
        <v>100000</v>
      </c>
      <c r="AV7" s="114">
        <f t="shared" si="24"/>
        <v>1</v>
      </c>
      <c r="AW7" s="36"/>
      <c r="AX7" s="36"/>
      <c r="AY7" s="114" t="e">
        <f t="shared" si="25"/>
        <v>#DIV/0!</v>
      </c>
      <c r="AZ7" s="36">
        <f t="shared" si="26"/>
        <v>50000</v>
      </c>
      <c r="BA7" s="36">
        <f t="shared" si="27"/>
        <v>100000</v>
      </c>
      <c r="BB7" s="114">
        <f t="shared" si="28"/>
        <v>1</v>
      </c>
      <c r="BC7" s="36">
        <v>50000</v>
      </c>
      <c r="BD7" s="36"/>
      <c r="BE7" s="114">
        <f t="shared" si="29"/>
        <v>-1</v>
      </c>
      <c r="BF7" s="36">
        <f t="shared" si="30"/>
        <v>100000</v>
      </c>
      <c r="BG7" s="36">
        <f t="shared" si="31"/>
        <v>100000</v>
      </c>
      <c r="BH7" s="114">
        <f t="shared" si="32"/>
        <v>0</v>
      </c>
      <c r="BI7" s="108"/>
      <c r="BJ7" s="108">
        <v>50000</v>
      </c>
      <c r="BK7" s="114" t="e">
        <f t="shared" si="33"/>
        <v>#DIV/0!</v>
      </c>
      <c r="BL7" s="108">
        <f t="shared" si="34"/>
        <v>100000</v>
      </c>
      <c r="BM7" s="108">
        <f t="shared" si="35"/>
        <v>150000</v>
      </c>
      <c r="BN7" s="114">
        <f t="shared" si="36"/>
        <v>0.5</v>
      </c>
      <c r="BO7" s="108">
        <v>50000</v>
      </c>
      <c r="BP7" s="108"/>
      <c r="BQ7" s="108">
        <v>150000</v>
      </c>
      <c r="BR7" s="115">
        <f t="shared" si="37"/>
        <v>1</v>
      </c>
      <c r="BS7" s="108"/>
    </row>
    <row r="8" spans="1:71">
      <c r="A8" s="110" t="s">
        <v>34</v>
      </c>
      <c r="B8" s="110" t="s">
        <v>34</v>
      </c>
      <c r="C8" s="262" t="s">
        <v>358</v>
      </c>
      <c r="D8" s="112" t="s">
        <v>63</v>
      </c>
      <c r="E8" s="112" t="s">
        <v>63</v>
      </c>
      <c r="F8" s="266" t="s">
        <v>359</v>
      </c>
      <c r="G8" s="266" t="s">
        <v>359</v>
      </c>
      <c r="H8" s="112" t="s">
        <v>355</v>
      </c>
      <c r="I8" s="112">
        <v>25</v>
      </c>
      <c r="J8" s="113">
        <v>20000</v>
      </c>
      <c r="K8" s="113">
        <v>40000</v>
      </c>
      <c r="L8" s="114">
        <f t="shared" si="0"/>
        <v>1</v>
      </c>
      <c r="M8" s="113">
        <v>20000</v>
      </c>
      <c r="N8" s="113">
        <v>30000</v>
      </c>
      <c r="O8" s="114">
        <f t="shared" si="1"/>
        <v>0.5</v>
      </c>
      <c r="P8" s="113">
        <f t="shared" si="2"/>
        <v>40000</v>
      </c>
      <c r="Q8" s="113">
        <f t="shared" si="3"/>
        <v>70000</v>
      </c>
      <c r="R8" s="114">
        <f t="shared" si="4"/>
        <v>0.75</v>
      </c>
      <c r="S8" s="36"/>
      <c r="T8" s="36"/>
      <c r="U8" s="114" t="e">
        <f t="shared" si="5"/>
        <v>#DIV/0!</v>
      </c>
      <c r="V8" s="36">
        <f t="shared" si="6"/>
        <v>40000</v>
      </c>
      <c r="W8" s="36">
        <f t="shared" si="7"/>
        <v>70000</v>
      </c>
      <c r="X8" s="114">
        <f t="shared" si="8"/>
        <v>0.75</v>
      </c>
      <c r="Y8" s="36">
        <v>20000</v>
      </c>
      <c r="Z8" s="36"/>
      <c r="AA8" s="114">
        <f t="shared" si="9"/>
        <v>-1</v>
      </c>
      <c r="AB8" s="36">
        <f t="shared" si="10"/>
        <v>60000</v>
      </c>
      <c r="AC8" s="36">
        <f t="shared" si="11"/>
        <v>70000</v>
      </c>
      <c r="AD8" s="114">
        <f t="shared" si="12"/>
        <v>0.166666666666667</v>
      </c>
      <c r="AE8" s="108"/>
      <c r="AF8" s="108"/>
      <c r="AG8" s="114" t="e">
        <f t="shared" si="13"/>
        <v>#DIV/0!</v>
      </c>
      <c r="AH8" s="108">
        <f t="shared" si="14"/>
        <v>60000</v>
      </c>
      <c r="AI8" s="108">
        <f t="shared" si="15"/>
        <v>70000</v>
      </c>
      <c r="AJ8" s="114">
        <f t="shared" si="16"/>
        <v>0.166666666666667</v>
      </c>
      <c r="AK8" s="108"/>
      <c r="AL8" s="108"/>
      <c r="AM8" s="114" t="e">
        <f t="shared" si="17"/>
        <v>#DIV/0!</v>
      </c>
      <c r="AN8" s="108">
        <f t="shared" si="18"/>
        <v>60000</v>
      </c>
      <c r="AO8" s="108">
        <f t="shared" si="19"/>
        <v>70000</v>
      </c>
      <c r="AP8" s="114">
        <f t="shared" si="20"/>
        <v>0.166666666666667</v>
      </c>
      <c r="AQ8" s="108"/>
      <c r="AR8" s="108"/>
      <c r="AS8" s="114" t="e">
        <f t="shared" si="21"/>
        <v>#DIV/0!</v>
      </c>
      <c r="AT8" s="108">
        <f t="shared" si="22"/>
        <v>60000</v>
      </c>
      <c r="AU8" s="108">
        <f t="shared" si="23"/>
        <v>70000</v>
      </c>
      <c r="AV8" s="114">
        <f t="shared" si="24"/>
        <v>0.166666666666667</v>
      </c>
      <c r="AW8" s="36"/>
      <c r="AX8" s="36"/>
      <c r="AY8" s="114" t="e">
        <f t="shared" si="25"/>
        <v>#DIV/0!</v>
      </c>
      <c r="AZ8" s="36">
        <f t="shared" si="26"/>
        <v>60000</v>
      </c>
      <c r="BA8" s="36">
        <f t="shared" si="27"/>
        <v>70000</v>
      </c>
      <c r="BB8" s="114">
        <f t="shared" si="28"/>
        <v>0.166666666666667</v>
      </c>
      <c r="BC8" s="36">
        <v>20000</v>
      </c>
      <c r="BD8" s="36"/>
      <c r="BE8" s="114">
        <f t="shared" si="29"/>
        <v>-1</v>
      </c>
      <c r="BF8" s="36">
        <f t="shared" si="30"/>
        <v>80000</v>
      </c>
      <c r="BG8" s="36">
        <f t="shared" si="31"/>
        <v>70000</v>
      </c>
      <c r="BH8" s="114">
        <f t="shared" si="32"/>
        <v>-0.125</v>
      </c>
      <c r="BI8" s="108"/>
      <c r="BJ8" s="108"/>
      <c r="BK8" s="114" t="e">
        <f t="shared" si="33"/>
        <v>#DIV/0!</v>
      </c>
      <c r="BL8" s="108">
        <f t="shared" si="34"/>
        <v>80000</v>
      </c>
      <c r="BM8" s="108">
        <f t="shared" si="35"/>
        <v>70000</v>
      </c>
      <c r="BN8" s="114">
        <f t="shared" si="36"/>
        <v>-0.125</v>
      </c>
      <c r="BO8" s="108">
        <v>30000</v>
      </c>
      <c r="BP8" s="108"/>
      <c r="BQ8" s="108">
        <v>110000</v>
      </c>
      <c r="BR8" s="115">
        <f t="shared" si="37"/>
        <v>0.28</v>
      </c>
      <c r="BS8" s="108"/>
    </row>
    <row r="9" spans="1:71">
      <c r="A9" s="110" t="s">
        <v>34</v>
      </c>
      <c r="B9" s="110" t="s">
        <v>34</v>
      </c>
      <c r="C9" s="111" t="s">
        <v>360</v>
      </c>
      <c r="D9" s="112" t="s">
        <v>63</v>
      </c>
      <c r="E9" s="112" t="s">
        <v>63</v>
      </c>
      <c r="F9" s="266" t="s">
        <v>354</v>
      </c>
      <c r="G9" s="266" t="s">
        <v>354</v>
      </c>
      <c r="H9" s="112" t="s">
        <v>355</v>
      </c>
      <c r="I9" s="112"/>
      <c r="J9" s="113">
        <v>10027</v>
      </c>
      <c r="K9" s="113"/>
      <c r="L9" s="114">
        <f t="shared" si="0"/>
        <v>-1</v>
      </c>
      <c r="M9" s="113"/>
      <c r="N9" s="113"/>
      <c r="O9" s="114" t="e">
        <f t="shared" si="1"/>
        <v>#DIV/0!</v>
      </c>
      <c r="P9" s="113">
        <f t="shared" si="2"/>
        <v>10027</v>
      </c>
      <c r="Q9" s="113">
        <f t="shared" si="3"/>
        <v>0</v>
      </c>
      <c r="R9" s="114">
        <f t="shared" si="4"/>
        <v>-1</v>
      </c>
      <c r="S9" s="36">
        <v>5704</v>
      </c>
      <c r="T9" s="36"/>
      <c r="U9" s="114">
        <f t="shared" si="5"/>
        <v>-1</v>
      </c>
      <c r="V9" s="36">
        <f t="shared" si="6"/>
        <v>15731</v>
      </c>
      <c r="W9" s="36">
        <f t="shared" si="7"/>
        <v>0</v>
      </c>
      <c r="X9" s="114">
        <f t="shared" si="8"/>
        <v>-1</v>
      </c>
      <c r="Y9" s="36"/>
      <c r="Z9" s="36"/>
      <c r="AA9" s="114" t="e">
        <f t="shared" si="9"/>
        <v>#DIV/0!</v>
      </c>
      <c r="AB9" s="36">
        <f t="shared" si="10"/>
        <v>15731</v>
      </c>
      <c r="AC9" s="36">
        <f t="shared" si="11"/>
        <v>0</v>
      </c>
      <c r="AD9" s="114">
        <f t="shared" si="12"/>
        <v>-1</v>
      </c>
      <c r="AE9" s="108"/>
      <c r="AF9" s="108"/>
      <c r="AG9" s="114" t="e">
        <f t="shared" si="13"/>
        <v>#DIV/0!</v>
      </c>
      <c r="AH9" s="108">
        <f t="shared" si="14"/>
        <v>15731</v>
      </c>
      <c r="AI9" s="108">
        <f t="shared" si="15"/>
        <v>0</v>
      </c>
      <c r="AJ9" s="114">
        <f t="shared" si="16"/>
        <v>-1</v>
      </c>
      <c r="AK9" s="108"/>
      <c r="AL9" s="108"/>
      <c r="AM9" s="114" t="e">
        <f t="shared" si="17"/>
        <v>#DIV/0!</v>
      </c>
      <c r="AN9" s="108">
        <f t="shared" si="18"/>
        <v>15731</v>
      </c>
      <c r="AO9" s="108">
        <f t="shared" si="19"/>
        <v>0</v>
      </c>
      <c r="AP9" s="114">
        <f t="shared" si="20"/>
        <v>-1</v>
      </c>
      <c r="AQ9" s="108"/>
      <c r="AR9" s="108"/>
      <c r="AS9" s="114" t="e">
        <f t="shared" si="21"/>
        <v>#DIV/0!</v>
      </c>
      <c r="AT9" s="108">
        <f t="shared" si="22"/>
        <v>15731</v>
      </c>
      <c r="AU9" s="108">
        <f t="shared" si="23"/>
        <v>0</v>
      </c>
      <c r="AV9" s="114">
        <f t="shared" si="24"/>
        <v>-1</v>
      </c>
      <c r="AW9" s="36"/>
      <c r="AX9" s="36"/>
      <c r="AY9" s="114" t="e">
        <f t="shared" si="25"/>
        <v>#DIV/0!</v>
      </c>
      <c r="AZ9" s="36">
        <f t="shared" si="26"/>
        <v>15731</v>
      </c>
      <c r="BA9" s="36">
        <f t="shared" si="27"/>
        <v>0</v>
      </c>
      <c r="BB9" s="114">
        <f t="shared" si="28"/>
        <v>-1</v>
      </c>
      <c r="BC9" s="36"/>
      <c r="BD9" s="36"/>
      <c r="BE9" s="114" t="e">
        <f t="shared" si="29"/>
        <v>#DIV/0!</v>
      </c>
      <c r="BF9" s="36">
        <f t="shared" si="30"/>
        <v>15731</v>
      </c>
      <c r="BG9" s="36">
        <f t="shared" si="31"/>
        <v>0</v>
      </c>
      <c r="BH9" s="114">
        <f t="shared" si="32"/>
        <v>-1</v>
      </c>
      <c r="BI9" s="108"/>
      <c r="BJ9" s="108"/>
      <c r="BK9" s="114" t="e">
        <f t="shared" si="33"/>
        <v>#DIV/0!</v>
      </c>
      <c r="BL9" s="108">
        <f t="shared" si="34"/>
        <v>15731</v>
      </c>
      <c r="BM9" s="108">
        <f t="shared" si="35"/>
        <v>0</v>
      </c>
      <c r="BN9" s="114">
        <f t="shared" si="36"/>
        <v>-1</v>
      </c>
      <c r="BO9" s="108"/>
      <c r="BP9" s="108"/>
      <c r="BQ9" s="108">
        <v>15731</v>
      </c>
      <c r="BR9" s="115" t="e">
        <f t="shared" si="37"/>
        <v>#DIV/0!</v>
      </c>
      <c r="BS9" s="108"/>
    </row>
    <row r="10" spans="1:71">
      <c r="A10" s="110" t="s">
        <v>34</v>
      </c>
      <c r="B10" s="110" t="s">
        <v>34</v>
      </c>
      <c r="C10" s="118" t="s">
        <v>361</v>
      </c>
      <c r="D10" s="112" t="s">
        <v>81</v>
      </c>
      <c r="E10" s="112" t="s">
        <v>81</v>
      </c>
      <c r="F10" s="112" t="s">
        <v>362</v>
      </c>
      <c r="G10" s="266" t="s">
        <v>82</v>
      </c>
      <c r="H10" s="112" t="s">
        <v>363</v>
      </c>
      <c r="I10" s="112">
        <v>255</v>
      </c>
      <c r="J10" s="113"/>
      <c r="K10" s="113">
        <v>109783.7</v>
      </c>
      <c r="L10" s="114" t="e">
        <f t="shared" si="0"/>
        <v>#DIV/0!</v>
      </c>
      <c r="M10" s="113">
        <v>391306.3</v>
      </c>
      <c r="N10" s="3">
        <v>153270.94</v>
      </c>
      <c r="O10" s="114">
        <f t="shared" si="1"/>
        <v>-0.608309551877902</v>
      </c>
      <c r="P10" s="113">
        <f t="shared" si="2"/>
        <v>391306.3</v>
      </c>
      <c r="Q10" s="113">
        <f t="shared" si="3"/>
        <v>263054.64</v>
      </c>
      <c r="R10" s="114">
        <f t="shared" si="4"/>
        <v>-0.327752607100882</v>
      </c>
      <c r="S10" s="36">
        <v>351010.01</v>
      </c>
      <c r="T10" s="36">
        <v>236175.35</v>
      </c>
      <c r="U10" s="114">
        <f t="shared" si="5"/>
        <v>-0.327154943529958</v>
      </c>
      <c r="V10" s="36">
        <f t="shared" si="6"/>
        <v>742316.31</v>
      </c>
      <c r="W10" s="36">
        <f t="shared" si="7"/>
        <v>499229.99</v>
      </c>
      <c r="X10" s="114">
        <f t="shared" si="8"/>
        <v>-0.327469997257638</v>
      </c>
      <c r="Y10" s="36">
        <v>88963.62</v>
      </c>
      <c r="Z10" s="36">
        <v>180910.35</v>
      </c>
      <c r="AA10" s="114">
        <f t="shared" si="9"/>
        <v>1.0335317964804</v>
      </c>
      <c r="AB10" s="36">
        <f t="shared" si="10"/>
        <v>831279.93</v>
      </c>
      <c r="AC10" s="36">
        <f t="shared" si="11"/>
        <v>680140.34</v>
      </c>
      <c r="AD10" s="114">
        <f t="shared" si="12"/>
        <v>-0.181815516705666</v>
      </c>
      <c r="AE10" s="108">
        <v>190850.41</v>
      </c>
      <c r="AF10" s="108">
        <v>470039.53</v>
      </c>
      <c r="AG10" s="114">
        <f t="shared" si="13"/>
        <v>1.4628688510546</v>
      </c>
      <c r="AH10" s="108">
        <f t="shared" si="14"/>
        <v>1022130.34</v>
      </c>
      <c r="AI10" s="108">
        <f t="shared" si="15"/>
        <v>1150179.87</v>
      </c>
      <c r="AJ10" s="114">
        <f t="shared" si="16"/>
        <v>0.125277105070573</v>
      </c>
      <c r="AK10" s="108">
        <v>98273.44</v>
      </c>
      <c r="AL10" s="108">
        <v>402723.13</v>
      </c>
      <c r="AM10" s="114">
        <f t="shared" si="17"/>
        <v>3.09798547807017</v>
      </c>
      <c r="AN10" s="108">
        <f t="shared" si="18"/>
        <v>1120403.78</v>
      </c>
      <c r="AO10" s="108">
        <f t="shared" si="19"/>
        <v>1552903</v>
      </c>
      <c r="AP10" s="114">
        <f t="shared" si="20"/>
        <v>0.386020850447327</v>
      </c>
      <c r="AQ10" s="108">
        <v>192151.31</v>
      </c>
      <c r="AR10" s="108">
        <v>187966.16</v>
      </c>
      <c r="AS10" s="114">
        <f t="shared" si="21"/>
        <v>-0.0217804916344312</v>
      </c>
      <c r="AT10" s="108">
        <f t="shared" si="22"/>
        <v>1312555.09</v>
      </c>
      <c r="AU10" s="108">
        <f t="shared" si="23"/>
        <v>1740869.16</v>
      </c>
      <c r="AV10" s="114">
        <f t="shared" si="24"/>
        <v>0.326320832750723</v>
      </c>
      <c r="AW10" s="36">
        <v>5498</v>
      </c>
      <c r="AX10" s="36"/>
      <c r="AY10" s="114">
        <f t="shared" si="25"/>
        <v>-1</v>
      </c>
      <c r="AZ10" s="36">
        <f t="shared" si="26"/>
        <v>1318053.09</v>
      </c>
      <c r="BA10" s="36">
        <f t="shared" si="27"/>
        <v>1740869.16</v>
      </c>
      <c r="BB10" s="114">
        <f t="shared" si="28"/>
        <v>0.320788345483109</v>
      </c>
      <c r="BC10" s="36">
        <v>198631.31</v>
      </c>
      <c r="BD10" s="36">
        <v>14632.75</v>
      </c>
      <c r="BE10" s="114">
        <f t="shared" si="29"/>
        <v>-0.926332107460803</v>
      </c>
      <c r="BF10" s="36">
        <f t="shared" si="30"/>
        <v>1516684.4</v>
      </c>
      <c r="BG10" s="36">
        <f t="shared" si="31"/>
        <v>1755501.91</v>
      </c>
      <c r="BH10" s="114">
        <f t="shared" si="32"/>
        <v>0.157460253431762</v>
      </c>
      <c r="BI10" s="108">
        <v>222946.83</v>
      </c>
      <c r="BJ10" s="108">
        <v>106883.4</v>
      </c>
      <c r="BK10" s="114">
        <f t="shared" si="33"/>
        <v>-0.520587935697493</v>
      </c>
      <c r="BL10" s="108">
        <f t="shared" si="34"/>
        <v>1739631.23</v>
      </c>
      <c r="BM10" s="108">
        <f t="shared" si="35"/>
        <v>1862385.31</v>
      </c>
      <c r="BN10" s="114">
        <f t="shared" si="36"/>
        <v>0.0705632767928637</v>
      </c>
      <c r="BO10" s="108">
        <v>433820.52</v>
      </c>
      <c r="BP10" s="108">
        <v>396596.85</v>
      </c>
      <c r="BQ10" s="108">
        <v>2570048.6</v>
      </c>
      <c r="BR10" s="115">
        <f t="shared" si="37"/>
        <v>0.730347180392157</v>
      </c>
      <c r="BS10" s="108"/>
    </row>
    <row r="11" spans="1:71">
      <c r="A11" s="110" t="s">
        <v>34</v>
      </c>
      <c r="B11" s="110" t="s">
        <v>34</v>
      </c>
      <c r="C11" s="111" t="s">
        <v>364</v>
      </c>
      <c r="D11" s="112" t="s">
        <v>63</v>
      </c>
      <c r="E11" s="112" t="s">
        <v>58</v>
      </c>
      <c r="F11" s="266" t="s">
        <v>354</v>
      </c>
      <c r="G11" s="266" t="s">
        <v>354</v>
      </c>
      <c r="H11" s="112" t="s">
        <v>355</v>
      </c>
      <c r="I11" s="112">
        <v>80</v>
      </c>
      <c r="J11" s="113">
        <v>117626</v>
      </c>
      <c r="K11" s="113">
        <v>25380</v>
      </c>
      <c r="L11" s="114">
        <f t="shared" si="0"/>
        <v>-0.784231377416558</v>
      </c>
      <c r="M11" s="113"/>
      <c r="N11" s="113"/>
      <c r="O11" s="114" t="e">
        <f t="shared" si="1"/>
        <v>#DIV/0!</v>
      </c>
      <c r="P11" s="113">
        <f t="shared" si="2"/>
        <v>117626</v>
      </c>
      <c r="Q11" s="113">
        <f t="shared" si="3"/>
        <v>25380</v>
      </c>
      <c r="R11" s="114">
        <f t="shared" si="4"/>
        <v>-0.784231377416558</v>
      </c>
      <c r="S11" s="36">
        <v>67824</v>
      </c>
      <c r="T11" s="36">
        <v>96952</v>
      </c>
      <c r="U11" s="114">
        <f t="shared" si="5"/>
        <v>0.429464496343477</v>
      </c>
      <c r="V11" s="36">
        <f t="shared" si="6"/>
        <v>185450</v>
      </c>
      <c r="W11" s="36">
        <f t="shared" si="7"/>
        <v>122332</v>
      </c>
      <c r="X11" s="114">
        <f t="shared" si="8"/>
        <v>-0.340350498786735</v>
      </c>
      <c r="Y11" s="36">
        <v>64458</v>
      </c>
      <c r="Z11" s="36">
        <v>38300</v>
      </c>
      <c r="AA11" s="114">
        <f t="shared" si="9"/>
        <v>-0.40581463898973</v>
      </c>
      <c r="AB11" s="36">
        <f t="shared" si="10"/>
        <v>249908</v>
      </c>
      <c r="AC11" s="36">
        <f t="shared" si="11"/>
        <v>160632</v>
      </c>
      <c r="AD11" s="114">
        <f t="shared" si="12"/>
        <v>-0.357235462650255</v>
      </c>
      <c r="AE11" s="108">
        <v>34120</v>
      </c>
      <c r="AF11" s="108">
        <v>20125</v>
      </c>
      <c r="AG11" s="114">
        <f t="shared" si="13"/>
        <v>-0.410169988276671</v>
      </c>
      <c r="AH11" s="108">
        <f t="shared" si="14"/>
        <v>284028</v>
      </c>
      <c r="AI11" s="108">
        <f t="shared" si="15"/>
        <v>180757</v>
      </c>
      <c r="AJ11" s="114">
        <f t="shared" si="16"/>
        <v>-0.363594434351543</v>
      </c>
      <c r="AK11" s="108">
        <v>44233</v>
      </c>
      <c r="AL11" s="108">
        <v>23218</v>
      </c>
      <c r="AM11" s="114">
        <f t="shared" si="17"/>
        <v>-0.4750977776773</v>
      </c>
      <c r="AN11" s="108">
        <f t="shared" si="18"/>
        <v>328261</v>
      </c>
      <c r="AO11" s="108">
        <f t="shared" si="19"/>
        <v>203975</v>
      </c>
      <c r="AP11" s="114">
        <f t="shared" si="20"/>
        <v>-0.378619452204191</v>
      </c>
      <c r="AQ11" s="108">
        <v>83621</v>
      </c>
      <c r="AR11" s="108">
        <v>18904</v>
      </c>
      <c r="AS11" s="114">
        <f t="shared" si="21"/>
        <v>-0.77393238540558</v>
      </c>
      <c r="AT11" s="108">
        <f t="shared" si="22"/>
        <v>411882</v>
      </c>
      <c r="AU11" s="108">
        <f t="shared" si="23"/>
        <v>222879</v>
      </c>
      <c r="AV11" s="114">
        <f t="shared" si="24"/>
        <v>-0.45887657144522</v>
      </c>
      <c r="AW11" s="36">
        <v>73305</v>
      </c>
      <c r="AX11" s="36">
        <v>37956</v>
      </c>
      <c r="AY11" s="114">
        <f t="shared" si="25"/>
        <v>-0.482218129731942</v>
      </c>
      <c r="AZ11" s="36">
        <f t="shared" si="26"/>
        <v>485187</v>
      </c>
      <c r="BA11" s="36">
        <f t="shared" si="27"/>
        <v>260835</v>
      </c>
      <c r="BB11" s="114">
        <f t="shared" si="28"/>
        <v>-0.462403155896592</v>
      </c>
      <c r="BC11" s="36">
        <v>67023</v>
      </c>
      <c r="BD11" s="36">
        <v>72694</v>
      </c>
      <c r="BE11" s="114">
        <f t="shared" si="29"/>
        <v>0.0846127448786238</v>
      </c>
      <c r="BF11" s="36">
        <f t="shared" si="30"/>
        <v>552210</v>
      </c>
      <c r="BG11" s="36">
        <f t="shared" si="31"/>
        <v>333529</v>
      </c>
      <c r="BH11" s="114">
        <f t="shared" si="32"/>
        <v>-0.396010575686786</v>
      </c>
      <c r="BI11" s="108">
        <v>30612</v>
      </c>
      <c r="BJ11" s="108">
        <v>49036</v>
      </c>
      <c r="BK11" s="114">
        <f t="shared" si="33"/>
        <v>0.601855481510519</v>
      </c>
      <c r="BL11" s="108">
        <f t="shared" si="34"/>
        <v>582822</v>
      </c>
      <c r="BM11" s="108">
        <f t="shared" si="35"/>
        <v>382565</v>
      </c>
      <c r="BN11" s="114">
        <f t="shared" si="36"/>
        <v>-0.343598903267207</v>
      </c>
      <c r="BO11" s="108">
        <v>105827</v>
      </c>
      <c r="BP11" s="108">
        <v>114232</v>
      </c>
      <c r="BQ11" s="108">
        <v>802881</v>
      </c>
      <c r="BR11" s="115">
        <f t="shared" si="37"/>
        <v>0.47820625</v>
      </c>
      <c r="BS11" s="108"/>
    </row>
    <row r="12" spans="1:71">
      <c r="A12" s="110" t="s">
        <v>34</v>
      </c>
      <c r="B12" s="110" t="s">
        <v>34</v>
      </c>
      <c r="C12" s="111" t="s">
        <v>365</v>
      </c>
      <c r="D12" s="112" t="s">
        <v>63</v>
      </c>
      <c r="E12" s="112" t="s">
        <v>63</v>
      </c>
      <c r="F12" s="266" t="s">
        <v>354</v>
      </c>
      <c r="G12" s="266" t="s">
        <v>354</v>
      </c>
      <c r="H12" s="112" t="s">
        <v>355</v>
      </c>
      <c r="I12" s="112">
        <v>15</v>
      </c>
      <c r="J12" s="113"/>
      <c r="K12" s="113"/>
      <c r="L12" s="114" t="e">
        <f t="shared" si="0"/>
        <v>#DIV/0!</v>
      </c>
      <c r="M12" s="113"/>
      <c r="N12" s="113">
        <v>50000</v>
      </c>
      <c r="O12" s="114" t="e">
        <f t="shared" si="1"/>
        <v>#DIV/0!</v>
      </c>
      <c r="P12" s="113">
        <f t="shared" si="2"/>
        <v>0</v>
      </c>
      <c r="Q12" s="113">
        <f t="shared" si="3"/>
        <v>50000</v>
      </c>
      <c r="R12" s="114" t="e">
        <f t="shared" si="4"/>
        <v>#DIV/0!</v>
      </c>
      <c r="S12" s="36">
        <v>80000</v>
      </c>
      <c r="T12" s="36"/>
      <c r="U12" s="114">
        <f t="shared" si="5"/>
        <v>-1</v>
      </c>
      <c r="V12" s="36">
        <f t="shared" si="6"/>
        <v>80000</v>
      </c>
      <c r="W12" s="36">
        <f t="shared" si="7"/>
        <v>50000</v>
      </c>
      <c r="X12" s="114">
        <f t="shared" si="8"/>
        <v>-0.375</v>
      </c>
      <c r="Y12" s="36"/>
      <c r="Z12" s="36"/>
      <c r="AA12" s="114" t="e">
        <f t="shared" si="9"/>
        <v>#DIV/0!</v>
      </c>
      <c r="AB12" s="36">
        <f t="shared" si="10"/>
        <v>80000</v>
      </c>
      <c r="AC12" s="36">
        <f t="shared" si="11"/>
        <v>50000</v>
      </c>
      <c r="AD12" s="114">
        <f t="shared" si="12"/>
        <v>-0.375</v>
      </c>
      <c r="AE12" s="108"/>
      <c r="AF12" s="108">
        <v>50000</v>
      </c>
      <c r="AG12" s="114" t="e">
        <f t="shared" si="13"/>
        <v>#DIV/0!</v>
      </c>
      <c r="AH12" s="108">
        <f t="shared" si="14"/>
        <v>80000</v>
      </c>
      <c r="AI12" s="108">
        <f t="shared" si="15"/>
        <v>100000</v>
      </c>
      <c r="AJ12" s="114">
        <f t="shared" si="16"/>
        <v>0.25</v>
      </c>
      <c r="AK12" s="108"/>
      <c r="AL12" s="108"/>
      <c r="AM12" s="114" t="e">
        <f t="shared" si="17"/>
        <v>#DIV/0!</v>
      </c>
      <c r="AN12" s="108">
        <f t="shared" si="18"/>
        <v>80000</v>
      </c>
      <c r="AO12" s="108">
        <f t="shared" si="19"/>
        <v>100000</v>
      </c>
      <c r="AP12" s="114">
        <f t="shared" si="20"/>
        <v>0.25</v>
      </c>
      <c r="AQ12" s="108"/>
      <c r="AR12" s="108"/>
      <c r="AS12" s="114" t="e">
        <f t="shared" si="21"/>
        <v>#DIV/0!</v>
      </c>
      <c r="AT12" s="108">
        <f t="shared" si="22"/>
        <v>80000</v>
      </c>
      <c r="AU12" s="108">
        <f t="shared" si="23"/>
        <v>100000</v>
      </c>
      <c r="AV12" s="114">
        <f t="shared" si="24"/>
        <v>0.25</v>
      </c>
      <c r="AW12" s="36"/>
      <c r="AX12" s="36"/>
      <c r="AY12" s="114" t="e">
        <f t="shared" si="25"/>
        <v>#DIV/0!</v>
      </c>
      <c r="AZ12" s="36">
        <f t="shared" si="26"/>
        <v>80000</v>
      </c>
      <c r="BA12" s="36">
        <f t="shared" si="27"/>
        <v>100000</v>
      </c>
      <c r="BB12" s="114">
        <f t="shared" si="28"/>
        <v>0.25</v>
      </c>
      <c r="BC12" s="36">
        <v>70000</v>
      </c>
      <c r="BD12" s="36">
        <v>50000</v>
      </c>
      <c r="BE12" s="114">
        <f t="shared" si="29"/>
        <v>-0.285714285714286</v>
      </c>
      <c r="BF12" s="36">
        <f t="shared" si="30"/>
        <v>150000</v>
      </c>
      <c r="BG12" s="36">
        <f t="shared" si="31"/>
        <v>150000</v>
      </c>
      <c r="BH12" s="114">
        <f t="shared" si="32"/>
        <v>0</v>
      </c>
      <c r="BI12" s="108"/>
      <c r="BJ12" s="108"/>
      <c r="BK12" s="114" t="e">
        <f t="shared" si="33"/>
        <v>#DIV/0!</v>
      </c>
      <c r="BL12" s="108">
        <f t="shared" si="34"/>
        <v>150000</v>
      </c>
      <c r="BM12" s="108">
        <f t="shared" si="35"/>
        <v>150000</v>
      </c>
      <c r="BN12" s="114">
        <f t="shared" si="36"/>
        <v>0</v>
      </c>
      <c r="BO12" s="108"/>
      <c r="BP12" s="108"/>
      <c r="BQ12" s="108">
        <v>150000</v>
      </c>
      <c r="BR12" s="115">
        <f t="shared" si="37"/>
        <v>1</v>
      </c>
      <c r="BS12" s="108"/>
    </row>
    <row r="13" spans="1:71">
      <c r="A13" s="110" t="s">
        <v>34</v>
      </c>
      <c r="B13" s="110" t="s">
        <v>34</v>
      </c>
      <c r="C13" s="111" t="s">
        <v>366</v>
      </c>
      <c r="D13" s="112" t="s">
        <v>86</v>
      </c>
      <c r="E13" s="112" t="s">
        <v>86</v>
      </c>
      <c r="F13" s="112" t="s">
        <v>362</v>
      </c>
      <c r="G13" s="112" t="s">
        <v>367</v>
      </c>
      <c r="H13" s="112" t="s">
        <v>363</v>
      </c>
      <c r="I13" s="112">
        <v>300</v>
      </c>
      <c r="J13" s="113">
        <v>128759.4</v>
      </c>
      <c r="K13" s="113">
        <v>97114.8</v>
      </c>
      <c r="L13" s="114">
        <f t="shared" si="0"/>
        <v>-0.245765357713689</v>
      </c>
      <c r="M13" s="113">
        <v>10674</v>
      </c>
      <c r="N13" s="113">
        <v>76505</v>
      </c>
      <c r="O13" s="114">
        <f t="shared" si="1"/>
        <v>6.16741615139592</v>
      </c>
      <c r="P13" s="113">
        <f t="shared" si="2"/>
        <v>139433.4</v>
      </c>
      <c r="Q13" s="113">
        <f t="shared" si="3"/>
        <v>173619.8</v>
      </c>
      <c r="R13" s="114">
        <f t="shared" si="4"/>
        <v>0.245180853367988</v>
      </c>
      <c r="S13" s="36">
        <v>147311</v>
      </c>
      <c r="T13" s="36">
        <v>115302.5</v>
      </c>
      <c r="U13" s="114">
        <f t="shared" si="5"/>
        <v>-0.217285199340171</v>
      </c>
      <c r="V13" s="36">
        <f t="shared" si="6"/>
        <v>286744.4</v>
      </c>
      <c r="W13" s="36">
        <f t="shared" si="7"/>
        <v>288922.3</v>
      </c>
      <c r="X13" s="114">
        <f t="shared" si="8"/>
        <v>0.00759526602786309</v>
      </c>
      <c r="Y13" s="36">
        <v>67882</v>
      </c>
      <c r="Z13" s="36">
        <v>122170</v>
      </c>
      <c r="AA13" s="114">
        <f t="shared" si="9"/>
        <v>0.799740726554904</v>
      </c>
      <c r="AB13" s="36">
        <f t="shared" si="10"/>
        <v>354626.4</v>
      </c>
      <c r="AC13" s="36">
        <f t="shared" si="11"/>
        <v>411092.3</v>
      </c>
      <c r="AD13" s="114">
        <f t="shared" si="12"/>
        <v>0.15922644225021</v>
      </c>
      <c r="AE13" s="108">
        <v>79008</v>
      </c>
      <c r="AF13" s="108">
        <v>107147.96</v>
      </c>
      <c r="AG13" s="114">
        <f t="shared" si="13"/>
        <v>0.356165957877683</v>
      </c>
      <c r="AH13" s="108">
        <f t="shared" si="14"/>
        <v>433634.4</v>
      </c>
      <c r="AI13" s="108">
        <f t="shared" si="15"/>
        <v>518240.26</v>
      </c>
      <c r="AJ13" s="114">
        <f t="shared" si="16"/>
        <v>0.195108736760737</v>
      </c>
      <c r="AK13" s="108">
        <v>141634</v>
      </c>
      <c r="AL13" s="108">
        <f>164436.5-3750</f>
        <v>160686.5</v>
      </c>
      <c r="AM13" s="114">
        <f t="shared" si="17"/>
        <v>0.134519253851476</v>
      </c>
      <c r="AN13" s="108">
        <f t="shared" si="18"/>
        <v>575268.4</v>
      </c>
      <c r="AO13" s="108">
        <f t="shared" si="19"/>
        <v>678926.76</v>
      </c>
      <c r="AP13" s="114">
        <f t="shared" si="20"/>
        <v>0.180191298531259</v>
      </c>
      <c r="AQ13" s="108">
        <v>61947</v>
      </c>
      <c r="AR13" s="108">
        <v>141849</v>
      </c>
      <c r="AS13" s="114">
        <f t="shared" si="21"/>
        <v>1.28984454453</v>
      </c>
      <c r="AT13" s="108">
        <f t="shared" si="22"/>
        <v>637215.4</v>
      </c>
      <c r="AU13" s="108">
        <f t="shared" si="23"/>
        <v>820775.76</v>
      </c>
      <c r="AV13" s="114">
        <f t="shared" si="24"/>
        <v>0.288066421495777</v>
      </c>
      <c r="AW13" s="36">
        <v>109869</v>
      </c>
      <c r="AX13" s="36">
        <v>101282.5</v>
      </c>
      <c r="AY13" s="114">
        <f t="shared" si="25"/>
        <v>-0.0781521630305182</v>
      </c>
      <c r="AZ13" s="36">
        <f t="shared" si="26"/>
        <v>747084.4</v>
      </c>
      <c r="BA13" s="36">
        <f t="shared" si="27"/>
        <v>922058.26</v>
      </c>
      <c r="BB13" s="114">
        <f t="shared" si="28"/>
        <v>0.234208959523181</v>
      </c>
      <c r="BC13" s="36">
        <v>222217.4</v>
      </c>
      <c r="BD13" s="36">
        <v>83522.2</v>
      </c>
      <c r="BE13" s="114">
        <f t="shared" si="29"/>
        <v>-0.624141943880182</v>
      </c>
      <c r="BF13" s="36">
        <f t="shared" si="30"/>
        <v>969301.8</v>
      </c>
      <c r="BG13" s="36">
        <f t="shared" si="31"/>
        <v>1005580.46</v>
      </c>
      <c r="BH13" s="114">
        <f t="shared" si="32"/>
        <v>0.0374276205821551</v>
      </c>
      <c r="BI13" s="108">
        <v>255911.44</v>
      </c>
      <c r="BJ13" s="108">
        <v>193420.35</v>
      </c>
      <c r="BK13" s="114">
        <f t="shared" si="33"/>
        <v>-0.244190294892639</v>
      </c>
      <c r="BL13" s="108">
        <f t="shared" si="34"/>
        <v>1225213.24</v>
      </c>
      <c r="BM13" s="108">
        <f t="shared" si="35"/>
        <v>1199000.81</v>
      </c>
      <c r="BN13" s="114">
        <f t="shared" si="36"/>
        <v>-0.0213941778820477</v>
      </c>
      <c r="BO13" s="108">
        <v>226147.87</v>
      </c>
      <c r="BP13" s="108">
        <v>234700</v>
      </c>
      <c r="BQ13" s="108">
        <v>1686061.11</v>
      </c>
      <c r="BR13" s="115">
        <f t="shared" si="37"/>
        <v>0.399666936666667</v>
      </c>
      <c r="BS13" s="108"/>
    </row>
    <row r="14" spans="1:71">
      <c r="A14" s="110" t="s">
        <v>34</v>
      </c>
      <c r="B14" s="110" t="s">
        <v>34</v>
      </c>
      <c r="C14" s="111" t="s">
        <v>368</v>
      </c>
      <c r="D14" s="112" t="s">
        <v>63</v>
      </c>
      <c r="E14" s="112" t="s">
        <v>63</v>
      </c>
      <c r="F14" s="112" t="s">
        <v>369</v>
      </c>
      <c r="G14" s="112" t="s">
        <v>369</v>
      </c>
      <c r="H14" s="112" t="s">
        <v>363</v>
      </c>
      <c r="I14" s="112">
        <v>10</v>
      </c>
      <c r="J14" s="113">
        <v>22414</v>
      </c>
      <c r="K14" s="113">
        <v>24348</v>
      </c>
      <c r="L14" s="114">
        <f t="shared" si="0"/>
        <v>0.0862853573659319</v>
      </c>
      <c r="M14" s="113"/>
      <c r="N14" s="113"/>
      <c r="O14" s="114" t="e">
        <f t="shared" si="1"/>
        <v>#DIV/0!</v>
      </c>
      <c r="P14" s="113">
        <f t="shared" si="2"/>
        <v>22414</v>
      </c>
      <c r="Q14" s="113">
        <f t="shared" si="3"/>
        <v>24348</v>
      </c>
      <c r="R14" s="114">
        <f t="shared" si="4"/>
        <v>0.0862853573659319</v>
      </c>
      <c r="S14" s="36">
        <v>8562</v>
      </c>
      <c r="T14" s="36"/>
      <c r="U14" s="114">
        <f t="shared" si="5"/>
        <v>-1</v>
      </c>
      <c r="V14" s="36">
        <f t="shared" si="6"/>
        <v>30976</v>
      </c>
      <c r="W14" s="36">
        <f t="shared" si="7"/>
        <v>24348</v>
      </c>
      <c r="X14" s="114">
        <f t="shared" si="8"/>
        <v>-0.213972107438017</v>
      </c>
      <c r="Y14" s="36">
        <v>11897</v>
      </c>
      <c r="Z14" s="36"/>
      <c r="AA14" s="114">
        <f t="shared" si="9"/>
        <v>-1</v>
      </c>
      <c r="AB14" s="36">
        <f t="shared" si="10"/>
        <v>42873</v>
      </c>
      <c r="AC14" s="36">
        <f t="shared" si="11"/>
        <v>24348</v>
      </c>
      <c r="AD14" s="114">
        <f t="shared" si="12"/>
        <v>-0.432090126653138</v>
      </c>
      <c r="AE14" s="108"/>
      <c r="AF14" s="108">
        <v>2243</v>
      </c>
      <c r="AG14" s="114" t="e">
        <f t="shared" si="13"/>
        <v>#DIV/0!</v>
      </c>
      <c r="AH14" s="108">
        <f t="shared" si="14"/>
        <v>42873</v>
      </c>
      <c r="AI14" s="108">
        <f t="shared" si="15"/>
        <v>26591</v>
      </c>
      <c r="AJ14" s="114">
        <f t="shared" si="16"/>
        <v>-0.379772817390899</v>
      </c>
      <c r="AK14" s="108">
        <v>4395</v>
      </c>
      <c r="AL14" s="108">
        <v>4682</v>
      </c>
      <c r="AM14" s="114">
        <f t="shared" si="17"/>
        <v>0.0653014789533561</v>
      </c>
      <c r="AN14" s="108">
        <f t="shared" si="18"/>
        <v>47268</v>
      </c>
      <c r="AO14" s="108">
        <f t="shared" si="19"/>
        <v>31273</v>
      </c>
      <c r="AP14" s="114">
        <f t="shared" si="20"/>
        <v>-0.338389608191588</v>
      </c>
      <c r="AQ14" s="108">
        <v>5164</v>
      </c>
      <c r="AR14" s="108"/>
      <c r="AS14" s="114">
        <f t="shared" si="21"/>
        <v>-1</v>
      </c>
      <c r="AT14" s="108">
        <f t="shared" si="22"/>
        <v>52432</v>
      </c>
      <c r="AU14" s="108">
        <f t="shared" si="23"/>
        <v>31273</v>
      </c>
      <c r="AV14" s="114">
        <f t="shared" si="24"/>
        <v>-0.403551266402197</v>
      </c>
      <c r="AW14" s="36"/>
      <c r="AX14" s="36"/>
      <c r="AY14" s="114" t="e">
        <f t="shared" si="25"/>
        <v>#DIV/0!</v>
      </c>
      <c r="AZ14" s="36">
        <f t="shared" si="26"/>
        <v>52432</v>
      </c>
      <c r="BA14" s="36">
        <f t="shared" si="27"/>
        <v>31273</v>
      </c>
      <c r="BB14" s="114">
        <f t="shared" si="28"/>
        <v>-0.403551266402197</v>
      </c>
      <c r="BC14" s="36"/>
      <c r="BD14" s="36"/>
      <c r="BE14" s="114" t="e">
        <f t="shared" si="29"/>
        <v>#DIV/0!</v>
      </c>
      <c r="BF14" s="36">
        <f t="shared" si="30"/>
        <v>52432</v>
      </c>
      <c r="BG14" s="36">
        <f t="shared" si="31"/>
        <v>31273</v>
      </c>
      <c r="BH14" s="114">
        <f t="shared" si="32"/>
        <v>-0.403551266402197</v>
      </c>
      <c r="BI14" s="108">
        <v>7532</v>
      </c>
      <c r="BJ14" s="108">
        <v>30000</v>
      </c>
      <c r="BK14" s="114">
        <f t="shared" si="33"/>
        <v>2.9830058417419</v>
      </c>
      <c r="BL14" s="108">
        <f t="shared" si="34"/>
        <v>59964</v>
      </c>
      <c r="BM14" s="108">
        <f t="shared" si="35"/>
        <v>61273</v>
      </c>
      <c r="BN14" s="114">
        <f t="shared" si="36"/>
        <v>0.021829764525382</v>
      </c>
      <c r="BO14" s="108">
        <v>8696</v>
      </c>
      <c r="BP14" s="108">
        <v>16170</v>
      </c>
      <c r="BQ14" s="108">
        <v>84830</v>
      </c>
      <c r="BR14" s="115">
        <f t="shared" si="37"/>
        <v>0.61273</v>
      </c>
      <c r="BS14" s="108"/>
    </row>
    <row r="15" spans="1:71">
      <c r="A15" s="110" t="s">
        <v>34</v>
      </c>
      <c r="B15" s="110" t="s">
        <v>34</v>
      </c>
      <c r="C15" s="111" t="s">
        <v>370</v>
      </c>
      <c r="D15" s="112" t="s">
        <v>67</v>
      </c>
      <c r="E15" s="112" t="s">
        <v>67</v>
      </c>
      <c r="F15" s="266" t="s">
        <v>350</v>
      </c>
      <c r="G15" s="266" t="s">
        <v>350</v>
      </c>
      <c r="H15" s="112" t="s">
        <v>351</v>
      </c>
      <c r="I15" s="112">
        <v>450</v>
      </c>
      <c r="J15" s="113">
        <v>677727</v>
      </c>
      <c r="K15" s="113">
        <v>190515</v>
      </c>
      <c r="L15" s="114">
        <f t="shared" si="0"/>
        <v>-0.718891234966292</v>
      </c>
      <c r="M15" s="113">
        <v>173900</v>
      </c>
      <c r="N15" s="113">
        <v>228000</v>
      </c>
      <c r="O15" s="114">
        <f t="shared" si="1"/>
        <v>0.311098332374928</v>
      </c>
      <c r="P15" s="113">
        <f t="shared" si="2"/>
        <v>851627</v>
      </c>
      <c r="Q15" s="113">
        <f t="shared" si="3"/>
        <v>418515</v>
      </c>
      <c r="R15" s="114">
        <f t="shared" si="4"/>
        <v>-0.508570066472763</v>
      </c>
      <c r="S15" s="36">
        <v>145771</v>
      </c>
      <c r="T15" s="36">
        <v>261049</v>
      </c>
      <c r="U15" s="114">
        <f t="shared" si="5"/>
        <v>0.790815731524103</v>
      </c>
      <c r="V15" s="36">
        <f t="shared" si="6"/>
        <v>997398</v>
      </c>
      <c r="W15" s="36">
        <f t="shared" si="7"/>
        <v>679564</v>
      </c>
      <c r="X15" s="114">
        <f t="shared" si="8"/>
        <v>-0.318663161546344</v>
      </c>
      <c r="Y15" s="36">
        <v>250795</v>
      </c>
      <c r="Z15" s="36">
        <v>329500</v>
      </c>
      <c r="AA15" s="114">
        <f t="shared" si="9"/>
        <v>0.313822045894057</v>
      </c>
      <c r="AB15" s="36">
        <f t="shared" si="10"/>
        <v>1248193</v>
      </c>
      <c r="AC15" s="36">
        <f t="shared" si="11"/>
        <v>1009064</v>
      </c>
      <c r="AD15" s="114">
        <f t="shared" si="12"/>
        <v>-0.191580148262328</v>
      </c>
      <c r="AE15" s="108">
        <v>200300</v>
      </c>
      <c r="AF15" s="108">
        <v>155000</v>
      </c>
      <c r="AG15" s="114">
        <f t="shared" si="13"/>
        <v>-0.226160758861707</v>
      </c>
      <c r="AH15" s="108">
        <f t="shared" si="14"/>
        <v>1448493</v>
      </c>
      <c r="AI15" s="108">
        <f t="shared" si="15"/>
        <v>1164064</v>
      </c>
      <c r="AJ15" s="114">
        <f t="shared" si="16"/>
        <v>-0.196362012104995</v>
      </c>
      <c r="AK15" s="108">
        <v>151000</v>
      </c>
      <c r="AL15" s="108">
        <v>445000</v>
      </c>
      <c r="AM15" s="114">
        <f t="shared" si="17"/>
        <v>1.94701986754967</v>
      </c>
      <c r="AN15" s="108">
        <f t="shared" si="18"/>
        <v>1599493</v>
      </c>
      <c r="AO15" s="108">
        <f t="shared" si="19"/>
        <v>1609064</v>
      </c>
      <c r="AP15" s="114">
        <f t="shared" si="20"/>
        <v>0.00598377110746973</v>
      </c>
      <c r="AQ15" s="108">
        <v>472796</v>
      </c>
      <c r="AR15" s="108">
        <v>150000</v>
      </c>
      <c r="AS15" s="114">
        <f t="shared" si="21"/>
        <v>-0.682738432643254</v>
      </c>
      <c r="AT15" s="108">
        <f t="shared" si="22"/>
        <v>2072289</v>
      </c>
      <c r="AU15" s="108">
        <f t="shared" si="23"/>
        <v>1759064</v>
      </c>
      <c r="AV15" s="114">
        <f t="shared" si="24"/>
        <v>-0.151149284679888</v>
      </c>
      <c r="AW15" s="36">
        <v>134750</v>
      </c>
      <c r="AX15" s="36">
        <v>37000</v>
      </c>
      <c r="AY15" s="114">
        <f t="shared" si="25"/>
        <v>-0.725417439703154</v>
      </c>
      <c r="AZ15" s="36">
        <f t="shared" si="26"/>
        <v>2207039</v>
      </c>
      <c r="BA15" s="36">
        <f t="shared" si="27"/>
        <v>1796064</v>
      </c>
      <c r="BB15" s="114">
        <f t="shared" si="28"/>
        <v>-0.186211027535082</v>
      </c>
      <c r="BC15" s="36">
        <v>360300</v>
      </c>
      <c r="BD15" s="36">
        <v>258500</v>
      </c>
      <c r="BE15" s="114">
        <f t="shared" si="29"/>
        <v>-0.282542325839578</v>
      </c>
      <c r="BF15" s="36">
        <f t="shared" si="30"/>
        <v>2567339</v>
      </c>
      <c r="BG15" s="36">
        <f t="shared" si="31"/>
        <v>2054564</v>
      </c>
      <c r="BH15" s="114">
        <f t="shared" si="32"/>
        <v>-0.199730148609124</v>
      </c>
      <c r="BI15" s="108">
        <v>394866</v>
      </c>
      <c r="BJ15" s="108">
        <v>305000</v>
      </c>
      <c r="BK15" s="114">
        <f t="shared" si="33"/>
        <v>-0.227586067172155</v>
      </c>
      <c r="BL15" s="108">
        <f t="shared" si="34"/>
        <v>2962205</v>
      </c>
      <c r="BM15" s="108">
        <f t="shared" si="35"/>
        <v>2359564</v>
      </c>
      <c r="BN15" s="114">
        <f t="shared" si="36"/>
        <v>-0.203443380859866</v>
      </c>
      <c r="BO15" s="108">
        <v>677000</v>
      </c>
      <c r="BP15" s="108">
        <v>600000</v>
      </c>
      <c r="BQ15" s="108">
        <v>4239205</v>
      </c>
      <c r="BR15" s="115">
        <f t="shared" si="37"/>
        <v>0.524347555555556</v>
      </c>
      <c r="BS15" s="108">
        <v>139715</v>
      </c>
    </row>
    <row r="16" spans="1:71">
      <c r="A16" s="110" t="s">
        <v>34</v>
      </c>
      <c r="B16" s="110" t="s">
        <v>34</v>
      </c>
      <c r="C16" s="111" t="s">
        <v>371</v>
      </c>
      <c r="D16" s="112" t="s">
        <v>90</v>
      </c>
      <c r="E16" s="112" t="s">
        <v>90</v>
      </c>
      <c r="F16" s="112" t="s">
        <v>362</v>
      </c>
      <c r="G16" s="266" t="s">
        <v>82</v>
      </c>
      <c r="H16" s="112" t="s">
        <v>90</v>
      </c>
      <c r="I16" s="112"/>
      <c r="J16" s="113">
        <v>359328.06</v>
      </c>
      <c r="K16" s="113">
        <v>209819.54</v>
      </c>
      <c r="L16" s="114">
        <f t="shared" si="0"/>
        <v>-0.416078054132483</v>
      </c>
      <c r="M16" s="113">
        <v>31108.2</v>
      </c>
      <c r="N16" s="113">
        <v>98077.6</v>
      </c>
      <c r="O16" s="114">
        <f t="shared" si="1"/>
        <v>2.15278929671276</v>
      </c>
      <c r="P16" s="113">
        <f t="shared" si="2"/>
        <v>390436.26</v>
      </c>
      <c r="Q16" s="113">
        <f t="shared" si="3"/>
        <v>307897.14</v>
      </c>
      <c r="R16" s="114">
        <f t="shared" si="4"/>
        <v>-0.211402291375294</v>
      </c>
      <c r="S16" s="36">
        <v>122373</v>
      </c>
      <c r="T16" s="36">
        <v>85959.56</v>
      </c>
      <c r="U16" s="114">
        <f t="shared" si="5"/>
        <v>-0.297561063306448</v>
      </c>
      <c r="V16" s="36">
        <f t="shared" si="6"/>
        <v>512809.26</v>
      </c>
      <c r="W16" s="36">
        <f t="shared" si="7"/>
        <v>393856.7</v>
      </c>
      <c r="X16" s="114">
        <f t="shared" si="8"/>
        <v>-0.231962581954936</v>
      </c>
      <c r="Y16" s="36">
        <v>193409.14</v>
      </c>
      <c r="Z16" s="36">
        <v>150343.9</v>
      </c>
      <c r="AA16" s="114">
        <f t="shared" si="9"/>
        <v>-0.22266393408295</v>
      </c>
      <c r="AB16" s="36">
        <f t="shared" si="10"/>
        <v>706218.4</v>
      </c>
      <c r="AC16" s="36">
        <f t="shared" si="11"/>
        <v>544200.6</v>
      </c>
      <c r="AD16" s="114">
        <f t="shared" si="12"/>
        <v>-0.229415999356573</v>
      </c>
      <c r="AE16" s="108">
        <v>273952.8</v>
      </c>
      <c r="AF16" s="108">
        <v>333981.7</v>
      </c>
      <c r="AG16" s="114">
        <f t="shared" si="13"/>
        <v>0.219121323089233</v>
      </c>
      <c r="AH16" s="108">
        <f t="shared" si="14"/>
        <v>980171.2</v>
      </c>
      <c r="AI16" s="108">
        <f t="shared" si="15"/>
        <v>878182.3</v>
      </c>
      <c r="AJ16" s="114">
        <f t="shared" si="16"/>
        <v>-0.104052128852592</v>
      </c>
      <c r="AK16" s="108">
        <v>194775.4</v>
      </c>
      <c r="AL16" s="108">
        <v>148782.46</v>
      </c>
      <c r="AM16" s="114">
        <f t="shared" si="17"/>
        <v>-0.23613320778702</v>
      </c>
      <c r="AN16" s="108">
        <f t="shared" si="18"/>
        <v>1174946.6</v>
      </c>
      <c r="AO16" s="108">
        <f t="shared" si="19"/>
        <v>1026964.76</v>
      </c>
      <c r="AP16" s="114">
        <f t="shared" si="20"/>
        <v>-0.125947715411066</v>
      </c>
      <c r="AQ16" s="108">
        <v>100347.56</v>
      </c>
      <c r="AR16" s="108">
        <v>29372.56</v>
      </c>
      <c r="AS16" s="114">
        <f t="shared" si="21"/>
        <v>-0.707291736839441</v>
      </c>
      <c r="AT16" s="108">
        <f t="shared" si="22"/>
        <v>1275294.16</v>
      </c>
      <c r="AU16" s="108">
        <f t="shared" si="23"/>
        <v>1056337.32</v>
      </c>
      <c r="AV16" s="114">
        <f t="shared" si="24"/>
        <v>-0.171691243375567</v>
      </c>
      <c r="AW16" s="36">
        <v>163598.6</v>
      </c>
      <c r="AX16" s="36">
        <v>21814.36</v>
      </c>
      <c r="AY16" s="114">
        <f t="shared" si="25"/>
        <v>-0.866659250140282</v>
      </c>
      <c r="AZ16" s="36">
        <f t="shared" si="26"/>
        <v>1438892.76</v>
      </c>
      <c r="BA16" s="36">
        <f t="shared" si="27"/>
        <v>1078151.68</v>
      </c>
      <c r="BB16" s="114">
        <f t="shared" si="28"/>
        <v>-0.25070741199643</v>
      </c>
      <c r="BC16" s="36">
        <v>171985.3</v>
      </c>
      <c r="BD16" s="36">
        <v>6070.76</v>
      </c>
      <c r="BE16" s="114">
        <f t="shared" si="29"/>
        <v>-0.964701866961886</v>
      </c>
      <c r="BF16" s="36">
        <f t="shared" si="30"/>
        <v>1610878.06</v>
      </c>
      <c r="BG16" s="36">
        <f t="shared" si="31"/>
        <v>1084222.44</v>
      </c>
      <c r="BH16" s="114">
        <f t="shared" si="32"/>
        <v>-0.326936987396799</v>
      </c>
      <c r="BI16" s="108">
        <v>189329.4</v>
      </c>
      <c r="BJ16" s="108">
        <v>105078.9</v>
      </c>
      <c r="BK16" s="114">
        <f t="shared" si="33"/>
        <v>-0.444994279810743</v>
      </c>
      <c r="BL16" s="108">
        <f t="shared" si="34"/>
        <v>1800207.46</v>
      </c>
      <c r="BM16" s="108">
        <f t="shared" si="35"/>
        <v>1189301.34</v>
      </c>
      <c r="BN16" s="114">
        <f t="shared" si="36"/>
        <v>-0.339353176549996</v>
      </c>
      <c r="BO16" s="108">
        <v>510376.7</v>
      </c>
      <c r="BP16" s="108">
        <v>787432.02</v>
      </c>
      <c r="BQ16" s="108">
        <v>3098016.18</v>
      </c>
      <c r="BR16" s="115" t="e">
        <f t="shared" si="37"/>
        <v>#DIV/0!</v>
      </c>
      <c r="BS16" s="108"/>
    </row>
    <row r="17" spans="1:71">
      <c r="A17" s="110" t="s">
        <v>34</v>
      </c>
      <c r="B17" s="110" t="s">
        <v>34</v>
      </c>
      <c r="C17" s="119" t="s">
        <v>372</v>
      </c>
      <c r="D17" s="112" t="s">
        <v>67</v>
      </c>
      <c r="E17" s="112" t="s">
        <v>67</v>
      </c>
      <c r="F17" s="112" t="s">
        <v>369</v>
      </c>
      <c r="G17" s="112" t="s">
        <v>369</v>
      </c>
      <c r="H17" s="112" t="s">
        <v>363</v>
      </c>
      <c r="I17" s="112">
        <v>180</v>
      </c>
      <c r="J17" s="113">
        <v>190877</v>
      </c>
      <c r="K17" s="113">
        <v>124553</v>
      </c>
      <c r="L17" s="114">
        <f t="shared" si="0"/>
        <v>-0.347469836596342</v>
      </c>
      <c r="M17" s="113">
        <v>115237</v>
      </c>
      <c r="N17" s="113">
        <v>24048</v>
      </c>
      <c r="O17" s="114">
        <f t="shared" si="1"/>
        <v>-0.791317024913873</v>
      </c>
      <c r="P17" s="113">
        <f t="shared" si="2"/>
        <v>306114</v>
      </c>
      <c r="Q17" s="113">
        <f t="shared" si="3"/>
        <v>148601</v>
      </c>
      <c r="R17" s="114">
        <f t="shared" si="4"/>
        <v>-0.514556668430715</v>
      </c>
      <c r="S17" s="36">
        <v>170001</v>
      </c>
      <c r="T17" s="36">
        <v>80216</v>
      </c>
      <c r="U17" s="114">
        <f t="shared" si="5"/>
        <v>-0.528143952094399</v>
      </c>
      <c r="V17" s="36">
        <f t="shared" si="6"/>
        <v>476115</v>
      </c>
      <c r="W17" s="36">
        <f t="shared" si="7"/>
        <v>228817</v>
      </c>
      <c r="X17" s="114">
        <f t="shared" si="8"/>
        <v>-0.519408126188001</v>
      </c>
      <c r="Y17" s="36">
        <v>133545.01</v>
      </c>
      <c r="Z17" s="36">
        <v>116884</v>
      </c>
      <c r="AA17" s="114">
        <f t="shared" si="9"/>
        <v>-0.124759509921037</v>
      </c>
      <c r="AB17" s="36">
        <f t="shared" si="10"/>
        <v>609660.01</v>
      </c>
      <c r="AC17" s="36">
        <f t="shared" si="11"/>
        <v>345701</v>
      </c>
      <c r="AD17" s="114">
        <f t="shared" si="12"/>
        <v>-0.432961003953663</v>
      </c>
      <c r="AE17" s="108">
        <v>137247</v>
      </c>
      <c r="AF17" s="108">
        <v>83303</v>
      </c>
      <c r="AG17" s="114">
        <f t="shared" si="13"/>
        <v>-0.393043199487056</v>
      </c>
      <c r="AH17" s="108">
        <f t="shared" si="14"/>
        <v>746907.01</v>
      </c>
      <c r="AI17" s="108">
        <f t="shared" si="15"/>
        <v>429004</v>
      </c>
      <c r="AJ17" s="114">
        <f t="shared" si="16"/>
        <v>-0.425625955766569</v>
      </c>
      <c r="AK17" s="108">
        <v>73110</v>
      </c>
      <c r="AL17" s="108">
        <v>130252</v>
      </c>
      <c r="AM17" s="114">
        <f t="shared" si="17"/>
        <v>0.781589385856928</v>
      </c>
      <c r="AN17" s="108">
        <f t="shared" si="18"/>
        <v>820017.01</v>
      </c>
      <c r="AO17" s="108">
        <f t="shared" si="19"/>
        <v>559256</v>
      </c>
      <c r="AP17" s="114">
        <f t="shared" si="20"/>
        <v>-0.317994635257627</v>
      </c>
      <c r="AQ17" s="108">
        <v>237026</v>
      </c>
      <c r="AR17" s="108">
        <v>141469</v>
      </c>
      <c r="AS17" s="114">
        <f t="shared" si="21"/>
        <v>-0.403149865415608</v>
      </c>
      <c r="AT17" s="108">
        <f t="shared" si="22"/>
        <v>1057043.01</v>
      </c>
      <c r="AU17" s="108">
        <f t="shared" si="23"/>
        <v>700725</v>
      </c>
      <c r="AV17" s="114">
        <f t="shared" si="24"/>
        <v>-0.337089415122285</v>
      </c>
      <c r="AW17" s="36">
        <v>128884</v>
      </c>
      <c r="AX17" s="36">
        <v>51966</v>
      </c>
      <c r="AY17" s="114">
        <f t="shared" si="25"/>
        <v>-0.596800223456752</v>
      </c>
      <c r="AZ17" s="36">
        <f t="shared" si="26"/>
        <v>1185927.01</v>
      </c>
      <c r="BA17" s="36">
        <f t="shared" si="27"/>
        <v>752691</v>
      </c>
      <c r="BB17" s="114">
        <f t="shared" si="28"/>
        <v>-0.365314227896707</v>
      </c>
      <c r="BC17" s="36">
        <v>187530</v>
      </c>
      <c r="BD17" s="36">
        <v>135236</v>
      </c>
      <c r="BE17" s="114">
        <f t="shared" si="29"/>
        <v>-0.278856716258732</v>
      </c>
      <c r="BF17" s="36">
        <f t="shared" si="30"/>
        <v>1373457.01</v>
      </c>
      <c r="BG17" s="36">
        <f t="shared" si="31"/>
        <v>887927</v>
      </c>
      <c r="BH17" s="114">
        <f t="shared" si="32"/>
        <v>-0.353509433833681</v>
      </c>
      <c r="BI17" s="108">
        <v>134763</v>
      </c>
      <c r="BJ17" s="108">
        <v>72981</v>
      </c>
      <c r="BK17" s="114">
        <f t="shared" si="33"/>
        <v>-0.458449277620712</v>
      </c>
      <c r="BL17" s="108">
        <f t="shared" si="34"/>
        <v>1508220.01</v>
      </c>
      <c r="BM17" s="108">
        <f t="shared" si="35"/>
        <v>960908</v>
      </c>
      <c r="BN17" s="114">
        <f t="shared" si="36"/>
        <v>-0.36288605533088</v>
      </c>
      <c r="BO17" s="108">
        <v>339902</v>
      </c>
      <c r="BP17" s="108">
        <v>248400</v>
      </c>
      <c r="BQ17" s="108">
        <v>2096522.01</v>
      </c>
      <c r="BR17" s="115">
        <f t="shared" si="37"/>
        <v>0.533837777777778</v>
      </c>
      <c r="BS17" s="108">
        <v>46222</v>
      </c>
    </row>
    <row r="18" spans="1:71">
      <c r="A18" s="110" t="s">
        <v>34</v>
      </c>
      <c r="B18" s="110" t="s">
        <v>34</v>
      </c>
      <c r="C18" s="119" t="s">
        <v>373</v>
      </c>
      <c r="D18" s="112" t="s">
        <v>63</v>
      </c>
      <c r="E18" s="112" t="s">
        <v>63</v>
      </c>
      <c r="F18" s="112" t="s">
        <v>354</v>
      </c>
      <c r="G18" s="112" t="s">
        <v>354</v>
      </c>
      <c r="H18" s="112" t="s">
        <v>355</v>
      </c>
      <c r="I18" s="112">
        <v>6</v>
      </c>
      <c r="J18" s="113">
        <v>6016</v>
      </c>
      <c r="K18" s="113"/>
      <c r="L18" s="114">
        <f t="shared" si="0"/>
        <v>-1</v>
      </c>
      <c r="M18" s="113"/>
      <c r="N18" s="113"/>
      <c r="O18" s="114" t="e">
        <f t="shared" si="1"/>
        <v>#DIV/0!</v>
      </c>
      <c r="P18" s="113">
        <f t="shared" si="2"/>
        <v>6016</v>
      </c>
      <c r="Q18" s="113">
        <f t="shared" si="3"/>
        <v>0</v>
      </c>
      <c r="R18" s="114">
        <f t="shared" si="4"/>
        <v>-1</v>
      </c>
      <c r="S18" s="36">
        <v>4163</v>
      </c>
      <c r="T18" s="36">
        <v>4482</v>
      </c>
      <c r="U18" s="114">
        <f t="shared" si="5"/>
        <v>0.0766274321402836</v>
      </c>
      <c r="V18" s="36">
        <f t="shared" si="6"/>
        <v>10179</v>
      </c>
      <c r="W18" s="36">
        <f t="shared" si="7"/>
        <v>4482</v>
      </c>
      <c r="X18" s="114">
        <f t="shared" si="8"/>
        <v>-0.559681697612732</v>
      </c>
      <c r="Y18" s="36">
        <v>2182</v>
      </c>
      <c r="Z18" s="36"/>
      <c r="AA18" s="114">
        <f t="shared" si="9"/>
        <v>-1</v>
      </c>
      <c r="AB18" s="36">
        <f t="shared" si="10"/>
        <v>12361</v>
      </c>
      <c r="AC18" s="36">
        <f t="shared" si="11"/>
        <v>4482</v>
      </c>
      <c r="AD18" s="114">
        <f t="shared" si="12"/>
        <v>-0.637407976700914</v>
      </c>
      <c r="AE18" s="108">
        <v>9620</v>
      </c>
      <c r="AF18" s="108">
        <v>2290</v>
      </c>
      <c r="AG18" s="114">
        <f t="shared" si="13"/>
        <v>-0.761954261954262</v>
      </c>
      <c r="AH18" s="108">
        <f t="shared" si="14"/>
        <v>21981</v>
      </c>
      <c r="AI18" s="108">
        <f t="shared" si="15"/>
        <v>6772</v>
      </c>
      <c r="AJ18" s="114">
        <f t="shared" si="16"/>
        <v>-0.691915745416496</v>
      </c>
      <c r="AK18" s="108">
        <v>12120</v>
      </c>
      <c r="AL18" s="108">
        <v>10188</v>
      </c>
      <c r="AM18" s="114">
        <f t="shared" si="17"/>
        <v>-0.159405940594059</v>
      </c>
      <c r="AN18" s="108">
        <f t="shared" si="18"/>
        <v>34101</v>
      </c>
      <c r="AO18" s="108">
        <f t="shared" si="19"/>
        <v>16960</v>
      </c>
      <c r="AP18" s="114">
        <f t="shared" si="20"/>
        <v>-0.502653881117856</v>
      </c>
      <c r="AQ18" s="108">
        <v>2764</v>
      </c>
      <c r="AR18" s="108"/>
      <c r="AS18" s="114">
        <f t="shared" si="21"/>
        <v>-1</v>
      </c>
      <c r="AT18" s="108">
        <f t="shared" si="22"/>
        <v>36865</v>
      </c>
      <c r="AU18" s="108">
        <f t="shared" si="23"/>
        <v>16960</v>
      </c>
      <c r="AV18" s="114">
        <f t="shared" si="24"/>
        <v>-0.53994303539943</v>
      </c>
      <c r="AW18" s="36"/>
      <c r="AX18" s="36"/>
      <c r="AY18" s="114" t="e">
        <f t="shared" si="25"/>
        <v>#DIV/0!</v>
      </c>
      <c r="AZ18" s="36">
        <f t="shared" si="26"/>
        <v>36865</v>
      </c>
      <c r="BA18" s="36">
        <f t="shared" si="27"/>
        <v>16960</v>
      </c>
      <c r="BB18" s="114">
        <f t="shared" si="28"/>
        <v>-0.53994303539943</v>
      </c>
      <c r="BC18" s="36">
        <v>3730</v>
      </c>
      <c r="BD18" s="36"/>
      <c r="BE18" s="114">
        <f t="shared" si="29"/>
        <v>-1</v>
      </c>
      <c r="BF18" s="36">
        <f t="shared" si="30"/>
        <v>40595</v>
      </c>
      <c r="BG18" s="36">
        <f t="shared" si="31"/>
        <v>16960</v>
      </c>
      <c r="BH18" s="114">
        <f t="shared" si="32"/>
        <v>-0.582214558443158</v>
      </c>
      <c r="BI18" s="108">
        <v>14176</v>
      </c>
      <c r="BJ18" s="108"/>
      <c r="BK18" s="114">
        <f t="shared" si="33"/>
        <v>-1</v>
      </c>
      <c r="BL18" s="108">
        <f t="shared" si="34"/>
        <v>54771</v>
      </c>
      <c r="BM18" s="108">
        <f t="shared" si="35"/>
        <v>16960</v>
      </c>
      <c r="BN18" s="114">
        <f t="shared" si="36"/>
        <v>-0.690347081484727</v>
      </c>
      <c r="BO18" s="108"/>
      <c r="BP18" s="108">
        <v>5086</v>
      </c>
      <c r="BQ18" s="108">
        <v>59857</v>
      </c>
      <c r="BR18" s="115">
        <f t="shared" si="37"/>
        <v>0.282666666666667</v>
      </c>
      <c r="BS18" s="108"/>
    </row>
    <row r="19" spans="1:71">
      <c r="A19" s="110" t="s">
        <v>34</v>
      </c>
      <c r="B19" s="110" t="s">
        <v>34</v>
      </c>
      <c r="C19" s="119" t="s">
        <v>374</v>
      </c>
      <c r="D19" s="112" t="s">
        <v>63</v>
      </c>
      <c r="E19" s="112" t="s">
        <v>63</v>
      </c>
      <c r="F19" s="112" t="s">
        <v>369</v>
      </c>
      <c r="G19" s="112" t="s">
        <v>369</v>
      </c>
      <c r="H19" s="112" t="s">
        <v>363</v>
      </c>
      <c r="I19" s="112">
        <v>10</v>
      </c>
      <c r="J19" s="113">
        <v>790</v>
      </c>
      <c r="K19" s="113">
        <v>2087</v>
      </c>
      <c r="L19" s="114">
        <f t="shared" si="0"/>
        <v>1.64177215189873</v>
      </c>
      <c r="M19" s="113"/>
      <c r="N19" s="113"/>
      <c r="O19" s="114" t="e">
        <f t="shared" si="1"/>
        <v>#DIV/0!</v>
      </c>
      <c r="P19" s="113">
        <f t="shared" si="2"/>
        <v>790</v>
      </c>
      <c r="Q19" s="113">
        <f t="shared" si="3"/>
        <v>2087</v>
      </c>
      <c r="R19" s="114">
        <f t="shared" si="4"/>
        <v>1.64177215189873</v>
      </c>
      <c r="S19" s="36">
        <v>12209</v>
      </c>
      <c r="T19" s="36">
        <v>13450</v>
      </c>
      <c r="U19" s="114">
        <f t="shared" si="5"/>
        <v>0.101646326480465</v>
      </c>
      <c r="V19" s="36">
        <f t="shared" si="6"/>
        <v>12999</v>
      </c>
      <c r="W19" s="36">
        <f t="shared" si="7"/>
        <v>15537</v>
      </c>
      <c r="X19" s="114">
        <f t="shared" si="8"/>
        <v>0.195245788137549</v>
      </c>
      <c r="Y19" s="36"/>
      <c r="Z19" s="36"/>
      <c r="AA19" s="114" t="e">
        <f t="shared" si="9"/>
        <v>#DIV/0!</v>
      </c>
      <c r="AB19" s="36">
        <f t="shared" si="10"/>
        <v>12999</v>
      </c>
      <c r="AC19" s="36">
        <f t="shared" si="11"/>
        <v>15537</v>
      </c>
      <c r="AD19" s="114">
        <f t="shared" si="12"/>
        <v>0.195245788137549</v>
      </c>
      <c r="AE19" s="108"/>
      <c r="AF19" s="108">
        <v>7030</v>
      </c>
      <c r="AG19" s="114" t="e">
        <f t="shared" si="13"/>
        <v>#DIV/0!</v>
      </c>
      <c r="AH19" s="108">
        <f t="shared" si="14"/>
        <v>12999</v>
      </c>
      <c r="AI19" s="108">
        <f t="shared" si="15"/>
        <v>22567</v>
      </c>
      <c r="AJ19" s="114">
        <f t="shared" si="16"/>
        <v>0.73605661973998</v>
      </c>
      <c r="AK19" s="108"/>
      <c r="AL19" s="108"/>
      <c r="AM19" s="114" t="e">
        <f t="shared" si="17"/>
        <v>#DIV/0!</v>
      </c>
      <c r="AN19" s="108">
        <f t="shared" si="18"/>
        <v>12999</v>
      </c>
      <c r="AO19" s="108">
        <f t="shared" si="19"/>
        <v>22567</v>
      </c>
      <c r="AP19" s="114">
        <f t="shared" si="20"/>
        <v>0.73605661973998</v>
      </c>
      <c r="AQ19" s="108"/>
      <c r="AR19" s="108">
        <v>4580</v>
      </c>
      <c r="AS19" s="114" t="e">
        <f t="shared" si="21"/>
        <v>#DIV/0!</v>
      </c>
      <c r="AT19" s="108">
        <f t="shared" si="22"/>
        <v>12999</v>
      </c>
      <c r="AU19" s="108">
        <f t="shared" si="23"/>
        <v>27147</v>
      </c>
      <c r="AV19" s="114">
        <f t="shared" si="24"/>
        <v>1.08839141472421</v>
      </c>
      <c r="AW19" s="36">
        <v>3273</v>
      </c>
      <c r="AX19" s="36"/>
      <c r="AY19" s="114">
        <f t="shared" si="25"/>
        <v>-1</v>
      </c>
      <c r="AZ19" s="36">
        <f t="shared" si="26"/>
        <v>16272</v>
      </c>
      <c r="BA19" s="36">
        <f t="shared" si="27"/>
        <v>27147</v>
      </c>
      <c r="BB19" s="114">
        <f t="shared" si="28"/>
        <v>0.668325958702065</v>
      </c>
      <c r="BC19" s="36"/>
      <c r="BD19" s="36"/>
      <c r="BE19" s="114" t="e">
        <f t="shared" si="29"/>
        <v>#DIV/0!</v>
      </c>
      <c r="BF19" s="36">
        <f t="shared" si="30"/>
        <v>16272</v>
      </c>
      <c r="BG19" s="36">
        <f t="shared" si="31"/>
        <v>27147</v>
      </c>
      <c r="BH19" s="114">
        <f t="shared" si="32"/>
        <v>0.668325958702065</v>
      </c>
      <c r="BI19" s="108"/>
      <c r="BJ19" s="108">
        <v>30000</v>
      </c>
      <c r="BK19" s="114" t="e">
        <f t="shared" si="33"/>
        <v>#DIV/0!</v>
      </c>
      <c r="BL19" s="108">
        <f t="shared" si="34"/>
        <v>16272</v>
      </c>
      <c r="BM19" s="108">
        <f t="shared" si="35"/>
        <v>57147</v>
      </c>
      <c r="BN19" s="114">
        <f t="shared" si="36"/>
        <v>2.51198377581121</v>
      </c>
      <c r="BO19" s="108">
        <v>11527</v>
      </c>
      <c r="BP19" s="108"/>
      <c r="BQ19" s="108">
        <v>27799</v>
      </c>
      <c r="BR19" s="115">
        <f t="shared" si="37"/>
        <v>0.57147</v>
      </c>
      <c r="BS19" s="108"/>
    </row>
    <row r="20" spans="1:71">
      <c r="A20" s="110" t="s">
        <v>34</v>
      </c>
      <c r="B20" s="110" t="s">
        <v>34</v>
      </c>
      <c r="C20" s="119" t="s">
        <v>375</v>
      </c>
      <c r="D20" s="112" t="s">
        <v>63</v>
      </c>
      <c r="E20" s="112" t="s">
        <v>63</v>
      </c>
      <c r="F20" s="112" t="s">
        <v>369</v>
      </c>
      <c r="G20" s="112" t="s">
        <v>369</v>
      </c>
      <c r="H20" s="112" t="s">
        <v>363</v>
      </c>
      <c r="I20" s="112">
        <v>20</v>
      </c>
      <c r="J20" s="113">
        <v>12124</v>
      </c>
      <c r="K20" s="113">
        <v>4502</v>
      </c>
      <c r="L20" s="114">
        <f t="shared" si="0"/>
        <v>-0.628670405806664</v>
      </c>
      <c r="M20" s="113"/>
      <c r="N20" s="113"/>
      <c r="O20" s="114" t="e">
        <f t="shared" si="1"/>
        <v>#DIV/0!</v>
      </c>
      <c r="P20" s="113">
        <f t="shared" si="2"/>
        <v>12124</v>
      </c>
      <c r="Q20" s="113">
        <f t="shared" si="3"/>
        <v>4502</v>
      </c>
      <c r="R20" s="114">
        <f t="shared" si="4"/>
        <v>-0.628670405806664</v>
      </c>
      <c r="S20" s="36">
        <v>8622</v>
      </c>
      <c r="T20" s="36">
        <v>3150</v>
      </c>
      <c r="U20" s="114">
        <f t="shared" si="5"/>
        <v>-0.634655532359081</v>
      </c>
      <c r="V20" s="36">
        <f t="shared" si="6"/>
        <v>20746</v>
      </c>
      <c r="W20" s="36">
        <f t="shared" si="7"/>
        <v>7652</v>
      </c>
      <c r="X20" s="114">
        <f t="shared" si="8"/>
        <v>-0.63115781355442</v>
      </c>
      <c r="Y20" s="36">
        <v>6511</v>
      </c>
      <c r="Z20" s="36">
        <v>4074</v>
      </c>
      <c r="AA20" s="114">
        <f t="shared" si="9"/>
        <v>-0.374289663646137</v>
      </c>
      <c r="AB20" s="36">
        <f t="shared" si="10"/>
        <v>27257</v>
      </c>
      <c r="AC20" s="36">
        <f t="shared" si="11"/>
        <v>11726</v>
      </c>
      <c r="AD20" s="114">
        <f t="shared" si="12"/>
        <v>-0.56979858385002</v>
      </c>
      <c r="AE20" s="108"/>
      <c r="AF20" s="108">
        <v>5828</v>
      </c>
      <c r="AG20" s="114" t="e">
        <f t="shared" si="13"/>
        <v>#DIV/0!</v>
      </c>
      <c r="AH20" s="108">
        <f t="shared" si="14"/>
        <v>27257</v>
      </c>
      <c r="AI20" s="108">
        <f t="shared" si="15"/>
        <v>17554</v>
      </c>
      <c r="AJ20" s="114">
        <f t="shared" si="16"/>
        <v>-0.355981949590931</v>
      </c>
      <c r="AK20" s="108">
        <v>3647</v>
      </c>
      <c r="AL20" s="108"/>
      <c r="AM20" s="114">
        <f t="shared" si="17"/>
        <v>-1</v>
      </c>
      <c r="AN20" s="108">
        <f t="shared" si="18"/>
        <v>30904</v>
      </c>
      <c r="AO20" s="108">
        <f t="shared" si="19"/>
        <v>17554</v>
      </c>
      <c r="AP20" s="114">
        <f t="shared" si="20"/>
        <v>-0.431982914833031</v>
      </c>
      <c r="AQ20" s="108">
        <v>11076</v>
      </c>
      <c r="AR20" s="108">
        <v>16590</v>
      </c>
      <c r="AS20" s="114">
        <f t="shared" si="21"/>
        <v>0.49783315276273</v>
      </c>
      <c r="AT20" s="108">
        <f t="shared" si="22"/>
        <v>41980</v>
      </c>
      <c r="AU20" s="108">
        <f t="shared" si="23"/>
        <v>34144</v>
      </c>
      <c r="AV20" s="114">
        <f t="shared" si="24"/>
        <v>-0.186660314435445</v>
      </c>
      <c r="AW20" s="36"/>
      <c r="AX20" s="36"/>
      <c r="AY20" s="114" t="e">
        <f t="shared" si="25"/>
        <v>#DIV/0!</v>
      </c>
      <c r="AZ20" s="36">
        <f t="shared" si="26"/>
        <v>41980</v>
      </c>
      <c r="BA20" s="36">
        <f t="shared" si="27"/>
        <v>34144</v>
      </c>
      <c r="BB20" s="114">
        <f t="shared" si="28"/>
        <v>-0.186660314435445</v>
      </c>
      <c r="BC20" s="36"/>
      <c r="BD20" s="36">
        <v>11694</v>
      </c>
      <c r="BE20" s="114" t="e">
        <f t="shared" si="29"/>
        <v>#DIV/0!</v>
      </c>
      <c r="BF20" s="36">
        <f t="shared" si="30"/>
        <v>41980</v>
      </c>
      <c r="BG20" s="36">
        <f t="shared" si="31"/>
        <v>45838</v>
      </c>
      <c r="BH20" s="114">
        <f t="shared" si="32"/>
        <v>0.0919009051929491</v>
      </c>
      <c r="BI20" s="108"/>
      <c r="BJ20" s="108"/>
      <c r="BK20" s="114" t="e">
        <f t="shared" si="33"/>
        <v>#DIV/0!</v>
      </c>
      <c r="BL20" s="108">
        <f t="shared" si="34"/>
        <v>41980</v>
      </c>
      <c r="BM20" s="108">
        <f t="shared" si="35"/>
        <v>45838</v>
      </c>
      <c r="BN20" s="114">
        <f t="shared" si="36"/>
        <v>0.0919009051929491</v>
      </c>
      <c r="BO20" s="108"/>
      <c r="BP20" s="108">
        <v>18931</v>
      </c>
      <c r="BQ20" s="108">
        <v>60911</v>
      </c>
      <c r="BR20" s="115">
        <f t="shared" si="37"/>
        <v>0.22919</v>
      </c>
      <c r="BS20" s="108"/>
    </row>
    <row r="21" spans="1:71">
      <c r="A21" s="110" t="s">
        <v>34</v>
      </c>
      <c r="B21" s="110" t="s">
        <v>34</v>
      </c>
      <c r="C21" s="119" t="s">
        <v>376</v>
      </c>
      <c r="D21" s="112" t="s">
        <v>63</v>
      </c>
      <c r="E21" s="112" t="s">
        <v>63</v>
      </c>
      <c r="F21" s="112" t="s">
        <v>369</v>
      </c>
      <c r="G21" s="112" t="s">
        <v>369</v>
      </c>
      <c r="H21" s="112" t="s">
        <v>363</v>
      </c>
      <c r="I21" s="112"/>
      <c r="J21" s="113"/>
      <c r="K21" s="113"/>
      <c r="L21" s="114" t="e">
        <f t="shared" si="0"/>
        <v>#DIV/0!</v>
      </c>
      <c r="M21" s="113"/>
      <c r="N21" s="113"/>
      <c r="O21" s="114" t="e">
        <f t="shared" si="1"/>
        <v>#DIV/0!</v>
      </c>
      <c r="P21" s="113">
        <f t="shared" si="2"/>
        <v>0</v>
      </c>
      <c r="Q21" s="113">
        <f t="shared" si="3"/>
        <v>0</v>
      </c>
      <c r="R21" s="114" t="e">
        <f t="shared" si="4"/>
        <v>#DIV/0!</v>
      </c>
      <c r="S21" s="36"/>
      <c r="T21" s="36"/>
      <c r="U21" s="114" t="e">
        <f t="shared" si="5"/>
        <v>#DIV/0!</v>
      </c>
      <c r="V21" s="36">
        <f t="shared" si="6"/>
        <v>0</v>
      </c>
      <c r="W21" s="36">
        <f t="shared" si="7"/>
        <v>0</v>
      </c>
      <c r="X21" s="114" t="e">
        <f t="shared" si="8"/>
        <v>#DIV/0!</v>
      </c>
      <c r="Y21" s="36"/>
      <c r="Z21" s="36"/>
      <c r="AA21" s="114" t="e">
        <f t="shared" si="9"/>
        <v>#DIV/0!</v>
      </c>
      <c r="AB21" s="36">
        <f t="shared" si="10"/>
        <v>0</v>
      </c>
      <c r="AC21" s="36">
        <f t="shared" si="11"/>
        <v>0</v>
      </c>
      <c r="AD21" s="114" t="e">
        <f t="shared" si="12"/>
        <v>#DIV/0!</v>
      </c>
      <c r="AE21" s="108"/>
      <c r="AF21" s="108"/>
      <c r="AG21" s="114" t="e">
        <f t="shared" si="13"/>
        <v>#DIV/0!</v>
      </c>
      <c r="AH21" s="108">
        <f t="shared" si="14"/>
        <v>0</v>
      </c>
      <c r="AI21" s="108">
        <f t="shared" si="15"/>
        <v>0</v>
      </c>
      <c r="AJ21" s="114" t="e">
        <f t="shared" si="16"/>
        <v>#DIV/0!</v>
      </c>
      <c r="AK21" s="108"/>
      <c r="AL21" s="108"/>
      <c r="AM21" s="114" t="e">
        <f t="shared" si="17"/>
        <v>#DIV/0!</v>
      </c>
      <c r="AN21" s="108">
        <f t="shared" si="18"/>
        <v>0</v>
      </c>
      <c r="AO21" s="108">
        <f t="shared" si="19"/>
        <v>0</v>
      </c>
      <c r="AP21" s="114" t="e">
        <f t="shared" si="20"/>
        <v>#DIV/0!</v>
      </c>
      <c r="AQ21" s="108">
        <v>9300</v>
      </c>
      <c r="AR21" s="108"/>
      <c r="AS21" s="114">
        <f t="shared" si="21"/>
        <v>-1</v>
      </c>
      <c r="AT21" s="108">
        <f t="shared" si="22"/>
        <v>9300</v>
      </c>
      <c r="AU21" s="108">
        <f t="shared" si="23"/>
        <v>0</v>
      </c>
      <c r="AV21" s="114">
        <f t="shared" si="24"/>
        <v>-1</v>
      </c>
      <c r="AW21" s="36"/>
      <c r="AX21" s="36"/>
      <c r="AY21" s="114" t="e">
        <f t="shared" si="25"/>
        <v>#DIV/0!</v>
      </c>
      <c r="AZ21" s="36">
        <f t="shared" si="26"/>
        <v>9300</v>
      </c>
      <c r="BA21" s="36">
        <f t="shared" si="27"/>
        <v>0</v>
      </c>
      <c r="BB21" s="114">
        <f t="shared" si="28"/>
        <v>-1</v>
      </c>
      <c r="BC21" s="36"/>
      <c r="BD21" s="36"/>
      <c r="BE21" s="114" t="e">
        <f t="shared" si="29"/>
        <v>#DIV/0!</v>
      </c>
      <c r="BF21" s="36">
        <f t="shared" si="30"/>
        <v>9300</v>
      </c>
      <c r="BG21" s="36">
        <f t="shared" si="31"/>
        <v>0</v>
      </c>
      <c r="BH21" s="114">
        <f t="shared" si="32"/>
        <v>-1</v>
      </c>
      <c r="BI21" s="108"/>
      <c r="BJ21" s="108"/>
      <c r="BK21" s="114" t="e">
        <f t="shared" si="33"/>
        <v>#DIV/0!</v>
      </c>
      <c r="BL21" s="108">
        <f t="shared" si="34"/>
        <v>9300</v>
      </c>
      <c r="BM21" s="108">
        <f t="shared" si="35"/>
        <v>0</v>
      </c>
      <c r="BN21" s="114">
        <f t="shared" si="36"/>
        <v>-1</v>
      </c>
      <c r="BO21" s="108"/>
      <c r="BP21" s="108"/>
      <c r="BQ21" s="108">
        <v>9300</v>
      </c>
      <c r="BR21" s="115" t="e">
        <f t="shared" si="37"/>
        <v>#DIV/0!</v>
      </c>
      <c r="BS21" s="108"/>
    </row>
    <row r="22" spans="1:71">
      <c r="A22" s="110" t="s">
        <v>34</v>
      </c>
      <c r="B22" s="110" t="s">
        <v>34</v>
      </c>
      <c r="C22" s="119" t="s">
        <v>377</v>
      </c>
      <c r="D22" s="112" t="s">
        <v>63</v>
      </c>
      <c r="E22" s="112" t="s">
        <v>63</v>
      </c>
      <c r="F22" s="112" t="s">
        <v>369</v>
      </c>
      <c r="G22" s="112" t="s">
        <v>369</v>
      </c>
      <c r="H22" s="112" t="s">
        <v>363</v>
      </c>
      <c r="I22" s="112">
        <v>10</v>
      </c>
      <c r="J22" s="113">
        <v>11621</v>
      </c>
      <c r="K22" s="113">
        <v>3730</v>
      </c>
      <c r="L22" s="114">
        <f t="shared" si="0"/>
        <v>-0.679029343429997</v>
      </c>
      <c r="M22" s="113">
        <v>36823</v>
      </c>
      <c r="N22" s="113"/>
      <c r="O22" s="114">
        <f t="shared" si="1"/>
        <v>-1</v>
      </c>
      <c r="P22" s="113">
        <f t="shared" si="2"/>
        <v>48444</v>
      </c>
      <c r="Q22" s="113">
        <f t="shared" si="3"/>
        <v>3730</v>
      </c>
      <c r="R22" s="114">
        <f t="shared" si="4"/>
        <v>-0.923003880769548</v>
      </c>
      <c r="S22" s="36">
        <v>4256</v>
      </c>
      <c r="T22" s="36">
        <v>22606</v>
      </c>
      <c r="U22" s="114">
        <f t="shared" si="5"/>
        <v>4.31156015037594</v>
      </c>
      <c r="V22" s="36">
        <f t="shared" si="6"/>
        <v>52700</v>
      </c>
      <c r="W22" s="36">
        <f t="shared" si="7"/>
        <v>26336</v>
      </c>
      <c r="X22" s="114">
        <f t="shared" si="8"/>
        <v>-0.500265654648956</v>
      </c>
      <c r="Y22" s="36"/>
      <c r="Z22" s="36">
        <v>11573</v>
      </c>
      <c r="AA22" s="114" t="e">
        <f t="shared" si="9"/>
        <v>#DIV/0!</v>
      </c>
      <c r="AB22" s="36">
        <f t="shared" si="10"/>
        <v>52700</v>
      </c>
      <c r="AC22" s="36">
        <f t="shared" si="11"/>
        <v>37909</v>
      </c>
      <c r="AD22" s="114">
        <f t="shared" si="12"/>
        <v>-0.280664136622391</v>
      </c>
      <c r="AE22" s="108">
        <v>35183</v>
      </c>
      <c r="AF22" s="108"/>
      <c r="AG22" s="114">
        <f t="shared" si="13"/>
        <v>-1</v>
      </c>
      <c r="AH22" s="108">
        <f t="shared" si="14"/>
        <v>87883</v>
      </c>
      <c r="AI22" s="108">
        <f t="shared" si="15"/>
        <v>37909</v>
      </c>
      <c r="AJ22" s="114">
        <f t="shared" si="16"/>
        <v>-0.568642399553952</v>
      </c>
      <c r="AK22" s="108"/>
      <c r="AL22" s="108"/>
      <c r="AM22" s="114" t="e">
        <f t="shared" si="17"/>
        <v>#DIV/0!</v>
      </c>
      <c r="AN22" s="108">
        <f t="shared" si="18"/>
        <v>87883</v>
      </c>
      <c r="AO22" s="108">
        <f t="shared" si="19"/>
        <v>37909</v>
      </c>
      <c r="AP22" s="114">
        <f t="shared" si="20"/>
        <v>-0.568642399553952</v>
      </c>
      <c r="AQ22" s="108">
        <v>35458</v>
      </c>
      <c r="AR22" s="108">
        <v>6025</v>
      </c>
      <c r="AS22" s="114">
        <f t="shared" si="21"/>
        <v>-0.830080658807603</v>
      </c>
      <c r="AT22" s="108">
        <f t="shared" si="22"/>
        <v>123341</v>
      </c>
      <c r="AU22" s="108">
        <f t="shared" si="23"/>
        <v>43934</v>
      </c>
      <c r="AV22" s="114">
        <f t="shared" si="24"/>
        <v>-0.643800520508185</v>
      </c>
      <c r="AW22" s="36">
        <v>18517</v>
      </c>
      <c r="AX22" s="36"/>
      <c r="AY22" s="114">
        <f t="shared" si="25"/>
        <v>-1</v>
      </c>
      <c r="AZ22" s="36">
        <f t="shared" si="26"/>
        <v>141858</v>
      </c>
      <c r="BA22" s="36">
        <f t="shared" si="27"/>
        <v>43934</v>
      </c>
      <c r="BB22" s="114">
        <f t="shared" si="28"/>
        <v>-0.690295929732549</v>
      </c>
      <c r="BC22" s="36">
        <v>29469</v>
      </c>
      <c r="BD22" s="36"/>
      <c r="BE22" s="114">
        <f t="shared" si="29"/>
        <v>-1</v>
      </c>
      <c r="BF22" s="36">
        <f t="shared" si="30"/>
        <v>171327</v>
      </c>
      <c r="BG22" s="36">
        <f t="shared" si="31"/>
        <v>43934</v>
      </c>
      <c r="BH22" s="114">
        <f t="shared" si="32"/>
        <v>-0.743566396423214</v>
      </c>
      <c r="BI22" s="108">
        <v>20687</v>
      </c>
      <c r="BJ22" s="108"/>
      <c r="BK22" s="114">
        <f t="shared" si="33"/>
        <v>-1</v>
      </c>
      <c r="BL22" s="108">
        <f t="shared" si="34"/>
        <v>192014</v>
      </c>
      <c r="BM22" s="108">
        <f t="shared" si="35"/>
        <v>43934</v>
      </c>
      <c r="BN22" s="114">
        <f t="shared" si="36"/>
        <v>-0.771193767121147</v>
      </c>
      <c r="BO22" s="108"/>
      <c r="BP22" s="108">
        <v>18822</v>
      </c>
      <c r="BQ22" s="108">
        <v>210836</v>
      </c>
      <c r="BR22" s="115">
        <f t="shared" si="37"/>
        <v>0.43934</v>
      </c>
      <c r="BS22" s="108"/>
    </row>
    <row r="23" spans="1:71">
      <c r="A23" s="110" t="s">
        <v>34</v>
      </c>
      <c r="B23" s="110" t="s">
        <v>34</v>
      </c>
      <c r="C23" s="119" t="s">
        <v>378</v>
      </c>
      <c r="D23" s="112" t="s">
        <v>63</v>
      </c>
      <c r="E23" s="112" t="s">
        <v>63</v>
      </c>
      <c r="F23" s="112" t="s">
        <v>379</v>
      </c>
      <c r="G23" s="112" t="s">
        <v>379</v>
      </c>
      <c r="H23" s="112" t="s">
        <v>363</v>
      </c>
      <c r="I23" s="112">
        <v>10</v>
      </c>
      <c r="J23" s="113">
        <v>5096</v>
      </c>
      <c r="K23" s="113"/>
      <c r="L23" s="114">
        <f t="shared" si="0"/>
        <v>-1</v>
      </c>
      <c r="M23" s="113">
        <v>15039</v>
      </c>
      <c r="N23" s="113"/>
      <c r="O23" s="114">
        <f t="shared" si="1"/>
        <v>-1</v>
      </c>
      <c r="P23" s="113">
        <f t="shared" si="2"/>
        <v>20135</v>
      </c>
      <c r="Q23" s="113">
        <f t="shared" si="3"/>
        <v>0</v>
      </c>
      <c r="R23" s="114">
        <f t="shared" si="4"/>
        <v>-1</v>
      </c>
      <c r="S23" s="36"/>
      <c r="T23" s="36"/>
      <c r="U23" s="114" t="e">
        <f t="shared" si="5"/>
        <v>#DIV/0!</v>
      </c>
      <c r="V23" s="36">
        <f t="shared" si="6"/>
        <v>20135</v>
      </c>
      <c r="W23" s="36">
        <f t="shared" si="7"/>
        <v>0</v>
      </c>
      <c r="X23" s="114">
        <f t="shared" si="8"/>
        <v>-1</v>
      </c>
      <c r="Y23" s="36"/>
      <c r="Z23" s="36"/>
      <c r="AA23" s="114" t="e">
        <f t="shared" si="9"/>
        <v>#DIV/0!</v>
      </c>
      <c r="AB23" s="36">
        <f t="shared" si="10"/>
        <v>20135</v>
      </c>
      <c r="AC23" s="36">
        <f t="shared" si="11"/>
        <v>0</v>
      </c>
      <c r="AD23" s="114">
        <f t="shared" si="12"/>
        <v>-1</v>
      </c>
      <c r="AE23" s="108">
        <v>5156</v>
      </c>
      <c r="AF23" s="108"/>
      <c r="AG23" s="114">
        <f t="shared" si="13"/>
        <v>-1</v>
      </c>
      <c r="AH23" s="108">
        <f t="shared" si="14"/>
        <v>25291</v>
      </c>
      <c r="AI23" s="108">
        <f t="shared" si="15"/>
        <v>0</v>
      </c>
      <c r="AJ23" s="114">
        <f t="shared" si="16"/>
        <v>-1</v>
      </c>
      <c r="AK23" s="108"/>
      <c r="AL23" s="108"/>
      <c r="AM23" s="114" t="e">
        <f t="shared" si="17"/>
        <v>#DIV/0!</v>
      </c>
      <c r="AN23" s="108">
        <f t="shared" si="18"/>
        <v>25291</v>
      </c>
      <c r="AO23" s="108">
        <f t="shared" si="19"/>
        <v>0</v>
      </c>
      <c r="AP23" s="114">
        <f t="shared" si="20"/>
        <v>-1</v>
      </c>
      <c r="AQ23" s="108"/>
      <c r="AR23" s="108"/>
      <c r="AS23" s="114" t="e">
        <f t="shared" si="21"/>
        <v>#DIV/0!</v>
      </c>
      <c r="AT23" s="108">
        <f t="shared" si="22"/>
        <v>25291</v>
      </c>
      <c r="AU23" s="108">
        <f t="shared" si="23"/>
        <v>0</v>
      </c>
      <c r="AV23" s="114">
        <f t="shared" si="24"/>
        <v>-1</v>
      </c>
      <c r="AW23" s="36"/>
      <c r="AX23" s="36"/>
      <c r="AY23" s="114" t="e">
        <f t="shared" si="25"/>
        <v>#DIV/0!</v>
      </c>
      <c r="AZ23" s="36">
        <f t="shared" si="26"/>
        <v>25291</v>
      </c>
      <c r="BA23" s="36">
        <f t="shared" si="27"/>
        <v>0</v>
      </c>
      <c r="BB23" s="114">
        <f t="shared" si="28"/>
        <v>-1</v>
      </c>
      <c r="BC23" s="36">
        <v>2890</v>
      </c>
      <c r="BD23" s="36"/>
      <c r="BE23" s="114">
        <f t="shared" si="29"/>
        <v>-1</v>
      </c>
      <c r="BF23" s="36">
        <f t="shared" si="30"/>
        <v>28181</v>
      </c>
      <c r="BG23" s="36">
        <f t="shared" si="31"/>
        <v>0</v>
      </c>
      <c r="BH23" s="114">
        <f t="shared" si="32"/>
        <v>-1</v>
      </c>
      <c r="BI23" s="108"/>
      <c r="BJ23" s="108"/>
      <c r="BK23" s="114" t="e">
        <f t="shared" si="33"/>
        <v>#DIV/0!</v>
      </c>
      <c r="BL23" s="108">
        <f t="shared" si="34"/>
        <v>28181</v>
      </c>
      <c r="BM23" s="108">
        <f t="shared" si="35"/>
        <v>0</v>
      </c>
      <c r="BN23" s="114">
        <f t="shared" si="36"/>
        <v>-1</v>
      </c>
      <c r="BO23" s="108">
        <v>11211</v>
      </c>
      <c r="BP23" s="108">
        <v>2243</v>
      </c>
      <c r="BQ23" s="108">
        <v>41635</v>
      </c>
      <c r="BR23" s="115">
        <f t="shared" si="37"/>
        <v>0</v>
      </c>
      <c r="BS23" s="108"/>
    </row>
    <row r="24" spans="1:71">
      <c r="A24" s="110" t="s">
        <v>34</v>
      </c>
      <c r="B24" s="110" t="s">
        <v>34</v>
      </c>
      <c r="C24" s="119" t="s">
        <v>380</v>
      </c>
      <c r="D24" s="112" t="s">
        <v>63</v>
      </c>
      <c r="E24" s="112" t="s">
        <v>63</v>
      </c>
      <c r="F24" s="112" t="s">
        <v>362</v>
      </c>
      <c r="G24" s="112" t="s">
        <v>367</v>
      </c>
      <c r="H24" s="112" t="s">
        <v>363</v>
      </c>
      <c r="I24" s="112">
        <v>10</v>
      </c>
      <c r="J24" s="113"/>
      <c r="K24" s="113">
        <v>5412</v>
      </c>
      <c r="L24" s="114" t="e">
        <f t="shared" si="0"/>
        <v>#DIV/0!</v>
      </c>
      <c r="M24" s="113">
        <v>10342</v>
      </c>
      <c r="N24" s="113">
        <v>2472</v>
      </c>
      <c r="O24" s="114">
        <f t="shared" si="1"/>
        <v>-0.760974666408818</v>
      </c>
      <c r="P24" s="113">
        <f t="shared" si="2"/>
        <v>10342</v>
      </c>
      <c r="Q24" s="113">
        <f t="shared" si="3"/>
        <v>7884</v>
      </c>
      <c r="R24" s="114">
        <f t="shared" si="4"/>
        <v>-0.2376716302456</v>
      </c>
      <c r="S24" s="36"/>
      <c r="T24" s="36"/>
      <c r="U24" s="114" t="e">
        <f t="shared" si="5"/>
        <v>#DIV/0!</v>
      </c>
      <c r="V24" s="36">
        <f t="shared" si="6"/>
        <v>10342</v>
      </c>
      <c r="W24" s="36">
        <f t="shared" si="7"/>
        <v>7884</v>
      </c>
      <c r="X24" s="114">
        <f t="shared" si="8"/>
        <v>-0.2376716302456</v>
      </c>
      <c r="Y24" s="36">
        <v>2866</v>
      </c>
      <c r="Z24" s="36"/>
      <c r="AA24" s="114">
        <f t="shared" si="9"/>
        <v>-1</v>
      </c>
      <c r="AB24" s="36">
        <f t="shared" si="10"/>
        <v>13208</v>
      </c>
      <c r="AC24" s="36">
        <f t="shared" si="11"/>
        <v>7884</v>
      </c>
      <c r="AD24" s="114">
        <f t="shared" si="12"/>
        <v>-0.403089036947305</v>
      </c>
      <c r="AE24" s="108">
        <v>13931</v>
      </c>
      <c r="AF24" s="108">
        <v>2290</v>
      </c>
      <c r="AG24" s="114">
        <f t="shared" si="13"/>
        <v>-0.835618404996052</v>
      </c>
      <c r="AH24" s="108">
        <f t="shared" si="14"/>
        <v>27139</v>
      </c>
      <c r="AI24" s="108">
        <f t="shared" si="15"/>
        <v>10174</v>
      </c>
      <c r="AJ24" s="114">
        <f t="shared" si="16"/>
        <v>-0.625115147942076</v>
      </c>
      <c r="AK24" s="108">
        <v>7143</v>
      </c>
      <c r="AL24" s="108">
        <v>3236</v>
      </c>
      <c r="AM24" s="114">
        <f t="shared" si="17"/>
        <v>-0.546969060618788</v>
      </c>
      <c r="AN24" s="108">
        <f t="shared" si="18"/>
        <v>34282</v>
      </c>
      <c r="AO24" s="108">
        <f t="shared" si="19"/>
        <v>13410</v>
      </c>
      <c r="AP24" s="114">
        <f t="shared" si="20"/>
        <v>-0.608832623534216</v>
      </c>
      <c r="AQ24" s="108">
        <v>4821</v>
      </c>
      <c r="AR24" s="108">
        <v>10</v>
      </c>
      <c r="AS24" s="114">
        <f t="shared" si="21"/>
        <v>-0.997925741547397</v>
      </c>
      <c r="AT24" s="108">
        <f t="shared" si="22"/>
        <v>39103</v>
      </c>
      <c r="AU24" s="108">
        <f t="shared" si="23"/>
        <v>13420</v>
      </c>
      <c r="AV24" s="114">
        <f t="shared" si="24"/>
        <v>-0.656803825793417</v>
      </c>
      <c r="AW24" s="36">
        <v>2751</v>
      </c>
      <c r="AX24" s="36"/>
      <c r="AY24" s="114">
        <f t="shared" si="25"/>
        <v>-1</v>
      </c>
      <c r="AZ24" s="36">
        <f t="shared" si="26"/>
        <v>41854</v>
      </c>
      <c r="BA24" s="36">
        <f t="shared" si="27"/>
        <v>13420</v>
      </c>
      <c r="BB24" s="114">
        <f t="shared" si="28"/>
        <v>-0.679361590290056</v>
      </c>
      <c r="BC24" s="36">
        <v>5110</v>
      </c>
      <c r="BD24" s="36"/>
      <c r="BE24" s="114">
        <f t="shared" si="29"/>
        <v>-1</v>
      </c>
      <c r="BF24" s="36">
        <f t="shared" si="30"/>
        <v>46964</v>
      </c>
      <c r="BG24" s="36">
        <f t="shared" si="31"/>
        <v>13420</v>
      </c>
      <c r="BH24" s="114">
        <f t="shared" si="32"/>
        <v>-0.714249212162507</v>
      </c>
      <c r="BI24" s="108">
        <v>6507</v>
      </c>
      <c r="BJ24" s="108"/>
      <c r="BK24" s="114">
        <f t="shared" si="33"/>
        <v>-1</v>
      </c>
      <c r="BL24" s="108">
        <f t="shared" si="34"/>
        <v>53471</v>
      </c>
      <c r="BM24" s="108">
        <f t="shared" si="35"/>
        <v>13420</v>
      </c>
      <c r="BN24" s="114">
        <f t="shared" si="36"/>
        <v>-0.749022834807653</v>
      </c>
      <c r="BO24" s="108">
        <v>3551</v>
      </c>
      <c r="BP24" s="108">
        <v>4944</v>
      </c>
      <c r="BQ24" s="108">
        <v>61966</v>
      </c>
      <c r="BR24" s="115">
        <f t="shared" si="37"/>
        <v>0.1342</v>
      </c>
      <c r="BS24" s="108"/>
    </row>
    <row r="25" spans="1:71">
      <c r="A25" s="110" t="s">
        <v>34</v>
      </c>
      <c r="B25" s="110" t="s">
        <v>34</v>
      </c>
      <c r="C25" s="119" t="s">
        <v>381</v>
      </c>
      <c r="D25" s="112" t="s">
        <v>63</v>
      </c>
      <c r="E25" s="112" t="s">
        <v>63</v>
      </c>
      <c r="F25" s="112" t="s">
        <v>354</v>
      </c>
      <c r="G25" s="112" t="s">
        <v>354</v>
      </c>
      <c r="H25" s="112" t="s">
        <v>355</v>
      </c>
      <c r="I25" s="112">
        <v>5</v>
      </c>
      <c r="J25" s="113"/>
      <c r="K25" s="113"/>
      <c r="L25" s="114" t="e">
        <f t="shared" si="0"/>
        <v>#DIV/0!</v>
      </c>
      <c r="M25" s="113"/>
      <c r="N25" s="113"/>
      <c r="O25" s="114" t="e">
        <f t="shared" si="1"/>
        <v>#DIV/0!</v>
      </c>
      <c r="P25" s="113">
        <f t="shared" si="2"/>
        <v>0</v>
      </c>
      <c r="Q25" s="113">
        <f t="shared" si="3"/>
        <v>0</v>
      </c>
      <c r="R25" s="114" t="e">
        <f t="shared" si="4"/>
        <v>#DIV/0!</v>
      </c>
      <c r="S25" s="36"/>
      <c r="T25" s="36"/>
      <c r="U25" s="114" t="e">
        <f t="shared" si="5"/>
        <v>#DIV/0!</v>
      </c>
      <c r="V25" s="36">
        <f t="shared" si="6"/>
        <v>0</v>
      </c>
      <c r="W25" s="36">
        <f t="shared" si="7"/>
        <v>0</v>
      </c>
      <c r="X25" s="114" t="e">
        <f t="shared" si="8"/>
        <v>#DIV/0!</v>
      </c>
      <c r="Y25" s="36"/>
      <c r="Z25" s="36"/>
      <c r="AA25" s="114" t="e">
        <f t="shared" si="9"/>
        <v>#DIV/0!</v>
      </c>
      <c r="AB25" s="36">
        <f t="shared" si="10"/>
        <v>0</v>
      </c>
      <c r="AC25" s="36">
        <f t="shared" si="11"/>
        <v>0</v>
      </c>
      <c r="AD25" s="114" t="e">
        <f t="shared" si="12"/>
        <v>#DIV/0!</v>
      </c>
      <c r="AE25" s="108">
        <v>6885</v>
      </c>
      <c r="AF25" s="108"/>
      <c r="AG25" s="114">
        <f t="shared" si="13"/>
        <v>-1</v>
      </c>
      <c r="AH25" s="108">
        <f t="shared" si="14"/>
        <v>6885</v>
      </c>
      <c r="AI25" s="108">
        <f t="shared" si="15"/>
        <v>0</v>
      </c>
      <c r="AJ25" s="114">
        <f t="shared" si="16"/>
        <v>-1</v>
      </c>
      <c r="AK25" s="108"/>
      <c r="AL25" s="108"/>
      <c r="AM25" s="114" t="e">
        <f t="shared" si="17"/>
        <v>#DIV/0!</v>
      </c>
      <c r="AN25" s="108">
        <f t="shared" si="18"/>
        <v>6885</v>
      </c>
      <c r="AO25" s="108">
        <f t="shared" si="19"/>
        <v>0</v>
      </c>
      <c r="AP25" s="114">
        <f t="shared" si="20"/>
        <v>-1</v>
      </c>
      <c r="AQ25" s="108"/>
      <c r="AR25" s="108"/>
      <c r="AS25" s="114" t="e">
        <f t="shared" si="21"/>
        <v>#DIV/0!</v>
      </c>
      <c r="AT25" s="108">
        <f t="shared" si="22"/>
        <v>6885</v>
      </c>
      <c r="AU25" s="108">
        <f t="shared" si="23"/>
        <v>0</v>
      </c>
      <c r="AV25" s="114">
        <f t="shared" si="24"/>
        <v>-1</v>
      </c>
      <c r="AW25" s="36">
        <v>2399</v>
      </c>
      <c r="AX25" s="36"/>
      <c r="AY25" s="114">
        <f t="shared" si="25"/>
        <v>-1</v>
      </c>
      <c r="AZ25" s="36">
        <f t="shared" si="26"/>
        <v>9284</v>
      </c>
      <c r="BA25" s="36">
        <f t="shared" si="27"/>
        <v>0</v>
      </c>
      <c r="BB25" s="114">
        <f t="shared" si="28"/>
        <v>-1</v>
      </c>
      <c r="BC25" s="36">
        <v>790</v>
      </c>
      <c r="BD25" s="36"/>
      <c r="BE25" s="114">
        <f t="shared" si="29"/>
        <v>-1</v>
      </c>
      <c r="BF25" s="36">
        <f t="shared" si="30"/>
        <v>10074</v>
      </c>
      <c r="BG25" s="36">
        <f t="shared" si="31"/>
        <v>0</v>
      </c>
      <c r="BH25" s="114">
        <f t="shared" si="32"/>
        <v>-1</v>
      </c>
      <c r="BI25" s="108">
        <v>11215</v>
      </c>
      <c r="BJ25" s="108"/>
      <c r="BK25" s="114">
        <f t="shared" si="33"/>
        <v>-1</v>
      </c>
      <c r="BL25" s="108">
        <f t="shared" si="34"/>
        <v>21289</v>
      </c>
      <c r="BM25" s="108">
        <f t="shared" si="35"/>
        <v>0</v>
      </c>
      <c r="BN25" s="114">
        <f t="shared" si="36"/>
        <v>-1</v>
      </c>
      <c r="BO25" s="108"/>
      <c r="BP25" s="108"/>
      <c r="BQ25" s="108">
        <v>21289</v>
      </c>
      <c r="BR25" s="115">
        <f t="shared" si="37"/>
        <v>0</v>
      </c>
      <c r="BS25" s="108"/>
    </row>
    <row r="26" spans="1:71">
      <c r="A26" s="110" t="s">
        <v>34</v>
      </c>
      <c r="B26" s="110" t="s">
        <v>34</v>
      </c>
      <c r="C26" s="119" t="s">
        <v>382</v>
      </c>
      <c r="D26" s="112" t="s">
        <v>63</v>
      </c>
      <c r="E26" s="112" t="s">
        <v>63</v>
      </c>
      <c r="F26" s="112" t="s">
        <v>354</v>
      </c>
      <c r="G26" s="112" t="s">
        <v>354</v>
      </c>
      <c r="H26" s="112" t="s">
        <v>355</v>
      </c>
      <c r="I26" s="112">
        <v>6</v>
      </c>
      <c r="J26" s="113">
        <v>6631</v>
      </c>
      <c r="K26" s="113"/>
      <c r="L26" s="114">
        <f t="shared" si="0"/>
        <v>-1</v>
      </c>
      <c r="M26" s="113"/>
      <c r="N26" s="113"/>
      <c r="O26" s="114" t="e">
        <f t="shared" si="1"/>
        <v>#DIV/0!</v>
      </c>
      <c r="P26" s="113">
        <f t="shared" si="2"/>
        <v>6631</v>
      </c>
      <c r="Q26" s="113">
        <f t="shared" si="3"/>
        <v>0</v>
      </c>
      <c r="R26" s="114">
        <f t="shared" si="4"/>
        <v>-1</v>
      </c>
      <c r="S26" s="36"/>
      <c r="T26" s="36"/>
      <c r="U26" s="114" t="e">
        <f t="shared" si="5"/>
        <v>#DIV/0!</v>
      </c>
      <c r="V26" s="36">
        <f t="shared" si="6"/>
        <v>6631</v>
      </c>
      <c r="W26" s="36">
        <f t="shared" si="7"/>
        <v>0</v>
      </c>
      <c r="X26" s="114">
        <f t="shared" si="8"/>
        <v>-1</v>
      </c>
      <c r="Y26" s="36"/>
      <c r="Z26" s="36"/>
      <c r="AA26" s="114" t="e">
        <f t="shared" si="9"/>
        <v>#DIV/0!</v>
      </c>
      <c r="AB26" s="36">
        <f t="shared" si="10"/>
        <v>6631</v>
      </c>
      <c r="AC26" s="36">
        <f t="shared" si="11"/>
        <v>0</v>
      </c>
      <c r="AD26" s="114">
        <f t="shared" si="12"/>
        <v>-1</v>
      </c>
      <c r="AE26" s="108"/>
      <c r="AF26" s="108"/>
      <c r="AG26" s="114" t="e">
        <f t="shared" si="13"/>
        <v>#DIV/0!</v>
      </c>
      <c r="AH26" s="108">
        <f t="shared" si="14"/>
        <v>6631</v>
      </c>
      <c r="AI26" s="108">
        <f t="shared" si="15"/>
        <v>0</v>
      </c>
      <c r="AJ26" s="114">
        <f t="shared" si="16"/>
        <v>-1</v>
      </c>
      <c r="AK26" s="108"/>
      <c r="AL26" s="108"/>
      <c r="AM26" s="114" t="e">
        <f t="shared" si="17"/>
        <v>#DIV/0!</v>
      </c>
      <c r="AN26" s="108">
        <f t="shared" si="18"/>
        <v>6631</v>
      </c>
      <c r="AO26" s="108">
        <f t="shared" si="19"/>
        <v>0</v>
      </c>
      <c r="AP26" s="114">
        <f t="shared" si="20"/>
        <v>-1</v>
      </c>
      <c r="AQ26" s="108"/>
      <c r="AR26" s="108"/>
      <c r="AS26" s="114" t="e">
        <f t="shared" si="21"/>
        <v>#DIV/0!</v>
      </c>
      <c r="AT26" s="108">
        <f t="shared" si="22"/>
        <v>6631</v>
      </c>
      <c r="AU26" s="108">
        <f t="shared" si="23"/>
        <v>0</v>
      </c>
      <c r="AV26" s="114">
        <f t="shared" si="24"/>
        <v>-1</v>
      </c>
      <c r="AW26" s="36"/>
      <c r="AX26" s="36"/>
      <c r="AY26" s="114" t="e">
        <f t="shared" si="25"/>
        <v>#DIV/0!</v>
      </c>
      <c r="AZ26" s="36">
        <f t="shared" si="26"/>
        <v>6631</v>
      </c>
      <c r="BA26" s="36">
        <f t="shared" si="27"/>
        <v>0</v>
      </c>
      <c r="BB26" s="114">
        <f t="shared" si="28"/>
        <v>-1</v>
      </c>
      <c r="BC26" s="36"/>
      <c r="BD26" s="36"/>
      <c r="BE26" s="114" t="e">
        <f t="shared" si="29"/>
        <v>#DIV/0!</v>
      </c>
      <c r="BF26" s="36">
        <f t="shared" si="30"/>
        <v>6631</v>
      </c>
      <c r="BG26" s="36">
        <f t="shared" si="31"/>
        <v>0</v>
      </c>
      <c r="BH26" s="114">
        <f t="shared" si="32"/>
        <v>-1</v>
      </c>
      <c r="BI26" s="108"/>
      <c r="BJ26" s="108"/>
      <c r="BK26" s="114" t="e">
        <f t="shared" si="33"/>
        <v>#DIV/0!</v>
      </c>
      <c r="BL26" s="108">
        <f t="shared" si="34"/>
        <v>6631</v>
      </c>
      <c r="BM26" s="108">
        <f t="shared" si="35"/>
        <v>0</v>
      </c>
      <c r="BN26" s="114">
        <f t="shared" si="36"/>
        <v>-1</v>
      </c>
      <c r="BO26" s="108"/>
      <c r="BP26" s="108"/>
      <c r="BQ26" s="108">
        <v>6631</v>
      </c>
      <c r="BR26" s="115">
        <f t="shared" si="37"/>
        <v>0</v>
      </c>
      <c r="BS26" s="108"/>
    </row>
    <row r="27" spans="1:71">
      <c r="A27" s="110" t="s">
        <v>34</v>
      </c>
      <c r="B27" s="110" t="s">
        <v>34</v>
      </c>
      <c r="C27" s="119" t="s">
        <v>383</v>
      </c>
      <c r="D27" s="112" t="s">
        <v>63</v>
      </c>
      <c r="E27" s="112" t="s">
        <v>63</v>
      </c>
      <c r="F27" s="112" t="s">
        <v>354</v>
      </c>
      <c r="G27" s="112" t="s">
        <v>354</v>
      </c>
      <c r="H27" s="112" t="s">
        <v>355</v>
      </c>
      <c r="I27" s="112"/>
      <c r="J27" s="113">
        <v>5230</v>
      </c>
      <c r="K27" s="113"/>
      <c r="L27" s="114">
        <f t="shared" si="0"/>
        <v>-1</v>
      </c>
      <c r="M27" s="113"/>
      <c r="N27" s="113"/>
      <c r="O27" s="114" t="e">
        <f t="shared" si="1"/>
        <v>#DIV/0!</v>
      </c>
      <c r="P27" s="113">
        <f t="shared" si="2"/>
        <v>5230</v>
      </c>
      <c r="Q27" s="113">
        <f t="shared" si="3"/>
        <v>0</v>
      </c>
      <c r="R27" s="114">
        <f t="shared" si="4"/>
        <v>-1</v>
      </c>
      <c r="S27" s="36">
        <v>2243</v>
      </c>
      <c r="T27" s="36"/>
      <c r="U27" s="114">
        <f t="shared" si="5"/>
        <v>-1</v>
      </c>
      <c r="V27" s="36">
        <f t="shared" si="6"/>
        <v>7473</v>
      </c>
      <c r="W27" s="36">
        <f t="shared" si="7"/>
        <v>0</v>
      </c>
      <c r="X27" s="114">
        <f t="shared" si="8"/>
        <v>-1</v>
      </c>
      <c r="Y27" s="36"/>
      <c r="Z27" s="36"/>
      <c r="AA27" s="114" t="e">
        <f t="shared" si="9"/>
        <v>#DIV/0!</v>
      </c>
      <c r="AB27" s="36">
        <f t="shared" si="10"/>
        <v>7473</v>
      </c>
      <c r="AC27" s="36">
        <f t="shared" si="11"/>
        <v>0</v>
      </c>
      <c r="AD27" s="114">
        <f t="shared" si="12"/>
        <v>-1</v>
      </c>
      <c r="AE27" s="108"/>
      <c r="AF27" s="108"/>
      <c r="AG27" s="114" t="e">
        <f t="shared" si="13"/>
        <v>#DIV/0!</v>
      </c>
      <c r="AH27" s="108">
        <f t="shared" si="14"/>
        <v>7473</v>
      </c>
      <c r="AI27" s="108">
        <f t="shared" si="15"/>
        <v>0</v>
      </c>
      <c r="AJ27" s="114">
        <f t="shared" si="16"/>
        <v>-1</v>
      </c>
      <c r="AK27" s="108"/>
      <c r="AL27" s="108"/>
      <c r="AM27" s="114" t="e">
        <f t="shared" si="17"/>
        <v>#DIV/0!</v>
      </c>
      <c r="AN27" s="108">
        <f t="shared" si="18"/>
        <v>7473</v>
      </c>
      <c r="AO27" s="108">
        <f t="shared" si="19"/>
        <v>0</v>
      </c>
      <c r="AP27" s="114">
        <f t="shared" si="20"/>
        <v>-1</v>
      </c>
      <c r="AQ27" s="108"/>
      <c r="AR27" s="108"/>
      <c r="AS27" s="114" t="e">
        <f t="shared" si="21"/>
        <v>#DIV/0!</v>
      </c>
      <c r="AT27" s="108">
        <f t="shared" si="22"/>
        <v>7473</v>
      </c>
      <c r="AU27" s="108">
        <f t="shared" si="23"/>
        <v>0</v>
      </c>
      <c r="AV27" s="114">
        <f t="shared" si="24"/>
        <v>-1</v>
      </c>
      <c r="AW27" s="36"/>
      <c r="AX27" s="36"/>
      <c r="AY27" s="114" t="e">
        <f t="shared" si="25"/>
        <v>#DIV/0!</v>
      </c>
      <c r="AZ27" s="36">
        <f t="shared" si="26"/>
        <v>7473</v>
      </c>
      <c r="BA27" s="36">
        <f t="shared" si="27"/>
        <v>0</v>
      </c>
      <c r="BB27" s="114">
        <f t="shared" si="28"/>
        <v>-1</v>
      </c>
      <c r="BC27" s="36"/>
      <c r="BD27" s="36"/>
      <c r="BE27" s="114" t="e">
        <f t="shared" si="29"/>
        <v>#DIV/0!</v>
      </c>
      <c r="BF27" s="36">
        <f t="shared" si="30"/>
        <v>7473</v>
      </c>
      <c r="BG27" s="36">
        <f t="shared" si="31"/>
        <v>0</v>
      </c>
      <c r="BH27" s="114">
        <f t="shared" si="32"/>
        <v>-1</v>
      </c>
      <c r="BI27" s="108"/>
      <c r="BJ27" s="108"/>
      <c r="BK27" s="114" t="e">
        <f t="shared" si="33"/>
        <v>#DIV/0!</v>
      </c>
      <c r="BL27" s="108">
        <f t="shared" si="34"/>
        <v>7473</v>
      </c>
      <c r="BM27" s="108">
        <f t="shared" si="35"/>
        <v>0</v>
      </c>
      <c r="BN27" s="114">
        <f t="shared" si="36"/>
        <v>-1</v>
      </c>
      <c r="BO27" s="108"/>
      <c r="BP27" s="108"/>
      <c r="BQ27" s="108">
        <v>7473</v>
      </c>
      <c r="BR27" s="115" t="e">
        <f t="shared" si="37"/>
        <v>#DIV/0!</v>
      </c>
      <c r="BS27" s="108"/>
    </row>
    <row r="28" spans="1:71">
      <c r="A28" s="110" t="s">
        <v>34</v>
      </c>
      <c r="B28" s="110" t="s">
        <v>34</v>
      </c>
      <c r="C28" s="119" t="s">
        <v>384</v>
      </c>
      <c r="D28" s="112" t="s">
        <v>63</v>
      </c>
      <c r="E28" s="112" t="s">
        <v>63</v>
      </c>
      <c r="F28" s="112" t="s">
        <v>362</v>
      </c>
      <c r="G28" s="112" t="s">
        <v>367</v>
      </c>
      <c r="H28" s="112" t="s">
        <v>363</v>
      </c>
      <c r="I28" s="112">
        <v>10</v>
      </c>
      <c r="J28" s="113"/>
      <c r="K28" s="113"/>
      <c r="L28" s="114" t="e">
        <f t="shared" si="0"/>
        <v>#DIV/0!</v>
      </c>
      <c r="M28" s="113">
        <v>2005</v>
      </c>
      <c r="N28" s="113">
        <v>9511</v>
      </c>
      <c r="O28" s="114">
        <f t="shared" si="1"/>
        <v>3.74364089775561</v>
      </c>
      <c r="P28" s="113">
        <f t="shared" si="2"/>
        <v>2005</v>
      </c>
      <c r="Q28" s="113">
        <f t="shared" si="3"/>
        <v>9511</v>
      </c>
      <c r="R28" s="114">
        <f t="shared" si="4"/>
        <v>3.74364089775561</v>
      </c>
      <c r="S28" s="36"/>
      <c r="T28" s="36">
        <v>16569</v>
      </c>
      <c r="U28" s="114" t="e">
        <f t="shared" si="5"/>
        <v>#DIV/0!</v>
      </c>
      <c r="V28" s="36">
        <f t="shared" si="6"/>
        <v>2005</v>
      </c>
      <c r="W28" s="36">
        <f t="shared" si="7"/>
        <v>26080</v>
      </c>
      <c r="X28" s="114">
        <f t="shared" si="8"/>
        <v>12.0074812967581</v>
      </c>
      <c r="Y28" s="36"/>
      <c r="Z28" s="36">
        <v>7898</v>
      </c>
      <c r="AA28" s="114" t="e">
        <f t="shared" si="9"/>
        <v>#DIV/0!</v>
      </c>
      <c r="AB28" s="36">
        <f t="shared" si="10"/>
        <v>2005</v>
      </c>
      <c r="AC28" s="36">
        <f t="shared" si="11"/>
        <v>33978</v>
      </c>
      <c r="AD28" s="114">
        <f t="shared" si="12"/>
        <v>15.9466334164589</v>
      </c>
      <c r="AE28" s="108">
        <v>1920</v>
      </c>
      <c r="AF28" s="108"/>
      <c r="AG28" s="114">
        <f t="shared" si="13"/>
        <v>-1</v>
      </c>
      <c r="AH28" s="108">
        <f t="shared" si="14"/>
        <v>3925</v>
      </c>
      <c r="AI28" s="108">
        <f t="shared" si="15"/>
        <v>33978</v>
      </c>
      <c r="AJ28" s="114">
        <f t="shared" si="16"/>
        <v>7.6568152866242</v>
      </c>
      <c r="AK28" s="108"/>
      <c r="AL28" s="108">
        <v>2100</v>
      </c>
      <c r="AM28" s="114" t="e">
        <f t="shared" si="17"/>
        <v>#DIV/0!</v>
      </c>
      <c r="AN28" s="108">
        <f t="shared" si="18"/>
        <v>3925</v>
      </c>
      <c r="AO28" s="108">
        <f t="shared" si="19"/>
        <v>36078</v>
      </c>
      <c r="AP28" s="114">
        <f t="shared" si="20"/>
        <v>8.19184713375796</v>
      </c>
      <c r="AQ28" s="108"/>
      <c r="AR28" s="108"/>
      <c r="AS28" s="114" t="e">
        <f t="shared" si="21"/>
        <v>#DIV/0!</v>
      </c>
      <c r="AT28" s="108">
        <f t="shared" si="22"/>
        <v>3925</v>
      </c>
      <c r="AU28" s="108">
        <f t="shared" si="23"/>
        <v>36078</v>
      </c>
      <c r="AV28" s="114">
        <f t="shared" si="24"/>
        <v>8.19184713375796</v>
      </c>
      <c r="AW28" s="36">
        <v>2243</v>
      </c>
      <c r="AX28" s="36"/>
      <c r="AY28" s="114">
        <f t="shared" si="25"/>
        <v>-1</v>
      </c>
      <c r="AZ28" s="36">
        <f t="shared" si="26"/>
        <v>6168</v>
      </c>
      <c r="BA28" s="36">
        <f t="shared" si="27"/>
        <v>36078</v>
      </c>
      <c r="BB28" s="114">
        <f t="shared" si="28"/>
        <v>4.84922178988327</v>
      </c>
      <c r="BC28" s="36">
        <v>12484</v>
      </c>
      <c r="BD28" s="36"/>
      <c r="BE28" s="114">
        <f t="shared" si="29"/>
        <v>-1</v>
      </c>
      <c r="BF28" s="36">
        <f t="shared" si="30"/>
        <v>18652</v>
      </c>
      <c r="BG28" s="36">
        <f t="shared" si="31"/>
        <v>36078</v>
      </c>
      <c r="BH28" s="114">
        <f t="shared" si="32"/>
        <v>0.934269783401244</v>
      </c>
      <c r="BI28" s="108">
        <v>17258</v>
      </c>
      <c r="BJ28" s="108"/>
      <c r="BK28" s="114">
        <f t="shared" si="33"/>
        <v>-1</v>
      </c>
      <c r="BL28" s="108">
        <f t="shared" si="34"/>
        <v>35910</v>
      </c>
      <c r="BM28" s="108">
        <f t="shared" si="35"/>
        <v>36078</v>
      </c>
      <c r="BN28" s="114">
        <f t="shared" si="36"/>
        <v>0.0046783625730995</v>
      </c>
      <c r="BO28" s="108">
        <v>5873</v>
      </c>
      <c r="BP28" s="108">
        <v>13571</v>
      </c>
      <c r="BQ28" s="108">
        <v>55354</v>
      </c>
      <c r="BR28" s="115">
        <f t="shared" si="37"/>
        <v>0.36078</v>
      </c>
      <c r="BS28" s="108"/>
    </row>
    <row r="29" spans="1:71">
      <c r="A29" s="110" t="s">
        <v>34</v>
      </c>
      <c r="B29" s="110" t="s">
        <v>34</v>
      </c>
      <c r="C29" s="119" t="s">
        <v>385</v>
      </c>
      <c r="D29" s="112" t="s">
        <v>63</v>
      </c>
      <c r="E29" s="112" t="s">
        <v>63</v>
      </c>
      <c r="F29" s="112" t="s">
        <v>354</v>
      </c>
      <c r="G29" s="112" t="s">
        <v>354</v>
      </c>
      <c r="H29" s="112" t="s">
        <v>355</v>
      </c>
      <c r="I29" s="112">
        <v>10</v>
      </c>
      <c r="J29" s="113"/>
      <c r="K29" s="113"/>
      <c r="L29" s="114" t="e">
        <f t="shared" si="0"/>
        <v>#DIV/0!</v>
      </c>
      <c r="M29" s="113"/>
      <c r="N29" s="113"/>
      <c r="O29" s="114" t="e">
        <f t="shared" si="1"/>
        <v>#DIV/0!</v>
      </c>
      <c r="P29" s="113">
        <f t="shared" si="2"/>
        <v>0</v>
      </c>
      <c r="Q29" s="113">
        <f t="shared" si="3"/>
        <v>0</v>
      </c>
      <c r="R29" s="114" t="e">
        <f t="shared" si="4"/>
        <v>#DIV/0!</v>
      </c>
      <c r="S29" s="36">
        <v>3823</v>
      </c>
      <c r="T29" s="36"/>
      <c r="U29" s="114">
        <f t="shared" si="5"/>
        <v>-1</v>
      </c>
      <c r="V29" s="36">
        <f t="shared" si="6"/>
        <v>3823</v>
      </c>
      <c r="W29" s="36">
        <f t="shared" si="7"/>
        <v>0</v>
      </c>
      <c r="X29" s="114">
        <f t="shared" si="8"/>
        <v>-1</v>
      </c>
      <c r="Y29" s="36"/>
      <c r="Z29" s="36">
        <v>21250</v>
      </c>
      <c r="AA29" s="114" t="e">
        <f t="shared" si="9"/>
        <v>#DIV/0!</v>
      </c>
      <c r="AB29" s="36">
        <f t="shared" si="10"/>
        <v>3823</v>
      </c>
      <c r="AC29" s="36">
        <f t="shared" si="11"/>
        <v>21250</v>
      </c>
      <c r="AD29" s="114">
        <f t="shared" si="12"/>
        <v>4.55846194088412</v>
      </c>
      <c r="AE29" s="108">
        <v>2182</v>
      </c>
      <c r="AF29" s="108">
        <v>2182</v>
      </c>
      <c r="AG29" s="114">
        <f t="shared" si="13"/>
        <v>0</v>
      </c>
      <c r="AH29" s="108">
        <f t="shared" si="14"/>
        <v>6005</v>
      </c>
      <c r="AI29" s="108">
        <f t="shared" si="15"/>
        <v>23432</v>
      </c>
      <c r="AJ29" s="114">
        <f t="shared" si="16"/>
        <v>2.90208159866778</v>
      </c>
      <c r="AK29" s="108"/>
      <c r="AL29" s="108"/>
      <c r="AM29" s="114" t="e">
        <f t="shared" si="17"/>
        <v>#DIV/0!</v>
      </c>
      <c r="AN29" s="108">
        <f t="shared" si="18"/>
        <v>6005</v>
      </c>
      <c r="AO29" s="108">
        <f t="shared" si="19"/>
        <v>23432</v>
      </c>
      <c r="AP29" s="114">
        <f t="shared" si="20"/>
        <v>2.90208159866778</v>
      </c>
      <c r="AQ29" s="108"/>
      <c r="AR29" s="108"/>
      <c r="AS29" s="114" t="e">
        <f t="shared" si="21"/>
        <v>#DIV/0!</v>
      </c>
      <c r="AT29" s="108">
        <f t="shared" si="22"/>
        <v>6005</v>
      </c>
      <c r="AU29" s="108">
        <f t="shared" si="23"/>
        <v>23432</v>
      </c>
      <c r="AV29" s="114">
        <f t="shared" si="24"/>
        <v>2.90208159866778</v>
      </c>
      <c r="AW29" s="36">
        <v>2182</v>
      </c>
      <c r="AX29" s="36"/>
      <c r="AY29" s="114">
        <f t="shared" si="25"/>
        <v>-1</v>
      </c>
      <c r="AZ29" s="36">
        <f t="shared" si="26"/>
        <v>8187</v>
      </c>
      <c r="BA29" s="36">
        <f t="shared" si="27"/>
        <v>23432</v>
      </c>
      <c r="BB29" s="114">
        <f t="shared" si="28"/>
        <v>1.86209844876023</v>
      </c>
      <c r="BC29" s="36"/>
      <c r="BD29" s="36"/>
      <c r="BE29" s="114" t="e">
        <f t="shared" si="29"/>
        <v>#DIV/0!</v>
      </c>
      <c r="BF29" s="36">
        <f t="shared" si="30"/>
        <v>8187</v>
      </c>
      <c r="BG29" s="36">
        <f t="shared" si="31"/>
        <v>23432</v>
      </c>
      <c r="BH29" s="114">
        <f t="shared" si="32"/>
        <v>1.86209844876023</v>
      </c>
      <c r="BI29" s="108">
        <v>4281</v>
      </c>
      <c r="BJ29" s="108"/>
      <c r="BK29" s="114">
        <f t="shared" si="33"/>
        <v>-1</v>
      </c>
      <c r="BL29" s="108">
        <f t="shared" si="34"/>
        <v>12468</v>
      </c>
      <c r="BM29" s="108">
        <f t="shared" si="35"/>
        <v>23432</v>
      </c>
      <c r="BN29" s="114">
        <f t="shared" si="36"/>
        <v>0.879371190247032</v>
      </c>
      <c r="BO29" s="108">
        <v>6366</v>
      </c>
      <c r="BP29" s="108">
        <v>19278</v>
      </c>
      <c r="BQ29" s="108">
        <v>38112</v>
      </c>
      <c r="BR29" s="115">
        <f t="shared" si="37"/>
        <v>0.23432</v>
      </c>
      <c r="BS29" s="108"/>
    </row>
    <row r="30" spans="1:71">
      <c r="A30" s="110" t="s">
        <v>34</v>
      </c>
      <c r="B30" s="110" t="s">
        <v>34</v>
      </c>
      <c r="C30" s="119" t="s">
        <v>386</v>
      </c>
      <c r="D30" s="112" t="s">
        <v>63</v>
      </c>
      <c r="E30" s="112" t="s">
        <v>63</v>
      </c>
      <c r="F30" s="112" t="s">
        <v>354</v>
      </c>
      <c r="G30" s="112" t="s">
        <v>354</v>
      </c>
      <c r="H30" s="112" t="s">
        <v>355</v>
      </c>
      <c r="I30" s="112"/>
      <c r="J30" s="113">
        <v>2339</v>
      </c>
      <c r="K30" s="113"/>
      <c r="L30" s="114">
        <f t="shared" si="0"/>
        <v>-1</v>
      </c>
      <c r="M30" s="113"/>
      <c r="N30" s="113"/>
      <c r="O30" s="114" t="e">
        <f t="shared" si="1"/>
        <v>#DIV/0!</v>
      </c>
      <c r="P30" s="113">
        <f t="shared" si="2"/>
        <v>2339</v>
      </c>
      <c r="Q30" s="113">
        <f t="shared" si="3"/>
        <v>0</v>
      </c>
      <c r="R30" s="114">
        <f t="shared" si="4"/>
        <v>-1</v>
      </c>
      <c r="S30" s="36"/>
      <c r="T30" s="36"/>
      <c r="U30" s="114" t="e">
        <f t="shared" si="5"/>
        <v>#DIV/0!</v>
      </c>
      <c r="V30" s="36">
        <f t="shared" si="6"/>
        <v>2339</v>
      </c>
      <c r="W30" s="36">
        <f t="shared" si="7"/>
        <v>0</v>
      </c>
      <c r="X30" s="114">
        <f t="shared" si="8"/>
        <v>-1</v>
      </c>
      <c r="Y30" s="36"/>
      <c r="Z30" s="36"/>
      <c r="AA30" s="114" t="e">
        <f t="shared" si="9"/>
        <v>#DIV/0!</v>
      </c>
      <c r="AB30" s="36">
        <f t="shared" si="10"/>
        <v>2339</v>
      </c>
      <c r="AC30" s="36">
        <f t="shared" si="11"/>
        <v>0</v>
      </c>
      <c r="AD30" s="114">
        <f t="shared" si="12"/>
        <v>-1</v>
      </c>
      <c r="AE30" s="108"/>
      <c r="AF30" s="108"/>
      <c r="AG30" s="114" t="e">
        <f t="shared" si="13"/>
        <v>#DIV/0!</v>
      </c>
      <c r="AH30" s="108">
        <f t="shared" si="14"/>
        <v>2339</v>
      </c>
      <c r="AI30" s="108">
        <f t="shared" si="15"/>
        <v>0</v>
      </c>
      <c r="AJ30" s="114">
        <f t="shared" si="16"/>
        <v>-1</v>
      </c>
      <c r="AK30" s="108"/>
      <c r="AL30" s="108"/>
      <c r="AM30" s="114" t="e">
        <f t="shared" si="17"/>
        <v>#DIV/0!</v>
      </c>
      <c r="AN30" s="108">
        <f t="shared" si="18"/>
        <v>2339</v>
      </c>
      <c r="AO30" s="108">
        <f t="shared" si="19"/>
        <v>0</v>
      </c>
      <c r="AP30" s="114">
        <f t="shared" si="20"/>
        <v>-1</v>
      </c>
      <c r="AQ30" s="108"/>
      <c r="AR30" s="108"/>
      <c r="AS30" s="114" t="e">
        <f t="shared" si="21"/>
        <v>#DIV/0!</v>
      </c>
      <c r="AT30" s="108">
        <f t="shared" si="22"/>
        <v>2339</v>
      </c>
      <c r="AU30" s="108">
        <f t="shared" si="23"/>
        <v>0</v>
      </c>
      <c r="AV30" s="114">
        <f t="shared" si="24"/>
        <v>-1</v>
      </c>
      <c r="AW30" s="36"/>
      <c r="AX30" s="36"/>
      <c r="AY30" s="114" t="e">
        <f t="shared" si="25"/>
        <v>#DIV/0!</v>
      </c>
      <c r="AZ30" s="36">
        <f t="shared" si="26"/>
        <v>2339</v>
      </c>
      <c r="BA30" s="36">
        <f t="shared" si="27"/>
        <v>0</v>
      </c>
      <c r="BB30" s="114">
        <f t="shared" si="28"/>
        <v>-1</v>
      </c>
      <c r="BC30" s="36"/>
      <c r="BD30" s="36"/>
      <c r="BE30" s="114" t="e">
        <f t="shared" si="29"/>
        <v>#DIV/0!</v>
      </c>
      <c r="BF30" s="36">
        <f t="shared" si="30"/>
        <v>2339</v>
      </c>
      <c r="BG30" s="36">
        <f t="shared" si="31"/>
        <v>0</v>
      </c>
      <c r="BH30" s="114">
        <f t="shared" si="32"/>
        <v>-1</v>
      </c>
      <c r="BI30" s="108"/>
      <c r="BJ30" s="108"/>
      <c r="BK30" s="114" t="e">
        <f t="shared" si="33"/>
        <v>#DIV/0!</v>
      </c>
      <c r="BL30" s="108">
        <f t="shared" si="34"/>
        <v>2339</v>
      </c>
      <c r="BM30" s="108">
        <f t="shared" si="35"/>
        <v>0</v>
      </c>
      <c r="BN30" s="114">
        <f t="shared" si="36"/>
        <v>-1</v>
      </c>
      <c r="BO30" s="108"/>
      <c r="BP30" s="108"/>
      <c r="BQ30" s="108">
        <v>2339</v>
      </c>
      <c r="BR30" s="115" t="e">
        <f t="shared" si="37"/>
        <v>#DIV/0!</v>
      </c>
      <c r="BS30" s="108"/>
    </row>
    <row r="31" spans="1:71">
      <c r="A31" s="110" t="s">
        <v>34</v>
      </c>
      <c r="B31" s="110" t="s">
        <v>34</v>
      </c>
      <c r="C31" s="119" t="s">
        <v>387</v>
      </c>
      <c r="D31" s="112" t="s">
        <v>63</v>
      </c>
      <c r="E31" s="112" t="s">
        <v>63</v>
      </c>
      <c r="F31" s="112" t="s">
        <v>354</v>
      </c>
      <c r="G31" s="112" t="s">
        <v>354</v>
      </c>
      <c r="H31" s="112" t="s">
        <v>355</v>
      </c>
      <c r="I31" s="112">
        <v>10</v>
      </c>
      <c r="J31" s="113">
        <v>31268</v>
      </c>
      <c r="K31" s="113">
        <v>2138</v>
      </c>
      <c r="L31" s="114">
        <f t="shared" si="0"/>
        <v>-0.93162338493028</v>
      </c>
      <c r="M31" s="113">
        <v>6215</v>
      </c>
      <c r="N31" s="113"/>
      <c r="O31" s="114">
        <f t="shared" si="1"/>
        <v>-1</v>
      </c>
      <c r="P31" s="113">
        <f t="shared" si="2"/>
        <v>37483</v>
      </c>
      <c r="Q31" s="113">
        <f t="shared" si="3"/>
        <v>2138</v>
      </c>
      <c r="R31" s="114">
        <f t="shared" si="4"/>
        <v>-0.942960808900035</v>
      </c>
      <c r="S31" s="36">
        <v>5572</v>
      </c>
      <c r="T31" s="36">
        <v>4512</v>
      </c>
      <c r="U31" s="114">
        <f t="shared" si="5"/>
        <v>-0.190236898779612</v>
      </c>
      <c r="V31" s="36">
        <f t="shared" si="6"/>
        <v>43055</v>
      </c>
      <c r="W31" s="36">
        <f t="shared" si="7"/>
        <v>6650</v>
      </c>
      <c r="X31" s="114">
        <f t="shared" si="8"/>
        <v>-0.845546394147021</v>
      </c>
      <c r="Y31" s="36">
        <v>11237</v>
      </c>
      <c r="Z31" s="36">
        <v>2065</v>
      </c>
      <c r="AA31" s="114">
        <f t="shared" si="9"/>
        <v>-0.816232090415591</v>
      </c>
      <c r="AB31" s="36">
        <f t="shared" si="10"/>
        <v>54292</v>
      </c>
      <c r="AC31" s="36">
        <f t="shared" si="11"/>
        <v>8715</v>
      </c>
      <c r="AD31" s="114">
        <f t="shared" si="12"/>
        <v>-0.839479112944817</v>
      </c>
      <c r="AE31" s="108">
        <v>40792</v>
      </c>
      <c r="AF31" s="108"/>
      <c r="AG31" s="114">
        <f t="shared" si="13"/>
        <v>-1</v>
      </c>
      <c r="AH31" s="108">
        <f t="shared" si="14"/>
        <v>95084</v>
      </c>
      <c r="AI31" s="108">
        <f t="shared" si="15"/>
        <v>8715</v>
      </c>
      <c r="AJ31" s="114">
        <f t="shared" si="16"/>
        <v>-0.908344200917084</v>
      </c>
      <c r="AK31" s="108">
        <v>6542</v>
      </c>
      <c r="AL31" s="108">
        <v>6546</v>
      </c>
      <c r="AM31" s="114">
        <f t="shared" si="17"/>
        <v>0.000611433812289786</v>
      </c>
      <c r="AN31" s="108">
        <f t="shared" si="18"/>
        <v>101626</v>
      </c>
      <c r="AO31" s="108">
        <f t="shared" si="19"/>
        <v>15261</v>
      </c>
      <c r="AP31" s="114">
        <f t="shared" si="20"/>
        <v>-0.849831735973078</v>
      </c>
      <c r="AQ31" s="108">
        <v>8521</v>
      </c>
      <c r="AR31" s="108">
        <v>6500</v>
      </c>
      <c r="AS31" s="114">
        <f t="shared" si="21"/>
        <v>-0.237178734890271</v>
      </c>
      <c r="AT31" s="108">
        <f t="shared" si="22"/>
        <v>110147</v>
      </c>
      <c r="AU31" s="108">
        <f t="shared" si="23"/>
        <v>21761</v>
      </c>
      <c r="AV31" s="114">
        <f t="shared" si="24"/>
        <v>-0.802436743624429</v>
      </c>
      <c r="AW31" s="36">
        <v>15667</v>
      </c>
      <c r="AX31" s="36"/>
      <c r="AY31" s="114">
        <f t="shared" si="25"/>
        <v>-1</v>
      </c>
      <c r="AZ31" s="36">
        <f t="shared" si="26"/>
        <v>125814</v>
      </c>
      <c r="BA31" s="36">
        <f t="shared" si="27"/>
        <v>21761</v>
      </c>
      <c r="BB31" s="114">
        <f t="shared" si="28"/>
        <v>-0.827038326418364</v>
      </c>
      <c r="BC31" s="36">
        <v>11486</v>
      </c>
      <c r="BD31" s="36"/>
      <c r="BE31" s="114">
        <f t="shared" si="29"/>
        <v>-1</v>
      </c>
      <c r="BF31" s="36">
        <f t="shared" si="30"/>
        <v>137300</v>
      </c>
      <c r="BG31" s="36">
        <f t="shared" si="31"/>
        <v>21761</v>
      </c>
      <c r="BH31" s="114">
        <f t="shared" si="32"/>
        <v>-0.841507647487254</v>
      </c>
      <c r="BI31" s="108">
        <v>2138</v>
      </c>
      <c r="BJ31" s="108"/>
      <c r="BK31" s="114">
        <f t="shared" si="33"/>
        <v>-1</v>
      </c>
      <c r="BL31" s="108">
        <f t="shared" si="34"/>
        <v>139438</v>
      </c>
      <c r="BM31" s="108">
        <f t="shared" si="35"/>
        <v>21761</v>
      </c>
      <c r="BN31" s="114">
        <f t="shared" si="36"/>
        <v>-0.84393780748433</v>
      </c>
      <c r="BO31" s="108">
        <v>17886</v>
      </c>
      <c r="BP31" s="108">
        <v>2182</v>
      </c>
      <c r="BQ31" s="108">
        <v>159506</v>
      </c>
      <c r="BR31" s="115">
        <f t="shared" si="37"/>
        <v>0.21761</v>
      </c>
      <c r="BS31" s="108"/>
    </row>
    <row r="32" spans="1:71">
      <c r="A32" s="110" t="s">
        <v>34</v>
      </c>
      <c r="B32" s="110" t="s">
        <v>34</v>
      </c>
      <c r="C32" s="119" t="s">
        <v>388</v>
      </c>
      <c r="D32" s="112" t="s">
        <v>63</v>
      </c>
      <c r="E32" s="112" t="s">
        <v>63</v>
      </c>
      <c r="F32" s="112" t="s">
        <v>362</v>
      </c>
      <c r="G32" s="112" t="s">
        <v>367</v>
      </c>
      <c r="H32" s="112" t="s">
        <v>363</v>
      </c>
      <c r="I32" s="112"/>
      <c r="J32" s="113">
        <v>18500</v>
      </c>
      <c r="K32" s="113"/>
      <c r="L32" s="114">
        <f t="shared" si="0"/>
        <v>-1</v>
      </c>
      <c r="M32" s="113"/>
      <c r="N32" s="113"/>
      <c r="O32" s="114" t="e">
        <f t="shared" si="1"/>
        <v>#DIV/0!</v>
      </c>
      <c r="P32" s="113">
        <f t="shared" si="2"/>
        <v>18500</v>
      </c>
      <c r="Q32" s="113">
        <f t="shared" si="3"/>
        <v>0</v>
      </c>
      <c r="R32" s="114">
        <f t="shared" si="4"/>
        <v>-1</v>
      </c>
      <c r="S32" s="36"/>
      <c r="T32" s="36"/>
      <c r="U32" s="114" t="e">
        <f t="shared" si="5"/>
        <v>#DIV/0!</v>
      </c>
      <c r="V32" s="36">
        <f t="shared" si="6"/>
        <v>18500</v>
      </c>
      <c r="W32" s="36">
        <f t="shared" si="7"/>
        <v>0</v>
      </c>
      <c r="X32" s="114">
        <f t="shared" si="8"/>
        <v>-1</v>
      </c>
      <c r="Y32" s="36"/>
      <c r="Z32" s="36"/>
      <c r="AA32" s="114" t="e">
        <f t="shared" si="9"/>
        <v>#DIV/0!</v>
      </c>
      <c r="AB32" s="36">
        <f t="shared" si="10"/>
        <v>18500</v>
      </c>
      <c r="AC32" s="36">
        <f t="shared" si="11"/>
        <v>0</v>
      </c>
      <c r="AD32" s="114">
        <f t="shared" si="12"/>
        <v>-1</v>
      </c>
      <c r="AE32" s="108"/>
      <c r="AF32" s="108"/>
      <c r="AG32" s="114" t="e">
        <f t="shared" si="13"/>
        <v>#DIV/0!</v>
      </c>
      <c r="AH32" s="108">
        <f t="shared" si="14"/>
        <v>18500</v>
      </c>
      <c r="AI32" s="108">
        <f t="shared" si="15"/>
        <v>0</v>
      </c>
      <c r="AJ32" s="114">
        <f t="shared" si="16"/>
        <v>-1</v>
      </c>
      <c r="AK32" s="108"/>
      <c r="AL32" s="108"/>
      <c r="AM32" s="114" t="e">
        <f t="shared" si="17"/>
        <v>#DIV/0!</v>
      </c>
      <c r="AN32" s="108">
        <f t="shared" si="18"/>
        <v>18500</v>
      </c>
      <c r="AO32" s="108">
        <f t="shared" si="19"/>
        <v>0</v>
      </c>
      <c r="AP32" s="114">
        <f t="shared" si="20"/>
        <v>-1</v>
      </c>
      <c r="AQ32" s="108"/>
      <c r="AR32" s="108"/>
      <c r="AS32" s="114" t="e">
        <f t="shared" si="21"/>
        <v>#DIV/0!</v>
      </c>
      <c r="AT32" s="108">
        <f t="shared" si="22"/>
        <v>18500</v>
      </c>
      <c r="AU32" s="108">
        <f t="shared" si="23"/>
        <v>0</v>
      </c>
      <c r="AV32" s="114">
        <f t="shared" si="24"/>
        <v>-1</v>
      </c>
      <c r="AW32" s="36"/>
      <c r="AX32" s="36"/>
      <c r="AY32" s="114" t="e">
        <f t="shared" si="25"/>
        <v>#DIV/0!</v>
      </c>
      <c r="AZ32" s="36">
        <f t="shared" si="26"/>
        <v>18500</v>
      </c>
      <c r="BA32" s="36">
        <f t="shared" si="27"/>
        <v>0</v>
      </c>
      <c r="BB32" s="114">
        <f t="shared" si="28"/>
        <v>-1</v>
      </c>
      <c r="BC32" s="36"/>
      <c r="BD32" s="36"/>
      <c r="BE32" s="114" t="e">
        <f t="shared" si="29"/>
        <v>#DIV/0!</v>
      </c>
      <c r="BF32" s="36">
        <f t="shared" si="30"/>
        <v>18500</v>
      </c>
      <c r="BG32" s="36">
        <f t="shared" si="31"/>
        <v>0</v>
      </c>
      <c r="BH32" s="114">
        <f t="shared" si="32"/>
        <v>-1</v>
      </c>
      <c r="BI32" s="108"/>
      <c r="BJ32" s="108"/>
      <c r="BK32" s="114" t="e">
        <f t="shared" si="33"/>
        <v>#DIV/0!</v>
      </c>
      <c r="BL32" s="108">
        <f t="shared" si="34"/>
        <v>18500</v>
      </c>
      <c r="BM32" s="108">
        <f t="shared" si="35"/>
        <v>0</v>
      </c>
      <c r="BN32" s="114">
        <f t="shared" si="36"/>
        <v>-1</v>
      </c>
      <c r="BO32" s="108"/>
      <c r="BP32" s="108"/>
      <c r="BQ32" s="108">
        <v>18500</v>
      </c>
      <c r="BR32" s="115" t="e">
        <f t="shared" si="37"/>
        <v>#DIV/0!</v>
      </c>
      <c r="BS32" s="108"/>
    </row>
    <row r="33" spans="1:73">
      <c r="A33" s="110" t="s">
        <v>34</v>
      </c>
      <c r="B33" s="110" t="s">
        <v>34</v>
      </c>
      <c r="C33" s="119" t="s">
        <v>389</v>
      </c>
      <c r="D33" s="112" t="s">
        <v>63</v>
      </c>
      <c r="E33" s="112" t="s">
        <v>63</v>
      </c>
      <c r="F33" s="112" t="s">
        <v>359</v>
      </c>
      <c r="G33" s="112" t="s">
        <v>359</v>
      </c>
      <c r="H33" s="112" t="s">
        <v>355</v>
      </c>
      <c r="I33" s="112"/>
      <c r="J33" s="113">
        <v>11800</v>
      </c>
      <c r="K33" s="113"/>
      <c r="L33" s="114">
        <f t="shared" si="0"/>
        <v>-1</v>
      </c>
      <c r="M33" s="113"/>
      <c r="N33" s="113"/>
      <c r="O33" s="114" t="e">
        <f t="shared" si="1"/>
        <v>#DIV/0!</v>
      </c>
      <c r="P33" s="113">
        <f t="shared" si="2"/>
        <v>11800</v>
      </c>
      <c r="Q33" s="113">
        <f t="shared" si="3"/>
        <v>0</v>
      </c>
      <c r="R33" s="114">
        <f t="shared" si="4"/>
        <v>-1</v>
      </c>
      <c r="S33" s="36"/>
      <c r="T33" s="36"/>
      <c r="U33" s="114" t="e">
        <f t="shared" si="5"/>
        <v>#DIV/0!</v>
      </c>
      <c r="V33" s="36">
        <f t="shared" si="6"/>
        <v>11800</v>
      </c>
      <c r="W33" s="36">
        <f t="shared" si="7"/>
        <v>0</v>
      </c>
      <c r="X33" s="114">
        <f t="shared" si="8"/>
        <v>-1</v>
      </c>
      <c r="Y33" s="36">
        <v>23000</v>
      </c>
      <c r="Z33" s="36"/>
      <c r="AA33" s="114">
        <f t="shared" si="9"/>
        <v>-1</v>
      </c>
      <c r="AB33" s="36">
        <f t="shared" si="10"/>
        <v>34800</v>
      </c>
      <c r="AC33" s="36">
        <f t="shared" si="11"/>
        <v>0</v>
      </c>
      <c r="AD33" s="114">
        <f t="shared" si="12"/>
        <v>-1</v>
      </c>
      <c r="AE33" s="108"/>
      <c r="AF33" s="108"/>
      <c r="AG33" s="114" t="e">
        <f t="shared" si="13"/>
        <v>#DIV/0!</v>
      </c>
      <c r="AH33" s="108">
        <f t="shared" si="14"/>
        <v>34800</v>
      </c>
      <c r="AI33" s="108">
        <f t="shared" si="15"/>
        <v>0</v>
      </c>
      <c r="AJ33" s="114">
        <f t="shared" si="16"/>
        <v>-1</v>
      </c>
      <c r="AK33" s="108"/>
      <c r="AL33" s="108"/>
      <c r="AM33" s="114" t="e">
        <f t="shared" si="17"/>
        <v>#DIV/0!</v>
      </c>
      <c r="AN33" s="108">
        <f t="shared" si="18"/>
        <v>34800</v>
      </c>
      <c r="AO33" s="108">
        <f t="shared" si="19"/>
        <v>0</v>
      </c>
      <c r="AP33" s="114">
        <f t="shared" si="20"/>
        <v>-1</v>
      </c>
      <c r="AQ33" s="108"/>
      <c r="AR33" s="108"/>
      <c r="AS33" s="114" t="e">
        <f t="shared" si="21"/>
        <v>#DIV/0!</v>
      </c>
      <c r="AT33" s="108">
        <f t="shared" si="22"/>
        <v>34800</v>
      </c>
      <c r="AU33" s="108">
        <f t="shared" si="23"/>
        <v>0</v>
      </c>
      <c r="AV33" s="114">
        <f t="shared" si="24"/>
        <v>-1</v>
      </c>
      <c r="AW33" s="36"/>
      <c r="AX33" s="36"/>
      <c r="AY33" s="114" t="e">
        <f t="shared" si="25"/>
        <v>#DIV/0!</v>
      </c>
      <c r="AZ33" s="36">
        <f t="shared" si="26"/>
        <v>34800</v>
      </c>
      <c r="BA33" s="36">
        <f t="shared" si="27"/>
        <v>0</v>
      </c>
      <c r="BB33" s="114">
        <f t="shared" si="28"/>
        <v>-1</v>
      </c>
      <c r="BC33" s="36"/>
      <c r="BD33" s="36"/>
      <c r="BE33" s="114" t="e">
        <f t="shared" si="29"/>
        <v>#DIV/0!</v>
      </c>
      <c r="BF33" s="36">
        <f t="shared" si="30"/>
        <v>34800</v>
      </c>
      <c r="BG33" s="36">
        <f t="shared" si="31"/>
        <v>0</v>
      </c>
      <c r="BH33" s="114">
        <f t="shared" si="32"/>
        <v>-1</v>
      </c>
      <c r="BI33" s="108"/>
      <c r="BJ33" s="108"/>
      <c r="BK33" s="114" t="e">
        <f t="shared" si="33"/>
        <v>#DIV/0!</v>
      </c>
      <c r="BL33" s="108">
        <f t="shared" si="34"/>
        <v>34800</v>
      </c>
      <c r="BM33" s="108">
        <f t="shared" si="35"/>
        <v>0</v>
      </c>
      <c r="BN33" s="114">
        <f t="shared" si="36"/>
        <v>-1</v>
      </c>
      <c r="BO33" s="108"/>
      <c r="BP33" s="108"/>
      <c r="BQ33" s="108">
        <v>34800</v>
      </c>
      <c r="BR33" s="115" t="e">
        <f t="shared" si="37"/>
        <v>#DIV/0!</v>
      </c>
      <c r="BS33" s="108"/>
    </row>
    <row r="34" spans="1:73">
      <c r="A34" s="110" t="s">
        <v>34</v>
      </c>
      <c r="B34" s="110" t="s">
        <v>34</v>
      </c>
      <c r="C34" s="119" t="s">
        <v>390</v>
      </c>
      <c r="D34" s="112" t="s">
        <v>63</v>
      </c>
      <c r="E34" s="112" t="s">
        <v>63</v>
      </c>
      <c r="F34" s="112" t="s">
        <v>369</v>
      </c>
      <c r="G34" s="112" t="s">
        <v>369</v>
      </c>
      <c r="H34" s="112" t="s">
        <v>363</v>
      </c>
      <c r="I34" s="112">
        <v>15</v>
      </c>
      <c r="J34" s="113"/>
      <c r="K34" s="113">
        <v>12466</v>
      </c>
      <c r="L34" s="114" t="e">
        <f t="shared" si="0"/>
        <v>#DIV/0!</v>
      </c>
      <c r="M34" s="113">
        <v>1222.62</v>
      </c>
      <c r="N34" s="113">
        <v>6725</v>
      </c>
      <c r="O34" s="114">
        <f t="shared" si="1"/>
        <v>4.50048257021806</v>
      </c>
      <c r="P34" s="113">
        <f t="shared" si="2"/>
        <v>1222.62</v>
      </c>
      <c r="Q34" s="113">
        <f t="shared" si="3"/>
        <v>19191</v>
      </c>
      <c r="R34" s="114">
        <f t="shared" si="4"/>
        <v>14.6966187368111</v>
      </c>
      <c r="S34" s="36"/>
      <c r="T34" s="36">
        <v>11207</v>
      </c>
      <c r="U34" s="114" t="e">
        <f t="shared" si="5"/>
        <v>#DIV/0!</v>
      </c>
      <c r="V34" s="36">
        <f t="shared" si="6"/>
        <v>1222.62</v>
      </c>
      <c r="W34" s="36">
        <f t="shared" si="7"/>
        <v>30398</v>
      </c>
      <c r="X34" s="114">
        <f t="shared" si="8"/>
        <v>23.8629991330094</v>
      </c>
      <c r="Y34" s="36">
        <v>2399</v>
      </c>
      <c r="Z34" s="36"/>
      <c r="AA34" s="114">
        <f t="shared" si="9"/>
        <v>-1</v>
      </c>
      <c r="AB34" s="36">
        <f t="shared" si="10"/>
        <v>3621.62</v>
      </c>
      <c r="AC34" s="36">
        <f t="shared" si="11"/>
        <v>30398</v>
      </c>
      <c r="AD34" s="114">
        <f t="shared" si="12"/>
        <v>7.39348137021554</v>
      </c>
      <c r="AE34" s="108">
        <v>28449</v>
      </c>
      <c r="AF34" s="108">
        <v>34843</v>
      </c>
      <c r="AG34" s="114">
        <f t="shared" si="13"/>
        <v>0.224753066891631</v>
      </c>
      <c r="AH34" s="108">
        <f t="shared" si="14"/>
        <v>32070.62</v>
      </c>
      <c r="AI34" s="108">
        <f t="shared" si="15"/>
        <v>65241</v>
      </c>
      <c r="AJ34" s="114">
        <f t="shared" si="16"/>
        <v>1.03429182223481</v>
      </c>
      <c r="AK34" s="108">
        <v>16290</v>
      </c>
      <c r="AL34" s="108"/>
      <c r="AM34" s="114">
        <f t="shared" si="17"/>
        <v>-1</v>
      </c>
      <c r="AN34" s="108">
        <f t="shared" si="18"/>
        <v>48360.62</v>
      </c>
      <c r="AO34" s="108">
        <f t="shared" si="19"/>
        <v>65241</v>
      </c>
      <c r="AP34" s="114">
        <f t="shared" si="20"/>
        <v>0.349052183367376</v>
      </c>
      <c r="AQ34" s="108">
        <v>1482</v>
      </c>
      <c r="AR34" s="108"/>
      <c r="AS34" s="114">
        <f t="shared" si="21"/>
        <v>-1</v>
      </c>
      <c r="AT34" s="108">
        <f t="shared" si="22"/>
        <v>49842.62</v>
      </c>
      <c r="AU34" s="108">
        <f t="shared" si="23"/>
        <v>65241</v>
      </c>
      <c r="AV34" s="114">
        <f t="shared" si="24"/>
        <v>0.308940019605711</v>
      </c>
      <c r="AW34" s="36">
        <v>5220</v>
      </c>
      <c r="AX34" s="36"/>
      <c r="AY34" s="114">
        <f t="shared" si="25"/>
        <v>-1</v>
      </c>
      <c r="AZ34" s="36">
        <f t="shared" si="26"/>
        <v>55062.62</v>
      </c>
      <c r="BA34" s="36">
        <f t="shared" si="27"/>
        <v>65241</v>
      </c>
      <c r="BB34" s="114">
        <f t="shared" si="28"/>
        <v>0.184850993287279</v>
      </c>
      <c r="BC34" s="36">
        <v>31778</v>
      </c>
      <c r="BD34" s="36"/>
      <c r="BE34" s="114">
        <f t="shared" si="29"/>
        <v>-1</v>
      </c>
      <c r="BF34" s="36">
        <f t="shared" si="30"/>
        <v>86840.62</v>
      </c>
      <c r="BG34" s="36">
        <f t="shared" si="31"/>
        <v>65241</v>
      </c>
      <c r="BH34" s="114">
        <f t="shared" si="32"/>
        <v>-0.248727150957697</v>
      </c>
      <c r="BI34" s="108"/>
      <c r="BJ34" s="108"/>
      <c r="BK34" s="114" t="e">
        <f t="shared" si="33"/>
        <v>#DIV/0!</v>
      </c>
      <c r="BL34" s="108">
        <f t="shared" si="34"/>
        <v>86840.62</v>
      </c>
      <c r="BM34" s="108">
        <f t="shared" si="35"/>
        <v>65241</v>
      </c>
      <c r="BN34" s="114">
        <f t="shared" si="36"/>
        <v>-0.248727150957697</v>
      </c>
      <c r="BO34" s="108"/>
      <c r="BP34" s="108"/>
      <c r="BQ34" s="108">
        <v>86840.62</v>
      </c>
      <c r="BR34" s="115">
        <f t="shared" si="37"/>
        <v>0.43494</v>
      </c>
      <c r="BS34" s="108"/>
    </row>
    <row r="35" spans="1:73">
      <c r="A35" s="110" t="s">
        <v>34</v>
      </c>
      <c r="B35" s="110" t="s">
        <v>34</v>
      </c>
      <c r="C35" s="119" t="s">
        <v>391</v>
      </c>
      <c r="D35" s="112" t="s">
        <v>63</v>
      </c>
      <c r="E35" s="112" t="s">
        <v>63</v>
      </c>
      <c r="F35" s="112" t="s">
        <v>379</v>
      </c>
      <c r="G35" s="112" t="s">
        <v>379</v>
      </c>
      <c r="H35" s="112" t="s">
        <v>355</v>
      </c>
      <c r="I35" s="112">
        <v>0</v>
      </c>
      <c r="J35" s="113">
        <v>7491</v>
      </c>
      <c r="K35" s="113"/>
      <c r="L35" s="114">
        <f t="shared" si="0"/>
        <v>-1</v>
      </c>
      <c r="M35" s="113"/>
      <c r="N35" s="113"/>
      <c r="O35" s="114" t="e">
        <f t="shared" si="1"/>
        <v>#DIV/0!</v>
      </c>
      <c r="P35" s="113">
        <f t="shared" si="2"/>
        <v>7491</v>
      </c>
      <c r="Q35" s="113">
        <f t="shared" si="3"/>
        <v>0</v>
      </c>
      <c r="R35" s="114">
        <f t="shared" si="4"/>
        <v>-1</v>
      </c>
      <c r="S35" s="36"/>
      <c r="T35" s="36"/>
      <c r="U35" s="114" t="e">
        <f t="shared" si="5"/>
        <v>#DIV/0!</v>
      </c>
      <c r="V35" s="36">
        <f t="shared" si="6"/>
        <v>7491</v>
      </c>
      <c r="W35" s="36">
        <f t="shared" si="7"/>
        <v>0</v>
      </c>
      <c r="X35" s="114">
        <f t="shared" si="8"/>
        <v>-1</v>
      </c>
      <c r="Y35" s="36"/>
      <c r="Z35" s="36"/>
      <c r="AA35" s="114" t="e">
        <f t="shared" si="9"/>
        <v>#DIV/0!</v>
      </c>
      <c r="AB35" s="36">
        <f t="shared" si="10"/>
        <v>7491</v>
      </c>
      <c r="AC35" s="36">
        <f t="shared" si="11"/>
        <v>0</v>
      </c>
      <c r="AD35" s="114">
        <f t="shared" si="12"/>
        <v>-1</v>
      </c>
      <c r="AE35" s="108"/>
      <c r="AF35" s="108"/>
      <c r="AG35" s="114" t="e">
        <f t="shared" si="13"/>
        <v>#DIV/0!</v>
      </c>
      <c r="AH35" s="108">
        <f t="shared" si="14"/>
        <v>7491</v>
      </c>
      <c r="AI35" s="108">
        <f t="shared" si="15"/>
        <v>0</v>
      </c>
      <c r="AJ35" s="114">
        <f t="shared" si="16"/>
        <v>-1</v>
      </c>
      <c r="AK35" s="108"/>
      <c r="AL35" s="108"/>
      <c r="AM35" s="114" t="e">
        <f t="shared" si="17"/>
        <v>#DIV/0!</v>
      </c>
      <c r="AN35" s="108">
        <f t="shared" si="18"/>
        <v>7491</v>
      </c>
      <c r="AO35" s="108">
        <f t="shared" si="19"/>
        <v>0</v>
      </c>
      <c r="AP35" s="114">
        <f t="shared" si="20"/>
        <v>-1</v>
      </c>
      <c r="AQ35" s="108"/>
      <c r="AR35" s="108"/>
      <c r="AS35" s="114" t="e">
        <f t="shared" si="21"/>
        <v>#DIV/0!</v>
      </c>
      <c r="AT35" s="108">
        <f t="shared" si="22"/>
        <v>7491</v>
      </c>
      <c r="AU35" s="108">
        <f t="shared" si="23"/>
        <v>0</v>
      </c>
      <c r="AV35" s="114">
        <f t="shared" si="24"/>
        <v>-1</v>
      </c>
      <c r="AW35" s="36"/>
      <c r="AX35" s="36"/>
      <c r="AY35" s="114" t="e">
        <f t="shared" si="25"/>
        <v>#DIV/0!</v>
      </c>
      <c r="AZ35" s="36">
        <f t="shared" si="26"/>
        <v>7491</v>
      </c>
      <c r="BA35" s="36">
        <f t="shared" si="27"/>
        <v>0</v>
      </c>
      <c r="BB35" s="114">
        <f t="shared" si="28"/>
        <v>-1</v>
      </c>
      <c r="BC35" s="36"/>
      <c r="BD35" s="36"/>
      <c r="BE35" s="114" t="e">
        <f t="shared" si="29"/>
        <v>#DIV/0!</v>
      </c>
      <c r="BF35" s="36">
        <f t="shared" si="30"/>
        <v>7491</v>
      </c>
      <c r="BG35" s="36">
        <f t="shared" si="31"/>
        <v>0</v>
      </c>
      <c r="BH35" s="114">
        <f t="shared" si="32"/>
        <v>-1</v>
      </c>
      <c r="BI35" s="108"/>
      <c r="BJ35" s="108"/>
      <c r="BK35" s="114" t="e">
        <f t="shared" si="33"/>
        <v>#DIV/0!</v>
      </c>
      <c r="BL35" s="108">
        <f t="shared" si="34"/>
        <v>7491</v>
      </c>
      <c r="BM35" s="108">
        <f t="shared" si="35"/>
        <v>0</v>
      </c>
      <c r="BN35" s="114">
        <f t="shared" si="36"/>
        <v>-1</v>
      </c>
      <c r="BO35" s="108"/>
      <c r="BP35" s="108"/>
      <c r="BQ35" s="108">
        <v>7491</v>
      </c>
      <c r="BR35" s="115" t="e">
        <f t="shared" si="37"/>
        <v>#DIV/0!</v>
      </c>
      <c r="BS35" s="108"/>
    </row>
    <row r="36" spans="1:73">
      <c r="A36" s="110" t="s">
        <v>34</v>
      </c>
      <c r="B36" s="110" t="s">
        <v>34</v>
      </c>
      <c r="C36" s="119" t="s">
        <v>392</v>
      </c>
      <c r="D36" s="120" t="s">
        <v>63</v>
      </c>
      <c r="E36" s="112" t="s">
        <v>63</v>
      </c>
      <c r="F36" s="112" t="s">
        <v>369</v>
      </c>
      <c r="G36" s="112" t="s">
        <v>369</v>
      </c>
      <c r="H36" s="112" t="s">
        <v>363</v>
      </c>
      <c r="I36" s="112"/>
      <c r="J36" s="113"/>
      <c r="K36" s="113"/>
      <c r="L36" s="114" t="e">
        <f t="shared" si="0"/>
        <v>#DIV/0!</v>
      </c>
      <c r="M36" s="113"/>
      <c r="N36" s="113"/>
      <c r="O36" s="114" t="e">
        <f t="shared" si="1"/>
        <v>#DIV/0!</v>
      </c>
      <c r="P36" s="113">
        <f t="shared" si="2"/>
        <v>0</v>
      </c>
      <c r="Q36" s="113">
        <f t="shared" si="3"/>
        <v>0</v>
      </c>
      <c r="R36" s="114" t="e">
        <f t="shared" si="4"/>
        <v>#DIV/0!</v>
      </c>
      <c r="S36" s="36"/>
      <c r="T36" s="36"/>
      <c r="U36" s="114" t="e">
        <f t="shared" si="5"/>
        <v>#DIV/0!</v>
      </c>
      <c r="V36" s="36">
        <f t="shared" si="6"/>
        <v>0</v>
      </c>
      <c r="W36" s="36">
        <f t="shared" si="7"/>
        <v>0</v>
      </c>
      <c r="X36" s="114" t="e">
        <f t="shared" si="8"/>
        <v>#DIV/0!</v>
      </c>
      <c r="Y36" s="36">
        <v>5280</v>
      </c>
      <c r="Z36" s="36"/>
      <c r="AA36" s="114">
        <f t="shared" si="9"/>
        <v>-1</v>
      </c>
      <c r="AB36" s="36">
        <f t="shared" si="10"/>
        <v>5280</v>
      </c>
      <c r="AC36" s="36">
        <f t="shared" si="11"/>
        <v>0</v>
      </c>
      <c r="AD36" s="114">
        <f t="shared" si="12"/>
        <v>-1</v>
      </c>
      <c r="AE36" s="108"/>
      <c r="AF36" s="108"/>
      <c r="AG36" s="114" t="e">
        <f t="shared" si="13"/>
        <v>#DIV/0!</v>
      </c>
      <c r="AH36" s="108">
        <f t="shared" si="14"/>
        <v>5280</v>
      </c>
      <c r="AI36" s="108">
        <f t="shared" si="15"/>
        <v>0</v>
      </c>
      <c r="AJ36" s="114">
        <f t="shared" si="16"/>
        <v>-1</v>
      </c>
      <c r="AK36" s="108"/>
      <c r="AL36" s="108"/>
      <c r="AM36" s="114" t="e">
        <f t="shared" si="17"/>
        <v>#DIV/0!</v>
      </c>
      <c r="AN36" s="108">
        <f t="shared" si="18"/>
        <v>5280</v>
      </c>
      <c r="AO36" s="108">
        <f t="shared" si="19"/>
        <v>0</v>
      </c>
      <c r="AP36" s="114">
        <f t="shared" si="20"/>
        <v>-1</v>
      </c>
      <c r="AQ36" s="108"/>
      <c r="AR36" s="108"/>
      <c r="AS36" s="114" t="e">
        <f t="shared" si="21"/>
        <v>#DIV/0!</v>
      </c>
      <c r="AT36" s="108">
        <f t="shared" si="22"/>
        <v>5280</v>
      </c>
      <c r="AU36" s="108">
        <f t="shared" si="23"/>
        <v>0</v>
      </c>
      <c r="AV36" s="114">
        <f t="shared" si="24"/>
        <v>-1</v>
      </c>
      <c r="AW36" s="36"/>
      <c r="AX36" s="36"/>
      <c r="AY36" s="114" t="e">
        <f t="shared" si="25"/>
        <v>#DIV/0!</v>
      </c>
      <c r="AZ36" s="36">
        <f t="shared" si="26"/>
        <v>5280</v>
      </c>
      <c r="BA36" s="36">
        <f t="shared" si="27"/>
        <v>0</v>
      </c>
      <c r="BB36" s="114">
        <f t="shared" si="28"/>
        <v>-1</v>
      </c>
      <c r="BC36" s="36"/>
      <c r="BD36" s="36"/>
      <c r="BE36" s="114" t="e">
        <f t="shared" si="29"/>
        <v>#DIV/0!</v>
      </c>
      <c r="BF36" s="36">
        <f t="shared" si="30"/>
        <v>5280</v>
      </c>
      <c r="BG36" s="36">
        <f t="shared" si="31"/>
        <v>0</v>
      </c>
      <c r="BH36" s="114">
        <f t="shared" si="32"/>
        <v>-1</v>
      </c>
      <c r="BI36" s="108"/>
      <c r="BJ36" s="108"/>
      <c r="BK36" s="114" t="e">
        <f t="shared" ref="BK36:BK61" si="38">BJ36/BI36-1</f>
        <v>#DIV/0!</v>
      </c>
      <c r="BL36" s="108">
        <f t="shared" ref="BL36:BL61" si="39">BI36+BF36</f>
        <v>5280</v>
      </c>
      <c r="BM36" s="108">
        <f t="shared" ref="BM36:BM61" si="40">BJ36+BG36</f>
        <v>0</v>
      </c>
      <c r="BN36" s="114">
        <f t="shared" ref="BN36:BN61" si="41">BM36/BL36-1</f>
        <v>-1</v>
      </c>
      <c r="BO36" s="108"/>
      <c r="BP36" s="108"/>
      <c r="BQ36" s="108">
        <v>5280</v>
      </c>
      <c r="BR36" s="115" t="e">
        <f t="shared" ref="BR36:BR61" si="42">BM36/10000/I36</f>
        <v>#DIV/0!</v>
      </c>
      <c r="BS36" s="108"/>
    </row>
    <row r="37" spans="1:73">
      <c r="A37" s="110" t="s">
        <v>34</v>
      </c>
      <c r="B37" s="110" t="s">
        <v>34</v>
      </c>
      <c r="C37" s="119" t="s">
        <v>393</v>
      </c>
      <c r="D37" s="120" t="s">
        <v>63</v>
      </c>
      <c r="E37" s="112" t="s">
        <v>63</v>
      </c>
      <c r="F37" s="112" t="s">
        <v>379</v>
      </c>
      <c r="G37" s="112" t="s">
        <v>379</v>
      </c>
      <c r="H37" s="112" t="s">
        <v>355</v>
      </c>
      <c r="I37" s="112"/>
      <c r="J37" s="113"/>
      <c r="K37" s="113"/>
      <c r="L37" s="114" t="e">
        <f t="shared" si="0"/>
        <v>#DIV/0!</v>
      </c>
      <c r="M37" s="113"/>
      <c r="N37" s="113"/>
      <c r="O37" s="114" t="e">
        <f t="shared" si="1"/>
        <v>#DIV/0!</v>
      </c>
      <c r="P37" s="113">
        <f t="shared" si="2"/>
        <v>0</v>
      </c>
      <c r="Q37" s="113">
        <f t="shared" si="3"/>
        <v>0</v>
      </c>
      <c r="R37" s="114" t="e">
        <f t="shared" si="4"/>
        <v>#DIV/0!</v>
      </c>
      <c r="S37" s="36">
        <v>6699</v>
      </c>
      <c r="T37" s="36"/>
      <c r="U37" s="114">
        <f t="shared" si="5"/>
        <v>-1</v>
      </c>
      <c r="V37" s="36">
        <f t="shared" si="6"/>
        <v>6699</v>
      </c>
      <c r="W37" s="36">
        <f t="shared" si="7"/>
        <v>0</v>
      </c>
      <c r="X37" s="114">
        <f t="shared" si="8"/>
        <v>-1</v>
      </c>
      <c r="Y37" s="36"/>
      <c r="Z37" s="36"/>
      <c r="AA37" s="114" t="e">
        <f t="shared" si="9"/>
        <v>#DIV/0!</v>
      </c>
      <c r="AB37" s="36">
        <f t="shared" si="10"/>
        <v>6699</v>
      </c>
      <c r="AC37" s="36">
        <f t="shared" si="11"/>
        <v>0</v>
      </c>
      <c r="AD37" s="114">
        <f t="shared" si="12"/>
        <v>-1</v>
      </c>
      <c r="AE37" s="108"/>
      <c r="AF37" s="108"/>
      <c r="AG37" s="114" t="e">
        <f t="shared" si="13"/>
        <v>#DIV/0!</v>
      </c>
      <c r="AH37" s="108">
        <f t="shared" si="14"/>
        <v>6699</v>
      </c>
      <c r="AI37" s="108">
        <f t="shared" si="15"/>
        <v>0</v>
      </c>
      <c r="AJ37" s="114">
        <f t="shared" si="16"/>
        <v>-1</v>
      </c>
      <c r="AK37" s="108"/>
      <c r="AL37" s="108"/>
      <c r="AM37" s="114" t="e">
        <f t="shared" si="17"/>
        <v>#DIV/0!</v>
      </c>
      <c r="AN37" s="108">
        <f t="shared" si="18"/>
        <v>6699</v>
      </c>
      <c r="AO37" s="108">
        <f t="shared" si="19"/>
        <v>0</v>
      </c>
      <c r="AP37" s="114">
        <f t="shared" si="20"/>
        <v>-1</v>
      </c>
      <c r="AQ37" s="108"/>
      <c r="AR37" s="108"/>
      <c r="AS37" s="114" t="e">
        <f t="shared" si="21"/>
        <v>#DIV/0!</v>
      </c>
      <c r="AT37" s="108">
        <f t="shared" si="22"/>
        <v>6699</v>
      </c>
      <c r="AU37" s="108">
        <f t="shared" si="23"/>
        <v>0</v>
      </c>
      <c r="AV37" s="114">
        <f t="shared" si="24"/>
        <v>-1</v>
      </c>
      <c r="AW37" s="36"/>
      <c r="AX37" s="36"/>
      <c r="AY37" s="114" t="e">
        <f t="shared" si="25"/>
        <v>#DIV/0!</v>
      </c>
      <c r="AZ37" s="36">
        <f t="shared" si="26"/>
        <v>6699</v>
      </c>
      <c r="BA37" s="36">
        <f t="shared" si="27"/>
        <v>0</v>
      </c>
      <c r="BB37" s="114">
        <f t="shared" si="28"/>
        <v>-1</v>
      </c>
      <c r="BC37" s="36">
        <v>3692</v>
      </c>
      <c r="BD37" s="36"/>
      <c r="BE37" s="114">
        <f t="shared" si="29"/>
        <v>-1</v>
      </c>
      <c r="BF37" s="36">
        <f t="shared" si="30"/>
        <v>10391</v>
      </c>
      <c r="BG37" s="36">
        <f t="shared" si="31"/>
        <v>0</v>
      </c>
      <c r="BH37" s="114">
        <f t="shared" si="32"/>
        <v>-1</v>
      </c>
      <c r="BI37" s="108"/>
      <c r="BJ37" s="108"/>
      <c r="BK37" s="114" t="e">
        <f t="shared" si="38"/>
        <v>#DIV/0!</v>
      </c>
      <c r="BL37" s="108">
        <f t="shared" si="39"/>
        <v>10391</v>
      </c>
      <c r="BM37" s="108">
        <f t="shared" si="40"/>
        <v>0</v>
      </c>
      <c r="BN37" s="114">
        <f t="shared" si="41"/>
        <v>-1</v>
      </c>
      <c r="BO37" s="108"/>
      <c r="BP37" s="108"/>
      <c r="BQ37" s="108">
        <v>10391</v>
      </c>
      <c r="BR37" s="115" t="e">
        <f t="shared" si="42"/>
        <v>#DIV/0!</v>
      </c>
      <c r="BS37" s="108"/>
    </row>
    <row r="38" spans="1:73">
      <c r="A38" s="110" t="s">
        <v>34</v>
      </c>
      <c r="B38" s="110" t="s">
        <v>34</v>
      </c>
      <c r="C38" s="119" t="s">
        <v>394</v>
      </c>
      <c r="D38" s="120" t="s">
        <v>63</v>
      </c>
      <c r="E38" s="112" t="s">
        <v>63</v>
      </c>
      <c r="F38" s="112" t="s">
        <v>379</v>
      </c>
      <c r="G38" s="112" t="s">
        <v>379</v>
      </c>
      <c r="H38" s="112" t="s">
        <v>355</v>
      </c>
      <c r="I38" s="112">
        <v>20</v>
      </c>
      <c r="J38" s="113"/>
      <c r="K38" s="113">
        <v>20000</v>
      </c>
      <c r="L38" s="114" t="e">
        <f t="shared" si="0"/>
        <v>#DIV/0!</v>
      </c>
      <c r="M38" s="113"/>
      <c r="N38" s="113"/>
      <c r="O38" s="114" t="e">
        <f t="shared" si="1"/>
        <v>#DIV/0!</v>
      </c>
      <c r="P38" s="113">
        <f t="shared" si="2"/>
        <v>0</v>
      </c>
      <c r="Q38" s="113">
        <f t="shared" si="3"/>
        <v>20000</v>
      </c>
      <c r="R38" s="114" t="e">
        <f t="shared" si="4"/>
        <v>#DIV/0!</v>
      </c>
      <c r="S38" s="36"/>
      <c r="T38" s="36"/>
      <c r="U38" s="114" t="e">
        <f t="shared" si="5"/>
        <v>#DIV/0!</v>
      </c>
      <c r="V38" s="36">
        <f t="shared" si="6"/>
        <v>0</v>
      </c>
      <c r="W38" s="36">
        <f t="shared" si="7"/>
        <v>20000</v>
      </c>
      <c r="X38" s="114" t="e">
        <f t="shared" si="8"/>
        <v>#DIV/0!</v>
      </c>
      <c r="Y38" s="36"/>
      <c r="Z38" s="36">
        <v>20000</v>
      </c>
      <c r="AA38" s="114" t="e">
        <f t="shared" si="9"/>
        <v>#DIV/0!</v>
      </c>
      <c r="AB38" s="36">
        <f t="shared" si="10"/>
        <v>0</v>
      </c>
      <c r="AC38" s="36">
        <f t="shared" si="11"/>
        <v>40000</v>
      </c>
      <c r="AD38" s="114" t="e">
        <f t="shared" si="12"/>
        <v>#DIV/0!</v>
      </c>
      <c r="AE38" s="108">
        <v>20000</v>
      </c>
      <c r="AF38" s="108"/>
      <c r="AG38" s="114">
        <f t="shared" si="13"/>
        <v>-1</v>
      </c>
      <c r="AH38" s="108">
        <f t="shared" si="14"/>
        <v>20000</v>
      </c>
      <c r="AI38" s="108">
        <f t="shared" si="15"/>
        <v>40000</v>
      </c>
      <c r="AJ38" s="114">
        <f t="shared" si="16"/>
        <v>1</v>
      </c>
      <c r="AK38" s="108"/>
      <c r="AL38" s="108"/>
      <c r="AM38" s="114" t="e">
        <f t="shared" si="17"/>
        <v>#DIV/0!</v>
      </c>
      <c r="AN38" s="108">
        <f t="shared" si="18"/>
        <v>20000</v>
      </c>
      <c r="AO38" s="108">
        <f t="shared" si="19"/>
        <v>40000</v>
      </c>
      <c r="AP38" s="114">
        <f t="shared" si="20"/>
        <v>1</v>
      </c>
      <c r="AQ38" s="108"/>
      <c r="AR38" s="108">
        <v>20000</v>
      </c>
      <c r="AS38" s="114" t="e">
        <f t="shared" si="21"/>
        <v>#DIV/0!</v>
      </c>
      <c r="AT38" s="108">
        <f t="shared" si="22"/>
        <v>20000</v>
      </c>
      <c r="AU38" s="108">
        <f t="shared" si="23"/>
        <v>60000</v>
      </c>
      <c r="AV38" s="114">
        <f t="shared" si="24"/>
        <v>2</v>
      </c>
      <c r="AW38" s="36"/>
      <c r="AX38" s="36"/>
      <c r="AY38" s="114" t="e">
        <f t="shared" si="25"/>
        <v>#DIV/0!</v>
      </c>
      <c r="AZ38" s="36">
        <f t="shared" si="26"/>
        <v>20000</v>
      </c>
      <c r="BA38" s="36">
        <f t="shared" si="27"/>
        <v>60000</v>
      </c>
      <c r="BB38" s="114">
        <f t="shared" si="28"/>
        <v>2</v>
      </c>
      <c r="BC38" s="36"/>
      <c r="BD38" s="36"/>
      <c r="BE38" s="114" t="e">
        <f t="shared" si="29"/>
        <v>#DIV/0!</v>
      </c>
      <c r="BF38" s="36">
        <f t="shared" si="30"/>
        <v>20000</v>
      </c>
      <c r="BG38" s="36">
        <f t="shared" si="31"/>
        <v>60000</v>
      </c>
      <c r="BH38" s="114">
        <f t="shared" si="32"/>
        <v>2</v>
      </c>
      <c r="BI38" s="108">
        <v>30000</v>
      </c>
      <c r="BJ38" s="108"/>
      <c r="BK38" s="114">
        <f t="shared" si="38"/>
        <v>-1</v>
      </c>
      <c r="BL38" s="108">
        <f t="shared" si="39"/>
        <v>50000</v>
      </c>
      <c r="BM38" s="108">
        <f t="shared" si="40"/>
        <v>60000</v>
      </c>
      <c r="BN38" s="114">
        <f t="shared" si="41"/>
        <v>0.2</v>
      </c>
      <c r="BO38" s="108"/>
      <c r="BP38" s="108"/>
      <c r="BQ38" s="108">
        <v>50000</v>
      </c>
      <c r="BR38" s="115">
        <f t="shared" si="42"/>
        <v>0.3</v>
      </c>
      <c r="BS38" s="108"/>
    </row>
    <row r="39" spans="1:73">
      <c r="A39" s="110" t="s">
        <v>34</v>
      </c>
      <c r="B39" s="110" t="s">
        <v>34</v>
      </c>
      <c r="C39" s="119" t="s">
        <v>395</v>
      </c>
      <c r="D39" s="120" t="s">
        <v>104</v>
      </c>
      <c r="E39" s="112" t="s">
        <v>104</v>
      </c>
      <c r="F39" s="112" t="s">
        <v>379</v>
      </c>
      <c r="G39" s="112" t="s">
        <v>379</v>
      </c>
      <c r="H39" s="112" t="s">
        <v>355</v>
      </c>
      <c r="I39" s="112"/>
      <c r="J39" s="113">
        <v>18718</v>
      </c>
      <c r="K39" s="113"/>
      <c r="L39" s="114">
        <f t="shared" si="0"/>
        <v>-1</v>
      </c>
      <c r="M39" s="113"/>
      <c r="N39" s="113"/>
      <c r="O39" s="114" t="e">
        <f t="shared" si="1"/>
        <v>#DIV/0!</v>
      </c>
      <c r="P39" s="113">
        <f t="shared" si="2"/>
        <v>18718</v>
      </c>
      <c r="Q39" s="113">
        <f t="shared" si="3"/>
        <v>0</v>
      </c>
      <c r="R39" s="114">
        <f t="shared" si="4"/>
        <v>-1</v>
      </c>
      <c r="S39" s="36"/>
      <c r="T39" s="36"/>
      <c r="U39" s="114" t="e">
        <f t="shared" si="5"/>
        <v>#DIV/0!</v>
      </c>
      <c r="V39" s="36">
        <f t="shared" si="6"/>
        <v>18718</v>
      </c>
      <c r="W39" s="36">
        <f t="shared" si="7"/>
        <v>0</v>
      </c>
      <c r="X39" s="114">
        <f t="shared" si="8"/>
        <v>-1</v>
      </c>
      <c r="Y39" s="36">
        <v>2309</v>
      </c>
      <c r="Z39" s="36"/>
      <c r="AA39" s="114">
        <f t="shared" si="9"/>
        <v>-1</v>
      </c>
      <c r="AB39" s="36">
        <f t="shared" si="10"/>
        <v>21027</v>
      </c>
      <c r="AC39" s="36">
        <f t="shared" si="11"/>
        <v>0</v>
      </c>
      <c r="AD39" s="114">
        <f t="shared" si="12"/>
        <v>-1</v>
      </c>
      <c r="AE39" s="108"/>
      <c r="AF39" s="108"/>
      <c r="AG39" s="114" t="e">
        <f t="shared" si="13"/>
        <v>#DIV/0!</v>
      </c>
      <c r="AH39" s="108">
        <f t="shared" si="14"/>
        <v>21027</v>
      </c>
      <c r="AI39" s="108">
        <f t="shared" si="15"/>
        <v>0</v>
      </c>
      <c r="AJ39" s="114">
        <f t="shared" si="16"/>
        <v>-1</v>
      </c>
      <c r="AK39" s="108"/>
      <c r="AL39" s="108"/>
      <c r="AM39" s="114" t="e">
        <f t="shared" si="17"/>
        <v>#DIV/0!</v>
      </c>
      <c r="AN39" s="108">
        <f t="shared" si="18"/>
        <v>21027</v>
      </c>
      <c r="AO39" s="108">
        <f t="shared" si="19"/>
        <v>0</v>
      </c>
      <c r="AP39" s="114">
        <f t="shared" si="20"/>
        <v>-1</v>
      </c>
      <c r="AQ39" s="108"/>
      <c r="AR39" s="108"/>
      <c r="AS39" s="114" t="e">
        <f t="shared" si="21"/>
        <v>#DIV/0!</v>
      </c>
      <c r="AT39" s="108">
        <f t="shared" si="22"/>
        <v>21027</v>
      </c>
      <c r="AU39" s="108">
        <f t="shared" si="23"/>
        <v>0</v>
      </c>
      <c r="AV39" s="114">
        <f t="shared" si="24"/>
        <v>-1</v>
      </c>
      <c r="AW39" s="36"/>
      <c r="AX39" s="36"/>
      <c r="AY39" s="114" t="e">
        <f t="shared" si="25"/>
        <v>#DIV/0!</v>
      </c>
      <c r="AZ39" s="36">
        <f t="shared" si="26"/>
        <v>21027</v>
      </c>
      <c r="BA39" s="36">
        <f t="shared" si="27"/>
        <v>0</v>
      </c>
      <c r="BB39" s="114">
        <f t="shared" si="28"/>
        <v>-1</v>
      </c>
      <c r="BC39" s="36"/>
      <c r="BD39" s="36"/>
      <c r="BE39" s="114" t="e">
        <f t="shared" si="29"/>
        <v>#DIV/0!</v>
      </c>
      <c r="BF39" s="36">
        <f t="shared" si="30"/>
        <v>21027</v>
      </c>
      <c r="BG39" s="36">
        <f t="shared" si="31"/>
        <v>0</v>
      </c>
      <c r="BH39" s="114">
        <f t="shared" si="32"/>
        <v>-1</v>
      </c>
      <c r="BI39" s="108"/>
      <c r="BJ39" s="108"/>
      <c r="BK39" s="114" t="e">
        <f t="shared" si="38"/>
        <v>#DIV/0!</v>
      </c>
      <c r="BL39" s="108">
        <f t="shared" si="39"/>
        <v>21027</v>
      </c>
      <c r="BM39" s="108">
        <f t="shared" si="40"/>
        <v>0</v>
      </c>
      <c r="BN39" s="114">
        <f t="shared" si="41"/>
        <v>-1</v>
      </c>
      <c r="BO39" s="108"/>
      <c r="BP39" s="108"/>
      <c r="BQ39" s="108">
        <v>21027</v>
      </c>
      <c r="BR39" s="115" t="e">
        <f t="shared" si="42"/>
        <v>#DIV/0!</v>
      </c>
      <c r="BS39" s="108"/>
    </row>
    <row r="40" spans="1:73">
      <c r="A40" s="110" t="s">
        <v>34</v>
      </c>
      <c r="B40" s="110" t="s">
        <v>34</v>
      </c>
      <c r="C40" s="121" t="s">
        <v>396</v>
      </c>
      <c r="D40" s="120" t="s">
        <v>63</v>
      </c>
      <c r="E40" s="112" t="s">
        <v>63</v>
      </c>
      <c r="F40" s="112" t="s">
        <v>379</v>
      </c>
      <c r="G40" s="112" t="s">
        <v>379</v>
      </c>
      <c r="H40" s="112" t="s">
        <v>355</v>
      </c>
      <c r="I40" s="112"/>
      <c r="J40" s="113">
        <v>25000</v>
      </c>
      <c r="K40" s="113"/>
      <c r="L40" s="114">
        <f t="shared" si="0"/>
        <v>-1</v>
      </c>
      <c r="M40" s="113"/>
      <c r="N40" s="113"/>
      <c r="O40" s="114" t="e">
        <f t="shared" si="1"/>
        <v>#DIV/0!</v>
      </c>
      <c r="P40" s="113">
        <f t="shared" si="2"/>
        <v>25000</v>
      </c>
      <c r="Q40" s="113">
        <f t="shared" si="3"/>
        <v>0</v>
      </c>
      <c r="R40" s="114">
        <f t="shared" si="4"/>
        <v>-1</v>
      </c>
      <c r="S40" s="36"/>
      <c r="T40" s="36"/>
      <c r="U40" s="114" t="e">
        <f t="shared" si="5"/>
        <v>#DIV/0!</v>
      </c>
      <c r="V40" s="36">
        <f t="shared" si="6"/>
        <v>25000</v>
      </c>
      <c r="W40" s="36">
        <f t="shared" si="7"/>
        <v>0</v>
      </c>
      <c r="X40" s="114">
        <f t="shared" si="8"/>
        <v>-1</v>
      </c>
      <c r="Y40" s="36"/>
      <c r="Z40" s="36"/>
      <c r="AA40" s="114" t="e">
        <f t="shared" si="9"/>
        <v>#DIV/0!</v>
      </c>
      <c r="AB40" s="36">
        <f t="shared" si="10"/>
        <v>25000</v>
      </c>
      <c r="AC40" s="36">
        <f t="shared" si="11"/>
        <v>0</v>
      </c>
      <c r="AD40" s="114">
        <f t="shared" si="12"/>
        <v>-1</v>
      </c>
      <c r="AE40" s="108"/>
      <c r="AF40" s="108"/>
      <c r="AG40" s="114" t="e">
        <f t="shared" si="13"/>
        <v>#DIV/0!</v>
      </c>
      <c r="AH40" s="108">
        <f t="shared" si="14"/>
        <v>25000</v>
      </c>
      <c r="AI40" s="108">
        <f t="shared" si="15"/>
        <v>0</v>
      </c>
      <c r="AJ40" s="114">
        <f t="shared" si="16"/>
        <v>-1</v>
      </c>
      <c r="AK40" s="108"/>
      <c r="AL40" s="108"/>
      <c r="AM40" s="114" t="e">
        <f t="shared" si="17"/>
        <v>#DIV/0!</v>
      </c>
      <c r="AN40" s="108">
        <f t="shared" si="18"/>
        <v>25000</v>
      </c>
      <c r="AO40" s="108">
        <f t="shared" si="19"/>
        <v>0</v>
      </c>
      <c r="AP40" s="114">
        <f t="shared" si="20"/>
        <v>-1</v>
      </c>
      <c r="AQ40" s="108"/>
      <c r="AR40" s="108"/>
      <c r="AS40" s="114" t="e">
        <f t="shared" si="21"/>
        <v>#DIV/0!</v>
      </c>
      <c r="AT40" s="108">
        <f t="shared" si="22"/>
        <v>25000</v>
      </c>
      <c r="AU40" s="108">
        <f t="shared" si="23"/>
        <v>0</v>
      </c>
      <c r="AV40" s="114">
        <f t="shared" si="24"/>
        <v>-1</v>
      </c>
      <c r="AW40" s="36"/>
      <c r="AX40" s="36"/>
      <c r="AY40" s="114" t="e">
        <f t="shared" si="25"/>
        <v>#DIV/0!</v>
      </c>
      <c r="AZ40" s="36">
        <f t="shared" si="26"/>
        <v>25000</v>
      </c>
      <c r="BA40" s="36">
        <f t="shared" si="27"/>
        <v>0</v>
      </c>
      <c r="BB40" s="114">
        <f t="shared" si="28"/>
        <v>-1</v>
      </c>
      <c r="BC40" s="36"/>
      <c r="BD40" s="36"/>
      <c r="BE40" s="114" t="e">
        <f t="shared" si="29"/>
        <v>#DIV/0!</v>
      </c>
      <c r="BF40" s="36">
        <f t="shared" si="30"/>
        <v>25000</v>
      </c>
      <c r="BG40" s="36">
        <f t="shared" si="31"/>
        <v>0</v>
      </c>
      <c r="BH40" s="114">
        <f t="shared" si="32"/>
        <v>-1</v>
      </c>
      <c r="BI40" s="108"/>
      <c r="BJ40" s="108"/>
      <c r="BK40" s="114" t="e">
        <f t="shared" si="38"/>
        <v>#DIV/0!</v>
      </c>
      <c r="BL40" s="108">
        <f t="shared" si="39"/>
        <v>25000</v>
      </c>
      <c r="BM40" s="108">
        <f t="shared" si="40"/>
        <v>0</v>
      </c>
      <c r="BN40" s="114">
        <f t="shared" si="41"/>
        <v>-1</v>
      </c>
      <c r="BO40" s="108"/>
      <c r="BP40" s="108">
        <v>1213</v>
      </c>
      <c r="BQ40" s="108">
        <v>26213</v>
      </c>
      <c r="BR40" s="115" t="e">
        <f t="shared" si="42"/>
        <v>#DIV/0!</v>
      </c>
      <c r="BS40" s="108"/>
    </row>
    <row r="41" spans="1:73">
      <c r="A41" s="110" t="s">
        <v>34</v>
      </c>
      <c r="B41" s="110" t="s">
        <v>34</v>
      </c>
      <c r="C41" s="121" t="s">
        <v>397</v>
      </c>
      <c r="D41" s="120" t="s">
        <v>67</v>
      </c>
      <c r="E41" s="112" t="s">
        <v>67</v>
      </c>
      <c r="F41" s="112" t="s">
        <v>354</v>
      </c>
      <c r="G41" s="112" t="s">
        <v>354</v>
      </c>
      <c r="H41" s="112" t="s">
        <v>355</v>
      </c>
      <c r="I41" s="112">
        <v>90</v>
      </c>
      <c r="J41" s="113">
        <v>81672</v>
      </c>
      <c r="K41" s="113">
        <v>90219</v>
      </c>
      <c r="L41" s="114">
        <f t="shared" si="0"/>
        <v>0.104650308551278</v>
      </c>
      <c r="M41" s="113">
        <v>8111</v>
      </c>
      <c r="N41" s="113">
        <v>17526</v>
      </c>
      <c r="O41" s="114">
        <f t="shared" si="1"/>
        <v>1.1607693256072</v>
      </c>
      <c r="P41" s="113">
        <f t="shared" si="2"/>
        <v>89783</v>
      </c>
      <c r="Q41" s="113">
        <f t="shared" si="3"/>
        <v>107745</v>
      </c>
      <c r="R41" s="114">
        <f t="shared" si="4"/>
        <v>0.200060145016317</v>
      </c>
      <c r="S41" s="36">
        <v>54438</v>
      </c>
      <c r="T41" s="36">
        <v>86163</v>
      </c>
      <c r="U41" s="114">
        <f t="shared" si="5"/>
        <v>0.58277306293398</v>
      </c>
      <c r="V41" s="36">
        <f t="shared" si="6"/>
        <v>144221</v>
      </c>
      <c r="W41" s="36">
        <f t="shared" si="7"/>
        <v>193908</v>
      </c>
      <c r="X41" s="114">
        <f t="shared" si="8"/>
        <v>0.344519868812448</v>
      </c>
      <c r="Y41" s="36">
        <v>35540</v>
      </c>
      <c r="Z41" s="36">
        <v>43229</v>
      </c>
      <c r="AA41" s="114">
        <f t="shared" si="9"/>
        <v>0.216347777152504</v>
      </c>
      <c r="AB41" s="36">
        <f t="shared" si="10"/>
        <v>179761</v>
      </c>
      <c r="AC41" s="36">
        <f t="shared" si="11"/>
        <v>237137</v>
      </c>
      <c r="AD41" s="114">
        <f t="shared" si="12"/>
        <v>0.319179354809998</v>
      </c>
      <c r="AE41" s="108">
        <v>36714</v>
      </c>
      <c r="AF41" s="108">
        <v>97365</v>
      </c>
      <c r="AG41" s="114">
        <f t="shared" si="13"/>
        <v>1.65198561856513</v>
      </c>
      <c r="AH41" s="108">
        <f t="shared" si="14"/>
        <v>216475</v>
      </c>
      <c r="AI41" s="108">
        <f t="shared" si="15"/>
        <v>334502</v>
      </c>
      <c r="AJ41" s="114">
        <f t="shared" si="16"/>
        <v>0.545222312045271</v>
      </c>
      <c r="AK41" s="108">
        <v>43904</v>
      </c>
      <c r="AL41" s="108">
        <v>16592</v>
      </c>
      <c r="AM41" s="114">
        <f t="shared" si="17"/>
        <v>-0.622084548104956</v>
      </c>
      <c r="AN41" s="108">
        <f t="shared" si="18"/>
        <v>260379</v>
      </c>
      <c r="AO41" s="108">
        <f t="shared" si="19"/>
        <v>351094</v>
      </c>
      <c r="AP41" s="114">
        <f t="shared" si="20"/>
        <v>0.348395991996282</v>
      </c>
      <c r="AQ41" s="108">
        <v>98153</v>
      </c>
      <c r="AR41" s="108">
        <v>38561</v>
      </c>
      <c r="AS41" s="114">
        <f t="shared" si="21"/>
        <v>-0.607133760557497</v>
      </c>
      <c r="AT41" s="108">
        <f t="shared" si="22"/>
        <v>358532</v>
      </c>
      <c r="AU41" s="108">
        <f t="shared" si="23"/>
        <v>389655</v>
      </c>
      <c r="AV41" s="114">
        <f t="shared" si="24"/>
        <v>0.0868067564401505</v>
      </c>
      <c r="AW41" s="36">
        <v>31695</v>
      </c>
      <c r="AX41" s="36">
        <v>65798</v>
      </c>
      <c r="AY41" s="114">
        <f t="shared" si="25"/>
        <v>1.07597412841142</v>
      </c>
      <c r="AZ41" s="36">
        <f t="shared" si="26"/>
        <v>390227</v>
      </c>
      <c r="BA41" s="36">
        <f t="shared" si="27"/>
        <v>455453</v>
      </c>
      <c r="BB41" s="114">
        <f t="shared" si="28"/>
        <v>0.1671488646352</v>
      </c>
      <c r="BC41" s="36">
        <v>52822</v>
      </c>
      <c r="BD41" s="36">
        <v>110372</v>
      </c>
      <c r="BE41" s="114">
        <f t="shared" si="29"/>
        <v>1.08950815947901</v>
      </c>
      <c r="BF41" s="36">
        <f t="shared" si="30"/>
        <v>443049</v>
      </c>
      <c r="BG41" s="36">
        <f t="shared" si="31"/>
        <v>565825</v>
      </c>
      <c r="BH41" s="114">
        <f t="shared" si="32"/>
        <v>0.2771160751971</v>
      </c>
      <c r="BI41" s="108">
        <v>123743</v>
      </c>
      <c r="BJ41" s="108">
        <v>52521</v>
      </c>
      <c r="BK41" s="114">
        <f t="shared" si="38"/>
        <v>-0.575563870279531</v>
      </c>
      <c r="BL41" s="108">
        <f t="shared" si="39"/>
        <v>566792</v>
      </c>
      <c r="BM41" s="108">
        <f t="shared" si="40"/>
        <v>618346</v>
      </c>
      <c r="BN41" s="114">
        <f t="shared" si="41"/>
        <v>0.0909575293934988</v>
      </c>
      <c r="BO41" s="108">
        <v>135943</v>
      </c>
      <c r="BP41" s="108">
        <v>70129</v>
      </c>
      <c r="BQ41" s="108">
        <v>772864</v>
      </c>
      <c r="BR41" s="115">
        <f t="shared" si="42"/>
        <v>0.687051111111111</v>
      </c>
      <c r="BS41" s="108">
        <v>27642</v>
      </c>
    </row>
    <row r="42" s="21" customFormat="1" spans="1:73">
      <c r="A42" s="110" t="s">
        <v>34</v>
      </c>
      <c r="B42" s="110" t="s">
        <v>34</v>
      </c>
      <c r="C42" s="121" t="s">
        <v>398</v>
      </c>
      <c r="D42" s="120" t="s">
        <v>67</v>
      </c>
      <c r="E42" s="112" t="s">
        <v>67</v>
      </c>
      <c r="F42" s="112" t="s">
        <v>379</v>
      </c>
      <c r="G42" s="112" t="s">
        <v>379</v>
      </c>
      <c r="H42" s="112" t="s">
        <v>355</v>
      </c>
      <c r="I42" s="112">
        <v>80</v>
      </c>
      <c r="J42" s="113">
        <v>140602</v>
      </c>
      <c r="K42" s="113">
        <v>148655</v>
      </c>
      <c r="L42" s="114">
        <f t="shared" si="0"/>
        <v>0.0572751454460108</v>
      </c>
      <c r="M42" s="113">
        <v>25677</v>
      </c>
      <c r="N42" s="113">
        <v>86524</v>
      </c>
      <c r="O42" s="114">
        <f t="shared" si="1"/>
        <v>2.36970829925614</v>
      </c>
      <c r="P42" s="113">
        <f t="shared" si="2"/>
        <v>166279</v>
      </c>
      <c r="Q42" s="113">
        <f t="shared" si="3"/>
        <v>235179</v>
      </c>
      <c r="R42" s="114">
        <f t="shared" si="4"/>
        <v>0.414363810222578</v>
      </c>
      <c r="S42" s="36">
        <v>5543</v>
      </c>
      <c r="T42" s="36">
        <v>61525</v>
      </c>
      <c r="U42" s="114">
        <f t="shared" si="5"/>
        <v>10.0995850622407</v>
      </c>
      <c r="V42" s="36">
        <f t="shared" si="6"/>
        <v>171822</v>
      </c>
      <c r="W42" s="36">
        <f t="shared" si="7"/>
        <v>296704</v>
      </c>
      <c r="X42" s="114">
        <f t="shared" si="8"/>
        <v>0.726810303686373</v>
      </c>
      <c r="Y42" s="36">
        <v>88660</v>
      </c>
      <c r="Z42" s="36">
        <v>91231</v>
      </c>
      <c r="AA42" s="114">
        <f t="shared" si="9"/>
        <v>0.0289984209339047</v>
      </c>
      <c r="AB42" s="36">
        <f t="shared" si="10"/>
        <v>260482</v>
      </c>
      <c r="AC42" s="36">
        <f t="shared" si="11"/>
        <v>387935</v>
      </c>
      <c r="AD42" s="114">
        <f t="shared" si="12"/>
        <v>0.48929676522754</v>
      </c>
      <c r="AE42" s="108">
        <v>67916</v>
      </c>
      <c r="AF42" s="108">
        <v>34471</v>
      </c>
      <c r="AG42" s="114">
        <f t="shared" si="13"/>
        <v>-0.492446551622593</v>
      </c>
      <c r="AH42" s="108">
        <f t="shared" si="14"/>
        <v>328398</v>
      </c>
      <c r="AI42" s="108">
        <f t="shared" si="15"/>
        <v>422406</v>
      </c>
      <c r="AJ42" s="114">
        <f t="shared" si="16"/>
        <v>0.286262401110847</v>
      </c>
      <c r="AK42" s="108">
        <v>55674</v>
      </c>
      <c r="AL42" s="108">
        <v>56029</v>
      </c>
      <c r="AM42" s="114">
        <f t="shared" si="17"/>
        <v>0.00637640550346652</v>
      </c>
      <c r="AN42" s="108">
        <f t="shared" si="18"/>
        <v>384072</v>
      </c>
      <c r="AO42" s="108">
        <f t="shared" si="19"/>
        <v>478435</v>
      </c>
      <c r="AP42" s="114">
        <f t="shared" si="20"/>
        <v>0.245690912120644</v>
      </c>
      <c r="AQ42" s="108">
        <v>9051</v>
      </c>
      <c r="AR42" s="108">
        <v>95427</v>
      </c>
      <c r="AS42" s="114">
        <f t="shared" si="21"/>
        <v>9.54325488896255</v>
      </c>
      <c r="AT42" s="108">
        <f t="shared" si="22"/>
        <v>393123</v>
      </c>
      <c r="AU42" s="108">
        <f t="shared" si="23"/>
        <v>573862</v>
      </c>
      <c r="AV42" s="114">
        <f t="shared" si="24"/>
        <v>0.459751782520992</v>
      </c>
      <c r="AW42" s="36">
        <v>3024</v>
      </c>
      <c r="AX42" s="36">
        <v>43248</v>
      </c>
      <c r="AY42" s="114">
        <f t="shared" si="25"/>
        <v>13.3015873015873</v>
      </c>
      <c r="AZ42" s="36">
        <f t="shared" si="26"/>
        <v>396147</v>
      </c>
      <c r="BA42" s="36">
        <f t="shared" si="27"/>
        <v>617110</v>
      </c>
      <c r="BB42" s="114">
        <f t="shared" si="28"/>
        <v>0.557780318922016</v>
      </c>
      <c r="BC42" s="36">
        <v>61657</v>
      </c>
      <c r="BD42" s="36"/>
      <c r="BE42" s="114">
        <f t="shared" si="29"/>
        <v>-1</v>
      </c>
      <c r="BF42" s="36">
        <f t="shared" si="30"/>
        <v>457804</v>
      </c>
      <c r="BG42" s="36">
        <f t="shared" si="31"/>
        <v>617110</v>
      </c>
      <c r="BH42" s="114">
        <f t="shared" si="32"/>
        <v>0.347978610933937</v>
      </c>
      <c r="BI42" s="108">
        <v>113877</v>
      </c>
      <c r="BJ42" s="108">
        <v>22651</v>
      </c>
      <c r="BK42" s="114">
        <f t="shared" si="38"/>
        <v>-0.801092406719531</v>
      </c>
      <c r="BL42" s="108">
        <f t="shared" si="39"/>
        <v>571681</v>
      </c>
      <c r="BM42" s="108">
        <f t="shared" si="40"/>
        <v>639761</v>
      </c>
      <c r="BN42" s="114">
        <f t="shared" si="41"/>
        <v>0.119087393144079</v>
      </c>
      <c r="BO42" s="108">
        <v>74064</v>
      </c>
      <c r="BP42" s="108">
        <v>77666</v>
      </c>
      <c r="BQ42" s="108">
        <v>723411</v>
      </c>
      <c r="BR42" s="115">
        <f t="shared" si="42"/>
        <v>0.79970125</v>
      </c>
      <c r="BS42" s="108">
        <v>9051</v>
      </c>
      <c r="BT42" s="103"/>
      <c r="BU42" s="103"/>
    </row>
    <row r="43" spans="1:73">
      <c r="A43" s="110" t="s">
        <v>34</v>
      </c>
      <c r="B43" s="110" t="s">
        <v>34</v>
      </c>
      <c r="C43" s="121" t="s">
        <v>399</v>
      </c>
      <c r="D43" s="120" t="s">
        <v>63</v>
      </c>
      <c r="E43" s="112" t="s">
        <v>63</v>
      </c>
      <c r="F43" s="112" t="s">
        <v>354</v>
      </c>
      <c r="G43" s="112" t="s">
        <v>354</v>
      </c>
      <c r="H43" s="112" t="s">
        <v>355</v>
      </c>
      <c r="I43" s="112"/>
      <c r="J43" s="113"/>
      <c r="K43" s="113"/>
      <c r="L43" s="114" t="e">
        <f t="shared" si="0"/>
        <v>#DIV/0!</v>
      </c>
      <c r="M43" s="113"/>
      <c r="N43" s="113"/>
      <c r="O43" s="114" t="e">
        <f t="shared" si="1"/>
        <v>#DIV/0!</v>
      </c>
      <c r="P43" s="113">
        <f t="shared" si="2"/>
        <v>0</v>
      </c>
      <c r="Q43" s="113">
        <f t="shared" si="3"/>
        <v>0</v>
      </c>
      <c r="R43" s="114" t="e">
        <f t="shared" si="4"/>
        <v>#DIV/0!</v>
      </c>
      <c r="S43" s="36">
        <v>729</v>
      </c>
      <c r="T43" s="36"/>
      <c r="U43" s="114">
        <f t="shared" si="5"/>
        <v>-1</v>
      </c>
      <c r="V43" s="36">
        <f t="shared" si="6"/>
        <v>729</v>
      </c>
      <c r="W43" s="36">
        <f t="shared" si="7"/>
        <v>0</v>
      </c>
      <c r="X43" s="114">
        <f t="shared" si="8"/>
        <v>-1</v>
      </c>
      <c r="Y43" s="36"/>
      <c r="Z43" s="36"/>
      <c r="AA43" s="114" t="e">
        <f t="shared" si="9"/>
        <v>#DIV/0!</v>
      </c>
      <c r="AB43" s="36">
        <f t="shared" si="10"/>
        <v>729</v>
      </c>
      <c r="AC43" s="36">
        <f t="shared" si="11"/>
        <v>0</v>
      </c>
      <c r="AD43" s="114">
        <f t="shared" si="12"/>
        <v>-1</v>
      </c>
      <c r="AE43" s="108"/>
      <c r="AF43" s="108"/>
      <c r="AG43" s="114" t="e">
        <f t="shared" si="13"/>
        <v>#DIV/0!</v>
      </c>
      <c r="AH43" s="108">
        <f t="shared" si="14"/>
        <v>729</v>
      </c>
      <c r="AI43" s="108">
        <f t="shared" si="15"/>
        <v>0</v>
      </c>
      <c r="AJ43" s="114">
        <f t="shared" si="16"/>
        <v>-1</v>
      </c>
      <c r="AK43" s="108"/>
      <c r="AL43" s="108"/>
      <c r="AM43" s="114" t="e">
        <f t="shared" si="17"/>
        <v>#DIV/0!</v>
      </c>
      <c r="AN43" s="108">
        <f t="shared" si="18"/>
        <v>729</v>
      </c>
      <c r="AO43" s="108">
        <f t="shared" si="19"/>
        <v>0</v>
      </c>
      <c r="AP43" s="114">
        <f t="shared" si="20"/>
        <v>-1</v>
      </c>
      <c r="AQ43" s="108"/>
      <c r="AR43" s="108"/>
      <c r="AS43" s="114" t="e">
        <f t="shared" si="21"/>
        <v>#DIV/0!</v>
      </c>
      <c r="AT43" s="108">
        <f t="shared" si="22"/>
        <v>729</v>
      </c>
      <c r="AU43" s="108">
        <f t="shared" si="23"/>
        <v>0</v>
      </c>
      <c r="AV43" s="114">
        <f t="shared" si="24"/>
        <v>-1</v>
      </c>
      <c r="AW43" s="36"/>
      <c r="AX43" s="36"/>
      <c r="AY43" s="114" t="e">
        <f t="shared" si="25"/>
        <v>#DIV/0!</v>
      </c>
      <c r="AZ43" s="36">
        <f t="shared" si="26"/>
        <v>729</v>
      </c>
      <c r="BA43" s="36">
        <f t="shared" si="27"/>
        <v>0</v>
      </c>
      <c r="BB43" s="114">
        <f t="shared" si="28"/>
        <v>-1</v>
      </c>
      <c r="BC43" s="36"/>
      <c r="BD43" s="36"/>
      <c r="BE43" s="114" t="e">
        <f t="shared" si="29"/>
        <v>#DIV/0!</v>
      </c>
      <c r="BF43" s="36">
        <f t="shared" si="30"/>
        <v>729</v>
      </c>
      <c r="BG43" s="36">
        <f t="shared" si="31"/>
        <v>0</v>
      </c>
      <c r="BH43" s="114">
        <f t="shared" si="32"/>
        <v>-1</v>
      </c>
      <c r="BI43" s="108"/>
      <c r="BJ43" s="108"/>
      <c r="BK43" s="114" t="e">
        <f t="shared" si="38"/>
        <v>#DIV/0!</v>
      </c>
      <c r="BL43" s="108">
        <f t="shared" si="39"/>
        <v>729</v>
      </c>
      <c r="BM43" s="108">
        <f t="shared" si="40"/>
        <v>0</v>
      </c>
      <c r="BN43" s="114">
        <f t="shared" si="41"/>
        <v>-1</v>
      </c>
      <c r="BO43" s="108"/>
      <c r="BP43" s="108"/>
      <c r="BQ43" s="108">
        <v>729</v>
      </c>
      <c r="BR43" s="115" t="e">
        <f t="shared" si="42"/>
        <v>#DIV/0!</v>
      </c>
      <c r="BS43" s="108"/>
    </row>
    <row r="44" spans="1:73">
      <c r="A44" s="110" t="s">
        <v>34</v>
      </c>
      <c r="B44" s="110" t="s">
        <v>34</v>
      </c>
      <c r="C44" s="121" t="s">
        <v>400</v>
      </c>
      <c r="D44" s="120" t="s">
        <v>63</v>
      </c>
      <c r="E44" s="112" t="s">
        <v>63</v>
      </c>
      <c r="F44" s="112" t="s">
        <v>354</v>
      </c>
      <c r="G44" s="112" t="s">
        <v>354</v>
      </c>
      <c r="H44" s="112" t="s">
        <v>355</v>
      </c>
      <c r="I44" s="112">
        <v>10</v>
      </c>
      <c r="J44" s="112"/>
      <c r="K44" s="113"/>
      <c r="L44" s="114" t="e">
        <f t="shared" si="0"/>
        <v>#DIV/0!</v>
      </c>
      <c r="M44" s="113"/>
      <c r="N44" s="113"/>
      <c r="O44" s="114" t="e">
        <f t="shared" si="1"/>
        <v>#DIV/0!</v>
      </c>
      <c r="P44" s="113">
        <f t="shared" si="2"/>
        <v>0</v>
      </c>
      <c r="Q44" s="113">
        <f t="shared" si="3"/>
        <v>0</v>
      </c>
      <c r="R44" s="114" t="e">
        <f t="shared" si="4"/>
        <v>#DIV/0!</v>
      </c>
      <c r="S44" s="36"/>
      <c r="T44" s="36"/>
      <c r="U44" s="114" t="e">
        <f t="shared" si="5"/>
        <v>#DIV/0!</v>
      </c>
      <c r="V44" s="36">
        <f t="shared" si="6"/>
        <v>0</v>
      </c>
      <c r="W44" s="36">
        <f t="shared" si="7"/>
        <v>0</v>
      </c>
      <c r="X44" s="114" t="e">
        <f t="shared" si="8"/>
        <v>#DIV/0!</v>
      </c>
      <c r="Y44" s="36"/>
      <c r="Z44" s="36"/>
      <c r="AA44" s="114" t="e">
        <f t="shared" si="9"/>
        <v>#DIV/0!</v>
      </c>
      <c r="AB44" s="36">
        <f t="shared" si="10"/>
        <v>0</v>
      </c>
      <c r="AC44" s="36">
        <f t="shared" si="11"/>
        <v>0</v>
      </c>
      <c r="AD44" s="114" t="e">
        <f t="shared" si="12"/>
        <v>#DIV/0!</v>
      </c>
      <c r="AE44" s="108"/>
      <c r="AF44" s="108"/>
      <c r="AG44" s="114" t="e">
        <f t="shared" si="13"/>
        <v>#DIV/0!</v>
      </c>
      <c r="AH44" s="108">
        <f t="shared" si="14"/>
        <v>0</v>
      </c>
      <c r="AI44" s="108">
        <f t="shared" si="15"/>
        <v>0</v>
      </c>
      <c r="AJ44" s="114" t="e">
        <f t="shared" si="16"/>
        <v>#DIV/0!</v>
      </c>
      <c r="AK44" s="108">
        <v>17999</v>
      </c>
      <c r="AL44" s="108"/>
      <c r="AM44" s="114">
        <f t="shared" si="17"/>
        <v>-1</v>
      </c>
      <c r="AN44" s="108">
        <f t="shared" si="18"/>
        <v>17999</v>
      </c>
      <c r="AO44" s="108">
        <f t="shared" si="19"/>
        <v>0</v>
      </c>
      <c r="AP44" s="114">
        <f t="shared" si="20"/>
        <v>-1</v>
      </c>
      <c r="AQ44" s="108">
        <v>3970</v>
      </c>
      <c r="AR44" s="108"/>
      <c r="AS44" s="114">
        <f t="shared" si="21"/>
        <v>-1</v>
      </c>
      <c r="AT44" s="108">
        <f t="shared" si="22"/>
        <v>21969</v>
      </c>
      <c r="AU44" s="108">
        <f t="shared" si="23"/>
        <v>0</v>
      </c>
      <c r="AV44" s="114">
        <f t="shared" si="24"/>
        <v>-1</v>
      </c>
      <c r="AW44" s="36"/>
      <c r="AX44" s="36"/>
      <c r="AY44" s="114" t="e">
        <f t="shared" si="25"/>
        <v>#DIV/0!</v>
      </c>
      <c r="AZ44" s="36">
        <f t="shared" si="26"/>
        <v>21969</v>
      </c>
      <c r="BA44" s="36">
        <f t="shared" si="27"/>
        <v>0</v>
      </c>
      <c r="BB44" s="114">
        <f t="shared" si="28"/>
        <v>-1</v>
      </c>
      <c r="BC44" s="36"/>
      <c r="BD44" s="36"/>
      <c r="BE44" s="114" t="e">
        <f t="shared" si="29"/>
        <v>#DIV/0!</v>
      </c>
      <c r="BF44" s="36">
        <f t="shared" si="30"/>
        <v>21969</v>
      </c>
      <c r="BG44" s="36">
        <f t="shared" si="31"/>
        <v>0</v>
      </c>
      <c r="BH44" s="114">
        <f t="shared" si="32"/>
        <v>-1</v>
      </c>
      <c r="BI44" s="108">
        <v>24576</v>
      </c>
      <c r="BJ44" s="108"/>
      <c r="BK44" s="114">
        <f t="shared" si="38"/>
        <v>-1</v>
      </c>
      <c r="BL44" s="108">
        <f t="shared" si="39"/>
        <v>46545</v>
      </c>
      <c r="BM44" s="108">
        <f t="shared" si="40"/>
        <v>0</v>
      </c>
      <c r="BN44" s="114">
        <f t="shared" si="41"/>
        <v>-1</v>
      </c>
      <c r="BO44" s="108"/>
      <c r="BP44" s="108">
        <v>8376</v>
      </c>
      <c r="BQ44" s="108">
        <v>54921</v>
      </c>
      <c r="BR44" s="115">
        <f t="shared" si="42"/>
        <v>0</v>
      </c>
      <c r="BS44" s="108"/>
    </row>
    <row r="45" spans="1:73">
      <c r="A45" s="110" t="s">
        <v>34</v>
      </c>
      <c r="B45" s="110" t="s">
        <v>34</v>
      </c>
      <c r="C45" s="121" t="s">
        <v>401</v>
      </c>
      <c r="D45" s="120" t="s">
        <v>104</v>
      </c>
      <c r="E45" s="112" t="s">
        <v>104</v>
      </c>
      <c r="F45" s="112" t="s">
        <v>354</v>
      </c>
      <c r="G45" s="112" t="s">
        <v>354</v>
      </c>
      <c r="H45" s="112" t="s">
        <v>355</v>
      </c>
      <c r="I45" s="112">
        <v>10</v>
      </c>
      <c r="J45" s="112"/>
      <c r="K45" s="113"/>
      <c r="L45" s="114" t="e">
        <f t="shared" si="0"/>
        <v>#DIV/0!</v>
      </c>
      <c r="M45" s="113"/>
      <c r="N45" s="113"/>
      <c r="O45" s="114" t="e">
        <f t="shared" si="1"/>
        <v>#DIV/0!</v>
      </c>
      <c r="P45" s="113">
        <f t="shared" si="2"/>
        <v>0</v>
      </c>
      <c r="Q45" s="113">
        <f t="shared" si="3"/>
        <v>0</v>
      </c>
      <c r="R45" s="114" t="e">
        <f t="shared" si="4"/>
        <v>#DIV/0!</v>
      </c>
      <c r="S45" s="36"/>
      <c r="T45" s="36"/>
      <c r="U45" s="114" t="e">
        <f t="shared" si="5"/>
        <v>#DIV/0!</v>
      </c>
      <c r="V45" s="36">
        <f t="shared" si="6"/>
        <v>0</v>
      </c>
      <c r="W45" s="36">
        <f t="shared" si="7"/>
        <v>0</v>
      </c>
      <c r="X45" s="114" t="e">
        <f t="shared" si="8"/>
        <v>#DIV/0!</v>
      </c>
      <c r="Y45" s="36"/>
      <c r="Z45" s="36"/>
      <c r="AA45" s="114" t="e">
        <f t="shared" si="9"/>
        <v>#DIV/0!</v>
      </c>
      <c r="AB45" s="36">
        <f t="shared" si="10"/>
        <v>0</v>
      </c>
      <c r="AC45" s="36">
        <f t="shared" si="11"/>
        <v>0</v>
      </c>
      <c r="AD45" s="114" t="e">
        <f t="shared" si="12"/>
        <v>#DIV/0!</v>
      </c>
      <c r="AE45" s="108"/>
      <c r="AF45" s="108"/>
      <c r="AG45" s="114" t="e">
        <f t="shared" si="13"/>
        <v>#DIV/0!</v>
      </c>
      <c r="AH45" s="108">
        <f t="shared" si="14"/>
        <v>0</v>
      </c>
      <c r="AI45" s="108">
        <f t="shared" si="15"/>
        <v>0</v>
      </c>
      <c r="AJ45" s="114" t="e">
        <f t="shared" si="16"/>
        <v>#DIV/0!</v>
      </c>
      <c r="AK45" s="108"/>
      <c r="AL45" s="108"/>
      <c r="AM45" s="114" t="e">
        <f t="shared" si="17"/>
        <v>#DIV/0!</v>
      </c>
      <c r="AN45" s="108">
        <f t="shared" si="18"/>
        <v>0</v>
      </c>
      <c r="AO45" s="108">
        <f t="shared" si="19"/>
        <v>0</v>
      </c>
      <c r="AP45" s="114" t="e">
        <f t="shared" si="20"/>
        <v>#DIV/0!</v>
      </c>
      <c r="AQ45" s="108">
        <v>71632</v>
      </c>
      <c r="AR45" s="108"/>
      <c r="AS45" s="114">
        <f t="shared" si="21"/>
        <v>-1</v>
      </c>
      <c r="AT45" s="108">
        <f t="shared" si="22"/>
        <v>71632</v>
      </c>
      <c r="AU45" s="108">
        <f t="shared" si="23"/>
        <v>0</v>
      </c>
      <c r="AV45" s="114">
        <f t="shared" si="24"/>
        <v>-1</v>
      </c>
      <c r="AW45" s="36"/>
      <c r="AX45" s="36"/>
      <c r="AY45" s="114" t="e">
        <f t="shared" si="25"/>
        <v>#DIV/0!</v>
      </c>
      <c r="AZ45" s="36">
        <f t="shared" si="26"/>
        <v>71632</v>
      </c>
      <c r="BA45" s="36">
        <f t="shared" si="27"/>
        <v>0</v>
      </c>
      <c r="BB45" s="114">
        <f t="shared" si="28"/>
        <v>-1</v>
      </c>
      <c r="BC45" s="36"/>
      <c r="BD45" s="36"/>
      <c r="BE45" s="114" t="e">
        <f t="shared" si="29"/>
        <v>#DIV/0!</v>
      </c>
      <c r="BF45" s="36">
        <f t="shared" si="30"/>
        <v>71632</v>
      </c>
      <c r="BG45" s="36">
        <f t="shared" si="31"/>
        <v>0</v>
      </c>
      <c r="BH45" s="114">
        <f t="shared" si="32"/>
        <v>-1</v>
      </c>
      <c r="BI45" s="108"/>
      <c r="BJ45" s="108"/>
      <c r="BK45" s="114" t="e">
        <f t="shared" si="38"/>
        <v>#DIV/0!</v>
      </c>
      <c r="BL45" s="108">
        <f t="shared" si="39"/>
        <v>71632</v>
      </c>
      <c r="BM45" s="108">
        <f t="shared" si="40"/>
        <v>0</v>
      </c>
      <c r="BN45" s="114">
        <f t="shared" si="41"/>
        <v>-1</v>
      </c>
      <c r="BO45" s="108"/>
      <c r="BP45" s="108"/>
      <c r="BQ45" s="108">
        <v>71632</v>
      </c>
      <c r="BR45" s="115">
        <f t="shared" si="42"/>
        <v>0</v>
      </c>
      <c r="BS45" s="108"/>
    </row>
    <row r="46" spans="1:73">
      <c r="A46" s="110" t="s">
        <v>34</v>
      </c>
      <c r="B46" s="110" t="s">
        <v>34</v>
      </c>
      <c r="C46" s="121" t="s">
        <v>402</v>
      </c>
      <c r="D46" s="120" t="s">
        <v>63</v>
      </c>
      <c r="E46" s="112" t="s">
        <v>63</v>
      </c>
      <c r="F46" s="112" t="s">
        <v>362</v>
      </c>
      <c r="G46" s="112" t="s">
        <v>367</v>
      </c>
      <c r="H46" s="112" t="s">
        <v>363</v>
      </c>
      <c r="I46" s="112"/>
      <c r="J46" s="112"/>
      <c r="K46" s="113"/>
      <c r="L46" s="114" t="e">
        <f t="shared" si="0"/>
        <v>#DIV/0!</v>
      </c>
      <c r="M46" s="113"/>
      <c r="N46" s="113"/>
      <c r="O46" s="114" t="e">
        <f t="shared" si="1"/>
        <v>#DIV/0!</v>
      </c>
      <c r="P46" s="113">
        <f t="shared" si="2"/>
        <v>0</v>
      </c>
      <c r="Q46" s="113">
        <f t="shared" si="3"/>
        <v>0</v>
      </c>
      <c r="R46" s="114" t="e">
        <f t="shared" si="4"/>
        <v>#DIV/0!</v>
      </c>
      <c r="S46" s="36"/>
      <c r="T46" s="36"/>
      <c r="U46" s="114" t="e">
        <f t="shared" si="5"/>
        <v>#DIV/0!</v>
      </c>
      <c r="V46" s="36">
        <f t="shared" si="6"/>
        <v>0</v>
      </c>
      <c r="W46" s="36">
        <f t="shared" si="7"/>
        <v>0</v>
      </c>
      <c r="X46" s="114" t="e">
        <f t="shared" si="8"/>
        <v>#DIV/0!</v>
      </c>
      <c r="Y46" s="36"/>
      <c r="Z46" s="36"/>
      <c r="AA46" s="114" t="e">
        <f t="shared" si="9"/>
        <v>#DIV/0!</v>
      </c>
      <c r="AB46" s="36">
        <f t="shared" si="10"/>
        <v>0</v>
      </c>
      <c r="AC46" s="36">
        <f t="shared" si="11"/>
        <v>0</v>
      </c>
      <c r="AD46" s="114" t="e">
        <f t="shared" si="12"/>
        <v>#DIV/0!</v>
      </c>
      <c r="AE46" s="108"/>
      <c r="AF46" s="108"/>
      <c r="AG46" s="114" t="e">
        <f t="shared" si="13"/>
        <v>#DIV/0!</v>
      </c>
      <c r="AH46" s="108">
        <f t="shared" si="14"/>
        <v>0</v>
      </c>
      <c r="AI46" s="108">
        <f t="shared" si="15"/>
        <v>0</v>
      </c>
      <c r="AJ46" s="114" t="e">
        <f t="shared" si="16"/>
        <v>#DIV/0!</v>
      </c>
      <c r="AK46" s="108"/>
      <c r="AL46" s="108"/>
      <c r="AM46" s="114" t="e">
        <f t="shared" si="17"/>
        <v>#DIV/0!</v>
      </c>
      <c r="AN46" s="108">
        <f t="shared" si="18"/>
        <v>0</v>
      </c>
      <c r="AO46" s="108">
        <f t="shared" si="19"/>
        <v>0</v>
      </c>
      <c r="AP46" s="114" t="e">
        <f t="shared" si="20"/>
        <v>#DIV/0!</v>
      </c>
      <c r="AQ46" s="108"/>
      <c r="AR46" s="108"/>
      <c r="AS46" s="114" t="e">
        <f t="shared" si="21"/>
        <v>#DIV/0!</v>
      </c>
      <c r="AT46" s="108">
        <f t="shared" si="22"/>
        <v>0</v>
      </c>
      <c r="AU46" s="108">
        <f t="shared" si="23"/>
        <v>0</v>
      </c>
      <c r="AV46" s="114" t="e">
        <f t="shared" si="24"/>
        <v>#DIV/0!</v>
      </c>
      <c r="AW46" s="36"/>
      <c r="AX46" s="36"/>
      <c r="AY46" s="114" t="e">
        <f t="shared" si="25"/>
        <v>#DIV/0!</v>
      </c>
      <c r="AZ46" s="36">
        <f t="shared" si="26"/>
        <v>0</v>
      </c>
      <c r="BA46" s="36">
        <f t="shared" si="27"/>
        <v>0</v>
      </c>
      <c r="BB46" s="114" t="e">
        <f t="shared" si="28"/>
        <v>#DIV/0!</v>
      </c>
      <c r="BC46" s="36"/>
      <c r="BD46" s="36"/>
      <c r="BE46" s="114" t="e">
        <f t="shared" si="29"/>
        <v>#DIV/0!</v>
      </c>
      <c r="BF46" s="36">
        <f t="shared" si="30"/>
        <v>0</v>
      </c>
      <c r="BG46" s="36">
        <f t="shared" si="31"/>
        <v>0</v>
      </c>
      <c r="BH46" s="114" t="e">
        <f t="shared" si="32"/>
        <v>#DIV/0!</v>
      </c>
      <c r="BI46" s="108">
        <v>3258</v>
      </c>
      <c r="BJ46" s="108"/>
      <c r="BK46" s="114">
        <f t="shared" si="38"/>
        <v>-1</v>
      </c>
      <c r="BL46" s="108">
        <f t="shared" si="39"/>
        <v>3258</v>
      </c>
      <c r="BM46" s="108">
        <f t="shared" si="40"/>
        <v>0</v>
      </c>
      <c r="BN46" s="114">
        <f t="shared" si="41"/>
        <v>-1</v>
      </c>
      <c r="BO46" s="108"/>
      <c r="BP46" s="108">
        <v>2510</v>
      </c>
      <c r="BQ46" s="108">
        <v>5768</v>
      </c>
      <c r="BR46" s="115" t="e">
        <f t="shared" si="42"/>
        <v>#DIV/0!</v>
      </c>
      <c r="BS46" s="108"/>
    </row>
    <row r="47" spans="1:73">
      <c r="A47" s="110" t="s">
        <v>34</v>
      </c>
      <c r="B47" s="110" t="s">
        <v>34</v>
      </c>
      <c r="C47" s="121" t="s">
        <v>403</v>
      </c>
      <c r="D47" s="120" t="s">
        <v>63</v>
      </c>
      <c r="E47" s="112" t="s">
        <v>63</v>
      </c>
      <c r="F47" s="112" t="s">
        <v>362</v>
      </c>
      <c r="G47" s="112" t="s">
        <v>367</v>
      </c>
      <c r="H47" s="112" t="s">
        <v>363</v>
      </c>
      <c r="I47" s="112">
        <v>20</v>
      </c>
      <c r="J47" s="112"/>
      <c r="K47" s="113">
        <v>29261</v>
      </c>
      <c r="L47" s="114" t="e">
        <f t="shared" si="0"/>
        <v>#DIV/0!</v>
      </c>
      <c r="M47" s="113"/>
      <c r="N47" s="113"/>
      <c r="O47" s="114" t="e">
        <f t="shared" si="1"/>
        <v>#DIV/0!</v>
      </c>
      <c r="P47" s="113">
        <f t="shared" si="2"/>
        <v>0</v>
      </c>
      <c r="Q47" s="113">
        <f t="shared" si="3"/>
        <v>29261</v>
      </c>
      <c r="R47" s="114" t="e">
        <f t="shared" si="4"/>
        <v>#DIV/0!</v>
      </c>
      <c r="S47" s="36"/>
      <c r="T47" s="36"/>
      <c r="U47" s="114" t="e">
        <f t="shared" si="5"/>
        <v>#DIV/0!</v>
      </c>
      <c r="V47" s="36">
        <f t="shared" si="6"/>
        <v>0</v>
      </c>
      <c r="W47" s="36">
        <f t="shared" si="7"/>
        <v>29261</v>
      </c>
      <c r="X47" s="114" t="e">
        <f t="shared" si="8"/>
        <v>#DIV/0!</v>
      </c>
      <c r="Y47" s="36"/>
      <c r="Z47" s="36"/>
      <c r="AA47" s="114" t="e">
        <f t="shared" si="9"/>
        <v>#DIV/0!</v>
      </c>
      <c r="AB47" s="36">
        <f t="shared" si="10"/>
        <v>0</v>
      </c>
      <c r="AC47" s="36">
        <f t="shared" si="11"/>
        <v>29261</v>
      </c>
      <c r="AD47" s="114" t="e">
        <f t="shared" si="12"/>
        <v>#DIV/0!</v>
      </c>
      <c r="AE47" s="108"/>
      <c r="AF47" s="108"/>
      <c r="AG47" s="114" t="e">
        <f t="shared" si="13"/>
        <v>#DIV/0!</v>
      </c>
      <c r="AH47" s="108">
        <f t="shared" si="14"/>
        <v>0</v>
      </c>
      <c r="AI47" s="108">
        <f t="shared" si="15"/>
        <v>29261</v>
      </c>
      <c r="AJ47" s="114" t="e">
        <f t="shared" si="16"/>
        <v>#DIV/0!</v>
      </c>
      <c r="AK47" s="108"/>
      <c r="AL47" s="108"/>
      <c r="AM47" s="114" t="e">
        <f t="shared" si="17"/>
        <v>#DIV/0!</v>
      </c>
      <c r="AN47" s="108">
        <f t="shared" si="18"/>
        <v>0</v>
      </c>
      <c r="AO47" s="108">
        <f t="shared" si="19"/>
        <v>29261</v>
      </c>
      <c r="AP47" s="114" t="e">
        <f t="shared" si="20"/>
        <v>#DIV/0!</v>
      </c>
      <c r="AQ47" s="108"/>
      <c r="AR47" s="108"/>
      <c r="AS47" s="114" t="e">
        <f t="shared" si="21"/>
        <v>#DIV/0!</v>
      </c>
      <c r="AT47" s="108">
        <f t="shared" si="22"/>
        <v>0</v>
      </c>
      <c r="AU47" s="108">
        <f t="shared" si="23"/>
        <v>29261</v>
      </c>
      <c r="AV47" s="114" t="e">
        <f t="shared" si="24"/>
        <v>#DIV/0!</v>
      </c>
      <c r="AW47" s="36"/>
      <c r="AX47" s="36"/>
      <c r="AY47" s="114" t="e">
        <f t="shared" si="25"/>
        <v>#DIV/0!</v>
      </c>
      <c r="AZ47" s="36">
        <f t="shared" si="26"/>
        <v>0</v>
      </c>
      <c r="BA47" s="36">
        <f t="shared" si="27"/>
        <v>29261</v>
      </c>
      <c r="BB47" s="114" t="e">
        <f t="shared" si="28"/>
        <v>#DIV/0!</v>
      </c>
      <c r="BC47" s="36"/>
      <c r="BD47" s="36"/>
      <c r="BE47" s="114" t="e">
        <f t="shared" si="29"/>
        <v>#DIV/0!</v>
      </c>
      <c r="BF47" s="36">
        <f t="shared" si="30"/>
        <v>0</v>
      </c>
      <c r="BG47" s="36">
        <f t="shared" si="31"/>
        <v>29261</v>
      </c>
      <c r="BH47" s="114" t="e">
        <f t="shared" si="32"/>
        <v>#DIV/0!</v>
      </c>
      <c r="BI47" s="108"/>
      <c r="BJ47" s="108"/>
      <c r="BK47" s="114" t="e">
        <f t="shared" si="38"/>
        <v>#DIV/0!</v>
      </c>
      <c r="BL47" s="108">
        <f t="shared" si="39"/>
        <v>0</v>
      </c>
      <c r="BM47" s="108">
        <f t="shared" si="40"/>
        <v>29261</v>
      </c>
      <c r="BN47" s="114" t="e">
        <f t="shared" si="41"/>
        <v>#DIV/0!</v>
      </c>
      <c r="BO47" s="108"/>
      <c r="BP47" s="108">
        <v>9284</v>
      </c>
      <c r="BQ47" s="108">
        <v>9284</v>
      </c>
      <c r="BR47" s="115">
        <f t="shared" si="42"/>
        <v>0.146305</v>
      </c>
      <c r="BS47" s="108"/>
    </row>
    <row r="48" spans="1:73">
      <c r="A48" s="110" t="s">
        <v>34</v>
      </c>
      <c r="B48" s="110" t="s">
        <v>34</v>
      </c>
      <c r="C48" s="122" t="s">
        <v>121</v>
      </c>
      <c r="D48" s="123" t="s">
        <v>63</v>
      </c>
      <c r="E48" s="124" t="s">
        <v>63</v>
      </c>
      <c r="F48" s="124" t="s">
        <v>362</v>
      </c>
      <c r="G48" s="124" t="s">
        <v>367</v>
      </c>
      <c r="H48" s="124" t="s">
        <v>363</v>
      </c>
      <c r="I48" s="112"/>
      <c r="J48" s="112"/>
      <c r="K48" s="113">
        <v>7426.24</v>
      </c>
      <c r="L48" s="114" t="e">
        <f t="shared" si="0"/>
        <v>#DIV/0!</v>
      </c>
      <c r="M48" s="113"/>
      <c r="N48" s="113"/>
      <c r="O48" s="114" t="e">
        <f t="shared" si="1"/>
        <v>#DIV/0!</v>
      </c>
      <c r="P48" s="113">
        <f t="shared" si="2"/>
        <v>0</v>
      </c>
      <c r="Q48" s="113">
        <f t="shared" si="3"/>
        <v>7426.24</v>
      </c>
      <c r="R48" s="114" t="e">
        <f t="shared" si="4"/>
        <v>#DIV/0!</v>
      </c>
      <c r="S48" s="36"/>
      <c r="T48" s="36"/>
      <c r="U48" s="114" t="e">
        <f t="shared" si="5"/>
        <v>#DIV/0!</v>
      </c>
      <c r="V48" s="36">
        <f t="shared" si="6"/>
        <v>0</v>
      </c>
      <c r="W48" s="36">
        <f t="shared" si="7"/>
        <v>7426.24</v>
      </c>
      <c r="X48" s="114" t="e">
        <f t="shared" si="8"/>
        <v>#DIV/0!</v>
      </c>
      <c r="Y48" s="36"/>
      <c r="Z48" s="36"/>
      <c r="AA48" s="114" t="e">
        <f t="shared" si="9"/>
        <v>#DIV/0!</v>
      </c>
      <c r="AB48" s="36">
        <f t="shared" si="10"/>
        <v>0</v>
      </c>
      <c r="AC48" s="36">
        <f t="shared" si="11"/>
        <v>7426.24</v>
      </c>
      <c r="AD48" s="114" t="e">
        <f t="shared" si="12"/>
        <v>#DIV/0!</v>
      </c>
      <c r="AE48" s="108"/>
      <c r="AF48" s="108"/>
      <c r="AG48" s="114" t="e">
        <f t="shared" si="13"/>
        <v>#DIV/0!</v>
      </c>
      <c r="AH48" s="108">
        <f t="shared" si="14"/>
        <v>0</v>
      </c>
      <c r="AI48" s="108">
        <f t="shared" si="15"/>
        <v>7426.24</v>
      </c>
      <c r="AJ48" s="114" t="e">
        <f t="shared" si="16"/>
        <v>#DIV/0!</v>
      </c>
      <c r="AK48" s="108"/>
      <c r="AL48" s="108"/>
      <c r="AM48" s="114" t="e">
        <f t="shared" si="17"/>
        <v>#DIV/0!</v>
      </c>
      <c r="AN48" s="108">
        <f t="shared" si="18"/>
        <v>0</v>
      </c>
      <c r="AO48" s="108">
        <f t="shared" si="19"/>
        <v>7426.24</v>
      </c>
      <c r="AP48" s="114" t="e">
        <f t="shared" si="20"/>
        <v>#DIV/0!</v>
      </c>
      <c r="AQ48" s="108"/>
      <c r="AR48" s="108"/>
      <c r="AS48" s="114" t="e">
        <f t="shared" si="21"/>
        <v>#DIV/0!</v>
      </c>
      <c r="AT48" s="108">
        <f t="shared" si="22"/>
        <v>0</v>
      </c>
      <c r="AU48" s="108">
        <f t="shared" si="23"/>
        <v>7426.24</v>
      </c>
      <c r="AV48" s="114" t="e">
        <f t="shared" si="24"/>
        <v>#DIV/0!</v>
      </c>
      <c r="AW48" s="36"/>
      <c r="AX48" s="36"/>
      <c r="AY48" s="114" t="e">
        <f t="shared" si="25"/>
        <v>#DIV/0!</v>
      </c>
      <c r="AZ48" s="36">
        <f t="shared" si="26"/>
        <v>0</v>
      </c>
      <c r="BA48" s="36">
        <f t="shared" si="27"/>
        <v>7426.24</v>
      </c>
      <c r="BB48" s="114" t="e">
        <f t="shared" si="28"/>
        <v>#DIV/0!</v>
      </c>
      <c r="BC48" s="36"/>
      <c r="BD48" s="36"/>
      <c r="BE48" s="114" t="e">
        <f t="shared" si="29"/>
        <v>#DIV/0!</v>
      </c>
      <c r="BF48" s="36">
        <f t="shared" si="30"/>
        <v>0</v>
      </c>
      <c r="BG48" s="36">
        <f t="shared" si="31"/>
        <v>7426.24</v>
      </c>
      <c r="BH48" s="114" t="e">
        <f t="shared" si="32"/>
        <v>#DIV/0!</v>
      </c>
      <c r="BI48" s="108">
        <v>1856.56</v>
      </c>
      <c r="BJ48" s="108"/>
      <c r="BK48" s="114">
        <f t="shared" si="38"/>
        <v>-1</v>
      </c>
      <c r="BL48" s="108">
        <f t="shared" si="39"/>
        <v>1856.56</v>
      </c>
      <c r="BM48" s="108">
        <f t="shared" si="40"/>
        <v>7426.24</v>
      </c>
      <c r="BN48" s="114">
        <f t="shared" si="41"/>
        <v>3</v>
      </c>
      <c r="BO48" s="108"/>
      <c r="BP48" s="108">
        <v>2139</v>
      </c>
      <c r="BQ48" s="108">
        <v>3995.56</v>
      </c>
      <c r="BR48" s="115" t="e">
        <f t="shared" si="42"/>
        <v>#DIV/0!</v>
      </c>
      <c r="BS48" s="108"/>
    </row>
    <row r="49" spans="1:71">
      <c r="A49" s="110" t="s">
        <v>34</v>
      </c>
      <c r="B49" s="110" t="s">
        <v>34</v>
      </c>
      <c r="C49" s="122" t="s">
        <v>404</v>
      </c>
      <c r="D49" s="120" t="s">
        <v>63</v>
      </c>
      <c r="E49" s="112" t="s">
        <v>63</v>
      </c>
      <c r="F49" s="112" t="s">
        <v>354</v>
      </c>
      <c r="G49" s="112" t="s">
        <v>354</v>
      </c>
      <c r="H49" s="112" t="s">
        <v>355</v>
      </c>
      <c r="I49" s="112"/>
      <c r="J49" s="112"/>
      <c r="K49" s="113">
        <v>4364</v>
      </c>
      <c r="L49" s="114" t="e">
        <f t="shared" si="0"/>
        <v>#DIV/0!</v>
      </c>
      <c r="M49" s="113"/>
      <c r="N49" s="113"/>
      <c r="O49" s="114" t="e">
        <f t="shared" si="1"/>
        <v>#DIV/0!</v>
      </c>
      <c r="P49" s="113">
        <f t="shared" si="2"/>
        <v>0</v>
      </c>
      <c r="Q49" s="113">
        <f t="shared" si="3"/>
        <v>4364</v>
      </c>
      <c r="R49" s="114" t="e">
        <f t="shared" si="4"/>
        <v>#DIV/0!</v>
      </c>
      <c r="S49" s="36"/>
      <c r="T49" s="36"/>
      <c r="U49" s="114" t="e">
        <f t="shared" si="5"/>
        <v>#DIV/0!</v>
      </c>
      <c r="V49" s="36">
        <f t="shared" si="6"/>
        <v>0</v>
      </c>
      <c r="W49" s="36">
        <f t="shared" si="7"/>
        <v>4364</v>
      </c>
      <c r="X49" s="114" t="e">
        <f t="shared" si="8"/>
        <v>#DIV/0!</v>
      </c>
      <c r="Y49" s="36"/>
      <c r="Z49" s="36"/>
      <c r="AA49" s="114" t="e">
        <f t="shared" si="9"/>
        <v>#DIV/0!</v>
      </c>
      <c r="AB49" s="36">
        <f t="shared" si="10"/>
        <v>0</v>
      </c>
      <c r="AC49" s="36">
        <f t="shared" si="11"/>
        <v>4364</v>
      </c>
      <c r="AD49" s="114" t="e">
        <f t="shared" si="12"/>
        <v>#DIV/0!</v>
      </c>
      <c r="AE49" s="108"/>
      <c r="AF49" s="108"/>
      <c r="AG49" s="114" t="e">
        <f t="shared" si="13"/>
        <v>#DIV/0!</v>
      </c>
      <c r="AH49" s="108">
        <f t="shared" si="14"/>
        <v>0</v>
      </c>
      <c r="AI49" s="108">
        <f t="shared" si="15"/>
        <v>4364</v>
      </c>
      <c r="AJ49" s="114" t="e">
        <f t="shared" si="16"/>
        <v>#DIV/0!</v>
      </c>
      <c r="AK49" s="108"/>
      <c r="AL49" s="108"/>
      <c r="AM49" s="114" t="e">
        <f t="shared" si="17"/>
        <v>#DIV/0!</v>
      </c>
      <c r="AN49" s="108">
        <f t="shared" si="18"/>
        <v>0</v>
      </c>
      <c r="AO49" s="108">
        <f t="shared" si="19"/>
        <v>4364</v>
      </c>
      <c r="AP49" s="114" t="e">
        <f t="shared" si="20"/>
        <v>#DIV/0!</v>
      </c>
      <c r="AQ49" s="108"/>
      <c r="AR49" s="108"/>
      <c r="AS49" s="114" t="e">
        <f t="shared" si="21"/>
        <v>#DIV/0!</v>
      </c>
      <c r="AT49" s="108">
        <f t="shared" si="22"/>
        <v>0</v>
      </c>
      <c r="AU49" s="108">
        <f t="shared" si="23"/>
        <v>4364</v>
      </c>
      <c r="AV49" s="114" t="e">
        <f t="shared" si="24"/>
        <v>#DIV/0!</v>
      </c>
      <c r="AW49" s="36"/>
      <c r="AX49" s="36"/>
      <c r="AY49" s="114" t="e">
        <f t="shared" si="25"/>
        <v>#DIV/0!</v>
      </c>
      <c r="AZ49" s="36">
        <f t="shared" si="26"/>
        <v>0</v>
      </c>
      <c r="BA49" s="36">
        <f t="shared" si="27"/>
        <v>4364</v>
      </c>
      <c r="BB49" s="114" t="e">
        <f t="shared" si="28"/>
        <v>#DIV/0!</v>
      </c>
      <c r="BC49" s="36"/>
      <c r="BD49" s="36"/>
      <c r="BE49" s="114" t="e">
        <f t="shared" si="29"/>
        <v>#DIV/0!</v>
      </c>
      <c r="BF49" s="36">
        <f t="shared" si="30"/>
        <v>0</v>
      </c>
      <c r="BG49" s="36">
        <f t="shared" si="31"/>
        <v>4364</v>
      </c>
      <c r="BH49" s="114" t="e">
        <f t="shared" si="32"/>
        <v>#DIV/0!</v>
      </c>
      <c r="BI49" s="108"/>
      <c r="BJ49" s="108"/>
      <c r="BK49" s="114" t="e">
        <f t="shared" si="38"/>
        <v>#DIV/0!</v>
      </c>
      <c r="BL49" s="108">
        <f t="shared" si="39"/>
        <v>0</v>
      </c>
      <c r="BM49" s="108">
        <f t="shared" si="40"/>
        <v>4364</v>
      </c>
      <c r="BN49" s="114" t="e">
        <f t="shared" si="41"/>
        <v>#DIV/0!</v>
      </c>
      <c r="BO49" s="108"/>
      <c r="BP49" s="108">
        <v>9819</v>
      </c>
      <c r="BQ49" s="108">
        <v>9819</v>
      </c>
      <c r="BR49" s="115" t="e">
        <f t="shared" si="42"/>
        <v>#DIV/0!</v>
      </c>
      <c r="BS49" s="108"/>
    </row>
    <row r="50" spans="1:71">
      <c r="A50" s="110" t="s">
        <v>34</v>
      </c>
      <c r="B50" s="110" t="s">
        <v>34</v>
      </c>
      <c r="C50" s="122" t="s">
        <v>405</v>
      </c>
      <c r="D50" s="120" t="s">
        <v>63</v>
      </c>
      <c r="E50" s="112" t="s">
        <v>63</v>
      </c>
      <c r="F50" s="112" t="s">
        <v>369</v>
      </c>
      <c r="G50" s="112" t="s">
        <v>369</v>
      </c>
      <c r="H50" s="112" t="s">
        <v>363</v>
      </c>
      <c r="I50" s="112"/>
      <c r="J50" s="112"/>
      <c r="K50" s="113">
        <v>1454</v>
      </c>
      <c r="L50" s="114" t="e">
        <f t="shared" si="0"/>
        <v>#DIV/0!</v>
      </c>
      <c r="M50" s="113"/>
      <c r="N50" s="113"/>
      <c r="O50" s="114" t="e">
        <f t="shared" si="1"/>
        <v>#DIV/0!</v>
      </c>
      <c r="P50" s="113">
        <f t="shared" si="2"/>
        <v>0</v>
      </c>
      <c r="Q50" s="113">
        <f t="shared" si="3"/>
        <v>1454</v>
      </c>
      <c r="R50" s="114" t="e">
        <f t="shared" si="4"/>
        <v>#DIV/0!</v>
      </c>
      <c r="S50" s="36"/>
      <c r="T50" s="36"/>
      <c r="U50" s="114" t="e">
        <f t="shared" si="5"/>
        <v>#DIV/0!</v>
      </c>
      <c r="V50" s="36">
        <f t="shared" si="6"/>
        <v>0</v>
      </c>
      <c r="W50" s="36">
        <f t="shared" si="7"/>
        <v>1454</v>
      </c>
      <c r="X50" s="114" t="e">
        <f t="shared" si="8"/>
        <v>#DIV/0!</v>
      </c>
      <c r="Y50" s="36"/>
      <c r="Z50" s="36"/>
      <c r="AA50" s="114" t="e">
        <f t="shared" si="9"/>
        <v>#DIV/0!</v>
      </c>
      <c r="AB50" s="36">
        <f t="shared" si="10"/>
        <v>0</v>
      </c>
      <c r="AC50" s="36">
        <f t="shared" si="11"/>
        <v>1454</v>
      </c>
      <c r="AD50" s="114" t="e">
        <f t="shared" si="12"/>
        <v>#DIV/0!</v>
      </c>
      <c r="AE50" s="108"/>
      <c r="AF50" s="108"/>
      <c r="AG50" s="114" t="e">
        <f t="shared" si="13"/>
        <v>#DIV/0!</v>
      </c>
      <c r="AH50" s="108">
        <f t="shared" si="14"/>
        <v>0</v>
      </c>
      <c r="AI50" s="108">
        <f t="shared" si="15"/>
        <v>1454</v>
      </c>
      <c r="AJ50" s="114" t="e">
        <f t="shared" si="16"/>
        <v>#DIV/0!</v>
      </c>
      <c r="AK50" s="108"/>
      <c r="AL50" s="108"/>
      <c r="AM50" s="114" t="e">
        <f t="shared" si="17"/>
        <v>#DIV/0!</v>
      </c>
      <c r="AN50" s="108">
        <f t="shared" si="18"/>
        <v>0</v>
      </c>
      <c r="AO50" s="108">
        <f t="shared" si="19"/>
        <v>1454</v>
      </c>
      <c r="AP50" s="114" t="e">
        <f t="shared" si="20"/>
        <v>#DIV/0!</v>
      </c>
      <c r="AQ50" s="108"/>
      <c r="AR50" s="108"/>
      <c r="AS50" s="114" t="e">
        <f t="shared" si="21"/>
        <v>#DIV/0!</v>
      </c>
      <c r="AT50" s="108">
        <f t="shared" si="22"/>
        <v>0</v>
      </c>
      <c r="AU50" s="108">
        <f t="shared" si="23"/>
        <v>1454</v>
      </c>
      <c r="AV50" s="114" t="e">
        <f t="shared" si="24"/>
        <v>#DIV/0!</v>
      </c>
      <c r="AW50" s="36"/>
      <c r="AX50" s="36"/>
      <c r="AY50" s="114" t="e">
        <f t="shared" si="25"/>
        <v>#DIV/0!</v>
      </c>
      <c r="AZ50" s="36">
        <f t="shared" si="26"/>
        <v>0</v>
      </c>
      <c r="BA50" s="36">
        <f t="shared" si="27"/>
        <v>1454</v>
      </c>
      <c r="BB50" s="114" t="e">
        <f t="shared" si="28"/>
        <v>#DIV/0!</v>
      </c>
      <c r="BC50" s="36"/>
      <c r="BD50" s="36"/>
      <c r="BE50" s="114" t="e">
        <f t="shared" si="29"/>
        <v>#DIV/0!</v>
      </c>
      <c r="BF50" s="36">
        <f t="shared" si="30"/>
        <v>0</v>
      </c>
      <c r="BG50" s="36">
        <f t="shared" si="31"/>
        <v>1454</v>
      </c>
      <c r="BH50" s="114" t="e">
        <f t="shared" si="32"/>
        <v>#DIV/0!</v>
      </c>
      <c r="BI50" s="108"/>
      <c r="BJ50" s="108"/>
      <c r="BK50" s="114" t="e">
        <f t="shared" si="38"/>
        <v>#DIV/0!</v>
      </c>
      <c r="BL50" s="108">
        <f t="shared" si="39"/>
        <v>0</v>
      </c>
      <c r="BM50" s="108">
        <f t="shared" si="40"/>
        <v>1454</v>
      </c>
      <c r="BN50" s="114" t="e">
        <f t="shared" si="41"/>
        <v>#DIV/0!</v>
      </c>
      <c r="BO50" s="108"/>
      <c r="BP50" s="108"/>
      <c r="BQ50" s="108"/>
      <c r="BR50" s="115" t="e">
        <f t="shared" si="42"/>
        <v>#DIV/0!</v>
      </c>
      <c r="BS50" s="108"/>
    </row>
    <row r="51" spans="1:71">
      <c r="A51" s="110" t="s">
        <v>34</v>
      </c>
      <c r="B51" s="110" t="s">
        <v>34</v>
      </c>
      <c r="C51" s="121" t="s">
        <v>406</v>
      </c>
      <c r="D51" s="120" t="s">
        <v>63</v>
      </c>
      <c r="E51" s="112" t="s">
        <v>63</v>
      </c>
      <c r="F51" s="112" t="s">
        <v>354</v>
      </c>
      <c r="G51" s="112" t="s">
        <v>354</v>
      </c>
      <c r="H51" s="112" t="s">
        <v>355</v>
      </c>
      <c r="I51" s="112">
        <v>5</v>
      </c>
      <c r="J51" s="112"/>
      <c r="K51" s="113"/>
      <c r="L51" s="114"/>
      <c r="M51" s="113"/>
      <c r="N51" s="113"/>
      <c r="O51" s="114"/>
      <c r="P51" s="113"/>
      <c r="Q51" s="113"/>
      <c r="R51" s="114"/>
      <c r="S51" s="36"/>
      <c r="T51" s="36">
        <v>8647</v>
      </c>
      <c r="U51" s="114" t="e">
        <f t="shared" si="5"/>
        <v>#DIV/0!</v>
      </c>
      <c r="V51" s="36">
        <f t="shared" si="6"/>
        <v>0</v>
      </c>
      <c r="W51" s="36">
        <f t="shared" si="7"/>
        <v>8647</v>
      </c>
      <c r="X51" s="114" t="e">
        <f t="shared" si="8"/>
        <v>#DIV/0!</v>
      </c>
      <c r="Y51" s="36"/>
      <c r="Z51" s="36"/>
      <c r="AA51" s="114" t="e">
        <f t="shared" si="9"/>
        <v>#DIV/0!</v>
      </c>
      <c r="AB51" s="36">
        <f t="shared" si="10"/>
        <v>0</v>
      </c>
      <c r="AC51" s="36">
        <f t="shared" si="11"/>
        <v>8647</v>
      </c>
      <c r="AD51" s="114" t="e">
        <f t="shared" si="12"/>
        <v>#DIV/0!</v>
      </c>
      <c r="AE51" s="108"/>
      <c r="AF51" s="108">
        <v>18085</v>
      </c>
      <c r="AG51" s="114" t="e">
        <f t="shared" si="13"/>
        <v>#DIV/0!</v>
      </c>
      <c r="AH51" s="108">
        <f t="shared" si="14"/>
        <v>0</v>
      </c>
      <c r="AI51" s="108">
        <f t="shared" si="15"/>
        <v>26732</v>
      </c>
      <c r="AJ51" s="114" t="e">
        <f t="shared" si="16"/>
        <v>#DIV/0!</v>
      </c>
      <c r="AK51" s="108"/>
      <c r="AL51" s="108">
        <v>10637</v>
      </c>
      <c r="AM51" s="114" t="e">
        <f t="shared" si="17"/>
        <v>#DIV/0!</v>
      </c>
      <c r="AN51" s="108">
        <f t="shared" si="18"/>
        <v>0</v>
      </c>
      <c r="AO51" s="108">
        <f t="shared" si="19"/>
        <v>37369</v>
      </c>
      <c r="AP51" s="114" t="e">
        <f t="shared" si="20"/>
        <v>#DIV/0!</v>
      </c>
      <c r="AQ51" s="108"/>
      <c r="AR51" s="108"/>
      <c r="AS51" s="114" t="e">
        <f t="shared" si="21"/>
        <v>#DIV/0!</v>
      </c>
      <c r="AT51" s="108">
        <f t="shared" si="22"/>
        <v>0</v>
      </c>
      <c r="AU51" s="108">
        <f t="shared" si="23"/>
        <v>37369</v>
      </c>
      <c r="AV51" s="114" t="e">
        <f t="shared" si="24"/>
        <v>#DIV/0!</v>
      </c>
      <c r="AW51" s="36"/>
      <c r="AX51" s="36">
        <v>17339</v>
      </c>
      <c r="AY51" s="114" t="e">
        <f t="shared" si="25"/>
        <v>#DIV/0!</v>
      </c>
      <c r="AZ51" s="36">
        <f t="shared" si="26"/>
        <v>0</v>
      </c>
      <c r="BA51" s="36">
        <f t="shared" si="27"/>
        <v>54708</v>
      </c>
      <c r="BB51" s="114" t="e">
        <f t="shared" si="28"/>
        <v>#DIV/0!</v>
      </c>
      <c r="BC51" s="36"/>
      <c r="BD51" s="36">
        <v>13012</v>
      </c>
      <c r="BE51" s="114" t="e">
        <f t="shared" si="29"/>
        <v>#DIV/0!</v>
      </c>
      <c r="BF51" s="36">
        <f t="shared" si="30"/>
        <v>0</v>
      </c>
      <c r="BG51" s="36">
        <f t="shared" si="31"/>
        <v>67720</v>
      </c>
      <c r="BH51" s="114" t="e">
        <f t="shared" si="32"/>
        <v>#DIV/0!</v>
      </c>
      <c r="BI51" s="108"/>
      <c r="BJ51" s="108"/>
      <c r="BK51" s="114" t="e">
        <f t="shared" si="38"/>
        <v>#DIV/0!</v>
      </c>
      <c r="BL51" s="108">
        <f t="shared" si="39"/>
        <v>0</v>
      </c>
      <c r="BM51" s="108">
        <f t="shared" si="40"/>
        <v>67720</v>
      </c>
      <c r="BN51" s="114" t="e">
        <f t="shared" si="41"/>
        <v>#DIV/0!</v>
      </c>
      <c r="BO51" s="108"/>
      <c r="BP51" s="108"/>
      <c r="BQ51" s="108"/>
      <c r="BR51" s="115">
        <f t="shared" si="42"/>
        <v>1.3544</v>
      </c>
      <c r="BS51" s="108"/>
    </row>
    <row r="52" spans="1:71">
      <c r="A52" s="110" t="s">
        <v>34</v>
      </c>
      <c r="B52" s="110" t="s">
        <v>34</v>
      </c>
      <c r="C52" s="119" t="s">
        <v>407</v>
      </c>
      <c r="D52" s="120" t="s">
        <v>63</v>
      </c>
      <c r="E52" s="112" t="s">
        <v>63</v>
      </c>
      <c r="F52" s="112" t="s">
        <v>369</v>
      </c>
      <c r="G52" s="112" t="s">
        <v>369</v>
      </c>
      <c r="H52" s="112" t="s">
        <v>363</v>
      </c>
      <c r="I52" s="112"/>
      <c r="J52" s="112"/>
      <c r="K52" s="113"/>
      <c r="L52" s="114"/>
      <c r="M52" s="113"/>
      <c r="N52" s="113"/>
      <c r="O52" s="114"/>
      <c r="P52" s="113"/>
      <c r="Q52" s="113"/>
      <c r="R52" s="114"/>
      <c r="S52" s="36"/>
      <c r="T52" s="36"/>
      <c r="U52" s="114"/>
      <c r="V52" s="36"/>
      <c r="W52" s="36"/>
      <c r="X52" s="114"/>
      <c r="Y52" s="36"/>
      <c r="Z52" s="36">
        <v>25206</v>
      </c>
      <c r="AA52" s="114" t="e">
        <f t="shared" si="9"/>
        <v>#DIV/0!</v>
      </c>
      <c r="AB52" s="36">
        <f t="shared" si="10"/>
        <v>0</v>
      </c>
      <c r="AC52" s="36">
        <f t="shared" si="11"/>
        <v>25206</v>
      </c>
      <c r="AD52" s="114" t="e">
        <f t="shared" si="12"/>
        <v>#DIV/0!</v>
      </c>
      <c r="AE52" s="108"/>
      <c r="AF52" s="108"/>
      <c r="AG52" s="114" t="e">
        <f t="shared" si="13"/>
        <v>#DIV/0!</v>
      </c>
      <c r="AH52" s="108">
        <f t="shared" si="14"/>
        <v>0</v>
      </c>
      <c r="AI52" s="108">
        <f t="shared" si="15"/>
        <v>25206</v>
      </c>
      <c r="AJ52" s="114" t="e">
        <f t="shared" si="16"/>
        <v>#DIV/0!</v>
      </c>
      <c r="AK52" s="108"/>
      <c r="AL52" s="108">
        <v>3149</v>
      </c>
      <c r="AM52" s="114" t="e">
        <f t="shared" si="17"/>
        <v>#DIV/0!</v>
      </c>
      <c r="AN52" s="108">
        <f t="shared" si="18"/>
        <v>0</v>
      </c>
      <c r="AO52" s="108">
        <f t="shared" si="19"/>
        <v>28355</v>
      </c>
      <c r="AP52" s="114" t="e">
        <f t="shared" si="20"/>
        <v>#DIV/0!</v>
      </c>
      <c r="AQ52" s="108"/>
      <c r="AR52" s="108">
        <v>6182</v>
      </c>
      <c r="AS52" s="114" t="e">
        <f t="shared" si="21"/>
        <v>#DIV/0!</v>
      </c>
      <c r="AT52" s="108">
        <f t="shared" si="22"/>
        <v>0</v>
      </c>
      <c r="AU52" s="108">
        <f t="shared" si="23"/>
        <v>34537</v>
      </c>
      <c r="AV52" s="114" t="e">
        <f t="shared" si="24"/>
        <v>#DIV/0!</v>
      </c>
      <c r="AW52" s="36"/>
      <c r="AX52" s="36"/>
      <c r="AY52" s="114" t="e">
        <f t="shared" si="25"/>
        <v>#DIV/0!</v>
      </c>
      <c r="AZ52" s="36">
        <f t="shared" si="26"/>
        <v>0</v>
      </c>
      <c r="BA52" s="36">
        <f t="shared" si="27"/>
        <v>34537</v>
      </c>
      <c r="BB52" s="114" t="e">
        <f t="shared" si="28"/>
        <v>#DIV/0!</v>
      </c>
      <c r="BC52" s="36"/>
      <c r="BD52" s="36"/>
      <c r="BE52" s="114" t="e">
        <f t="shared" si="29"/>
        <v>#DIV/0!</v>
      </c>
      <c r="BF52" s="36">
        <f t="shared" si="30"/>
        <v>0</v>
      </c>
      <c r="BG52" s="36">
        <f t="shared" si="31"/>
        <v>34537</v>
      </c>
      <c r="BH52" s="114" t="e">
        <f t="shared" si="32"/>
        <v>#DIV/0!</v>
      </c>
      <c r="BI52" s="108"/>
      <c r="BJ52" s="108">
        <v>68714.66</v>
      </c>
      <c r="BK52" s="114" t="e">
        <f t="shared" si="38"/>
        <v>#DIV/0!</v>
      </c>
      <c r="BL52" s="108">
        <f t="shared" si="39"/>
        <v>0</v>
      </c>
      <c r="BM52" s="108">
        <f t="shared" si="40"/>
        <v>103251.66</v>
      </c>
      <c r="BN52" s="114" t="e">
        <f t="shared" si="41"/>
        <v>#DIV/0!</v>
      </c>
      <c r="BO52" s="108"/>
      <c r="BP52" s="108"/>
      <c r="BQ52" s="108"/>
      <c r="BR52" s="115" t="e">
        <f t="shared" si="42"/>
        <v>#DIV/0!</v>
      </c>
      <c r="BS52" s="108"/>
    </row>
    <row r="53" spans="1:71">
      <c r="A53" s="110" t="s">
        <v>34</v>
      </c>
      <c r="B53" s="110" t="s">
        <v>34</v>
      </c>
      <c r="C53" s="119" t="s">
        <v>408</v>
      </c>
      <c r="D53" s="120" t="s">
        <v>63</v>
      </c>
      <c r="E53" s="112" t="s">
        <v>63</v>
      </c>
      <c r="F53" s="112" t="s">
        <v>369</v>
      </c>
      <c r="G53" s="112" t="s">
        <v>369</v>
      </c>
      <c r="H53" s="112" t="s">
        <v>363</v>
      </c>
      <c r="I53" s="112">
        <v>3</v>
      </c>
      <c r="J53" s="112"/>
      <c r="K53" s="113"/>
      <c r="L53" s="114"/>
      <c r="M53" s="113"/>
      <c r="N53" s="113"/>
      <c r="O53" s="114"/>
      <c r="P53" s="113"/>
      <c r="Q53" s="113"/>
      <c r="R53" s="114"/>
      <c r="S53" s="36"/>
      <c r="T53" s="36"/>
      <c r="U53" s="114"/>
      <c r="V53" s="36"/>
      <c r="W53" s="36"/>
      <c r="X53" s="114"/>
      <c r="Y53" s="36"/>
      <c r="Z53" s="36"/>
      <c r="AA53" s="114"/>
      <c r="AB53" s="36"/>
      <c r="AC53" s="36"/>
      <c r="AD53" s="114"/>
      <c r="AE53" s="108"/>
      <c r="AF53" s="108"/>
      <c r="AG53" s="114" t="e">
        <f t="shared" si="13"/>
        <v>#DIV/0!</v>
      </c>
      <c r="AH53" s="108">
        <f t="shared" si="14"/>
        <v>0</v>
      </c>
      <c r="AI53" s="108">
        <f t="shared" si="15"/>
        <v>0</v>
      </c>
      <c r="AJ53" s="114" t="e">
        <f t="shared" si="16"/>
        <v>#DIV/0!</v>
      </c>
      <c r="AK53" s="108"/>
      <c r="AL53" s="108"/>
      <c r="AM53" s="114" t="e">
        <f t="shared" si="17"/>
        <v>#DIV/0!</v>
      </c>
      <c r="AN53" s="108">
        <f t="shared" si="18"/>
        <v>0</v>
      </c>
      <c r="AO53" s="108">
        <f t="shared" si="19"/>
        <v>0</v>
      </c>
      <c r="AP53" s="114" t="e">
        <f t="shared" si="20"/>
        <v>#DIV/0!</v>
      </c>
      <c r="AQ53" s="108"/>
      <c r="AR53" s="108"/>
      <c r="AS53" s="114" t="e">
        <f t="shared" si="21"/>
        <v>#DIV/0!</v>
      </c>
      <c r="AT53" s="108">
        <f t="shared" si="22"/>
        <v>0</v>
      </c>
      <c r="AU53" s="108">
        <f t="shared" si="23"/>
        <v>0</v>
      </c>
      <c r="AV53" s="114" t="e">
        <f t="shared" si="24"/>
        <v>#DIV/0!</v>
      </c>
      <c r="AW53" s="36"/>
      <c r="AX53" s="36"/>
      <c r="AY53" s="114" t="e">
        <f t="shared" si="25"/>
        <v>#DIV/0!</v>
      </c>
      <c r="AZ53" s="36">
        <f t="shared" si="26"/>
        <v>0</v>
      </c>
      <c r="BA53" s="36">
        <f t="shared" si="27"/>
        <v>0</v>
      </c>
      <c r="BB53" s="114" t="e">
        <f t="shared" si="28"/>
        <v>#DIV/0!</v>
      </c>
      <c r="BC53" s="36"/>
      <c r="BD53" s="36"/>
      <c r="BE53" s="114" t="e">
        <f t="shared" si="29"/>
        <v>#DIV/0!</v>
      </c>
      <c r="BF53" s="36">
        <f t="shared" si="30"/>
        <v>0</v>
      </c>
      <c r="BG53" s="36">
        <f t="shared" si="31"/>
        <v>0</v>
      </c>
      <c r="BH53" s="114" t="e">
        <f t="shared" si="32"/>
        <v>#DIV/0!</v>
      </c>
      <c r="BI53" s="108"/>
      <c r="BJ53" s="108"/>
      <c r="BK53" s="114" t="e">
        <f t="shared" si="38"/>
        <v>#DIV/0!</v>
      </c>
      <c r="BL53" s="108">
        <f t="shared" si="39"/>
        <v>0</v>
      </c>
      <c r="BM53" s="108">
        <f t="shared" si="40"/>
        <v>0</v>
      </c>
      <c r="BN53" s="114" t="e">
        <f t="shared" si="41"/>
        <v>#DIV/0!</v>
      </c>
      <c r="BO53" s="108"/>
      <c r="BP53" s="108"/>
      <c r="BQ53" s="108"/>
      <c r="BR53" s="115">
        <f t="shared" si="42"/>
        <v>0</v>
      </c>
      <c r="BS53" s="108"/>
    </row>
    <row r="54" spans="1:71">
      <c r="A54" s="87" t="s">
        <v>34</v>
      </c>
      <c r="B54" s="87" t="s">
        <v>34</v>
      </c>
      <c r="C54" s="119" t="s">
        <v>409</v>
      </c>
      <c r="D54" s="120" t="s">
        <v>63</v>
      </c>
      <c r="E54" s="112" t="s">
        <v>63</v>
      </c>
      <c r="F54" s="112" t="s">
        <v>369</v>
      </c>
      <c r="G54" s="112" t="s">
        <v>369</v>
      </c>
      <c r="H54" s="112" t="s">
        <v>363</v>
      </c>
      <c r="I54" s="112">
        <v>0</v>
      </c>
      <c r="J54" s="112"/>
      <c r="K54" s="113"/>
      <c r="L54" s="114"/>
      <c r="M54" s="113"/>
      <c r="N54" s="113"/>
      <c r="O54" s="114"/>
      <c r="P54" s="113"/>
      <c r="Q54" s="113"/>
      <c r="R54" s="114"/>
      <c r="S54" s="36"/>
      <c r="T54" s="36"/>
      <c r="U54" s="114"/>
      <c r="V54" s="36"/>
      <c r="W54" s="36"/>
      <c r="X54" s="114"/>
      <c r="Y54" s="36"/>
      <c r="Z54" s="36"/>
      <c r="AA54" s="114"/>
      <c r="AB54" s="36"/>
      <c r="AC54" s="36"/>
      <c r="AD54" s="114"/>
      <c r="AE54" s="108"/>
      <c r="AF54" s="108">
        <v>30000</v>
      </c>
      <c r="AG54" s="114" t="e">
        <f t="shared" si="13"/>
        <v>#DIV/0!</v>
      </c>
      <c r="AH54" s="108">
        <f t="shared" si="14"/>
        <v>0</v>
      </c>
      <c r="AI54" s="108">
        <f t="shared" si="15"/>
        <v>30000</v>
      </c>
      <c r="AJ54" s="114" t="e">
        <f t="shared" si="16"/>
        <v>#DIV/0!</v>
      </c>
      <c r="AK54" s="108"/>
      <c r="AL54" s="108"/>
      <c r="AM54" s="114" t="e">
        <f t="shared" si="17"/>
        <v>#DIV/0!</v>
      </c>
      <c r="AN54" s="108">
        <f t="shared" si="18"/>
        <v>0</v>
      </c>
      <c r="AO54" s="108">
        <f t="shared" si="19"/>
        <v>30000</v>
      </c>
      <c r="AP54" s="114" t="e">
        <f t="shared" si="20"/>
        <v>#DIV/0!</v>
      </c>
      <c r="AQ54" s="108"/>
      <c r="AR54" s="108">
        <v>12977</v>
      </c>
      <c r="AS54" s="114" t="e">
        <f t="shared" si="21"/>
        <v>#DIV/0!</v>
      </c>
      <c r="AT54" s="108">
        <f t="shared" si="22"/>
        <v>0</v>
      </c>
      <c r="AU54" s="108">
        <f t="shared" si="23"/>
        <v>42977</v>
      </c>
      <c r="AV54" s="114" t="e">
        <f t="shared" si="24"/>
        <v>#DIV/0!</v>
      </c>
      <c r="AW54" s="36"/>
      <c r="AX54" s="36">
        <v>12129</v>
      </c>
      <c r="AY54" s="114" t="e">
        <f t="shared" si="25"/>
        <v>#DIV/0!</v>
      </c>
      <c r="AZ54" s="36">
        <f t="shared" si="26"/>
        <v>0</v>
      </c>
      <c r="BA54" s="36">
        <f t="shared" si="27"/>
        <v>55106</v>
      </c>
      <c r="BB54" s="114" t="e">
        <f t="shared" si="28"/>
        <v>#DIV/0!</v>
      </c>
      <c r="BC54" s="36"/>
      <c r="BD54" s="36">
        <v>4482</v>
      </c>
      <c r="BE54" s="114" t="e">
        <f t="shared" si="29"/>
        <v>#DIV/0!</v>
      </c>
      <c r="BF54" s="36">
        <f t="shared" si="30"/>
        <v>0</v>
      </c>
      <c r="BG54" s="36">
        <f t="shared" si="31"/>
        <v>59588</v>
      </c>
      <c r="BH54" s="114" t="e">
        <f t="shared" si="32"/>
        <v>#DIV/0!</v>
      </c>
      <c r="BI54" s="108"/>
      <c r="BJ54" s="108">
        <v>26682</v>
      </c>
      <c r="BK54" s="114" t="e">
        <f t="shared" si="38"/>
        <v>#DIV/0!</v>
      </c>
      <c r="BL54" s="108">
        <f t="shared" si="39"/>
        <v>0</v>
      </c>
      <c r="BM54" s="108">
        <f t="shared" si="40"/>
        <v>86270</v>
      </c>
      <c r="BN54" s="114" t="e">
        <f t="shared" si="41"/>
        <v>#DIV/0!</v>
      </c>
      <c r="BO54" s="108"/>
      <c r="BP54" s="108"/>
      <c r="BQ54" s="108"/>
      <c r="BR54" s="115" t="e">
        <f t="shared" si="42"/>
        <v>#DIV/0!</v>
      </c>
      <c r="BS54" s="108"/>
    </row>
    <row r="55" spans="1:71">
      <c r="A55" s="87" t="s">
        <v>34</v>
      </c>
      <c r="B55" s="87" t="s">
        <v>34</v>
      </c>
      <c r="C55" s="121" t="s">
        <v>410</v>
      </c>
      <c r="D55" s="87" t="s">
        <v>63</v>
      </c>
      <c r="E55" s="87" t="s">
        <v>63</v>
      </c>
      <c r="F55" s="112" t="s">
        <v>362</v>
      </c>
      <c r="G55" s="112" t="s">
        <v>367</v>
      </c>
      <c r="H55" s="112" t="s">
        <v>363</v>
      </c>
      <c r="I55" s="112">
        <v>10</v>
      </c>
      <c r="J55" s="112"/>
      <c r="K55" s="113"/>
      <c r="L55" s="114"/>
      <c r="M55" s="113"/>
      <c r="N55" s="113"/>
      <c r="O55" s="114"/>
      <c r="P55" s="113"/>
      <c r="Q55" s="113"/>
      <c r="R55" s="114"/>
      <c r="S55" s="36"/>
      <c r="T55" s="36"/>
      <c r="U55" s="114"/>
      <c r="V55" s="36"/>
      <c r="W55" s="36"/>
      <c r="X55" s="114"/>
      <c r="Y55" s="36"/>
      <c r="Z55" s="36"/>
      <c r="AA55" s="114"/>
      <c r="AB55" s="36"/>
      <c r="AC55" s="36"/>
      <c r="AD55" s="114"/>
      <c r="AE55" s="108"/>
      <c r="AF55" s="108"/>
      <c r="AG55" s="114"/>
      <c r="AH55" s="108"/>
      <c r="AI55" s="108"/>
      <c r="AJ55" s="114"/>
      <c r="AK55" s="108"/>
      <c r="AL55" s="108"/>
      <c r="AM55" s="114"/>
      <c r="AN55" s="108"/>
      <c r="AO55" s="108"/>
      <c r="AP55" s="114"/>
      <c r="AQ55" s="108"/>
      <c r="AR55" s="29">
        <v>8600</v>
      </c>
      <c r="AS55" s="114" t="e">
        <f t="shared" si="21"/>
        <v>#DIV/0!</v>
      </c>
      <c r="AT55" s="108">
        <f t="shared" si="22"/>
        <v>0</v>
      </c>
      <c r="AU55" s="108">
        <f t="shared" si="23"/>
        <v>8600</v>
      </c>
      <c r="AV55" s="114" t="e">
        <f t="shared" si="24"/>
        <v>#DIV/0!</v>
      </c>
      <c r="AW55" s="36"/>
      <c r="AX55" s="36"/>
      <c r="AY55" s="114" t="e">
        <f t="shared" si="25"/>
        <v>#DIV/0!</v>
      </c>
      <c r="AZ55" s="36">
        <f t="shared" si="26"/>
        <v>0</v>
      </c>
      <c r="BA55" s="36">
        <f t="shared" si="27"/>
        <v>8600</v>
      </c>
      <c r="BB55" s="114" t="e">
        <f t="shared" si="28"/>
        <v>#DIV/0!</v>
      </c>
      <c r="BC55" s="36"/>
      <c r="BD55" s="36">
        <v>41057.82</v>
      </c>
      <c r="BE55" s="114" t="e">
        <f t="shared" si="29"/>
        <v>#DIV/0!</v>
      </c>
      <c r="BF55" s="36">
        <f t="shared" si="30"/>
        <v>0</v>
      </c>
      <c r="BG55" s="36">
        <f t="shared" si="31"/>
        <v>49657.82</v>
      </c>
      <c r="BH55" s="114" t="e">
        <f t="shared" si="32"/>
        <v>#DIV/0!</v>
      </c>
      <c r="BI55" s="108"/>
      <c r="BJ55" s="108">
        <v>33512.36</v>
      </c>
      <c r="BK55" s="114" t="e">
        <f t="shared" si="38"/>
        <v>#DIV/0!</v>
      </c>
      <c r="BL55" s="108">
        <f t="shared" si="39"/>
        <v>0</v>
      </c>
      <c r="BM55" s="108">
        <f t="shared" si="40"/>
        <v>83170.18</v>
      </c>
      <c r="BN55" s="114" t="e">
        <f t="shared" si="41"/>
        <v>#DIV/0!</v>
      </c>
      <c r="BO55" s="108"/>
      <c r="BP55" s="108"/>
      <c r="BQ55" s="108"/>
      <c r="BR55" s="115">
        <f t="shared" si="42"/>
        <v>0.8317018</v>
      </c>
      <c r="BS55" s="108"/>
    </row>
    <row r="56" spans="1:71">
      <c r="A56" s="87" t="s">
        <v>34</v>
      </c>
      <c r="B56" s="87" t="s">
        <v>34</v>
      </c>
      <c r="C56" s="121" t="s">
        <v>411</v>
      </c>
      <c r="D56" s="87" t="s">
        <v>63</v>
      </c>
      <c r="E56" s="87" t="s">
        <v>63</v>
      </c>
      <c r="F56" s="87" t="s">
        <v>354</v>
      </c>
      <c r="G56" s="112" t="s">
        <v>354</v>
      </c>
      <c r="H56" s="112" t="s">
        <v>355</v>
      </c>
      <c r="I56" s="112">
        <v>10</v>
      </c>
      <c r="J56" s="112"/>
      <c r="K56" s="113"/>
      <c r="L56" s="114"/>
      <c r="M56" s="113"/>
      <c r="N56" s="113"/>
      <c r="O56" s="114"/>
      <c r="P56" s="113"/>
      <c r="Q56" s="113"/>
      <c r="R56" s="114"/>
      <c r="S56" s="36"/>
      <c r="T56" s="36"/>
      <c r="U56" s="114"/>
      <c r="V56" s="36"/>
      <c r="W56" s="36"/>
      <c r="X56" s="114"/>
      <c r="Y56" s="36"/>
      <c r="Z56" s="36"/>
      <c r="AA56" s="114"/>
      <c r="AB56" s="36"/>
      <c r="AC56" s="36"/>
      <c r="AD56" s="114"/>
      <c r="AE56" s="108"/>
      <c r="AF56" s="108"/>
      <c r="AG56" s="114"/>
      <c r="AH56" s="108"/>
      <c r="AI56" s="108"/>
      <c r="AJ56" s="114"/>
      <c r="AK56" s="108"/>
      <c r="AL56" s="108"/>
      <c r="AM56" s="114"/>
      <c r="AN56" s="108"/>
      <c r="AO56" s="108"/>
      <c r="AP56" s="114"/>
      <c r="AQ56" s="108"/>
      <c r="AR56" s="29">
        <v>14623</v>
      </c>
      <c r="AS56" s="114" t="e">
        <f t="shared" si="21"/>
        <v>#DIV/0!</v>
      </c>
      <c r="AT56" s="108">
        <f t="shared" si="22"/>
        <v>0</v>
      </c>
      <c r="AU56" s="108">
        <f t="shared" si="23"/>
        <v>14623</v>
      </c>
      <c r="AV56" s="114" t="e">
        <f t="shared" si="24"/>
        <v>#DIV/0!</v>
      </c>
      <c r="AW56" s="36"/>
      <c r="AX56" s="36">
        <v>11267</v>
      </c>
      <c r="AY56" s="114" t="e">
        <f t="shared" si="25"/>
        <v>#DIV/0!</v>
      </c>
      <c r="AZ56" s="36">
        <f t="shared" si="26"/>
        <v>0</v>
      </c>
      <c r="BA56" s="36">
        <f t="shared" si="27"/>
        <v>25890</v>
      </c>
      <c r="BB56" s="114" t="e">
        <f t="shared" si="28"/>
        <v>#DIV/0!</v>
      </c>
      <c r="BC56" s="36"/>
      <c r="BD56" s="36">
        <v>4348</v>
      </c>
      <c r="BE56" s="114" t="e">
        <f t="shared" si="29"/>
        <v>#DIV/0!</v>
      </c>
      <c r="BF56" s="36">
        <f t="shared" si="30"/>
        <v>0</v>
      </c>
      <c r="BG56" s="36">
        <f t="shared" si="31"/>
        <v>30238</v>
      </c>
      <c r="BH56" s="114" t="e">
        <f t="shared" si="32"/>
        <v>#DIV/0!</v>
      </c>
      <c r="BI56" s="108"/>
      <c r="BJ56" s="108">
        <v>35816</v>
      </c>
      <c r="BK56" s="114" t="e">
        <f t="shared" si="38"/>
        <v>#DIV/0!</v>
      </c>
      <c r="BL56" s="108">
        <f t="shared" si="39"/>
        <v>0</v>
      </c>
      <c r="BM56" s="108">
        <f t="shared" si="40"/>
        <v>66054</v>
      </c>
      <c r="BN56" s="114" t="e">
        <f t="shared" si="41"/>
        <v>#DIV/0!</v>
      </c>
      <c r="BO56" s="108"/>
      <c r="BP56" s="108"/>
      <c r="BQ56" s="108"/>
      <c r="BR56" s="115">
        <f t="shared" si="42"/>
        <v>0.66054</v>
      </c>
      <c r="BS56" s="108"/>
    </row>
    <row r="57" spans="1:71">
      <c r="A57" s="87" t="s">
        <v>34</v>
      </c>
      <c r="B57" s="87" t="s">
        <v>34</v>
      </c>
      <c r="C57" s="121" t="s">
        <v>412</v>
      </c>
      <c r="D57" s="87" t="s">
        <v>63</v>
      </c>
      <c r="E57" s="87" t="s">
        <v>63</v>
      </c>
      <c r="F57" s="112" t="s">
        <v>362</v>
      </c>
      <c r="G57" s="112" t="s">
        <v>367</v>
      </c>
      <c r="H57" s="112" t="s">
        <v>363</v>
      </c>
      <c r="I57" s="112">
        <v>10</v>
      </c>
      <c r="J57" s="112"/>
      <c r="K57" s="113"/>
      <c r="L57" s="114"/>
      <c r="M57" s="113"/>
      <c r="N57" s="113"/>
      <c r="O57" s="114"/>
      <c r="P57" s="113"/>
      <c r="Q57" s="113"/>
      <c r="R57" s="114"/>
      <c r="S57" s="36"/>
      <c r="T57" s="36"/>
      <c r="U57" s="114"/>
      <c r="V57" s="36"/>
      <c r="W57" s="36"/>
      <c r="X57" s="114"/>
      <c r="Y57" s="36"/>
      <c r="Z57" s="36"/>
      <c r="AA57" s="114"/>
      <c r="AB57" s="36"/>
      <c r="AC57" s="36"/>
      <c r="AD57" s="114"/>
      <c r="AE57" s="108"/>
      <c r="AF57" s="108"/>
      <c r="AG57" s="114"/>
      <c r="AH57" s="108"/>
      <c r="AI57" s="108"/>
      <c r="AJ57" s="114"/>
      <c r="AK57" s="108"/>
      <c r="AL57" s="108"/>
      <c r="AM57" s="114"/>
      <c r="AN57" s="108"/>
      <c r="AO57" s="108"/>
      <c r="AP57" s="114"/>
      <c r="AQ57" s="108"/>
      <c r="AR57" s="29">
        <v>6000</v>
      </c>
      <c r="AS57" s="114" t="e">
        <f t="shared" si="21"/>
        <v>#DIV/0!</v>
      </c>
      <c r="AT57" s="108">
        <f t="shared" si="22"/>
        <v>0</v>
      </c>
      <c r="AU57" s="108">
        <f t="shared" si="23"/>
        <v>6000</v>
      </c>
      <c r="AV57" s="114" t="e">
        <f t="shared" si="24"/>
        <v>#DIV/0!</v>
      </c>
      <c r="AW57" s="36"/>
      <c r="AX57" s="36">
        <v>13570</v>
      </c>
      <c r="AY57" s="114" t="e">
        <f t="shared" si="25"/>
        <v>#DIV/0!</v>
      </c>
      <c r="AZ57" s="36">
        <f t="shared" si="26"/>
        <v>0</v>
      </c>
      <c r="BA57" s="36">
        <f t="shared" si="27"/>
        <v>19570</v>
      </c>
      <c r="BB57" s="114" t="e">
        <f t="shared" si="28"/>
        <v>#DIV/0!</v>
      </c>
      <c r="BC57" s="36"/>
      <c r="BD57" s="36">
        <v>78615.12</v>
      </c>
      <c r="BE57" s="114" t="e">
        <f t="shared" si="29"/>
        <v>#DIV/0!</v>
      </c>
      <c r="BF57" s="36">
        <f t="shared" si="30"/>
        <v>0</v>
      </c>
      <c r="BG57" s="36">
        <f t="shared" si="31"/>
        <v>98185.12</v>
      </c>
      <c r="BH57" s="114" t="e">
        <f t="shared" si="32"/>
        <v>#DIV/0!</v>
      </c>
      <c r="BI57" s="108"/>
      <c r="BJ57" s="108">
        <v>2200</v>
      </c>
      <c r="BK57" s="114" t="e">
        <f t="shared" si="38"/>
        <v>#DIV/0!</v>
      </c>
      <c r="BL57" s="108">
        <f t="shared" si="39"/>
        <v>0</v>
      </c>
      <c r="BM57" s="108">
        <f t="shared" si="40"/>
        <v>100385.12</v>
      </c>
      <c r="BN57" s="114" t="e">
        <f t="shared" si="41"/>
        <v>#DIV/0!</v>
      </c>
      <c r="BO57" s="108"/>
      <c r="BP57" s="108"/>
      <c r="BQ57" s="108"/>
      <c r="BR57" s="115">
        <f t="shared" si="42"/>
        <v>1.0038512</v>
      </c>
      <c r="BS57" s="108"/>
    </row>
    <row r="58" spans="1:71">
      <c r="A58" s="87" t="s">
        <v>34</v>
      </c>
      <c r="B58" s="87" t="s">
        <v>34</v>
      </c>
      <c r="C58" s="121" t="s">
        <v>413</v>
      </c>
      <c r="D58" s="87" t="s">
        <v>63</v>
      </c>
      <c r="E58" s="87" t="s">
        <v>63</v>
      </c>
      <c r="F58" s="87" t="s">
        <v>369</v>
      </c>
      <c r="G58" s="87" t="s">
        <v>369</v>
      </c>
      <c r="H58" s="112" t="s">
        <v>363</v>
      </c>
      <c r="I58" s="112">
        <v>10</v>
      </c>
      <c r="J58" s="112"/>
      <c r="K58" s="113"/>
      <c r="L58" s="114"/>
      <c r="M58" s="113"/>
      <c r="N58" s="113"/>
      <c r="O58" s="114"/>
      <c r="P58" s="113"/>
      <c r="Q58" s="113"/>
      <c r="R58" s="114"/>
      <c r="S58" s="36"/>
      <c r="T58" s="36"/>
      <c r="U58" s="114"/>
      <c r="V58" s="36"/>
      <c r="W58" s="36"/>
      <c r="X58" s="114"/>
      <c r="Y58" s="36"/>
      <c r="Z58" s="36"/>
      <c r="AA58" s="114"/>
      <c r="AB58" s="36"/>
      <c r="AC58" s="36"/>
      <c r="AD58" s="114"/>
      <c r="AE58" s="108"/>
      <c r="AF58" s="108"/>
      <c r="AG58" s="114"/>
      <c r="AH58" s="108"/>
      <c r="AI58" s="108"/>
      <c r="AJ58" s="114"/>
      <c r="AK58" s="108"/>
      <c r="AL58" s="108"/>
      <c r="AM58" s="114"/>
      <c r="AN58" s="108"/>
      <c r="AO58" s="108"/>
      <c r="AP58" s="114"/>
      <c r="AQ58" s="108"/>
      <c r="AR58" s="29">
        <v>4400</v>
      </c>
      <c r="AS58" s="114" t="e">
        <f t="shared" si="21"/>
        <v>#DIV/0!</v>
      </c>
      <c r="AT58" s="108">
        <f t="shared" si="22"/>
        <v>0</v>
      </c>
      <c r="AU58" s="108">
        <f t="shared" si="23"/>
        <v>4400</v>
      </c>
      <c r="AV58" s="114" t="e">
        <f t="shared" si="24"/>
        <v>#DIV/0!</v>
      </c>
      <c r="AW58" s="36"/>
      <c r="AX58" s="36">
        <v>26893</v>
      </c>
      <c r="AY58" s="114" t="e">
        <f t="shared" si="25"/>
        <v>#DIV/0!</v>
      </c>
      <c r="AZ58" s="36">
        <f t="shared" si="26"/>
        <v>0</v>
      </c>
      <c r="BA58" s="36">
        <f t="shared" si="27"/>
        <v>31293</v>
      </c>
      <c r="BB58" s="114" t="e">
        <f t="shared" si="28"/>
        <v>#DIV/0!</v>
      </c>
      <c r="BC58" s="36"/>
      <c r="BD58" s="36"/>
      <c r="BE58" s="114" t="e">
        <f t="shared" si="29"/>
        <v>#DIV/0!</v>
      </c>
      <c r="BF58" s="36">
        <f t="shared" si="30"/>
        <v>0</v>
      </c>
      <c r="BG58" s="36">
        <f t="shared" si="31"/>
        <v>31293</v>
      </c>
      <c r="BH58" s="114" t="e">
        <f t="shared" si="32"/>
        <v>#DIV/0!</v>
      </c>
      <c r="BI58" s="108"/>
      <c r="BJ58" s="108">
        <v>36250</v>
      </c>
      <c r="BK58" s="114" t="e">
        <f t="shared" si="38"/>
        <v>#DIV/0!</v>
      </c>
      <c r="BL58" s="108">
        <f t="shared" si="39"/>
        <v>0</v>
      </c>
      <c r="BM58" s="108">
        <f t="shared" si="40"/>
        <v>67543</v>
      </c>
      <c r="BN58" s="114" t="e">
        <f t="shared" si="41"/>
        <v>#DIV/0!</v>
      </c>
      <c r="BO58" s="108"/>
      <c r="BP58" s="108"/>
      <c r="BQ58" s="108"/>
      <c r="BR58" s="115">
        <f t="shared" si="42"/>
        <v>0.67543</v>
      </c>
      <c r="BS58" s="108"/>
    </row>
    <row r="59" spans="1:71">
      <c r="A59" s="87" t="s">
        <v>34</v>
      </c>
      <c r="B59" s="87" t="s">
        <v>34</v>
      </c>
      <c r="C59" s="121" t="s">
        <v>414</v>
      </c>
      <c r="D59" s="87" t="s">
        <v>63</v>
      </c>
      <c r="E59" s="87" t="s">
        <v>63</v>
      </c>
      <c r="F59" s="87" t="s">
        <v>369</v>
      </c>
      <c r="G59" s="87" t="s">
        <v>369</v>
      </c>
      <c r="H59" s="112" t="s">
        <v>363</v>
      </c>
      <c r="I59" s="112">
        <v>10</v>
      </c>
      <c r="J59" s="112"/>
      <c r="K59" s="113"/>
      <c r="L59" s="114"/>
      <c r="M59" s="113"/>
      <c r="N59" s="113"/>
      <c r="O59" s="114"/>
      <c r="P59" s="113"/>
      <c r="Q59" s="113"/>
      <c r="R59" s="114"/>
      <c r="S59" s="36"/>
      <c r="T59" s="36"/>
      <c r="U59" s="114"/>
      <c r="V59" s="36"/>
      <c r="W59" s="36"/>
      <c r="X59" s="114"/>
      <c r="Y59" s="36"/>
      <c r="Z59" s="36"/>
      <c r="AA59" s="114"/>
      <c r="AB59" s="36"/>
      <c r="AC59" s="36"/>
      <c r="AD59" s="114"/>
      <c r="AE59" s="108"/>
      <c r="AF59" s="108"/>
      <c r="AG59" s="114"/>
      <c r="AH59" s="108"/>
      <c r="AI59" s="108"/>
      <c r="AJ59" s="114"/>
      <c r="AK59" s="108"/>
      <c r="AL59" s="108"/>
      <c r="AM59" s="114"/>
      <c r="AN59" s="108"/>
      <c r="AO59" s="108"/>
      <c r="AP59" s="114"/>
      <c r="AQ59" s="108"/>
      <c r="AR59" s="29">
        <v>25421.52</v>
      </c>
      <c r="AS59" s="114" t="e">
        <f t="shared" si="21"/>
        <v>#DIV/0!</v>
      </c>
      <c r="AT59" s="108">
        <f t="shared" si="22"/>
        <v>0</v>
      </c>
      <c r="AU59" s="108">
        <f t="shared" si="23"/>
        <v>25421.52</v>
      </c>
      <c r="AV59" s="114" t="e">
        <f t="shared" si="24"/>
        <v>#DIV/0!</v>
      </c>
      <c r="AW59" s="36"/>
      <c r="AX59" s="36">
        <v>8776</v>
      </c>
      <c r="AY59" s="114" t="e">
        <f t="shared" si="25"/>
        <v>#DIV/0!</v>
      </c>
      <c r="AZ59" s="36">
        <f t="shared" si="26"/>
        <v>0</v>
      </c>
      <c r="BA59" s="36">
        <f t="shared" si="27"/>
        <v>34197.52</v>
      </c>
      <c r="BB59" s="114" t="e">
        <f t="shared" si="28"/>
        <v>#DIV/0!</v>
      </c>
      <c r="BC59" s="36"/>
      <c r="BD59" s="36">
        <v>23065</v>
      </c>
      <c r="BE59" s="114" t="e">
        <f t="shared" si="29"/>
        <v>#DIV/0!</v>
      </c>
      <c r="BF59" s="36">
        <f t="shared" si="30"/>
        <v>0</v>
      </c>
      <c r="BG59" s="36">
        <f t="shared" si="31"/>
        <v>57262.52</v>
      </c>
      <c r="BH59" s="114" t="e">
        <f t="shared" si="32"/>
        <v>#DIV/0!</v>
      </c>
      <c r="BI59" s="108"/>
      <c r="BJ59" s="108">
        <v>36802.7</v>
      </c>
      <c r="BK59" s="114" t="e">
        <f t="shared" si="38"/>
        <v>#DIV/0!</v>
      </c>
      <c r="BL59" s="108">
        <f t="shared" si="39"/>
        <v>0</v>
      </c>
      <c r="BM59" s="108">
        <f t="shared" si="40"/>
        <v>94065.22</v>
      </c>
      <c r="BN59" s="114" t="e">
        <f t="shared" si="41"/>
        <v>#DIV/0!</v>
      </c>
      <c r="BO59" s="108"/>
      <c r="BP59" s="108"/>
      <c r="BQ59" s="108"/>
      <c r="BR59" s="115">
        <f t="shared" si="42"/>
        <v>0.9406522</v>
      </c>
      <c r="BS59" s="108"/>
    </row>
    <row r="60" spans="1:71">
      <c r="A60" s="87" t="s">
        <v>34</v>
      </c>
      <c r="B60" s="87" t="s">
        <v>34</v>
      </c>
      <c r="C60" s="121" t="s">
        <v>415</v>
      </c>
      <c r="D60" s="87" t="s">
        <v>63</v>
      </c>
      <c r="E60" s="87" t="s">
        <v>63</v>
      </c>
      <c r="F60" s="266" t="s">
        <v>350</v>
      </c>
      <c r="G60" s="266" t="s">
        <v>350</v>
      </c>
      <c r="H60" s="112" t="s">
        <v>351</v>
      </c>
      <c r="I60" s="112"/>
      <c r="J60" s="112"/>
      <c r="K60" s="113"/>
      <c r="L60" s="114"/>
      <c r="M60" s="113"/>
      <c r="N60" s="113"/>
      <c r="O60" s="114"/>
      <c r="P60" s="113"/>
      <c r="Q60" s="113"/>
      <c r="R60" s="114"/>
      <c r="S60" s="36"/>
      <c r="T60" s="36"/>
      <c r="U60" s="114"/>
      <c r="V60" s="36"/>
      <c r="W60" s="36"/>
      <c r="X60" s="114"/>
      <c r="Y60" s="36"/>
      <c r="Z60" s="36"/>
      <c r="AA60" s="114"/>
      <c r="AB60" s="36"/>
      <c r="AC60" s="36"/>
      <c r="AD60" s="114"/>
      <c r="AE60" s="108"/>
      <c r="AF60" s="108"/>
      <c r="AG60" s="114"/>
      <c r="AH60" s="108"/>
      <c r="AI60" s="108"/>
      <c r="AJ60" s="114"/>
      <c r="AK60" s="108"/>
      <c r="AL60" s="108"/>
      <c r="AM60" s="114"/>
      <c r="AN60" s="108"/>
      <c r="AO60" s="108"/>
      <c r="AP60" s="114"/>
      <c r="AQ60" s="108"/>
      <c r="AR60" s="29"/>
      <c r="AS60" s="114"/>
      <c r="AT60" s="108"/>
      <c r="AU60" s="108"/>
      <c r="AV60" s="114"/>
      <c r="AW60" s="36"/>
      <c r="AX60" s="36">
        <v>6550</v>
      </c>
      <c r="AY60" s="114" t="e">
        <f t="shared" si="25"/>
        <v>#DIV/0!</v>
      </c>
      <c r="AZ60" s="36">
        <f t="shared" si="26"/>
        <v>0</v>
      </c>
      <c r="BA60" s="36">
        <f t="shared" si="27"/>
        <v>6550</v>
      </c>
      <c r="BB60" s="114" t="e">
        <f t="shared" si="28"/>
        <v>#DIV/0!</v>
      </c>
      <c r="BC60" s="36"/>
      <c r="BD60" s="36">
        <v>13100</v>
      </c>
      <c r="BE60" s="114" t="e">
        <f t="shared" si="29"/>
        <v>#DIV/0!</v>
      </c>
      <c r="BF60" s="36">
        <f t="shared" si="30"/>
        <v>0</v>
      </c>
      <c r="BG60" s="36">
        <f t="shared" si="31"/>
        <v>19650</v>
      </c>
      <c r="BH60" s="114" t="e">
        <f t="shared" si="32"/>
        <v>#DIV/0!</v>
      </c>
      <c r="BI60" s="108"/>
      <c r="BJ60" s="108">
        <v>4800</v>
      </c>
      <c r="BK60" s="114" t="e">
        <f t="shared" si="38"/>
        <v>#DIV/0!</v>
      </c>
      <c r="BL60" s="108">
        <f t="shared" si="39"/>
        <v>0</v>
      </c>
      <c r="BM60" s="108">
        <f t="shared" si="40"/>
        <v>24450</v>
      </c>
      <c r="BN60" s="114" t="e">
        <f t="shared" si="41"/>
        <v>#DIV/0!</v>
      </c>
      <c r="BO60" s="108"/>
      <c r="BP60" s="108"/>
      <c r="BQ60" s="108"/>
      <c r="BR60" s="115" t="e">
        <f t="shared" si="42"/>
        <v>#DIV/0!</v>
      </c>
      <c r="BS60" s="108"/>
    </row>
    <row r="61" spans="1:71">
      <c r="A61" s="110"/>
      <c r="B61" s="110"/>
      <c r="C61" s="111" t="s">
        <v>32</v>
      </c>
      <c r="D61" s="112"/>
      <c r="E61" s="112"/>
      <c r="F61" s="112"/>
      <c r="G61" s="112"/>
      <c r="H61" s="112"/>
      <c r="I61" s="125">
        <f>SUBTOTAL(9,I3:I60)</f>
        <v>2220</v>
      </c>
      <c r="J61" s="125">
        <f>SUBTOTAL(9,J3:J54)</f>
        <v>1971859.46</v>
      </c>
      <c r="K61" s="125">
        <f>SUBTOTAL(9,K3:K54)</f>
        <v>1683228.28</v>
      </c>
      <c r="L61" s="114">
        <f>K61/J61-1</f>
        <v>-0.14637512756614</v>
      </c>
      <c r="M61" s="125">
        <f>SUBTOTAL(9,M3:M54)</f>
        <v>862585.12</v>
      </c>
      <c r="N61" s="125">
        <f>SUBTOTAL(9,N3:N54)</f>
        <v>832659.54</v>
      </c>
      <c r="O61" s="114">
        <f>N61/M61-1</f>
        <v>-0.0346929008003292</v>
      </c>
      <c r="P61" s="125">
        <f>SUBTOTAL(9,P3:P54)</f>
        <v>2834444.58</v>
      </c>
      <c r="Q61" s="125">
        <f>SUBTOTAL(9,Q3:Q54)</f>
        <v>2515887.82</v>
      </c>
      <c r="R61" s="114">
        <f>Q61/P61-1</f>
        <v>-0.112387718654919</v>
      </c>
      <c r="S61" s="125">
        <f>SUBTOTAL(9,S3:S54)</f>
        <v>1454016.01</v>
      </c>
      <c r="T61" s="125">
        <f>SUBTOTAL(9,T3:T54)</f>
        <v>2188918.41</v>
      </c>
      <c r="U61" s="114">
        <f>T61/S61-1</f>
        <v>0.505429372816879</v>
      </c>
      <c r="V61" s="125">
        <f>SUBTOTAL(9,V3:V54)</f>
        <v>4288460.59</v>
      </c>
      <c r="W61" s="125">
        <f>SUBTOTAL(9,W3:W54)</f>
        <v>4704806.23</v>
      </c>
      <c r="X61" s="114">
        <f>W61/V61-1</f>
        <v>0.0970851034450104</v>
      </c>
      <c r="Y61" s="125">
        <f>SUBTOTAL(9,Y3:Y54)</f>
        <v>1189993.77</v>
      </c>
      <c r="Z61" s="125">
        <f>SUBTOTAL(9,Z3:Z54)</f>
        <v>1508708.25</v>
      </c>
      <c r="AA61" s="114">
        <f>Z61/Y61-1</f>
        <v>0.267828696279645</v>
      </c>
      <c r="AB61" s="125">
        <f>SUBTOTAL(9,AB3:AB54)</f>
        <v>5478454.36</v>
      </c>
      <c r="AC61" s="125">
        <f>SUBTOTAL(9,AC3:AC54)</f>
        <v>6213514.48</v>
      </c>
      <c r="AD61" s="114">
        <f>AC61/AB61-1</f>
        <v>0.134172902008076</v>
      </c>
      <c r="AE61" s="125">
        <f>SUBTOTAL(9,AE3:AE54)</f>
        <v>1649605.21</v>
      </c>
      <c r="AF61" s="125">
        <f>SUBTOTAL(9,AF3:AF54)</f>
        <v>1736224.19</v>
      </c>
      <c r="AG61" s="114">
        <f>AF61/AE61-1</f>
        <v>0.0525089151482494</v>
      </c>
      <c r="AH61" s="125">
        <f>SUBTOTAL(9,AH3:AH54)</f>
        <v>7128059.57</v>
      </c>
      <c r="AI61" s="125">
        <f>SUBTOTAL(9,AI3:AI54)</f>
        <v>7949738.67</v>
      </c>
      <c r="AJ61" s="114">
        <f>AI61/AH61-1</f>
        <v>0.11527388231409</v>
      </c>
      <c r="AK61" s="125">
        <f>SUBTOTAL(9,AK3:AK54)</f>
        <v>1202502.84</v>
      </c>
      <c r="AL61" s="125">
        <f>SUBTOTAL(9,AL3:AL54)</f>
        <v>2136560.09</v>
      </c>
      <c r="AM61" s="114">
        <f>AL61/AK61-1</f>
        <v>0.776760951350435</v>
      </c>
      <c r="AN61" s="125">
        <f>SUBTOTAL(9,AN3:AN54)</f>
        <v>8330562.41</v>
      </c>
      <c r="AO61" s="125">
        <f>SUBTOTAL(9,AO3:AO54)</f>
        <v>10086298.76</v>
      </c>
      <c r="AP61" s="114">
        <f>AO61/AN61-1</f>
        <v>0.210758441457976</v>
      </c>
      <c r="AQ61" s="125">
        <f>SUBTOTAL(9,AQ3:AQ59)</f>
        <v>1775233.87</v>
      </c>
      <c r="AR61" s="125">
        <f>SUBTOTAL(9,AR3:AR59)</f>
        <v>1520600.24</v>
      </c>
      <c r="AS61" s="114">
        <f>AR61/AQ61-1</f>
        <v>-0.143436667305136</v>
      </c>
      <c r="AT61" s="125">
        <f>SUBTOTAL(9,AT3:AT59)</f>
        <v>10105796.28</v>
      </c>
      <c r="AU61" s="125">
        <f>SUBTOTAL(9,AU3:AU59)</f>
        <v>11606899</v>
      </c>
      <c r="AV61" s="114">
        <f>AU61/AT61-1</f>
        <v>0.148538786891121</v>
      </c>
      <c r="AW61" s="125">
        <f>SUBTOTAL(9,AW3:AW60)</f>
        <v>1110802.6</v>
      </c>
      <c r="AX61" s="125">
        <f>SUBTOTAL(9,AX3:AX60)</f>
        <v>748570.86</v>
      </c>
      <c r="AY61" s="114">
        <f t="shared" si="25"/>
        <v>-0.326099110679071</v>
      </c>
      <c r="AZ61" s="125">
        <f>SUBTOTAL(9,AZ3:AZ60)</f>
        <v>11216598.88</v>
      </c>
      <c r="BA61" s="125">
        <f>SUBTOTAL(9,BA3:BA60)</f>
        <v>12355469.86</v>
      </c>
      <c r="BB61" s="114">
        <f t="shared" si="28"/>
        <v>0.101534430551019</v>
      </c>
      <c r="BC61" s="125">
        <f>SUBTOTAL(9,BC3:BC60)</f>
        <v>2053571.01</v>
      </c>
      <c r="BD61" s="125">
        <f t="shared" ref="BD61:BJ61" si="43">SUBTOTAL(9,BD3:BD60)</f>
        <v>1180401.65</v>
      </c>
      <c r="BE61" s="114">
        <f t="shared" si="29"/>
        <v>-0.425195601100738</v>
      </c>
      <c r="BF61" s="125">
        <f t="shared" si="43"/>
        <v>13270169.89</v>
      </c>
      <c r="BG61" s="125">
        <f t="shared" si="43"/>
        <v>13535871.51</v>
      </c>
      <c r="BH61" s="114">
        <f t="shared" si="32"/>
        <v>0.0200224731260017</v>
      </c>
      <c r="BI61" s="125">
        <f t="shared" si="43"/>
        <v>2117929.23</v>
      </c>
      <c r="BJ61" s="125">
        <f t="shared" si="43"/>
        <v>1637345.37</v>
      </c>
      <c r="BK61" s="114">
        <f t="shared" si="38"/>
        <v>-0.226912142857578</v>
      </c>
      <c r="BL61" s="125">
        <f>SUBTOTAL(9,BL3:BL60)</f>
        <v>15388099.12</v>
      </c>
      <c r="BM61" s="125">
        <f>SUBTOTAL(9,BM3:BM60)</f>
        <v>15173216.88</v>
      </c>
      <c r="BN61" s="114">
        <f t="shared" si="41"/>
        <v>-0.013964183511186</v>
      </c>
      <c r="BO61" s="126">
        <v>3533210.09</v>
      </c>
      <c r="BP61" s="126">
        <v>3045871.87</v>
      </c>
      <c r="BQ61" s="126">
        <v>21967181.08</v>
      </c>
      <c r="BR61" s="115">
        <f t="shared" si="42"/>
        <v>0.683478237837838</v>
      </c>
      <c r="BS61" s="108"/>
    </row>
    <row r="62" spans="1:71">
      <c r="A62" s="127"/>
      <c r="B62" s="127"/>
      <c r="C62" s="128"/>
      <c r="D62" s="127"/>
      <c r="E62" s="127"/>
      <c r="F62" s="127"/>
      <c r="G62" s="127"/>
      <c r="H62" s="127"/>
      <c r="I62" s="127"/>
      <c r="J62" s="129"/>
      <c r="K62" s="129"/>
      <c r="L62" s="129"/>
      <c r="M62" s="129"/>
      <c r="N62" s="129"/>
      <c r="O62" s="129"/>
      <c r="P62" s="129"/>
      <c r="Q62" s="129"/>
      <c r="R62" s="129"/>
      <c r="S62" s="127"/>
      <c r="T62" s="127"/>
      <c r="U62" s="127"/>
      <c r="V62" s="127"/>
      <c r="W62" s="127"/>
      <c r="X62" s="127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</row>
  </sheetData>
  <autoFilter xmlns:etc="http://www.wps.cn/officeDocument/2017/etCustomData" ref="A2:BS60" etc:filterBottomFollowUsedRange="0">
    <extLst/>
  </autoFilter>
  <mergeCells count="46"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AZ1:BA1"/>
    <mergeCell ref="BC1:BD1"/>
    <mergeCell ref="BF1:BG1"/>
    <mergeCell ref="BI1:BJ1"/>
    <mergeCell ref="BL1:BM1"/>
    <mergeCell ref="C1:C2"/>
    <mergeCell ref="D1:D2"/>
    <mergeCell ref="E1:E2"/>
    <mergeCell ref="F1:F2"/>
    <mergeCell ref="G1:G2"/>
    <mergeCell ref="H1:H2"/>
    <mergeCell ref="I1:I2"/>
    <mergeCell ref="L1:L2"/>
    <mergeCell ref="O1:O2"/>
    <mergeCell ref="R1:R2"/>
    <mergeCell ref="U1:U2"/>
    <mergeCell ref="X1:X2"/>
    <mergeCell ref="AA1:AA2"/>
    <mergeCell ref="AD1:AD2"/>
    <mergeCell ref="AG1:AG2"/>
    <mergeCell ref="AJ1:AJ2"/>
    <mergeCell ref="AM1:AM2"/>
    <mergeCell ref="AP1:AP2"/>
    <mergeCell ref="AS1:AS2"/>
    <mergeCell ref="AV1:AV2"/>
    <mergeCell ref="AY1:AY2"/>
    <mergeCell ref="BB1:BB2"/>
    <mergeCell ref="BE1:BE2"/>
    <mergeCell ref="BH1:BH2"/>
    <mergeCell ref="BK1:BK2"/>
    <mergeCell ref="BN1:BN2"/>
    <mergeCell ref="BR1:BR2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R84"/>
  <sheetViews>
    <sheetView workbookViewId="0">
      <pane xSplit="9" ySplit="2" topLeftCell="J6" activePane="bottomRight" state="frozen"/>
      <selection/>
      <selection pane="topRight"/>
      <selection pane="bottomLeft"/>
      <selection pane="bottomRight" activeCell="BJ84" sqref="BJ84"/>
    </sheetView>
  </sheetViews>
  <sheetFormatPr defaultColWidth="9" defaultRowHeight="12"/>
  <cols>
    <col min="1" max="1" width="4.62727272727273" style="56" customWidth="1"/>
    <col min="2" max="2" width="4.87272727272727" style="56" customWidth="1"/>
    <col min="3" max="3" width="30.6272727272727" style="58" customWidth="1"/>
    <col min="4" max="5" width="9.12727272727273" style="56" customWidth="1"/>
    <col min="6" max="6" width="10.6272727272727" style="57" customWidth="1"/>
    <col min="7" max="7" width="7.12727272727273" style="56" hidden="1" customWidth="1"/>
    <col min="8" max="8" width="7.12727272727273" style="56" customWidth="1"/>
    <col min="9" max="9" width="7.12727272727273" style="59" customWidth="1"/>
    <col min="10" max="12" width="11.3727272727273" style="56" hidden="1" customWidth="1"/>
    <col min="13" max="18" width="9" style="59" hidden="1" customWidth="1"/>
    <col min="19" max="24" width="10" style="56" hidden="1" customWidth="1"/>
    <col min="25" max="30" width="9" style="56" hidden="1" customWidth="1"/>
    <col min="31" max="36" width="9" style="59" hidden="1" customWidth="1"/>
    <col min="37" max="42" width="10.2545454545455" style="60" hidden="1" customWidth="1"/>
    <col min="43" max="48" width="11.2545454545455" style="61" hidden="1" customWidth="1"/>
    <col min="49" max="54" width="9" style="59" hidden="1" customWidth="1"/>
    <col min="55" max="60" width="10.3727272727273" style="59" hidden="1" customWidth="1"/>
    <col min="61" max="66" width="9.62727272727273" style="61" customWidth="1"/>
    <col min="67" max="67" width="11.1272727272727" style="59" hidden="1" customWidth="1"/>
    <col min="68" max="68" width="10.7545454545455" style="59" hidden="1" customWidth="1"/>
    <col min="69" max="69" width="12.1272727272727" style="59" hidden="1" customWidth="1"/>
    <col min="70" max="70" width="9" style="56" customWidth="1"/>
    <col min="71" max="16384" width="9" style="56"/>
  </cols>
  <sheetData>
    <row r="1" s="56" customFormat="1" customHeight="1" spans="1:70">
      <c r="A1" s="62"/>
      <c r="B1" s="63"/>
      <c r="C1" s="63" t="s">
        <v>134</v>
      </c>
      <c r="D1" s="63" t="s">
        <v>49</v>
      </c>
      <c r="E1" s="63" t="s">
        <v>50</v>
      </c>
      <c r="F1" s="64" t="s">
        <v>51</v>
      </c>
      <c r="G1" s="63" t="s">
        <v>52</v>
      </c>
      <c r="H1" s="63" t="s">
        <v>53</v>
      </c>
      <c r="I1" s="65" t="s">
        <v>39</v>
      </c>
      <c r="J1" s="66" t="s">
        <v>3</v>
      </c>
      <c r="K1" s="67"/>
      <c r="L1" s="68" t="s">
        <v>4</v>
      </c>
      <c r="M1" s="69" t="s">
        <v>5</v>
      </c>
      <c r="N1" s="69"/>
      <c r="O1" s="70" t="s">
        <v>4</v>
      </c>
      <c r="P1" s="69" t="s">
        <v>40</v>
      </c>
      <c r="Q1" s="69"/>
      <c r="R1" s="70" t="s">
        <v>4</v>
      </c>
      <c r="S1" s="69" t="s">
        <v>6</v>
      </c>
      <c r="T1" s="69"/>
      <c r="U1" s="70" t="s">
        <v>4</v>
      </c>
      <c r="V1" s="69" t="s">
        <v>7</v>
      </c>
      <c r="W1" s="69"/>
      <c r="X1" s="70" t="s">
        <v>4</v>
      </c>
      <c r="Y1" s="69" t="s">
        <v>8</v>
      </c>
      <c r="Z1" s="69"/>
      <c r="AA1" s="70" t="s">
        <v>4</v>
      </c>
      <c r="AB1" s="69" t="s">
        <v>9</v>
      </c>
      <c r="AC1" s="69"/>
      <c r="AD1" s="70" t="s">
        <v>4</v>
      </c>
      <c r="AE1" s="69" t="s">
        <v>10</v>
      </c>
      <c r="AF1" s="69"/>
      <c r="AG1" s="70" t="s">
        <v>4</v>
      </c>
      <c r="AH1" s="69" t="s">
        <v>11</v>
      </c>
      <c r="AI1" s="69"/>
      <c r="AJ1" s="70" t="s">
        <v>4</v>
      </c>
      <c r="AK1" s="69" t="s">
        <v>12</v>
      </c>
      <c r="AL1" s="69"/>
      <c r="AM1" s="70" t="s">
        <v>4</v>
      </c>
      <c r="AN1" s="69" t="s">
        <v>13</v>
      </c>
      <c r="AO1" s="69"/>
      <c r="AP1" s="70" t="s">
        <v>4</v>
      </c>
      <c r="AQ1" s="23" t="s">
        <v>14</v>
      </c>
      <c r="AR1" s="23"/>
      <c r="AS1" s="24" t="s">
        <v>4</v>
      </c>
      <c r="AT1" s="23" t="s">
        <v>41</v>
      </c>
      <c r="AU1" s="23"/>
      <c r="AV1" s="71" t="s">
        <v>4</v>
      </c>
      <c r="AW1" s="23" t="s">
        <v>15</v>
      </c>
      <c r="AX1" s="23"/>
      <c r="AY1" s="24" t="s">
        <v>4</v>
      </c>
      <c r="AZ1" s="23" t="s">
        <v>42</v>
      </c>
      <c r="BA1" s="23"/>
      <c r="BB1" s="71" t="s">
        <v>4</v>
      </c>
      <c r="BC1" s="72" t="s">
        <v>16</v>
      </c>
      <c r="BD1" s="73"/>
      <c r="BE1" s="71" t="s">
        <v>4</v>
      </c>
      <c r="BF1" s="72" t="s">
        <v>18</v>
      </c>
      <c r="BG1" s="73"/>
      <c r="BH1" s="71" t="s">
        <v>4</v>
      </c>
      <c r="BI1" s="72" t="s">
        <v>19</v>
      </c>
      <c r="BJ1" s="73"/>
      <c r="BK1" s="71" t="s">
        <v>4</v>
      </c>
      <c r="BL1" s="72" t="s">
        <v>20</v>
      </c>
      <c r="BM1" s="73"/>
      <c r="BN1" s="71" t="s">
        <v>4</v>
      </c>
      <c r="BO1" s="74" t="s">
        <v>43</v>
      </c>
      <c r="BP1" s="74" t="s">
        <v>44</v>
      </c>
      <c r="BQ1" s="74" t="s">
        <v>135</v>
      </c>
      <c r="BR1" s="75" t="s">
        <v>164</v>
      </c>
    </row>
    <row r="2" s="56" customFormat="1" customHeight="1" spans="1:70">
      <c r="A2" s="62"/>
      <c r="B2" s="63"/>
      <c r="C2" s="63"/>
      <c r="D2" s="63"/>
      <c r="E2" s="63"/>
      <c r="F2" s="64"/>
      <c r="G2" s="63"/>
      <c r="H2" s="63"/>
      <c r="I2" s="76"/>
      <c r="J2" s="67" t="s">
        <v>22</v>
      </c>
      <c r="K2" s="77" t="s">
        <v>23</v>
      </c>
      <c r="L2" s="78"/>
      <c r="M2" s="79" t="s">
        <v>22</v>
      </c>
      <c r="N2" s="79" t="s">
        <v>23</v>
      </c>
      <c r="O2" s="70"/>
      <c r="P2" s="79" t="s">
        <v>22</v>
      </c>
      <c r="Q2" s="79" t="s">
        <v>23</v>
      </c>
      <c r="R2" s="70"/>
      <c r="S2" s="79" t="s">
        <v>22</v>
      </c>
      <c r="T2" s="79" t="s">
        <v>23</v>
      </c>
      <c r="U2" s="70"/>
      <c r="V2" s="79" t="s">
        <v>22</v>
      </c>
      <c r="W2" s="79" t="s">
        <v>23</v>
      </c>
      <c r="X2" s="70"/>
      <c r="Y2" s="79" t="s">
        <v>22</v>
      </c>
      <c r="Z2" s="79" t="s">
        <v>23</v>
      </c>
      <c r="AA2" s="70"/>
      <c r="AB2" s="79" t="s">
        <v>22</v>
      </c>
      <c r="AC2" s="79" t="s">
        <v>23</v>
      </c>
      <c r="AD2" s="70"/>
      <c r="AE2" s="79" t="s">
        <v>22</v>
      </c>
      <c r="AF2" s="79" t="s">
        <v>23</v>
      </c>
      <c r="AG2" s="70"/>
      <c r="AH2" s="79" t="s">
        <v>22</v>
      </c>
      <c r="AI2" s="79" t="s">
        <v>23</v>
      </c>
      <c r="AJ2" s="70"/>
      <c r="AK2" s="79" t="s">
        <v>22</v>
      </c>
      <c r="AL2" s="79" t="s">
        <v>23</v>
      </c>
      <c r="AM2" s="70"/>
      <c r="AN2" s="79" t="s">
        <v>22</v>
      </c>
      <c r="AO2" s="79" t="s">
        <v>23</v>
      </c>
      <c r="AP2" s="70"/>
      <c r="AQ2" s="30" t="s">
        <v>22</v>
      </c>
      <c r="AR2" s="30" t="s">
        <v>23</v>
      </c>
      <c r="AS2" s="24"/>
      <c r="AT2" s="30" t="s">
        <v>22</v>
      </c>
      <c r="AU2" s="30" t="s">
        <v>23</v>
      </c>
      <c r="AV2" s="71"/>
      <c r="AW2" s="30" t="s">
        <v>22</v>
      </c>
      <c r="AX2" s="30" t="s">
        <v>23</v>
      </c>
      <c r="AY2" s="24"/>
      <c r="AZ2" s="30" t="s">
        <v>22</v>
      </c>
      <c r="BA2" s="30" t="s">
        <v>23</v>
      </c>
      <c r="BB2" s="71"/>
      <c r="BC2" s="30" t="s">
        <v>22</v>
      </c>
      <c r="BD2" s="30" t="s">
        <v>23</v>
      </c>
      <c r="BE2" s="71"/>
      <c r="BF2" s="30" t="s">
        <v>22</v>
      </c>
      <c r="BG2" s="30" t="s">
        <v>23</v>
      </c>
      <c r="BH2" s="71"/>
      <c r="BI2" s="30" t="s">
        <v>22</v>
      </c>
      <c r="BJ2" s="30" t="s">
        <v>23</v>
      </c>
      <c r="BK2" s="71"/>
      <c r="BL2" s="30" t="s">
        <v>22</v>
      </c>
      <c r="BM2" s="30" t="s">
        <v>23</v>
      </c>
      <c r="BN2" s="71"/>
      <c r="BO2" s="80" t="s">
        <v>22</v>
      </c>
      <c r="BP2" s="80" t="s">
        <v>22</v>
      </c>
      <c r="BQ2" s="80" t="s">
        <v>22</v>
      </c>
      <c r="BR2" s="81"/>
    </row>
    <row r="3" s="56" customFormat="1" customHeight="1" spans="1:70">
      <c r="A3" s="62" t="s">
        <v>416</v>
      </c>
      <c r="B3" s="63" t="s">
        <v>416</v>
      </c>
      <c r="C3" s="82" t="s">
        <v>417</v>
      </c>
      <c r="D3" s="83" t="s">
        <v>63</v>
      </c>
      <c r="E3" s="83" t="s">
        <v>63</v>
      </c>
      <c r="F3" s="271" t="s">
        <v>418</v>
      </c>
      <c r="G3" s="272" t="s">
        <v>418</v>
      </c>
      <c r="H3" s="63" t="s">
        <v>419</v>
      </c>
      <c r="I3" s="63">
        <v>15</v>
      </c>
      <c r="J3" s="80">
        <v>30174</v>
      </c>
      <c r="K3" s="80">
        <v>7600</v>
      </c>
      <c r="L3" s="84">
        <f t="shared" ref="L3:L66" si="0">K3/J3-1</f>
        <v>-0.748127527010009</v>
      </c>
      <c r="M3" s="80">
        <v>7610</v>
      </c>
      <c r="N3" s="80">
        <v>4500</v>
      </c>
      <c r="O3" s="84">
        <f t="shared" ref="O3:O66" si="1">N3/M3-1</f>
        <v>-0.408672798948752</v>
      </c>
      <c r="P3" s="80">
        <f t="shared" ref="P3:P66" si="2">M3+J3</f>
        <v>37784</v>
      </c>
      <c r="Q3" s="80">
        <f t="shared" ref="Q3:Q66" si="3">N3+K3</f>
        <v>12100</v>
      </c>
      <c r="R3" s="84">
        <f t="shared" ref="R3:R66" si="4">Q3/P3-1</f>
        <v>-0.679758627990684</v>
      </c>
      <c r="S3" s="85">
        <v>4780</v>
      </c>
      <c r="T3" s="85"/>
      <c r="U3" s="84">
        <f t="shared" ref="U3:U66" si="5">T3/S3-1</f>
        <v>-1</v>
      </c>
      <c r="V3" s="86">
        <f t="shared" ref="V3:V66" si="6">S3+P3</f>
        <v>42564</v>
      </c>
      <c r="W3" s="86">
        <f t="shared" ref="W3:W66" si="7">T3+Q3</f>
        <v>12100</v>
      </c>
      <c r="X3" s="84">
        <f t="shared" ref="X3:X66" si="8">W3/V3-1</f>
        <v>-0.715722206559534</v>
      </c>
      <c r="Y3" s="80"/>
      <c r="Z3" s="80"/>
      <c r="AA3" s="84" t="e">
        <f>Z3/Y3-1</f>
        <v>#DIV/0!</v>
      </c>
      <c r="AB3" s="80">
        <f>Y3+V3</f>
        <v>42564</v>
      </c>
      <c r="AC3" s="80">
        <f>Z3+W3</f>
        <v>12100</v>
      </c>
      <c r="AD3" s="84">
        <f>AC3/AB3-1</f>
        <v>-0.715722206559534</v>
      </c>
      <c r="AE3" s="80">
        <v>9980</v>
      </c>
      <c r="AF3" s="80">
        <v>7170</v>
      </c>
      <c r="AG3" s="84">
        <f>AF3/AE3-1</f>
        <v>-0.281563126252505</v>
      </c>
      <c r="AH3" s="80">
        <f>AE3+AB3</f>
        <v>52544</v>
      </c>
      <c r="AI3" s="80">
        <f>AF3+AC3</f>
        <v>19270</v>
      </c>
      <c r="AJ3" s="84">
        <f>AI3/AH3-1</f>
        <v>-0.633259744214373</v>
      </c>
      <c r="AK3" s="87"/>
      <c r="AL3" s="87"/>
      <c r="AM3" s="84" t="e">
        <f>AL3/AK3-1</f>
        <v>#DIV/0!</v>
      </c>
      <c r="AN3" s="87">
        <f>AK3+AH3</f>
        <v>52544</v>
      </c>
      <c r="AO3" s="87">
        <f>AL3+AI3</f>
        <v>19270</v>
      </c>
      <c r="AP3" s="84">
        <f>AO3/AN3-1</f>
        <v>-0.633259744214373</v>
      </c>
      <c r="AQ3" s="85">
        <v>6300</v>
      </c>
      <c r="AR3" s="85">
        <v>22235</v>
      </c>
      <c r="AS3" s="84">
        <f>AR3/AQ3-1</f>
        <v>2.52936507936508</v>
      </c>
      <c r="AT3" s="85">
        <f>AQ3+AN3</f>
        <v>58844</v>
      </c>
      <c r="AU3" s="85">
        <f>AR3+AO3</f>
        <v>41505</v>
      </c>
      <c r="AV3" s="84">
        <f>AU3/AT3-1</f>
        <v>-0.29466045816056</v>
      </c>
      <c r="AW3" s="80">
        <v>5200</v>
      </c>
      <c r="AX3" s="80">
        <v>6876</v>
      </c>
      <c r="AY3" s="84">
        <f>AX3/AW3-1</f>
        <v>0.322307692307692</v>
      </c>
      <c r="AZ3" s="80">
        <f>AW3+AT3</f>
        <v>64044</v>
      </c>
      <c r="BA3" s="80">
        <f>AX3+AU3</f>
        <v>48381</v>
      </c>
      <c r="BB3" s="84">
        <f>BA3/AZ3-1</f>
        <v>-0.244566235712947</v>
      </c>
      <c r="BC3" s="80">
        <v>50015</v>
      </c>
      <c r="BD3" s="80"/>
      <c r="BE3" s="84">
        <f>BD3/BC3-1</f>
        <v>-1</v>
      </c>
      <c r="BF3" s="80">
        <f>BC3+AZ3</f>
        <v>114059</v>
      </c>
      <c r="BG3" s="80">
        <f>BD3+BA3</f>
        <v>48381</v>
      </c>
      <c r="BH3" s="84">
        <f>BG3/BF3-1</f>
        <v>-0.575824792431987</v>
      </c>
      <c r="BI3" s="88">
        <v>3950</v>
      </c>
      <c r="BJ3" s="88">
        <v>3950</v>
      </c>
      <c r="BK3" s="84">
        <f>BJ3/BI3-1</f>
        <v>0</v>
      </c>
      <c r="BL3" s="88">
        <f>BI3+BF3</f>
        <v>118009</v>
      </c>
      <c r="BM3" s="88">
        <f>BJ3+BG3</f>
        <v>52331</v>
      </c>
      <c r="BN3" s="84">
        <f>BM3/BL3-1</f>
        <v>-0.556550771551322</v>
      </c>
      <c r="BO3" s="80">
        <v>6300</v>
      </c>
      <c r="BP3" s="80">
        <v>4500</v>
      </c>
      <c r="BQ3" s="80">
        <v>128809</v>
      </c>
      <c r="BR3" s="89">
        <f>BM3/10000/I3</f>
        <v>0.348873333333333</v>
      </c>
    </row>
    <row r="4" s="56" customFormat="1" customHeight="1" spans="1:70">
      <c r="A4" s="62" t="s">
        <v>416</v>
      </c>
      <c r="B4" s="63" t="s">
        <v>416</v>
      </c>
      <c r="C4" s="90" t="s">
        <v>420</v>
      </c>
      <c r="D4" s="83" t="s">
        <v>63</v>
      </c>
      <c r="E4" s="83" t="s">
        <v>63</v>
      </c>
      <c r="F4" s="271" t="s">
        <v>418</v>
      </c>
      <c r="G4" s="272" t="s">
        <v>418</v>
      </c>
      <c r="H4" s="63" t="s">
        <v>419</v>
      </c>
      <c r="I4" s="63"/>
      <c r="J4" s="80">
        <v>2710</v>
      </c>
      <c r="K4" s="80"/>
      <c r="L4" s="84">
        <f t="shared" si="0"/>
        <v>-1</v>
      </c>
      <c r="M4" s="80"/>
      <c r="N4" s="80"/>
      <c r="O4" s="84" t="e">
        <f t="shared" si="1"/>
        <v>#DIV/0!</v>
      </c>
      <c r="P4" s="80">
        <f t="shared" si="2"/>
        <v>2710</v>
      </c>
      <c r="Q4" s="80">
        <f t="shared" si="3"/>
        <v>0</v>
      </c>
      <c r="R4" s="84">
        <f t="shared" si="4"/>
        <v>-1</v>
      </c>
      <c r="S4" s="85">
        <v>6970</v>
      </c>
      <c r="T4" s="85"/>
      <c r="U4" s="84">
        <f t="shared" si="5"/>
        <v>-1</v>
      </c>
      <c r="V4" s="86">
        <f t="shared" si="6"/>
        <v>9680</v>
      </c>
      <c r="W4" s="86">
        <f t="shared" si="7"/>
        <v>0</v>
      </c>
      <c r="X4" s="84">
        <f t="shared" si="8"/>
        <v>-1</v>
      </c>
      <c r="Y4" s="80">
        <v>4900</v>
      </c>
      <c r="Z4" s="80"/>
      <c r="AA4" s="84">
        <f t="shared" ref="AA4:AA35" si="9">Z4/Y4-1</f>
        <v>-1</v>
      </c>
      <c r="AB4" s="80">
        <f t="shared" ref="AB4:AB35" si="10">Y4+V4</f>
        <v>14580</v>
      </c>
      <c r="AC4" s="80">
        <f t="shared" ref="AC4:AC35" si="11">Z4+W4</f>
        <v>0</v>
      </c>
      <c r="AD4" s="84">
        <f t="shared" ref="AD4:AD35" si="12">AC4/AB4-1</f>
        <v>-1</v>
      </c>
      <c r="AE4" s="80"/>
      <c r="AF4" s="80"/>
      <c r="AG4" s="84" t="e">
        <f t="shared" ref="AG4:AG35" si="13">AF4/AE4-1</f>
        <v>#DIV/0!</v>
      </c>
      <c r="AH4" s="80">
        <f t="shared" ref="AH4:AH35" si="14">AE4+AB4</f>
        <v>14580</v>
      </c>
      <c r="AI4" s="80">
        <f t="shared" ref="AI4:AI35" si="15">AF4+AC4</f>
        <v>0</v>
      </c>
      <c r="AJ4" s="84">
        <f t="shared" ref="AJ4:AJ35" si="16">AI4/AH4-1</f>
        <v>-1</v>
      </c>
      <c r="AK4" s="87"/>
      <c r="AL4" s="87"/>
      <c r="AM4" s="84" t="e">
        <f t="shared" ref="AM4:AM35" si="17">AL4/AK4-1</f>
        <v>#DIV/0!</v>
      </c>
      <c r="AN4" s="87">
        <f t="shared" ref="AN4:AN35" si="18">AK4+AH4</f>
        <v>14580</v>
      </c>
      <c r="AO4" s="87">
        <f t="shared" ref="AO4:AO35" si="19">AL4+AI4</f>
        <v>0</v>
      </c>
      <c r="AP4" s="84">
        <f t="shared" ref="AP4:AP35" si="20">AO4/AN4-1</f>
        <v>-1</v>
      </c>
      <c r="AQ4" s="85"/>
      <c r="AR4" s="85"/>
      <c r="AS4" s="84" t="e">
        <f t="shared" ref="AS4:AS35" si="21">AR4/AQ4-1</f>
        <v>#DIV/0!</v>
      </c>
      <c r="AT4" s="85">
        <f t="shared" ref="AT4:AT35" si="22">AQ4+AN4</f>
        <v>14580</v>
      </c>
      <c r="AU4" s="85">
        <f t="shared" ref="AU4:AU35" si="23">AR4+AO4</f>
        <v>0</v>
      </c>
      <c r="AV4" s="84">
        <f t="shared" ref="AV4:AV35" si="24">AU4/AT4-1</f>
        <v>-1</v>
      </c>
      <c r="AW4" s="80"/>
      <c r="AX4" s="80"/>
      <c r="AY4" s="84" t="e">
        <f t="shared" ref="AY4:AY35" si="25">AX4/AW4-1</f>
        <v>#DIV/0!</v>
      </c>
      <c r="AZ4" s="80">
        <f t="shared" ref="AZ4:AZ35" si="26">AW4+AT4</f>
        <v>14580</v>
      </c>
      <c r="BA4" s="80">
        <f t="shared" ref="BA4:BA35" si="27">AX4+AU4</f>
        <v>0</v>
      </c>
      <c r="BB4" s="84">
        <f t="shared" ref="BB4:BB35" si="28">BA4/AZ4-1</f>
        <v>-1</v>
      </c>
      <c r="BC4" s="80"/>
      <c r="BD4" s="80"/>
      <c r="BE4" s="84" t="e">
        <f t="shared" ref="BE4:BE35" si="29">BD4/BC4-1</f>
        <v>#DIV/0!</v>
      </c>
      <c r="BF4" s="80">
        <f t="shared" ref="BF4:BF35" si="30">BC4+AZ4</f>
        <v>14580</v>
      </c>
      <c r="BG4" s="80">
        <f t="shared" ref="BG4:BG35" si="31">BD4+BA4</f>
        <v>0</v>
      </c>
      <c r="BH4" s="84">
        <f t="shared" ref="BH4:BH35" si="32">BG4/BF4-1</f>
        <v>-1</v>
      </c>
      <c r="BI4" s="88"/>
      <c r="BJ4" s="88"/>
      <c r="BK4" s="84" t="e">
        <f t="shared" ref="BK4:BK35" si="33">BJ4/BI4-1</f>
        <v>#DIV/0!</v>
      </c>
      <c r="BL4" s="88">
        <f t="shared" ref="BL4:BL35" si="34">BI4+BF4</f>
        <v>14580</v>
      </c>
      <c r="BM4" s="88">
        <f t="shared" ref="BM4:BM35" si="35">BJ4+BG4</f>
        <v>0</v>
      </c>
      <c r="BN4" s="84">
        <f t="shared" ref="BN4:BN35" si="36">BM4/BL4-1</f>
        <v>-1</v>
      </c>
      <c r="BO4" s="80"/>
      <c r="BP4" s="80"/>
      <c r="BQ4" s="80">
        <v>14580</v>
      </c>
      <c r="BR4" s="89" t="e">
        <f t="shared" ref="BR4:BR35" si="37">BM4/10000/I4</f>
        <v>#DIV/0!</v>
      </c>
    </row>
    <row r="5" s="56" customFormat="1" customHeight="1" spans="1:70">
      <c r="A5" s="62" t="s">
        <v>416</v>
      </c>
      <c r="B5" s="63" t="s">
        <v>416</v>
      </c>
      <c r="C5" s="82" t="s">
        <v>421</v>
      </c>
      <c r="D5" s="83" t="s">
        <v>63</v>
      </c>
      <c r="E5" s="83" t="s">
        <v>63</v>
      </c>
      <c r="F5" s="271" t="s">
        <v>422</v>
      </c>
      <c r="G5" s="272" t="s">
        <v>422</v>
      </c>
      <c r="H5" s="63" t="s">
        <v>423</v>
      </c>
      <c r="I5" s="63">
        <v>10</v>
      </c>
      <c r="J5" s="80"/>
      <c r="K5" s="80">
        <v>7250</v>
      </c>
      <c r="L5" s="84" t="e">
        <f t="shared" si="0"/>
        <v>#DIV/0!</v>
      </c>
      <c r="M5" s="80"/>
      <c r="N5" s="80">
        <v>3150</v>
      </c>
      <c r="O5" s="84" t="e">
        <f t="shared" si="1"/>
        <v>#DIV/0!</v>
      </c>
      <c r="P5" s="80">
        <f t="shared" si="2"/>
        <v>0</v>
      </c>
      <c r="Q5" s="80">
        <f t="shared" si="3"/>
        <v>10400</v>
      </c>
      <c r="R5" s="84" t="e">
        <f t="shared" si="4"/>
        <v>#DIV/0!</v>
      </c>
      <c r="S5" s="85">
        <v>2250</v>
      </c>
      <c r="T5" s="85">
        <v>7986</v>
      </c>
      <c r="U5" s="84">
        <f t="shared" si="5"/>
        <v>2.54933333333333</v>
      </c>
      <c r="V5" s="86">
        <f t="shared" si="6"/>
        <v>2250</v>
      </c>
      <c r="W5" s="86">
        <f t="shared" si="7"/>
        <v>18386</v>
      </c>
      <c r="X5" s="84">
        <f t="shared" si="8"/>
        <v>7.17155555555556</v>
      </c>
      <c r="Y5" s="80"/>
      <c r="Z5" s="80">
        <v>26362</v>
      </c>
      <c r="AA5" s="84" t="e">
        <f t="shared" si="9"/>
        <v>#DIV/0!</v>
      </c>
      <c r="AB5" s="80">
        <f t="shared" si="10"/>
        <v>2250</v>
      </c>
      <c r="AC5" s="80">
        <f t="shared" si="11"/>
        <v>44748</v>
      </c>
      <c r="AD5" s="84">
        <f t="shared" si="12"/>
        <v>18.888</v>
      </c>
      <c r="AE5" s="80">
        <v>32190</v>
      </c>
      <c r="AF5" s="80">
        <v>5753</v>
      </c>
      <c r="AG5" s="84">
        <f t="shared" si="13"/>
        <v>-0.821279900590245</v>
      </c>
      <c r="AH5" s="80">
        <f t="shared" si="14"/>
        <v>34440</v>
      </c>
      <c r="AI5" s="80">
        <f t="shared" si="15"/>
        <v>50501</v>
      </c>
      <c r="AJ5" s="84">
        <f t="shared" si="16"/>
        <v>0.466347270615563</v>
      </c>
      <c r="AK5" s="87"/>
      <c r="AL5" s="87">
        <v>2600</v>
      </c>
      <c r="AM5" s="84" t="e">
        <f t="shared" si="17"/>
        <v>#DIV/0!</v>
      </c>
      <c r="AN5" s="87">
        <f t="shared" si="18"/>
        <v>34440</v>
      </c>
      <c r="AO5" s="87">
        <f t="shared" si="19"/>
        <v>53101</v>
      </c>
      <c r="AP5" s="84">
        <f t="shared" si="20"/>
        <v>0.541840882694541</v>
      </c>
      <c r="AQ5" s="85"/>
      <c r="AR5" s="85"/>
      <c r="AS5" s="84" t="e">
        <f t="shared" si="21"/>
        <v>#DIV/0!</v>
      </c>
      <c r="AT5" s="85">
        <f t="shared" si="22"/>
        <v>34440</v>
      </c>
      <c r="AU5" s="85">
        <f t="shared" si="23"/>
        <v>53101</v>
      </c>
      <c r="AV5" s="84">
        <f t="shared" si="24"/>
        <v>0.541840882694541</v>
      </c>
      <c r="AW5" s="80"/>
      <c r="AX5" s="80"/>
      <c r="AY5" s="84" t="e">
        <f t="shared" si="25"/>
        <v>#DIV/0!</v>
      </c>
      <c r="AZ5" s="80">
        <f t="shared" si="26"/>
        <v>34440</v>
      </c>
      <c r="BA5" s="80">
        <f t="shared" si="27"/>
        <v>53101</v>
      </c>
      <c r="BB5" s="84">
        <f t="shared" si="28"/>
        <v>0.541840882694541</v>
      </c>
      <c r="BC5" s="80">
        <v>30695</v>
      </c>
      <c r="BD5" s="80"/>
      <c r="BE5" s="84">
        <f t="shared" si="29"/>
        <v>-1</v>
      </c>
      <c r="BF5" s="80">
        <f t="shared" si="30"/>
        <v>65135</v>
      </c>
      <c r="BG5" s="80">
        <f t="shared" si="31"/>
        <v>53101</v>
      </c>
      <c r="BH5" s="84">
        <f t="shared" si="32"/>
        <v>-0.184754740155063</v>
      </c>
      <c r="BI5" s="88">
        <v>32004</v>
      </c>
      <c r="BJ5" s="88">
        <v>3372</v>
      </c>
      <c r="BK5" s="84">
        <f t="shared" si="33"/>
        <v>-0.894638170228721</v>
      </c>
      <c r="BL5" s="88">
        <f t="shared" si="34"/>
        <v>97139</v>
      </c>
      <c r="BM5" s="88">
        <f t="shared" si="35"/>
        <v>56473</v>
      </c>
      <c r="BN5" s="84">
        <f t="shared" si="36"/>
        <v>-0.418637210595127</v>
      </c>
      <c r="BO5" s="80"/>
      <c r="BP5" s="80"/>
      <c r="BQ5" s="80">
        <v>97139</v>
      </c>
      <c r="BR5" s="89">
        <f t="shared" si="37"/>
        <v>0.56473</v>
      </c>
    </row>
    <row r="6" s="56" customFormat="1" customHeight="1" spans="1:70">
      <c r="A6" s="62" t="s">
        <v>416</v>
      </c>
      <c r="B6" s="63" t="s">
        <v>416</v>
      </c>
      <c r="C6" s="90" t="s">
        <v>424</v>
      </c>
      <c r="D6" s="83" t="s">
        <v>63</v>
      </c>
      <c r="E6" s="83" t="s">
        <v>63</v>
      </c>
      <c r="F6" s="271" t="s">
        <v>422</v>
      </c>
      <c r="G6" s="272" t="s">
        <v>422</v>
      </c>
      <c r="H6" s="63" t="s">
        <v>423</v>
      </c>
      <c r="I6" s="63">
        <v>30</v>
      </c>
      <c r="J6" s="80">
        <v>48451</v>
      </c>
      <c r="K6" s="80">
        <v>9820</v>
      </c>
      <c r="L6" s="84">
        <f t="shared" si="0"/>
        <v>-0.797321004726425</v>
      </c>
      <c r="M6" s="80">
        <v>7510</v>
      </c>
      <c r="N6" s="80">
        <v>2300</v>
      </c>
      <c r="O6" s="84">
        <f t="shared" si="1"/>
        <v>-0.693741677762983</v>
      </c>
      <c r="P6" s="80">
        <f t="shared" si="2"/>
        <v>55961</v>
      </c>
      <c r="Q6" s="80">
        <f t="shared" si="3"/>
        <v>12120</v>
      </c>
      <c r="R6" s="84">
        <f t="shared" si="4"/>
        <v>-0.783420596486839</v>
      </c>
      <c r="S6" s="85"/>
      <c r="T6" s="85">
        <v>9919</v>
      </c>
      <c r="U6" s="84" t="e">
        <f t="shared" si="5"/>
        <v>#DIV/0!</v>
      </c>
      <c r="V6" s="86">
        <f t="shared" si="6"/>
        <v>55961</v>
      </c>
      <c r="W6" s="86">
        <f t="shared" si="7"/>
        <v>22039</v>
      </c>
      <c r="X6" s="84">
        <f t="shared" si="8"/>
        <v>-0.60617215560837</v>
      </c>
      <c r="Y6" s="80"/>
      <c r="Z6" s="80">
        <v>2199</v>
      </c>
      <c r="AA6" s="84" t="e">
        <f t="shared" si="9"/>
        <v>#DIV/0!</v>
      </c>
      <c r="AB6" s="80">
        <f t="shared" si="10"/>
        <v>55961</v>
      </c>
      <c r="AC6" s="80">
        <f t="shared" si="11"/>
        <v>24238</v>
      </c>
      <c r="AD6" s="84">
        <f t="shared" si="12"/>
        <v>-0.566876932149175</v>
      </c>
      <c r="AE6" s="80">
        <v>16830</v>
      </c>
      <c r="AF6" s="80"/>
      <c r="AG6" s="84">
        <f t="shared" si="13"/>
        <v>-1</v>
      </c>
      <c r="AH6" s="80">
        <f t="shared" si="14"/>
        <v>72791</v>
      </c>
      <c r="AI6" s="80">
        <f t="shared" si="15"/>
        <v>24238</v>
      </c>
      <c r="AJ6" s="84">
        <f t="shared" si="16"/>
        <v>-0.667019274360841</v>
      </c>
      <c r="AK6" s="87">
        <v>17000</v>
      </c>
      <c r="AL6" s="87">
        <v>10659</v>
      </c>
      <c r="AM6" s="84">
        <f t="shared" si="17"/>
        <v>-0.373</v>
      </c>
      <c r="AN6" s="87">
        <f t="shared" si="18"/>
        <v>89791</v>
      </c>
      <c r="AO6" s="87">
        <f t="shared" si="19"/>
        <v>34897</v>
      </c>
      <c r="AP6" s="84">
        <f t="shared" si="20"/>
        <v>-0.611353030927376</v>
      </c>
      <c r="AQ6" s="85">
        <v>4950</v>
      </c>
      <c r="AR6" s="85">
        <v>12860</v>
      </c>
      <c r="AS6" s="84">
        <f t="shared" si="21"/>
        <v>1.5979797979798</v>
      </c>
      <c r="AT6" s="85">
        <f t="shared" si="22"/>
        <v>94741</v>
      </c>
      <c r="AU6" s="85">
        <f t="shared" si="23"/>
        <v>47757</v>
      </c>
      <c r="AV6" s="84">
        <f t="shared" si="24"/>
        <v>-0.495920456824395</v>
      </c>
      <c r="AW6" s="80">
        <v>34830</v>
      </c>
      <c r="AX6" s="80">
        <v>6817</v>
      </c>
      <c r="AY6" s="84">
        <f t="shared" si="25"/>
        <v>-0.804277921332185</v>
      </c>
      <c r="AZ6" s="80">
        <f t="shared" si="26"/>
        <v>129571</v>
      </c>
      <c r="BA6" s="80">
        <f t="shared" si="27"/>
        <v>54574</v>
      </c>
      <c r="BB6" s="84">
        <f t="shared" si="28"/>
        <v>-0.578810073241698</v>
      </c>
      <c r="BC6" s="80">
        <v>28370</v>
      </c>
      <c r="BD6" s="80">
        <v>4726</v>
      </c>
      <c r="BE6" s="84">
        <f t="shared" si="29"/>
        <v>-0.833415579837857</v>
      </c>
      <c r="BF6" s="80">
        <f t="shared" si="30"/>
        <v>157941</v>
      </c>
      <c r="BG6" s="80">
        <f t="shared" si="31"/>
        <v>59300</v>
      </c>
      <c r="BH6" s="84">
        <f t="shared" si="32"/>
        <v>-0.624543342134088</v>
      </c>
      <c r="BI6" s="88">
        <v>28457</v>
      </c>
      <c r="BJ6" s="88">
        <v>9452</v>
      </c>
      <c r="BK6" s="84">
        <f t="shared" si="33"/>
        <v>-0.667849738201497</v>
      </c>
      <c r="BL6" s="88">
        <f t="shared" si="34"/>
        <v>186398</v>
      </c>
      <c r="BM6" s="88">
        <f t="shared" si="35"/>
        <v>68752</v>
      </c>
      <c r="BN6" s="84">
        <f t="shared" si="36"/>
        <v>-0.631154840717175</v>
      </c>
      <c r="BO6" s="80">
        <v>16200</v>
      </c>
      <c r="BP6" s="80">
        <v>52385</v>
      </c>
      <c r="BQ6" s="80">
        <v>254983</v>
      </c>
      <c r="BR6" s="89">
        <f t="shared" si="37"/>
        <v>0.229173333333333</v>
      </c>
    </row>
    <row r="7" s="56" customFormat="1" customHeight="1" spans="1:70">
      <c r="A7" s="62" t="s">
        <v>416</v>
      </c>
      <c r="B7" s="63" t="s">
        <v>416</v>
      </c>
      <c r="C7" s="90" t="s">
        <v>425</v>
      </c>
      <c r="D7" s="83" t="s">
        <v>63</v>
      </c>
      <c r="E7" s="83" t="s">
        <v>63</v>
      </c>
      <c r="F7" s="271" t="s">
        <v>422</v>
      </c>
      <c r="G7" s="272" t="s">
        <v>422</v>
      </c>
      <c r="H7" s="63" t="s">
        <v>423</v>
      </c>
      <c r="I7" s="63">
        <v>10</v>
      </c>
      <c r="J7" s="80"/>
      <c r="K7" s="80">
        <v>12415</v>
      </c>
      <c r="L7" s="84" t="e">
        <f t="shared" si="0"/>
        <v>#DIV/0!</v>
      </c>
      <c r="M7" s="80">
        <v>58818</v>
      </c>
      <c r="N7" s="80">
        <v>21750</v>
      </c>
      <c r="O7" s="84">
        <f t="shared" si="1"/>
        <v>-0.630215240232582</v>
      </c>
      <c r="P7" s="80">
        <f t="shared" si="2"/>
        <v>58818</v>
      </c>
      <c r="Q7" s="80">
        <f t="shared" si="3"/>
        <v>34165</v>
      </c>
      <c r="R7" s="84">
        <f t="shared" si="4"/>
        <v>-0.419140399197525</v>
      </c>
      <c r="S7" s="85">
        <v>7320</v>
      </c>
      <c r="T7" s="85"/>
      <c r="U7" s="84">
        <f t="shared" si="5"/>
        <v>-1</v>
      </c>
      <c r="V7" s="86">
        <f t="shared" si="6"/>
        <v>66138</v>
      </c>
      <c r="W7" s="86">
        <f t="shared" si="7"/>
        <v>34165</v>
      </c>
      <c r="X7" s="84">
        <f t="shared" si="8"/>
        <v>-0.483428588708458</v>
      </c>
      <c r="Y7" s="80">
        <v>3160</v>
      </c>
      <c r="Z7" s="80">
        <v>9930</v>
      </c>
      <c r="AA7" s="84">
        <f t="shared" si="9"/>
        <v>2.14240506329114</v>
      </c>
      <c r="AB7" s="80">
        <f t="shared" si="10"/>
        <v>69298</v>
      </c>
      <c r="AC7" s="80">
        <f t="shared" si="11"/>
        <v>44095</v>
      </c>
      <c r="AD7" s="84">
        <f t="shared" si="12"/>
        <v>-0.363690149787873</v>
      </c>
      <c r="AE7" s="80">
        <v>8850</v>
      </c>
      <c r="AF7" s="80">
        <v>3800</v>
      </c>
      <c r="AG7" s="84">
        <f t="shared" si="13"/>
        <v>-0.570621468926554</v>
      </c>
      <c r="AH7" s="80">
        <f t="shared" si="14"/>
        <v>78148</v>
      </c>
      <c r="AI7" s="80">
        <f t="shared" si="15"/>
        <v>47895</v>
      </c>
      <c r="AJ7" s="84">
        <f t="shared" si="16"/>
        <v>-0.387124430567641</v>
      </c>
      <c r="AK7" s="87">
        <v>6600</v>
      </c>
      <c r="AL7" s="87">
        <v>20968</v>
      </c>
      <c r="AM7" s="84">
        <f t="shared" si="17"/>
        <v>2.1769696969697</v>
      </c>
      <c r="AN7" s="87">
        <f t="shared" si="18"/>
        <v>84748</v>
      </c>
      <c r="AO7" s="87">
        <f t="shared" si="19"/>
        <v>68863</v>
      </c>
      <c r="AP7" s="84">
        <f t="shared" si="20"/>
        <v>-0.187438051635437</v>
      </c>
      <c r="AQ7" s="85"/>
      <c r="AR7" s="85">
        <v>27841</v>
      </c>
      <c r="AS7" s="84" t="e">
        <f t="shared" si="21"/>
        <v>#DIV/0!</v>
      </c>
      <c r="AT7" s="85">
        <f t="shared" si="22"/>
        <v>84748</v>
      </c>
      <c r="AU7" s="85">
        <f t="shared" si="23"/>
        <v>96704</v>
      </c>
      <c r="AV7" s="84">
        <f t="shared" si="24"/>
        <v>0.141077075565205</v>
      </c>
      <c r="AW7" s="80">
        <v>3800</v>
      </c>
      <c r="AX7" s="80"/>
      <c r="AY7" s="84">
        <f t="shared" si="25"/>
        <v>-1</v>
      </c>
      <c r="AZ7" s="80">
        <f t="shared" si="26"/>
        <v>88548</v>
      </c>
      <c r="BA7" s="80">
        <f t="shared" si="27"/>
        <v>96704</v>
      </c>
      <c r="BB7" s="84">
        <f t="shared" si="28"/>
        <v>0.0921082350815376</v>
      </c>
      <c r="BC7" s="80"/>
      <c r="BD7" s="80"/>
      <c r="BE7" s="84" t="e">
        <f t="shared" si="29"/>
        <v>#DIV/0!</v>
      </c>
      <c r="BF7" s="80">
        <f t="shared" si="30"/>
        <v>88548</v>
      </c>
      <c r="BG7" s="80">
        <f t="shared" si="31"/>
        <v>96704</v>
      </c>
      <c r="BH7" s="84">
        <f t="shared" si="32"/>
        <v>0.0921082350815376</v>
      </c>
      <c r="BI7" s="88">
        <v>6100</v>
      </c>
      <c r="BJ7" s="88">
        <v>3800</v>
      </c>
      <c r="BK7" s="84">
        <f t="shared" si="33"/>
        <v>-0.377049180327869</v>
      </c>
      <c r="BL7" s="88">
        <f t="shared" si="34"/>
        <v>94648</v>
      </c>
      <c r="BM7" s="88">
        <f t="shared" si="35"/>
        <v>100504</v>
      </c>
      <c r="BN7" s="84">
        <f t="shared" si="36"/>
        <v>0.0618713549150536</v>
      </c>
      <c r="BO7" s="80">
        <v>6200</v>
      </c>
      <c r="BP7" s="80"/>
      <c r="BQ7" s="80">
        <v>100848</v>
      </c>
      <c r="BR7" s="89">
        <f t="shared" si="37"/>
        <v>1.00504</v>
      </c>
    </row>
    <row r="8" s="56" customFormat="1" customHeight="1" spans="1:70">
      <c r="A8" s="62" t="s">
        <v>416</v>
      </c>
      <c r="B8" s="63" t="s">
        <v>416</v>
      </c>
      <c r="C8" s="82" t="s">
        <v>426</v>
      </c>
      <c r="D8" s="83" t="s">
        <v>63</v>
      </c>
      <c r="E8" s="83" t="s">
        <v>63</v>
      </c>
      <c r="F8" s="271" t="s">
        <v>422</v>
      </c>
      <c r="G8" s="272" t="s">
        <v>422</v>
      </c>
      <c r="H8" s="63" t="s">
        <v>423</v>
      </c>
      <c r="I8" s="63"/>
      <c r="J8" s="80">
        <v>62144</v>
      </c>
      <c r="K8" s="80"/>
      <c r="L8" s="84">
        <f t="shared" si="0"/>
        <v>-1</v>
      </c>
      <c r="M8" s="80"/>
      <c r="N8" s="80"/>
      <c r="O8" s="84" t="e">
        <f t="shared" si="1"/>
        <v>#DIV/0!</v>
      </c>
      <c r="P8" s="80">
        <f t="shared" si="2"/>
        <v>62144</v>
      </c>
      <c r="Q8" s="80">
        <f t="shared" si="3"/>
        <v>0</v>
      </c>
      <c r="R8" s="84">
        <f t="shared" si="4"/>
        <v>-1</v>
      </c>
      <c r="S8" s="85"/>
      <c r="T8" s="85"/>
      <c r="U8" s="84" t="e">
        <f t="shared" si="5"/>
        <v>#DIV/0!</v>
      </c>
      <c r="V8" s="86">
        <f t="shared" si="6"/>
        <v>62144</v>
      </c>
      <c r="W8" s="86">
        <f t="shared" si="7"/>
        <v>0</v>
      </c>
      <c r="X8" s="84">
        <f t="shared" si="8"/>
        <v>-1</v>
      </c>
      <c r="Y8" s="80"/>
      <c r="Z8" s="80"/>
      <c r="AA8" s="84" t="e">
        <f t="shared" si="9"/>
        <v>#DIV/0!</v>
      </c>
      <c r="AB8" s="80">
        <f t="shared" si="10"/>
        <v>62144</v>
      </c>
      <c r="AC8" s="80">
        <f t="shared" si="11"/>
        <v>0</v>
      </c>
      <c r="AD8" s="84">
        <f t="shared" si="12"/>
        <v>-1</v>
      </c>
      <c r="AE8" s="80"/>
      <c r="AF8" s="80"/>
      <c r="AG8" s="84" t="e">
        <f t="shared" si="13"/>
        <v>#DIV/0!</v>
      </c>
      <c r="AH8" s="80">
        <f t="shared" si="14"/>
        <v>62144</v>
      </c>
      <c r="AI8" s="80">
        <f t="shared" si="15"/>
        <v>0</v>
      </c>
      <c r="AJ8" s="84">
        <f t="shared" si="16"/>
        <v>-1</v>
      </c>
      <c r="AK8" s="87"/>
      <c r="AL8" s="87"/>
      <c r="AM8" s="84" t="e">
        <f t="shared" si="17"/>
        <v>#DIV/0!</v>
      </c>
      <c r="AN8" s="87">
        <f t="shared" si="18"/>
        <v>62144</v>
      </c>
      <c r="AO8" s="87">
        <f t="shared" si="19"/>
        <v>0</v>
      </c>
      <c r="AP8" s="84">
        <f t="shared" si="20"/>
        <v>-1</v>
      </c>
      <c r="AQ8" s="85"/>
      <c r="AR8" s="85"/>
      <c r="AS8" s="84" t="e">
        <f t="shared" si="21"/>
        <v>#DIV/0!</v>
      </c>
      <c r="AT8" s="85">
        <f t="shared" si="22"/>
        <v>62144</v>
      </c>
      <c r="AU8" s="85">
        <f t="shared" si="23"/>
        <v>0</v>
      </c>
      <c r="AV8" s="84">
        <f t="shared" si="24"/>
        <v>-1</v>
      </c>
      <c r="AW8" s="80"/>
      <c r="AX8" s="80"/>
      <c r="AY8" s="84" t="e">
        <f t="shared" si="25"/>
        <v>#DIV/0!</v>
      </c>
      <c r="AZ8" s="80">
        <f t="shared" si="26"/>
        <v>62144</v>
      </c>
      <c r="BA8" s="80">
        <f t="shared" si="27"/>
        <v>0</v>
      </c>
      <c r="BB8" s="84">
        <f t="shared" si="28"/>
        <v>-1</v>
      </c>
      <c r="BC8" s="80"/>
      <c r="BD8" s="80"/>
      <c r="BE8" s="84" t="e">
        <f t="shared" si="29"/>
        <v>#DIV/0!</v>
      </c>
      <c r="BF8" s="80">
        <f t="shared" si="30"/>
        <v>62144</v>
      </c>
      <c r="BG8" s="80">
        <f t="shared" si="31"/>
        <v>0</v>
      </c>
      <c r="BH8" s="84">
        <f t="shared" si="32"/>
        <v>-1</v>
      </c>
      <c r="BI8" s="88"/>
      <c r="BJ8" s="88"/>
      <c r="BK8" s="84" t="e">
        <f t="shared" si="33"/>
        <v>#DIV/0!</v>
      </c>
      <c r="BL8" s="88">
        <f t="shared" si="34"/>
        <v>62144</v>
      </c>
      <c r="BM8" s="88">
        <f t="shared" si="35"/>
        <v>0</v>
      </c>
      <c r="BN8" s="84">
        <f t="shared" si="36"/>
        <v>-1</v>
      </c>
      <c r="BO8" s="80"/>
      <c r="BP8" s="80"/>
      <c r="BQ8" s="80">
        <v>62144</v>
      </c>
      <c r="BR8" s="89" t="e">
        <f t="shared" si="37"/>
        <v>#DIV/0!</v>
      </c>
    </row>
    <row r="9" s="56" customFormat="1" customHeight="1" spans="1:70">
      <c r="A9" s="62" t="s">
        <v>416</v>
      </c>
      <c r="B9" s="63" t="s">
        <v>416</v>
      </c>
      <c r="C9" s="82" t="s">
        <v>427</v>
      </c>
      <c r="D9" s="83" t="s">
        <v>63</v>
      </c>
      <c r="E9" s="83" t="s">
        <v>63</v>
      </c>
      <c r="F9" s="271" t="s">
        <v>422</v>
      </c>
      <c r="G9" s="272" t="s">
        <v>422</v>
      </c>
      <c r="H9" s="63" t="s">
        <v>423</v>
      </c>
      <c r="I9" s="63"/>
      <c r="J9" s="80"/>
      <c r="K9" s="80"/>
      <c r="L9" s="84" t="e">
        <f t="shared" si="0"/>
        <v>#DIV/0!</v>
      </c>
      <c r="M9" s="80"/>
      <c r="N9" s="80"/>
      <c r="O9" s="84" t="e">
        <f t="shared" si="1"/>
        <v>#DIV/0!</v>
      </c>
      <c r="P9" s="80">
        <f t="shared" si="2"/>
        <v>0</v>
      </c>
      <c r="Q9" s="80">
        <f t="shared" si="3"/>
        <v>0</v>
      </c>
      <c r="R9" s="84" t="e">
        <f t="shared" si="4"/>
        <v>#DIV/0!</v>
      </c>
      <c r="S9" s="85"/>
      <c r="T9" s="85"/>
      <c r="U9" s="84" t="e">
        <f t="shared" si="5"/>
        <v>#DIV/0!</v>
      </c>
      <c r="V9" s="86">
        <f t="shared" si="6"/>
        <v>0</v>
      </c>
      <c r="W9" s="86">
        <f t="shared" si="7"/>
        <v>0</v>
      </c>
      <c r="X9" s="84" t="e">
        <f t="shared" si="8"/>
        <v>#DIV/0!</v>
      </c>
      <c r="Y9" s="80"/>
      <c r="Z9" s="80"/>
      <c r="AA9" s="84" t="e">
        <f t="shared" si="9"/>
        <v>#DIV/0!</v>
      </c>
      <c r="AB9" s="80">
        <f t="shared" si="10"/>
        <v>0</v>
      </c>
      <c r="AC9" s="80">
        <f t="shared" si="11"/>
        <v>0</v>
      </c>
      <c r="AD9" s="84" t="e">
        <f t="shared" si="12"/>
        <v>#DIV/0!</v>
      </c>
      <c r="AE9" s="80"/>
      <c r="AF9" s="80"/>
      <c r="AG9" s="84" t="e">
        <f t="shared" si="13"/>
        <v>#DIV/0!</v>
      </c>
      <c r="AH9" s="80">
        <f t="shared" si="14"/>
        <v>0</v>
      </c>
      <c r="AI9" s="80">
        <f t="shared" si="15"/>
        <v>0</v>
      </c>
      <c r="AJ9" s="84" t="e">
        <f t="shared" si="16"/>
        <v>#DIV/0!</v>
      </c>
      <c r="AK9" s="87"/>
      <c r="AL9" s="87"/>
      <c r="AM9" s="84" t="e">
        <f t="shared" si="17"/>
        <v>#DIV/0!</v>
      </c>
      <c r="AN9" s="87">
        <f t="shared" si="18"/>
        <v>0</v>
      </c>
      <c r="AO9" s="87">
        <f t="shared" si="19"/>
        <v>0</v>
      </c>
      <c r="AP9" s="84" t="e">
        <f t="shared" si="20"/>
        <v>#DIV/0!</v>
      </c>
      <c r="AQ9" s="85"/>
      <c r="AR9" s="85"/>
      <c r="AS9" s="84" t="e">
        <f t="shared" si="21"/>
        <v>#DIV/0!</v>
      </c>
      <c r="AT9" s="85">
        <f t="shared" si="22"/>
        <v>0</v>
      </c>
      <c r="AU9" s="85">
        <f t="shared" si="23"/>
        <v>0</v>
      </c>
      <c r="AV9" s="84" t="e">
        <f t="shared" si="24"/>
        <v>#DIV/0!</v>
      </c>
      <c r="AW9" s="80"/>
      <c r="AX9" s="80"/>
      <c r="AY9" s="84" t="e">
        <f t="shared" si="25"/>
        <v>#DIV/0!</v>
      </c>
      <c r="AZ9" s="80">
        <f t="shared" si="26"/>
        <v>0</v>
      </c>
      <c r="BA9" s="80">
        <f t="shared" si="27"/>
        <v>0</v>
      </c>
      <c r="BB9" s="84" t="e">
        <f t="shared" si="28"/>
        <v>#DIV/0!</v>
      </c>
      <c r="BC9" s="80"/>
      <c r="BD9" s="80"/>
      <c r="BE9" s="84" t="e">
        <f t="shared" si="29"/>
        <v>#DIV/0!</v>
      </c>
      <c r="BF9" s="80">
        <f t="shared" si="30"/>
        <v>0</v>
      </c>
      <c r="BG9" s="80">
        <f t="shared" si="31"/>
        <v>0</v>
      </c>
      <c r="BH9" s="84" t="e">
        <f t="shared" si="32"/>
        <v>#DIV/0!</v>
      </c>
      <c r="BI9" s="88"/>
      <c r="BJ9" s="88"/>
      <c r="BK9" s="84" t="e">
        <f t="shared" si="33"/>
        <v>#DIV/0!</v>
      </c>
      <c r="BL9" s="88">
        <f t="shared" si="34"/>
        <v>0</v>
      </c>
      <c r="BM9" s="88">
        <f t="shared" si="35"/>
        <v>0</v>
      </c>
      <c r="BN9" s="84" t="e">
        <f t="shared" si="36"/>
        <v>#DIV/0!</v>
      </c>
      <c r="BO9" s="80"/>
      <c r="BP9" s="80"/>
      <c r="BQ9" s="80">
        <v>0</v>
      </c>
      <c r="BR9" s="89" t="e">
        <f t="shared" si="37"/>
        <v>#DIV/0!</v>
      </c>
    </row>
    <row r="10" s="56" customFormat="1" customHeight="1" spans="1:70">
      <c r="A10" s="62" t="s">
        <v>416</v>
      </c>
      <c r="B10" s="63" t="s">
        <v>416</v>
      </c>
      <c r="C10" s="82" t="s">
        <v>428</v>
      </c>
      <c r="D10" s="83" t="s">
        <v>63</v>
      </c>
      <c r="E10" s="83" t="s">
        <v>58</v>
      </c>
      <c r="F10" s="271" t="s">
        <v>422</v>
      </c>
      <c r="G10" s="272" t="s">
        <v>422</v>
      </c>
      <c r="H10" s="63" t="s">
        <v>423</v>
      </c>
      <c r="I10" s="63">
        <v>30</v>
      </c>
      <c r="J10" s="80">
        <v>31886</v>
      </c>
      <c r="K10" s="80">
        <v>8110</v>
      </c>
      <c r="L10" s="84">
        <f t="shared" si="0"/>
        <v>-0.745656400928307</v>
      </c>
      <c r="M10" s="80">
        <v>23445</v>
      </c>
      <c r="N10" s="80"/>
      <c r="O10" s="84">
        <f t="shared" si="1"/>
        <v>-1</v>
      </c>
      <c r="P10" s="80">
        <f t="shared" si="2"/>
        <v>55331</v>
      </c>
      <c r="Q10" s="80">
        <f t="shared" si="3"/>
        <v>8110</v>
      </c>
      <c r="R10" s="84">
        <f t="shared" si="4"/>
        <v>-0.853427554173971</v>
      </c>
      <c r="S10" s="85"/>
      <c r="T10" s="85">
        <v>12629</v>
      </c>
      <c r="U10" s="84" t="e">
        <f t="shared" si="5"/>
        <v>#DIV/0!</v>
      </c>
      <c r="V10" s="86">
        <f t="shared" si="6"/>
        <v>55331</v>
      </c>
      <c r="W10" s="86">
        <f t="shared" si="7"/>
        <v>20739</v>
      </c>
      <c r="X10" s="84">
        <f t="shared" si="8"/>
        <v>-0.625182989644142</v>
      </c>
      <c r="Y10" s="80">
        <v>34450</v>
      </c>
      <c r="Z10" s="80">
        <v>11796</v>
      </c>
      <c r="AA10" s="84">
        <f t="shared" si="9"/>
        <v>-0.657590711175617</v>
      </c>
      <c r="AB10" s="80">
        <f t="shared" si="10"/>
        <v>89781</v>
      </c>
      <c r="AC10" s="80">
        <f t="shared" si="11"/>
        <v>32535</v>
      </c>
      <c r="AD10" s="84">
        <f t="shared" si="12"/>
        <v>-0.637618204297123</v>
      </c>
      <c r="AE10" s="80">
        <v>22509</v>
      </c>
      <c r="AF10" s="80">
        <v>1799</v>
      </c>
      <c r="AG10" s="84">
        <f t="shared" si="13"/>
        <v>-0.920076413878893</v>
      </c>
      <c r="AH10" s="80">
        <f t="shared" si="14"/>
        <v>112290</v>
      </c>
      <c r="AI10" s="80">
        <f t="shared" si="15"/>
        <v>34334</v>
      </c>
      <c r="AJ10" s="84">
        <f t="shared" si="16"/>
        <v>-0.694238133404577</v>
      </c>
      <c r="AK10" s="87">
        <v>14050</v>
      </c>
      <c r="AL10" s="87">
        <v>28857</v>
      </c>
      <c r="AM10" s="84">
        <f t="shared" si="17"/>
        <v>1.05387900355872</v>
      </c>
      <c r="AN10" s="87">
        <f t="shared" si="18"/>
        <v>126340</v>
      </c>
      <c r="AO10" s="87">
        <f t="shared" si="19"/>
        <v>63191</v>
      </c>
      <c r="AP10" s="84">
        <f t="shared" si="20"/>
        <v>-0.499833781858477</v>
      </c>
      <c r="AQ10" s="85"/>
      <c r="AR10" s="85">
        <v>16191</v>
      </c>
      <c r="AS10" s="84" t="e">
        <f t="shared" si="21"/>
        <v>#DIV/0!</v>
      </c>
      <c r="AT10" s="85">
        <f t="shared" si="22"/>
        <v>126340</v>
      </c>
      <c r="AU10" s="85">
        <f t="shared" si="23"/>
        <v>79382</v>
      </c>
      <c r="AV10" s="84">
        <f t="shared" si="24"/>
        <v>-0.371679594744341</v>
      </c>
      <c r="AW10" s="80">
        <v>28496</v>
      </c>
      <c r="AX10" s="80">
        <v>7813</v>
      </c>
      <c r="AY10" s="84">
        <f t="shared" si="25"/>
        <v>-0.725821167883212</v>
      </c>
      <c r="AZ10" s="80">
        <f t="shared" si="26"/>
        <v>154836</v>
      </c>
      <c r="BA10" s="80">
        <f t="shared" si="27"/>
        <v>87195</v>
      </c>
      <c r="BB10" s="84">
        <f t="shared" si="28"/>
        <v>-0.436855769975975</v>
      </c>
      <c r="BC10" s="80">
        <v>34011</v>
      </c>
      <c r="BD10" s="80">
        <v>31750</v>
      </c>
      <c r="BE10" s="84">
        <f t="shared" si="29"/>
        <v>-0.0664784922525066</v>
      </c>
      <c r="BF10" s="80">
        <f t="shared" si="30"/>
        <v>188847</v>
      </c>
      <c r="BG10" s="80">
        <f t="shared" si="31"/>
        <v>118945</v>
      </c>
      <c r="BH10" s="84">
        <f t="shared" si="32"/>
        <v>-0.370151498302859</v>
      </c>
      <c r="BI10" s="88"/>
      <c r="BJ10" s="88">
        <v>5771</v>
      </c>
      <c r="BK10" s="84" t="e">
        <f t="shared" si="33"/>
        <v>#DIV/0!</v>
      </c>
      <c r="BL10" s="88">
        <f t="shared" si="34"/>
        <v>188847</v>
      </c>
      <c r="BM10" s="88">
        <f t="shared" si="35"/>
        <v>124716</v>
      </c>
      <c r="BN10" s="84">
        <f t="shared" si="36"/>
        <v>-0.339592368425233</v>
      </c>
      <c r="BO10" s="80">
        <v>46970</v>
      </c>
      <c r="BP10" s="80">
        <v>47627</v>
      </c>
      <c r="BQ10" s="80">
        <v>283444</v>
      </c>
      <c r="BR10" s="89">
        <f t="shared" si="37"/>
        <v>0.41572</v>
      </c>
    </row>
    <row r="11" s="56" customFormat="1" customHeight="1" spans="1:70">
      <c r="A11" s="62" t="s">
        <v>416</v>
      </c>
      <c r="B11" s="63" t="s">
        <v>416</v>
      </c>
      <c r="C11" s="91" t="s">
        <v>429</v>
      </c>
      <c r="D11" s="83" t="s">
        <v>81</v>
      </c>
      <c r="E11" s="83" t="s">
        <v>81</v>
      </c>
      <c r="F11" s="83" t="s">
        <v>430</v>
      </c>
      <c r="G11" s="63" t="s">
        <v>82</v>
      </c>
      <c r="H11" s="63"/>
      <c r="I11" s="63"/>
      <c r="J11" s="80"/>
      <c r="K11" s="80"/>
      <c r="L11" s="84" t="e">
        <f t="shared" si="0"/>
        <v>#DIV/0!</v>
      </c>
      <c r="M11" s="80"/>
      <c r="N11" s="80"/>
      <c r="O11" s="84" t="e">
        <f t="shared" si="1"/>
        <v>#DIV/0!</v>
      </c>
      <c r="P11" s="80">
        <f t="shared" si="2"/>
        <v>0</v>
      </c>
      <c r="Q11" s="80">
        <f t="shared" si="3"/>
        <v>0</v>
      </c>
      <c r="R11" s="84" t="e">
        <f t="shared" si="4"/>
        <v>#DIV/0!</v>
      </c>
      <c r="S11" s="85"/>
      <c r="T11" s="85"/>
      <c r="U11" s="84" t="e">
        <f t="shared" si="5"/>
        <v>#DIV/0!</v>
      </c>
      <c r="V11" s="86">
        <f t="shared" si="6"/>
        <v>0</v>
      </c>
      <c r="W11" s="86">
        <f t="shared" si="7"/>
        <v>0</v>
      </c>
      <c r="X11" s="84" t="e">
        <f t="shared" si="8"/>
        <v>#DIV/0!</v>
      </c>
      <c r="Y11" s="80"/>
      <c r="Z11" s="80"/>
      <c r="AA11" s="84" t="e">
        <f t="shared" si="9"/>
        <v>#DIV/0!</v>
      </c>
      <c r="AB11" s="80">
        <f t="shared" si="10"/>
        <v>0</v>
      </c>
      <c r="AC11" s="80">
        <f t="shared" si="11"/>
        <v>0</v>
      </c>
      <c r="AD11" s="84" t="e">
        <f t="shared" si="12"/>
        <v>#DIV/0!</v>
      </c>
      <c r="AE11" s="80"/>
      <c r="AF11" s="80"/>
      <c r="AG11" s="84" t="e">
        <f t="shared" si="13"/>
        <v>#DIV/0!</v>
      </c>
      <c r="AH11" s="80">
        <f t="shared" si="14"/>
        <v>0</v>
      </c>
      <c r="AI11" s="80">
        <f t="shared" si="15"/>
        <v>0</v>
      </c>
      <c r="AJ11" s="84" t="e">
        <f t="shared" si="16"/>
        <v>#DIV/0!</v>
      </c>
      <c r="AK11" s="87"/>
      <c r="AL11" s="87"/>
      <c r="AM11" s="84" t="e">
        <f t="shared" si="17"/>
        <v>#DIV/0!</v>
      </c>
      <c r="AN11" s="87">
        <f t="shared" si="18"/>
        <v>0</v>
      </c>
      <c r="AO11" s="87">
        <f t="shared" si="19"/>
        <v>0</v>
      </c>
      <c r="AP11" s="84" t="e">
        <f t="shared" si="20"/>
        <v>#DIV/0!</v>
      </c>
      <c r="AQ11" s="85"/>
      <c r="AR11" s="85"/>
      <c r="AS11" s="84" t="e">
        <f t="shared" si="21"/>
        <v>#DIV/0!</v>
      </c>
      <c r="AT11" s="85">
        <f t="shared" si="22"/>
        <v>0</v>
      </c>
      <c r="AU11" s="85">
        <f t="shared" si="23"/>
        <v>0</v>
      </c>
      <c r="AV11" s="84" t="e">
        <f t="shared" si="24"/>
        <v>#DIV/0!</v>
      </c>
      <c r="AW11" s="80"/>
      <c r="AX11" s="80"/>
      <c r="AY11" s="84" t="e">
        <f t="shared" si="25"/>
        <v>#DIV/0!</v>
      </c>
      <c r="AZ11" s="80">
        <f t="shared" si="26"/>
        <v>0</v>
      </c>
      <c r="BA11" s="80">
        <f t="shared" si="27"/>
        <v>0</v>
      </c>
      <c r="BB11" s="84" t="e">
        <f t="shared" si="28"/>
        <v>#DIV/0!</v>
      </c>
      <c r="BC11" s="80"/>
      <c r="BD11" s="80"/>
      <c r="BE11" s="84" t="e">
        <f t="shared" si="29"/>
        <v>#DIV/0!</v>
      </c>
      <c r="BF11" s="80">
        <f t="shared" si="30"/>
        <v>0</v>
      </c>
      <c r="BG11" s="80">
        <f t="shared" si="31"/>
        <v>0</v>
      </c>
      <c r="BH11" s="84" t="e">
        <f t="shared" si="32"/>
        <v>#DIV/0!</v>
      </c>
      <c r="BI11" s="88"/>
      <c r="BJ11" s="88"/>
      <c r="BK11" s="84" t="e">
        <f t="shared" si="33"/>
        <v>#DIV/0!</v>
      </c>
      <c r="BL11" s="88">
        <f t="shared" si="34"/>
        <v>0</v>
      </c>
      <c r="BM11" s="88">
        <f t="shared" si="35"/>
        <v>0</v>
      </c>
      <c r="BN11" s="84" t="e">
        <f t="shared" si="36"/>
        <v>#DIV/0!</v>
      </c>
      <c r="BO11" s="80"/>
      <c r="BP11" s="80"/>
      <c r="BQ11" s="80">
        <v>0</v>
      </c>
      <c r="BR11" s="89" t="e">
        <f t="shared" si="37"/>
        <v>#DIV/0!</v>
      </c>
    </row>
    <row r="12" s="56" customFormat="1" customHeight="1" spans="1:70">
      <c r="A12" s="62" t="s">
        <v>416</v>
      </c>
      <c r="B12" s="63" t="s">
        <v>416</v>
      </c>
      <c r="C12" s="91" t="s">
        <v>431</v>
      </c>
      <c r="D12" s="83" t="s">
        <v>58</v>
      </c>
      <c r="E12" s="83" t="s">
        <v>58</v>
      </c>
      <c r="F12" s="271" t="s">
        <v>422</v>
      </c>
      <c r="G12" s="272" t="s">
        <v>422</v>
      </c>
      <c r="H12" s="63" t="s">
        <v>423</v>
      </c>
      <c r="I12" s="63">
        <v>60</v>
      </c>
      <c r="J12" s="80">
        <v>39949.6</v>
      </c>
      <c r="K12" s="80">
        <v>48502.36</v>
      </c>
      <c r="L12" s="84">
        <f t="shared" si="0"/>
        <v>0.214088751827302</v>
      </c>
      <c r="M12" s="80">
        <v>53457.4</v>
      </c>
      <c r="N12" s="80"/>
      <c r="O12" s="84">
        <f t="shared" si="1"/>
        <v>-1</v>
      </c>
      <c r="P12" s="80">
        <f t="shared" si="2"/>
        <v>93407</v>
      </c>
      <c r="Q12" s="80">
        <f t="shared" si="3"/>
        <v>48502.36</v>
      </c>
      <c r="R12" s="84">
        <f t="shared" si="4"/>
        <v>-0.480741700300834</v>
      </c>
      <c r="S12" s="85">
        <v>3511.2</v>
      </c>
      <c r="T12" s="85">
        <v>58906.72</v>
      </c>
      <c r="U12" s="84">
        <f t="shared" si="5"/>
        <v>15.7768056504899</v>
      </c>
      <c r="V12" s="86">
        <f t="shared" si="6"/>
        <v>96918.2</v>
      </c>
      <c r="W12" s="86">
        <f t="shared" si="7"/>
        <v>107409.08</v>
      </c>
      <c r="X12" s="84">
        <f t="shared" si="8"/>
        <v>0.108244684692865</v>
      </c>
      <c r="Y12" s="80"/>
      <c r="Z12" s="80">
        <v>111364.2</v>
      </c>
      <c r="AA12" s="84" t="e">
        <f t="shared" si="9"/>
        <v>#DIV/0!</v>
      </c>
      <c r="AB12" s="80">
        <f t="shared" si="10"/>
        <v>96918.2</v>
      </c>
      <c r="AC12" s="80">
        <f t="shared" si="11"/>
        <v>218773.28</v>
      </c>
      <c r="AD12" s="84">
        <f t="shared" si="12"/>
        <v>1.25729821643406</v>
      </c>
      <c r="AE12" s="80">
        <v>12352.88</v>
      </c>
      <c r="AF12" s="80"/>
      <c r="AG12" s="84">
        <f t="shared" si="13"/>
        <v>-1</v>
      </c>
      <c r="AH12" s="80">
        <f t="shared" si="14"/>
        <v>109271.08</v>
      </c>
      <c r="AI12" s="80">
        <f t="shared" si="15"/>
        <v>218773.28</v>
      </c>
      <c r="AJ12" s="84">
        <f t="shared" si="16"/>
        <v>1.00211510676018</v>
      </c>
      <c r="AK12" s="87">
        <v>29376.8</v>
      </c>
      <c r="AL12" s="87">
        <v>12125.48</v>
      </c>
      <c r="AM12" s="84">
        <f t="shared" si="17"/>
        <v>-0.587242994471828</v>
      </c>
      <c r="AN12" s="87">
        <f t="shared" si="18"/>
        <v>138647.88</v>
      </c>
      <c r="AO12" s="87">
        <f t="shared" si="19"/>
        <v>230898.76</v>
      </c>
      <c r="AP12" s="84">
        <f t="shared" si="20"/>
        <v>0.665360912839057</v>
      </c>
      <c r="AQ12" s="85">
        <v>40735.76</v>
      </c>
      <c r="AR12" s="85">
        <v>40795.2</v>
      </c>
      <c r="AS12" s="84">
        <f t="shared" si="21"/>
        <v>0.00145916020714965</v>
      </c>
      <c r="AT12" s="85">
        <f t="shared" si="22"/>
        <v>179383.64</v>
      </c>
      <c r="AU12" s="85">
        <f t="shared" si="23"/>
        <v>271693.96</v>
      </c>
      <c r="AV12" s="84">
        <f t="shared" si="24"/>
        <v>0.514597206300418</v>
      </c>
      <c r="AW12" s="80"/>
      <c r="AX12" s="80">
        <v>35606.44</v>
      </c>
      <c r="AY12" s="84" t="e">
        <f t="shared" si="25"/>
        <v>#DIV/0!</v>
      </c>
      <c r="AZ12" s="80">
        <f t="shared" si="26"/>
        <v>179383.64</v>
      </c>
      <c r="BA12" s="80">
        <f t="shared" si="27"/>
        <v>307300.4</v>
      </c>
      <c r="BB12" s="84">
        <f t="shared" si="28"/>
        <v>0.713090446821126</v>
      </c>
      <c r="BC12" s="80">
        <v>2182.44</v>
      </c>
      <c r="BD12" s="80"/>
      <c r="BE12" s="84">
        <f t="shared" si="29"/>
        <v>-1</v>
      </c>
      <c r="BF12" s="80">
        <f t="shared" si="30"/>
        <v>181566.08</v>
      </c>
      <c r="BG12" s="80">
        <f t="shared" si="31"/>
        <v>307300.4</v>
      </c>
      <c r="BH12" s="84">
        <f t="shared" si="32"/>
        <v>0.692498951345978</v>
      </c>
      <c r="BI12" s="88">
        <v>25531.6</v>
      </c>
      <c r="BJ12" s="88">
        <v>29952</v>
      </c>
      <c r="BK12" s="84">
        <f t="shared" si="33"/>
        <v>0.173134468658447</v>
      </c>
      <c r="BL12" s="88">
        <f t="shared" si="34"/>
        <v>207097.68</v>
      </c>
      <c r="BM12" s="88">
        <f t="shared" si="35"/>
        <v>337252.4</v>
      </c>
      <c r="BN12" s="84">
        <f t="shared" si="36"/>
        <v>0.628470198217576</v>
      </c>
      <c r="BO12" s="80">
        <v>54562.52</v>
      </c>
      <c r="BP12" s="80">
        <v>68115.92</v>
      </c>
      <c r="BQ12" s="80">
        <v>329776.12</v>
      </c>
      <c r="BR12" s="89">
        <f t="shared" si="37"/>
        <v>0.562087333333333</v>
      </c>
    </row>
    <row r="13" s="56" customFormat="1" customHeight="1" spans="1:70">
      <c r="A13" s="62" t="s">
        <v>416</v>
      </c>
      <c r="B13" s="63" t="s">
        <v>416</v>
      </c>
      <c r="C13" s="82" t="s">
        <v>432</v>
      </c>
      <c r="D13" s="83" t="s">
        <v>63</v>
      </c>
      <c r="E13" s="83" t="s">
        <v>63</v>
      </c>
      <c r="F13" s="271" t="s">
        <v>433</v>
      </c>
      <c r="G13" s="272" t="s">
        <v>433</v>
      </c>
      <c r="H13" s="63" t="s">
        <v>419</v>
      </c>
      <c r="I13" s="63"/>
      <c r="J13" s="80"/>
      <c r="K13" s="80"/>
      <c r="L13" s="84" t="e">
        <f t="shared" si="0"/>
        <v>#DIV/0!</v>
      </c>
      <c r="M13" s="80"/>
      <c r="N13" s="80"/>
      <c r="O13" s="84" t="e">
        <f t="shared" si="1"/>
        <v>#DIV/0!</v>
      </c>
      <c r="P13" s="80">
        <f t="shared" si="2"/>
        <v>0</v>
      </c>
      <c r="Q13" s="80">
        <f t="shared" si="3"/>
        <v>0</v>
      </c>
      <c r="R13" s="84" t="e">
        <f t="shared" si="4"/>
        <v>#DIV/0!</v>
      </c>
      <c r="S13" s="85"/>
      <c r="T13" s="85"/>
      <c r="U13" s="84" t="e">
        <f t="shared" si="5"/>
        <v>#DIV/0!</v>
      </c>
      <c r="V13" s="86">
        <f t="shared" si="6"/>
        <v>0</v>
      </c>
      <c r="W13" s="86">
        <f t="shared" si="7"/>
        <v>0</v>
      </c>
      <c r="X13" s="84" t="e">
        <f t="shared" si="8"/>
        <v>#DIV/0!</v>
      </c>
      <c r="Y13" s="80"/>
      <c r="Z13" s="80"/>
      <c r="AA13" s="84" t="e">
        <f t="shared" si="9"/>
        <v>#DIV/0!</v>
      </c>
      <c r="AB13" s="80">
        <f t="shared" si="10"/>
        <v>0</v>
      </c>
      <c r="AC13" s="80">
        <f t="shared" si="11"/>
        <v>0</v>
      </c>
      <c r="AD13" s="84" t="e">
        <f t="shared" si="12"/>
        <v>#DIV/0!</v>
      </c>
      <c r="AE13" s="80">
        <v>8890</v>
      </c>
      <c r="AF13" s="80"/>
      <c r="AG13" s="84">
        <f t="shared" si="13"/>
        <v>-1</v>
      </c>
      <c r="AH13" s="80">
        <f t="shared" si="14"/>
        <v>8890</v>
      </c>
      <c r="AI13" s="80">
        <f t="shared" si="15"/>
        <v>0</v>
      </c>
      <c r="AJ13" s="84">
        <f t="shared" si="16"/>
        <v>-1</v>
      </c>
      <c r="AK13" s="87"/>
      <c r="AL13" s="87"/>
      <c r="AM13" s="84" t="e">
        <f t="shared" si="17"/>
        <v>#DIV/0!</v>
      </c>
      <c r="AN13" s="87">
        <f t="shared" si="18"/>
        <v>8890</v>
      </c>
      <c r="AO13" s="87">
        <f t="shared" si="19"/>
        <v>0</v>
      </c>
      <c r="AP13" s="84">
        <f t="shared" si="20"/>
        <v>-1</v>
      </c>
      <c r="AQ13" s="85"/>
      <c r="AR13" s="85"/>
      <c r="AS13" s="84" t="e">
        <f t="shared" si="21"/>
        <v>#DIV/0!</v>
      </c>
      <c r="AT13" s="85">
        <f t="shared" si="22"/>
        <v>8890</v>
      </c>
      <c r="AU13" s="85">
        <f t="shared" si="23"/>
        <v>0</v>
      </c>
      <c r="AV13" s="84">
        <f t="shared" si="24"/>
        <v>-1</v>
      </c>
      <c r="AW13" s="80"/>
      <c r="AX13" s="80"/>
      <c r="AY13" s="84" t="e">
        <f t="shared" si="25"/>
        <v>#DIV/0!</v>
      </c>
      <c r="AZ13" s="80">
        <f t="shared" si="26"/>
        <v>8890</v>
      </c>
      <c r="BA13" s="80">
        <f t="shared" si="27"/>
        <v>0</v>
      </c>
      <c r="BB13" s="84">
        <f t="shared" si="28"/>
        <v>-1</v>
      </c>
      <c r="BC13" s="80"/>
      <c r="BD13" s="80"/>
      <c r="BE13" s="84" t="e">
        <f t="shared" si="29"/>
        <v>#DIV/0!</v>
      </c>
      <c r="BF13" s="80">
        <f t="shared" si="30"/>
        <v>8890</v>
      </c>
      <c r="BG13" s="80">
        <f t="shared" si="31"/>
        <v>0</v>
      </c>
      <c r="BH13" s="84">
        <f t="shared" si="32"/>
        <v>-1</v>
      </c>
      <c r="BI13" s="88"/>
      <c r="BJ13" s="88"/>
      <c r="BK13" s="84" t="e">
        <f t="shared" si="33"/>
        <v>#DIV/0!</v>
      </c>
      <c r="BL13" s="88">
        <f t="shared" si="34"/>
        <v>8890</v>
      </c>
      <c r="BM13" s="88">
        <f t="shared" si="35"/>
        <v>0</v>
      </c>
      <c r="BN13" s="84">
        <f t="shared" si="36"/>
        <v>-1</v>
      </c>
      <c r="BO13" s="80"/>
      <c r="BP13" s="80"/>
      <c r="BQ13" s="80">
        <v>8890</v>
      </c>
      <c r="BR13" s="89" t="e">
        <f t="shared" si="37"/>
        <v>#DIV/0!</v>
      </c>
    </row>
    <row r="14" s="56" customFormat="1" customHeight="1" spans="1:70">
      <c r="A14" s="62" t="s">
        <v>416</v>
      </c>
      <c r="B14" s="63" t="s">
        <v>416</v>
      </c>
      <c r="C14" s="82" t="s">
        <v>434</v>
      </c>
      <c r="D14" s="83" t="s">
        <v>63</v>
      </c>
      <c r="E14" s="83" t="s">
        <v>58</v>
      </c>
      <c r="F14" s="271" t="s">
        <v>418</v>
      </c>
      <c r="G14" s="272" t="s">
        <v>418</v>
      </c>
      <c r="H14" s="63" t="s">
        <v>419</v>
      </c>
      <c r="I14" s="63">
        <v>50</v>
      </c>
      <c r="J14" s="80">
        <v>50000</v>
      </c>
      <c r="K14" s="80">
        <v>100000</v>
      </c>
      <c r="L14" s="84">
        <f t="shared" si="0"/>
        <v>1</v>
      </c>
      <c r="M14" s="80"/>
      <c r="N14" s="80">
        <v>100000</v>
      </c>
      <c r="O14" s="84" t="e">
        <f t="shared" si="1"/>
        <v>#DIV/0!</v>
      </c>
      <c r="P14" s="80">
        <f t="shared" si="2"/>
        <v>50000</v>
      </c>
      <c r="Q14" s="80">
        <f t="shared" si="3"/>
        <v>200000</v>
      </c>
      <c r="R14" s="84">
        <f t="shared" si="4"/>
        <v>3</v>
      </c>
      <c r="S14" s="85">
        <v>20000</v>
      </c>
      <c r="T14" s="85">
        <v>50000</v>
      </c>
      <c r="U14" s="84">
        <f t="shared" si="5"/>
        <v>1.5</v>
      </c>
      <c r="V14" s="86">
        <f t="shared" si="6"/>
        <v>70000</v>
      </c>
      <c r="W14" s="86">
        <f t="shared" si="7"/>
        <v>250000</v>
      </c>
      <c r="X14" s="84">
        <f t="shared" si="8"/>
        <v>2.57142857142857</v>
      </c>
      <c r="Y14" s="80"/>
      <c r="Z14" s="80">
        <v>30000</v>
      </c>
      <c r="AA14" s="84" t="e">
        <f t="shared" si="9"/>
        <v>#DIV/0!</v>
      </c>
      <c r="AB14" s="80">
        <f t="shared" si="10"/>
        <v>70000</v>
      </c>
      <c r="AC14" s="80">
        <f t="shared" si="11"/>
        <v>280000</v>
      </c>
      <c r="AD14" s="84">
        <f t="shared" si="12"/>
        <v>3</v>
      </c>
      <c r="AE14" s="80">
        <v>30000</v>
      </c>
      <c r="AF14" s="80">
        <v>30000</v>
      </c>
      <c r="AG14" s="84">
        <f t="shared" si="13"/>
        <v>0</v>
      </c>
      <c r="AH14" s="80">
        <f t="shared" si="14"/>
        <v>100000</v>
      </c>
      <c r="AI14" s="80">
        <f t="shared" si="15"/>
        <v>310000</v>
      </c>
      <c r="AJ14" s="84">
        <f t="shared" si="16"/>
        <v>2.1</v>
      </c>
      <c r="AK14" s="87">
        <v>60000</v>
      </c>
      <c r="AL14" s="87">
        <v>50000</v>
      </c>
      <c r="AM14" s="84">
        <f t="shared" si="17"/>
        <v>-0.166666666666667</v>
      </c>
      <c r="AN14" s="87">
        <f t="shared" si="18"/>
        <v>160000</v>
      </c>
      <c r="AO14" s="87">
        <f t="shared" si="19"/>
        <v>360000</v>
      </c>
      <c r="AP14" s="84">
        <f t="shared" si="20"/>
        <v>1.25</v>
      </c>
      <c r="AQ14" s="85">
        <v>100000</v>
      </c>
      <c r="AR14" s="85">
        <v>261015</v>
      </c>
      <c r="AS14" s="84">
        <f t="shared" si="21"/>
        <v>1.61015</v>
      </c>
      <c r="AT14" s="85">
        <f t="shared" si="22"/>
        <v>260000</v>
      </c>
      <c r="AU14" s="85">
        <f t="shared" si="23"/>
        <v>621015</v>
      </c>
      <c r="AV14" s="84">
        <f t="shared" si="24"/>
        <v>1.38851923076923</v>
      </c>
      <c r="AW14" s="80">
        <v>183</v>
      </c>
      <c r="AX14" s="80"/>
      <c r="AY14" s="84">
        <f t="shared" si="25"/>
        <v>-1</v>
      </c>
      <c r="AZ14" s="80">
        <f t="shared" si="26"/>
        <v>260183</v>
      </c>
      <c r="BA14" s="80">
        <f t="shared" si="27"/>
        <v>621015</v>
      </c>
      <c r="BB14" s="84">
        <f t="shared" si="28"/>
        <v>1.38683926313402</v>
      </c>
      <c r="BC14" s="80">
        <v>64720</v>
      </c>
      <c r="BD14" s="80">
        <v>80000</v>
      </c>
      <c r="BE14" s="84">
        <f t="shared" si="29"/>
        <v>0.236093943139679</v>
      </c>
      <c r="BF14" s="80">
        <f t="shared" si="30"/>
        <v>324903</v>
      </c>
      <c r="BG14" s="80">
        <f t="shared" si="31"/>
        <v>701015</v>
      </c>
      <c r="BH14" s="84">
        <f t="shared" si="32"/>
        <v>1.15761319532291</v>
      </c>
      <c r="BI14" s="88">
        <v>170000</v>
      </c>
      <c r="BJ14" s="88">
        <v>10000</v>
      </c>
      <c r="BK14" s="84">
        <f t="shared" si="33"/>
        <v>-0.941176470588235</v>
      </c>
      <c r="BL14" s="88">
        <f t="shared" si="34"/>
        <v>494903</v>
      </c>
      <c r="BM14" s="88">
        <f t="shared" si="35"/>
        <v>711015</v>
      </c>
      <c r="BN14" s="84">
        <f t="shared" si="36"/>
        <v>0.436675469738514</v>
      </c>
      <c r="BO14" s="80">
        <v>100000</v>
      </c>
      <c r="BP14" s="80">
        <v>210000</v>
      </c>
      <c r="BQ14" s="80">
        <v>804903</v>
      </c>
      <c r="BR14" s="89">
        <f t="shared" si="37"/>
        <v>1.42203</v>
      </c>
    </row>
    <row r="15" s="56" customFormat="1" customHeight="1" spans="1:70">
      <c r="A15" s="62" t="s">
        <v>416</v>
      </c>
      <c r="B15" s="63" t="s">
        <v>416</v>
      </c>
      <c r="C15" s="82" t="s">
        <v>435</v>
      </c>
      <c r="D15" s="83" t="s">
        <v>63</v>
      </c>
      <c r="E15" s="83" t="s">
        <v>63</v>
      </c>
      <c r="F15" s="271" t="s">
        <v>436</v>
      </c>
      <c r="G15" s="272" t="s">
        <v>436</v>
      </c>
      <c r="H15" s="63" t="s">
        <v>437</v>
      </c>
      <c r="I15" s="63"/>
      <c r="J15" s="80"/>
      <c r="K15" s="80"/>
      <c r="L15" s="84" t="e">
        <f t="shared" si="0"/>
        <v>#DIV/0!</v>
      </c>
      <c r="M15" s="80"/>
      <c r="N15" s="80"/>
      <c r="O15" s="84" t="e">
        <f t="shared" si="1"/>
        <v>#DIV/0!</v>
      </c>
      <c r="P15" s="80">
        <f t="shared" si="2"/>
        <v>0</v>
      </c>
      <c r="Q15" s="80">
        <f t="shared" si="3"/>
        <v>0</v>
      </c>
      <c r="R15" s="84" t="e">
        <f t="shared" si="4"/>
        <v>#DIV/0!</v>
      </c>
      <c r="S15" s="85"/>
      <c r="T15" s="85"/>
      <c r="U15" s="84" t="e">
        <f t="shared" si="5"/>
        <v>#DIV/0!</v>
      </c>
      <c r="V15" s="86">
        <f t="shared" si="6"/>
        <v>0</v>
      </c>
      <c r="W15" s="86">
        <f t="shared" si="7"/>
        <v>0</v>
      </c>
      <c r="X15" s="84" t="e">
        <f t="shared" si="8"/>
        <v>#DIV/0!</v>
      </c>
      <c r="Y15" s="80"/>
      <c r="Z15" s="80"/>
      <c r="AA15" s="84" t="e">
        <f t="shared" si="9"/>
        <v>#DIV/0!</v>
      </c>
      <c r="AB15" s="80">
        <f t="shared" si="10"/>
        <v>0</v>
      </c>
      <c r="AC15" s="80">
        <f t="shared" si="11"/>
        <v>0</v>
      </c>
      <c r="AD15" s="84" t="e">
        <f t="shared" si="12"/>
        <v>#DIV/0!</v>
      </c>
      <c r="AE15" s="80"/>
      <c r="AF15" s="80"/>
      <c r="AG15" s="84" t="e">
        <f t="shared" si="13"/>
        <v>#DIV/0!</v>
      </c>
      <c r="AH15" s="80">
        <f t="shared" si="14"/>
        <v>0</v>
      </c>
      <c r="AI15" s="80">
        <f t="shared" si="15"/>
        <v>0</v>
      </c>
      <c r="AJ15" s="84" t="e">
        <f t="shared" si="16"/>
        <v>#DIV/0!</v>
      </c>
      <c r="AK15" s="87"/>
      <c r="AL15" s="87"/>
      <c r="AM15" s="84" t="e">
        <f t="shared" si="17"/>
        <v>#DIV/0!</v>
      </c>
      <c r="AN15" s="87">
        <f t="shared" si="18"/>
        <v>0</v>
      </c>
      <c r="AO15" s="87">
        <f t="shared" si="19"/>
        <v>0</v>
      </c>
      <c r="AP15" s="84" t="e">
        <f t="shared" si="20"/>
        <v>#DIV/0!</v>
      </c>
      <c r="AQ15" s="85"/>
      <c r="AR15" s="85"/>
      <c r="AS15" s="84" t="e">
        <f t="shared" si="21"/>
        <v>#DIV/0!</v>
      </c>
      <c r="AT15" s="85">
        <f t="shared" si="22"/>
        <v>0</v>
      </c>
      <c r="AU15" s="85">
        <f t="shared" si="23"/>
        <v>0</v>
      </c>
      <c r="AV15" s="84" t="e">
        <f t="shared" si="24"/>
        <v>#DIV/0!</v>
      </c>
      <c r="AW15" s="80"/>
      <c r="AX15" s="80"/>
      <c r="AY15" s="84" t="e">
        <f t="shared" si="25"/>
        <v>#DIV/0!</v>
      </c>
      <c r="AZ15" s="80">
        <f t="shared" si="26"/>
        <v>0</v>
      </c>
      <c r="BA15" s="80">
        <f t="shared" si="27"/>
        <v>0</v>
      </c>
      <c r="BB15" s="84" t="e">
        <f t="shared" si="28"/>
        <v>#DIV/0!</v>
      </c>
      <c r="BC15" s="80"/>
      <c r="BD15" s="80"/>
      <c r="BE15" s="84" t="e">
        <f t="shared" si="29"/>
        <v>#DIV/0!</v>
      </c>
      <c r="BF15" s="80">
        <f t="shared" si="30"/>
        <v>0</v>
      </c>
      <c r="BG15" s="80">
        <f t="shared" si="31"/>
        <v>0</v>
      </c>
      <c r="BH15" s="84" t="e">
        <f t="shared" si="32"/>
        <v>#DIV/0!</v>
      </c>
      <c r="BI15" s="88"/>
      <c r="BJ15" s="88"/>
      <c r="BK15" s="84" t="e">
        <f t="shared" si="33"/>
        <v>#DIV/0!</v>
      </c>
      <c r="BL15" s="88">
        <f t="shared" si="34"/>
        <v>0</v>
      </c>
      <c r="BM15" s="88">
        <f t="shared" si="35"/>
        <v>0</v>
      </c>
      <c r="BN15" s="84" t="e">
        <f t="shared" si="36"/>
        <v>#DIV/0!</v>
      </c>
      <c r="BO15" s="80"/>
      <c r="BP15" s="80"/>
      <c r="BQ15" s="80">
        <v>0</v>
      </c>
      <c r="BR15" s="89" t="e">
        <f t="shared" si="37"/>
        <v>#DIV/0!</v>
      </c>
    </row>
    <row r="16" s="56" customFormat="1" customHeight="1" spans="1:70">
      <c r="A16" s="62" t="s">
        <v>416</v>
      </c>
      <c r="B16" s="63" t="s">
        <v>416</v>
      </c>
      <c r="C16" s="82" t="s">
        <v>438</v>
      </c>
      <c r="D16" s="83" t="s">
        <v>86</v>
      </c>
      <c r="E16" s="83" t="s">
        <v>86</v>
      </c>
      <c r="F16" s="83" t="s">
        <v>430</v>
      </c>
      <c r="G16" s="272" t="s">
        <v>439</v>
      </c>
      <c r="H16" s="63" t="s">
        <v>419</v>
      </c>
      <c r="I16" s="63"/>
      <c r="J16" s="80">
        <v>19598</v>
      </c>
      <c r="K16" s="80"/>
      <c r="L16" s="84">
        <f t="shared" si="0"/>
        <v>-1</v>
      </c>
      <c r="M16" s="80"/>
      <c r="N16" s="80"/>
      <c r="O16" s="84" t="e">
        <f t="shared" si="1"/>
        <v>#DIV/0!</v>
      </c>
      <c r="P16" s="80">
        <f t="shared" si="2"/>
        <v>19598</v>
      </c>
      <c r="Q16" s="80">
        <f t="shared" si="3"/>
        <v>0</v>
      </c>
      <c r="R16" s="84">
        <f t="shared" si="4"/>
        <v>-1</v>
      </c>
      <c r="S16" s="85">
        <v>12126</v>
      </c>
      <c r="T16" s="85"/>
      <c r="U16" s="84">
        <f t="shared" si="5"/>
        <v>-1</v>
      </c>
      <c r="V16" s="86">
        <f t="shared" si="6"/>
        <v>31724</v>
      </c>
      <c r="W16" s="86">
        <f t="shared" si="7"/>
        <v>0</v>
      </c>
      <c r="X16" s="84">
        <f t="shared" si="8"/>
        <v>-1</v>
      </c>
      <c r="Y16" s="80">
        <v>8048</v>
      </c>
      <c r="Z16" s="80"/>
      <c r="AA16" s="84">
        <f t="shared" si="9"/>
        <v>-1</v>
      </c>
      <c r="AB16" s="80">
        <f t="shared" si="10"/>
        <v>39772</v>
      </c>
      <c r="AC16" s="80">
        <f t="shared" si="11"/>
        <v>0</v>
      </c>
      <c r="AD16" s="84">
        <f t="shared" si="12"/>
        <v>-1</v>
      </c>
      <c r="AE16" s="80"/>
      <c r="AF16" s="80"/>
      <c r="AG16" s="84" t="e">
        <f t="shared" si="13"/>
        <v>#DIV/0!</v>
      </c>
      <c r="AH16" s="80">
        <f t="shared" si="14"/>
        <v>39772</v>
      </c>
      <c r="AI16" s="80">
        <f t="shared" si="15"/>
        <v>0</v>
      </c>
      <c r="AJ16" s="84">
        <f t="shared" si="16"/>
        <v>-1</v>
      </c>
      <c r="AK16" s="87">
        <v>4100</v>
      </c>
      <c r="AL16" s="87"/>
      <c r="AM16" s="84">
        <f t="shared" si="17"/>
        <v>-1</v>
      </c>
      <c r="AN16" s="87">
        <f t="shared" si="18"/>
        <v>43872</v>
      </c>
      <c r="AO16" s="87">
        <f t="shared" si="19"/>
        <v>0</v>
      </c>
      <c r="AP16" s="84">
        <f t="shared" si="20"/>
        <v>-1</v>
      </c>
      <c r="AQ16" s="85">
        <v>12498</v>
      </c>
      <c r="AR16" s="85"/>
      <c r="AS16" s="84">
        <f t="shared" si="21"/>
        <v>-1</v>
      </c>
      <c r="AT16" s="85">
        <f t="shared" si="22"/>
        <v>56370</v>
      </c>
      <c r="AU16" s="85">
        <f t="shared" si="23"/>
        <v>0</v>
      </c>
      <c r="AV16" s="84">
        <f t="shared" si="24"/>
        <v>-1</v>
      </c>
      <c r="AW16" s="80"/>
      <c r="AX16" s="80"/>
      <c r="AY16" s="84" t="e">
        <f t="shared" si="25"/>
        <v>#DIV/0!</v>
      </c>
      <c r="AZ16" s="80">
        <f t="shared" si="26"/>
        <v>56370</v>
      </c>
      <c r="BA16" s="80">
        <f t="shared" si="27"/>
        <v>0</v>
      </c>
      <c r="BB16" s="84">
        <f t="shared" si="28"/>
        <v>-1</v>
      </c>
      <c r="BC16" s="80"/>
      <c r="BD16" s="80"/>
      <c r="BE16" s="84" t="e">
        <f t="shared" si="29"/>
        <v>#DIV/0!</v>
      </c>
      <c r="BF16" s="80">
        <f t="shared" si="30"/>
        <v>56370</v>
      </c>
      <c r="BG16" s="80">
        <f t="shared" si="31"/>
        <v>0</v>
      </c>
      <c r="BH16" s="84">
        <f t="shared" si="32"/>
        <v>-1</v>
      </c>
      <c r="BI16" s="88"/>
      <c r="BJ16" s="88"/>
      <c r="BK16" s="84" t="e">
        <f t="shared" si="33"/>
        <v>#DIV/0!</v>
      </c>
      <c r="BL16" s="88">
        <f t="shared" si="34"/>
        <v>56370</v>
      </c>
      <c r="BM16" s="88">
        <f t="shared" si="35"/>
        <v>0</v>
      </c>
      <c r="BN16" s="84">
        <f t="shared" si="36"/>
        <v>-1</v>
      </c>
      <c r="BO16" s="80"/>
      <c r="BP16" s="80"/>
      <c r="BQ16" s="80">
        <v>56370</v>
      </c>
      <c r="BR16" s="89" t="e">
        <f t="shared" si="37"/>
        <v>#DIV/0!</v>
      </c>
    </row>
    <row r="17" s="56" customFormat="1" customHeight="1" spans="1:70">
      <c r="A17" s="62" t="s">
        <v>416</v>
      </c>
      <c r="B17" s="63" t="s">
        <v>416</v>
      </c>
      <c r="C17" s="92" t="s">
        <v>440</v>
      </c>
      <c r="D17" s="83" t="s">
        <v>86</v>
      </c>
      <c r="E17" s="83" t="s">
        <v>86</v>
      </c>
      <c r="F17" s="271" t="s">
        <v>422</v>
      </c>
      <c r="G17" s="272" t="s">
        <v>422</v>
      </c>
      <c r="H17" s="63" t="s">
        <v>423</v>
      </c>
      <c r="I17" s="63"/>
      <c r="J17" s="80">
        <v>120138</v>
      </c>
      <c r="K17" s="80"/>
      <c r="L17" s="84">
        <f t="shared" si="0"/>
        <v>-1</v>
      </c>
      <c r="M17" s="80">
        <v>5300</v>
      </c>
      <c r="N17" s="80"/>
      <c r="O17" s="84">
        <f t="shared" si="1"/>
        <v>-1</v>
      </c>
      <c r="P17" s="80">
        <f t="shared" si="2"/>
        <v>125438</v>
      </c>
      <c r="Q17" s="80">
        <f t="shared" si="3"/>
        <v>0</v>
      </c>
      <c r="R17" s="84">
        <f t="shared" si="4"/>
        <v>-1</v>
      </c>
      <c r="S17" s="85">
        <v>42550</v>
      </c>
      <c r="T17" s="85"/>
      <c r="U17" s="84">
        <f t="shared" si="5"/>
        <v>-1</v>
      </c>
      <c r="V17" s="86">
        <f t="shared" si="6"/>
        <v>167988</v>
      </c>
      <c r="W17" s="86">
        <f t="shared" si="7"/>
        <v>0</v>
      </c>
      <c r="X17" s="84">
        <f t="shared" si="8"/>
        <v>-1</v>
      </c>
      <c r="Y17" s="80">
        <v>21498</v>
      </c>
      <c r="Z17" s="80"/>
      <c r="AA17" s="84">
        <f t="shared" si="9"/>
        <v>-1</v>
      </c>
      <c r="AB17" s="80">
        <f t="shared" si="10"/>
        <v>189486</v>
      </c>
      <c r="AC17" s="80">
        <f t="shared" si="11"/>
        <v>0</v>
      </c>
      <c r="AD17" s="84">
        <f t="shared" si="12"/>
        <v>-1</v>
      </c>
      <c r="AE17" s="80">
        <v>-5350</v>
      </c>
      <c r="AF17" s="80"/>
      <c r="AG17" s="84">
        <f t="shared" si="13"/>
        <v>-1</v>
      </c>
      <c r="AH17" s="80">
        <f t="shared" si="14"/>
        <v>184136</v>
      </c>
      <c r="AI17" s="80">
        <f t="shared" si="15"/>
        <v>0</v>
      </c>
      <c r="AJ17" s="84">
        <f t="shared" si="16"/>
        <v>-1</v>
      </c>
      <c r="AK17" s="87">
        <v>-5100</v>
      </c>
      <c r="AL17" s="87"/>
      <c r="AM17" s="84">
        <f t="shared" si="17"/>
        <v>-1</v>
      </c>
      <c r="AN17" s="87">
        <f t="shared" si="18"/>
        <v>179036</v>
      </c>
      <c r="AO17" s="87">
        <f t="shared" si="19"/>
        <v>0</v>
      </c>
      <c r="AP17" s="84">
        <f t="shared" si="20"/>
        <v>-1</v>
      </c>
      <c r="AQ17" s="85"/>
      <c r="AR17" s="85"/>
      <c r="AS17" s="84" t="e">
        <f t="shared" si="21"/>
        <v>#DIV/0!</v>
      </c>
      <c r="AT17" s="85">
        <f t="shared" si="22"/>
        <v>179036</v>
      </c>
      <c r="AU17" s="85">
        <f t="shared" si="23"/>
        <v>0</v>
      </c>
      <c r="AV17" s="84">
        <f t="shared" si="24"/>
        <v>-1</v>
      </c>
      <c r="AW17" s="80"/>
      <c r="AX17" s="80"/>
      <c r="AY17" s="84" t="e">
        <f t="shared" si="25"/>
        <v>#DIV/0!</v>
      </c>
      <c r="AZ17" s="80">
        <f t="shared" si="26"/>
        <v>179036</v>
      </c>
      <c r="BA17" s="80">
        <f t="shared" si="27"/>
        <v>0</v>
      </c>
      <c r="BB17" s="84">
        <f t="shared" si="28"/>
        <v>-1</v>
      </c>
      <c r="BC17" s="80"/>
      <c r="BD17" s="80"/>
      <c r="BE17" s="84" t="e">
        <f t="shared" si="29"/>
        <v>#DIV/0!</v>
      </c>
      <c r="BF17" s="80">
        <f t="shared" si="30"/>
        <v>179036</v>
      </c>
      <c r="BG17" s="80">
        <f t="shared" si="31"/>
        <v>0</v>
      </c>
      <c r="BH17" s="84">
        <f t="shared" si="32"/>
        <v>-1</v>
      </c>
      <c r="BI17" s="88"/>
      <c r="BJ17" s="88"/>
      <c r="BK17" s="84" t="e">
        <f t="shared" si="33"/>
        <v>#DIV/0!</v>
      </c>
      <c r="BL17" s="88">
        <f t="shared" si="34"/>
        <v>179036</v>
      </c>
      <c r="BM17" s="88">
        <f t="shared" si="35"/>
        <v>0</v>
      </c>
      <c r="BN17" s="84">
        <f t="shared" si="36"/>
        <v>-1</v>
      </c>
      <c r="BO17" s="80"/>
      <c r="BP17" s="80"/>
      <c r="BQ17" s="80">
        <v>179036</v>
      </c>
      <c r="BR17" s="89" t="e">
        <f t="shared" si="37"/>
        <v>#DIV/0!</v>
      </c>
    </row>
    <row r="18" s="56" customFormat="1" customHeight="1" spans="1:70">
      <c r="A18" s="62" t="s">
        <v>416</v>
      </c>
      <c r="B18" s="63" t="s">
        <v>416</v>
      </c>
      <c r="C18" s="93" t="s">
        <v>441</v>
      </c>
      <c r="D18" s="83" t="s">
        <v>63</v>
      </c>
      <c r="E18" s="83" t="s">
        <v>63</v>
      </c>
      <c r="F18" s="271" t="s">
        <v>433</v>
      </c>
      <c r="G18" s="272" t="s">
        <v>433</v>
      </c>
      <c r="H18" s="63" t="s">
        <v>419</v>
      </c>
      <c r="I18" s="63"/>
      <c r="J18" s="80">
        <v>30747</v>
      </c>
      <c r="K18" s="80"/>
      <c r="L18" s="84">
        <f t="shared" si="0"/>
        <v>-1</v>
      </c>
      <c r="M18" s="80"/>
      <c r="N18" s="80"/>
      <c r="O18" s="84" t="e">
        <f t="shared" si="1"/>
        <v>#DIV/0!</v>
      </c>
      <c r="P18" s="80">
        <f t="shared" si="2"/>
        <v>30747</v>
      </c>
      <c r="Q18" s="80">
        <f t="shared" si="3"/>
        <v>0</v>
      </c>
      <c r="R18" s="84">
        <f t="shared" si="4"/>
        <v>-1</v>
      </c>
      <c r="S18" s="85"/>
      <c r="T18" s="85"/>
      <c r="U18" s="84" t="e">
        <f t="shared" si="5"/>
        <v>#DIV/0!</v>
      </c>
      <c r="V18" s="86">
        <f t="shared" si="6"/>
        <v>30747</v>
      </c>
      <c r="W18" s="86">
        <f t="shared" si="7"/>
        <v>0</v>
      </c>
      <c r="X18" s="84">
        <f t="shared" si="8"/>
        <v>-1</v>
      </c>
      <c r="Y18" s="80"/>
      <c r="Z18" s="80"/>
      <c r="AA18" s="84" t="e">
        <f t="shared" si="9"/>
        <v>#DIV/0!</v>
      </c>
      <c r="AB18" s="80">
        <f t="shared" si="10"/>
        <v>30747</v>
      </c>
      <c r="AC18" s="80">
        <f t="shared" si="11"/>
        <v>0</v>
      </c>
      <c r="AD18" s="84">
        <f t="shared" si="12"/>
        <v>-1</v>
      </c>
      <c r="AE18" s="80"/>
      <c r="AF18" s="80"/>
      <c r="AG18" s="84" t="e">
        <f t="shared" si="13"/>
        <v>#DIV/0!</v>
      </c>
      <c r="AH18" s="80">
        <f t="shared" si="14"/>
        <v>30747</v>
      </c>
      <c r="AI18" s="80">
        <f t="shared" si="15"/>
        <v>0</v>
      </c>
      <c r="AJ18" s="84">
        <f t="shared" si="16"/>
        <v>-1</v>
      </c>
      <c r="AK18" s="87"/>
      <c r="AL18" s="87"/>
      <c r="AM18" s="84" t="e">
        <f t="shared" si="17"/>
        <v>#DIV/0!</v>
      </c>
      <c r="AN18" s="87">
        <f t="shared" si="18"/>
        <v>30747</v>
      </c>
      <c r="AO18" s="87">
        <f t="shared" si="19"/>
        <v>0</v>
      </c>
      <c r="AP18" s="84">
        <f t="shared" si="20"/>
        <v>-1</v>
      </c>
      <c r="AQ18" s="85"/>
      <c r="AR18" s="85"/>
      <c r="AS18" s="84" t="e">
        <f t="shared" si="21"/>
        <v>#DIV/0!</v>
      </c>
      <c r="AT18" s="85">
        <f t="shared" si="22"/>
        <v>30747</v>
      </c>
      <c r="AU18" s="85">
        <f t="shared" si="23"/>
        <v>0</v>
      </c>
      <c r="AV18" s="84">
        <f t="shared" si="24"/>
        <v>-1</v>
      </c>
      <c r="AW18" s="80"/>
      <c r="AX18" s="80"/>
      <c r="AY18" s="84" t="e">
        <f t="shared" si="25"/>
        <v>#DIV/0!</v>
      </c>
      <c r="AZ18" s="80">
        <f t="shared" si="26"/>
        <v>30747</v>
      </c>
      <c r="BA18" s="80">
        <f t="shared" si="27"/>
        <v>0</v>
      </c>
      <c r="BB18" s="84">
        <f t="shared" si="28"/>
        <v>-1</v>
      </c>
      <c r="BC18" s="80"/>
      <c r="BD18" s="80"/>
      <c r="BE18" s="84" t="e">
        <f t="shared" si="29"/>
        <v>#DIV/0!</v>
      </c>
      <c r="BF18" s="80">
        <f t="shared" si="30"/>
        <v>30747</v>
      </c>
      <c r="BG18" s="80">
        <f t="shared" si="31"/>
        <v>0</v>
      </c>
      <c r="BH18" s="84">
        <f t="shared" si="32"/>
        <v>-1</v>
      </c>
      <c r="BI18" s="88"/>
      <c r="BJ18" s="88"/>
      <c r="BK18" s="84" t="e">
        <f t="shared" si="33"/>
        <v>#DIV/0!</v>
      </c>
      <c r="BL18" s="88">
        <f t="shared" si="34"/>
        <v>30747</v>
      </c>
      <c r="BM18" s="88">
        <f t="shared" si="35"/>
        <v>0</v>
      </c>
      <c r="BN18" s="84">
        <f t="shared" si="36"/>
        <v>-1</v>
      </c>
      <c r="BO18" s="80"/>
      <c r="BP18" s="80"/>
      <c r="BQ18" s="80">
        <v>30747</v>
      </c>
      <c r="BR18" s="89" t="e">
        <f t="shared" si="37"/>
        <v>#DIV/0!</v>
      </c>
    </row>
    <row r="19" s="56" customFormat="1" customHeight="1" spans="1:70">
      <c r="A19" s="62" t="s">
        <v>416</v>
      </c>
      <c r="B19" s="63" t="s">
        <v>416</v>
      </c>
      <c r="C19" s="92" t="s">
        <v>442</v>
      </c>
      <c r="D19" s="83" t="s">
        <v>63</v>
      </c>
      <c r="E19" s="83" t="s">
        <v>63</v>
      </c>
      <c r="F19" s="271" t="s">
        <v>422</v>
      </c>
      <c r="G19" s="272" t="s">
        <v>422</v>
      </c>
      <c r="H19" s="63" t="s">
        <v>423</v>
      </c>
      <c r="I19" s="63"/>
      <c r="J19" s="80">
        <v>6935</v>
      </c>
      <c r="K19" s="80"/>
      <c r="L19" s="84">
        <f t="shared" si="0"/>
        <v>-1</v>
      </c>
      <c r="M19" s="80"/>
      <c r="N19" s="80"/>
      <c r="O19" s="84" t="e">
        <f t="shared" si="1"/>
        <v>#DIV/0!</v>
      </c>
      <c r="P19" s="80">
        <f t="shared" si="2"/>
        <v>6935</v>
      </c>
      <c r="Q19" s="80">
        <f t="shared" si="3"/>
        <v>0</v>
      </c>
      <c r="R19" s="84">
        <f t="shared" si="4"/>
        <v>-1</v>
      </c>
      <c r="S19" s="85">
        <v>1790</v>
      </c>
      <c r="T19" s="85"/>
      <c r="U19" s="84">
        <f t="shared" si="5"/>
        <v>-1</v>
      </c>
      <c r="V19" s="86">
        <f t="shared" si="6"/>
        <v>8725</v>
      </c>
      <c r="W19" s="86">
        <f t="shared" si="7"/>
        <v>0</v>
      </c>
      <c r="X19" s="84">
        <f t="shared" si="8"/>
        <v>-1</v>
      </c>
      <c r="Y19" s="80">
        <v>3360</v>
      </c>
      <c r="Z19" s="80"/>
      <c r="AA19" s="84">
        <f t="shared" si="9"/>
        <v>-1</v>
      </c>
      <c r="AB19" s="80">
        <f t="shared" si="10"/>
        <v>12085</v>
      </c>
      <c r="AC19" s="80">
        <f t="shared" si="11"/>
        <v>0</v>
      </c>
      <c r="AD19" s="84">
        <f t="shared" si="12"/>
        <v>-1</v>
      </c>
      <c r="AE19" s="80"/>
      <c r="AF19" s="80"/>
      <c r="AG19" s="84" t="e">
        <f t="shared" si="13"/>
        <v>#DIV/0!</v>
      </c>
      <c r="AH19" s="80">
        <f t="shared" si="14"/>
        <v>12085</v>
      </c>
      <c r="AI19" s="80">
        <f t="shared" si="15"/>
        <v>0</v>
      </c>
      <c r="AJ19" s="84">
        <f t="shared" si="16"/>
        <v>-1</v>
      </c>
      <c r="AK19" s="87"/>
      <c r="AL19" s="87"/>
      <c r="AM19" s="84" t="e">
        <f t="shared" si="17"/>
        <v>#DIV/0!</v>
      </c>
      <c r="AN19" s="87">
        <f t="shared" si="18"/>
        <v>12085</v>
      </c>
      <c r="AO19" s="87">
        <f t="shared" si="19"/>
        <v>0</v>
      </c>
      <c r="AP19" s="84">
        <f t="shared" si="20"/>
        <v>-1</v>
      </c>
      <c r="AQ19" s="85"/>
      <c r="AR19" s="85"/>
      <c r="AS19" s="84" t="e">
        <f t="shared" si="21"/>
        <v>#DIV/0!</v>
      </c>
      <c r="AT19" s="85">
        <f t="shared" si="22"/>
        <v>12085</v>
      </c>
      <c r="AU19" s="85">
        <f t="shared" si="23"/>
        <v>0</v>
      </c>
      <c r="AV19" s="84">
        <f t="shared" si="24"/>
        <v>-1</v>
      </c>
      <c r="AW19" s="80"/>
      <c r="AX19" s="80"/>
      <c r="AY19" s="84" t="e">
        <f t="shared" si="25"/>
        <v>#DIV/0!</v>
      </c>
      <c r="AZ19" s="80">
        <f t="shared" si="26"/>
        <v>12085</v>
      </c>
      <c r="BA19" s="80">
        <f t="shared" si="27"/>
        <v>0</v>
      </c>
      <c r="BB19" s="84">
        <f t="shared" si="28"/>
        <v>-1</v>
      </c>
      <c r="BC19" s="80"/>
      <c r="BD19" s="80"/>
      <c r="BE19" s="84" t="e">
        <f t="shared" si="29"/>
        <v>#DIV/0!</v>
      </c>
      <c r="BF19" s="80">
        <f t="shared" si="30"/>
        <v>12085</v>
      </c>
      <c r="BG19" s="80">
        <f t="shared" si="31"/>
        <v>0</v>
      </c>
      <c r="BH19" s="84">
        <f t="shared" si="32"/>
        <v>-1</v>
      </c>
      <c r="BI19" s="88"/>
      <c r="BJ19" s="88"/>
      <c r="BK19" s="84" t="e">
        <f t="shared" si="33"/>
        <v>#DIV/0!</v>
      </c>
      <c r="BL19" s="88">
        <f t="shared" si="34"/>
        <v>12085</v>
      </c>
      <c r="BM19" s="88">
        <f t="shared" si="35"/>
        <v>0</v>
      </c>
      <c r="BN19" s="84">
        <f t="shared" si="36"/>
        <v>-1</v>
      </c>
      <c r="BO19" s="80"/>
      <c r="BP19" s="80"/>
      <c r="BQ19" s="80">
        <v>12085</v>
      </c>
      <c r="BR19" s="89" t="e">
        <f t="shared" si="37"/>
        <v>#DIV/0!</v>
      </c>
    </row>
    <row r="20" s="56" customFormat="1" customHeight="1" spans="1:70">
      <c r="A20" s="62" t="s">
        <v>416</v>
      </c>
      <c r="B20" s="63" t="s">
        <v>416</v>
      </c>
      <c r="C20" s="92" t="s">
        <v>443</v>
      </c>
      <c r="D20" s="83" t="s">
        <v>86</v>
      </c>
      <c r="E20" s="83" t="s">
        <v>86</v>
      </c>
      <c r="F20" s="271" t="s">
        <v>418</v>
      </c>
      <c r="G20" s="272" t="s">
        <v>418</v>
      </c>
      <c r="H20" s="63"/>
      <c r="I20" s="63"/>
      <c r="J20" s="80"/>
      <c r="K20" s="80"/>
      <c r="L20" s="84" t="e">
        <f t="shared" si="0"/>
        <v>#DIV/0!</v>
      </c>
      <c r="M20" s="80"/>
      <c r="N20" s="80"/>
      <c r="O20" s="84" t="e">
        <f t="shared" si="1"/>
        <v>#DIV/0!</v>
      </c>
      <c r="P20" s="80">
        <f t="shared" si="2"/>
        <v>0</v>
      </c>
      <c r="Q20" s="80">
        <f t="shared" si="3"/>
        <v>0</v>
      </c>
      <c r="R20" s="84" t="e">
        <f t="shared" si="4"/>
        <v>#DIV/0!</v>
      </c>
      <c r="S20" s="85"/>
      <c r="T20" s="85"/>
      <c r="U20" s="84" t="e">
        <f t="shared" si="5"/>
        <v>#DIV/0!</v>
      </c>
      <c r="V20" s="86">
        <f t="shared" si="6"/>
        <v>0</v>
      </c>
      <c r="W20" s="86">
        <f t="shared" si="7"/>
        <v>0</v>
      </c>
      <c r="X20" s="84" t="e">
        <f t="shared" si="8"/>
        <v>#DIV/0!</v>
      </c>
      <c r="Y20" s="80"/>
      <c r="Z20" s="80"/>
      <c r="AA20" s="84" t="e">
        <f t="shared" si="9"/>
        <v>#DIV/0!</v>
      </c>
      <c r="AB20" s="80">
        <f t="shared" si="10"/>
        <v>0</v>
      </c>
      <c r="AC20" s="80">
        <f t="shared" si="11"/>
        <v>0</v>
      </c>
      <c r="AD20" s="84" t="e">
        <f t="shared" si="12"/>
        <v>#DIV/0!</v>
      </c>
      <c r="AE20" s="80"/>
      <c r="AF20" s="80"/>
      <c r="AG20" s="84" t="e">
        <f t="shared" si="13"/>
        <v>#DIV/0!</v>
      </c>
      <c r="AH20" s="80">
        <f t="shared" si="14"/>
        <v>0</v>
      </c>
      <c r="AI20" s="80">
        <f t="shared" si="15"/>
        <v>0</v>
      </c>
      <c r="AJ20" s="84" t="e">
        <f t="shared" si="16"/>
        <v>#DIV/0!</v>
      </c>
      <c r="AK20" s="87"/>
      <c r="AL20" s="87"/>
      <c r="AM20" s="84" t="e">
        <f t="shared" si="17"/>
        <v>#DIV/0!</v>
      </c>
      <c r="AN20" s="87">
        <f t="shared" si="18"/>
        <v>0</v>
      </c>
      <c r="AO20" s="87">
        <f t="shared" si="19"/>
        <v>0</v>
      </c>
      <c r="AP20" s="84" t="e">
        <f t="shared" si="20"/>
        <v>#DIV/0!</v>
      </c>
      <c r="AQ20" s="85"/>
      <c r="AR20" s="85"/>
      <c r="AS20" s="84" t="e">
        <f t="shared" si="21"/>
        <v>#DIV/0!</v>
      </c>
      <c r="AT20" s="85">
        <f t="shared" si="22"/>
        <v>0</v>
      </c>
      <c r="AU20" s="85">
        <f t="shared" si="23"/>
        <v>0</v>
      </c>
      <c r="AV20" s="84" t="e">
        <f t="shared" si="24"/>
        <v>#DIV/0!</v>
      </c>
      <c r="AW20" s="80"/>
      <c r="AX20" s="80"/>
      <c r="AY20" s="84" t="e">
        <f t="shared" si="25"/>
        <v>#DIV/0!</v>
      </c>
      <c r="AZ20" s="80">
        <f t="shared" si="26"/>
        <v>0</v>
      </c>
      <c r="BA20" s="80">
        <f t="shared" si="27"/>
        <v>0</v>
      </c>
      <c r="BB20" s="84" t="e">
        <f t="shared" si="28"/>
        <v>#DIV/0!</v>
      </c>
      <c r="BC20" s="80"/>
      <c r="BD20" s="80"/>
      <c r="BE20" s="84" t="e">
        <f t="shared" si="29"/>
        <v>#DIV/0!</v>
      </c>
      <c r="BF20" s="80">
        <f t="shared" si="30"/>
        <v>0</v>
      </c>
      <c r="BG20" s="80">
        <f t="shared" si="31"/>
        <v>0</v>
      </c>
      <c r="BH20" s="84" t="e">
        <f t="shared" si="32"/>
        <v>#DIV/0!</v>
      </c>
      <c r="BI20" s="88"/>
      <c r="BJ20" s="88"/>
      <c r="BK20" s="84" t="e">
        <f t="shared" si="33"/>
        <v>#DIV/0!</v>
      </c>
      <c r="BL20" s="88">
        <f t="shared" si="34"/>
        <v>0</v>
      </c>
      <c r="BM20" s="88">
        <f t="shared" si="35"/>
        <v>0</v>
      </c>
      <c r="BN20" s="84" t="e">
        <f t="shared" si="36"/>
        <v>#DIV/0!</v>
      </c>
      <c r="BO20" s="80"/>
      <c r="BP20" s="80"/>
      <c r="BQ20" s="80">
        <v>0</v>
      </c>
      <c r="BR20" s="89" t="e">
        <f t="shared" si="37"/>
        <v>#DIV/0!</v>
      </c>
    </row>
    <row r="21" s="56" customFormat="1" customHeight="1" spans="1:70">
      <c r="A21" s="62" t="s">
        <v>416</v>
      </c>
      <c r="B21" s="63" t="s">
        <v>416</v>
      </c>
      <c r="C21" s="92" t="s">
        <v>444</v>
      </c>
      <c r="D21" s="83" t="s">
        <v>63</v>
      </c>
      <c r="E21" s="83" t="s">
        <v>63</v>
      </c>
      <c r="F21" s="271" t="s">
        <v>445</v>
      </c>
      <c r="G21" s="272" t="s">
        <v>445</v>
      </c>
      <c r="H21" s="63" t="s">
        <v>437</v>
      </c>
      <c r="I21" s="63"/>
      <c r="J21" s="80"/>
      <c r="K21" s="80"/>
      <c r="L21" s="84" t="e">
        <f t="shared" si="0"/>
        <v>#DIV/0!</v>
      </c>
      <c r="M21" s="80"/>
      <c r="N21" s="80"/>
      <c r="O21" s="84" t="e">
        <f t="shared" si="1"/>
        <v>#DIV/0!</v>
      </c>
      <c r="P21" s="80">
        <f t="shared" si="2"/>
        <v>0</v>
      </c>
      <c r="Q21" s="80">
        <f t="shared" si="3"/>
        <v>0</v>
      </c>
      <c r="R21" s="84" t="e">
        <f t="shared" si="4"/>
        <v>#DIV/0!</v>
      </c>
      <c r="S21" s="85"/>
      <c r="T21" s="85"/>
      <c r="U21" s="84" t="e">
        <f t="shared" si="5"/>
        <v>#DIV/0!</v>
      </c>
      <c r="V21" s="86">
        <f t="shared" si="6"/>
        <v>0</v>
      </c>
      <c r="W21" s="86">
        <f t="shared" si="7"/>
        <v>0</v>
      </c>
      <c r="X21" s="84" t="e">
        <f t="shared" si="8"/>
        <v>#DIV/0!</v>
      </c>
      <c r="Y21" s="80"/>
      <c r="Z21" s="80"/>
      <c r="AA21" s="84" t="e">
        <f t="shared" si="9"/>
        <v>#DIV/0!</v>
      </c>
      <c r="AB21" s="80">
        <f t="shared" si="10"/>
        <v>0</v>
      </c>
      <c r="AC21" s="80">
        <f t="shared" si="11"/>
        <v>0</v>
      </c>
      <c r="AD21" s="84" t="e">
        <f t="shared" si="12"/>
        <v>#DIV/0!</v>
      </c>
      <c r="AE21" s="80"/>
      <c r="AF21" s="80"/>
      <c r="AG21" s="84" t="e">
        <f t="shared" si="13"/>
        <v>#DIV/0!</v>
      </c>
      <c r="AH21" s="80">
        <f t="shared" si="14"/>
        <v>0</v>
      </c>
      <c r="AI21" s="80">
        <f t="shared" si="15"/>
        <v>0</v>
      </c>
      <c r="AJ21" s="84" t="e">
        <f t="shared" si="16"/>
        <v>#DIV/0!</v>
      </c>
      <c r="AK21" s="87"/>
      <c r="AL21" s="87"/>
      <c r="AM21" s="84" t="e">
        <f t="shared" si="17"/>
        <v>#DIV/0!</v>
      </c>
      <c r="AN21" s="87">
        <f t="shared" si="18"/>
        <v>0</v>
      </c>
      <c r="AO21" s="87">
        <f t="shared" si="19"/>
        <v>0</v>
      </c>
      <c r="AP21" s="84" t="e">
        <f t="shared" si="20"/>
        <v>#DIV/0!</v>
      </c>
      <c r="AQ21" s="85"/>
      <c r="AR21" s="85"/>
      <c r="AS21" s="84" t="e">
        <f t="shared" si="21"/>
        <v>#DIV/0!</v>
      </c>
      <c r="AT21" s="85">
        <f t="shared" si="22"/>
        <v>0</v>
      </c>
      <c r="AU21" s="85">
        <f t="shared" si="23"/>
        <v>0</v>
      </c>
      <c r="AV21" s="84" t="e">
        <f t="shared" si="24"/>
        <v>#DIV/0!</v>
      </c>
      <c r="AW21" s="80"/>
      <c r="AX21" s="80"/>
      <c r="AY21" s="84" t="e">
        <f t="shared" si="25"/>
        <v>#DIV/0!</v>
      </c>
      <c r="AZ21" s="80">
        <f t="shared" si="26"/>
        <v>0</v>
      </c>
      <c r="BA21" s="80">
        <f t="shared" si="27"/>
        <v>0</v>
      </c>
      <c r="BB21" s="84" t="e">
        <f t="shared" si="28"/>
        <v>#DIV/0!</v>
      </c>
      <c r="BC21" s="80"/>
      <c r="BD21" s="80"/>
      <c r="BE21" s="84" t="e">
        <f t="shared" si="29"/>
        <v>#DIV/0!</v>
      </c>
      <c r="BF21" s="80">
        <f t="shared" si="30"/>
        <v>0</v>
      </c>
      <c r="BG21" s="80">
        <f t="shared" si="31"/>
        <v>0</v>
      </c>
      <c r="BH21" s="84" t="e">
        <f t="shared" si="32"/>
        <v>#DIV/0!</v>
      </c>
      <c r="BI21" s="88"/>
      <c r="BJ21" s="88"/>
      <c r="BK21" s="84" t="e">
        <f t="shared" si="33"/>
        <v>#DIV/0!</v>
      </c>
      <c r="BL21" s="88">
        <f t="shared" si="34"/>
        <v>0</v>
      </c>
      <c r="BM21" s="88">
        <f t="shared" si="35"/>
        <v>0</v>
      </c>
      <c r="BN21" s="84" t="e">
        <f t="shared" si="36"/>
        <v>#DIV/0!</v>
      </c>
      <c r="BO21" s="80"/>
      <c r="BP21" s="80"/>
      <c r="BQ21" s="80">
        <v>0</v>
      </c>
      <c r="BR21" s="89" t="e">
        <f t="shared" si="37"/>
        <v>#DIV/0!</v>
      </c>
    </row>
    <row r="22" s="56" customFormat="1" customHeight="1" spans="1:70">
      <c r="A22" s="62" t="s">
        <v>416</v>
      </c>
      <c r="B22" s="63" t="s">
        <v>416</v>
      </c>
      <c r="C22" s="92" t="s">
        <v>446</v>
      </c>
      <c r="D22" s="83" t="s">
        <v>63</v>
      </c>
      <c r="E22" s="83" t="s">
        <v>63</v>
      </c>
      <c r="F22" s="83" t="s">
        <v>430</v>
      </c>
      <c r="G22" s="272" t="s">
        <v>447</v>
      </c>
      <c r="H22" s="63" t="s">
        <v>419</v>
      </c>
      <c r="I22" s="63"/>
      <c r="J22" s="80"/>
      <c r="K22" s="80"/>
      <c r="L22" s="84" t="e">
        <f t="shared" si="0"/>
        <v>#DIV/0!</v>
      </c>
      <c r="M22" s="80"/>
      <c r="N22" s="80"/>
      <c r="O22" s="84" t="e">
        <f t="shared" si="1"/>
        <v>#DIV/0!</v>
      </c>
      <c r="P22" s="80">
        <f t="shared" si="2"/>
        <v>0</v>
      </c>
      <c r="Q22" s="80">
        <f t="shared" si="3"/>
        <v>0</v>
      </c>
      <c r="R22" s="84" t="e">
        <f t="shared" si="4"/>
        <v>#DIV/0!</v>
      </c>
      <c r="S22" s="85"/>
      <c r="T22" s="85"/>
      <c r="U22" s="84" t="e">
        <f t="shared" si="5"/>
        <v>#DIV/0!</v>
      </c>
      <c r="V22" s="86">
        <f t="shared" si="6"/>
        <v>0</v>
      </c>
      <c r="W22" s="86">
        <f t="shared" si="7"/>
        <v>0</v>
      </c>
      <c r="X22" s="84" t="e">
        <f t="shared" si="8"/>
        <v>#DIV/0!</v>
      </c>
      <c r="Y22" s="80"/>
      <c r="Z22" s="80"/>
      <c r="AA22" s="84" t="e">
        <f t="shared" si="9"/>
        <v>#DIV/0!</v>
      </c>
      <c r="AB22" s="80">
        <f t="shared" si="10"/>
        <v>0</v>
      </c>
      <c r="AC22" s="80">
        <f t="shared" si="11"/>
        <v>0</v>
      </c>
      <c r="AD22" s="84" t="e">
        <f t="shared" si="12"/>
        <v>#DIV/0!</v>
      </c>
      <c r="AE22" s="80"/>
      <c r="AF22" s="80"/>
      <c r="AG22" s="84" t="e">
        <f t="shared" si="13"/>
        <v>#DIV/0!</v>
      </c>
      <c r="AH22" s="80">
        <f t="shared" si="14"/>
        <v>0</v>
      </c>
      <c r="AI22" s="80">
        <f t="shared" si="15"/>
        <v>0</v>
      </c>
      <c r="AJ22" s="84" t="e">
        <f t="shared" si="16"/>
        <v>#DIV/0!</v>
      </c>
      <c r="AK22" s="87"/>
      <c r="AL22" s="87"/>
      <c r="AM22" s="84" t="e">
        <f t="shared" si="17"/>
        <v>#DIV/0!</v>
      </c>
      <c r="AN22" s="87">
        <f t="shared" si="18"/>
        <v>0</v>
      </c>
      <c r="AO22" s="87">
        <f t="shared" si="19"/>
        <v>0</v>
      </c>
      <c r="AP22" s="84" t="e">
        <f t="shared" si="20"/>
        <v>#DIV/0!</v>
      </c>
      <c r="AQ22" s="85"/>
      <c r="AR22" s="85"/>
      <c r="AS22" s="84" t="e">
        <f t="shared" si="21"/>
        <v>#DIV/0!</v>
      </c>
      <c r="AT22" s="85">
        <f t="shared" si="22"/>
        <v>0</v>
      </c>
      <c r="AU22" s="85">
        <f t="shared" si="23"/>
        <v>0</v>
      </c>
      <c r="AV22" s="84" t="e">
        <f t="shared" si="24"/>
        <v>#DIV/0!</v>
      </c>
      <c r="AW22" s="80"/>
      <c r="AX22" s="80"/>
      <c r="AY22" s="84" t="e">
        <f t="shared" si="25"/>
        <v>#DIV/0!</v>
      </c>
      <c r="AZ22" s="80">
        <f t="shared" si="26"/>
        <v>0</v>
      </c>
      <c r="BA22" s="80">
        <f t="shared" si="27"/>
        <v>0</v>
      </c>
      <c r="BB22" s="84" t="e">
        <f t="shared" si="28"/>
        <v>#DIV/0!</v>
      </c>
      <c r="BC22" s="80"/>
      <c r="BD22" s="80"/>
      <c r="BE22" s="84" t="e">
        <f t="shared" si="29"/>
        <v>#DIV/0!</v>
      </c>
      <c r="BF22" s="80">
        <f t="shared" si="30"/>
        <v>0</v>
      </c>
      <c r="BG22" s="80">
        <f t="shared" si="31"/>
        <v>0</v>
      </c>
      <c r="BH22" s="84" t="e">
        <f t="shared" si="32"/>
        <v>#DIV/0!</v>
      </c>
      <c r="BI22" s="88"/>
      <c r="BJ22" s="88"/>
      <c r="BK22" s="84" t="e">
        <f t="shared" si="33"/>
        <v>#DIV/0!</v>
      </c>
      <c r="BL22" s="88">
        <f t="shared" si="34"/>
        <v>0</v>
      </c>
      <c r="BM22" s="88">
        <f t="shared" si="35"/>
        <v>0</v>
      </c>
      <c r="BN22" s="84" t="e">
        <f t="shared" si="36"/>
        <v>#DIV/0!</v>
      </c>
      <c r="BO22" s="80"/>
      <c r="BP22" s="80"/>
      <c r="BQ22" s="80">
        <v>0</v>
      </c>
      <c r="BR22" s="89" t="e">
        <f t="shared" si="37"/>
        <v>#DIV/0!</v>
      </c>
    </row>
    <row r="23" s="57" customFormat="1" customHeight="1" spans="1:70">
      <c r="A23" s="62" t="s">
        <v>416</v>
      </c>
      <c r="B23" s="63" t="s">
        <v>416</v>
      </c>
      <c r="C23" s="94" t="s">
        <v>448</v>
      </c>
      <c r="D23" s="83" t="s">
        <v>86</v>
      </c>
      <c r="E23" s="83" t="s">
        <v>86</v>
      </c>
      <c r="F23" s="271" t="s">
        <v>422</v>
      </c>
      <c r="G23" s="273" t="s">
        <v>422</v>
      </c>
      <c r="H23" s="63" t="s">
        <v>423</v>
      </c>
      <c r="I23" s="63">
        <v>75</v>
      </c>
      <c r="J23" s="80">
        <v>27260</v>
      </c>
      <c r="K23" s="80">
        <v>5740</v>
      </c>
      <c r="L23" s="84">
        <f t="shared" si="0"/>
        <v>-0.789435069699193</v>
      </c>
      <c r="M23" s="80"/>
      <c r="N23" s="80"/>
      <c r="O23" s="84" t="e">
        <f t="shared" si="1"/>
        <v>#DIV/0!</v>
      </c>
      <c r="P23" s="80">
        <f t="shared" si="2"/>
        <v>27260</v>
      </c>
      <c r="Q23" s="80">
        <f t="shared" si="3"/>
        <v>5740</v>
      </c>
      <c r="R23" s="84">
        <f t="shared" si="4"/>
        <v>-0.789435069699193</v>
      </c>
      <c r="S23" s="85">
        <v>39798</v>
      </c>
      <c r="T23" s="85">
        <v>171582</v>
      </c>
      <c r="U23" s="84">
        <f t="shared" si="5"/>
        <v>3.31132217699382</v>
      </c>
      <c r="V23" s="86">
        <f t="shared" si="6"/>
        <v>67058</v>
      </c>
      <c r="W23" s="86">
        <f t="shared" si="7"/>
        <v>177322</v>
      </c>
      <c r="X23" s="84">
        <f t="shared" si="8"/>
        <v>1.64430791255331</v>
      </c>
      <c r="Y23" s="80">
        <v>16600</v>
      </c>
      <c r="Z23" s="80">
        <v>18753</v>
      </c>
      <c r="AA23" s="84">
        <f t="shared" si="9"/>
        <v>0.129698795180723</v>
      </c>
      <c r="AB23" s="80">
        <f t="shared" si="10"/>
        <v>83658</v>
      </c>
      <c r="AC23" s="80">
        <f t="shared" si="11"/>
        <v>196075</v>
      </c>
      <c r="AD23" s="84">
        <f t="shared" si="12"/>
        <v>1.3437686772335</v>
      </c>
      <c r="AE23" s="80">
        <v>13180</v>
      </c>
      <c r="AF23" s="80">
        <v>9903</v>
      </c>
      <c r="AG23" s="84">
        <f t="shared" si="13"/>
        <v>-0.248634294385432</v>
      </c>
      <c r="AH23" s="80">
        <f t="shared" si="14"/>
        <v>96838</v>
      </c>
      <c r="AI23" s="80">
        <f t="shared" si="15"/>
        <v>205978</v>
      </c>
      <c r="AJ23" s="84">
        <f t="shared" si="16"/>
        <v>1.12703690699932</v>
      </c>
      <c r="AK23" s="87">
        <v>14700</v>
      </c>
      <c r="AL23" s="87">
        <v>47569</v>
      </c>
      <c r="AM23" s="84">
        <f t="shared" si="17"/>
        <v>2.23598639455782</v>
      </c>
      <c r="AN23" s="87">
        <f t="shared" si="18"/>
        <v>111538</v>
      </c>
      <c r="AO23" s="87">
        <f t="shared" si="19"/>
        <v>253547</v>
      </c>
      <c r="AP23" s="84">
        <f t="shared" si="20"/>
        <v>1.27318940630099</v>
      </c>
      <c r="AQ23" s="85">
        <v>24650</v>
      </c>
      <c r="AR23" s="85">
        <v>8027</v>
      </c>
      <c r="AS23" s="84">
        <f t="shared" si="21"/>
        <v>-0.674361054766734</v>
      </c>
      <c r="AT23" s="85">
        <f t="shared" si="22"/>
        <v>136188</v>
      </c>
      <c r="AU23" s="85">
        <f t="shared" si="23"/>
        <v>261574</v>
      </c>
      <c r="AV23" s="84">
        <f t="shared" si="24"/>
        <v>0.920683173260493</v>
      </c>
      <c r="AW23" s="80">
        <v>7800</v>
      </c>
      <c r="AX23" s="80">
        <v>18191</v>
      </c>
      <c r="AY23" s="84">
        <f t="shared" si="25"/>
        <v>1.33217948717949</v>
      </c>
      <c r="AZ23" s="80">
        <f t="shared" si="26"/>
        <v>143988</v>
      </c>
      <c r="BA23" s="80">
        <f t="shared" si="27"/>
        <v>279765</v>
      </c>
      <c r="BB23" s="84">
        <f t="shared" si="28"/>
        <v>0.942974414534544</v>
      </c>
      <c r="BC23" s="80">
        <v>78325</v>
      </c>
      <c r="BD23" s="80">
        <v>7936</v>
      </c>
      <c r="BE23" s="84">
        <f t="shared" si="29"/>
        <v>-0.89867858282796</v>
      </c>
      <c r="BF23" s="80">
        <f t="shared" si="30"/>
        <v>222313</v>
      </c>
      <c r="BG23" s="80">
        <f t="shared" si="31"/>
        <v>287701</v>
      </c>
      <c r="BH23" s="84">
        <f t="shared" si="32"/>
        <v>0.294125849590442</v>
      </c>
      <c r="BI23" s="88">
        <v>155793</v>
      </c>
      <c r="BJ23" s="88">
        <v>11801</v>
      </c>
      <c r="BK23" s="84">
        <f t="shared" si="33"/>
        <v>-0.924252052402868</v>
      </c>
      <c r="BL23" s="88">
        <f t="shared" si="34"/>
        <v>378106</v>
      </c>
      <c r="BM23" s="88">
        <f t="shared" si="35"/>
        <v>299502</v>
      </c>
      <c r="BN23" s="84">
        <f t="shared" si="36"/>
        <v>-0.207888793089768</v>
      </c>
      <c r="BO23" s="80">
        <v>68760</v>
      </c>
      <c r="BP23" s="80">
        <v>115959</v>
      </c>
      <c r="BQ23" s="80">
        <v>562825</v>
      </c>
      <c r="BR23" s="89">
        <f t="shared" si="37"/>
        <v>0.399336</v>
      </c>
    </row>
    <row r="24" s="56" customFormat="1" customHeight="1" spans="1:70">
      <c r="A24" s="62" t="s">
        <v>416</v>
      </c>
      <c r="B24" s="63" t="s">
        <v>416</v>
      </c>
      <c r="C24" s="92" t="s">
        <v>449</v>
      </c>
      <c r="D24" s="83" t="s">
        <v>63</v>
      </c>
      <c r="E24" s="83" t="s">
        <v>63</v>
      </c>
      <c r="F24" s="83" t="s">
        <v>430</v>
      </c>
      <c r="G24" s="272" t="s">
        <v>450</v>
      </c>
      <c r="H24" s="63" t="s">
        <v>419</v>
      </c>
      <c r="I24" s="63"/>
      <c r="J24" s="80"/>
      <c r="K24" s="80"/>
      <c r="L24" s="84" t="e">
        <f t="shared" si="0"/>
        <v>#DIV/0!</v>
      </c>
      <c r="M24" s="80"/>
      <c r="N24" s="80"/>
      <c r="O24" s="84" t="e">
        <f t="shared" si="1"/>
        <v>#DIV/0!</v>
      </c>
      <c r="P24" s="80">
        <f t="shared" si="2"/>
        <v>0</v>
      </c>
      <c r="Q24" s="80">
        <f t="shared" si="3"/>
        <v>0</v>
      </c>
      <c r="R24" s="84" t="e">
        <f t="shared" si="4"/>
        <v>#DIV/0!</v>
      </c>
      <c r="S24" s="85"/>
      <c r="T24" s="85"/>
      <c r="U24" s="84" t="e">
        <f t="shared" si="5"/>
        <v>#DIV/0!</v>
      </c>
      <c r="V24" s="86">
        <f t="shared" si="6"/>
        <v>0</v>
      </c>
      <c r="W24" s="86">
        <f t="shared" si="7"/>
        <v>0</v>
      </c>
      <c r="X24" s="84" t="e">
        <f t="shared" si="8"/>
        <v>#DIV/0!</v>
      </c>
      <c r="Y24" s="80"/>
      <c r="Z24" s="80"/>
      <c r="AA24" s="84" t="e">
        <f t="shared" si="9"/>
        <v>#DIV/0!</v>
      </c>
      <c r="AB24" s="80">
        <f t="shared" si="10"/>
        <v>0</v>
      </c>
      <c r="AC24" s="80">
        <f t="shared" si="11"/>
        <v>0</v>
      </c>
      <c r="AD24" s="84" t="e">
        <f t="shared" si="12"/>
        <v>#DIV/0!</v>
      </c>
      <c r="AE24" s="80"/>
      <c r="AF24" s="80"/>
      <c r="AG24" s="84" t="e">
        <f t="shared" si="13"/>
        <v>#DIV/0!</v>
      </c>
      <c r="AH24" s="80">
        <f t="shared" si="14"/>
        <v>0</v>
      </c>
      <c r="AI24" s="80">
        <f t="shared" si="15"/>
        <v>0</v>
      </c>
      <c r="AJ24" s="84" t="e">
        <f t="shared" si="16"/>
        <v>#DIV/0!</v>
      </c>
      <c r="AK24" s="87"/>
      <c r="AL24" s="87"/>
      <c r="AM24" s="84" t="e">
        <f t="shared" si="17"/>
        <v>#DIV/0!</v>
      </c>
      <c r="AN24" s="87">
        <f t="shared" si="18"/>
        <v>0</v>
      </c>
      <c r="AO24" s="87">
        <f t="shared" si="19"/>
        <v>0</v>
      </c>
      <c r="AP24" s="84" t="e">
        <f t="shared" si="20"/>
        <v>#DIV/0!</v>
      </c>
      <c r="AQ24" s="85"/>
      <c r="AR24" s="85"/>
      <c r="AS24" s="84" t="e">
        <f t="shared" si="21"/>
        <v>#DIV/0!</v>
      </c>
      <c r="AT24" s="85">
        <f t="shared" si="22"/>
        <v>0</v>
      </c>
      <c r="AU24" s="85">
        <f t="shared" si="23"/>
        <v>0</v>
      </c>
      <c r="AV24" s="84" t="e">
        <f t="shared" si="24"/>
        <v>#DIV/0!</v>
      </c>
      <c r="AW24" s="80"/>
      <c r="AX24" s="80"/>
      <c r="AY24" s="84" t="e">
        <f t="shared" si="25"/>
        <v>#DIV/0!</v>
      </c>
      <c r="AZ24" s="80">
        <f t="shared" si="26"/>
        <v>0</v>
      </c>
      <c r="BA24" s="80">
        <f t="shared" si="27"/>
        <v>0</v>
      </c>
      <c r="BB24" s="84" t="e">
        <f t="shared" si="28"/>
        <v>#DIV/0!</v>
      </c>
      <c r="BC24" s="80"/>
      <c r="BD24" s="80"/>
      <c r="BE24" s="84" t="e">
        <f t="shared" si="29"/>
        <v>#DIV/0!</v>
      </c>
      <c r="BF24" s="80">
        <f t="shared" si="30"/>
        <v>0</v>
      </c>
      <c r="BG24" s="80">
        <f t="shared" si="31"/>
        <v>0</v>
      </c>
      <c r="BH24" s="84" t="e">
        <f t="shared" si="32"/>
        <v>#DIV/0!</v>
      </c>
      <c r="BI24" s="88"/>
      <c r="BJ24" s="88"/>
      <c r="BK24" s="84" t="e">
        <f t="shared" si="33"/>
        <v>#DIV/0!</v>
      </c>
      <c r="BL24" s="88">
        <f t="shared" si="34"/>
        <v>0</v>
      </c>
      <c r="BM24" s="88">
        <f t="shared" si="35"/>
        <v>0</v>
      </c>
      <c r="BN24" s="84" t="e">
        <f t="shared" si="36"/>
        <v>#DIV/0!</v>
      </c>
      <c r="BO24" s="80"/>
      <c r="BP24" s="80"/>
      <c r="BQ24" s="80">
        <v>0</v>
      </c>
      <c r="BR24" s="89" t="e">
        <f t="shared" si="37"/>
        <v>#DIV/0!</v>
      </c>
    </row>
    <row r="25" s="56" customFormat="1" customHeight="1" spans="1:70">
      <c r="A25" s="62" t="s">
        <v>416</v>
      </c>
      <c r="B25" s="63" t="s">
        <v>416</v>
      </c>
      <c r="C25" s="92" t="s">
        <v>451</v>
      </c>
      <c r="D25" s="83" t="s">
        <v>86</v>
      </c>
      <c r="E25" s="83" t="s">
        <v>86</v>
      </c>
      <c r="F25" s="83" t="s">
        <v>430</v>
      </c>
      <c r="G25" s="272" t="s">
        <v>450</v>
      </c>
      <c r="H25" s="63" t="s">
        <v>419</v>
      </c>
      <c r="I25" s="63">
        <v>110</v>
      </c>
      <c r="J25" s="80">
        <v>17400</v>
      </c>
      <c r="K25" s="80"/>
      <c r="L25" s="84">
        <f t="shared" si="0"/>
        <v>-1</v>
      </c>
      <c r="M25" s="80">
        <v>3300</v>
      </c>
      <c r="N25" s="80">
        <v>62580</v>
      </c>
      <c r="O25" s="84">
        <f t="shared" si="1"/>
        <v>17.9636363636364</v>
      </c>
      <c r="P25" s="80">
        <f t="shared" si="2"/>
        <v>20700</v>
      </c>
      <c r="Q25" s="80">
        <f t="shared" si="3"/>
        <v>62580</v>
      </c>
      <c r="R25" s="84">
        <f t="shared" si="4"/>
        <v>2.0231884057971</v>
      </c>
      <c r="S25" s="85">
        <v>58298</v>
      </c>
      <c r="T25" s="85">
        <v>122189</v>
      </c>
      <c r="U25" s="84">
        <f t="shared" si="5"/>
        <v>1.09593811108443</v>
      </c>
      <c r="V25" s="86">
        <f t="shared" si="6"/>
        <v>78998</v>
      </c>
      <c r="W25" s="86">
        <f t="shared" si="7"/>
        <v>184769</v>
      </c>
      <c r="X25" s="84">
        <f t="shared" si="8"/>
        <v>1.33890731410922</v>
      </c>
      <c r="Y25" s="80">
        <v>67034</v>
      </c>
      <c r="Z25" s="80">
        <v>103708</v>
      </c>
      <c r="AA25" s="84">
        <f t="shared" si="9"/>
        <v>0.547095503774204</v>
      </c>
      <c r="AB25" s="80">
        <f t="shared" si="10"/>
        <v>146032</v>
      </c>
      <c r="AC25" s="80">
        <f t="shared" si="11"/>
        <v>288477</v>
      </c>
      <c r="AD25" s="84">
        <f t="shared" si="12"/>
        <v>0.975436890544538</v>
      </c>
      <c r="AE25" s="80">
        <v>67348</v>
      </c>
      <c r="AF25" s="80">
        <v>118753</v>
      </c>
      <c r="AG25" s="84">
        <f t="shared" si="13"/>
        <v>0.763274336283186</v>
      </c>
      <c r="AH25" s="80">
        <f t="shared" si="14"/>
        <v>213380</v>
      </c>
      <c r="AI25" s="80">
        <f t="shared" si="15"/>
        <v>407230</v>
      </c>
      <c r="AJ25" s="84">
        <f t="shared" si="16"/>
        <v>0.908473146499203</v>
      </c>
      <c r="AK25" s="87">
        <v>72780</v>
      </c>
      <c r="AL25" s="87">
        <v>180556</v>
      </c>
      <c r="AM25" s="84">
        <f t="shared" si="17"/>
        <v>1.48084638636988</v>
      </c>
      <c r="AN25" s="87">
        <f t="shared" si="18"/>
        <v>286160</v>
      </c>
      <c r="AO25" s="87">
        <f t="shared" si="19"/>
        <v>587786</v>
      </c>
      <c r="AP25" s="84">
        <f t="shared" si="20"/>
        <v>1.05404668716802</v>
      </c>
      <c r="AQ25" s="85">
        <v>15500</v>
      </c>
      <c r="AR25" s="85">
        <v>30071</v>
      </c>
      <c r="AS25" s="84">
        <f t="shared" si="21"/>
        <v>0.940064516129032</v>
      </c>
      <c r="AT25" s="85">
        <f t="shared" si="22"/>
        <v>301660</v>
      </c>
      <c r="AU25" s="85">
        <f t="shared" si="23"/>
        <v>617857</v>
      </c>
      <c r="AV25" s="84">
        <f t="shared" si="24"/>
        <v>1.04819001524896</v>
      </c>
      <c r="AW25" s="80">
        <v>59910</v>
      </c>
      <c r="AX25" s="80">
        <v>53234</v>
      </c>
      <c r="AY25" s="84">
        <f t="shared" si="25"/>
        <v>-0.111433817392756</v>
      </c>
      <c r="AZ25" s="80">
        <f t="shared" si="26"/>
        <v>361570</v>
      </c>
      <c r="BA25" s="80">
        <f t="shared" si="27"/>
        <v>671091</v>
      </c>
      <c r="BB25" s="84">
        <f t="shared" si="28"/>
        <v>0.856047238432392</v>
      </c>
      <c r="BC25" s="80">
        <v>73542</v>
      </c>
      <c r="BD25" s="80">
        <v>9777</v>
      </c>
      <c r="BE25" s="84">
        <f t="shared" si="29"/>
        <v>-0.867055560088113</v>
      </c>
      <c r="BF25" s="80">
        <f t="shared" si="30"/>
        <v>435112</v>
      </c>
      <c r="BG25" s="80">
        <f t="shared" si="31"/>
        <v>680868</v>
      </c>
      <c r="BH25" s="84">
        <f t="shared" si="32"/>
        <v>0.564810899262719</v>
      </c>
      <c r="BI25" s="88">
        <v>220523</v>
      </c>
      <c r="BJ25" s="88">
        <v>14900</v>
      </c>
      <c r="BK25" s="84">
        <f t="shared" si="33"/>
        <v>-0.932433351623187</v>
      </c>
      <c r="BL25" s="88">
        <f t="shared" si="34"/>
        <v>655635</v>
      </c>
      <c r="BM25" s="88">
        <f t="shared" si="35"/>
        <v>695768</v>
      </c>
      <c r="BN25" s="84">
        <f t="shared" si="36"/>
        <v>0.0612124123940911</v>
      </c>
      <c r="BO25" s="80">
        <v>158890</v>
      </c>
      <c r="BP25" s="80">
        <v>64510</v>
      </c>
      <c r="BQ25" s="80">
        <v>879035</v>
      </c>
      <c r="BR25" s="89">
        <f t="shared" si="37"/>
        <v>0.632516363636364</v>
      </c>
    </row>
    <row r="26" s="56" customFormat="1" customHeight="1" spans="1:70">
      <c r="A26" s="62" t="s">
        <v>416</v>
      </c>
      <c r="B26" s="63" t="s">
        <v>416</v>
      </c>
      <c r="C26" s="82" t="s">
        <v>452</v>
      </c>
      <c r="D26" s="83" t="s">
        <v>90</v>
      </c>
      <c r="E26" s="83" t="s">
        <v>90</v>
      </c>
      <c r="F26" s="83" t="s">
        <v>430</v>
      </c>
      <c r="G26" s="272" t="s">
        <v>450</v>
      </c>
      <c r="H26" s="63" t="s">
        <v>453</v>
      </c>
      <c r="I26" s="63"/>
      <c r="J26" s="80">
        <v>5270</v>
      </c>
      <c r="K26" s="80">
        <v>30721.94</v>
      </c>
      <c r="L26" s="84">
        <f t="shared" si="0"/>
        <v>4.82959013282732</v>
      </c>
      <c r="M26" s="80">
        <v>19220</v>
      </c>
      <c r="N26" s="80">
        <v>3251.56</v>
      </c>
      <c r="O26" s="84">
        <f t="shared" si="1"/>
        <v>-0.830824141519251</v>
      </c>
      <c r="P26" s="80">
        <f t="shared" si="2"/>
        <v>24490</v>
      </c>
      <c r="Q26" s="80">
        <f t="shared" si="3"/>
        <v>33973.5</v>
      </c>
      <c r="R26" s="84">
        <f t="shared" si="4"/>
        <v>0.387239689669253</v>
      </c>
      <c r="S26" s="85">
        <v>6350</v>
      </c>
      <c r="T26" s="85">
        <v>17977.56</v>
      </c>
      <c r="U26" s="84">
        <f t="shared" si="5"/>
        <v>1.83111181102362</v>
      </c>
      <c r="V26" s="86">
        <f t="shared" si="6"/>
        <v>30840</v>
      </c>
      <c r="W26" s="86">
        <f t="shared" si="7"/>
        <v>51951.06</v>
      </c>
      <c r="X26" s="84">
        <f t="shared" si="8"/>
        <v>0.684535019455253</v>
      </c>
      <c r="Y26" s="80">
        <v>11488.2</v>
      </c>
      <c r="Z26" s="80">
        <v>20480.06</v>
      </c>
      <c r="AA26" s="84">
        <f t="shared" si="9"/>
        <v>0.782703991922146</v>
      </c>
      <c r="AB26" s="80">
        <f t="shared" si="10"/>
        <v>42328.2</v>
      </c>
      <c r="AC26" s="80">
        <f t="shared" si="11"/>
        <v>72431.12</v>
      </c>
      <c r="AD26" s="84">
        <f t="shared" si="12"/>
        <v>0.711178835858836</v>
      </c>
      <c r="AE26" s="80">
        <v>5121</v>
      </c>
      <c r="AF26" s="80"/>
      <c r="AG26" s="84">
        <f t="shared" si="13"/>
        <v>-1</v>
      </c>
      <c r="AH26" s="80">
        <f t="shared" si="14"/>
        <v>47449.2</v>
      </c>
      <c r="AI26" s="80">
        <f t="shared" si="15"/>
        <v>72431.12</v>
      </c>
      <c r="AJ26" s="84">
        <f t="shared" si="16"/>
        <v>0.526498233900677</v>
      </c>
      <c r="AK26" s="87">
        <v>15150</v>
      </c>
      <c r="AL26" s="87">
        <v>40700.9</v>
      </c>
      <c r="AM26" s="84">
        <f t="shared" si="17"/>
        <v>1.68652805280528</v>
      </c>
      <c r="AN26" s="87">
        <f t="shared" si="18"/>
        <v>62599.2</v>
      </c>
      <c r="AO26" s="87">
        <f t="shared" si="19"/>
        <v>113132.02</v>
      </c>
      <c r="AP26" s="84">
        <f t="shared" si="20"/>
        <v>0.807243862541374</v>
      </c>
      <c r="AQ26" s="85">
        <v>101.3</v>
      </c>
      <c r="AR26" s="85">
        <v>309</v>
      </c>
      <c r="AS26" s="84">
        <f t="shared" si="21"/>
        <v>2.05034550839092</v>
      </c>
      <c r="AT26" s="85">
        <f t="shared" si="22"/>
        <v>62700.5</v>
      </c>
      <c r="AU26" s="85">
        <f t="shared" si="23"/>
        <v>113441.02</v>
      </c>
      <c r="AV26" s="84">
        <f t="shared" si="24"/>
        <v>0.809252238817872</v>
      </c>
      <c r="AW26" s="80">
        <v>0</v>
      </c>
      <c r="AX26" s="80">
        <v>7749.56</v>
      </c>
      <c r="AY26" s="84" t="e">
        <f t="shared" si="25"/>
        <v>#DIV/0!</v>
      </c>
      <c r="AZ26" s="80">
        <f t="shared" si="26"/>
        <v>62700.5</v>
      </c>
      <c r="BA26" s="80">
        <f t="shared" si="27"/>
        <v>121190.58</v>
      </c>
      <c r="BB26" s="84">
        <f t="shared" si="28"/>
        <v>0.932848701366018</v>
      </c>
      <c r="BC26" s="80">
        <v>18676</v>
      </c>
      <c r="BD26" s="80">
        <v>8980</v>
      </c>
      <c r="BE26" s="84">
        <f t="shared" si="29"/>
        <v>-0.519168986935104</v>
      </c>
      <c r="BF26" s="80">
        <f t="shared" si="30"/>
        <v>81376.5</v>
      </c>
      <c r="BG26" s="80">
        <f t="shared" si="31"/>
        <v>130170.58</v>
      </c>
      <c r="BH26" s="84">
        <f t="shared" si="32"/>
        <v>0.59960897802191</v>
      </c>
      <c r="BI26" s="88">
        <v>62574.2</v>
      </c>
      <c r="BJ26" s="88">
        <v>3613.36</v>
      </c>
      <c r="BK26" s="84">
        <f t="shared" si="33"/>
        <v>-0.942254795107249</v>
      </c>
      <c r="BL26" s="88">
        <f t="shared" si="34"/>
        <v>143950.7</v>
      </c>
      <c r="BM26" s="88">
        <f t="shared" si="35"/>
        <v>133783.94</v>
      </c>
      <c r="BN26" s="84">
        <f t="shared" si="36"/>
        <v>-0.0706266798285803</v>
      </c>
      <c r="BO26" s="80">
        <v>14270.76</v>
      </c>
      <c r="BP26" s="80">
        <v>71901.24</v>
      </c>
      <c r="BQ26" s="80">
        <v>230122.7</v>
      </c>
      <c r="BR26" s="89" t="e">
        <f t="shared" si="37"/>
        <v>#DIV/0!</v>
      </c>
    </row>
    <row r="27" s="56" customFormat="1" customHeight="1" spans="1:70">
      <c r="A27" s="62" t="s">
        <v>416</v>
      </c>
      <c r="B27" s="63" t="s">
        <v>416</v>
      </c>
      <c r="C27" s="82" t="s">
        <v>454</v>
      </c>
      <c r="D27" s="83" t="s">
        <v>67</v>
      </c>
      <c r="E27" s="83" t="s">
        <v>67</v>
      </c>
      <c r="F27" s="271" t="s">
        <v>445</v>
      </c>
      <c r="G27" s="272" t="s">
        <v>445</v>
      </c>
      <c r="H27" s="63" t="s">
        <v>437</v>
      </c>
      <c r="I27" s="63">
        <v>70</v>
      </c>
      <c r="J27" s="80">
        <v>66035</v>
      </c>
      <c r="K27" s="80"/>
      <c r="L27" s="84">
        <f t="shared" si="0"/>
        <v>-1</v>
      </c>
      <c r="M27" s="80">
        <v>7715</v>
      </c>
      <c r="N27" s="80">
        <v>12400</v>
      </c>
      <c r="O27" s="84">
        <f t="shared" si="1"/>
        <v>0.607258587167855</v>
      </c>
      <c r="P27" s="80">
        <f t="shared" si="2"/>
        <v>73750</v>
      </c>
      <c r="Q27" s="80">
        <f t="shared" si="3"/>
        <v>12400</v>
      </c>
      <c r="R27" s="84">
        <f t="shared" si="4"/>
        <v>-0.831864406779661</v>
      </c>
      <c r="S27" s="85">
        <v>45495</v>
      </c>
      <c r="T27" s="85">
        <v>10831</v>
      </c>
      <c r="U27" s="84">
        <f t="shared" si="5"/>
        <v>-0.76192988240466</v>
      </c>
      <c r="V27" s="86">
        <f t="shared" si="6"/>
        <v>119245</v>
      </c>
      <c r="W27" s="86">
        <f t="shared" si="7"/>
        <v>23231</v>
      </c>
      <c r="X27" s="84">
        <f t="shared" si="8"/>
        <v>-0.805182607237201</v>
      </c>
      <c r="Y27" s="80">
        <v>7084</v>
      </c>
      <c r="Z27" s="80">
        <v>35125</v>
      </c>
      <c r="AA27" s="84">
        <f t="shared" si="9"/>
        <v>3.95835686053077</v>
      </c>
      <c r="AB27" s="80">
        <f t="shared" si="10"/>
        <v>126329</v>
      </c>
      <c r="AC27" s="80">
        <f t="shared" si="11"/>
        <v>58356</v>
      </c>
      <c r="AD27" s="84">
        <f t="shared" si="12"/>
        <v>-0.538063310878737</v>
      </c>
      <c r="AE27" s="80">
        <v>28101</v>
      </c>
      <c r="AF27" s="80">
        <v>11948</v>
      </c>
      <c r="AG27" s="84">
        <f t="shared" si="13"/>
        <v>-0.574819401444788</v>
      </c>
      <c r="AH27" s="80">
        <f t="shared" si="14"/>
        <v>154430</v>
      </c>
      <c r="AI27" s="80">
        <f t="shared" si="15"/>
        <v>70304</v>
      </c>
      <c r="AJ27" s="84">
        <f t="shared" si="16"/>
        <v>-0.544751667422133</v>
      </c>
      <c r="AK27" s="87">
        <v>18286</v>
      </c>
      <c r="AL27" s="87">
        <v>117838.5</v>
      </c>
      <c r="AM27" s="84">
        <f t="shared" si="17"/>
        <v>5.44419227824565</v>
      </c>
      <c r="AN27" s="87">
        <f t="shared" si="18"/>
        <v>172716</v>
      </c>
      <c r="AO27" s="87">
        <f t="shared" si="19"/>
        <v>188142.5</v>
      </c>
      <c r="AP27" s="84">
        <f t="shared" si="20"/>
        <v>0.0893171449084045</v>
      </c>
      <c r="AQ27" s="85">
        <v>14715</v>
      </c>
      <c r="AR27" s="85">
        <v>23451.46</v>
      </c>
      <c r="AS27" s="84">
        <f t="shared" si="21"/>
        <v>0.593711179068977</v>
      </c>
      <c r="AT27" s="85">
        <f t="shared" si="22"/>
        <v>187431</v>
      </c>
      <c r="AU27" s="85">
        <f t="shared" si="23"/>
        <v>211593.96</v>
      </c>
      <c r="AV27" s="84">
        <f t="shared" si="24"/>
        <v>0.128916561294556</v>
      </c>
      <c r="AW27" s="80">
        <v>26645</v>
      </c>
      <c r="AX27" s="80">
        <v>23450</v>
      </c>
      <c r="AY27" s="84">
        <f t="shared" si="25"/>
        <v>-0.119909926815538</v>
      </c>
      <c r="AZ27" s="80">
        <f t="shared" si="26"/>
        <v>214076</v>
      </c>
      <c r="BA27" s="80">
        <f t="shared" si="27"/>
        <v>235043.96</v>
      </c>
      <c r="BB27" s="84">
        <f t="shared" si="28"/>
        <v>0.0979463368149629</v>
      </c>
      <c r="BC27" s="80">
        <v>45576</v>
      </c>
      <c r="BD27" s="80">
        <v>10678</v>
      </c>
      <c r="BE27" s="84">
        <f t="shared" si="29"/>
        <v>-0.765710022819028</v>
      </c>
      <c r="BF27" s="80">
        <f t="shared" si="30"/>
        <v>259652</v>
      </c>
      <c r="BG27" s="80">
        <f t="shared" si="31"/>
        <v>245721.96</v>
      </c>
      <c r="BH27" s="84">
        <f t="shared" si="32"/>
        <v>-0.0536488838907461</v>
      </c>
      <c r="BI27" s="88">
        <v>117631</v>
      </c>
      <c r="BJ27" s="88">
        <v>23470</v>
      </c>
      <c r="BK27" s="84">
        <f t="shared" si="33"/>
        <v>-0.800477765214952</v>
      </c>
      <c r="BL27" s="88">
        <f t="shared" si="34"/>
        <v>377283</v>
      </c>
      <c r="BM27" s="88">
        <f t="shared" si="35"/>
        <v>269191.96</v>
      </c>
      <c r="BN27" s="84">
        <f t="shared" si="36"/>
        <v>-0.286498570038936</v>
      </c>
      <c r="BO27" s="80">
        <v>102421.75</v>
      </c>
      <c r="BP27" s="80">
        <v>129488</v>
      </c>
      <c r="BQ27" s="80">
        <v>609192.75</v>
      </c>
      <c r="BR27" s="89">
        <f t="shared" si="37"/>
        <v>0.384559942857143</v>
      </c>
    </row>
    <row r="28" s="56" customFormat="1" customHeight="1" spans="1:70">
      <c r="A28" s="62" t="s">
        <v>416</v>
      </c>
      <c r="B28" s="63" t="s">
        <v>455</v>
      </c>
      <c r="C28" s="82" t="s">
        <v>456</v>
      </c>
      <c r="D28" s="83" t="s">
        <v>63</v>
      </c>
      <c r="E28" s="83" t="s">
        <v>63</v>
      </c>
      <c r="F28" s="83" t="s">
        <v>457</v>
      </c>
      <c r="G28" s="63" t="s">
        <v>458</v>
      </c>
      <c r="H28" s="63" t="s">
        <v>459</v>
      </c>
      <c r="I28" s="63"/>
      <c r="J28" s="80"/>
      <c r="K28" s="80"/>
      <c r="L28" s="84" t="e">
        <f t="shared" si="0"/>
        <v>#DIV/0!</v>
      </c>
      <c r="M28" s="80"/>
      <c r="N28" s="80"/>
      <c r="O28" s="84" t="e">
        <f t="shared" si="1"/>
        <v>#DIV/0!</v>
      </c>
      <c r="P28" s="80">
        <f t="shared" si="2"/>
        <v>0</v>
      </c>
      <c r="Q28" s="80">
        <f t="shared" si="3"/>
        <v>0</v>
      </c>
      <c r="R28" s="84" t="e">
        <f t="shared" si="4"/>
        <v>#DIV/0!</v>
      </c>
      <c r="S28" s="85"/>
      <c r="T28" s="85"/>
      <c r="U28" s="84" t="e">
        <f t="shared" si="5"/>
        <v>#DIV/0!</v>
      </c>
      <c r="V28" s="86">
        <f t="shared" si="6"/>
        <v>0</v>
      </c>
      <c r="W28" s="86">
        <f t="shared" si="7"/>
        <v>0</v>
      </c>
      <c r="X28" s="84" t="e">
        <f t="shared" si="8"/>
        <v>#DIV/0!</v>
      </c>
      <c r="Y28" s="80"/>
      <c r="Z28" s="80"/>
      <c r="AA28" s="84" t="e">
        <f t="shared" si="9"/>
        <v>#DIV/0!</v>
      </c>
      <c r="AB28" s="80">
        <f t="shared" si="10"/>
        <v>0</v>
      </c>
      <c r="AC28" s="80">
        <f t="shared" si="11"/>
        <v>0</v>
      </c>
      <c r="AD28" s="84" t="e">
        <f t="shared" si="12"/>
        <v>#DIV/0!</v>
      </c>
      <c r="AE28" s="80"/>
      <c r="AF28" s="80"/>
      <c r="AG28" s="84" t="e">
        <f t="shared" si="13"/>
        <v>#DIV/0!</v>
      </c>
      <c r="AH28" s="80">
        <f t="shared" si="14"/>
        <v>0</v>
      </c>
      <c r="AI28" s="80">
        <f t="shared" si="15"/>
        <v>0</v>
      </c>
      <c r="AJ28" s="84" t="e">
        <f t="shared" si="16"/>
        <v>#DIV/0!</v>
      </c>
      <c r="AK28" s="87"/>
      <c r="AL28" s="87"/>
      <c r="AM28" s="84" t="e">
        <f t="shared" si="17"/>
        <v>#DIV/0!</v>
      </c>
      <c r="AN28" s="87">
        <f t="shared" si="18"/>
        <v>0</v>
      </c>
      <c r="AO28" s="87">
        <f t="shared" si="19"/>
        <v>0</v>
      </c>
      <c r="AP28" s="84" t="e">
        <f t="shared" si="20"/>
        <v>#DIV/0!</v>
      </c>
      <c r="AQ28" s="85"/>
      <c r="AR28" s="85"/>
      <c r="AS28" s="84" t="e">
        <f t="shared" si="21"/>
        <v>#DIV/0!</v>
      </c>
      <c r="AT28" s="85">
        <f t="shared" si="22"/>
        <v>0</v>
      </c>
      <c r="AU28" s="85">
        <f t="shared" si="23"/>
        <v>0</v>
      </c>
      <c r="AV28" s="84" t="e">
        <f t="shared" si="24"/>
        <v>#DIV/0!</v>
      </c>
      <c r="AW28" s="80"/>
      <c r="AX28" s="80"/>
      <c r="AY28" s="84" t="e">
        <f t="shared" si="25"/>
        <v>#DIV/0!</v>
      </c>
      <c r="AZ28" s="80">
        <f t="shared" si="26"/>
        <v>0</v>
      </c>
      <c r="BA28" s="80">
        <f t="shared" si="27"/>
        <v>0</v>
      </c>
      <c r="BB28" s="84" t="e">
        <f t="shared" si="28"/>
        <v>#DIV/0!</v>
      </c>
      <c r="BC28" s="80"/>
      <c r="BD28" s="80"/>
      <c r="BE28" s="84" t="e">
        <f t="shared" si="29"/>
        <v>#DIV/0!</v>
      </c>
      <c r="BF28" s="80">
        <f t="shared" si="30"/>
        <v>0</v>
      </c>
      <c r="BG28" s="80">
        <f t="shared" si="31"/>
        <v>0</v>
      </c>
      <c r="BH28" s="84" t="e">
        <f t="shared" si="32"/>
        <v>#DIV/0!</v>
      </c>
      <c r="BI28" s="88"/>
      <c r="BJ28" s="88"/>
      <c r="BK28" s="84" t="e">
        <f t="shared" si="33"/>
        <v>#DIV/0!</v>
      </c>
      <c r="BL28" s="88">
        <f t="shared" si="34"/>
        <v>0</v>
      </c>
      <c r="BM28" s="88">
        <f t="shared" si="35"/>
        <v>0</v>
      </c>
      <c r="BN28" s="84" t="e">
        <f t="shared" si="36"/>
        <v>#DIV/0!</v>
      </c>
      <c r="BO28" s="80"/>
      <c r="BP28" s="80"/>
      <c r="BQ28" s="80">
        <v>0</v>
      </c>
      <c r="BR28" s="89" t="e">
        <f t="shared" si="37"/>
        <v>#DIV/0!</v>
      </c>
    </row>
    <row r="29" s="56" customFormat="1" customHeight="1" spans="1:70">
      <c r="A29" s="62" t="s">
        <v>416</v>
      </c>
      <c r="B29" s="63" t="s">
        <v>455</v>
      </c>
      <c r="C29" s="82" t="s">
        <v>460</v>
      </c>
      <c r="D29" s="83" t="s">
        <v>63</v>
      </c>
      <c r="E29" s="83" t="s">
        <v>63</v>
      </c>
      <c r="F29" s="83" t="s">
        <v>457</v>
      </c>
      <c r="G29" s="63" t="s">
        <v>458</v>
      </c>
      <c r="H29" s="63" t="s">
        <v>459</v>
      </c>
      <c r="I29" s="63"/>
      <c r="J29" s="80"/>
      <c r="K29" s="80"/>
      <c r="L29" s="84" t="e">
        <f t="shared" si="0"/>
        <v>#DIV/0!</v>
      </c>
      <c r="M29" s="80"/>
      <c r="N29" s="80"/>
      <c r="O29" s="84" t="e">
        <f t="shared" si="1"/>
        <v>#DIV/0!</v>
      </c>
      <c r="P29" s="80">
        <f t="shared" si="2"/>
        <v>0</v>
      </c>
      <c r="Q29" s="80">
        <f t="shared" si="3"/>
        <v>0</v>
      </c>
      <c r="R29" s="84" t="e">
        <f t="shared" si="4"/>
        <v>#DIV/0!</v>
      </c>
      <c r="S29" s="85"/>
      <c r="T29" s="85"/>
      <c r="U29" s="84" t="e">
        <f t="shared" si="5"/>
        <v>#DIV/0!</v>
      </c>
      <c r="V29" s="86">
        <f t="shared" si="6"/>
        <v>0</v>
      </c>
      <c r="W29" s="86">
        <f t="shared" si="7"/>
        <v>0</v>
      </c>
      <c r="X29" s="84" t="e">
        <f t="shared" si="8"/>
        <v>#DIV/0!</v>
      </c>
      <c r="Y29" s="80"/>
      <c r="Z29" s="80"/>
      <c r="AA29" s="84" t="e">
        <f t="shared" si="9"/>
        <v>#DIV/0!</v>
      </c>
      <c r="AB29" s="80">
        <f t="shared" si="10"/>
        <v>0</v>
      </c>
      <c r="AC29" s="80">
        <f t="shared" si="11"/>
        <v>0</v>
      </c>
      <c r="AD29" s="84" t="e">
        <f t="shared" si="12"/>
        <v>#DIV/0!</v>
      </c>
      <c r="AE29" s="80"/>
      <c r="AF29" s="80"/>
      <c r="AG29" s="84" t="e">
        <f t="shared" si="13"/>
        <v>#DIV/0!</v>
      </c>
      <c r="AH29" s="80">
        <f t="shared" si="14"/>
        <v>0</v>
      </c>
      <c r="AI29" s="80">
        <f t="shared" si="15"/>
        <v>0</v>
      </c>
      <c r="AJ29" s="84" t="e">
        <f t="shared" si="16"/>
        <v>#DIV/0!</v>
      </c>
      <c r="AK29" s="87"/>
      <c r="AL29" s="87"/>
      <c r="AM29" s="84" t="e">
        <f t="shared" si="17"/>
        <v>#DIV/0!</v>
      </c>
      <c r="AN29" s="87">
        <f t="shared" si="18"/>
        <v>0</v>
      </c>
      <c r="AO29" s="87">
        <f t="shared" si="19"/>
        <v>0</v>
      </c>
      <c r="AP29" s="84" t="e">
        <f t="shared" si="20"/>
        <v>#DIV/0!</v>
      </c>
      <c r="AQ29" s="85"/>
      <c r="AR29" s="85"/>
      <c r="AS29" s="84" t="e">
        <f t="shared" si="21"/>
        <v>#DIV/0!</v>
      </c>
      <c r="AT29" s="85">
        <f t="shared" si="22"/>
        <v>0</v>
      </c>
      <c r="AU29" s="85">
        <f t="shared" si="23"/>
        <v>0</v>
      </c>
      <c r="AV29" s="84" t="e">
        <f t="shared" si="24"/>
        <v>#DIV/0!</v>
      </c>
      <c r="AW29" s="80"/>
      <c r="AX29" s="80"/>
      <c r="AY29" s="84" t="e">
        <f t="shared" si="25"/>
        <v>#DIV/0!</v>
      </c>
      <c r="AZ29" s="80">
        <f t="shared" si="26"/>
        <v>0</v>
      </c>
      <c r="BA29" s="80">
        <f t="shared" si="27"/>
        <v>0</v>
      </c>
      <c r="BB29" s="84" t="e">
        <f t="shared" si="28"/>
        <v>#DIV/0!</v>
      </c>
      <c r="BC29" s="80"/>
      <c r="BD29" s="80"/>
      <c r="BE29" s="84" t="e">
        <f t="shared" si="29"/>
        <v>#DIV/0!</v>
      </c>
      <c r="BF29" s="80">
        <f t="shared" si="30"/>
        <v>0</v>
      </c>
      <c r="BG29" s="80">
        <f t="shared" si="31"/>
        <v>0</v>
      </c>
      <c r="BH29" s="84" t="e">
        <f t="shared" si="32"/>
        <v>#DIV/0!</v>
      </c>
      <c r="BI29" s="88"/>
      <c r="BJ29" s="88"/>
      <c r="BK29" s="84" t="e">
        <f t="shared" si="33"/>
        <v>#DIV/0!</v>
      </c>
      <c r="BL29" s="88">
        <f t="shared" si="34"/>
        <v>0</v>
      </c>
      <c r="BM29" s="88">
        <f t="shared" si="35"/>
        <v>0</v>
      </c>
      <c r="BN29" s="84" t="e">
        <f t="shared" si="36"/>
        <v>#DIV/0!</v>
      </c>
      <c r="BO29" s="80"/>
      <c r="BP29" s="80"/>
      <c r="BQ29" s="80">
        <v>0</v>
      </c>
      <c r="BR29" s="89" t="e">
        <f t="shared" si="37"/>
        <v>#DIV/0!</v>
      </c>
    </row>
    <row r="30" s="56" customFormat="1" customHeight="1" spans="1:70">
      <c r="A30" s="62" t="s">
        <v>416</v>
      </c>
      <c r="B30" s="63" t="s">
        <v>416</v>
      </c>
      <c r="C30" s="95" t="s">
        <v>461</v>
      </c>
      <c r="D30" s="83" t="s">
        <v>63</v>
      </c>
      <c r="E30" s="83" t="s">
        <v>63</v>
      </c>
      <c r="F30" s="83" t="s">
        <v>422</v>
      </c>
      <c r="G30" s="63" t="s">
        <v>422</v>
      </c>
      <c r="H30" s="63" t="s">
        <v>423</v>
      </c>
      <c r="I30" s="63"/>
      <c r="J30" s="80">
        <v>43775</v>
      </c>
      <c r="K30" s="80">
        <v>15899</v>
      </c>
      <c r="L30" s="84">
        <f t="shared" si="0"/>
        <v>-0.636801827527127</v>
      </c>
      <c r="M30" s="80">
        <v>6740</v>
      </c>
      <c r="N30" s="80">
        <v>59967</v>
      </c>
      <c r="O30" s="84">
        <f t="shared" si="1"/>
        <v>7.89718100890208</v>
      </c>
      <c r="P30" s="80">
        <f t="shared" si="2"/>
        <v>50515</v>
      </c>
      <c r="Q30" s="80">
        <f t="shared" si="3"/>
        <v>75866</v>
      </c>
      <c r="R30" s="84">
        <f t="shared" si="4"/>
        <v>0.501850935365733</v>
      </c>
      <c r="S30" s="85">
        <v>7780</v>
      </c>
      <c r="T30" s="85">
        <v>21038</v>
      </c>
      <c r="U30" s="84">
        <f t="shared" si="5"/>
        <v>1.70411311053985</v>
      </c>
      <c r="V30" s="86">
        <f t="shared" si="6"/>
        <v>58295</v>
      </c>
      <c r="W30" s="86">
        <f t="shared" si="7"/>
        <v>96904</v>
      </c>
      <c r="X30" s="84">
        <f t="shared" si="8"/>
        <v>0.662303799639763</v>
      </c>
      <c r="Y30" s="80">
        <v>243032</v>
      </c>
      <c r="Z30" s="80"/>
      <c r="AA30" s="84">
        <f t="shared" si="9"/>
        <v>-1</v>
      </c>
      <c r="AB30" s="80">
        <f t="shared" si="10"/>
        <v>301327</v>
      </c>
      <c r="AC30" s="80">
        <f t="shared" si="11"/>
        <v>96904</v>
      </c>
      <c r="AD30" s="84">
        <f t="shared" si="12"/>
        <v>-0.678409170104239</v>
      </c>
      <c r="AE30" s="80">
        <v>209</v>
      </c>
      <c r="AF30" s="80">
        <v>12061</v>
      </c>
      <c r="AG30" s="84">
        <f t="shared" si="13"/>
        <v>56.7081339712919</v>
      </c>
      <c r="AH30" s="80">
        <f t="shared" si="14"/>
        <v>301536</v>
      </c>
      <c r="AI30" s="80">
        <f t="shared" si="15"/>
        <v>108965</v>
      </c>
      <c r="AJ30" s="84">
        <f t="shared" si="16"/>
        <v>-0.638633529661467</v>
      </c>
      <c r="AK30" s="87">
        <v>56327</v>
      </c>
      <c r="AL30" s="87"/>
      <c r="AM30" s="84">
        <f t="shared" si="17"/>
        <v>-1</v>
      </c>
      <c r="AN30" s="87">
        <f t="shared" si="18"/>
        <v>357863</v>
      </c>
      <c r="AO30" s="87">
        <f t="shared" si="19"/>
        <v>108965</v>
      </c>
      <c r="AP30" s="84">
        <f t="shared" si="20"/>
        <v>-0.695511969664369</v>
      </c>
      <c r="AQ30" s="85">
        <v>79445</v>
      </c>
      <c r="AR30" s="85">
        <v>2270</v>
      </c>
      <c r="AS30" s="84">
        <f t="shared" si="21"/>
        <v>-0.971426773239348</v>
      </c>
      <c r="AT30" s="85">
        <f t="shared" si="22"/>
        <v>437308</v>
      </c>
      <c r="AU30" s="85">
        <f t="shared" si="23"/>
        <v>111235</v>
      </c>
      <c r="AV30" s="84">
        <f t="shared" si="24"/>
        <v>-0.745636942383858</v>
      </c>
      <c r="AW30" s="80">
        <v>72244</v>
      </c>
      <c r="AX30" s="80">
        <v>13489</v>
      </c>
      <c r="AY30" s="84">
        <f t="shared" si="25"/>
        <v>-0.813285532362549</v>
      </c>
      <c r="AZ30" s="80">
        <f t="shared" si="26"/>
        <v>509552</v>
      </c>
      <c r="BA30" s="80">
        <f t="shared" si="27"/>
        <v>124724</v>
      </c>
      <c r="BB30" s="84">
        <f t="shared" si="28"/>
        <v>-0.755228121958112</v>
      </c>
      <c r="BC30" s="80">
        <v>34820</v>
      </c>
      <c r="BD30" s="80">
        <v>13066</v>
      </c>
      <c r="BE30" s="84">
        <f t="shared" si="29"/>
        <v>-0.624755887421022</v>
      </c>
      <c r="BF30" s="80">
        <f t="shared" si="30"/>
        <v>544372</v>
      </c>
      <c r="BG30" s="80">
        <f t="shared" si="31"/>
        <v>137790</v>
      </c>
      <c r="BH30" s="84">
        <f t="shared" si="32"/>
        <v>-0.746882646425606</v>
      </c>
      <c r="BI30" s="88">
        <v>83150</v>
      </c>
      <c r="BJ30" s="88"/>
      <c r="BK30" s="84">
        <f t="shared" si="33"/>
        <v>-1</v>
      </c>
      <c r="BL30" s="88">
        <f t="shared" si="34"/>
        <v>627522</v>
      </c>
      <c r="BM30" s="88">
        <f t="shared" si="35"/>
        <v>137790</v>
      </c>
      <c r="BN30" s="84">
        <f t="shared" si="36"/>
        <v>-0.780422040980236</v>
      </c>
      <c r="BO30" s="80">
        <v>32470</v>
      </c>
      <c r="BP30" s="80">
        <v>80053</v>
      </c>
      <c r="BQ30" s="80">
        <v>740045</v>
      </c>
      <c r="BR30" s="89" t="e">
        <f t="shared" si="37"/>
        <v>#DIV/0!</v>
      </c>
    </row>
    <row r="31" s="56" customFormat="1" customHeight="1" spans="1:70">
      <c r="A31" s="62" t="s">
        <v>416</v>
      </c>
      <c r="B31" s="63" t="s">
        <v>455</v>
      </c>
      <c r="C31" s="95" t="s">
        <v>462</v>
      </c>
      <c r="D31" s="83" t="s">
        <v>63</v>
      </c>
      <c r="E31" s="83" t="s">
        <v>63</v>
      </c>
      <c r="F31" s="83" t="s">
        <v>457</v>
      </c>
      <c r="G31" s="63" t="s">
        <v>457</v>
      </c>
      <c r="H31" s="63" t="s">
        <v>459</v>
      </c>
      <c r="I31" s="63"/>
      <c r="J31" s="80">
        <v>14850</v>
      </c>
      <c r="K31" s="80">
        <v>62800</v>
      </c>
      <c r="L31" s="84">
        <f t="shared" si="0"/>
        <v>3.22895622895623</v>
      </c>
      <c r="M31" s="80">
        <v>43687</v>
      </c>
      <c r="N31" s="80">
        <v>57110</v>
      </c>
      <c r="O31" s="84">
        <f t="shared" si="1"/>
        <v>0.307253874150205</v>
      </c>
      <c r="P31" s="80">
        <f t="shared" si="2"/>
        <v>58537</v>
      </c>
      <c r="Q31" s="80">
        <f t="shared" si="3"/>
        <v>119910</v>
      </c>
      <c r="R31" s="84">
        <f t="shared" si="4"/>
        <v>1.04844799016007</v>
      </c>
      <c r="S31" s="85">
        <v>9390</v>
      </c>
      <c r="T31" s="85">
        <v>77505</v>
      </c>
      <c r="U31" s="84">
        <f t="shared" si="5"/>
        <v>7.25399361022364</v>
      </c>
      <c r="V31" s="86">
        <f t="shared" si="6"/>
        <v>67927</v>
      </c>
      <c r="W31" s="86">
        <f t="shared" si="7"/>
        <v>197415</v>
      </c>
      <c r="X31" s="84">
        <f t="shared" si="8"/>
        <v>1.90628174363655</v>
      </c>
      <c r="Y31" s="80">
        <v>35538</v>
      </c>
      <c r="Z31" s="80">
        <v>141075</v>
      </c>
      <c r="AA31" s="84">
        <f t="shared" si="9"/>
        <v>2.96969441161574</v>
      </c>
      <c r="AB31" s="80">
        <f t="shared" si="10"/>
        <v>103465</v>
      </c>
      <c r="AC31" s="80">
        <f t="shared" si="11"/>
        <v>338490</v>
      </c>
      <c r="AD31" s="84">
        <f t="shared" si="12"/>
        <v>2.27154110085536</v>
      </c>
      <c r="AE31" s="80">
        <v>78386</v>
      </c>
      <c r="AF31" s="80">
        <v>86370</v>
      </c>
      <c r="AG31" s="84">
        <f t="shared" si="13"/>
        <v>0.101854923072998</v>
      </c>
      <c r="AH31" s="80">
        <f t="shared" si="14"/>
        <v>181851</v>
      </c>
      <c r="AI31" s="80">
        <f t="shared" si="15"/>
        <v>424860</v>
      </c>
      <c r="AJ31" s="84">
        <f t="shared" si="16"/>
        <v>1.33630829635251</v>
      </c>
      <c r="AK31" s="87">
        <v>54614</v>
      </c>
      <c r="AL31" s="87">
        <v>69086</v>
      </c>
      <c r="AM31" s="84">
        <f t="shared" si="17"/>
        <v>0.264986999670414</v>
      </c>
      <c r="AN31" s="87">
        <f t="shared" si="18"/>
        <v>236465</v>
      </c>
      <c r="AO31" s="87">
        <f t="shared" si="19"/>
        <v>493946</v>
      </c>
      <c r="AP31" s="84">
        <f t="shared" si="20"/>
        <v>1.08887573213795</v>
      </c>
      <c r="AQ31" s="85">
        <v>52200</v>
      </c>
      <c r="AR31" s="85">
        <v>-201288</v>
      </c>
      <c r="AS31" s="84">
        <f t="shared" si="21"/>
        <v>-4.85609195402299</v>
      </c>
      <c r="AT31" s="85">
        <f t="shared" si="22"/>
        <v>288665</v>
      </c>
      <c r="AU31" s="85">
        <f t="shared" si="23"/>
        <v>292658</v>
      </c>
      <c r="AV31" s="84">
        <f t="shared" si="24"/>
        <v>0.0138326433755391</v>
      </c>
      <c r="AW31" s="80">
        <v>29350</v>
      </c>
      <c r="AX31" s="80"/>
      <c r="AY31" s="84">
        <f t="shared" si="25"/>
        <v>-1</v>
      </c>
      <c r="AZ31" s="80">
        <f t="shared" si="26"/>
        <v>318015</v>
      </c>
      <c r="BA31" s="80">
        <f t="shared" si="27"/>
        <v>292658</v>
      </c>
      <c r="BB31" s="84">
        <f t="shared" si="28"/>
        <v>-0.0797352326148137</v>
      </c>
      <c r="BC31" s="80">
        <v>146789</v>
      </c>
      <c r="BD31" s="80">
        <v>32136</v>
      </c>
      <c r="BE31" s="84">
        <f t="shared" si="29"/>
        <v>-0.781073513682905</v>
      </c>
      <c r="BF31" s="80">
        <f t="shared" si="30"/>
        <v>464804</v>
      </c>
      <c r="BG31" s="80">
        <f t="shared" si="31"/>
        <v>324794</v>
      </c>
      <c r="BH31" s="84">
        <f t="shared" si="32"/>
        <v>-0.301223741620124</v>
      </c>
      <c r="BI31" s="88">
        <v>67280</v>
      </c>
      <c r="BJ31" s="88"/>
      <c r="BK31" s="84">
        <f t="shared" si="33"/>
        <v>-1</v>
      </c>
      <c r="BL31" s="88">
        <f t="shared" si="34"/>
        <v>532084</v>
      </c>
      <c r="BM31" s="88">
        <f t="shared" si="35"/>
        <v>324794</v>
      </c>
      <c r="BN31" s="84">
        <f t="shared" si="36"/>
        <v>-0.38958134429902</v>
      </c>
      <c r="BO31" s="80">
        <v>98050</v>
      </c>
      <c r="BP31" s="80">
        <v>192540</v>
      </c>
      <c r="BQ31" s="80">
        <v>822674</v>
      </c>
      <c r="BR31" s="89" t="e">
        <f t="shared" si="37"/>
        <v>#DIV/0!</v>
      </c>
    </row>
    <row r="32" s="56" customFormat="1" customHeight="1" spans="1:70">
      <c r="A32" s="62" t="s">
        <v>416</v>
      </c>
      <c r="B32" s="63" t="s">
        <v>416</v>
      </c>
      <c r="C32" s="95" t="s">
        <v>463</v>
      </c>
      <c r="D32" s="83" t="s">
        <v>86</v>
      </c>
      <c r="E32" s="83" t="s">
        <v>86</v>
      </c>
      <c r="F32" s="83" t="s">
        <v>422</v>
      </c>
      <c r="G32" s="63" t="s">
        <v>422</v>
      </c>
      <c r="H32" s="63" t="s">
        <v>423</v>
      </c>
      <c r="I32" s="63"/>
      <c r="J32" s="80">
        <v>3462</v>
      </c>
      <c r="K32" s="80"/>
      <c r="L32" s="84">
        <f t="shared" si="0"/>
        <v>-1</v>
      </c>
      <c r="M32" s="80"/>
      <c r="N32" s="80"/>
      <c r="O32" s="84" t="e">
        <f t="shared" si="1"/>
        <v>#DIV/0!</v>
      </c>
      <c r="P32" s="80">
        <f t="shared" si="2"/>
        <v>3462</v>
      </c>
      <c r="Q32" s="80">
        <f t="shared" si="3"/>
        <v>0</v>
      </c>
      <c r="R32" s="84">
        <f t="shared" si="4"/>
        <v>-1</v>
      </c>
      <c r="S32" s="85">
        <v>8942</v>
      </c>
      <c r="T32" s="85"/>
      <c r="U32" s="84">
        <f t="shared" si="5"/>
        <v>-1</v>
      </c>
      <c r="V32" s="86">
        <f t="shared" si="6"/>
        <v>12404</v>
      </c>
      <c r="W32" s="86">
        <f t="shared" si="7"/>
        <v>0</v>
      </c>
      <c r="X32" s="84">
        <f t="shared" si="8"/>
        <v>-1</v>
      </c>
      <c r="Y32" s="80">
        <v>12270</v>
      </c>
      <c r="Z32" s="80"/>
      <c r="AA32" s="84">
        <f t="shared" si="9"/>
        <v>-1</v>
      </c>
      <c r="AB32" s="80">
        <f t="shared" si="10"/>
        <v>24674</v>
      </c>
      <c r="AC32" s="80">
        <f t="shared" si="11"/>
        <v>0</v>
      </c>
      <c r="AD32" s="84">
        <f t="shared" si="12"/>
        <v>-1</v>
      </c>
      <c r="AE32" s="80"/>
      <c r="AF32" s="80"/>
      <c r="AG32" s="84" t="e">
        <f t="shared" si="13"/>
        <v>#DIV/0!</v>
      </c>
      <c r="AH32" s="80">
        <f t="shared" si="14"/>
        <v>24674</v>
      </c>
      <c r="AI32" s="80">
        <f t="shared" si="15"/>
        <v>0</v>
      </c>
      <c r="AJ32" s="84">
        <f t="shared" si="16"/>
        <v>-1</v>
      </c>
      <c r="AK32" s="87"/>
      <c r="AL32" s="87"/>
      <c r="AM32" s="84" t="e">
        <f t="shared" si="17"/>
        <v>#DIV/0!</v>
      </c>
      <c r="AN32" s="87">
        <f t="shared" si="18"/>
        <v>24674</v>
      </c>
      <c r="AO32" s="87">
        <f t="shared" si="19"/>
        <v>0</v>
      </c>
      <c r="AP32" s="84">
        <f t="shared" si="20"/>
        <v>-1</v>
      </c>
      <c r="AQ32" s="85"/>
      <c r="AR32" s="85"/>
      <c r="AS32" s="84" t="e">
        <f t="shared" si="21"/>
        <v>#DIV/0!</v>
      </c>
      <c r="AT32" s="85">
        <f t="shared" si="22"/>
        <v>24674</v>
      </c>
      <c r="AU32" s="85">
        <f t="shared" si="23"/>
        <v>0</v>
      </c>
      <c r="AV32" s="84">
        <f t="shared" si="24"/>
        <v>-1</v>
      </c>
      <c r="AW32" s="80"/>
      <c r="AX32" s="80"/>
      <c r="AY32" s="84" t="e">
        <f t="shared" si="25"/>
        <v>#DIV/0!</v>
      </c>
      <c r="AZ32" s="80">
        <f t="shared" si="26"/>
        <v>24674</v>
      </c>
      <c r="BA32" s="80">
        <f t="shared" si="27"/>
        <v>0</v>
      </c>
      <c r="BB32" s="84">
        <f t="shared" si="28"/>
        <v>-1</v>
      </c>
      <c r="BC32" s="80"/>
      <c r="BD32" s="80"/>
      <c r="BE32" s="84" t="e">
        <f t="shared" si="29"/>
        <v>#DIV/0!</v>
      </c>
      <c r="BF32" s="80">
        <f t="shared" si="30"/>
        <v>24674</v>
      </c>
      <c r="BG32" s="80">
        <f t="shared" si="31"/>
        <v>0</v>
      </c>
      <c r="BH32" s="84">
        <f t="shared" si="32"/>
        <v>-1</v>
      </c>
      <c r="BI32" s="88"/>
      <c r="BJ32" s="88"/>
      <c r="BK32" s="84" t="e">
        <f t="shared" si="33"/>
        <v>#DIV/0!</v>
      </c>
      <c r="BL32" s="88">
        <f t="shared" si="34"/>
        <v>24674</v>
      </c>
      <c r="BM32" s="88">
        <f t="shared" si="35"/>
        <v>0</v>
      </c>
      <c r="BN32" s="84">
        <f t="shared" si="36"/>
        <v>-1</v>
      </c>
      <c r="BO32" s="80"/>
      <c r="BP32" s="80"/>
      <c r="BQ32" s="80">
        <v>24674</v>
      </c>
      <c r="BR32" s="89" t="e">
        <f t="shared" si="37"/>
        <v>#DIV/0!</v>
      </c>
    </row>
    <row r="33" s="56" customFormat="1" customHeight="1" spans="1:70">
      <c r="A33" s="62" t="s">
        <v>416</v>
      </c>
      <c r="B33" s="63" t="s">
        <v>416</v>
      </c>
      <c r="C33" s="95" t="s">
        <v>464</v>
      </c>
      <c r="D33" s="83" t="s">
        <v>63</v>
      </c>
      <c r="E33" s="83" t="s">
        <v>63</v>
      </c>
      <c r="F33" s="83" t="s">
        <v>445</v>
      </c>
      <c r="G33" s="63" t="s">
        <v>445</v>
      </c>
      <c r="H33" s="63" t="s">
        <v>437</v>
      </c>
      <c r="I33" s="63"/>
      <c r="J33" s="80">
        <v>7660</v>
      </c>
      <c r="K33" s="80"/>
      <c r="L33" s="84">
        <f t="shared" si="0"/>
        <v>-1</v>
      </c>
      <c r="M33" s="80">
        <v>11541</v>
      </c>
      <c r="N33" s="80"/>
      <c r="O33" s="84">
        <f t="shared" si="1"/>
        <v>-1</v>
      </c>
      <c r="P33" s="80">
        <f t="shared" si="2"/>
        <v>19201</v>
      </c>
      <c r="Q33" s="80">
        <f t="shared" si="3"/>
        <v>0</v>
      </c>
      <c r="R33" s="84">
        <f t="shared" si="4"/>
        <v>-1</v>
      </c>
      <c r="S33" s="85"/>
      <c r="T33" s="85"/>
      <c r="U33" s="84" t="e">
        <f t="shared" si="5"/>
        <v>#DIV/0!</v>
      </c>
      <c r="V33" s="86">
        <f t="shared" si="6"/>
        <v>19201</v>
      </c>
      <c r="W33" s="86">
        <f t="shared" si="7"/>
        <v>0</v>
      </c>
      <c r="X33" s="84">
        <f t="shared" si="8"/>
        <v>-1</v>
      </c>
      <c r="Y33" s="80">
        <v>4450</v>
      </c>
      <c r="Z33" s="80"/>
      <c r="AA33" s="84">
        <f t="shared" si="9"/>
        <v>-1</v>
      </c>
      <c r="AB33" s="80">
        <f t="shared" si="10"/>
        <v>23651</v>
      </c>
      <c r="AC33" s="80">
        <f t="shared" si="11"/>
        <v>0</v>
      </c>
      <c r="AD33" s="84">
        <f t="shared" si="12"/>
        <v>-1</v>
      </c>
      <c r="AE33" s="80">
        <v>10832</v>
      </c>
      <c r="AF33" s="80"/>
      <c r="AG33" s="84">
        <f t="shared" si="13"/>
        <v>-1</v>
      </c>
      <c r="AH33" s="80">
        <f t="shared" si="14"/>
        <v>34483</v>
      </c>
      <c r="AI33" s="80">
        <f t="shared" si="15"/>
        <v>0</v>
      </c>
      <c r="AJ33" s="84">
        <f t="shared" si="16"/>
        <v>-1</v>
      </c>
      <c r="AK33" s="87"/>
      <c r="AL33" s="87"/>
      <c r="AM33" s="84" t="e">
        <f t="shared" si="17"/>
        <v>#DIV/0!</v>
      </c>
      <c r="AN33" s="87">
        <f t="shared" si="18"/>
        <v>34483</v>
      </c>
      <c r="AO33" s="87">
        <f t="shared" si="19"/>
        <v>0</v>
      </c>
      <c r="AP33" s="84">
        <f t="shared" si="20"/>
        <v>-1</v>
      </c>
      <c r="AQ33" s="85"/>
      <c r="AR33" s="85"/>
      <c r="AS33" s="84" t="e">
        <f t="shared" si="21"/>
        <v>#DIV/0!</v>
      </c>
      <c r="AT33" s="85">
        <f t="shared" si="22"/>
        <v>34483</v>
      </c>
      <c r="AU33" s="85">
        <f t="shared" si="23"/>
        <v>0</v>
      </c>
      <c r="AV33" s="84">
        <f t="shared" si="24"/>
        <v>-1</v>
      </c>
      <c r="AW33" s="80">
        <v>3500</v>
      </c>
      <c r="AX33" s="80"/>
      <c r="AY33" s="84">
        <f t="shared" si="25"/>
        <v>-1</v>
      </c>
      <c r="AZ33" s="80">
        <f t="shared" si="26"/>
        <v>37983</v>
      </c>
      <c r="BA33" s="80">
        <f t="shared" si="27"/>
        <v>0</v>
      </c>
      <c r="BB33" s="84">
        <f t="shared" si="28"/>
        <v>-1</v>
      </c>
      <c r="BC33" s="80">
        <v>12400</v>
      </c>
      <c r="BD33" s="80"/>
      <c r="BE33" s="84">
        <f t="shared" si="29"/>
        <v>-1</v>
      </c>
      <c r="BF33" s="80">
        <f t="shared" si="30"/>
        <v>50383</v>
      </c>
      <c r="BG33" s="80">
        <f t="shared" si="31"/>
        <v>0</v>
      </c>
      <c r="BH33" s="84">
        <f t="shared" si="32"/>
        <v>-1</v>
      </c>
      <c r="BI33" s="88">
        <v>1600</v>
      </c>
      <c r="BJ33" s="88"/>
      <c r="BK33" s="84">
        <f t="shared" si="33"/>
        <v>-1</v>
      </c>
      <c r="BL33" s="88">
        <f t="shared" si="34"/>
        <v>51983</v>
      </c>
      <c r="BM33" s="88">
        <f t="shared" si="35"/>
        <v>0</v>
      </c>
      <c r="BN33" s="84">
        <f t="shared" si="36"/>
        <v>-1</v>
      </c>
      <c r="BO33" s="80"/>
      <c r="BP33" s="80"/>
      <c r="BQ33" s="80">
        <v>51983</v>
      </c>
      <c r="BR33" s="89" t="e">
        <f t="shared" si="37"/>
        <v>#DIV/0!</v>
      </c>
    </row>
    <row r="34" s="57" customFormat="1" customHeight="1" spans="1:70">
      <c r="A34" s="62" t="s">
        <v>416</v>
      </c>
      <c r="B34" s="63" t="s">
        <v>416</v>
      </c>
      <c r="C34" s="95" t="s">
        <v>465</v>
      </c>
      <c r="D34" s="83" t="s">
        <v>86</v>
      </c>
      <c r="E34" s="83" t="s">
        <v>86</v>
      </c>
      <c r="F34" s="83" t="s">
        <v>466</v>
      </c>
      <c r="G34" s="64" t="s">
        <v>466</v>
      </c>
      <c r="H34" s="63" t="s">
        <v>437</v>
      </c>
      <c r="I34" s="63">
        <v>100</v>
      </c>
      <c r="J34" s="80">
        <v>61750</v>
      </c>
      <c r="K34" s="80">
        <v>-2200</v>
      </c>
      <c r="L34" s="84">
        <f t="shared" si="0"/>
        <v>-1.03562753036437</v>
      </c>
      <c r="M34" s="80"/>
      <c r="N34" s="80"/>
      <c r="O34" s="84" t="e">
        <f t="shared" si="1"/>
        <v>#DIV/0!</v>
      </c>
      <c r="P34" s="80">
        <f t="shared" si="2"/>
        <v>61750</v>
      </c>
      <c r="Q34" s="80">
        <f t="shared" si="3"/>
        <v>-2200</v>
      </c>
      <c r="R34" s="84">
        <f t="shared" si="4"/>
        <v>-1.03562753036437</v>
      </c>
      <c r="S34" s="85">
        <v>58058</v>
      </c>
      <c r="T34" s="85">
        <v>55310</v>
      </c>
      <c r="U34" s="84">
        <f t="shared" si="5"/>
        <v>-0.0473319783664611</v>
      </c>
      <c r="V34" s="86">
        <f t="shared" si="6"/>
        <v>119808</v>
      </c>
      <c r="W34" s="86">
        <f t="shared" si="7"/>
        <v>53110</v>
      </c>
      <c r="X34" s="84">
        <f t="shared" si="8"/>
        <v>-0.556707398504274</v>
      </c>
      <c r="Y34" s="80">
        <v>50146</v>
      </c>
      <c r="Z34" s="80">
        <v>48806</v>
      </c>
      <c r="AA34" s="84">
        <f t="shared" si="9"/>
        <v>-0.0267219718422207</v>
      </c>
      <c r="AB34" s="80">
        <f t="shared" si="10"/>
        <v>169954</v>
      </c>
      <c r="AC34" s="80">
        <f t="shared" si="11"/>
        <v>101916</v>
      </c>
      <c r="AD34" s="84">
        <f t="shared" si="12"/>
        <v>-0.400331854501806</v>
      </c>
      <c r="AE34" s="80"/>
      <c r="AF34" s="80">
        <v>32645</v>
      </c>
      <c r="AG34" s="84" t="e">
        <f t="shared" si="13"/>
        <v>#DIV/0!</v>
      </c>
      <c r="AH34" s="80">
        <f t="shared" si="14"/>
        <v>169954</v>
      </c>
      <c r="AI34" s="80">
        <f t="shared" si="15"/>
        <v>134561</v>
      </c>
      <c r="AJ34" s="84">
        <f t="shared" si="16"/>
        <v>-0.208250467773633</v>
      </c>
      <c r="AK34" s="87">
        <v>4500</v>
      </c>
      <c r="AL34" s="87">
        <v>48676</v>
      </c>
      <c r="AM34" s="84">
        <f t="shared" si="17"/>
        <v>9.81688888888889</v>
      </c>
      <c r="AN34" s="87">
        <f t="shared" si="18"/>
        <v>174454</v>
      </c>
      <c r="AO34" s="87">
        <f t="shared" si="19"/>
        <v>183237</v>
      </c>
      <c r="AP34" s="84">
        <f t="shared" si="20"/>
        <v>0.0503456498561226</v>
      </c>
      <c r="AQ34" s="85">
        <v>21264</v>
      </c>
      <c r="AR34" s="85">
        <v>6788</v>
      </c>
      <c r="AS34" s="84">
        <f t="shared" si="21"/>
        <v>-0.680775018811136</v>
      </c>
      <c r="AT34" s="85">
        <f t="shared" si="22"/>
        <v>195718</v>
      </c>
      <c r="AU34" s="85">
        <f t="shared" si="23"/>
        <v>190025</v>
      </c>
      <c r="AV34" s="84">
        <f t="shared" si="24"/>
        <v>-0.0290877691372281</v>
      </c>
      <c r="AW34" s="80">
        <v>75899</v>
      </c>
      <c r="AX34" s="80">
        <v>8075</v>
      </c>
      <c r="AY34" s="84">
        <f t="shared" si="25"/>
        <v>-0.893608611444156</v>
      </c>
      <c r="AZ34" s="80">
        <f t="shared" si="26"/>
        <v>271617</v>
      </c>
      <c r="BA34" s="80">
        <f t="shared" si="27"/>
        <v>198100</v>
      </c>
      <c r="BB34" s="84">
        <f t="shared" si="28"/>
        <v>-0.270664207321339</v>
      </c>
      <c r="BC34" s="80">
        <v>98871</v>
      </c>
      <c r="BD34" s="80">
        <v>18255.6</v>
      </c>
      <c r="BE34" s="84">
        <f t="shared" si="29"/>
        <v>-0.815359407713081</v>
      </c>
      <c r="BF34" s="80">
        <f t="shared" si="30"/>
        <v>370488</v>
      </c>
      <c r="BG34" s="80">
        <f t="shared" si="31"/>
        <v>216355.6</v>
      </c>
      <c r="BH34" s="84">
        <f t="shared" si="32"/>
        <v>-0.416025350348729</v>
      </c>
      <c r="BI34" s="88">
        <v>200035.2</v>
      </c>
      <c r="BJ34" s="88">
        <v>5608</v>
      </c>
      <c r="BK34" s="84">
        <f t="shared" si="33"/>
        <v>-0.971964934171586</v>
      </c>
      <c r="BL34" s="88">
        <f t="shared" si="34"/>
        <v>570523.2</v>
      </c>
      <c r="BM34" s="88">
        <f t="shared" si="35"/>
        <v>221963.6</v>
      </c>
      <c r="BN34" s="84">
        <f t="shared" si="36"/>
        <v>-0.610947284878161</v>
      </c>
      <c r="BO34" s="80">
        <v>93493</v>
      </c>
      <c r="BP34" s="80">
        <v>114731</v>
      </c>
      <c r="BQ34" s="80">
        <v>778747.2</v>
      </c>
      <c r="BR34" s="89">
        <f t="shared" si="37"/>
        <v>0.2219636</v>
      </c>
    </row>
    <row r="35" s="56" customFormat="1" customHeight="1" spans="1:70">
      <c r="A35" s="62" t="s">
        <v>416</v>
      </c>
      <c r="B35" s="63" t="s">
        <v>416</v>
      </c>
      <c r="C35" s="95" t="s">
        <v>467</v>
      </c>
      <c r="D35" s="83" t="s">
        <v>63</v>
      </c>
      <c r="E35" s="83" t="s">
        <v>63</v>
      </c>
      <c r="F35" s="83" t="s">
        <v>466</v>
      </c>
      <c r="G35" s="63" t="s">
        <v>466</v>
      </c>
      <c r="H35" s="63" t="s">
        <v>437</v>
      </c>
      <c r="I35" s="63"/>
      <c r="J35" s="80"/>
      <c r="K35" s="80"/>
      <c r="L35" s="84" t="e">
        <f t="shared" si="0"/>
        <v>#DIV/0!</v>
      </c>
      <c r="M35" s="80"/>
      <c r="N35" s="80"/>
      <c r="O35" s="84" t="e">
        <f t="shared" si="1"/>
        <v>#DIV/0!</v>
      </c>
      <c r="P35" s="80">
        <f t="shared" si="2"/>
        <v>0</v>
      </c>
      <c r="Q35" s="80">
        <f t="shared" si="3"/>
        <v>0</v>
      </c>
      <c r="R35" s="84" t="e">
        <f t="shared" si="4"/>
        <v>#DIV/0!</v>
      </c>
      <c r="S35" s="85"/>
      <c r="T35" s="85"/>
      <c r="U35" s="84" t="e">
        <f t="shared" si="5"/>
        <v>#DIV/0!</v>
      </c>
      <c r="V35" s="86">
        <f t="shared" si="6"/>
        <v>0</v>
      </c>
      <c r="W35" s="86">
        <f t="shared" si="7"/>
        <v>0</v>
      </c>
      <c r="X35" s="84" t="e">
        <f t="shared" si="8"/>
        <v>#DIV/0!</v>
      </c>
      <c r="Y35" s="80"/>
      <c r="Z35" s="80"/>
      <c r="AA35" s="84" t="e">
        <f t="shared" si="9"/>
        <v>#DIV/0!</v>
      </c>
      <c r="AB35" s="80">
        <f t="shared" si="10"/>
        <v>0</v>
      </c>
      <c r="AC35" s="80">
        <f t="shared" si="11"/>
        <v>0</v>
      </c>
      <c r="AD35" s="84" t="e">
        <f t="shared" si="12"/>
        <v>#DIV/0!</v>
      </c>
      <c r="AE35" s="80"/>
      <c r="AF35" s="80"/>
      <c r="AG35" s="84" t="e">
        <f t="shared" si="13"/>
        <v>#DIV/0!</v>
      </c>
      <c r="AH35" s="80">
        <f t="shared" si="14"/>
        <v>0</v>
      </c>
      <c r="AI35" s="80">
        <f t="shared" si="15"/>
        <v>0</v>
      </c>
      <c r="AJ35" s="84" t="e">
        <f t="shared" si="16"/>
        <v>#DIV/0!</v>
      </c>
      <c r="AK35" s="87"/>
      <c r="AL35" s="87"/>
      <c r="AM35" s="84" t="e">
        <f t="shared" si="17"/>
        <v>#DIV/0!</v>
      </c>
      <c r="AN35" s="87">
        <f t="shared" si="18"/>
        <v>0</v>
      </c>
      <c r="AO35" s="87">
        <f t="shared" si="19"/>
        <v>0</v>
      </c>
      <c r="AP35" s="84" t="e">
        <f t="shared" si="20"/>
        <v>#DIV/0!</v>
      </c>
      <c r="AQ35" s="85"/>
      <c r="AR35" s="85"/>
      <c r="AS35" s="84" t="e">
        <f t="shared" si="21"/>
        <v>#DIV/0!</v>
      </c>
      <c r="AT35" s="85">
        <f t="shared" si="22"/>
        <v>0</v>
      </c>
      <c r="AU35" s="85">
        <f t="shared" si="23"/>
        <v>0</v>
      </c>
      <c r="AV35" s="84" t="e">
        <f t="shared" si="24"/>
        <v>#DIV/0!</v>
      </c>
      <c r="AW35" s="80"/>
      <c r="AX35" s="80"/>
      <c r="AY35" s="84" t="e">
        <f t="shared" si="25"/>
        <v>#DIV/0!</v>
      </c>
      <c r="AZ35" s="80">
        <f t="shared" si="26"/>
        <v>0</v>
      </c>
      <c r="BA35" s="80">
        <f t="shared" si="27"/>
        <v>0</v>
      </c>
      <c r="BB35" s="84" t="e">
        <f t="shared" si="28"/>
        <v>#DIV/0!</v>
      </c>
      <c r="BC35" s="80"/>
      <c r="BD35" s="80"/>
      <c r="BE35" s="84" t="e">
        <f t="shared" si="29"/>
        <v>#DIV/0!</v>
      </c>
      <c r="BF35" s="80">
        <f t="shared" si="30"/>
        <v>0</v>
      </c>
      <c r="BG35" s="80">
        <f t="shared" si="31"/>
        <v>0</v>
      </c>
      <c r="BH35" s="84" t="e">
        <f t="shared" si="32"/>
        <v>#DIV/0!</v>
      </c>
      <c r="BI35" s="88"/>
      <c r="BJ35" s="88"/>
      <c r="BK35" s="84" t="e">
        <f t="shared" si="33"/>
        <v>#DIV/0!</v>
      </c>
      <c r="BL35" s="88">
        <f t="shared" si="34"/>
        <v>0</v>
      </c>
      <c r="BM35" s="88">
        <f t="shared" si="35"/>
        <v>0</v>
      </c>
      <c r="BN35" s="84" t="e">
        <f t="shared" si="36"/>
        <v>#DIV/0!</v>
      </c>
      <c r="BO35" s="80"/>
      <c r="BP35" s="80"/>
      <c r="BQ35" s="80">
        <v>0</v>
      </c>
      <c r="BR35" s="89" t="e">
        <f t="shared" si="37"/>
        <v>#DIV/0!</v>
      </c>
    </row>
    <row r="36" s="56" customFormat="1" customHeight="1" spans="1:70">
      <c r="A36" s="62" t="s">
        <v>416</v>
      </c>
      <c r="B36" s="63" t="s">
        <v>416</v>
      </c>
      <c r="C36" s="95" t="s">
        <v>468</v>
      </c>
      <c r="D36" s="83" t="s">
        <v>63</v>
      </c>
      <c r="E36" s="83" t="s">
        <v>63</v>
      </c>
      <c r="F36" s="83" t="s">
        <v>430</v>
      </c>
      <c r="G36" s="63" t="s">
        <v>450</v>
      </c>
      <c r="H36" s="63" t="s">
        <v>419</v>
      </c>
      <c r="I36" s="63"/>
      <c r="J36" s="80">
        <v>34839</v>
      </c>
      <c r="K36" s="80">
        <v>8829</v>
      </c>
      <c r="L36" s="84">
        <f t="shared" si="0"/>
        <v>-0.746577111857401</v>
      </c>
      <c r="M36" s="80">
        <v>11479</v>
      </c>
      <c r="N36" s="80">
        <v>6210</v>
      </c>
      <c r="O36" s="84">
        <f t="shared" si="1"/>
        <v>-0.459012109068734</v>
      </c>
      <c r="P36" s="80">
        <f t="shared" si="2"/>
        <v>46318</v>
      </c>
      <c r="Q36" s="80">
        <f t="shared" si="3"/>
        <v>15039</v>
      </c>
      <c r="R36" s="84">
        <f t="shared" si="4"/>
        <v>-0.675309814758841</v>
      </c>
      <c r="S36" s="85">
        <v>22740</v>
      </c>
      <c r="T36" s="85"/>
      <c r="U36" s="84">
        <f t="shared" si="5"/>
        <v>-1</v>
      </c>
      <c r="V36" s="86">
        <f t="shared" si="6"/>
        <v>69058</v>
      </c>
      <c r="W36" s="86">
        <f t="shared" si="7"/>
        <v>15039</v>
      </c>
      <c r="X36" s="84">
        <f t="shared" si="8"/>
        <v>-0.782226534217614</v>
      </c>
      <c r="Y36" s="80">
        <v>20780</v>
      </c>
      <c r="Z36" s="80"/>
      <c r="AA36" s="84">
        <f t="shared" ref="AA36:AA67" si="38">Z36/Y36-1</f>
        <v>-1</v>
      </c>
      <c r="AB36" s="80">
        <f t="shared" ref="AB36:AB67" si="39">Y36+V36</f>
        <v>89838</v>
      </c>
      <c r="AC36" s="80">
        <f t="shared" ref="AC36:AC67" si="40">Z36+W36</f>
        <v>15039</v>
      </c>
      <c r="AD36" s="84">
        <f t="shared" ref="AD36:AD67" si="41">AC36/AB36-1</f>
        <v>-0.832598677619716</v>
      </c>
      <c r="AE36" s="80">
        <v>26850</v>
      </c>
      <c r="AF36" s="80">
        <v>700</v>
      </c>
      <c r="AG36" s="84">
        <f t="shared" ref="AG36:AG78" si="42">AF36/AE36-1</f>
        <v>-0.973929236499069</v>
      </c>
      <c r="AH36" s="80">
        <f t="shared" ref="AH36:AH77" si="43">AE36+AB36</f>
        <v>116688</v>
      </c>
      <c r="AI36" s="80">
        <f t="shared" ref="AI36:AI77" si="44">AF36+AC36</f>
        <v>15739</v>
      </c>
      <c r="AJ36" s="84">
        <f t="shared" ref="AJ36:AJ78" si="45">AI36/AH36-1</f>
        <v>-0.865118949677773</v>
      </c>
      <c r="AK36" s="87">
        <v>10134</v>
      </c>
      <c r="AL36" s="87">
        <v>4603</v>
      </c>
      <c r="AM36" s="84">
        <f t="shared" ref="AM36:AM79" si="46">AL36/AK36-1</f>
        <v>-0.545786461417012</v>
      </c>
      <c r="AN36" s="87">
        <f t="shared" ref="AN36:AN78" si="47">AK36+AH36</f>
        <v>126822</v>
      </c>
      <c r="AO36" s="87">
        <f t="shared" ref="AO36:AO78" si="48">AL36+AI36</f>
        <v>20342</v>
      </c>
      <c r="AP36" s="84">
        <f t="shared" ref="AP36:AP79" si="49">AO36/AN36-1</f>
        <v>-0.839601961804734</v>
      </c>
      <c r="AQ36" s="85">
        <v>16340</v>
      </c>
      <c r="AR36" s="85">
        <v>3678</v>
      </c>
      <c r="AS36" s="84">
        <f t="shared" ref="AS36:AS67" si="50">AR36/AQ36-1</f>
        <v>-0.774908200734394</v>
      </c>
      <c r="AT36" s="85">
        <f t="shared" ref="AT36:AT67" si="51">AQ36+AN36</f>
        <v>143162</v>
      </c>
      <c r="AU36" s="85">
        <f t="shared" ref="AU36:AU67" si="52">AR36+AO36</f>
        <v>24020</v>
      </c>
      <c r="AV36" s="84">
        <f t="shared" ref="AV36:AV67" si="53">AU36/AT36-1</f>
        <v>-0.832218046688367</v>
      </c>
      <c r="AW36" s="80">
        <v>790</v>
      </c>
      <c r="AX36" s="80">
        <v>0</v>
      </c>
      <c r="AY36" s="84">
        <f t="shared" ref="AY36:AY67" si="54">AX36/AW36-1</f>
        <v>-1</v>
      </c>
      <c r="AZ36" s="80">
        <f t="shared" ref="AZ36:AZ67" si="55">AW36+AT36</f>
        <v>143952</v>
      </c>
      <c r="BA36" s="80">
        <f t="shared" ref="BA36:BA67" si="56">AX36+AU36</f>
        <v>24020</v>
      </c>
      <c r="BB36" s="84">
        <f t="shared" ref="BB36:BB67" si="57">BA36/AZ36-1</f>
        <v>-0.833138824052462</v>
      </c>
      <c r="BC36" s="80">
        <v>16200</v>
      </c>
      <c r="BD36" s="80"/>
      <c r="BE36" s="84">
        <f t="shared" ref="BE36:BE67" si="58">BD36/BC36-1</f>
        <v>-1</v>
      </c>
      <c r="BF36" s="80">
        <f t="shared" ref="BF36:BF67" si="59">BC36+AZ36</f>
        <v>160152</v>
      </c>
      <c r="BG36" s="80">
        <f t="shared" ref="BG36:BG67" si="60">BD36+BA36</f>
        <v>24020</v>
      </c>
      <c r="BH36" s="84">
        <f t="shared" ref="BH36:BH67" si="61">BG36/BF36-1</f>
        <v>-0.850017483390779</v>
      </c>
      <c r="BI36" s="88">
        <v>69670</v>
      </c>
      <c r="BJ36" s="88"/>
      <c r="BK36" s="84">
        <f t="shared" ref="BK36:BK67" si="62">BJ36/BI36-1</f>
        <v>-1</v>
      </c>
      <c r="BL36" s="88">
        <f t="shared" ref="BL36:BL67" si="63">BI36+BF36</f>
        <v>229822</v>
      </c>
      <c r="BM36" s="88">
        <f t="shared" ref="BM36:BM67" si="64">BJ36+BG36</f>
        <v>24020</v>
      </c>
      <c r="BN36" s="84">
        <f t="shared" ref="BN36:BN67" si="65">BM36/BL36-1</f>
        <v>-0.89548433135209</v>
      </c>
      <c r="BO36" s="80">
        <v>729</v>
      </c>
      <c r="BP36" s="80">
        <v>7310</v>
      </c>
      <c r="BQ36" s="80">
        <v>237861</v>
      </c>
      <c r="BR36" s="89" t="e">
        <f t="shared" ref="BR36:BR67" si="66">BM36/10000/I36</f>
        <v>#DIV/0!</v>
      </c>
    </row>
    <row r="37" s="56" customFormat="1" spans="1:70">
      <c r="A37" s="62" t="s">
        <v>416</v>
      </c>
      <c r="B37" s="63" t="s">
        <v>416</v>
      </c>
      <c r="C37" s="95" t="s">
        <v>469</v>
      </c>
      <c r="D37" s="83" t="s">
        <v>63</v>
      </c>
      <c r="E37" s="83" t="s">
        <v>63</v>
      </c>
      <c r="F37" s="83" t="s">
        <v>430</v>
      </c>
      <c r="G37" s="63" t="s">
        <v>450</v>
      </c>
      <c r="H37" s="63" t="s">
        <v>419</v>
      </c>
      <c r="I37" s="63">
        <v>140</v>
      </c>
      <c r="J37" s="80">
        <v>207903</v>
      </c>
      <c r="K37" s="80">
        <v>76400</v>
      </c>
      <c r="L37" s="84">
        <f t="shared" si="0"/>
        <v>-0.63252093524384</v>
      </c>
      <c r="M37" s="80">
        <v>25890</v>
      </c>
      <c r="N37" s="80">
        <v>25970</v>
      </c>
      <c r="O37" s="84">
        <f t="shared" si="1"/>
        <v>0.00308999613750482</v>
      </c>
      <c r="P37" s="80">
        <f t="shared" si="2"/>
        <v>233793</v>
      </c>
      <c r="Q37" s="80">
        <f t="shared" si="3"/>
        <v>102370</v>
      </c>
      <c r="R37" s="84">
        <f t="shared" si="4"/>
        <v>-0.562134024543079</v>
      </c>
      <c r="S37" s="85">
        <v>281469</v>
      </c>
      <c r="T37" s="85">
        <v>97837</v>
      </c>
      <c r="U37" s="84">
        <f t="shared" si="5"/>
        <v>-0.652405771150642</v>
      </c>
      <c r="V37" s="86">
        <f t="shared" si="6"/>
        <v>515262</v>
      </c>
      <c r="W37" s="86">
        <f t="shared" si="7"/>
        <v>200207</v>
      </c>
      <c r="X37" s="84">
        <f t="shared" si="8"/>
        <v>-0.611446215711619</v>
      </c>
      <c r="Y37" s="80">
        <v>106769</v>
      </c>
      <c r="Z37" s="80">
        <v>93504</v>
      </c>
      <c r="AA37" s="84">
        <f t="shared" si="38"/>
        <v>-0.124240182075322</v>
      </c>
      <c r="AB37" s="80">
        <f t="shared" si="39"/>
        <v>622031</v>
      </c>
      <c r="AC37" s="80">
        <f t="shared" si="40"/>
        <v>293711</v>
      </c>
      <c r="AD37" s="84">
        <f t="shared" si="41"/>
        <v>-0.527819353054751</v>
      </c>
      <c r="AE37" s="80">
        <v>72586</v>
      </c>
      <c r="AF37" s="80">
        <v>109555.5</v>
      </c>
      <c r="AG37" s="84">
        <f t="shared" si="42"/>
        <v>0.509319979059323</v>
      </c>
      <c r="AH37" s="80">
        <f t="shared" si="43"/>
        <v>694617</v>
      </c>
      <c r="AI37" s="80">
        <f t="shared" si="44"/>
        <v>403266.5</v>
      </c>
      <c r="AJ37" s="84">
        <f t="shared" si="45"/>
        <v>-0.4194404974252</v>
      </c>
      <c r="AK37" s="87">
        <v>72556</v>
      </c>
      <c r="AL37" s="87">
        <v>95211</v>
      </c>
      <c r="AM37" s="84">
        <f t="shared" si="46"/>
        <v>0.312241578918353</v>
      </c>
      <c r="AN37" s="87">
        <f t="shared" si="47"/>
        <v>767173</v>
      </c>
      <c r="AO37" s="87">
        <f t="shared" si="48"/>
        <v>498477.5</v>
      </c>
      <c r="AP37" s="84">
        <f t="shared" si="49"/>
        <v>-0.350241079912875</v>
      </c>
      <c r="AQ37" s="85">
        <v>137409</v>
      </c>
      <c r="AR37" s="85">
        <v>80792</v>
      </c>
      <c r="AS37" s="84">
        <f t="shared" si="50"/>
        <v>-0.412032690726226</v>
      </c>
      <c r="AT37" s="85">
        <f t="shared" si="51"/>
        <v>904582</v>
      </c>
      <c r="AU37" s="85">
        <f t="shared" si="52"/>
        <v>579269.5</v>
      </c>
      <c r="AV37" s="84">
        <f t="shared" si="53"/>
        <v>-0.359627430127949</v>
      </c>
      <c r="AW37" s="80">
        <v>101648</v>
      </c>
      <c r="AX37" s="80">
        <v>69864</v>
      </c>
      <c r="AY37" s="84">
        <f t="shared" si="54"/>
        <v>-0.31268691956556</v>
      </c>
      <c r="AZ37" s="80">
        <f t="shared" si="55"/>
        <v>1006230</v>
      </c>
      <c r="BA37" s="80">
        <f t="shared" si="56"/>
        <v>649133.5</v>
      </c>
      <c r="BB37" s="84">
        <f t="shared" si="57"/>
        <v>-0.354885562942866</v>
      </c>
      <c r="BC37" s="80">
        <v>112500</v>
      </c>
      <c r="BD37" s="80">
        <v>72851</v>
      </c>
      <c r="BE37" s="84">
        <f t="shared" si="58"/>
        <v>-0.352435555555556</v>
      </c>
      <c r="BF37" s="80">
        <f t="shared" si="59"/>
        <v>1118730</v>
      </c>
      <c r="BG37" s="80">
        <f t="shared" si="60"/>
        <v>721984.5</v>
      </c>
      <c r="BH37" s="84">
        <f t="shared" si="61"/>
        <v>-0.354639189080475</v>
      </c>
      <c r="BI37" s="88">
        <v>121825</v>
      </c>
      <c r="BJ37" s="88">
        <v>76444</v>
      </c>
      <c r="BK37" s="84">
        <f t="shared" si="62"/>
        <v>-0.372509747588754</v>
      </c>
      <c r="BL37" s="88">
        <f t="shared" si="63"/>
        <v>1240555</v>
      </c>
      <c r="BM37" s="88">
        <f t="shared" si="64"/>
        <v>798428.5</v>
      </c>
      <c r="BN37" s="84">
        <f t="shared" si="65"/>
        <v>-0.356394113924816</v>
      </c>
      <c r="BO37" s="80">
        <v>76845</v>
      </c>
      <c r="BP37" s="80">
        <v>98590</v>
      </c>
      <c r="BQ37" s="80">
        <v>1415990</v>
      </c>
      <c r="BR37" s="89">
        <f t="shared" si="66"/>
        <v>0.570306071428571</v>
      </c>
    </row>
    <row r="38" s="56" customFormat="1" spans="1:70">
      <c r="A38" s="62" t="s">
        <v>416</v>
      </c>
      <c r="B38" s="63" t="s">
        <v>416</v>
      </c>
      <c r="C38" s="95" t="s">
        <v>470</v>
      </c>
      <c r="D38" s="83" t="s">
        <v>86</v>
      </c>
      <c r="E38" s="83" t="s">
        <v>86</v>
      </c>
      <c r="F38" s="83" t="s">
        <v>433</v>
      </c>
      <c r="G38" s="63" t="s">
        <v>433</v>
      </c>
      <c r="H38" s="63" t="s">
        <v>419</v>
      </c>
      <c r="I38" s="63"/>
      <c r="J38" s="80">
        <v>12000</v>
      </c>
      <c r="K38" s="80"/>
      <c r="L38" s="84">
        <f t="shared" si="0"/>
        <v>-1</v>
      </c>
      <c r="M38" s="80">
        <v>7398</v>
      </c>
      <c r="N38" s="80"/>
      <c r="O38" s="84">
        <f t="shared" si="1"/>
        <v>-1</v>
      </c>
      <c r="P38" s="80">
        <f t="shared" si="2"/>
        <v>19398</v>
      </c>
      <c r="Q38" s="80">
        <f t="shared" si="3"/>
        <v>0</v>
      </c>
      <c r="R38" s="84">
        <f t="shared" si="4"/>
        <v>-1</v>
      </c>
      <c r="S38" s="85">
        <v>15850</v>
      </c>
      <c r="T38" s="85"/>
      <c r="U38" s="84">
        <f t="shared" si="5"/>
        <v>-1</v>
      </c>
      <c r="V38" s="86">
        <f t="shared" si="6"/>
        <v>35248</v>
      </c>
      <c r="W38" s="86">
        <f t="shared" si="7"/>
        <v>0</v>
      </c>
      <c r="X38" s="84">
        <f t="shared" si="8"/>
        <v>-1</v>
      </c>
      <c r="Y38" s="80"/>
      <c r="Z38" s="80"/>
      <c r="AA38" s="84" t="e">
        <f t="shared" si="38"/>
        <v>#DIV/0!</v>
      </c>
      <c r="AB38" s="80">
        <f t="shared" si="39"/>
        <v>35248</v>
      </c>
      <c r="AC38" s="80">
        <f t="shared" si="40"/>
        <v>0</v>
      </c>
      <c r="AD38" s="84">
        <f t="shared" si="41"/>
        <v>-1</v>
      </c>
      <c r="AE38" s="80"/>
      <c r="AF38" s="80"/>
      <c r="AG38" s="84" t="e">
        <f t="shared" si="42"/>
        <v>#DIV/0!</v>
      </c>
      <c r="AH38" s="80">
        <f t="shared" si="43"/>
        <v>35248</v>
      </c>
      <c r="AI38" s="80">
        <f t="shared" si="44"/>
        <v>0</v>
      </c>
      <c r="AJ38" s="84">
        <f t="shared" si="45"/>
        <v>-1</v>
      </c>
      <c r="AK38" s="87"/>
      <c r="AL38" s="87"/>
      <c r="AM38" s="84" t="e">
        <f t="shared" si="46"/>
        <v>#DIV/0!</v>
      </c>
      <c r="AN38" s="87">
        <f t="shared" si="47"/>
        <v>35248</v>
      </c>
      <c r="AO38" s="87">
        <f t="shared" si="48"/>
        <v>0</v>
      </c>
      <c r="AP38" s="84">
        <f t="shared" si="49"/>
        <v>-1</v>
      </c>
      <c r="AQ38" s="85"/>
      <c r="AR38" s="85"/>
      <c r="AS38" s="84" t="e">
        <f t="shared" si="50"/>
        <v>#DIV/0!</v>
      </c>
      <c r="AT38" s="85">
        <f t="shared" si="51"/>
        <v>35248</v>
      </c>
      <c r="AU38" s="85">
        <f t="shared" si="52"/>
        <v>0</v>
      </c>
      <c r="AV38" s="84">
        <f t="shared" si="53"/>
        <v>-1</v>
      </c>
      <c r="AW38" s="80"/>
      <c r="AX38" s="80"/>
      <c r="AY38" s="84" t="e">
        <f t="shared" si="54"/>
        <v>#DIV/0!</v>
      </c>
      <c r="AZ38" s="80">
        <f t="shared" si="55"/>
        <v>35248</v>
      </c>
      <c r="BA38" s="80">
        <f t="shared" si="56"/>
        <v>0</v>
      </c>
      <c r="BB38" s="84">
        <f t="shared" si="57"/>
        <v>-1</v>
      </c>
      <c r="BC38" s="80"/>
      <c r="BD38" s="80"/>
      <c r="BE38" s="84" t="e">
        <f t="shared" si="58"/>
        <v>#DIV/0!</v>
      </c>
      <c r="BF38" s="80">
        <f t="shared" si="59"/>
        <v>35248</v>
      </c>
      <c r="BG38" s="80">
        <f t="shared" si="60"/>
        <v>0</v>
      </c>
      <c r="BH38" s="84">
        <f t="shared" si="61"/>
        <v>-1</v>
      </c>
      <c r="BI38" s="88"/>
      <c r="BJ38" s="88"/>
      <c r="BK38" s="84" t="e">
        <f t="shared" si="62"/>
        <v>#DIV/0!</v>
      </c>
      <c r="BL38" s="88">
        <f t="shared" si="63"/>
        <v>35248</v>
      </c>
      <c r="BM38" s="88">
        <f t="shared" si="64"/>
        <v>0</v>
      </c>
      <c r="BN38" s="84">
        <f t="shared" si="65"/>
        <v>-1</v>
      </c>
      <c r="BO38" s="80"/>
      <c r="BP38" s="80"/>
      <c r="BQ38" s="80">
        <v>35248</v>
      </c>
      <c r="BR38" s="89" t="e">
        <f t="shared" si="66"/>
        <v>#DIV/0!</v>
      </c>
    </row>
    <row r="39" s="56" customFormat="1" spans="1:70">
      <c r="A39" s="62" t="s">
        <v>416</v>
      </c>
      <c r="B39" s="63" t="s">
        <v>416</v>
      </c>
      <c r="C39" s="95" t="s">
        <v>471</v>
      </c>
      <c r="D39" s="83" t="s">
        <v>63</v>
      </c>
      <c r="E39" s="83" t="s">
        <v>63</v>
      </c>
      <c r="F39" s="83" t="s">
        <v>466</v>
      </c>
      <c r="G39" s="63" t="s">
        <v>466</v>
      </c>
      <c r="H39" s="63" t="s">
        <v>437</v>
      </c>
      <c r="I39" s="63"/>
      <c r="J39" s="80">
        <v>19719</v>
      </c>
      <c r="K39" s="80">
        <v>7500</v>
      </c>
      <c r="L39" s="84">
        <f t="shared" si="0"/>
        <v>-0.619656169176936</v>
      </c>
      <c r="M39" s="80">
        <v>8260</v>
      </c>
      <c r="N39" s="80"/>
      <c r="O39" s="84">
        <f t="shared" si="1"/>
        <v>-1</v>
      </c>
      <c r="P39" s="80">
        <f t="shared" si="2"/>
        <v>27979</v>
      </c>
      <c r="Q39" s="80">
        <f t="shared" si="3"/>
        <v>7500</v>
      </c>
      <c r="R39" s="84">
        <f t="shared" si="4"/>
        <v>-0.731941813502984</v>
      </c>
      <c r="S39" s="85">
        <v>8576</v>
      </c>
      <c r="T39" s="85">
        <v>7496</v>
      </c>
      <c r="U39" s="84">
        <f t="shared" si="5"/>
        <v>-0.125932835820896</v>
      </c>
      <c r="V39" s="86">
        <f t="shared" si="6"/>
        <v>36555</v>
      </c>
      <c r="W39" s="86">
        <f t="shared" si="7"/>
        <v>14996</v>
      </c>
      <c r="X39" s="84">
        <f t="shared" si="8"/>
        <v>-0.589768841471755</v>
      </c>
      <c r="Y39" s="80"/>
      <c r="Z39" s="80"/>
      <c r="AA39" s="84" t="e">
        <f t="shared" si="38"/>
        <v>#DIV/0!</v>
      </c>
      <c r="AB39" s="80">
        <f t="shared" si="39"/>
        <v>36555</v>
      </c>
      <c r="AC39" s="80">
        <f t="shared" si="40"/>
        <v>14996</v>
      </c>
      <c r="AD39" s="84">
        <f t="shared" si="41"/>
        <v>-0.589768841471755</v>
      </c>
      <c r="AE39" s="80">
        <v>3500</v>
      </c>
      <c r="AF39" s="80">
        <v>7728</v>
      </c>
      <c r="AG39" s="84">
        <f t="shared" si="42"/>
        <v>1.208</v>
      </c>
      <c r="AH39" s="80">
        <f t="shared" si="43"/>
        <v>40055</v>
      </c>
      <c r="AI39" s="80">
        <f t="shared" si="44"/>
        <v>22724</v>
      </c>
      <c r="AJ39" s="84">
        <f t="shared" si="45"/>
        <v>-0.432680064910748</v>
      </c>
      <c r="AK39" s="87">
        <v>13500</v>
      </c>
      <c r="AL39" s="87">
        <v>6281</v>
      </c>
      <c r="AM39" s="84">
        <f t="shared" si="46"/>
        <v>-0.534740740740741</v>
      </c>
      <c r="AN39" s="87">
        <f t="shared" si="47"/>
        <v>53555</v>
      </c>
      <c r="AO39" s="87">
        <f t="shared" si="48"/>
        <v>29005</v>
      </c>
      <c r="AP39" s="84">
        <f t="shared" si="49"/>
        <v>-0.458407244888432</v>
      </c>
      <c r="AQ39" s="85">
        <v>0</v>
      </c>
      <c r="AR39" s="85">
        <v>868</v>
      </c>
      <c r="AS39" s="84" t="e">
        <f t="shared" si="50"/>
        <v>#DIV/0!</v>
      </c>
      <c r="AT39" s="85">
        <f t="shared" si="51"/>
        <v>53555</v>
      </c>
      <c r="AU39" s="85">
        <f t="shared" si="52"/>
        <v>29873</v>
      </c>
      <c r="AV39" s="84">
        <f t="shared" si="53"/>
        <v>-0.44219960787975</v>
      </c>
      <c r="AW39" s="80">
        <v>41500</v>
      </c>
      <c r="AX39" s="80">
        <v>1900</v>
      </c>
      <c r="AY39" s="84">
        <f t="shared" si="54"/>
        <v>-0.95421686746988</v>
      </c>
      <c r="AZ39" s="80">
        <f t="shared" si="55"/>
        <v>95055</v>
      </c>
      <c r="BA39" s="80">
        <f t="shared" si="56"/>
        <v>31773</v>
      </c>
      <c r="BB39" s="84">
        <f t="shared" si="57"/>
        <v>-0.665740886854979</v>
      </c>
      <c r="BC39" s="80">
        <v>12930</v>
      </c>
      <c r="BD39" s="80">
        <v>12050</v>
      </c>
      <c r="BE39" s="84">
        <f t="shared" si="58"/>
        <v>-0.0680587780355761</v>
      </c>
      <c r="BF39" s="80">
        <f t="shared" si="59"/>
        <v>107985</v>
      </c>
      <c r="BG39" s="80">
        <f t="shared" si="60"/>
        <v>43823</v>
      </c>
      <c r="BH39" s="84">
        <f t="shared" si="61"/>
        <v>-0.594175116914386</v>
      </c>
      <c r="BI39" s="88">
        <v>11288</v>
      </c>
      <c r="BJ39" s="88">
        <v>1736</v>
      </c>
      <c r="BK39" s="84">
        <f t="shared" si="62"/>
        <v>-0.846208362863218</v>
      </c>
      <c r="BL39" s="88">
        <f t="shared" si="63"/>
        <v>119273</v>
      </c>
      <c r="BM39" s="88">
        <f t="shared" si="64"/>
        <v>45559</v>
      </c>
      <c r="BN39" s="84">
        <f t="shared" si="65"/>
        <v>-0.618027550241882</v>
      </c>
      <c r="BO39" s="80">
        <v>9500</v>
      </c>
      <c r="BP39" s="80">
        <v>8438</v>
      </c>
      <c r="BQ39" s="80">
        <v>137211</v>
      </c>
      <c r="BR39" s="89" t="e">
        <f t="shared" si="66"/>
        <v>#DIV/0!</v>
      </c>
    </row>
    <row r="40" s="56" customFormat="1" spans="1:70">
      <c r="A40" s="62" t="s">
        <v>416</v>
      </c>
      <c r="B40" s="63" t="s">
        <v>416</v>
      </c>
      <c r="C40" s="95" t="s">
        <v>472</v>
      </c>
      <c r="D40" s="83" t="s">
        <v>63</v>
      </c>
      <c r="E40" s="83" t="s">
        <v>63</v>
      </c>
      <c r="F40" s="83" t="s">
        <v>473</v>
      </c>
      <c r="G40" s="63" t="s">
        <v>473</v>
      </c>
      <c r="H40" s="63" t="s">
        <v>437</v>
      </c>
      <c r="I40" s="63"/>
      <c r="J40" s="80"/>
      <c r="K40" s="80"/>
      <c r="L40" s="84" t="e">
        <f t="shared" si="0"/>
        <v>#DIV/0!</v>
      </c>
      <c r="M40" s="80"/>
      <c r="N40" s="80"/>
      <c r="O40" s="84" t="e">
        <f t="shared" si="1"/>
        <v>#DIV/0!</v>
      </c>
      <c r="P40" s="80">
        <f t="shared" si="2"/>
        <v>0</v>
      </c>
      <c r="Q40" s="80">
        <f t="shared" si="3"/>
        <v>0</v>
      </c>
      <c r="R40" s="84" t="e">
        <f t="shared" si="4"/>
        <v>#DIV/0!</v>
      </c>
      <c r="S40" s="85"/>
      <c r="T40" s="85"/>
      <c r="U40" s="84" t="e">
        <f t="shared" si="5"/>
        <v>#DIV/0!</v>
      </c>
      <c r="V40" s="86">
        <f t="shared" si="6"/>
        <v>0</v>
      </c>
      <c r="W40" s="86">
        <f t="shared" si="7"/>
        <v>0</v>
      </c>
      <c r="X40" s="84" t="e">
        <f t="shared" si="8"/>
        <v>#DIV/0!</v>
      </c>
      <c r="Y40" s="80"/>
      <c r="Z40" s="80"/>
      <c r="AA40" s="84" t="e">
        <f t="shared" si="38"/>
        <v>#DIV/0!</v>
      </c>
      <c r="AB40" s="80">
        <f t="shared" si="39"/>
        <v>0</v>
      </c>
      <c r="AC40" s="80">
        <f t="shared" si="40"/>
        <v>0</v>
      </c>
      <c r="AD40" s="84" t="e">
        <f t="shared" si="41"/>
        <v>#DIV/0!</v>
      </c>
      <c r="AE40" s="80"/>
      <c r="AF40" s="80"/>
      <c r="AG40" s="84" t="e">
        <f t="shared" si="42"/>
        <v>#DIV/0!</v>
      </c>
      <c r="AH40" s="80">
        <f t="shared" si="43"/>
        <v>0</v>
      </c>
      <c r="AI40" s="80">
        <f t="shared" si="44"/>
        <v>0</v>
      </c>
      <c r="AJ40" s="84" t="e">
        <f t="shared" si="45"/>
        <v>#DIV/0!</v>
      </c>
      <c r="AK40" s="87"/>
      <c r="AL40" s="87"/>
      <c r="AM40" s="84" t="e">
        <f t="shared" si="46"/>
        <v>#DIV/0!</v>
      </c>
      <c r="AN40" s="87">
        <f t="shared" si="47"/>
        <v>0</v>
      </c>
      <c r="AO40" s="87">
        <f t="shared" si="48"/>
        <v>0</v>
      </c>
      <c r="AP40" s="84" t="e">
        <f t="shared" si="49"/>
        <v>#DIV/0!</v>
      </c>
      <c r="AQ40" s="85"/>
      <c r="AR40" s="85"/>
      <c r="AS40" s="84" t="e">
        <f t="shared" si="50"/>
        <v>#DIV/0!</v>
      </c>
      <c r="AT40" s="85">
        <f t="shared" si="51"/>
        <v>0</v>
      </c>
      <c r="AU40" s="85">
        <f t="shared" si="52"/>
        <v>0</v>
      </c>
      <c r="AV40" s="84" t="e">
        <f t="shared" si="53"/>
        <v>#DIV/0!</v>
      </c>
      <c r="AW40" s="80"/>
      <c r="AX40" s="80"/>
      <c r="AY40" s="84" t="e">
        <f t="shared" si="54"/>
        <v>#DIV/0!</v>
      </c>
      <c r="AZ40" s="80">
        <f t="shared" si="55"/>
        <v>0</v>
      </c>
      <c r="BA40" s="80">
        <f t="shared" si="56"/>
        <v>0</v>
      </c>
      <c r="BB40" s="84" t="e">
        <f t="shared" si="57"/>
        <v>#DIV/0!</v>
      </c>
      <c r="BC40" s="80"/>
      <c r="BD40" s="80"/>
      <c r="BE40" s="84" t="e">
        <f t="shared" si="58"/>
        <v>#DIV/0!</v>
      </c>
      <c r="BF40" s="80">
        <f t="shared" si="59"/>
        <v>0</v>
      </c>
      <c r="BG40" s="80">
        <f t="shared" si="60"/>
        <v>0</v>
      </c>
      <c r="BH40" s="84" t="e">
        <f t="shared" si="61"/>
        <v>#DIV/0!</v>
      </c>
      <c r="BI40" s="88"/>
      <c r="BJ40" s="88"/>
      <c r="BK40" s="84" t="e">
        <f t="shared" si="62"/>
        <v>#DIV/0!</v>
      </c>
      <c r="BL40" s="88">
        <f t="shared" si="63"/>
        <v>0</v>
      </c>
      <c r="BM40" s="88">
        <f t="shared" si="64"/>
        <v>0</v>
      </c>
      <c r="BN40" s="84" t="e">
        <f t="shared" si="65"/>
        <v>#DIV/0!</v>
      </c>
      <c r="BO40" s="80"/>
      <c r="BP40" s="80"/>
      <c r="BQ40" s="80">
        <v>0</v>
      </c>
      <c r="BR40" s="89" t="e">
        <f t="shared" si="66"/>
        <v>#DIV/0!</v>
      </c>
    </row>
    <row r="41" s="56" customFormat="1" spans="1:70">
      <c r="A41" s="62" t="s">
        <v>416</v>
      </c>
      <c r="B41" s="63" t="s">
        <v>416</v>
      </c>
      <c r="C41" s="95" t="s">
        <v>474</v>
      </c>
      <c r="D41" s="83" t="s">
        <v>104</v>
      </c>
      <c r="E41" s="83" t="s">
        <v>104</v>
      </c>
      <c r="F41" s="83" t="s">
        <v>473</v>
      </c>
      <c r="G41" s="63" t="s">
        <v>473</v>
      </c>
      <c r="H41" s="63" t="s">
        <v>437</v>
      </c>
      <c r="I41" s="63"/>
      <c r="J41" s="80"/>
      <c r="K41" s="80"/>
      <c r="L41" s="84" t="e">
        <f t="shared" si="0"/>
        <v>#DIV/0!</v>
      </c>
      <c r="M41" s="80"/>
      <c r="N41" s="80"/>
      <c r="O41" s="84" t="e">
        <f t="shared" si="1"/>
        <v>#DIV/0!</v>
      </c>
      <c r="P41" s="80">
        <f t="shared" si="2"/>
        <v>0</v>
      </c>
      <c r="Q41" s="80">
        <f t="shared" si="3"/>
        <v>0</v>
      </c>
      <c r="R41" s="84" t="e">
        <f t="shared" si="4"/>
        <v>#DIV/0!</v>
      </c>
      <c r="S41" s="85"/>
      <c r="T41" s="85"/>
      <c r="U41" s="84" t="e">
        <f t="shared" si="5"/>
        <v>#DIV/0!</v>
      </c>
      <c r="V41" s="86">
        <f t="shared" si="6"/>
        <v>0</v>
      </c>
      <c r="W41" s="86">
        <f t="shared" si="7"/>
        <v>0</v>
      </c>
      <c r="X41" s="84" t="e">
        <f t="shared" si="8"/>
        <v>#DIV/0!</v>
      </c>
      <c r="Y41" s="80"/>
      <c r="Z41" s="80"/>
      <c r="AA41" s="84" t="e">
        <f t="shared" si="38"/>
        <v>#DIV/0!</v>
      </c>
      <c r="AB41" s="80">
        <f t="shared" si="39"/>
        <v>0</v>
      </c>
      <c r="AC41" s="80">
        <f t="shared" si="40"/>
        <v>0</v>
      </c>
      <c r="AD41" s="84" t="e">
        <f t="shared" si="41"/>
        <v>#DIV/0!</v>
      </c>
      <c r="AE41" s="80"/>
      <c r="AF41" s="80"/>
      <c r="AG41" s="84" t="e">
        <f t="shared" si="42"/>
        <v>#DIV/0!</v>
      </c>
      <c r="AH41" s="80">
        <f t="shared" si="43"/>
        <v>0</v>
      </c>
      <c r="AI41" s="80">
        <f t="shared" si="44"/>
        <v>0</v>
      </c>
      <c r="AJ41" s="84" t="e">
        <f t="shared" si="45"/>
        <v>#DIV/0!</v>
      </c>
      <c r="AK41" s="87"/>
      <c r="AL41" s="87"/>
      <c r="AM41" s="84" t="e">
        <f t="shared" si="46"/>
        <v>#DIV/0!</v>
      </c>
      <c r="AN41" s="87">
        <f t="shared" si="47"/>
        <v>0</v>
      </c>
      <c r="AO41" s="87">
        <f t="shared" si="48"/>
        <v>0</v>
      </c>
      <c r="AP41" s="84" t="e">
        <f t="shared" si="49"/>
        <v>#DIV/0!</v>
      </c>
      <c r="AQ41" s="85"/>
      <c r="AR41" s="85"/>
      <c r="AS41" s="84" t="e">
        <f t="shared" si="50"/>
        <v>#DIV/0!</v>
      </c>
      <c r="AT41" s="85">
        <f t="shared" si="51"/>
        <v>0</v>
      </c>
      <c r="AU41" s="85">
        <f t="shared" si="52"/>
        <v>0</v>
      </c>
      <c r="AV41" s="84" t="e">
        <f t="shared" si="53"/>
        <v>#DIV/0!</v>
      </c>
      <c r="AW41" s="80"/>
      <c r="AX41" s="80"/>
      <c r="AY41" s="84" t="e">
        <f t="shared" si="54"/>
        <v>#DIV/0!</v>
      </c>
      <c r="AZ41" s="80">
        <f t="shared" si="55"/>
        <v>0</v>
      </c>
      <c r="BA41" s="80">
        <f t="shared" si="56"/>
        <v>0</v>
      </c>
      <c r="BB41" s="84" t="e">
        <f t="shared" si="57"/>
        <v>#DIV/0!</v>
      </c>
      <c r="BC41" s="80"/>
      <c r="BD41" s="80"/>
      <c r="BE41" s="84" t="e">
        <f t="shared" si="58"/>
        <v>#DIV/0!</v>
      </c>
      <c r="BF41" s="80">
        <f t="shared" si="59"/>
        <v>0</v>
      </c>
      <c r="BG41" s="80">
        <f t="shared" si="60"/>
        <v>0</v>
      </c>
      <c r="BH41" s="84" t="e">
        <f t="shared" si="61"/>
        <v>#DIV/0!</v>
      </c>
      <c r="BI41" s="88"/>
      <c r="BJ41" s="88"/>
      <c r="BK41" s="84" t="e">
        <f t="shared" si="62"/>
        <v>#DIV/0!</v>
      </c>
      <c r="BL41" s="88">
        <f t="shared" si="63"/>
        <v>0</v>
      </c>
      <c r="BM41" s="88">
        <f t="shared" si="64"/>
        <v>0</v>
      </c>
      <c r="BN41" s="84" t="e">
        <f t="shared" si="65"/>
        <v>#DIV/0!</v>
      </c>
      <c r="BO41" s="80"/>
      <c r="BP41" s="80"/>
      <c r="BQ41" s="80">
        <v>0</v>
      </c>
      <c r="BR41" s="89" t="e">
        <f t="shared" si="66"/>
        <v>#DIV/0!</v>
      </c>
    </row>
    <row r="42" s="56" customFormat="1" spans="1:70">
      <c r="A42" s="62" t="s">
        <v>416</v>
      </c>
      <c r="B42" s="63" t="s">
        <v>455</v>
      </c>
      <c r="C42" s="95" t="s">
        <v>475</v>
      </c>
      <c r="D42" s="83" t="s">
        <v>63</v>
      </c>
      <c r="E42" s="83" t="s">
        <v>63</v>
      </c>
      <c r="F42" s="83" t="s">
        <v>476</v>
      </c>
      <c r="G42" s="63" t="s">
        <v>476</v>
      </c>
      <c r="H42" s="63" t="s">
        <v>459</v>
      </c>
      <c r="I42" s="63">
        <v>10</v>
      </c>
      <c r="J42" s="80">
        <v>12950</v>
      </c>
      <c r="K42" s="80"/>
      <c r="L42" s="84">
        <f t="shared" si="0"/>
        <v>-1</v>
      </c>
      <c r="M42" s="80"/>
      <c r="N42" s="80"/>
      <c r="O42" s="84" t="e">
        <f t="shared" si="1"/>
        <v>#DIV/0!</v>
      </c>
      <c r="P42" s="80">
        <f t="shared" si="2"/>
        <v>12950</v>
      </c>
      <c r="Q42" s="80">
        <f t="shared" si="3"/>
        <v>0</v>
      </c>
      <c r="R42" s="84">
        <f t="shared" si="4"/>
        <v>-1</v>
      </c>
      <c r="S42" s="85"/>
      <c r="T42" s="85"/>
      <c r="U42" s="84" t="e">
        <f t="shared" si="5"/>
        <v>#DIV/0!</v>
      </c>
      <c r="V42" s="86">
        <f t="shared" si="6"/>
        <v>12950</v>
      </c>
      <c r="W42" s="86">
        <f t="shared" si="7"/>
        <v>0</v>
      </c>
      <c r="X42" s="84">
        <f t="shared" si="8"/>
        <v>-1</v>
      </c>
      <c r="Y42" s="80">
        <v>5718</v>
      </c>
      <c r="Z42" s="80"/>
      <c r="AA42" s="84">
        <f t="shared" si="38"/>
        <v>-1</v>
      </c>
      <c r="AB42" s="80">
        <f t="shared" si="39"/>
        <v>18668</v>
      </c>
      <c r="AC42" s="80">
        <f t="shared" si="40"/>
        <v>0</v>
      </c>
      <c r="AD42" s="84">
        <f t="shared" si="41"/>
        <v>-1</v>
      </c>
      <c r="AE42" s="80">
        <v>23000</v>
      </c>
      <c r="AF42" s="80"/>
      <c r="AG42" s="84">
        <f t="shared" si="42"/>
        <v>-1</v>
      </c>
      <c r="AH42" s="80">
        <f t="shared" si="43"/>
        <v>41668</v>
      </c>
      <c r="AI42" s="80">
        <f t="shared" si="44"/>
        <v>0</v>
      </c>
      <c r="AJ42" s="84">
        <f t="shared" si="45"/>
        <v>-1</v>
      </c>
      <c r="AK42" s="87"/>
      <c r="AL42" s="87"/>
      <c r="AM42" s="84" t="e">
        <f t="shared" si="46"/>
        <v>#DIV/0!</v>
      </c>
      <c r="AN42" s="87">
        <f t="shared" si="47"/>
        <v>41668</v>
      </c>
      <c r="AO42" s="87">
        <f t="shared" si="48"/>
        <v>0</v>
      </c>
      <c r="AP42" s="84">
        <f t="shared" si="49"/>
        <v>-1</v>
      </c>
      <c r="AQ42" s="85"/>
      <c r="AR42" s="85">
        <v>15400</v>
      </c>
      <c r="AS42" s="84" t="e">
        <f t="shared" si="50"/>
        <v>#DIV/0!</v>
      </c>
      <c r="AT42" s="85">
        <f t="shared" si="51"/>
        <v>41668</v>
      </c>
      <c r="AU42" s="85">
        <f t="shared" si="52"/>
        <v>15400</v>
      </c>
      <c r="AV42" s="84">
        <f t="shared" si="53"/>
        <v>-0.630411826821542</v>
      </c>
      <c r="AW42" s="80"/>
      <c r="AX42" s="80">
        <v>6743</v>
      </c>
      <c r="AY42" s="84" t="e">
        <f t="shared" si="54"/>
        <v>#DIV/0!</v>
      </c>
      <c r="AZ42" s="80">
        <f t="shared" si="55"/>
        <v>41668</v>
      </c>
      <c r="BA42" s="80">
        <f t="shared" si="56"/>
        <v>22143</v>
      </c>
      <c r="BB42" s="84">
        <f t="shared" si="57"/>
        <v>-0.468585005279831</v>
      </c>
      <c r="BC42" s="80"/>
      <c r="BD42" s="80"/>
      <c r="BE42" s="84" t="e">
        <f t="shared" si="58"/>
        <v>#DIV/0!</v>
      </c>
      <c r="BF42" s="80">
        <f t="shared" si="59"/>
        <v>41668</v>
      </c>
      <c r="BG42" s="80">
        <f t="shared" si="60"/>
        <v>22143</v>
      </c>
      <c r="BH42" s="84">
        <f t="shared" si="61"/>
        <v>-0.468585005279831</v>
      </c>
      <c r="BI42" s="88"/>
      <c r="BJ42" s="88"/>
      <c r="BK42" s="84" t="e">
        <f t="shared" si="62"/>
        <v>#DIV/0!</v>
      </c>
      <c r="BL42" s="88">
        <f t="shared" si="63"/>
        <v>41668</v>
      </c>
      <c r="BM42" s="88">
        <f t="shared" si="64"/>
        <v>22143</v>
      </c>
      <c r="BN42" s="84">
        <f t="shared" si="65"/>
        <v>-0.468585005279831</v>
      </c>
      <c r="BO42" s="80"/>
      <c r="BP42" s="80"/>
      <c r="BQ42" s="80">
        <v>41668</v>
      </c>
      <c r="BR42" s="89">
        <f t="shared" si="66"/>
        <v>0.22143</v>
      </c>
    </row>
    <row r="43" s="56" customFormat="1" spans="1:70">
      <c r="A43" s="62" t="s">
        <v>416</v>
      </c>
      <c r="B43" s="63" t="s">
        <v>416</v>
      </c>
      <c r="C43" s="95" t="s">
        <v>477</v>
      </c>
      <c r="D43" s="83" t="s">
        <v>63</v>
      </c>
      <c r="E43" s="83" t="s">
        <v>63</v>
      </c>
      <c r="F43" s="83" t="s">
        <v>422</v>
      </c>
      <c r="G43" s="63" t="s">
        <v>422</v>
      </c>
      <c r="H43" s="63" t="s">
        <v>423</v>
      </c>
      <c r="I43" s="63"/>
      <c r="J43" s="80"/>
      <c r="K43" s="80"/>
      <c r="L43" s="84" t="e">
        <f t="shared" si="0"/>
        <v>#DIV/0!</v>
      </c>
      <c r="M43" s="80"/>
      <c r="N43" s="80"/>
      <c r="O43" s="84" t="e">
        <f t="shared" si="1"/>
        <v>#DIV/0!</v>
      </c>
      <c r="P43" s="80">
        <f t="shared" si="2"/>
        <v>0</v>
      </c>
      <c r="Q43" s="80">
        <f t="shared" si="3"/>
        <v>0</v>
      </c>
      <c r="R43" s="84" t="e">
        <f t="shared" si="4"/>
        <v>#DIV/0!</v>
      </c>
      <c r="S43" s="85"/>
      <c r="T43" s="85"/>
      <c r="U43" s="84" t="e">
        <f t="shared" si="5"/>
        <v>#DIV/0!</v>
      </c>
      <c r="V43" s="86">
        <f t="shared" si="6"/>
        <v>0</v>
      </c>
      <c r="W43" s="86">
        <f t="shared" si="7"/>
        <v>0</v>
      </c>
      <c r="X43" s="84" t="e">
        <f t="shared" si="8"/>
        <v>#DIV/0!</v>
      </c>
      <c r="Y43" s="80"/>
      <c r="Z43" s="80"/>
      <c r="AA43" s="84" t="e">
        <f t="shared" si="38"/>
        <v>#DIV/0!</v>
      </c>
      <c r="AB43" s="80">
        <f t="shared" si="39"/>
        <v>0</v>
      </c>
      <c r="AC43" s="80">
        <f t="shared" si="40"/>
        <v>0</v>
      </c>
      <c r="AD43" s="84" t="e">
        <f t="shared" si="41"/>
        <v>#DIV/0!</v>
      </c>
      <c r="AE43" s="80"/>
      <c r="AF43" s="80"/>
      <c r="AG43" s="84" t="e">
        <f t="shared" si="42"/>
        <v>#DIV/0!</v>
      </c>
      <c r="AH43" s="80">
        <f t="shared" si="43"/>
        <v>0</v>
      </c>
      <c r="AI43" s="80">
        <f t="shared" si="44"/>
        <v>0</v>
      </c>
      <c r="AJ43" s="84" t="e">
        <f t="shared" si="45"/>
        <v>#DIV/0!</v>
      </c>
      <c r="AK43" s="87"/>
      <c r="AL43" s="87"/>
      <c r="AM43" s="84" t="e">
        <f t="shared" si="46"/>
        <v>#DIV/0!</v>
      </c>
      <c r="AN43" s="87">
        <f t="shared" si="47"/>
        <v>0</v>
      </c>
      <c r="AO43" s="87">
        <f t="shared" si="48"/>
        <v>0</v>
      </c>
      <c r="AP43" s="84" t="e">
        <f t="shared" si="49"/>
        <v>#DIV/0!</v>
      </c>
      <c r="AQ43" s="85"/>
      <c r="AR43" s="85"/>
      <c r="AS43" s="84" t="e">
        <f t="shared" si="50"/>
        <v>#DIV/0!</v>
      </c>
      <c r="AT43" s="85">
        <f t="shared" si="51"/>
        <v>0</v>
      </c>
      <c r="AU43" s="85">
        <f t="shared" si="52"/>
        <v>0</v>
      </c>
      <c r="AV43" s="84" t="e">
        <f t="shared" si="53"/>
        <v>#DIV/0!</v>
      </c>
      <c r="AW43" s="80"/>
      <c r="AX43" s="80"/>
      <c r="AY43" s="84" t="e">
        <f t="shared" si="54"/>
        <v>#DIV/0!</v>
      </c>
      <c r="AZ43" s="80">
        <f t="shared" si="55"/>
        <v>0</v>
      </c>
      <c r="BA43" s="80">
        <f t="shared" si="56"/>
        <v>0</v>
      </c>
      <c r="BB43" s="84" t="e">
        <f t="shared" si="57"/>
        <v>#DIV/0!</v>
      </c>
      <c r="BC43" s="80"/>
      <c r="BD43" s="80"/>
      <c r="BE43" s="84" t="e">
        <f t="shared" si="58"/>
        <v>#DIV/0!</v>
      </c>
      <c r="BF43" s="80">
        <f t="shared" si="59"/>
        <v>0</v>
      </c>
      <c r="BG43" s="80">
        <f t="shared" si="60"/>
        <v>0</v>
      </c>
      <c r="BH43" s="84" t="e">
        <f t="shared" si="61"/>
        <v>#DIV/0!</v>
      </c>
      <c r="BI43" s="88"/>
      <c r="BJ43" s="88"/>
      <c r="BK43" s="84" t="e">
        <f t="shared" si="62"/>
        <v>#DIV/0!</v>
      </c>
      <c r="BL43" s="88">
        <f t="shared" si="63"/>
        <v>0</v>
      </c>
      <c r="BM43" s="88">
        <f t="shared" si="64"/>
        <v>0</v>
      </c>
      <c r="BN43" s="84" t="e">
        <f t="shared" si="65"/>
        <v>#DIV/0!</v>
      </c>
      <c r="BO43" s="80"/>
      <c r="BP43" s="80"/>
      <c r="BQ43" s="80">
        <v>0</v>
      </c>
      <c r="BR43" s="89" t="e">
        <f t="shared" si="66"/>
        <v>#DIV/0!</v>
      </c>
    </row>
    <row r="44" s="56" customFormat="1" spans="1:70">
      <c r="A44" s="62" t="s">
        <v>416</v>
      </c>
      <c r="B44" s="63" t="s">
        <v>416</v>
      </c>
      <c r="C44" s="95" t="s">
        <v>478</v>
      </c>
      <c r="D44" s="83" t="s">
        <v>63</v>
      </c>
      <c r="E44" s="83" t="s">
        <v>63</v>
      </c>
      <c r="F44" s="83" t="s">
        <v>445</v>
      </c>
      <c r="G44" s="63" t="s">
        <v>445</v>
      </c>
      <c r="H44" s="63" t="s">
        <v>437</v>
      </c>
      <c r="I44" s="63"/>
      <c r="J44" s="80"/>
      <c r="K44" s="80"/>
      <c r="L44" s="84" t="e">
        <f t="shared" si="0"/>
        <v>#DIV/0!</v>
      </c>
      <c r="M44" s="80"/>
      <c r="N44" s="80"/>
      <c r="O44" s="84" t="e">
        <f t="shared" si="1"/>
        <v>#DIV/0!</v>
      </c>
      <c r="P44" s="80">
        <f t="shared" si="2"/>
        <v>0</v>
      </c>
      <c r="Q44" s="80">
        <f t="shared" si="3"/>
        <v>0</v>
      </c>
      <c r="R44" s="84" t="e">
        <f t="shared" si="4"/>
        <v>#DIV/0!</v>
      </c>
      <c r="S44" s="85"/>
      <c r="T44" s="85"/>
      <c r="U44" s="84" t="e">
        <f t="shared" si="5"/>
        <v>#DIV/0!</v>
      </c>
      <c r="V44" s="86">
        <f t="shared" si="6"/>
        <v>0</v>
      </c>
      <c r="W44" s="86">
        <f t="shared" si="7"/>
        <v>0</v>
      </c>
      <c r="X44" s="84" t="e">
        <f t="shared" si="8"/>
        <v>#DIV/0!</v>
      </c>
      <c r="Y44" s="80"/>
      <c r="Z44" s="80"/>
      <c r="AA44" s="84" t="e">
        <f t="shared" si="38"/>
        <v>#DIV/0!</v>
      </c>
      <c r="AB44" s="80">
        <f t="shared" si="39"/>
        <v>0</v>
      </c>
      <c r="AC44" s="80">
        <f t="shared" si="40"/>
        <v>0</v>
      </c>
      <c r="AD44" s="84" t="e">
        <f t="shared" si="41"/>
        <v>#DIV/0!</v>
      </c>
      <c r="AE44" s="80"/>
      <c r="AF44" s="80"/>
      <c r="AG44" s="84" t="e">
        <f t="shared" si="42"/>
        <v>#DIV/0!</v>
      </c>
      <c r="AH44" s="80">
        <f t="shared" si="43"/>
        <v>0</v>
      </c>
      <c r="AI44" s="80">
        <f t="shared" si="44"/>
        <v>0</v>
      </c>
      <c r="AJ44" s="84" t="e">
        <f t="shared" si="45"/>
        <v>#DIV/0!</v>
      </c>
      <c r="AK44" s="87"/>
      <c r="AL44" s="87"/>
      <c r="AM44" s="84" t="e">
        <f t="shared" si="46"/>
        <v>#DIV/0!</v>
      </c>
      <c r="AN44" s="87">
        <f t="shared" si="47"/>
        <v>0</v>
      </c>
      <c r="AO44" s="87">
        <f t="shared" si="48"/>
        <v>0</v>
      </c>
      <c r="AP44" s="84" t="e">
        <f t="shared" si="49"/>
        <v>#DIV/0!</v>
      </c>
      <c r="AQ44" s="85"/>
      <c r="AR44" s="85"/>
      <c r="AS44" s="84" t="e">
        <f t="shared" si="50"/>
        <v>#DIV/0!</v>
      </c>
      <c r="AT44" s="85">
        <f t="shared" si="51"/>
        <v>0</v>
      </c>
      <c r="AU44" s="85">
        <f t="shared" si="52"/>
        <v>0</v>
      </c>
      <c r="AV44" s="84" t="e">
        <f t="shared" si="53"/>
        <v>#DIV/0!</v>
      </c>
      <c r="AW44" s="80"/>
      <c r="AX44" s="80"/>
      <c r="AY44" s="84" t="e">
        <f t="shared" si="54"/>
        <v>#DIV/0!</v>
      </c>
      <c r="AZ44" s="80">
        <f t="shared" si="55"/>
        <v>0</v>
      </c>
      <c r="BA44" s="80">
        <f t="shared" si="56"/>
        <v>0</v>
      </c>
      <c r="BB44" s="84" t="e">
        <f t="shared" si="57"/>
        <v>#DIV/0!</v>
      </c>
      <c r="BC44" s="80"/>
      <c r="BD44" s="80"/>
      <c r="BE44" s="84" t="e">
        <f t="shared" si="58"/>
        <v>#DIV/0!</v>
      </c>
      <c r="BF44" s="80">
        <f t="shared" si="59"/>
        <v>0</v>
      </c>
      <c r="BG44" s="80">
        <f t="shared" si="60"/>
        <v>0</v>
      </c>
      <c r="BH44" s="84" t="e">
        <f t="shared" si="61"/>
        <v>#DIV/0!</v>
      </c>
      <c r="BI44" s="88"/>
      <c r="BJ44" s="88"/>
      <c r="BK44" s="84" t="e">
        <f t="shared" si="62"/>
        <v>#DIV/0!</v>
      </c>
      <c r="BL44" s="88">
        <f t="shared" si="63"/>
        <v>0</v>
      </c>
      <c r="BM44" s="88">
        <f t="shared" si="64"/>
        <v>0</v>
      </c>
      <c r="BN44" s="84" t="e">
        <f t="shared" si="65"/>
        <v>#DIV/0!</v>
      </c>
      <c r="BO44" s="80"/>
      <c r="BP44" s="80"/>
      <c r="BQ44" s="80">
        <v>0</v>
      </c>
      <c r="BR44" s="89" t="e">
        <f t="shared" si="66"/>
        <v>#DIV/0!</v>
      </c>
    </row>
    <row r="45" s="56" customFormat="1" spans="1:70">
      <c r="A45" s="62" t="s">
        <v>416</v>
      </c>
      <c r="B45" s="63" t="s">
        <v>455</v>
      </c>
      <c r="C45" s="95" t="s">
        <v>479</v>
      </c>
      <c r="D45" s="83" t="s">
        <v>104</v>
      </c>
      <c r="E45" s="83" t="s">
        <v>104</v>
      </c>
      <c r="F45" s="83" t="s">
        <v>480</v>
      </c>
      <c r="G45" s="63" t="s">
        <v>480</v>
      </c>
      <c r="H45" s="63" t="s">
        <v>459</v>
      </c>
      <c r="I45" s="63"/>
      <c r="J45" s="80">
        <v>8000</v>
      </c>
      <c r="K45" s="80"/>
      <c r="L45" s="84">
        <f t="shared" si="0"/>
        <v>-1</v>
      </c>
      <c r="M45" s="80"/>
      <c r="N45" s="80"/>
      <c r="O45" s="84" t="e">
        <f t="shared" si="1"/>
        <v>#DIV/0!</v>
      </c>
      <c r="P45" s="80">
        <f t="shared" si="2"/>
        <v>8000</v>
      </c>
      <c r="Q45" s="80">
        <f t="shared" si="3"/>
        <v>0</v>
      </c>
      <c r="R45" s="84">
        <f t="shared" si="4"/>
        <v>-1</v>
      </c>
      <c r="S45" s="85">
        <v>21660</v>
      </c>
      <c r="T45" s="85"/>
      <c r="U45" s="84">
        <f t="shared" si="5"/>
        <v>-1</v>
      </c>
      <c r="V45" s="86">
        <f t="shared" si="6"/>
        <v>29660</v>
      </c>
      <c r="W45" s="86">
        <f t="shared" si="7"/>
        <v>0</v>
      </c>
      <c r="X45" s="84">
        <f t="shared" si="8"/>
        <v>-1</v>
      </c>
      <c r="Y45" s="80"/>
      <c r="Z45" s="80"/>
      <c r="AA45" s="84" t="e">
        <f t="shared" si="38"/>
        <v>#DIV/0!</v>
      </c>
      <c r="AB45" s="80">
        <f t="shared" si="39"/>
        <v>29660</v>
      </c>
      <c r="AC45" s="80">
        <f t="shared" si="40"/>
        <v>0</v>
      </c>
      <c r="AD45" s="84">
        <f t="shared" si="41"/>
        <v>-1</v>
      </c>
      <c r="AE45" s="80"/>
      <c r="AF45" s="80"/>
      <c r="AG45" s="84" t="e">
        <f t="shared" si="42"/>
        <v>#DIV/0!</v>
      </c>
      <c r="AH45" s="80">
        <f t="shared" si="43"/>
        <v>29660</v>
      </c>
      <c r="AI45" s="80">
        <f t="shared" si="44"/>
        <v>0</v>
      </c>
      <c r="AJ45" s="84">
        <f t="shared" si="45"/>
        <v>-1</v>
      </c>
      <c r="AK45" s="87"/>
      <c r="AL45" s="87"/>
      <c r="AM45" s="84" t="e">
        <f t="shared" si="46"/>
        <v>#DIV/0!</v>
      </c>
      <c r="AN45" s="87">
        <f t="shared" si="47"/>
        <v>29660</v>
      </c>
      <c r="AO45" s="87">
        <f t="shared" si="48"/>
        <v>0</v>
      </c>
      <c r="AP45" s="84">
        <f t="shared" si="49"/>
        <v>-1</v>
      </c>
      <c r="AQ45" s="85"/>
      <c r="AR45" s="85"/>
      <c r="AS45" s="84" t="e">
        <f t="shared" si="50"/>
        <v>#DIV/0!</v>
      </c>
      <c r="AT45" s="85">
        <f t="shared" si="51"/>
        <v>29660</v>
      </c>
      <c r="AU45" s="85">
        <f t="shared" si="52"/>
        <v>0</v>
      </c>
      <c r="AV45" s="84">
        <f t="shared" si="53"/>
        <v>-1</v>
      </c>
      <c r="AW45" s="80"/>
      <c r="AX45" s="80"/>
      <c r="AY45" s="84" t="e">
        <f t="shared" si="54"/>
        <v>#DIV/0!</v>
      </c>
      <c r="AZ45" s="80">
        <f t="shared" si="55"/>
        <v>29660</v>
      </c>
      <c r="BA45" s="80">
        <f t="shared" si="56"/>
        <v>0</v>
      </c>
      <c r="BB45" s="84">
        <f t="shared" si="57"/>
        <v>-1</v>
      </c>
      <c r="BC45" s="80"/>
      <c r="BD45" s="80"/>
      <c r="BE45" s="84" t="e">
        <f t="shared" si="58"/>
        <v>#DIV/0!</v>
      </c>
      <c r="BF45" s="80">
        <f t="shared" si="59"/>
        <v>29660</v>
      </c>
      <c r="BG45" s="80">
        <f t="shared" si="60"/>
        <v>0</v>
      </c>
      <c r="BH45" s="84">
        <f t="shared" si="61"/>
        <v>-1</v>
      </c>
      <c r="BI45" s="88"/>
      <c r="BJ45" s="88"/>
      <c r="BK45" s="84" t="e">
        <f t="shared" si="62"/>
        <v>#DIV/0!</v>
      </c>
      <c r="BL45" s="88">
        <f t="shared" si="63"/>
        <v>29660</v>
      </c>
      <c r="BM45" s="88">
        <f t="shared" si="64"/>
        <v>0</v>
      </c>
      <c r="BN45" s="84">
        <f t="shared" si="65"/>
        <v>-1</v>
      </c>
      <c r="BO45" s="80"/>
      <c r="BP45" s="80"/>
      <c r="BQ45" s="80">
        <v>29660</v>
      </c>
      <c r="BR45" s="89" t="e">
        <f t="shared" si="66"/>
        <v>#DIV/0!</v>
      </c>
    </row>
    <row r="46" s="56" customFormat="1" spans="1:70">
      <c r="A46" s="62" t="s">
        <v>416</v>
      </c>
      <c r="B46" s="63" t="s">
        <v>416</v>
      </c>
      <c r="C46" s="95" t="s">
        <v>481</v>
      </c>
      <c r="D46" s="83" t="s">
        <v>63</v>
      </c>
      <c r="E46" s="83" t="s">
        <v>63</v>
      </c>
      <c r="F46" s="83" t="s">
        <v>422</v>
      </c>
      <c r="G46" s="63" t="s">
        <v>422</v>
      </c>
      <c r="H46" s="63" t="s">
        <v>423</v>
      </c>
      <c r="I46" s="63"/>
      <c r="J46" s="80"/>
      <c r="K46" s="80"/>
      <c r="L46" s="84" t="e">
        <f t="shared" si="0"/>
        <v>#DIV/0!</v>
      </c>
      <c r="M46" s="80"/>
      <c r="N46" s="80"/>
      <c r="O46" s="84" t="e">
        <f t="shared" si="1"/>
        <v>#DIV/0!</v>
      </c>
      <c r="P46" s="80">
        <f t="shared" si="2"/>
        <v>0</v>
      </c>
      <c r="Q46" s="80">
        <f t="shared" si="3"/>
        <v>0</v>
      </c>
      <c r="R46" s="84" t="e">
        <f t="shared" si="4"/>
        <v>#DIV/0!</v>
      </c>
      <c r="S46" s="85">
        <v>1580</v>
      </c>
      <c r="T46" s="85"/>
      <c r="U46" s="84">
        <f t="shared" si="5"/>
        <v>-1</v>
      </c>
      <c r="V46" s="86">
        <f t="shared" si="6"/>
        <v>1580</v>
      </c>
      <c r="W46" s="86">
        <f t="shared" si="7"/>
        <v>0</v>
      </c>
      <c r="X46" s="84">
        <f t="shared" si="8"/>
        <v>-1</v>
      </c>
      <c r="Y46" s="80"/>
      <c r="Z46" s="80"/>
      <c r="AA46" s="84" t="e">
        <f t="shared" si="38"/>
        <v>#DIV/0!</v>
      </c>
      <c r="AB46" s="80">
        <f t="shared" si="39"/>
        <v>1580</v>
      </c>
      <c r="AC46" s="80">
        <f t="shared" si="40"/>
        <v>0</v>
      </c>
      <c r="AD46" s="84">
        <f t="shared" si="41"/>
        <v>-1</v>
      </c>
      <c r="AE46" s="80"/>
      <c r="AF46" s="80"/>
      <c r="AG46" s="84" t="e">
        <f t="shared" si="42"/>
        <v>#DIV/0!</v>
      </c>
      <c r="AH46" s="80">
        <f t="shared" si="43"/>
        <v>1580</v>
      </c>
      <c r="AI46" s="80">
        <f t="shared" si="44"/>
        <v>0</v>
      </c>
      <c r="AJ46" s="84">
        <f t="shared" si="45"/>
        <v>-1</v>
      </c>
      <c r="AK46" s="87"/>
      <c r="AL46" s="87"/>
      <c r="AM46" s="84" t="e">
        <f t="shared" si="46"/>
        <v>#DIV/0!</v>
      </c>
      <c r="AN46" s="87">
        <f t="shared" si="47"/>
        <v>1580</v>
      </c>
      <c r="AO46" s="87">
        <f t="shared" si="48"/>
        <v>0</v>
      </c>
      <c r="AP46" s="84">
        <f t="shared" si="49"/>
        <v>-1</v>
      </c>
      <c r="AQ46" s="85"/>
      <c r="AR46" s="85"/>
      <c r="AS46" s="84" t="e">
        <f t="shared" si="50"/>
        <v>#DIV/0!</v>
      </c>
      <c r="AT46" s="85">
        <f t="shared" si="51"/>
        <v>1580</v>
      </c>
      <c r="AU46" s="85">
        <f t="shared" si="52"/>
        <v>0</v>
      </c>
      <c r="AV46" s="84">
        <f t="shared" si="53"/>
        <v>-1</v>
      </c>
      <c r="AW46" s="80"/>
      <c r="AX46" s="80"/>
      <c r="AY46" s="84" t="e">
        <f t="shared" si="54"/>
        <v>#DIV/0!</v>
      </c>
      <c r="AZ46" s="80">
        <f t="shared" si="55"/>
        <v>1580</v>
      </c>
      <c r="BA46" s="80">
        <f t="shared" si="56"/>
        <v>0</v>
      </c>
      <c r="BB46" s="84">
        <f t="shared" si="57"/>
        <v>-1</v>
      </c>
      <c r="BC46" s="80"/>
      <c r="BD46" s="80"/>
      <c r="BE46" s="84" t="e">
        <f t="shared" si="58"/>
        <v>#DIV/0!</v>
      </c>
      <c r="BF46" s="80">
        <f t="shared" si="59"/>
        <v>1580</v>
      </c>
      <c r="BG46" s="80">
        <f t="shared" si="60"/>
        <v>0</v>
      </c>
      <c r="BH46" s="84">
        <f t="shared" si="61"/>
        <v>-1</v>
      </c>
      <c r="BI46" s="88"/>
      <c r="BJ46" s="88"/>
      <c r="BK46" s="84" t="e">
        <f t="shared" si="62"/>
        <v>#DIV/0!</v>
      </c>
      <c r="BL46" s="88">
        <f t="shared" si="63"/>
        <v>1580</v>
      </c>
      <c r="BM46" s="88">
        <f t="shared" si="64"/>
        <v>0</v>
      </c>
      <c r="BN46" s="84">
        <f t="shared" si="65"/>
        <v>-1</v>
      </c>
      <c r="BO46" s="80"/>
      <c r="BP46" s="80"/>
      <c r="BQ46" s="80">
        <v>1580</v>
      </c>
      <c r="BR46" s="89" t="e">
        <f t="shared" si="66"/>
        <v>#DIV/0!</v>
      </c>
    </row>
    <row r="47" s="56" customFormat="1" spans="1:70">
      <c r="A47" s="62" t="s">
        <v>416</v>
      </c>
      <c r="B47" s="63" t="s">
        <v>455</v>
      </c>
      <c r="C47" s="95" t="s">
        <v>482</v>
      </c>
      <c r="D47" s="83" t="s">
        <v>63</v>
      </c>
      <c r="E47" s="83" t="s">
        <v>63</v>
      </c>
      <c r="F47" s="83" t="s">
        <v>483</v>
      </c>
      <c r="G47" s="63" t="s">
        <v>483</v>
      </c>
      <c r="H47" s="63" t="s">
        <v>459</v>
      </c>
      <c r="I47" s="63"/>
      <c r="J47" s="80">
        <v>40000</v>
      </c>
      <c r="K47" s="80">
        <v>75850</v>
      </c>
      <c r="L47" s="84">
        <f t="shared" si="0"/>
        <v>0.89625</v>
      </c>
      <c r="M47" s="80"/>
      <c r="N47" s="80"/>
      <c r="O47" s="84" t="e">
        <f t="shared" si="1"/>
        <v>#DIV/0!</v>
      </c>
      <c r="P47" s="80">
        <f t="shared" si="2"/>
        <v>40000</v>
      </c>
      <c r="Q47" s="80">
        <f t="shared" si="3"/>
        <v>75850</v>
      </c>
      <c r="R47" s="84">
        <f t="shared" si="4"/>
        <v>0.89625</v>
      </c>
      <c r="S47" s="85"/>
      <c r="T47" s="85"/>
      <c r="U47" s="84" t="e">
        <f t="shared" si="5"/>
        <v>#DIV/0!</v>
      </c>
      <c r="V47" s="86">
        <f t="shared" si="6"/>
        <v>40000</v>
      </c>
      <c r="W47" s="86">
        <f t="shared" si="7"/>
        <v>75850</v>
      </c>
      <c r="X47" s="84">
        <f t="shared" si="8"/>
        <v>0.89625</v>
      </c>
      <c r="Y47" s="80"/>
      <c r="Z47" s="80">
        <v>36500</v>
      </c>
      <c r="AA47" s="84" t="e">
        <f t="shared" si="38"/>
        <v>#DIV/0!</v>
      </c>
      <c r="AB47" s="80">
        <f t="shared" si="39"/>
        <v>40000</v>
      </c>
      <c r="AC47" s="80">
        <f t="shared" si="40"/>
        <v>112350</v>
      </c>
      <c r="AD47" s="84">
        <f t="shared" si="41"/>
        <v>1.80875</v>
      </c>
      <c r="AE47" s="80"/>
      <c r="AF47" s="80">
        <v>73000</v>
      </c>
      <c r="AG47" s="84" t="e">
        <f t="shared" si="42"/>
        <v>#DIV/0!</v>
      </c>
      <c r="AH47" s="80">
        <f t="shared" si="43"/>
        <v>40000</v>
      </c>
      <c r="AI47" s="80">
        <f t="shared" si="44"/>
        <v>185350</v>
      </c>
      <c r="AJ47" s="84">
        <f t="shared" si="45"/>
        <v>3.63375</v>
      </c>
      <c r="AK47" s="87"/>
      <c r="AL47" s="87">
        <v>36500</v>
      </c>
      <c r="AM47" s="84" t="e">
        <f t="shared" si="46"/>
        <v>#DIV/0!</v>
      </c>
      <c r="AN47" s="87">
        <f t="shared" si="47"/>
        <v>40000</v>
      </c>
      <c r="AO47" s="87">
        <f t="shared" si="48"/>
        <v>221850</v>
      </c>
      <c r="AP47" s="84">
        <f t="shared" si="49"/>
        <v>4.54625</v>
      </c>
      <c r="AQ47" s="85"/>
      <c r="AR47" s="85">
        <v>219000</v>
      </c>
      <c r="AS47" s="84" t="e">
        <f t="shared" si="50"/>
        <v>#DIV/0!</v>
      </c>
      <c r="AT47" s="85">
        <f t="shared" si="51"/>
        <v>40000</v>
      </c>
      <c r="AU47" s="85">
        <f t="shared" si="52"/>
        <v>440850</v>
      </c>
      <c r="AV47" s="84">
        <f t="shared" si="53"/>
        <v>10.02125</v>
      </c>
      <c r="AW47" s="80"/>
      <c r="AX47" s="80"/>
      <c r="AY47" s="84" t="e">
        <f t="shared" si="54"/>
        <v>#DIV/0!</v>
      </c>
      <c r="AZ47" s="80">
        <f t="shared" si="55"/>
        <v>40000</v>
      </c>
      <c r="BA47" s="80">
        <f t="shared" si="56"/>
        <v>440850</v>
      </c>
      <c r="BB47" s="84">
        <f t="shared" si="57"/>
        <v>10.02125</v>
      </c>
      <c r="BC47" s="80">
        <v>54750</v>
      </c>
      <c r="BD47" s="80"/>
      <c r="BE47" s="84">
        <f t="shared" si="58"/>
        <v>-1</v>
      </c>
      <c r="BF47" s="80">
        <f t="shared" si="59"/>
        <v>94750</v>
      </c>
      <c r="BG47" s="80">
        <f t="shared" si="60"/>
        <v>440850</v>
      </c>
      <c r="BH47" s="84">
        <f t="shared" si="61"/>
        <v>3.65277044854881</v>
      </c>
      <c r="BI47" s="88">
        <v>54750</v>
      </c>
      <c r="BJ47" s="88"/>
      <c r="BK47" s="84">
        <f t="shared" si="62"/>
        <v>-1</v>
      </c>
      <c r="BL47" s="88">
        <f t="shared" si="63"/>
        <v>149500</v>
      </c>
      <c r="BM47" s="88">
        <f t="shared" si="64"/>
        <v>440850</v>
      </c>
      <c r="BN47" s="84">
        <f t="shared" si="65"/>
        <v>1.94882943143813</v>
      </c>
      <c r="BO47" s="80">
        <v>79350</v>
      </c>
      <c r="BP47" s="80">
        <v>73000</v>
      </c>
      <c r="BQ47" s="80">
        <v>301850</v>
      </c>
      <c r="BR47" s="89" t="e">
        <f t="shared" si="66"/>
        <v>#DIV/0!</v>
      </c>
    </row>
    <row r="48" s="56" customFormat="1" spans="1:70">
      <c r="A48" s="62" t="s">
        <v>416</v>
      </c>
      <c r="B48" s="63" t="s">
        <v>416</v>
      </c>
      <c r="C48" s="95" t="s">
        <v>484</v>
      </c>
      <c r="D48" s="83" t="s">
        <v>63</v>
      </c>
      <c r="E48" s="83" t="s">
        <v>63</v>
      </c>
      <c r="F48" s="83" t="s">
        <v>422</v>
      </c>
      <c r="G48" s="63" t="s">
        <v>422</v>
      </c>
      <c r="H48" s="63" t="s">
        <v>423</v>
      </c>
      <c r="I48" s="63"/>
      <c r="J48" s="80"/>
      <c r="K48" s="80"/>
      <c r="L48" s="84" t="e">
        <f t="shared" si="0"/>
        <v>#DIV/0!</v>
      </c>
      <c r="M48" s="80"/>
      <c r="N48" s="80"/>
      <c r="O48" s="84" t="e">
        <f t="shared" si="1"/>
        <v>#DIV/0!</v>
      </c>
      <c r="P48" s="80">
        <f t="shared" si="2"/>
        <v>0</v>
      </c>
      <c r="Q48" s="80">
        <f t="shared" si="3"/>
        <v>0</v>
      </c>
      <c r="R48" s="84" t="e">
        <f t="shared" si="4"/>
        <v>#DIV/0!</v>
      </c>
      <c r="S48" s="85"/>
      <c r="T48" s="85"/>
      <c r="U48" s="84" t="e">
        <f t="shared" si="5"/>
        <v>#DIV/0!</v>
      </c>
      <c r="V48" s="86">
        <f t="shared" si="6"/>
        <v>0</v>
      </c>
      <c r="W48" s="86">
        <f t="shared" si="7"/>
        <v>0</v>
      </c>
      <c r="X48" s="84" t="e">
        <f t="shared" si="8"/>
        <v>#DIV/0!</v>
      </c>
      <c r="Y48" s="80"/>
      <c r="Z48" s="80"/>
      <c r="AA48" s="84" t="e">
        <f t="shared" si="38"/>
        <v>#DIV/0!</v>
      </c>
      <c r="AB48" s="80">
        <f t="shared" si="39"/>
        <v>0</v>
      </c>
      <c r="AC48" s="80">
        <f t="shared" si="40"/>
        <v>0</v>
      </c>
      <c r="AD48" s="84" t="e">
        <f t="shared" si="41"/>
        <v>#DIV/0!</v>
      </c>
      <c r="AE48" s="80"/>
      <c r="AF48" s="80"/>
      <c r="AG48" s="84" t="e">
        <f t="shared" si="42"/>
        <v>#DIV/0!</v>
      </c>
      <c r="AH48" s="80">
        <f t="shared" si="43"/>
        <v>0</v>
      </c>
      <c r="AI48" s="80">
        <f t="shared" si="44"/>
        <v>0</v>
      </c>
      <c r="AJ48" s="84" t="e">
        <f t="shared" si="45"/>
        <v>#DIV/0!</v>
      </c>
      <c r="AK48" s="87"/>
      <c r="AL48" s="87"/>
      <c r="AM48" s="84" t="e">
        <f t="shared" si="46"/>
        <v>#DIV/0!</v>
      </c>
      <c r="AN48" s="87">
        <f t="shared" si="47"/>
        <v>0</v>
      </c>
      <c r="AO48" s="87">
        <f t="shared" si="48"/>
        <v>0</v>
      </c>
      <c r="AP48" s="84" t="e">
        <f t="shared" si="49"/>
        <v>#DIV/0!</v>
      </c>
      <c r="AQ48" s="85"/>
      <c r="AR48" s="85"/>
      <c r="AS48" s="84" t="e">
        <f t="shared" si="50"/>
        <v>#DIV/0!</v>
      </c>
      <c r="AT48" s="85">
        <f t="shared" si="51"/>
        <v>0</v>
      </c>
      <c r="AU48" s="85">
        <f t="shared" si="52"/>
        <v>0</v>
      </c>
      <c r="AV48" s="84" t="e">
        <f t="shared" si="53"/>
        <v>#DIV/0!</v>
      </c>
      <c r="AW48" s="80"/>
      <c r="AX48" s="80"/>
      <c r="AY48" s="84" t="e">
        <f t="shared" si="54"/>
        <v>#DIV/0!</v>
      </c>
      <c r="AZ48" s="80">
        <f t="shared" si="55"/>
        <v>0</v>
      </c>
      <c r="BA48" s="80">
        <f t="shared" si="56"/>
        <v>0</v>
      </c>
      <c r="BB48" s="84" t="e">
        <f t="shared" si="57"/>
        <v>#DIV/0!</v>
      </c>
      <c r="BC48" s="80"/>
      <c r="BD48" s="80"/>
      <c r="BE48" s="84" t="e">
        <f t="shared" si="58"/>
        <v>#DIV/0!</v>
      </c>
      <c r="BF48" s="80">
        <f t="shared" si="59"/>
        <v>0</v>
      </c>
      <c r="BG48" s="80">
        <f t="shared" si="60"/>
        <v>0</v>
      </c>
      <c r="BH48" s="84" t="e">
        <f t="shared" si="61"/>
        <v>#DIV/0!</v>
      </c>
      <c r="BI48" s="88"/>
      <c r="BJ48" s="88"/>
      <c r="BK48" s="84" t="e">
        <f t="shared" si="62"/>
        <v>#DIV/0!</v>
      </c>
      <c r="BL48" s="88">
        <f t="shared" si="63"/>
        <v>0</v>
      </c>
      <c r="BM48" s="88">
        <f t="shared" si="64"/>
        <v>0</v>
      </c>
      <c r="BN48" s="84" t="e">
        <f t="shared" si="65"/>
        <v>#DIV/0!</v>
      </c>
      <c r="BO48" s="80"/>
      <c r="BP48" s="80"/>
      <c r="BQ48" s="80">
        <v>0</v>
      </c>
      <c r="BR48" s="89" t="e">
        <f t="shared" si="66"/>
        <v>#DIV/0!</v>
      </c>
    </row>
    <row r="49" s="56" customFormat="1" customHeight="1" spans="1:70">
      <c r="A49" s="62" t="s">
        <v>416</v>
      </c>
      <c r="B49" s="63" t="s">
        <v>416</v>
      </c>
      <c r="C49" s="95" t="s">
        <v>485</v>
      </c>
      <c r="D49" s="83" t="s">
        <v>63</v>
      </c>
      <c r="E49" s="83" t="s">
        <v>63</v>
      </c>
      <c r="F49" s="83" t="s">
        <v>430</v>
      </c>
      <c r="G49" s="63" t="s">
        <v>439</v>
      </c>
      <c r="H49" s="63" t="s">
        <v>419</v>
      </c>
      <c r="I49" s="63"/>
      <c r="J49" s="80"/>
      <c r="K49" s="80"/>
      <c r="L49" s="84" t="e">
        <f t="shared" si="0"/>
        <v>#DIV/0!</v>
      </c>
      <c r="M49" s="80"/>
      <c r="N49" s="80"/>
      <c r="O49" s="84" t="e">
        <f t="shared" si="1"/>
        <v>#DIV/0!</v>
      </c>
      <c r="P49" s="80">
        <f t="shared" si="2"/>
        <v>0</v>
      </c>
      <c r="Q49" s="80">
        <f t="shared" si="3"/>
        <v>0</v>
      </c>
      <c r="R49" s="84" t="e">
        <f t="shared" si="4"/>
        <v>#DIV/0!</v>
      </c>
      <c r="S49" s="85"/>
      <c r="T49" s="85"/>
      <c r="U49" s="84" t="e">
        <f t="shared" si="5"/>
        <v>#DIV/0!</v>
      </c>
      <c r="V49" s="86">
        <f t="shared" si="6"/>
        <v>0</v>
      </c>
      <c r="W49" s="86">
        <f t="shared" si="7"/>
        <v>0</v>
      </c>
      <c r="X49" s="84" t="e">
        <f t="shared" si="8"/>
        <v>#DIV/0!</v>
      </c>
      <c r="Y49" s="80"/>
      <c r="Z49" s="80"/>
      <c r="AA49" s="84" t="e">
        <f t="shared" si="38"/>
        <v>#DIV/0!</v>
      </c>
      <c r="AB49" s="80">
        <f t="shared" si="39"/>
        <v>0</v>
      </c>
      <c r="AC49" s="80">
        <f t="shared" si="40"/>
        <v>0</v>
      </c>
      <c r="AD49" s="84" t="e">
        <f t="shared" si="41"/>
        <v>#DIV/0!</v>
      </c>
      <c r="AE49" s="80"/>
      <c r="AF49" s="80"/>
      <c r="AG49" s="84" t="e">
        <f t="shared" si="42"/>
        <v>#DIV/0!</v>
      </c>
      <c r="AH49" s="80">
        <f t="shared" si="43"/>
        <v>0</v>
      </c>
      <c r="AI49" s="80">
        <f t="shared" si="44"/>
        <v>0</v>
      </c>
      <c r="AJ49" s="84" t="e">
        <f t="shared" si="45"/>
        <v>#DIV/0!</v>
      </c>
      <c r="AK49" s="87"/>
      <c r="AL49" s="87"/>
      <c r="AM49" s="84" t="e">
        <f t="shared" si="46"/>
        <v>#DIV/0!</v>
      </c>
      <c r="AN49" s="87">
        <f t="shared" si="47"/>
        <v>0</v>
      </c>
      <c r="AO49" s="87">
        <f t="shared" si="48"/>
        <v>0</v>
      </c>
      <c r="AP49" s="84" t="e">
        <f t="shared" si="49"/>
        <v>#DIV/0!</v>
      </c>
      <c r="AQ49" s="85"/>
      <c r="AR49" s="85"/>
      <c r="AS49" s="84" t="e">
        <f t="shared" si="50"/>
        <v>#DIV/0!</v>
      </c>
      <c r="AT49" s="85">
        <f t="shared" si="51"/>
        <v>0</v>
      </c>
      <c r="AU49" s="85">
        <f t="shared" si="52"/>
        <v>0</v>
      </c>
      <c r="AV49" s="84" t="e">
        <f t="shared" si="53"/>
        <v>#DIV/0!</v>
      </c>
      <c r="AW49" s="80"/>
      <c r="AX49" s="80"/>
      <c r="AY49" s="84" t="e">
        <f t="shared" si="54"/>
        <v>#DIV/0!</v>
      </c>
      <c r="AZ49" s="80">
        <f t="shared" si="55"/>
        <v>0</v>
      </c>
      <c r="BA49" s="80">
        <f t="shared" si="56"/>
        <v>0</v>
      </c>
      <c r="BB49" s="84" t="e">
        <f t="shared" si="57"/>
        <v>#DIV/0!</v>
      </c>
      <c r="BC49" s="80"/>
      <c r="BD49" s="80"/>
      <c r="BE49" s="84" t="e">
        <f t="shared" si="58"/>
        <v>#DIV/0!</v>
      </c>
      <c r="BF49" s="80">
        <f t="shared" si="59"/>
        <v>0</v>
      </c>
      <c r="BG49" s="80">
        <f t="shared" si="60"/>
        <v>0</v>
      </c>
      <c r="BH49" s="84" t="e">
        <f t="shared" si="61"/>
        <v>#DIV/0!</v>
      </c>
      <c r="BI49" s="88"/>
      <c r="BJ49" s="88"/>
      <c r="BK49" s="84" t="e">
        <f t="shared" si="62"/>
        <v>#DIV/0!</v>
      </c>
      <c r="BL49" s="88">
        <f t="shared" si="63"/>
        <v>0</v>
      </c>
      <c r="BM49" s="88">
        <f t="shared" si="64"/>
        <v>0</v>
      </c>
      <c r="BN49" s="84" t="e">
        <f t="shared" si="65"/>
        <v>#DIV/0!</v>
      </c>
      <c r="BO49" s="80"/>
      <c r="BP49" s="80"/>
      <c r="BQ49" s="80">
        <v>0</v>
      </c>
      <c r="BR49" s="89" t="e">
        <f t="shared" si="66"/>
        <v>#DIV/0!</v>
      </c>
    </row>
    <row r="50" s="56" customFormat="1" customHeight="1" spans="1:70">
      <c r="A50" s="62" t="s">
        <v>416</v>
      </c>
      <c r="B50" s="63" t="s">
        <v>416</v>
      </c>
      <c r="C50" s="95" t="s">
        <v>486</v>
      </c>
      <c r="D50" s="83" t="s">
        <v>63</v>
      </c>
      <c r="E50" s="83" t="s">
        <v>63</v>
      </c>
      <c r="F50" s="83" t="s">
        <v>422</v>
      </c>
      <c r="G50" s="63" t="s">
        <v>422</v>
      </c>
      <c r="H50" s="63" t="s">
        <v>423</v>
      </c>
      <c r="I50" s="63">
        <v>60</v>
      </c>
      <c r="J50" s="80">
        <v>86284</v>
      </c>
      <c r="K50" s="80">
        <v>20594</v>
      </c>
      <c r="L50" s="84">
        <f t="shared" si="0"/>
        <v>-0.761323072643827</v>
      </c>
      <c r="M50" s="80">
        <v>8940</v>
      </c>
      <c r="N50" s="80">
        <v>13850</v>
      </c>
      <c r="O50" s="84">
        <f t="shared" si="1"/>
        <v>0.549217002237137</v>
      </c>
      <c r="P50" s="80">
        <f t="shared" si="2"/>
        <v>95224</v>
      </c>
      <c r="Q50" s="80">
        <f t="shared" si="3"/>
        <v>34444</v>
      </c>
      <c r="R50" s="84">
        <f t="shared" si="4"/>
        <v>-0.638284466100983</v>
      </c>
      <c r="S50" s="85">
        <v>16110</v>
      </c>
      <c r="T50" s="85">
        <v>11560</v>
      </c>
      <c r="U50" s="84">
        <f t="shared" si="5"/>
        <v>-0.282433271260087</v>
      </c>
      <c r="V50" s="86">
        <f t="shared" si="6"/>
        <v>111334</v>
      </c>
      <c r="W50" s="86">
        <f t="shared" si="7"/>
        <v>46004</v>
      </c>
      <c r="X50" s="84">
        <f t="shared" si="8"/>
        <v>-0.586792893455728</v>
      </c>
      <c r="Y50" s="80">
        <v>15196</v>
      </c>
      <c r="Z50" s="80">
        <v>19443</v>
      </c>
      <c r="AA50" s="84">
        <f t="shared" si="38"/>
        <v>0.279481442484864</v>
      </c>
      <c r="AB50" s="80">
        <f t="shared" si="39"/>
        <v>126530</v>
      </c>
      <c r="AC50" s="80">
        <f t="shared" si="40"/>
        <v>65447</v>
      </c>
      <c r="AD50" s="84">
        <f t="shared" si="41"/>
        <v>-0.482755077847151</v>
      </c>
      <c r="AE50" s="80">
        <v>4500</v>
      </c>
      <c r="AF50" s="80">
        <v>19739</v>
      </c>
      <c r="AG50" s="84">
        <f t="shared" si="42"/>
        <v>3.38644444444444</v>
      </c>
      <c r="AH50" s="80">
        <f t="shared" si="43"/>
        <v>131030</v>
      </c>
      <c r="AI50" s="80">
        <f t="shared" si="44"/>
        <v>85186</v>
      </c>
      <c r="AJ50" s="84">
        <f t="shared" si="45"/>
        <v>-0.349874074639396</v>
      </c>
      <c r="AK50" s="87"/>
      <c r="AL50" s="87">
        <v>4650</v>
      </c>
      <c r="AM50" s="84" t="e">
        <f t="shared" si="46"/>
        <v>#DIV/0!</v>
      </c>
      <c r="AN50" s="87">
        <f t="shared" si="47"/>
        <v>131030</v>
      </c>
      <c r="AO50" s="87">
        <f t="shared" si="48"/>
        <v>89836</v>
      </c>
      <c r="AP50" s="84">
        <f t="shared" si="49"/>
        <v>-0.314386018469053</v>
      </c>
      <c r="AQ50" s="85">
        <v>21812</v>
      </c>
      <c r="AR50" s="85">
        <v>19099</v>
      </c>
      <c r="AS50" s="84">
        <f t="shared" si="50"/>
        <v>-0.124381074637814</v>
      </c>
      <c r="AT50" s="85">
        <f t="shared" si="51"/>
        <v>152842</v>
      </c>
      <c r="AU50" s="85">
        <f t="shared" si="52"/>
        <v>108935</v>
      </c>
      <c r="AV50" s="84">
        <f t="shared" si="53"/>
        <v>-0.287270514649115</v>
      </c>
      <c r="AW50" s="80">
        <v>15160</v>
      </c>
      <c r="AX50" s="80">
        <v>5190</v>
      </c>
      <c r="AY50" s="84">
        <f t="shared" si="54"/>
        <v>-0.657651715039578</v>
      </c>
      <c r="AZ50" s="80">
        <f t="shared" si="55"/>
        <v>168002</v>
      </c>
      <c r="BA50" s="80">
        <f t="shared" si="56"/>
        <v>114125</v>
      </c>
      <c r="BB50" s="84">
        <f t="shared" si="57"/>
        <v>-0.320692610802252</v>
      </c>
      <c r="BC50" s="80">
        <v>50210</v>
      </c>
      <c r="BD50" s="80">
        <v>62721</v>
      </c>
      <c r="BE50" s="84">
        <f t="shared" si="58"/>
        <v>0.249173471420036</v>
      </c>
      <c r="BF50" s="80">
        <f t="shared" si="59"/>
        <v>218212</v>
      </c>
      <c r="BG50" s="80">
        <f t="shared" si="60"/>
        <v>176846</v>
      </c>
      <c r="BH50" s="84">
        <f t="shared" si="61"/>
        <v>-0.189567943101204</v>
      </c>
      <c r="BI50" s="88">
        <v>177765</v>
      </c>
      <c r="BJ50" s="88">
        <v>6088</v>
      </c>
      <c r="BK50" s="84">
        <f t="shared" si="62"/>
        <v>-0.965752538463702</v>
      </c>
      <c r="BL50" s="88">
        <f t="shared" si="63"/>
        <v>395977</v>
      </c>
      <c r="BM50" s="88">
        <f t="shared" si="64"/>
        <v>182934</v>
      </c>
      <c r="BN50" s="84">
        <f t="shared" si="65"/>
        <v>-0.538018622293719</v>
      </c>
      <c r="BO50" s="80">
        <v>39960</v>
      </c>
      <c r="BP50" s="80">
        <v>133158</v>
      </c>
      <c r="BQ50" s="80">
        <v>569095</v>
      </c>
      <c r="BR50" s="89">
        <f t="shared" si="66"/>
        <v>0.30489</v>
      </c>
    </row>
    <row r="51" s="56" customFormat="1" customHeight="1" spans="1:70">
      <c r="A51" s="62" t="s">
        <v>416</v>
      </c>
      <c r="B51" s="63" t="s">
        <v>416</v>
      </c>
      <c r="C51" s="95" t="s">
        <v>487</v>
      </c>
      <c r="D51" s="83" t="s">
        <v>63</v>
      </c>
      <c r="E51" s="83" t="s">
        <v>63</v>
      </c>
      <c r="F51" s="83" t="s">
        <v>430</v>
      </c>
      <c r="G51" s="63" t="s">
        <v>447</v>
      </c>
      <c r="H51" s="63" t="s">
        <v>419</v>
      </c>
      <c r="I51" s="63">
        <v>0</v>
      </c>
      <c r="J51" s="80">
        <v>3892</v>
      </c>
      <c r="K51" s="80"/>
      <c r="L51" s="84">
        <f t="shared" si="0"/>
        <v>-1</v>
      </c>
      <c r="M51" s="80"/>
      <c r="N51" s="80"/>
      <c r="O51" s="84" t="e">
        <f t="shared" si="1"/>
        <v>#DIV/0!</v>
      </c>
      <c r="P51" s="80">
        <f t="shared" si="2"/>
        <v>3892</v>
      </c>
      <c r="Q51" s="80">
        <f t="shared" si="3"/>
        <v>0</v>
      </c>
      <c r="R51" s="84">
        <f t="shared" si="4"/>
        <v>-1</v>
      </c>
      <c r="S51" s="85"/>
      <c r="T51" s="85"/>
      <c r="U51" s="84" t="e">
        <f t="shared" si="5"/>
        <v>#DIV/0!</v>
      </c>
      <c r="V51" s="86">
        <f t="shared" si="6"/>
        <v>3892</v>
      </c>
      <c r="W51" s="86">
        <f t="shared" si="7"/>
        <v>0</v>
      </c>
      <c r="X51" s="84">
        <f t="shared" si="8"/>
        <v>-1</v>
      </c>
      <c r="Y51" s="80"/>
      <c r="Z51" s="80"/>
      <c r="AA51" s="84" t="e">
        <f t="shared" si="38"/>
        <v>#DIV/0!</v>
      </c>
      <c r="AB51" s="80">
        <f t="shared" si="39"/>
        <v>3892</v>
      </c>
      <c r="AC51" s="80">
        <f t="shared" si="40"/>
        <v>0</v>
      </c>
      <c r="AD51" s="84">
        <f t="shared" si="41"/>
        <v>-1</v>
      </c>
      <c r="AE51" s="80">
        <v>2240</v>
      </c>
      <c r="AF51" s="80"/>
      <c r="AG51" s="84">
        <f t="shared" si="42"/>
        <v>-1</v>
      </c>
      <c r="AH51" s="80">
        <f t="shared" si="43"/>
        <v>6132</v>
      </c>
      <c r="AI51" s="80">
        <f t="shared" si="44"/>
        <v>0</v>
      </c>
      <c r="AJ51" s="84">
        <f t="shared" si="45"/>
        <v>-1</v>
      </c>
      <c r="AK51" s="87"/>
      <c r="AL51" s="87"/>
      <c r="AM51" s="84" t="e">
        <f t="shared" si="46"/>
        <v>#DIV/0!</v>
      </c>
      <c r="AN51" s="87">
        <f t="shared" si="47"/>
        <v>6132</v>
      </c>
      <c r="AO51" s="87">
        <f t="shared" si="48"/>
        <v>0</v>
      </c>
      <c r="AP51" s="84">
        <f t="shared" si="49"/>
        <v>-1</v>
      </c>
      <c r="AQ51" s="85"/>
      <c r="AR51" s="85"/>
      <c r="AS51" s="84" t="e">
        <f t="shared" si="50"/>
        <v>#DIV/0!</v>
      </c>
      <c r="AT51" s="85">
        <f t="shared" si="51"/>
        <v>6132</v>
      </c>
      <c r="AU51" s="85">
        <f t="shared" si="52"/>
        <v>0</v>
      </c>
      <c r="AV51" s="84">
        <f t="shared" si="53"/>
        <v>-1</v>
      </c>
      <c r="AW51" s="80"/>
      <c r="AX51" s="80"/>
      <c r="AY51" s="84" t="e">
        <f t="shared" si="54"/>
        <v>#DIV/0!</v>
      </c>
      <c r="AZ51" s="80">
        <f t="shared" si="55"/>
        <v>6132</v>
      </c>
      <c r="BA51" s="80">
        <f t="shared" si="56"/>
        <v>0</v>
      </c>
      <c r="BB51" s="84">
        <f t="shared" si="57"/>
        <v>-1</v>
      </c>
      <c r="BC51" s="80"/>
      <c r="BD51" s="80"/>
      <c r="BE51" s="84" t="e">
        <f t="shared" si="58"/>
        <v>#DIV/0!</v>
      </c>
      <c r="BF51" s="80">
        <f t="shared" si="59"/>
        <v>6132</v>
      </c>
      <c r="BG51" s="80">
        <f t="shared" si="60"/>
        <v>0</v>
      </c>
      <c r="BH51" s="84">
        <f t="shared" si="61"/>
        <v>-1</v>
      </c>
      <c r="BI51" s="88"/>
      <c r="BJ51" s="88"/>
      <c r="BK51" s="84" t="e">
        <f t="shared" si="62"/>
        <v>#DIV/0!</v>
      </c>
      <c r="BL51" s="88">
        <f t="shared" si="63"/>
        <v>6132</v>
      </c>
      <c r="BM51" s="88">
        <f t="shared" si="64"/>
        <v>0</v>
      </c>
      <c r="BN51" s="84">
        <f t="shared" si="65"/>
        <v>-1</v>
      </c>
      <c r="BO51" s="80"/>
      <c r="BP51" s="80"/>
      <c r="BQ51" s="80">
        <v>6132</v>
      </c>
      <c r="BR51" s="89" t="e">
        <f t="shared" si="66"/>
        <v>#DIV/0!</v>
      </c>
    </row>
    <row r="52" s="56" customFormat="1" customHeight="1" spans="1:70">
      <c r="A52" s="62" t="s">
        <v>416</v>
      </c>
      <c r="B52" s="63" t="s">
        <v>455</v>
      </c>
      <c r="C52" s="95" t="s">
        <v>488</v>
      </c>
      <c r="D52" s="80" t="s">
        <v>104</v>
      </c>
      <c r="E52" s="83" t="s">
        <v>104</v>
      </c>
      <c r="F52" s="83" t="s">
        <v>489</v>
      </c>
      <c r="G52" s="80" t="s">
        <v>489</v>
      </c>
      <c r="H52" s="63" t="s">
        <v>459</v>
      </c>
      <c r="I52" s="63">
        <v>0</v>
      </c>
      <c r="J52" s="80"/>
      <c r="K52" s="80"/>
      <c r="L52" s="84" t="e">
        <f t="shared" si="0"/>
        <v>#DIV/0!</v>
      </c>
      <c r="M52" s="80"/>
      <c r="N52" s="80"/>
      <c r="O52" s="84" t="e">
        <f t="shared" si="1"/>
        <v>#DIV/0!</v>
      </c>
      <c r="P52" s="80">
        <f t="shared" si="2"/>
        <v>0</v>
      </c>
      <c r="Q52" s="80">
        <f t="shared" si="3"/>
        <v>0</v>
      </c>
      <c r="R52" s="84" t="e">
        <f t="shared" si="4"/>
        <v>#DIV/0!</v>
      </c>
      <c r="S52" s="85"/>
      <c r="T52" s="85"/>
      <c r="U52" s="84" t="e">
        <f t="shared" si="5"/>
        <v>#DIV/0!</v>
      </c>
      <c r="V52" s="86">
        <f t="shared" si="6"/>
        <v>0</v>
      </c>
      <c r="W52" s="86">
        <f t="shared" si="7"/>
        <v>0</v>
      </c>
      <c r="X52" s="84" t="e">
        <f t="shared" si="8"/>
        <v>#DIV/0!</v>
      </c>
      <c r="Y52" s="80"/>
      <c r="Z52" s="80"/>
      <c r="AA52" s="84" t="e">
        <f t="shared" si="38"/>
        <v>#DIV/0!</v>
      </c>
      <c r="AB52" s="80">
        <f t="shared" si="39"/>
        <v>0</v>
      </c>
      <c r="AC52" s="80">
        <f t="shared" si="40"/>
        <v>0</v>
      </c>
      <c r="AD52" s="84" t="e">
        <f t="shared" si="41"/>
        <v>#DIV/0!</v>
      </c>
      <c r="AE52" s="80"/>
      <c r="AF52" s="80"/>
      <c r="AG52" s="84" t="e">
        <f t="shared" si="42"/>
        <v>#DIV/0!</v>
      </c>
      <c r="AH52" s="80">
        <f t="shared" si="43"/>
        <v>0</v>
      </c>
      <c r="AI52" s="80">
        <f t="shared" si="44"/>
        <v>0</v>
      </c>
      <c r="AJ52" s="84" t="e">
        <f t="shared" si="45"/>
        <v>#DIV/0!</v>
      </c>
      <c r="AK52" s="87"/>
      <c r="AL52" s="87"/>
      <c r="AM52" s="84" t="e">
        <f t="shared" si="46"/>
        <v>#DIV/0!</v>
      </c>
      <c r="AN52" s="87">
        <f t="shared" si="47"/>
        <v>0</v>
      </c>
      <c r="AO52" s="87">
        <f t="shared" si="48"/>
        <v>0</v>
      </c>
      <c r="AP52" s="84" t="e">
        <f t="shared" si="49"/>
        <v>#DIV/0!</v>
      </c>
      <c r="AQ52" s="85"/>
      <c r="AR52" s="85"/>
      <c r="AS52" s="84" t="e">
        <f t="shared" si="50"/>
        <v>#DIV/0!</v>
      </c>
      <c r="AT52" s="85">
        <f t="shared" si="51"/>
        <v>0</v>
      </c>
      <c r="AU52" s="85">
        <f t="shared" si="52"/>
        <v>0</v>
      </c>
      <c r="AV52" s="84" t="e">
        <f t="shared" si="53"/>
        <v>#DIV/0!</v>
      </c>
      <c r="AW52" s="80"/>
      <c r="AX52" s="80"/>
      <c r="AY52" s="84" t="e">
        <f t="shared" si="54"/>
        <v>#DIV/0!</v>
      </c>
      <c r="AZ52" s="80">
        <f t="shared" si="55"/>
        <v>0</v>
      </c>
      <c r="BA52" s="80">
        <f t="shared" si="56"/>
        <v>0</v>
      </c>
      <c r="BB52" s="84" t="e">
        <f t="shared" si="57"/>
        <v>#DIV/0!</v>
      </c>
      <c r="BC52" s="80"/>
      <c r="BD52" s="80"/>
      <c r="BE52" s="84" t="e">
        <f t="shared" si="58"/>
        <v>#DIV/0!</v>
      </c>
      <c r="BF52" s="80">
        <f t="shared" si="59"/>
        <v>0</v>
      </c>
      <c r="BG52" s="80">
        <f t="shared" si="60"/>
        <v>0</v>
      </c>
      <c r="BH52" s="84" t="e">
        <f t="shared" si="61"/>
        <v>#DIV/0!</v>
      </c>
      <c r="BI52" s="88"/>
      <c r="BJ52" s="88"/>
      <c r="BK52" s="84" t="e">
        <f t="shared" si="62"/>
        <v>#DIV/0!</v>
      </c>
      <c r="BL52" s="88">
        <f t="shared" si="63"/>
        <v>0</v>
      </c>
      <c r="BM52" s="88">
        <f t="shared" si="64"/>
        <v>0</v>
      </c>
      <c r="BN52" s="84" t="e">
        <f t="shared" si="65"/>
        <v>#DIV/0!</v>
      </c>
      <c r="BO52" s="80"/>
      <c r="BP52" s="80"/>
      <c r="BQ52" s="80">
        <v>0</v>
      </c>
      <c r="BR52" s="89" t="e">
        <f t="shared" si="66"/>
        <v>#DIV/0!</v>
      </c>
    </row>
    <row r="53" s="56" customFormat="1" customHeight="1" spans="1:70">
      <c r="A53" s="62" t="s">
        <v>416</v>
      </c>
      <c r="B53" s="63" t="s">
        <v>455</v>
      </c>
      <c r="C53" s="95" t="s">
        <v>490</v>
      </c>
      <c r="D53" s="80" t="s">
        <v>104</v>
      </c>
      <c r="E53" s="83" t="s">
        <v>104</v>
      </c>
      <c r="F53" s="83" t="s">
        <v>457</v>
      </c>
      <c r="G53" s="80" t="s">
        <v>458</v>
      </c>
      <c r="H53" s="63" t="s">
        <v>459</v>
      </c>
      <c r="I53" s="63">
        <v>0</v>
      </c>
      <c r="J53" s="80"/>
      <c r="K53" s="80"/>
      <c r="L53" s="84" t="e">
        <f t="shared" si="0"/>
        <v>#DIV/0!</v>
      </c>
      <c r="M53" s="80"/>
      <c r="N53" s="80"/>
      <c r="O53" s="84" t="e">
        <f t="shared" si="1"/>
        <v>#DIV/0!</v>
      </c>
      <c r="P53" s="80">
        <f t="shared" si="2"/>
        <v>0</v>
      </c>
      <c r="Q53" s="80">
        <f t="shared" si="3"/>
        <v>0</v>
      </c>
      <c r="R53" s="84" t="e">
        <f t="shared" si="4"/>
        <v>#DIV/0!</v>
      </c>
      <c r="S53" s="85"/>
      <c r="T53" s="85"/>
      <c r="U53" s="84" t="e">
        <f t="shared" si="5"/>
        <v>#DIV/0!</v>
      </c>
      <c r="V53" s="86">
        <f t="shared" si="6"/>
        <v>0</v>
      </c>
      <c r="W53" s="86">
        <f t="shared" si="7"/>
        <v>0</v>
      </c>
      <c r="X53" s="84" t="e">
        <f t="shared" si="8"/>
        <v>#DIV/0!</v>
      </c>
      <c r="Y53" s="80"/>
      <c r="Z53" s="80"/>
      <c r="AA53" s="84" t="e">
        <f t="shared" si="38"/>
        <v>#DIV/0!</v>
      </c>
      <c r="AB53" s="80">
        <f t="shared" si="39"/>
        <v>0</v>
      </c>
      <c r="AC53" s="80">
        <f t="shared" si="40"/>
        <v>0</v>
      </c>
      <c r="AD53" s="84" t="e">
        <f t="shared" si="41"/>
        <v>#DIV/0!</v>
      </c>
      <c r="AE53" s="80"/>
      <c r="AF53" s="80"/>
      <c r="AG53" s="84" t="e">
        <f t="shared" si="42"/>
        <v>#DIV/0!</v>
      </c>
      <c r="AH53" s="80">
        <f t="shared" si="43"/>
        <v>0</v>
      </c>
      <c r="AI53" s="80">
        <f t="shared" si="44"/>
        <v>0</v>
      </c>
      <c r="AJ53" s="84" t="e">
        <f t="shared" si="45"/>
        <v>#DIV/0!</v>
      </c>
      <c r="AK53" s="87"/>
      <c r="AL53" s="87"/>
      <c r="AM53" s="84" t="e">
        <f t="shared" si="46"/>
        <v>#DIV/0!</v>
      </c>
      <c r="AN53" s="87">
        <f t="shared" si="47"/>
        <v>0</v>
      </c>
      <c r="AO53" s="87">
        <f t="shared" si="48"/>
        <v>0</v>
      </c>
      <c r="AP53" s="84" t="e">
        <f t="shared" si="49"/>
        <v>#DIV/0!</v>
      </c>
      <c r="AQ53" s="85"/>
      <c r="AR53" s="85"/>
      <c r="AS53" s="84" t="e">
        <f t="shared" si="50"/>
        <v>#DIV/0!</v>
      </c>
      <c r="AT53" s="85">
        <f t="shared" si="51"/>
        <v>0</v>
      </c>
      <c r="AU53" s="85">
        <f t="shared" si="52"/>
        <v>0</v>
      </c>
      <c r="AV53" s="84" t="e">
        <f t="shared" si="53"/>
        <v>#DIV/0!</v>
      </c>
      <c r="AW53" s="80"/>
      <c r="AX53" s="80"/>
      <c r="AY53" s="84" t="e">
        <f t="shared" si="54"/>
        <v>#DIV/0!</v>
      </c>
      <c r="AZ53" s="80">
        <f t="shared" si="55"/>
        <v>0</v>
      </c>
      <c r="BA53" s="80">
        <f t="shared" si="56"/>
        <v>0</v>
      </c>
      <c r="BB53" s="84" t="e">
        <f t="shared" si="57"/>
        <v>#DIV/0!</v>
      </c>
      <c r="BC53" s="80"/>
      <c r="BD53" s="80"/>
      <c r="BE53" s="84" t="e">
        <f t="shared" si="58"/>
        <v>#DIV/0!</v>
      </c>
      <c r="BF53" s="80">
        <f t="shared" si="59"/>
        <v>0</v>
      </c>
      <c r="BG53" s="80">
        <f t="shared" si="60"/>
        <v>0</v>
      </c>
      <c r="BH53" s="84" t="e">
        <f t="shared" si="61"/>
        <v>#DIV/0!</v>
      </c>
      <c r="BI53" s="88"/>
      <c r="BJ53" s="88"/>
      <c r="BK53" s="84" t="e">
        <f t="shared" si="62"/>
        <v>#DIV/0!</v>
      </c>
      <c r="BL53" s="88">
        <f t="shared" si="63"/>
        <v>0</v>
      </c>
      <c r="BM53" s="88">
        <f t="shared" si="64"/>
        <v>0</v>
      </c>
      <c r="BN53" s="84" t="e">
        <f t="shared" si="65"/>
        <v>#DIV/0!</v>
      </c>
      <c r="BO53" s="80"/>
      <c r="BP53" s="80"/>
      <c r="BQ53" s="80">
        <v>0</v>
      </c>
      <c r="BR53" s="89" t="e">
        <f t="shared" si="66"/>
        <v>#DIV/0!</v>
      </c>
    </row>
    <row r="54" s="56" customFormat="1" customHeight="1" spans="1:70">
      <c r="A54" s="62" t="s">
        <v>416</v>
      </c>
      <c r="B54" s="63" t="s">
        <v>455</v>
      </c>
      <c r="C54" s="96" t="s">
        <v>491</v>
      </c>
      <c r="D54" s="80" t="s">
        <v>104</v>
      </c>
      <c r="E54" s="83" t="s">
        <v>104</v>
      </c>
      <c r="F54" s="83" t="s">
        <v>483</v>
      </c>
      <c r="G54" s="80" t="s">
        <v>483</v>
      </c>
      <c r="H54" s="63" t="s">
        <v>459</v>
      </c>
      <c r="I54" s="63"/>
      <c r="J54" s="80"/>
      <c r="K54" s="80"/>
      <c r="L54" s="84" t="e">
        <f t="shared" si="0"/>
        <v>#DIV/0!</v>
      </c>
      <c r="M54" s="80"/>
      <c r="N54" s="80"/>
      <c r="O54" s="84" t="e">
        <f t="shared" si="1"/>
        <v>#DIV/0!</v>
      </c>
      <c r="P54" s="80">
        <f t="shared" si="2"/>
        <v>0</v>
      </c>
      <c r="Q54" s="80">
        <f t="shared" si="3"/>
        <v>0</v>
      </c>
      <c r="R54" s="84" t="e">
        <f t="shared" si="4"/>
        <v>#DIV/0!</v>
      </c>
      <c r="S54" s="85">
        <v>43000</v>
      </c>
      <c r="T54" s="85"/>
      <c r="U54" s="84">
        <f t="shared" si="5"/>
        <v>-1</v>
      </c>
      <c r="V54" s="86">
        <f t="shared" si="6"/>
        <v>43000</v>
      </c>
      <c r="W54" s="86">
        <f t="shared" si="7"/>
        <v>0</v>
      </c>
      <c r="X54" s="84">
        <f t="shared" si="8"/>
        <v>-1</v>
      </c>
      <c r="Y54" s="80"/>
      <c r="Z54" s="80"/>
      <c r="AA54" s="84" t="e">
        <f t="shared" si="38"/>
        <v>#DIV/0!</v>
      </c>
      <c r="AB54" s="80">
        <f t="shared" si="39"/>
        <v>43000</v>
      </c>
      <c r="AC54" s="80">
        <f t="shared" si="40"/>
        <v>0</v>
      </c>
      <c r="AD54" s="84">
        <f t="shared" si="41"/>
        <v>-1</v>
      </c>
      <c r="AE54" s="80"/>
      <c r="AF54" s="80"/>
      <c r="AG54" s="84" t="e">
        <f t="shared" si="42"/>
        <v>#DIV/0!</v>
      </c>
      <c r="AH54" s="80">
        <f t="shared" si="43"/>
        <v>43000</v>
      </c>
      <c r="AI54" s="80">
        <f t="shared" si="44"/>
        <v>0</v>
      </c>
      <c r="AJ54" s="84">
        <f t="shared" si="45"/>
        <v>-1</v>
      </c>
      <c r="AK54" s="87"/>
      <c r="AL54" s="87"/>
      <c r="AM54" s="84" t="e">
        <f t="shared" si="46"/>
        <v>#DIV/0!</v>
      </c>
      <c r="AN54" s="87">
        <f t="shared" si="47"/>
        <v>43000</v>
      </c>
      <c r="AO54" s="87">
        <f t="shared" si="48"/>
        <v>0</v>
      </c>
      <c r="AP54" s="84">
        <f t="shared" si="49"/>
        <v>-1</v>
      </c>
      <c r="AQ54" s="85"/>
      <c r="AR54" s="85"/>
      <c r="AS54" s="84" t="e">
        <f t="shared" si="50"/>
        <v>#DIV/0!</v>
      </c>
      <c r="AT54" s="85">
        <f t="shared" si="51"/>
        <v>43000</v>
      </c>
      <c r="AU54" s="85">
        <f t="shared" si="52"/>
        <v>0</v>
      </c>
      <c r="AV54" s="84">
        <f t="shared" si="53"/>
        <v>-1</v>
      </c>
      <c r="AW54" s="80"/>
      <c r="AX54" s="80"/>
      <c r="AY54" s="84" t="e">
        <f t="shared" si="54"/>
        <v>#DIV/0!</v>
      </c>
      <c r="AZ54" s="80">
        <f t="shared" si="55"/>
        <v>43000</v>
      </c>
      <c r="BA54" s="80">
        <f t="shared" si="56"/>
        <v>0</v>
      </c>
      <c r="BB54" s="84">
        <f t="shared" si="57"/>
        <v>-1</v>
      </c>
      <c r="BC54" s="80"/>
      <c r="BD54" s="80"/>
      <c r="BE54" s="84" t="e">
        <f t="shared" si="58"/>
        <v>#DIV/0!</v>
      </c>
      <c r="BF54" s="80">
        <f t="shared" si="59"/>
        <v>43000</v>
      </c>
      <c r="BG54" s="80">
        <f t="shared" si="60"/>
        <v>0</v>
      </c>
      <c r="BH54" s="84">
        <f t="shared" si="61"/>
        <v>-1</v>
      </c>
      <c r="BI54" s="88"/>
      <c r="BJ54" s="88"/>
      <c r="BK54" s="84" t="e">
        <f t="shared" si="62"/>
        <v>#DIV/0!</v>
      </c>
      <c r="BL54" s="88">
        <f t="shared" si="63"/>
        <v>43000</v>
      </c>
      <c r="BM54" s="88">
        <f t="shared" si="64"/>
        <v>0</v>
      </c>
      <c r="BN54" s="84">
        <f t="shared" si="65"/>
        <v>-1</v>
      </c>
      <c r="BO54" s="80"/>
      <c r="BP54" s="80"/>
      <c r="BQ54" s="80">
        <v>43000</v>
      </c>
      <c r="BR54" s="89" t="e">
        <f t="shared" si="66"/>
        <v>#DIV/0!</v>
      </c>
    </row>
    <row r="55" s="56" customFormat="1" customHeight="1" spans="1:70">
      <c r="A55" s="62" t="s">
        <v>416</v>
      </c>
      <c r="B55" s="63" t="s">
        <v>416</v>
      </c>
      <c r="C55" s="96" t="s">
        <v>492</v>
      </c>
      <c r="D55" s="80" t="s">
        <v>104</v>
      </c>
      <c r="E55" s="83" t="s">
        <v>104</v>
      </c>
      <c r="F55" s="83" t="s">
        <v>418</v>
      </c>
      <c r="G55" s="80" t="s">
        <v>418</v>
      </c>
      <c r="H55" s="63" t="s">
        <v>419</v>
      </c>
      <c r="I55" s="63">
        <v>11</v>
      </c>
      <c r="J55" s="80">
        <v>15920</v>
      </c>
      <c r="K55" s="80"/>
      <c r="L55" s="84">
        <f t="shared" si="0"/>
        <v>-1</v>
      </c>
      <c r="M55" s="80"/>
      <c r="N55" s="80"/>
      <c r="O55" s="84" t="e">
        <f t="shared" si="1"/>
        <v>#DIV/0!</v>
      </c>
      <c r="P55" s="80">
        <f t="shared" si="2"/>
        <v>15920</v>
      </c>
      <c r="Q55" s="80">
        <f t="shared" si="3"/>
        <v>0</v>
      </c>
      <c r="R55" s="84">
        <f t="shared" si="4"/>
        <v>-1</v>
      </c>
      <c r="S55" s="85"/>
      <c r="T55" s="85"/>
      <c r="U55" s="84" t="e">
        <f t="shared" si="5"/>
        <v>#DIV/0!</v>
      </c>
      <c r="V55" s="86">
        <f t="shared" si="6"/>
        <v>15920</v>
      </c>
      <c r="W55" s="86">
        <f t="shared" si="7"/>
        <v>0</v>
      </c>
      <c r="X55" s="84">
        <f t="shared" si="8"/>
        <v>-1</v>
      </c>
      <c r="Y55" s="80">
        <v>166</v>
      </c>
      <c r="Z55" s="80"/>
      <c r="AA55" s="84">
        <f t="shared" si="38"/>
        <v>-1</v>
      </c>
      <c r="AB55" s="80">
        <f t="shared" si="39"/>
        <v>16086</v>
      </c>
      <c r="AC55" s="80">
        <f t="shared" si="40"/>
        <v>0</v>
      </c>
      <c r="AD55" s="84">
        <f t="shared" si="41"/>
        <v>-1</v>
      </c>
      <c r="AE55" s="80">
        <v>14325</v>
      </c>
      <c r="AF55" s="80"/>
      <c r="AG55" s="84">
        <f t="shared" si="42"/>
        <v>-1</v>
      </c>
      <c r="AH55" s="80">
        <f t="shared" si="43"/>
        <v>30411</v>
      </c>
      <c r="AI55" s="80">
        <f t="shared" si="44"/>
        <v>0</v>
      </c>
      <c r="AJ55" s="84">
        <f t="shared" si="45"/>
        <v>-1</v>
      </c>
      <c r="AK55" s="87">
        <v>28545</v>
      </c>
      <c r="AL55" s="87"/>
      <c r="AM55" s="84">
        <f t="shared" si="46"/>
        <v>-1</v>
      </c>
      <c r="AN55" s="87">
        <f t="shared" si="47"/>
        <v>58956</v>
      </c>
      <c r="AO55" s="87">
        <f t="shared" si="48"/>
        <v>0</v>
      </c>
      <c r="AP55" s="84">
        <f t="shared" si="49"/>
        <v>-1</v>
      </c>
      <c r="AQ55" s="85">
        <v>24678</v>
      </c>
      <c r="AR55" s="85">
        <v>198</v>
      </c>
      <c r="AS55" s="84">
        <f t="shared" si="50"/>
        <v>-0.991976659372721</v>
      </c>
      <c r="AT55" s="85">
        <f t="shared" si="51"/>
        <v>83634</v>
      </c>
      <c r="AU55" s="85">
        <f t="shared" si="52"/>
        <v>198</v>
      </c>
      <c r="AV55" s="84">
        <f t="shared" si="53"/>
        <v>-0.997632541789224</v>
      </c>
      <c r="AW55" s="80"/>
      <c r="AX55" s="80"/>
      <c r="AY55" s="84" t="e">
        <f t="shared" si="54"/>
        <v>#DIV/0!</v>
      </c>
      <c r="AZ55" s="80">
        <f t="shared" si="55"/>
        <v>83634</v>
      </c>
      <c r="BA55" s="80">
        <f t="shared" si="56"/>
        <v>198</v>
      </c>
      <c r="BB55" s="84">
        <f t="shared" si="57"/>
        <v>-0.997632541789224</v>
      </c>
      <c r="BC55" s="80">
        <v>16912</v>
      </c>
      <c r="BD55" s="80"/>
      <c r="BE55" s="84">
        <f t="shared" si="58"/>
        <v>-1</v>
      </c>
      <c r="BF55" s="80">
        <f t="shared" si="59"/>
        <v>100546</v>
      </c>
      <c r="BG55" s="80">
        <f t="shared" si="60"/>
        <v>198</v>
      </c>
      <c r="BH55" s="84">
        <f t="shared" si="61"/>
        <v>-0.998030752093569</v>
      </c>
      <c r="BI55" s="88"/>
      <c r="BJ55" s="88"/>
      <c r="BK55" s="84" t="e">
        <f t="shared" si="62"/>
        <v>#DIV/0!</v>
      </c>
      <c r="BL55" s="88">
        <f t="shared" si="63"/>
        <v>100546</v>
      </c>
      <c r="BM55" s="88">
        <f t="shared" si="64"/>
        <v>198</v>
      </c>
      <c r="BN55" s="84">
        <f t="shared" si="65"/>
        <v>-0.998030752093569</v>
      </c>
      <c r="BO55" s="80"/>
      <c r="BP55" s="80"/>
      <c r="BQ55" s="80">
        <v>100546</v>
      </c>
      <c r="BR55" s="89">
        <f t="shared" si="66"/>
        <v>0.0018</v>
      </c>
    </row>
    <row r="56" s="56" customFormat="1" customHeight="1" spans="1:70">
      <c r="A56" s="62" t="s">
        <v>416</v>
      </c>
      <c r="B56" s="63" t="s">
        <v>455</v>
      </c>
      <c r="C56" s="96" t="s">
        <v>493</v>
      </c>
      <c r="D56" s="80" t="s">
        <v>63</v>
      </c>
      <c r="E56" s="83" t="s">
        <v>63</v>
      </c>
      <c r="F56" s="83" t="s">
        <v>494</v>
      </c>
      <c r="G56" s="80" t="s">
        <v>494</v>
      </c>
      <c r="H56" s="63" t="s">
        <v>459</v>
      </c>
      <c r="I56" s="63"/>
      <c r="J56" s="80">
        <v>8000</v>
      </c>
      <c r="K56" s="80"/>
      <c r="L56" s="84">
        <f t="shared" si="0"/>
        <v>-1</v>
      </c>
      <c r="M56" s="80"/>
      <c r="N56" s="80"/>
      <c r="O56" s="84" t="e">
        <f t="shared" si="1"/>
        <v>#DIV/0!</v>
      </c>
      <c r="P56" s="80">
        <f t="shared" si="2"/>
        <v>8000</v>
      </c>
      <c r="Q56" s="80">
        <f t="shared" si="3"/>
        <v>0</v>
      </c>
      <c r="R56" s="84">
        <f t="shared" si="4"/>
        <v>-1</v>
      </c>
      <c r="S56" s="85"/>
      <c r="T56" s="85"/>
      <c r="U56" s="84" t="e">
        <f t="shared" si="5"/>
        <v>#DIV/0!</v>
      </c>
      <c r="V56" s="86">
        <f t="shared" si="6"/>
        <v>8000</v>
      </c>
      <c r="W56" s="86">
        <f t="shared" si="7"/>
        <v>0</v>
      </c>
      <c r="X56" s="84">
        <f t="shared" si="8"/>
        <v>-1</v>
      </c>
      <c r="Y56" s="80"/>
      <c r="Z56" s="80"/>
      <c r="AA56" s="84" t="e">
        <f t="shared" si="38"/>
        <v>#DIV/0!</v>
      </c>
      <c r="AB56" s="80">
        <f t="shared" si="39"/>
        <v>8000</v>
      </c>
      <c r="AC56" s="80">
        <f t="shared" si="40"/>
        <v>0</v>
      </c>
      <c r="AD56" s="84">
        <f t="shared" si="41"/>
        <v>-1</v>
      </c>
      <c r="AE56" s="80"/>
      <c r="AF56" s="80"/>
      <c r="AG56" s="84" t="e">
        <f t="shared" si="42"/>
        <v>#DIV/0!</v>
      </c>
      <c r="AH56" s="80">
        <f t="shared" si="43"/>
        <v>8000</v>
      </c>
      <c r="AI56" s="80">
        <f t="shared" si="44"/>
        <v>0</v>
      </c>
      <c r="AJ56" s="84">
        <f t="shared" si="45"/>
        <v>-1</v>
      </c>
      <c r="AK56" s="87"/>
      <c r="AL56" s="87"/>
      <c r="AM56" s="84" t="e">
        <f t="shared" si="46"/>
        <v>#DIV/0!</v>
      </c>
      <c r="AN56" s="87">
        <f t="shared" si="47"/>
        <v>8000</v>
      </c>
      <c r="AO56" s="87">
        <f t="shared" si="48"/>
        <v>0</v>
      </c>
      <c r="AP56" s="84">
        <f t="shared" si="49"/>
        <v>-1</v>
      </c>
      <c r="AQ56" s="85"/>
      <c r="AR56" s="85"/>
      <c r="AS56" s="84" t="e">
        <f t="shared" si="50"/>
        <v>#DIV/0!</v>
      </c>
      <c r="AT56" s="85">
        <f t="shared" si="51"/>
        <v>8000</v>
      </c>
      <c r="AU56" s="85">
        <f t="shared" si="52"/>
        <v>0</v>
      </c>
      <c r="AV56" s="84">
        <f t="shared" si="53"/>
        <v>-1</v>
      </c>
      <c r="AW56" s="80"/>
      <c r="AX56" s="80"/>
      <c r="AY56" s="84" t="e">
        <f t="shared" si="54"/>
        <v>#DIV/0!</v>
      </c>
      <c r="AZ56" s="80">
        <f t="shared" si="55"/>
        <v>8000</v>
      </c>
      <c r="BA56" s="80">
        <f t="shared" si="56"/>
        <v>0</v>
      </c>
      <c r="BB56" s="84">
        <f t="shared" si="57"/>
        <v>-1</v>
      </c>
      <c r="BC56" s="80"/>
      <c r="BD56" s="80"/>
      <c r="BE56" s="84" t="e">
        <f t="shared" si="58"/>
        <v>#DIV/0!</v>
      </c>
      <c r="BF56" s="80">
        <f t="shared" si="59"/>
        <v>8000</v>
      </c>
      <c r="BG56" s="80">
        <f t="shared" si="60"/>
        <v>0</v>
      </c>
      <c r="BH56" s="84">
        <f t="shared" si="61"/>
        <v>-1</v>
      </c>
      <c r="BI56" s="88"/>
      <c r="BJ56" s="88"/>
      <c r="BK56" s="84" t="e">
        <f t="shared" si="62"/>
        <v>#DIV/0!</v>
      </c>
      <c r="BL56" s="88">
        <f t="shared" si="63"/>
        <v>8000</v>
      </c>
      <c r="BM56" s="88">
        <f t="shared" si="64"/>
        <v>0</v>
      </c>
      <c r="BN56" s="84">
        <f t="shared" si="65"/>
        <v>-1</v>
      </c>
      <c r="BO56" s="80"/>
      <c r="BP56" s="80"/>
      <c r="BQ56" s="80">
        <v>8000</v>
      </c>
      <c r="BR56" s="89" t="e">
        <f t="shared" si="66"/>
        <v>#DIV/0!</v>
      </c>
    </row>
    <row r="57" s="56" customFormat="1" customHeight="1" spans="1:70">
      <c r="A57" s="62" t="s">
        <v>416</v>
      </c>
      <c r="B57" s="63" t="s">
        <v>416</v>
      </c>
      <c r="C57" s="96" t="s">
        <v>495</v>
      </c>
      <c r="D57" s="80" t="s">
        <v>104</v>
      </c>
      <c r="E57" s="83" t="s">
        <v>104</v>
      </c>
      <c r="F57" s="83" t="s">
        <v>422</v>
      </c>
      <c r="G57" s="80" t="s">
        <v>422</v>
      </c>
      <c r="H57" s="63" t="s">
        <v>419</v>
      </c>
      <c r="I57" s="63"/>
      <c r="J57" s="80"/>
      <c r="K57" s="80"/>
      <c r="L57" s="84" t="e">
        <f t="shared" si="0"/>
        <v>#DIV/0!</v>
      </c>
      <c r="M57" s="80"/>
      <c r="N57" s="80"/>
      <c r="O57" s="84" t="e">
        <f t="shared" si="1"/>
        <v>#DIV/0!</v>
      </c>
      <c r="P57" s="80">
        <f t="shared" si="2"/>
        <v>0</v>
      </c>
      <c r="Q57" s="80">
        <f t="shared" si="3"/>
        <v>0</v>
      </c>
      <c r="R57" s="84" t="e">
        <f t="shared" si="4"/>
        <v>#DIV/0!</v>
      </c>
      <c r="S57" s="85"/>
      <c r="T57" s="85"/>
      <c r="U57" s="84" t="e">
        <f t="shared" si="5"/>
        <v>#DIV/0!</v>
      </c>
      <c r="V57" s="86">
        <f t="shared" si="6"/>
        <v>0</v>
      </c>
      <c r="W57" s="86">
        <f t="shared" si="7"/>
        <v>0</v>
      </c>
      <c r="X57" s="84" t="e">
        <f t="shared" si="8"/>
        <v>#DIV/0!</v>
      </c>
      <c r="Y57" s="80"/>
      <c r="Z57" s="80"/>
      <c r="AA57" s="84" t="e">
        <f t="shared" si="38"/>
        <v>#DIV/0!</v>
      </c>
      <c r="AB57" s="80">
        <f t="shared" si="39"/>
        <v>0</v>
      </c>
      <c r="AC57" s="80">
        <f t="shared" si="40"/>
        <v>0</v>
      </c>
      <c r="AD57" s="84" t="e">
        <f t="shared" si="41"/>
        <v>#DIV/0!</v>
      </c>
      <c r="AE57" s="80"/>
      <c r="AF57" s="80"/>
      <c r="AG57" s="84" t="e">
        <f t="shared" si="42"/>
        <v>#DIV/0!</v>
      </c>
      <c r="AH57" s="80">
        <f t="shared" si="43"/>
        <v>0</v>
      </c>
      <c r="AI57" s="80">
        <f t="shared" si="44"/>
        <v>0</v>
      </c>
      <c r="AJ57" s="84" t="e">
        <f t="shared" si="45"/>
        <v>#DIV/0!</v>
      </c>
      <c r="AK57" s="87"/>
      <c r="AL57" s="87"/>
      <c r="AM57" s="84" t="e">
        <f t="shared" si="46"/>
        <v>#DIV/0!</v>
      </c>
      <c r="AN57" s="87">
        <f t="shared" si="47"/>
        <v>0</v>
      </c>
      <c r="AO57" s="87">
        <f t="shared" si="48"/>
        <v>0</v>
      </c>
      <c r="AP57" s="84" t="e">
        <f t="shared" si="49"/>
        <v>#DIV/0!</v>
      </c>
      <c r="AQ57" s="85"/>
      <c r="AR57" s="85"/>
      <c r="AS57" s="84" t="e">
        <f t="shared" si="50"/>
        <v>#DIV/0!</v>
      </c>
      <c r="AT57" s="85">
        <f t="shared" si="51"/>
        <v>0</v>
      </c>
      <c r="AU57" s="85">
        <f t="shared" si="52"/>
        <v>0</v>
      </c>
      <c r="AV57" s="84" t="e">
        <f t="shared" si="53"/>
        <v>#DIV/0!</v>
      </c>
      <c r="AW57" s="80"/>
      <c r="AX57" s="80"/>
      <c r="AY57" s="84" t="e">
        <f t="shared" si="54"/>
        <v>#DIV/0!</v>
      </c>
      <c r="AZ57" s="80">
        <f t="shared" si="55"/>
        <v>0</v>
      </c>
      <c r="BA57" s="80">
        <f t="shared" si="56"/>
        <v>0</v>
      </c>
      <c r="BB57" s="84" t="e">
        <f t="shared" si="57"/>
        <v>#DIV/0!</v>
      </c>
      <c r="BC57" s="80"/>
      <c r="BD57" s="80"/>
      <c r="BE57" s="84" t="e">
        <f t="shared" si="58"/>
        <v>#DIV/0!</v>
      </c>
      <c r="BF57" s="80">
        <f t="shared" si="59"/>
        <v>0</v>
      </c>
      <c r="BG57" s="80">
        <f t="shared" si="60"/>
        <v>0</v>
      </c>
      <c r="BH57" s="84" t="e">
        <f t="shared" si="61"/>
        <v>#DIV/0!</v>
      </c>
      <c r="BI57" s="88"/>
      <c r="BJ57" s="88"/>
      <c r="BK57" s="84" t="e">
        <f t="shared" si="62"/>
        <v>#DIV/0!</v>
      </c>
      <c r="BL57" s="88">
        <f t="shared" si="63"/>
        <v>0</v>
      </c>
      <c r="BM57" s="88">
        <f t="shared" si="64"/>
        <v>0</v>
      </c>
      <c r="BN57" s="84" t="e">
        <f t="shared" si="65"/>
        <v>#DIV/0!</v>
      </c>
      <c r="BO57" s="80"/>
      <c r="BP57" s="80"/>
      <c r="BQ57" s="80">
        <v>0</v>
      </c>
      <c r="BR57" s="89" t="e">
        <f t="shared" si="66"/>
        <v>#DIV/0!</v>
      </c>
    </row>
    <row r="58" s="56" customFormat="1" customHeight="1" spans="1:70">
      <c r="A58" s="62" t="s">
        <v>416</v>
      </c>
      <c r="B58" s="63" t="s">
        <v>416</v>
      </c>
      <c r="C58" s="96" t="s">
        <v>496</v>
      </c>
      <c r="D58" s="80" t="s">
        <v>104</v>
      </c>
      <c r="E58" s="83" t="s">
        <v>104</v>
      </c>
      <c r="F58" s="83" t="s">
        <v>422</v>
      </c>
      <c r="G58" s="80" t="s">
        <v>422</v>
      </c>
      <c r="H58" s="63" t="s">
        <v>423</v>
      </c>
      <c r="I58" s="63"/>
      <c r="J58" s="80"/>
      <c r="K58" s="80"/>
      <c r="L58" s="84" t="e">
        <f t="shared" si="0"/>
        <v>#DIV/0!</v>
      </c>
      <c r="M58" s="80"/>
      <c r="N58" s="80"/>
      <c r="O58" s="84" t="e">
        <f t="shared" si="1"/>
        <v>#DIV/0!</v>
      </c>
      <c r="P58" s="80">
        <f t="shared" si="2"/>
        <v>0</v>
      </c>
      <c r="Q58" s="80">
        <f t="shared" si="3"/>
        <v>0</v>
      </c>
      <c r="R58" s="84" t="e">
        <f t="shared" si="4"/>
        <v>#DIV/0!</v>
      </c>
      <c r="S58" s="85"/>
      <c r="T58" s="85"/>
      <c r="U58" s="84" t="e">
        <f t="shared" si="5"/>
        <v>#DIV/0!</v>
      </c>
      <c r="V58" s="86">
        <f t="shared" si="6"/>
        <v>0</v>
      </c>
      <c r="W58" s="86">
        <f t="shared" si="7"/>
        <v>0</v>
      </c>
      <c r="X58" s="84" t="e">
        <f t="shared" si="8"/>
        <v>#DIV/0!</v>
      </c>
      <c r="Y58" s="80"/>
      <c r="Z58" s="80"/>
      <c r="AA58" s="84" t="e">
        <f t="shared" si="38"/>
        <v>#DIV/0!</v>
      </c>
      <c r="AB58" s="80">
        <f t="shared" si="39"/>
        <v>0</v>
      </c>
      <c r="AC58" s="80">
        <f t="shared" si="40"/>
        <v>0</v>
      </c>
      <c r="AD58" s="84" t="e">
        <f t="shared" si="41"/>
        <v>#DIV/0!</v>
      </c>
      <c r="AE58" s="80"/>
      <c r="AF58" s="80"/>
      <c r="AG58" s="84" t="e">
        <f t="shared" si="42"/>
        <v>#DIV/0!</v>
      </c>
      <c r="AH58" s="80">
        <f t="shared" si="43"/>
        <v>0</v>
      </c>
      <c r="AI58" s="80">
        <f t="shared" si="44"/>
        <v>0</v>
      </c>
      <c r="AJ58" s="84" t="e">
        <f t="shared" si="45"/>
        <v>#DIV/0!</v>
      </c>
      <c r="AK58" s="87"/>
      <c r="AL58" s="87"/>
      <c r="AM58" s="84" t="e">
        <f t="shared" si="46"/>
        <v>#DIV/0!</v>
      </c>
      <c r="AN58" s="87">
        <f t="shared" si="47"/>
        <v>0</v>
      </c>
      <c r="AO58" s="87">
        <f t="shared" si="48"/>
        <v>0</v>
      </c>
      <c r="AP58" s="84" t="e">
        <f t="shared" si="49"/>
        <v>#DIV/0!</v>
      </c>
      <c r="AQ58" s="85"/>
      <c r="AR58" s="85"/>
      <c r="AS58" s="84" t="e">
        <f t="shared" si="50"/>
        <v>#DIV/0!</v>
      </c>
      <c r="AT58" s="85">
        <f t="shared" si="51"/>
        <v>0</v>
      </c>
      <c r="AU58" s="85">
        <f t="shared" si="52"/>
        <v>0</v>
      </c>
      <c r="AV58" s="84" t="e">
        <f t="shared" si="53"/>
        <v>#DIV/0!</v>
      </c>
      <c r="AW58" s="80"/>
      <c r="AX58" s="80"/>
      <c r="AY58" s="84" t="e">
        <f t="shared" si="54"/>
        <v>#DIV/0!</v>
      </c>
      <c r="AZ58" s="80">
        <f t="shared" si="55"/>
        <v>0</v>
      </c>
      <c r="BA58" s="80">
        <f t="shared" si="56"/>
        <v>0</v>
      </c>
      <c r="BB58" s="84" t="e">
        <f t="shared" si="57"/>
        <v>#DIV/0!</v>
      </c>
      <c r="BC58" s="80"/>
      <c r="BD58" s="80"/>
      <c r="BE58" s="84" t="e">
        <f t="shared" si="58"/>
        <v>#DIV/0!</v>
      </c>
      <c r="BF58" s="80">
        <f t="shared" si="59"/>
        <v>0</v>
      </c>
      <c r="BG58" s="80">
        <f t="shared" si="60"/>
        <v>0</v>
      </c>
      <c r="BH58" s="84" t="e">
        <f t="shared" si="61"/>
        <v>#DIV/0!</v>
      </c>
      <c r="BI58" s="88"/>
      <c r="BJ58" s="88"/>
      <c r="BK58" s="84" t="e">
        <f t="shared" si="62"/>
        <v>#DIV/0!</v>
      </c>
      <c r="BL58" s="88">
        <f t="shared" si="63"/>
        <v>0</v>
      </c>
      <c r="BM58" s="88">
        <f t="shared" si="64"/>
        <v>0</v>
      </c>
      <c r="BN58" s="84" t="e">
        <f t="shared" si="65"/>
        <v>#DIV/0!</v>
      </c>
      <c r="BO58" s="80"/>
      <c r="BP58" s="80"/>
      <c r="BQ58" s="80">
        <v>0</v>
      </c>
      <c r="BR58" s="89" t="e">
        <f t="shared" si="66"/>
        <v>#DIV/0!</v>
      </c>
    </row>
    <row r="59" s="56" customFormat="1" customHeight="1" spans="1:70">
      <c r="A59" s="62" t="s">
        <v>416</v>
      </c>
      <c r="B59" s="63" t="s">
        <v>455</v>
      </c>
      <c r="C59" s="95" t="s">
        <v>497</v>
      </c>
      <c r="D59" s="83" t="s">
        <v>63</v>
      </c>
      <c r="E59" s="83" t="s">
        <v>63</v>
      </c>
      <c r="F59" s="83" t="s">
        <v>457</v>
      </c>
      <c r="G59" s="63" t="s">
        <v>457</v>
      </c>
      <c r="H59" s="63" t="s">
        <v>459</v>
      </c>
      <c r="I59" s="63">
        <v>30</v>
      </c>
      <c r="J59" s="80"/>
      <c r="K59" s="80"/>
      <c r="L59" s="84" t="e">
        <f t="shared" si="0"/>
        <v>#DIV/0!</v>
      </c>
      <c r="M59" s="80"/>
      <c r="N59" s="80"/>
      <c r="O59" s="84" t="e">
        <f t="shared" si="1"/>
        <v>#DIV/0!</v>
      </c>
      <c r="P59" s="80">
        <f t="shared" si="2"/>
        <v>0</v>
      </c>
      <c r="Q59" s="80">
        <f t="shared" si="3"/>
        <v>0</v>
      </c>
      <c r="R59" s="84" t="e">
        <f t="shared" si="4"/>
        <v>#DIV/0!</v>
      </c>
      <c r="S59" s="85"/>
      <c r="T59" s="85"/>
      <c r="U59" s="84" t="e">
        <f t="shared" si="5"/>
        <v>#DIV/0!</v>
      </c>
      <c r="V59" s="86">
        <f t="shared" si="6"/>
        <v>0</v>
      </c>
      <c r="W59" s="86">
        <f t="shared" si="7"/>
        <v>0</v>
      </c>
      <c r="X59" s="84" t="e">
        <f t="shared" si="8"/>
        <v>#DIV/0!</v>
      </c>
      <c r="Y59" s="80"/>
      <c r="Z59" s="80"/>
      <c r="AA59" s="84" t="e">
        <f t="shared" si="38"/>
        <v>#DIV/0!</v>
      </c>
      <c r="AB59" s="80">
        <f t="shared" si="39"/>
        <v>0</v>
      </c>
      <c r="AC59" s="80">
        <f t="shared" si="40"/>
        <v>0</v>
      </c>
      <c r="AD59" s="84" t="e">
        <f t="shared" si="41"/>
        <v>#DIV/0!</v>
      </c>
      <c r="AE59" s="80"/>
      <c r="AF59" s="80"/>
      <c r="AG59" s="84" t="e">
        <f t="shared" si="42"/>
        <v>#DIV/0!</v>
      </c>
      <c r="AH59" s="80">
        <f t="shared" si="43"/>
        <v>0</v>
      </c>
      <c r="AI59" s="80">
        <f t="shared" si="44"/>
        <v>0</v>
      </c>
      <c r="AJ59" s="84" t="e">
        <f t="shared" si="45"/>
        <v>#DIV/0!</v>
      </c>
      <c r="AK59" s="87"/>
      <c r="AL59" s="87"/>
      <c r="AM59" s="84" t="e">
        <f t="shared" si="46"/>
        <v>#DIV/0!</v>
      </c>
      <c r="AN59" s="87">
        <f t="shared" si="47"/>
        <v>0</v>
      </c>
      <c r="AO59" s="87">
        <f t="shared" si="48"/>
        <v>0</v>
      </c>
      <c r="AP59" s="84" t="e">
        <f t="shared" si="49"/>
        <v>#DIV/0!</v>
      </c>
      <c r="AQ59" s="85"/>
      <c r="AR59" s="85">
        <v>116864</v>
      </c>
      <c r="AS59" s="84" t="e">
        <f t="shared" si="50"/>
        <v>#DIV/0!</v>
      </c>
      <c r="AT59" s="85">
        <f t="shared" si="51"/>
        <v>0</v>
      </c>
      <c r="AU59" s="85">
        <f t="shared" si="52"/>
        <v>116864</v>
      </c>
      <c r="AV59" s="84" t="e">
        <f t="shared" si="53"/>
        <v>#DIV/0!</v>
      </c>
      <c r="AW59" s="80"/>
      <c r="AX59" s="80">
        <v>4500</v>
      </c>
      <c r="AY59" s="84" t="e">
        <f t="shared" si="54"/>
        <v>#DIV/0!</v>
      </c>
      <c r="AZ59" s="80">
        <f t="shared" si="55"/>
        <v>0</v>
      </c>
      <c r="BA59" s="80">
        <f t="shared" si="56"/>
        <v>121364</v>
      </c>
      <c r="BB59" s="84" t="e">
        <f t="shared" si="57"/>
        <v>#DIV/0!</v>
      </c>
      <c r="BC59" s="80"/>
      <c r="BD59" s="80"/>
      <c r="BE59" s="84" t="e">
        <f t="shared" si="58"/>
        <v>#DIV/0!</v>
      </c>
      <c r="BF59" s="80">
        <f t="shared" si="59"/>
        <v>0</v>
      </c>
      <c r="BG59" s="80">
        <f t="shared" si="60"/>
        <v>121364</v>
      </c>
      <c r="BH59" s="84" t="e">
        <f t="shared" si="61"/>
        <v>#DIV/0!</v>
      </c>
      <c r="BI59" s="88"/>
      <c r="BJ59" s="88">
        <v>27550</v>
      </c>
      <c r="BK59" s="84" t="e">
        <f t="shared" si="62"/>
        <v>#DIV/0!</v>
      </c>
      <c r="BL59" s="88">
        <f t="shared" si="63"/>
        <v>0</v>
      </c>
      <c r="BM59" s="88">
        <f t="shared" si="64"/>
        <v>148914</v>
      </c>
      <c r="BN59" s="84" t="e">
        <f t="shared" si="65"/>
        <v>#DIV/0!</v>
      </c>
      <c r="BO59" s="80"/>
      <c r="BP59" s="80"/>
      <c r="BQ59" s="80">
        <v>0</v>
      </c>
      <c r="BR59" s="89">
        <f t="shared" si="66"/>
        <v>0.49638</v>
      </c>
    </row>
    <row r="60" s="56" customFormat="1" customHeight="1" spans="1:70">
      <c r="A60" s="62" t="s">
        <v>416</v>
      </c>
      <c r="B60" s="63" t="s">
        <v>416</v>
      </c>
      <c r="C60" s="95" t="s">
        <v>498</v>
      </c>
      <c r="D60" s="83" t="s">
        <v>63</v>
      </c>
      <c r="E60" s="83" t="s">
        <v>63</v>
      </c>
      <c r="F60" s="83" t="s">
        <v>422</v>
      </c>
      <c r="G60" s="63" t="s">
        <v>422</v>
      </c>
      <c r="H60" s="63" t="s">
        <v>423</v>
      </c>
      <c r="I60" s="63"/>
      <c r="J60" s="80"/>
      <c r="K60" s="80"/>
      <c r="L60" s="84" t="e">
        <f t="shared" si="0"/>
        <v>#DIV/0!</v>
      </c>
      <c r="M60" s="80"/>
      <c r="N60" s="80"/>
      <c r="O60" s="84" t="e">
        <f t="shared" si="1"/>
        <v>#DIV/0!</v>
      </c>
      <c r="P60" s="80">
        <f t="shared" si="2"/>
        <v>0</v>
      </c>
      <c r="Q60" s="80">
        <f t="shared" si="3"/>
        <v>0</v>
      </c>
      <c r="R60" s="84" t="e">
        <f t="shared" si="4"/>
        <v>#DIV/0!</v>
      </c>
      <c r="S60" s="85"/>
      <c r="T60" s="85"/>
      <c r="U60" s="84" t="e">
        <f t="shared" si="5"/>
        <v>#DIV/0!</v>
      </c>
      <c r="V60" s="86">
        <f t="shared" si="6"/>
        <v>0</v>
      </c>
      <c r="W60" s="86">
        <f t="shared" si="7"/>
        <v>0</v>
      </c>
      <c r="X60" s="84" t="e">
        <f t="shared" si="8"/>
        <v>#DIV/0!</v>
      </c>
      <c r="Y60" s="80"/>
      <c r="Z60" s="80"/>
      <c r="AA60" s="84" t="e">
        <f t="shared" si="38"/>
        <v>#DIV/0!</v>
      </c>
      <c r="AB60" s="80">
        <f t="shared" si="39"/>
        <v>0</v>
      </c>
      <c r="AC60" s="80">
        <f t="shared" si="40"/>
        <v>0</v>
      </c>
      <c r="AD60" s="84" t="e">
        <f t="shared" si="41"/>
        <v>#DIV/0!</v>
      </c>
      <c r="AE60" s="80"/>
      <c r="AF60" s="80"/>
      <c r="AG60" s="84" t="e">
        <f t="shared" si="42"/>
        <v>#DIV/0!</v>
      </c>
      <c r="AH60" s="80">
        <f t="shared" si="43"/>
        <v>0</v>
      </c>
      <c r="AI60" s="80">
        <f t="shared" si="44"/>
        <v>0</v>
      </c>
      <c r="AJ60" s="84" t="e">
        <f t="shared" si="45"/>
        <v>#DIV/0!</v>
      </c>
      <c r="AK60" s="87"/>
      <c r="AL60" s="87"/>
      <c r="AM60" s="84" t="e">
        <f t="shared" si="46"/>
        <v>#DIV/0!</v>
      </c>
      <c r="AN60" s="87">
        <f t="shared" si="47"/>
        <v>0</v>
      </c>
      <c r="AO60" s="87">
        <f t="shared" si="48"/>
        <v>0</v>
      </c>
      <c r="AP60" s="84" t="e">
        <f t="shared" si="49"/>
        <v>#DIV/0!</v>
      </c>
      <c r="AQ60" s="85"/>
      <c r="AR60" s="85"/>
      <c r="AS60" s="84" t="e">
        <f t="shared" si="50"/>
        <v>#DIV/0!</v>
      </c>
      <c r="AT60" s="85">
        <f t="shared" si="51"/>
        <v>0</v>
      </c>
      <c r="AU60" s="85">
        <f t="shared" si="52"/>
        <v>0</v>
      </c>
      <c r="AV60" s="84" t="e">
        <f t="shared" si="53"/>
        <v>#DIV/0!</v>
      </c>
      <c r="AW60" s="80"/>
      <c r="AX60" s="80"/>
      <c r="AY60" s="84" t="e">
        <f t="shared" si="54"/>
        <v>#DIV/0!</v>
      </c>
      <c r="AZ60" s="80">
        <f t="shared" si="55"/>
        <v>0</v>
      </c>
      <c r="BA60" s="80">
        <f t="shared" si="56"/>
        <v>0</v>
      </c>
      <c r="BB60" s="84" t="e">
        <f t="shared" si="57"/>
        <v>#DIV/0!</v>
      </c>
      <c r="BC60" s="80"/>
      <c r="BD60" s="80"/>
      <c r="BE60" s="84" t="e">
        <f t="shared" si="58"/>
        <v>#DIV/0!</v>
      </c>
      <c r="BF60" s="80">
        <f t="shared" si="59"/>
        <v>0</v>
      </c>
      <c r="BG60" s="80">
        <f t="shared" si="60"/>
        <v>0</v>
      </c>
      <c r="BH60" s="84" t="e">
        <f t="shared" si="61"/>
        <v>#DIV/0!</v>
      </c>
      <c r="BI60" s="88"/>
      <c r="BJ60" s="88"/>
      <c r="BK60" s="84" t="e">
        <f t="shared" si="62"/>
        <v>#DIV/0!</v>
      </c>
      <c r="BL60" s="88">
        <f t="shared" si="63"/>
        <v>0</v>
      </c>
      <c r="BM60" s="88">
        <f t="shared" si="64"/>
        <v>0</v>
      </c>
      <c r="BN60" s="84" t="e">
        <f t="shared" si="65"/>
        <v>#DIV/0!</v>
      </c>
      <c r="BO60" s="80"/>
      <c r="BP60" s="80"/>
      <c r="BQ60" s="80">
        <v>0</v>
      </c>
      <c r="BR60" s="89" t="e">
        <f t="shared" si="66"/>
        <v>#DIV/0!</v>
      </c>
    </row>
    <row r="61" s="56" customFormat="1" customHeight="1" spans="1:70">
      <c r="A61" s="62" t="s">
        <v>416</v>
      </c>
      <c r="B61" s="63" t="s">
        <v>416</v>
      </c>
      <c r="C61" s="95" t="s">
        <v>499</v>
      </c>
      <c r="D61" s="80" t="s">
        <v>104</v>
      </c>
      <c r="E61" s="83" t="s">
        <v>104</v>
      </c>
      <c r="F61" s="83" t="s">
        <v>430</v>
      </c>
      <c r="G61" s="63" t="s">
        <v>430</v>
      </c>
      <c r="H61" s="63" t="s">
        <v>423</v>
      </c>
      <c r="I61" s="63"/>
      <c r="J61" s="80">
        <v>1790</v>
      </c>
      <c r="K61" s="80"/>
      <c r="L61" s="84">
        <f t="shared" si="0"/>
        <v>-1</v>
      </c>
      <c r="M61" s="80"/>
      <c r="N61" s="80"/>
      <c r="O61" s="84" t="e">
        <f t="shared" si="1"/>
        <v>#DIV/0!</v>
      </c>
      <c r="P61" s="80">
        <f t="shared" si="2"/>
        <v>1790</v>
      </c>
      <c r="Q61" s="80">
        <f t="shared" si="3"/>
        <v>0</v>
      </c>
      <c r="R61" s="84">
        <f t="shared" si="4"/>
        <v>-1</v>
      </c>
      <c r="S61" s="85"/>
      <c r="T61" s="85"/>
      <c r="U61" s="84" t="e">
        <f t="shared" si="5"/>
        <v>#DIV/0!</v>
      </c>
      <c r="V61" s="86">
        <f t="shared" si="6"/>
        <v>1790</v>
      </c>
      <c r="W61" s="86">
        <f t="shared" si="7"/>
        <v>0</v>
      </c>
      <c r="X61" s="84">
        <f t="shared" si="8"/>
        <v>-1</v>
      </c>
      <c r="Y61" s="80"/>
      <c r="Z61" s="80"/>
      <c r="AA61" s="84" t="e">
        <f t="shared" si="38"/>
        <v>#DIV/0!</v>
      </c>
      <c r="AB61" s="80">
        <f t="shared" si="39"/>
        <v>1790</v>
      </c>
      <c r="AC61" s="80">
        <f t="shared" si="40"/>
        <v>0</v>
      </c>
      <c r="AD61" s="84">
        <f t="shared" si="41"/>
        <v>-1</v>
      </c>
      <c r="AE61" s="80"/>
      <c r="AF61" s="80"/>
      <c r="AG61" s="84" t="e">
        <f t="shared" si="42"/>
        <v>#DIV/0!</v>
      </c>
      <c r="AH61" s="80">
        <f t="shared" si="43"/>
        <v>1790</v>
      </c>
      <c r="AI61" s="80">
        <f t="shared" si="44"/>
        <v>0</v>
      </c>
      <c r="AJ61" s="84">
        <f t="shared" si="45"/>
        <v>-1</v>
      </c>
      <c r="AK61" s="87"/>
      <c r="AL61" s="87"/>
      <c r="AM61" s="84" t="e">
        <f t="shared" si="46"/>
        <v>#DIV/0!</v>
      </c>
      <c r="AN61" s="87">
        <f t="shared" si="47"/>
        <v>1790</v>
      </c>
      <c r="AO61" s="87">
        <f t="shared" si="48"/>
        <v>0</v>
      </c>
      <c r="AP61" s="84">
        <f t="shared" si="49"/>
        <v>-1</v>
      </c>
      <c r="AQ61" s="85"/>
      <c r="AR61" s="85"/>
      <c r="AS61" s="84" t="e">
        <f t="shared" si="50"/>
        <v>#DIV/0!</v>
      </c>
      <c r="AT61" s="85">
        <f t="shared" si="51"/>
        <v>1790</v>
      </c>
      <c r="AU61" s="85">
        <f t="shared" si="52"/>
        <v>0</v>
      </c>
      <c r="AV61" s="84">
        <f t="shared" si="53"/>
        <v>-1</v>
      </c>
      <c r="AW61" s="80"/>
      <c r="AX61" s="80"/>
      <c r="AY61" s="84" t="e">
        <f t="shared" si="54"/>
        <v>#DIV/0!</v>
      </c>
      <c r="AZ61" s="80">
        <f t="shared" si="55"/>
        <v>1790</v>
      </c>
      <c r="BA61" s="80">
        <f t="shared" si="56"/>
        <v>0</v>
      </c>
      <c r="BB61" s="84">
        <f t="shared" si="57"/>
        <v>-1</v>
      </c>
      <c r="BC61" s="80"/>
      <c r="BD61" s="80"/>
      <c r="BE61" s="84" t="e">
        <f t="shared" si="58"/>
        <v>#DIV/0!</v>
      </c>
      <c r="BF61" s="80">
        <f t="shared" si="59"/>
        <v>1790</v>
      </c>
      <c r="BG61" s="80">
        <f t="shared" si="60"/>
        <v>0</v>
      </c>
      <c r="BH61" s="84">
        <f t="shared" si="61"/>
        <v>-1</v>
      </c>
      <c r="BI61" s="88"/>
      <c r="BJ61" s="88"/>
      <c r="BK61" s="84" t="e">
        <f t="shared" si="62"/>
        <v>#DIV/0!</v>
      </c>
      <c r="BL61" s="88">
        <f t="shared" si="63"/>
        <v>1790</v>
      </c>
      <c r="BM61" s="88">
        <f t="shared" si="64"/>
        <v>0</v>
      </c>
      <c r="BN61" s="84">
        <f t="shared" si="65"/>
        <v>-1</v>
      </c>
      <c r="BO61" s="80"/>
      <c r="BP61" s="80"/>
      <c r="BQ61" s="80">
        <v>1790</v>
      </c>
      <c r="BR61" s="89" t="e">
        <f t="shared" si="66"/>
        <v>#DIV/0!</v>
      </c>
    </row>
    <row r="62" s="56" customFormat="1" customHeight="1" spans="1:70">
      <c r="A62" s="62" t="s">
        <v>416</v>
      </c>
      <c r="B62" s="63" t="s">
        <v>416</v>
      </c>
      <c r="C62" s="95" t="s">
        <v>500</v>
      </c>
      <c r="D62" s="83" t="s">
        <v>63</v>
      </c>
      <c r="E62" s="83" t="s">
        <v>63</v>
      </c>
      <c r="F62" s="83" t="s">
        <v>433</v>
      </c>
      <c r="G62" s="63" t="s">
        <v>433</v>
      </c>
      <c r="H62" s="63" t="s">
        <v>419</v>
      </c>
      <c r="I62" s="63"/>
      <c r="J62" s="80">
        <v>5100</v>
      </c>
      <c r="K62" s="80"/>
      <c r="L62" s="84">
        <f t="shared" si="0"/>
        <v>-1</v>
      </c>
      <c r="M62" s="80"/>
      <c r="N62" s="80"/>
      <c r="O62" s="84" t="e">
        <f t="shared" si="1"/>
        <v>#DIV/0!</v>
      </c>
      <c r="P62" s="80">
        <f t="shared" si="2"/>
        <v>5100</v>
      </c>
      <c r="Q62" s="80">
        <f t="shared" si="3"/>
        <v>0</v>
      </c>
      <c r="R62" s="84">
        <f t="shared" si="4"/>
        <v>-1</v>
      </c>
      <c r="S62" s="85"/>
      <c r="T62" s="85"/>
      <c r="U62" s="84" t="e">
        <f t="shared" si="5"/>
        <v>#DIV/0!</v>
      </c>
      <c r="V62" s="86">
        <f t="shared" si="6"/>
        <v>5100</v>
      </c>
      <c r="W62" s="86">
        <f t="shared" si="7"/>
        <v>0</v>
      </c>
      <c r="X62" s="84">
        <f t="shared" si="8"/>
        <v>-1</v>
      </c>
      <c r="Y62" s="80"/>
      <c r="Z62" s="80"/>
      <c r="AA62" s="84" t="e">
        <f t="shared" si="38"/>
        <v>#DIV/0!</v>
      </c>
      <c r="AB62" s="80">
        <f t="shared" si="39"/>
        <v>5100</v>
      </c>
      <c r="AC62" s="80">
        <f t="shared" si="40"/>
        <v>0</v>
      </c>
      <c r="AD62" s="84">
        <f t="shared" si="41"/>
        <v>-1</v>
      </c>
      <c r="AE62" s="80"/>
      <c r="AF62" s="80"/>
      <c r="AG62" s="84" t="e">
        <f t="shared" si="42"/>
        <v>#DIV/0!</v>
      </c>
      <c r="AH62" s="80">
        <f t="shared" si="43"/>
        <v>5100</v>
      </c>
      <c r="AI62" s="80">
        <f t="shared" si="44"/>
        <v>0</v>
      </c>
      <c r="AJ62" s="84">
        <f t="shared" si="45"/>
        <v>-1</v>
      </c>
      <c r="AK62" s="87"/>
      <c r="AL62" s="87"/>
      <c r="AM62" s="84" t="e">
        <f t="shared" si="46"/>
        <v>#DIV/0!</v>
      </c>
      <c r="AN62" s="87">
        <f t="shared" si="47"/>
        <v>5100</v>
      </c>
      <c r="AO62" s="87">
        <f t="shared" si="48"/>
        <v>0</v>
      </c>
      <c r="AP62" s="84">
        <f t="shared" si="49"/>
        <v>-1</v>
      </c>
      <c r="AQ62" s="85"/>
      <c r="AR62" s="85"/>
      <c r="AS62" s="84" t="e">
        <f t="shared" si="50"/>
        <v>#DIV/0!</v>
      </c>
      <c r="AT62" s="85">
        <f t="shared" si="51"/>
        <v>5100</v>
      </c>
      <c r="AU62" s="85">
        <f t="shared" si="52"/>
        <v>0</v>
      </c>
      <c r="AV62" s="84">
        <f t="shared" si="53"/>
        <v>-1</v>
      </c>
      <c r="AW62" s="80"/>
      <c r="AX62" s="80"/>
      <c r="AY62" s="84" t="e">
        <f t="shared" si="54"/>
        <v>#DIV/0!</v>
      </c>
      <c r="AZ62" s="80">
        <f t="shared" si="55"/>
        <v>5100</v>
      </c>
      <c r="BA62" s="80">
        <f t="shared" si="56"/>
        <v>0</v>
      </c>
      <c r="BB62" s="84">
        <f t="shared" si="57"/>
        <v>-1</v>
      </c>
      <c r="BC62" s="80"/>
      <c r="BD62" s="80"/>
      <c r="BE62" s="84" t="e">
        <f t="shared" si="58"/>
        <v>#DIV/0!</v>
      </c>
      <c r="BF62" s="80">
        <f t="shared" si="59"/>
        <v>5100</v>
      </c>
      <c r="BG62" s="80">
        <f t="shared" si="60"/>
        <v>0</v>
      </c>
      <c r="BH62" s="84">
        <f t="shared" si="61"/>
        <v>-1</v>
      </c>
      <c r="BI62" s="88"/>
      <c r="BJ62" s="88"/>
      <c r="BK62" s="84" t="e">
        <f t="shared" si="62"/>
        <v>#DIV/0!</v>
      </c>
      <c r="BL62" s="88">
        <f t="shared" si="63"/>
        <v>5100</v>
      </c>
      <c r="BM62" s="88">
        <f t="shared" si="64"/>
        <v>0</v>
      </c>
      <c r="BN62" s="84">
        <f t="shared" si="65"/>
        <v>-1</v>
      </c>
      <c r="BO62" s="80"/>
      <c r="BP62" s="80"/>
      <c r="BQ62" s="80">
        <v>5100</v>
      </c>
      <c r="BR62" s="89" t="e">
        <f t="shared" si="66"/>
        <v>#DIV/0!</v>
      </c>
    </row>
    <row r="63" s="56" customFormat="1" customHeight="1" spans="1:70">
      <c r="A63" s="62" t="s">
        <v>416</v>
      </c>
      <c r="B63" s="63" t="s">
        <v>416</v>
      </c>
      <c r="C63" s="95" t="s">
        <v>501</v>
      </c>
      <c r="D63" s="83" t="s">
        <v>63</v>
      </c>
      <c r="E63" s="83" t="s">
        <v>63</v>
      </c>
      <c r="F63" s="83" t="s">
        <v>433</v>
      </c>
      <c r="G63" s="63" t="s">
        <v>433</v>
      </c>
      <c r="H63" s="63" t="s">
        <v>419</v>
      </c>
      <c r="I63" s="63">
        <v>10</v>
      </c>
      <c r="J63" s="80">
        <v>19260</v>
      </c>
      <c r="K63" s="80">
        <v>10740</v>
      </c>
      <c r="L63" s="84">
        <f t="shared" si="0"/>
        <v>-0.442367601246106</v>
      </c>
      <c r="M63" s="80"/>
      <c r="N63" s="80"/>
      <c r="O63" s="84" t="e">
        <f t="shared" si="1"/>
        <v>#DIV/0!</v>
      </c>
      <c r="P63" s="80">
        <f t="shared" si="2"/>
        <v>19260</v>
      </c>
      <c r="Q63" s="80">
        <f t="shared" si="3"/>
        <v>10740</v>
      </c>
      <c r="R63" s="84">
        <f t="shared" si="4"/>
        <v>-0.442367601246106</v>
      </c>
      <c r="S63" s="85">
        <v>7850</v>
      </c>
      <c r="T63" s="85"/>
      <c r="U63" s="84">
        <f t="shared" si="5"/>
        <v>-1</v>
      </c>
      <c r="V63" s="86">
        <f t="shared" si="6"/>
        <v>27110</v>
      </c>
      <c r="W63" s="86">
        <f t="shared" si="7"/>
        <v>10740</v>
      </c>
      <c r="X63" s="84">
        <f t="shared" si="8"/>
        <v>-0.603836222796016</v>
      </c>
      <c r="Y63" s="80">
        <v>1740</v>
      </c>
      <c r="Z63" s="80">
        <v>5491</v>
      </c>
      <c r="AA63" s="84">
        <f t="shared" si="38"/>
        <v>2.15574712643678</v>
      </c>
      <c r="AB63" s="80">
        <f t="shared" si="39"/>
        <v>28850</v>
      </c>
      <c r="AC63" s="80">
        <f t="shared" si="40"/>
        <v>16231</v>
      </c>
      <c r="AD63" s="84">
        <f t="shared" si="41"/>
        <v>-0.437400346620451</v>
      </c>
      <c r="AE63" s="80">
        <v>49370</v>
      </c>
      <c r="AF63" s="80">
        <v>12884</v>
      </c>
      <c r="AG63" s="84">
        <f t="shared" si="42"/>
        <v>-0.739031800688677</v>
      </c>
      <c r="AH63" s="80">
        <f t="shared" si="43"/>
        <v>78220</v>
      </c>
      <c r="AI63" s="80">
        <f t="shared" si="44"/>
        <v>29115</v>
      </c>
      <c r="AJ63" s="84">
        <f t="shared" si="45"/>
        <v>-0.627780618767579</v>
      </c>
      <c r="AK63" s="87">
        <v>4800</v>
      </c>
      <c r="AL63" s="87">
        <v>4541</v>
      </c>
      <c r="AM63" s="84">
        <f t="shared" si="46"/>
        <v>-0.0539583333333333</v>
      </c>
      <c r="AN63" s="87">
        <f t="shared" si="47"/>
        <v>83020</v>
      </c>
      <c r="AO63" s="87">
        <f t="shared" si="48"/>
        <v>33656</v>
      </c>
      <c r="AP63" s="84">
        <f t="shared" si="49"/>
        <v>-0.59460370994941</v>
      </c>
      <c r="AQ63" s="85"/>
      <c r="AR63" s="85"/>
      <c r="AS63" s="84" t="e">
        <f t="shared" si="50"/>
        <v>#DIV/0!</v>
      </c>
      <c r="AT63" s="85">
        <f t="shared" si="51"/>
        <v>83020</v>
      </c>
      <c r="AU63" s="85">
        <f t="shared" si="52"/>
        <v>33656</v>
      </c>
      <c r="AV63" s="84">
        <f t="shared" si="53"/>
        <v>-0.59460370994941</v>
      </c>
      <c r="AW63" s="80"/>
      <c r="AX63" s="80"/>
      <c r="AY63" s="84" t="e">
        <f t="shared" si="54"/>
        <v>#DIV/0!</v>
      </c>
      <c r="AZ63" s="80">
        <f t="shared" si="55"/>
        <v>83020</v>
      </c>
      <c r="BA63" s="80">
        <f t="shared" si="56"/>
        <v>33656</v>
      </c>
      <c r="BB63" s="84">
        <f t="shared" si="57"/>
        <v>-0.59460370994941</v>
      </c>
      <c r="BC63" s="80">
        <v>9010</v>
      </c>
      <c r="BD63" s="80">
        <v>1838</v>
      </c>
      <c r="BE63" s="84">
        <f t="shared" si="58"/>
        <v>-0.796004439511654</v>
      </c>
      <c r="BF63" s="80">
        <f t="shared" si="59"/>
        <v>92030</v>
      </c>
      <c r="BG63" s="80">
        <f t="shared" si="60"/>
        <v>35494</v>
      </c>
      <c r="BH63" s="84">
        <f t="shared" si="61"/>
        <v>-0.614321416929262</v>
      </c>
      <c r="BI63" s="88">
        <v>7850</v>
      </c>
      <c r="BJ63" s="88">
        <v>2775</v>
      </c>
      <c r="BK63" s="84">
        <f t="shared" si="62"/>
        <v>-0.646496815286624</v>
      </c>
      <c r="BL63" s="88">
        <f t="shared" si="63"/>
        <v>99880</v>
      </c>
      <c r="BM63" s="88">
        <f t="shared" si="64"/>
        <v>38269</v>
      </c>
      <c r="BN63" s="84">
        <f t="shared" si="65"/>
        <v>-0.616850220264317</v>
      </c>
      <c r="BO63" s="80">
        <v>3060</v>
      </c>
      <c r="BP63" s="80">
        <v>45168</v>
      </c>
      <c r="BQ63" s="80">
        <v>148108</v>
      </c>
      <c r="BR63" s="89">
        <f t="shared" si="66"/>
        <v>0.38269</v>
      </c>
    </row>
    <row r="64" s="56" customFormat="1" customHeight="1" spans="1:70">
      <c r="A64" s="62" t="s">
        <v>416</v>
      </c>
      <c r="B64" s="63" t="s">
        <v>416</v>
      </c>
      <c r="C64" s="95" t="s">
        <v>502</v>
      </c>
      <c r="D64" s="83" t="s">
        <v>63</v>
      </c>
      <c r="E64" s="83" t="s">
        <v>63</v>
      </c>
      <c r="F64" s="83" t="s">
        <v>466</v>
      </c>
      <c r="G64" s="63" t="s">
        <v>466</v>
      </c>
      <c r="H64" s="63" t="s">
        <v>437</v>
      </c>
      <c r="I64" s="63">
        <v>30</v>
      </c>
      <c r="J64" s="80">
        <v>57994</v>
      </c>
      <c r="K64" s="80"/>
      <c r="L64" s="84">
        <f t="shared" si="0"/>
        <v>-1</v>
      </c>
      <c r="M64" s="80">
        <v>45000</v>
      </c>
      <c r="N64" s="80"/>
      <c r="O64" s="84">
        <f t="shared" si="1"/>
        <v>-1</v>
      </c>
      <c r="P64" s="80">
        <f t="shared" si="2"/>
        <v>102994</v>
      </c>
      <c r="Q64" s="80">
        <f t="shared" si="3"/>
        <v>0</v>
      </c>
      <c r="R64" s="84">
        <f t="shared" si="4"/>
        <v>-1</v>
      </c>
      <c r="S64" s="85">
        <v>2390</v>
      </c>
      <c r="T64" s="85">
        <v>53000</v>
      </c>
      <c r="U64" s="84">
        <f t="shared" si="5"/>
        <v>21.1757322175732</v>
      </c>
      <c r="V64" s="86">
        <f t="shared" si="6"/>
        <v>105384</v>
      </c>
      <c r="W64" s="86">
        <f t="shared" si="7"/>
        <v>53000</v>
      </c>
      <c r="X64" s="84">
        <f t="shared" si="8"/>
        <v>-0.497077355196235</v>
      </c>
      <c r="Y64" s="80"/>
      <c r="Z64" s="80"/>
      <c r="AA64" s="84" t="e">
        <f t="shared" si="38"/>
        <v>#DIV/0!</v>
      </c>
      <c r="AB64" s="80">
        <f t="shared" si="39"/>
        <v>105384</v>
      </c>
      <c r="AC64" s="80">
        <f t="shared" si="40"/>
        <v>53000</v>
      </c>
      <c r="AD64" s="84">
        <f t="shared" si="41"/>
        <v>-0.497077355196235</v>
      </c>
      <c r="AE64" s="80">
        <v>1650</v>
      </c>
      <c r="AF64" s="80"/>
      <c r="AG64" s="84">
        <f t="shared" si="42"/>
        <v>-1</v>
      </c>
      <c r="AH64" s="80">
        <f t="shared" si="43"/>
        <v>107034</v>
      </c>
      <c r="AI64" s="80">
        <f t="shared" si="44"/>
        <v>53000</v>
      </c>
      <c r="AJ64" s="84">
        <f t="shared" si="45"/>
        <v>-0.504830240858045</v>
      </c>
      <c r="AK64" s="87">
        <v>48160</v>
      </c>
      <c r="AL64" s="87"/>
      <c r="AM64" s="84">
        <f t="shared" si="46"/>
        <v>-1</v>
      </c>
      <c r="AN64" s="87">
        <f t="shared" si="47"/>
        <v>155194</v>
      </c>
      <c r="AO64" s="87">
        <f t="shared" si="48"/>
        <v>53000</v>
      </c>
      <c r="AP64" s="84">
        <f t="shared" si="49"/>
        <v>-0.658491952008454</v>
      </c>
      <c r="AQ64" s="85"/>
      <c r="AR64" s="85"/>
      <c r="AS64" s="84" t="e">
        <f t="shared" si="50"/>
        <v>#DIV/0!</v>
      </c>
      <c r="AT64" s="85">
        <f t="shared" si="51"/>
        <v>155194</v>
      </c>
      <c r="AU64" s="85">
        <f t="shared" si="52"/>
        <v>53000</v>
      </c>
      <c r="AV64" s="84">
        <f t="shared" si="53"/>
        <v>-0.658491952008454</v>
      </c>
      <c r="AW64" s="80"/>
      <c r="AX64" s="80"/>
      <c r="AY64" s="84" t="e">
        <f t="shared" si="54"/>
        <v>#DIV/0!</v>
      </c>
      <c r="AZ64" s="80">
        <f t="shared" si="55"/>
        <v>155194</v>
      </c>
      <c r="BA64" s="80">
        <f t="shared" si="56"/>
        <v>53000</v>
      </c>
      <c r="BB64" s="84">
        <f t="shared" si="57"/>
        <v>-0.658491952008454</v>
      </c>
      <c r="BC64" s="80"/>
      <c r="BD64" s="80"/>
      <c r="BE64" s="84" t="e">
        <f t="shared" si="58"/>
        <v>#DIV/0!</v>
      </c>
      <c r="BF64" s="80">
        <f t="shared" si="59"/>
        <v>155194</v>
      </c>
      <c r="BG64" s="80">
        <f t="shared" si="60"/>
        <v>53000</v>
      </c>
      <c r="BH64" s="84">
        <f t="shared" si="61"/>
        <v>-0.658491952008454</v>
      </c>
      <c r="BI64" s="88">
        <v>59400</v>
      </c>
      <c r="BJ64" s="88"/>
      <c r="BK64" s="84">
        <f t="shared" si="62"/>
        <v>-1</v>
      </c>
      <c r="BL64" s="88">
        <f t="shared" si="63"/>
        <v>214594</v>
      </c>
      <c r="BM64" s="88">
        <f t="shared" si="64"/>
        <v>53000</v>
      </c>
      <c r="BN64" s="84">
        <f t="shared" si="65"/>
        <v>-0.753021985703235</v>
      </c>
      <c r="BO64" s="80"/>
      <c r="BP64" s="80"/>
      <c r="BQ64" s="80">
        <v>214594</v>
      </c>
      <c r="BR64" s="89">
        <f t="shared" si="66"/>
        <v>0.176666666666667</v>
      </c>
    </row>
    <row r="65" s="56" customFormat="1" customHeight="1" spans="1:70">
      <c r="A65" s="62" t="s">
        <v>416</v>
      </c>
      <c r="B65" s="63" t="s">
        <v>416</v>
      </c>
      <c r="C65" s="95" t="s">
        <v>503</v>
      </c>
      <c r="D65" s="83" t="s">
        <v>63</v>
      </c>
      <c r="E65" s="83" t="s">
        <v>63</v>
      </c>
      <c r="F65" s="83" t="s">
        <v>422</v>
      </c>
      <c r="G65" s="83" t="s">
        <v>422</v>
      </c>
      <c r="H65" s="63" t="s">
        <v>423</v>
      </c>
      <c r="I65" s="63"/>
      <c r="J65" s="80"/>
      <c r="K65" s="80"/>
      <c r="L65" s="84" t="e">
        <f t="shared" si="0"/>
        <v>#DIV/0!</v>
      </c>
      <c r="M65" s="80"/>
      <c r="N65" s="80"/>
      <c r="O65" s="84" t="e">
        <f t="shared" si="1"/>
        <v>#DIV/0!</v>
      </c>
      <c r="P65" s="80">
        <f t="shared" si="2"/>
        <v>0</v>
      </c>
      <c r="Q65" s="80">
        <f t="shared" si="3"/>
        <v>0</v>
      </c>
      <c r="R65" s="84" t="e">
        <f t="shared" si="4"/>
        <v>#DIV/0!</v>
      </c>
      <c r="S65" s="85"/>
      <c r="T65" s="85"/>
      <c r="U65" s="84" t="e">
        <f t="shared" si="5"/>
        <v>#DIV/0!</v>
      </c>
      <c r="V65" s="86">
        <f t="shared" si="6"/>
        <v>0</v>
      </c>
      <c r="W65" s="86">
        <f t="shared" si="7"/>
        <v>0</v>
      </c>
      <c r="X65" s="84" t="e">
        <f t="shared" si="8"/>
        <v>#DIV/0!</v>
      </c>
      <c r="Y65" s="80">
        <v>10260</v>
      </c>
      <c r="Z65" s="80"/>
      <c r="AA65" s="84">
        <f t="shared" si="38"/>
        <v>-1</v>
      </c>
      <c r="AB65" s="80">
        <f t="shared" si="39"/>
        <v>10260</v>
      </c>
      <c r="AC65" s="80">
        <f t="shared" si="40"/>
        <v>0</v>
      </c>
      <c r="AD65" s="84">
        <f t="shared" si="41"/>
        <v>-1</v>
      </c>
      <c r="AE65" s="80"/>
      <c r="AF65" s="80"/>
      <c r="AG65" s="84" t="e">
        <f t="shared" si="42"/>
        <v>#DIV/0!</v>
      </c>
      <c r="AH65" s="80">
        <f t="shared" si="43"/>
        <v>10260</v>
      </c>
      <c r="AI65" s="80">
        <f t="shared" si="44"/>
        <v>0</v>
      </c>
      <c r="AJ65" s="84">
        <f t="shared" si="45"/>
        <v>-1</v>
      </c>
      <c r="AK65" s="87"/>
      <c r="AL65" s="87"/>
      <c r="AM65" s="84" t="e">
        <f t="shared" si="46"/>
        <v>#DIV/0!</v>
      </c>
      <c r="AN65" s="87">
        <f t="shared" si="47"/>
        <v>10260</v>
      </c>
      <c r="AO65" s="87">
        <f t="shared" si="48"/>
        <v>0</v>
      </c>
      <c r="AP65" s="84">
        <f t="shared" si="49"/>
        <v>-1</v>
      </c>
      <c r="AQ65" s="85"/>
      <c r="AR65" s="85"/>
      <c r="AS65" s="84" t="e">
        <f t="shared" si="50"/>
        <v>#DIV/0!</v>
      </c>
      <c r="AT65" s="85">
        <f t="shared" si="51"/>
        <v>10260</v>
      </c>
      <c r="AU65" s="85">
        <f t="shared" si="52"/>
        <v>0</v>
      </c>
      <c r="AV65" s="84">
        <f t="shared" si="53"/>
        <v>-1</v>
      </c>
      <c r="AW65" s="80"/>
      <c r="AX65" s="80"/>
      <c r="AY65" s="84" t="e">
        <f t="shared" si="54"/>
        <v>#DIV/0!</v>
      </c>
      <c r="AZ65" s="80">
        <f t="shared" si="55"/>
        <v>10260</v>
      </c>
      <c r="BA65" s="80">
        <f t="shared" si="56"/>
        <v>0</v>
      </c>
      <c r="BB65" s="84">
        <f t="shared" si="57"/>
        <v>-1</v>
      </c>
      <c r="BC65" s="80"/>
      <c r="BD65" s="80"/>
      <c r="BE65" s="84" t="e">
        <f t="shared" si="58"/>
        <v>#DIV/0!</v>
      </c>
      <c r="BF65" s="80">
        <f t="shared" si="59"/>
        <v>10260</v>
      </c>
      <c r="BG65" s="80">
        <f t="shared" si="60"/>
        <v>0</v>
      </c>
      <c r="BH65" s="84">
        <f t="shared" si="61"/>
        <v>-1</v>
      </c>
      <c r="BI65" s="88"/>
      <c r="BJ65" s="88"/>
      <c r="BK65" s="84" t="e">
        <f t="shared" si="62"/>
        <v>#DIV/0!</v>
      </c>
      <c r="BL65" s="88">
        <f t="shared" si="63"/>
        <v>10260</v>
      </c>
      <c r="BM65" s="88">
        <f t="shared" si="64"/>
        <v>0</v>
      </c>
      <c r="BN65" s="84">
        <f t="shared" si="65"/>
        <v>-1</v>
      </c>
      <c r="BO65" s="80"/>
      <c r="BP65" s="80"/>
      <c r="BQ65" s="80">
        <v>10260</v>
      </c>
      <c r="BR65" s="89" t="e">
        <f t="shared" si="66"/>
        <v>#DIV/0!</v>
      </c>
    </row>
    <row r="66" s="56" customFormat="1" customHeight="1" spans="1:70">
      <c r="A66" s="62" t="s">
        <v>416</v>
      </c>
      <c r="B66" s="63" t="s">
        <v>416</v>
      </c>
      <c r="C66" s="95" t="s">
        <v>504</v>
      </c>
      <c r="D66" s="83" t="s">
        <v>86</v>
      </c>
      <c r="E66" s="83" t="s">
        <v>86</v>
      </c>
      <c r="F66" s="271" t="s">
        <v>436</v>
      </c>
      <c r="G66" s="83"/>
      <c r="H66" s="63" t="s">
        <v>437</v>
      </c>
      <c r="I66" s="63"/>
      <c r="J66" s="80"/>
      <c r="K66" s="80"/>
      <c r="L66" s="84"/>
      <c r="M66" s="80"/>
      <c r="N66" s="80"/>
      <c r="O66" s="84"/>
      <c r="P66" s="80"/>
      <c r="Q66" s="80"/>
      <c r="R66" s="84"/>
      <c r="S66" s="85"/>
      <c r="T66" s="85"/>
      <c r="U66" s="84"/>
      <c r="V66" s="86"/>
      <c r="W66" s="86"/>
      <c r="X66" s="84"/>
      <c r="Y66" s="80"/>
      <c r="Z66" s="80"/>
      <c r="AA66" s="84"/>
      <c r="AB66" s="80"/>
      <c r="AC66" s="80"/>
      <c r="AD66" s="84"/>
      <c r="AE66" s="80"/>
      <c r="AF66" s="80"/>
      <c r="AG66" s="84" t="e">
        <f t="shared" si="42"/>
        <v>#DIV/0!</v>
      </c>
      <c r="AH66" s="80">
        <f t="shared" si="43"/>
        <v>0</v>
      </c>
      <c r="AI66" s="80">
        <f t="shared" si="44"/>
        <v>0</v>
      </c>
      <c r="AJ66" s="84" t="e">
        <f t="shared" si="45"/>
        <v>#DIV/0!</v>
      </c>
      <c r="AK66" s="87"/>
      <c r="AL66" s="87"/>
      <c r="AM66" s="84" t="e">
        <f t="shared" si="46"/>
        <v>#DIV/0!</v>
      </c>
      <c r="AN66" s="87">
        <f t="shared" si="47"/>
        <v>0</v>
      </c>
      <c r="AO66" s="87">
        <f t="shared" si="48"/>
        <v>0</v>
      </c>
      <c r="AP66" s="84" t="e">
        <f t="shared" si="49"/>
        <v>#DIV/0!</v>
      </c>
      <c r="AQ66" s="85"/>
      <c r="AR66" s="85"/>
      <c r="AS66" s="84" t="e">
        <f t="shared" si="50"/>
        <v>#DIV/0!</v>
      </c>
      <c r="AT66" s="85">
        <f t="shared" si="51"/>
        <v>0</v>
      </c>
      <c r="AU66" s="85">
        <f t="shared" si="52"/>
        <v>0</v>
      </c>
      <c r="AV66" s="84" t="e">
        <f t="shared" si="53"/>
        <v>#DIV/0!</v>
      </c>
      <c r="AW66" s="80"/>
      <c r="AX66" s="80"/>
      <c r="AY66" s="84" t="e">
        <f t="shared" si="54"/>
        <v>#DIV/0!</v>
      </c>
      <c r="AZ66" s="80">
        <f t="shared" si="55"/>
        <v>0</v>
      </c>
      <c r="BA66" s="80">
        <f t="shared" si="56"/>
        <v>0</v>
      </c>
      <c r="BB66" s="84" t="e">
        <f t="shared" si="57"/>
        <v>#DIV/0!</v>
      </c>
      <c r="BC66" s="80"/>
      <c r="BD66" s="80"/>
      <c r="BE66" s="84" t="e">
        <f t="shared" si="58"/>
        <v>#DIV/0!</v>
      </c>
      <c r="BF66" s="80">
        <f t="shared" si="59"/>
        <v>0</v>
      </c>
      <c r="BG66" s="80">
        <f t="shared" si="60"/>
        <v>0</v>
      </c>
      <c r="BH66" s="84" t="e">
        <f t="shared" si="61"/>
        <v>#DIV/0!</v>
      </c>
      <c r="BI66" s="88"/>
      <c r="BJ66" s="88"/>
      <c r="BK66" s="84" t="e">
        <f t="shared" si="62"/>
        <v>#DIV/0!</v>
      </c>
      <c r="BL66" s="88">
        <f t="shared" si="63"/>
        <v>0</v>
      </c>
      <c r="BM66" s="88">
        <f t="shared" si="64"/>
        <v>0</v>
      </c>
      <c r="BN66" s="84" t="e">
        <f t="shared" si="65"/>
        <v>#DIV/0!</v>
      </c>
      <c r="BO66" s="80"/>
      <c r="BP66" s="80"/>
      <c r="BQ66" s="80"/>
      <c r="BR66" s="89" t="e">
        <f t="shared" si="66"/>
        <v>#DIV/0!</v>
      </c>
    </row>
    <row r="67" s="56" customFormat="1" customHeight="1" spans="1:70">
      <c r="A67" s="62" t="s">
        <v>416</v>
      </c>
      <c r="B67" s="63" t="s">
        <v>416</v>
      </c>
      <c r="C67" s="95" t="s">
        <v>505</v>
      </c>
      <c r="D67" s="83" t="s">
        <v>86</v>
      </c>
      <c r="E67" s="83" t="s">
        <v>86</v>
      </c>
      <c r="F67" s="83" t="s">
        <v>422</v>
      </c>
      <c r="G67" s="83" t="s">
        <v>422</v>
      </c>
      <c r="H67" s="63" t="s">
        <v>423</v>
      </c>
      <c r="I67" s="63">
        <v>120</v>
      </c>
      <c r="J67" s="80"/>
      <c r="K67" s="80">
        <v>6740</v>
      </c>
      <c r="L67" s="84" t="e">
        <f>K67/J67-1</f>
        <v>#DIV/0!</v>
      </c>
      <c r="M67" s="80"/>
      <c r="N67" s="80">
        <v>38925</v>
      </c>
      <c r="O67" s="84" t="e">
        <f>N67/M67-1</f>
        <v>#DIV/0!</v>
      </c>
      <c r="P67" s="80">
        <f>M67+J67</f>
        <v>0</v>
      </c>
      <c r="Q67" s="80">
        <f>N67+K67</f>
        <v>45665</v>
      </c>
      <c r="R67" s="84" t="e">
        <f>Q67/P67-1</f>
        <v>#DIV/0!</v>
      </c>
      <c r="S67" s="85"/>
      <c r="T67" s="85">
        <v>56110</v>
      </c>
      <c r="U67" s="84" t="e">
        <f>T67/S67-1</f>
        <v>#DIV/0!</v>
      </c>
      <c r="V67" s="86">
        <f>S67+P67</f>
        <v>0</v>
      </c>
      <c r="W67" s="86">
        <f>T67+Q67</f>
        <v>101775</v>
      </c>
      <c r="X67" s="84" t="e">
        <f>W67/V67-1</f>
        <v>#DIV/0!</v>
      </c>
      <c r="Y67" s="80"/>
      <c r="Z67" s="80">
        <v>59624</v>
      </c>
      <c r="AA67" s="84" t="e">
        <f>Z67/Y67-1</f>
        <v>#DIV/0!</v>
      </c>
      <c r="AB67" s="80">
        <f>Y67+V67</f>
        <v>0</v>
      </c>
      <c r="AC67" s="80">
        <f>Z67+W67</f>
        <v>161399</v>
      </c>
      <c r="AD67" s="84" t="e">
        <f>AC67/AB67-1</f>
        <v>#DIV/0!</v>
      </c>
      <c r="AE67" s="80">
        <v>4500</v>
      </c>
      <c r="AF67" s="80">
        <v>32576</v>
      </c>
      <c r="AG67" s="84">
        <f t="shared" si="42"/>
        <v>6.23911111111111</v>
      </c>
      <c r="AH67" s="80">
        <f t="shared" si="43"/>
        <v>4500</v>
      </c>
      <c r="AI67" s="80">
        <f t="shared" si="44"/>
        <v>193975</v>
      </c>
      <c r="AJ67" s="84">
        <f t="shared" si="45"/>
        <v>42.1055555555556</v>
      </c>
      <c r="AK67" s="87">
        <v>12300</v>
      </c>
      <c r="AL67" s="87">
        <v>70979</v>
      </c>
      <c r="AM67" s="84">
        <f t="shared" si="46"/>
        <v>4.77065040650406</v>
      </c>
      <c r="AN67" s="87">
        <f t="shared" si="47"/>
        <v>16800</v>
      </c>
      <c r="AO67" s="87">
        <f t="shared" si="48"/>
        <v>264954</v>
      </c>
      <c r="AP67" s="84">
        <f t="shared" si="49"/>
        <v>14.7710714285714</v>
      </c>
      <c r="AQ67" s="85">
        <v>35850</v>
      </c>
      <c r="AR67" s="85">
        <v>17770</v>
      </c>
      <c r="AS67" s="84">
        <f t="shared" si="50"/>
        <v>-0.504323570432357</v>
      </c>
      <c r="AT67" s="85">
        <f t="shared" si="51"/>
        <v>52650</v>
      </c>
      <c r="AU67" s="85">
        <f t="shared" si="52"/>
        <v>282724</v>
      </c>
      <c r="AV67" s="84">
        <f t="shared" si="53"/>
        <v>4.36987654320988</v>
      </c>
      <c r="AW67" s="80">
        <v>28830</v>
      </c>
      <c r="AX67" s="80">
        <v>42102</v>
      </c>
      <c r="AY67" s="84">
        <f t="shared" si="54"/>
        <v>0.460353798126951</v>
      </c>
      <c r="AZ67" s="80">
        <f t="shared" si="55"/>
        <v>81480</v>
      </c>
      <c r="BA67" s="80">
        <f t="shared" si="56"/>
        <v>324826</v>
      </c>
      <c r="BB67" s="84">
        <f t="shared" si="57"/>
        <v>2.9865733922435</v>
      </c>
      <c r="BC67" s="80">
        <v>130174</v>
      </c>
      <c r="BD67" s="80">
        <v>24845</v>
      </c>
      <c r="BE67" s="84">
        <f t="shared" si="58"/>
        <v>-0.809140074054727</v>
      </c>
      <c r="BF67" s="80">
        <f t="shared" si="59"/>
        <v>211654</v>
      </c>
      <c r="BG67" s="80">
        <f t="shared" si="60"/>
        <v>349671</v>
      </c>
      <c r="BH67" s="84">
        <f t="shared" si="61"/>
        <v>0.652087841477128</v>
      </c>
      <c r="BI67" s="88">
        <v>240921.4</v>
      </c>
      <c r="BJ67" s="88">
        <v>56093</v>
      </c>
      <c r="BK67" s="84">
        <f t="shared" si="62"/>
        <v>-0.767173028215841</v>
      </c>
      <c r="BL67" s="88">
        <f t="shared" si="63"/>
        <v>452575.4</v>
      </c>
      <c r="BM67" s="88">
        <f t="shared" si="64"/>
        <v>405764</v>
      </c>
      <c r="BN67" s="84">
        <f t="shared" si="65"/>
        <v>-0.103433372649066</v>
      </c>
      <c r="BO67" s="80">
        <v>102826</v>
      </c>
      <c r="BP67" s="80">
        <v>67749</v>
      </c>
      <c r="BQ67" s="80">
        <v>623150.4</v>
      </c>
      <c r="BR67" s="89">
        <f t="shared" si="66"/>
        <v>0.338136666666667</v>
      </c>
    </row>
    <row r="68" s="56" customFormat="1" customHeight="1" spans="1:70">
      <c r="A68" s="62" t="s">
        <v>416</v>
      </c>
      <c r="B68" s="63" t="s">
        <v>416</v>
      </c>
      <c r="C68" s="95" t="s">
        <v>506</v>
      </c>
      <c r="D68" s="83" t="s">
        <v>63</v>
      </c>
      <c r="E68" s="83" t="s">
        <v>63</v>
      </c>
      <c r="F68" s="83" t="s">
        <v>422</v>
      </c>
      <c r="G68" s="83" t="s">
        <v>422</v>
      </c>
      <c r="H68" s="63" t="s">
        <v>423</v>
      </c>
      <c r="I68" s="63"/>
      <c r="J68" s="80"/>
      <c r="K68" s="80"/>
      <c r="L68" s="84" t="e">
        <f>K68/J68-1</f>
        <v>#DIV/0!</v>
      </c>
      <c r="M68" s="80"/>
      <c r="N68" s="80"/>
      <c r="O68" s="84" t="e">
        <f>N68/M68-1</f>
        <v>#DIV/0!</v>
      </c>
      <c r="P68" s="80">
        <f>M68+J68</f>
        <v>0</v>
      </c>
      <c r="Q68" s="80">
        <f>N68+K68</f>
        <v>0</v>
      </c>
      <c r="R68" s="84" t="e">
        <f>Q68/P68-1</f>
        <v>#DIV/0!</v>
      </c>
      <c r="S68" s="85"/>
      <c r="T68" s="85"/>
      <c r="U68" s="84" t="e">
        <f>T68/S68-1</f>
        <v>#DIV/0!</v>
      </c>
      <c r="V68" s="86">
        <f>S68+P68</f>
        <v>0</v>
      </c>
      <c r="W68" s="86">
        <f>T68+Q68</f>
        <v>0</v>
      </c>
      <c r="X68" s="84" t="e">
        <f>W68/V68-1</f>
        <v>#DIV/0!</v>
      </c>
      <c r="Y68" s="80"/>
      <c r="Z68" s="80"/>
      <c r="AA68" s="84" t="e">
        <f>Z68/Y68-1</f>
        <v>#DIV/0!</v>
      </c>
      <c r="AB68" s="80">
        <f>Y68+V68</f>
        <v>0</v>
      </c>
      <c r="AC68" s="80">
        <f>Z68+W68</f>
        <v>0</v>
      </c>
      <c r="AD68" s="84" t="e">
        <f>AC68/AB68-1</f>
        <v>#DIV/0!</v>
      </c>
      <c r="AE68" s="80"/>
      <c r="AF68" s="80"/>
      <c r="AG68" s="84" t="e">
        <f t="shared" si="42"/>
        <v>#DIV/0!</v>
      </c>
      <c r="AH68" s="80">
        <f t="shared" si="43"/>
        <v>0</v>
      </c>
      <c r="AI68" s="80">
        <f t="shared" si="44"/>
        <v>0</v>
      </c>
      <c r="AJ68" s="84" t="e">
        <f t="shared" si="45"/>
        <v>#DIV/0!</v>
      </c>
      <c r="AK68" s="87">
        <v>10000</v>
      </c>
      <c r="AL68" s="87"/>
      <c r="AM68" s="84">
        <f t="shared" si="46"/>
        <v>-1</v>
      </c>
      <c r="AN68" s="87">
        <f t="shared" si="47"/>
        <v>10000</v>
      </c>
      <c r="AO68" s="87">
        <f t="shared" si="48"/>
        <v>0</v>
      </c>
      <c r="AP68" s="84">
        <f t="shared" si="49"/>
        <v>-1</v>
      </c>
      <c r="AQ68" s="85"/>
      <c r="AR68" s="85"/>
      <c r="AS68" s="84" t="e">
        <f t="shared" ref="AS68:AS84" si="67">AR68/AQ68-1</f>
        <v>#DIV/0!</v>
      </c>
      <c r="AT68" s="85">
        <f t="shared" ref="AT68:AT84" si="68">AQ68+AN68</f>
        <v>10000</v>
      </c>
      <c r="AU68" s="85">
        <f t="shared" ref="AU68:AU84" si="69">AR68+AO68</f>
        <v>0</v>
      </c>
      <c r="AV68" s="84">
        <f t="shared" ref="AV68:AV84" si="70">AU68/AT68-1</f>
        <v>-1</v>
      </c>
      <c r="AW68" s="80"/>
      <c r="AX68" s="80">
        <v>16200</v>
      </c>
      <c r="AY68" s="84" t="e">
        <f t="shared" ref="AY68:AY84" si="71">AX68/AW68-1</f>
        <v>#DIV/0!</v>
      </c>
      <c r="AZ68" s="80">
        <f t="shared" ref="AZ68:AZ84" si="72">AW68+AT68</f>
        <v>10000</v>
      </c>
      <c r="BA68" s="80">
        <f t="shared" ref="BA68:BA84" si="73">AX68+AU68</f>
        <v>16200</v>
      </c>
      <c r="BB68" s="84">
        <f t="shared" ref="BB68:BB84" si="74">BA68/AZ68-1</f>
        <v>0.62</v>
      </c>
      <c r="BC68" s="80"/>
      <c r="BD68" s="80"/>
      <c r="BE68" s="84" t="e">
        <f t="shared" ref="BE68:BE84" si="75">BD68/BC68-1</f>
        <v>#DIV/0!</v>
      </c>
      <c r="BF68" s="80">
        <f t="shared" ref="BF68:BF84" si="76">BC68+AZ68</f>
        <v>10000</v>
      </c>
      <c r="BG68" s="80">
        <f t="shared" ref="BG68:BG84" si="77">BD68+BA68</f>
        <v>16200</v>
      </c>
      <c r="BH68" s="84">
        <f t="shared" ref="BH68:BH84" si="78">BG68/BF68-1</f>
        <v>0.62</v>
      </c>
      <c r="BI68" s="88"/>
      <c r="BJ68" s="88"/>
      <c r="BK68" s="84" t="e">
        <f t="shared" ref="BK68:BK84" si="79">BJ68/BI68-1</f>
        <v>#DIV/0!</v>
      </c>
      <c r="BL68" s="88">
        <f t="shared" ref="BL68:BL84" si="80">BI68+BF68</f>
        <v>10000</v>
      </c>
      <c r="BM68" s="88">
        <f t="shared" ref="BM68:BM84" si="81">BJ68+BG68</f>
        <v>16200</v>
      </c>
      <c r="BN68" s="84">
        <f t="shared" ref="BN68:BN84" si="82">BM68/BL68-1</f>
        <v>0.62</v>
      </c>
      <c r="BO68" s="80"/>
      <c r="BP68" s="80"/>
      <c r="BQ68" s="80">
        <v>10000</v>
      </c>
      <c r="BR68" s="89" t="e">
        <f t="shared" ref="BR68:BR84" si="83">BM68/10000/I68</f>
        <v>#DIV/0!</v>
      </c>
    </row>
    <row r="69" s="56" customFormat="1" customHeight="1" spans="1:70">
      <c r="A69" s="62" t="s">
        <v>416</v>
      </c>
      <c r="B69" s="63" t="s">
        <v>416</v>
      </c>
      <c r="C69" s="95" t="s">
        <v>507</v>
      </c>
      <c r="D69" s="83" t="s">
        <v>86</v>
      </c>
      <c r="E69" s="83" t="s">
        <v>86</v>
      </c>
      <c r="F69" s="271" t="s">
        <v>418</v>
      </c>
      <c r="G69" s="271" t="s">
        <v>418</v>
      </c>
      <c r="H69" s="63" t="s">
        <v>419</v>
      </c>
      <c r="I69" s="63"/>
      <c r="J69" s="80"/>
      <c r="K69" s="80"/>
      <c r="L69" s="84" t="e">
        <f>K69/J69-1</f>
        <v>#DIV/0!</v>
      </c>
      <c r="M69" s="80"/>
      <c r="N69" s="80"/>
      <c r="O69" s="84" t="e">
        <f>N69/M69-1</f>
        <v>#DIV/0!</v>
      </c>
      <c r="P69" s="80">
        <f>M69+J69</f>
        <v>0</v>
      </c>
      <c r="Q69" s="80">
        <f>N69+K69</f>
        <v>0</v>
      </c>
      <c r="R69" s="84" t="e">
        <f>Q69/P69-1</f>
        <v>#DIV/0!</v>
      </c>
      <c r="S69" s="85"/>
      <c r="T69" s="85"/>
      <c r="U69" s="84" t="e">
        <f>T69/S69-1</f>
        <v>#DIV/0!</v>
      </c>
      <c r="V69" s="86">
        <f>S69+P69</f>
        <v>0</v>
      </c>
      <c r="W69" s="86">
        <f>T69+Q69</f>
        <v>0</v>
      </c>
      <c r="X69" s="84" t="e">
        <f>W69/V69-1</f>
        <v>#DIV/0!</v>
      </c>
      <c r="Y69" s="80"/>
      <c r="Z69" s="80"/>
      <c r="AA69" s="84" t="e">
        <f>Z69/Y69-1</f>
        <v>#DIV/0!</v>
      </c>
      <c r="AB69" s="80">
        <f>Y69+V69</f>
        <v>0</v>
      </c>
      <c r="AC69" s="80">
        <f>Z69+W69</f>
        <v>0</v>
      </c>
      <c r="AD69" s="84" t="e">
        <f>AC69/AB69-1</f>
        <v>#DIV/0!</v>
      </c>
      <c r="AE69" s="80"/>
      <c r="AF69" s="80"/>
      <c r="AG69" s="84" t="e">
        <f t="shared" si="42"/>
        <v>#DIV/0!</v>
      </c>
      <c r="AH69" s="80">
        <f t="shared" si="43"/>
        <v>0</v>
      </c>
      <c r="AI69" s="80">
        <f t="shared" si="44"/>
        <v>0</v>
      </c>
      <c r="AJ69" s="84" t="e">
        <f t="shared" si="45"/>
        <v>#DIV/0!</v>
      </c>
      <c r="AK69" s="87">
        <v>2700</v>
      </c>
      <c r="AL69" s="87"/>
      <c r="AM69" s="84">
        <f t="shared" si="46"/>
        <v>-1</v>
      </c>
      <c r="AN69" s="87">
        <f t="shared" si="47"/>
        <v>2700</v>
      </c>
      <c r="AO69" s="87">
        <f t="shared" si="48"/>
        <v>0</v>
      </c>
      <c r="AP69" s="84">
        <f t="shared" si="49"/>
        <v>-1</v>
      </c>
      <c r="AQ69" s="85">
        <v>2900</v>
      </c>
      <c r="AR69" s="85"/>
      <c r="AS69" s="84">
        <f t="shared" si="67"/>
        <v>-1</v>
      </c>
      <c r="AT69" s="85">
        <f t="shared" si="68"/>
        <v>5600</v>
      </c>
      <c r="AU69" s="85">
        <f t="shared" si="69"/>
        <v>0</v>
      </c>
      <c r="AV69" s="84">
        <f t="shared" si="70"/>
        <v>-1</v>
      </c>
      <c r="AW69" s="80">
        <v>30150</v>
      </c>
      <c r="AX69" s="80"/>
      <c r="AY69" s="84">
        <f t="shared" si="71"/>
        <v>-1</v>
      </c>
      <c r="AZ69" s="80">
        <f t="shared" si="72"/>
        <v>35750</v>
      </c>
      <c r="BA69" s="80">
        <f t="shared" si="73"/>
        <v>0</v>
      </c>
      <c r="BB69" s="84">
        <f t="shared" si="74"/>
        <v>-1</v>
      </c>
      <c r="BC69" s="80">
        <v>77941</v>
      </c>
      <c r="BD69" s="80"/>
      <c r="BE69" s="84">
        <f t="shared" si="75"/>
        <v>-1</v>
      </c>
      <c r="BF69" s="80">
        <f t="shared" si="76"/>
        <v>113691</v>
      </c>
      <c r="BG69" s="80">
        <f t="shared" si="77"/>
        <v>0</v>
      </c>
      <c r="BH69" s="84">
        <f t="shared" si="78"/>
        <v>-1</v>
      </c>
      <c r="BI69" s="88">
        <v>169211</v>
      </c>
      <c r="BJ69" s="88"/>
      <c r="BK69" s="84">
        <f t="shared" si="79"/>
        <v>-1</v>
      </c>
      <c r="BL69" s="88">
        <f t="shared" si="80"/>
        <v>282902</v>
      </c>
      <c r="BM69" s="88">
        <f t="shared" si="81"/>
        <v>0</v>
      </c>
      <c r="BN69" s="84">
        <f t="shared" si="82"/>
        <v>-1</v>
      </c>
      <c r="BO69" s="80">
        <v>0</v>
      </c>
      <c r="BP69" s="80"/>
      <c r="BQ69" s="80">
        <v>282902</v>
      </c>
      <c r="BR69" s="89" t="e">
        <f t="shared" si="83"/>
        <v>#DIV/0!</v>
      </c>
    </row>
    <row r="70" s="56" customFormat="1" customHeight="1" spans="1:70">
      <c r="A70" s="62" t="s">
        <v>416</v>
      </c>
      <c r="B70" s="63" t="s">
        <v>416</v>
      </c>
      <c r="C70" s="95" t="s">
        <v>508</v>
      </c>
      <c r="D70" s="83" t="s">
        <v>67</v>
      </c>
      <c r="E70" s="83" t="s">
        <v>67</v>
      </c>
      <c r="F70" s="271" t="s">
        <v>418</v>
      </c>
      <c r="G70" s="271" t="s">
        <v>418</v>
      </c>
      <c r="H70" s="63" t="s">
        <v>419</v>
      </c>
      <c r="I70" s="63">
        <v>80</v>
      </c>
      <c r="J70" s="80"/>
      <c r="K70" s="80">
        <v>82267</v>
      </c>
      <c r="L70" s="84" t="e">
        <f>K70/J70-1</f>
        <v>#DIV/0!</v>
      </c>
      <c r="M70" s="80"/>
      <c r="N70" s="80">
        <v>58370</v>
      </c>
      <c r="O70" s="84" t="e">
        <f>N70/M70-1</f>
        <v>#DIV/0!</v>
      </c>
      <c r="P70" s="80">
        <f>M70+J70</f>
        <v>0</v>
      </c>
      <c r="Q70" s="80">
        <f>N70+K70</f>
        <v>140637</v>
      </c>
      <c r="R70" s="84" t="e">
        <f>Q70/P70-1</f>
        <v>#DIV/0!</v>
      </c>
      <c r="S70" s="85"/>
      <c r="T70" s="85">
        <v>173051.5</v>
      </c>
      <c r="U70" s="84" t="e">
        <f>T70/S70-1</f>
        <v>#DIV/0!</v>
      </c>
      <c r="V70" s="86">
        <f>S70+P70</f>
        <v>0</v>
      </c>
      <c r="W70" s="86">
        <f>T70+Q70</f>
        <v>313688.5</v>
      </c>
      <c r="X70" s="84" t="e">
        <f>W70/V70-1</f>
        <v>#DIV/0!</v>
      </c>
      <c r="Y70" s="80"/>
      <c r="Z70" s="80">
        <v>162945</v>
      </c>
      <c r="AA70" s="84" t="e">
        <f>Z70/Y70-1</f>
        <v>#DIV/0!</v>
      </c>
      <c r="AB70" s="80">
        <f>Y70+V70</f>
        <v>0</v>
      </c>
      <c r="AC70" s="80">
        <f>Z70+W70</f>
        <v>476633.5</v>
      </c>
      <c r="AD70" s="84" t="e">
        <f>AC70/AB70-1</f>
        <v>#DIV/0!</v>
      </c>
      <c r="AE70" s="80"/>
      <c r="AF70" s="80">
        <v>128305.5</v>
      </c>
      <c r="AG70" s="84" t="e">
        <f t="shared" si="42"/>
        <v>#DIV/0!</v>
      </c>
      <c r="AH70" s="80">
        <f t="shared" si="43"/>
        <v>0</v>
      </c>
      <c r="AI70" s="80">
        <f t="shared" si="44"/>
        <v>604939</v>
      </c>
      <c r="AJ70" s="84" t="e">
        <f t="shared" si="45"/>
        <v>#DIV/0!</v>
      </c>
      <c r="AK70" s="87"/>
      <c r="AL70" s="87">
        <v>186310.5</v>
      </c>
      <c r="AM70" s="84" t="e">
        <f t="shared" si="46"/>
        <v>#DIV/0!</v>
      </c>
      <c r="AN70" s="87">
        <f t="shared" si="47"/>
        <v>0</v>
      </c>
      <c r="AO70" s="87">
        <f t="shared" si="48"/>
        <v>791249.5</v>
      </c>
      <c r="AP70" s="84" t="e">
        <f t="shared" si="49"/>
        <v>#DIV/0!</v>
      </c>
      <c r="AQ70" s="85"/>
      <c r="AR70" s="85">
        <v>121999</v>
      </c>
      <c r="AS70" s="84" t="e">
        <f t="shared" si="67"/>
        <v>#DIV/0!</v>
      </c>
      <c r="AT70" s="85">
        <f t="shared" si="68"/>
        <v>0</v>
      </c>
      <c r="AU70" s="85">
        <f t="shared" si="69"/>
        <v>913248.5</v>
      </c>
      <c r="AV70" s="84" t="e">
        <f t="shared" si="70"/>
        <v>#DIV/0!</v>
      </c>
      <c r="AW70" s="80"/>
      <c r="AX70" s="80">
        <v>192638</v>
      </c>
      <c r="AY70" s="84" t="e">
        <f t="shared" si="71"/>
        <v>#DIV/0!</v>
      </c>
      <c r="AZ70" s="80">
        <f t="shared" si="72"/>
        <v>0</v>
      </c>
      <c r="BA70" s="80">
        <f t="shared" si="73"/>
        <v>1105886.5</v>
      </c>
      <c r="BB70" s="84" t="e">
        <f t="shared" si="74"/>
        <v>#DIV/0!</v>
      </c>
      <c r="BC70" s="80"/>
      <c r="BD70" s="80">
        <v>162935.56</v>
      </c>
      <c r="BE70" s="84" t="e">
        <f t="shared" si="75"/>
        <v>#DIV/0!</v>
      </c>
      <c r="BF70" s="80">
        <f t="shared" si="76"/>
        <v>0</v>
      </c>
      <c r="BG70" s="80">
        <f t="shared" si="77"/>
        <v>1268822.06</v>
      </c>
      <c r="BH70" s="84" t="e">
        <f t="shared" si="78"/>
        <v>#DIV/0!</v>
      </c>
      <c r="BI70" s="88"/>
      <c r="BJ70" s="88">
        <v>66605</v>
      </c>
      <c r="BK70" s="84" t="e">
        <f t="shared" si="79"/>
        <v>#DIV/0!</v>
      </c>
      <c r="BL70" s="88">
        <f t="shared" si="80"/>
        <v>0</v>
      </c>
      <c r="BM70" s="88">
        <f t="shared" si="81"/>
        <v>1335427.06</v>
      </c>
      <c r="BN70" s="84" t="e">
        <f t="shared" si="82"/>
        <v>#DIV/0!</v>
      </c>
      <c r="BO70" s="80">
        <v>188546.2</v>
      </c>
      <c r="BP70" s="80">
        <v>267247.95</v>
      </c>
      <c r="BQ70" s="80">
        <v>455794.15</v>
      </c>
      <c r="BR70" s="89">
        <f t="shared" si="83"/>
        <v>1.669283825</v>
      </c>
    </row>
    <row r="71" s="56" customFormat="1" customHeight="1" spans="1:70">
      <c r="A71" s="62" t="s">
        <v>416</v>
      </c>
      <c r="B71" s="63" t="s">
        <v>416</v>
      </c>
      <c r="C71" s="95" t="s">
        <v>121</v>
      </c>
      <c r="D71" s="83" t="s">
        <v>63</v>
      </c>
      <c r="E71" s="83" t="s">
        <v>63</v>
      </c>
      <c r="F71" s="83" t="s">
        <v>430</v>
      </c>
      <c r="G71" s="83"/>
      <c r="H71" s="63" t="s">
        <v>419</v>
      </c>
      <c r="I71" s="63"/>
      <c r="J71" s="80"/>
      <c r="K71" s="80"/>
      <c r="L71" s="84" t="e">
        <f>K71/J71-1</f>
        <v>#DIV/0!</v>
      </c>
      <c r="M71" s="80"/>
      <c r="N71" s="80"/>
      <c r="O71" s="84" t="e">
        <f>N71/M71-1</f>
        <v>#DIV/0!</v>
      </c>
      <c r="P71" s="80">
        <f>M71+J71</f>
        <v>0</v>
      </c>
      <c r="Q71" s="80">
        <f>N71+K71</f>
        <v>0</v>
      </c>
      <c r="R71" s="84" t="e">
        <f>Q71/P71-1</f>
        <v>#DIV/0!</v>
      </c>
      <c r="S71" s="85"/>
      <c r="T71" s="85"/>
      <c r="U71" s="84" t="e">
        <f>T71/S71-1</f>
        <v>#DIV/0!</v>
      </c>
      <c r="V71" s="86">
        <f>S71+P71</f>
        <v>0</v>
      </c>
      <c r="W71" s="86">
        <f>T71+Q71</f>
        <v>0</v>
      </c>
      <c r="X71" s="84" t="e">
        <f>W71/V71-1</f>
        <v>#DIV/0!</v>
      </c>
      <c r="Y71" s="80"/>
      <c r="Z71" s="80"/>
      <c r="AA71" s="84" t="e">
        <f>Z71/Y71-1</f>
        <v>#DIV/0!</v>
      </c>
      <c r="AB71" s="80">
        <f>Y71+V71</f>
        <v>0</v>
      </c>
      <c r="AC71" s="80">
        <f>Z71+W71</f>
        <v>0</v>
      </c>
      <c r="AD71" s="84" t="e">
        <f>AC71/AB71-1</f>
        <v>#DIV/0!</v>
      </c>
      <c r="AE71" s="80"/>
      <c r="AF71" s="80"/>
      <c r="AG71" s="84" t="e">
        <f t="shared" si="42"/>
        <v>#DIV/0!</v>
      </c>
      <c r="AH71" s="80">
        <f t="shared" si="43"/>
        <v>0</v>
      </c>
      <c r="AI71" s="80">
        <f t="shared" si="44"/>
        <v>0</v>
      </c>
      <c r="AJ71" s="84" t="e">
        <f t="shared" si="45"/>
        <v>#DIV/0!</v>
      </c>
      <c r="AK71" s="87"/>
      <c r="AL71" s="87"/>
      <c r="AM71" s="84" t="e">
        <f t="shared" si="46"/>
        <v>#DIV/0!</v>
      </c>
      <c r="AN71" s="87">
        <f t="shared" si="47"/>
        <v>0</v>
      </c>
      <c r="AO71" s="87">
        <f t="shared" si="48"/>
        <v>0</v>
      </c>
      <c r="AP71" s="84" t="e">
        <f t="shared" si="49"/>
        <v>#DIV/0!</v>
      </c>
      <c r="AQ71" s="85"/>
      <c r="AR71" s="85"/>
      <c r="AS71" s="84" t="e">
        <f t="shared" si="67"/>
        <v>#DIV/0!</v>
      </c>
      <c r="AT71" s="85">
        <f t="shared" si="68"/>
        <v>0</v>
      </c>
      <c r="AU71" s="85">
        <f t="shared" si="69"/>
        <v>0</v>
      </c>
      <c r="AV71" s="84" t="e">
        <f t="shared" si="70"/>
        <v>#DIV/0!</v>
      </c>
      <c r="AW71" s="80"/>
      <c r="AX71" s="80"/>
      <c r="AY71" s="84" t="e">
        <f t="shared" si="71"/>
        <v>#DIV/0!</v>
      </c>
      <c r="AZ71" s="80">
        <f t="shared" si="72"/>
        <v>0</v>
      </c>
      <c r="BA71" s="80">
        <f t="shared" si="73"/>
        <v>0</v>
      </c>
      <c r="BB71" s="84" t="e">
        <f t="shared" si="74"/>
        <v>#DIV/0!</v>
      </c>
      <c r="BC71" s="80">
        <v>1859.2</v>
      </c>
      <c r="BD71" s="80"/>
      <c r="BE71" s="84">
        <f t="shared" si="75"/>
        <v>-1</v>
      </c>
      <c r="BF71" s="80">
        <f t="shared" si="76"/>
        <v>1859.2</v>
      </c>
      <c r="BG71" s="80">
        <f t="shared" si="77"/>
        <v>0</v>
      </c>
      <c r="BH71" s="84">
        <f t="shared" si="78"/>
        <v>-1</v>
      </c>
      <c r="BI71" s="88">
        <v>4397.67</v>
      </c>
      <c r="BJ71" s="88"/>
      <c r="BK71" s="84">
        <f t="shared" si="79"/>
        <v>-1</v>
      </c>
      <c r="BL71" s="88">
        <f t="shared" si="80"/>
        <v>6256.87</v>
      </c>
      <c r="BM71" s="88">
        <f t="shared" si="81"/>
        <v>0</v>
      </c>
      <c r="BN71" s="84">
        <f t="shared" si="82"/>
        <v>-1</v>
      </c>
      <c r="BO71" s="80"/>
      <c r="BP71" s="80">
        <v>11711.6</v>
      </c>
      <c r="BQ71" s="80">
        <v>17968.47</v>
      </c>
      <c r="BR71" s="89" t="e">
        <f t="shared" si="83"/>
        <v>#DIV/0!</v>
      </c>
    </row>
    <row r="72" s="56" customFormat="1" customHeight="1" spans="1:70">
      <c r="A72" s="62" t="s">
        <v>416</v>
      </c>
      <c r="B72" s="63" t="s">
        <v>416</v>
      </c>
      <c r="C72" s="95" t="s">
        <v>509</v>
      </c>
      <c r="D72" s="83" t="s">
        <v>63</v>
      </c>
      <c r="E72" s="83" t="s">
        <v>63</v>
      </c>
      <c r="F72" s="83" t="s">
        <v>483</v>
      </c>
      <c r="G72" s="83"/>
      <c r="H72" s="63" t="s">
        <v>459</v>
      </c>
      <c r="I72" s="63">
        <v>40</v>
      </c>
      <c r="J72" s="80"/>
      <c r="K72" s="80"/>
      <c r="L72" s="84"/>
      <c r="M72" s="80"/>
      <c r="N72" s="80"/>
      <c r="O72" s="84"/>
      <c r="P72" s="80"/>
      <c r="Q72" s="80"/>
      <c r="R72" s="84"/>
      <c r="S72" s="85"/>
      <c r="T72" s="85"/>
      <c r="U72" s="84"/>
      <c r="V72" s="86"/>
      <c r="W72" s="86"/>
      <c r="X72" s="84"/>
      <c r="Y72" s="80"/>
      <c r="Z72" s="80"/>
      <c r="AA72" s="84"/>
      <c r="AB72" s="80"/>
      <c r="AC72" s="80"/>
      <c r="AD72" s="84"/>
      <c r="AE72" s="80"/>
      <c r="AF72" s="80"/>
      <c r="AG72" s="84" t="e">
        <f t="shared" si="42"/>
        <v>#DIV/0!</v>
      </c>
      <c r="AH72" s="80">
        <f t="shared" si="43"/>
        <v>0</v>
      </c>
      <c r="AI72" s="80">
        <f t="shared" si="44"/>
        <v>0</v>
      </c>
      <c r="AJ72" s="84" t="e">
        <f t="shared" si="45"/>
        <v>#DIV/0!</v>
      </c>
      <c r="AK72" s="87"/>
      <c r="AL72" s="87"/>
      <c r="AM72" s="84" t="e">
        <f t="shared" si="46"/>
        <v>#DIV/0!</v>
      </c>
      <c r="AN72" s="87">
        <f t="shared" si="47"/>
        <v>0</v>
      </c>
      <c r="AO72" s="87">
        <f t="shared" si="48"/>
        <v>0</v>
      </c>
      <c r="AP72" s="84" t="e">
        <f t="shared" si="49"/>
        <v>#DIV/0!</v>
      </c>
      <c r="AQ72" s="85"/>
      <c r="AR72" s="85"/>
      <c r="AS72" s="84" t="e">
        <f t="shared" si="67"/>
        <v>#DIV/0!</v>
      </c>
      <c r="AT72" s="85">
        <f t="shared" si="68"/>
        <v>0</v>
      </c>
      <c r="AU72" s="85">
        <f t="shared" si="69"/>
        <v>0</v>
      </c>
      <c r="AV72" s="84" t="e">
        <f t="shared" si="70"/>
        <v>#DIV/0!</v>
      </c>
      <c r="AW72" s="80"/>
      <c r="AX72" s="80"/>
      <c r="AY72" s="84" t="e">
        <f t="shared" si="71"/>
        <v>#DIV/0!</v>
      </c>
      <c r="AZ72" s="80">
        <f t="shared" si="72"/>
        <v>0</v>
      </c>
      <c r="BA72" s="80">
        <f t="shared" si="73"/>
        <v>0</v>
      </c>
      <c r="BB72" s="84" t="e">
        <f t="shared" si="74"/>
        <v>#DIV/0!</v>
      </c>
      <c r="BC72" s="80"/>
      <c r="BD72" s="80"/>
      <c r="BE72" s="84" t="e">
        <f t="shared" si="75"/>
        <v>#DIV/0!</v>
      </c>
      <c r="BF72" s="80">
        <f t="shared" si="76"/>
        <v>0</v>
      </c>
      <c r="BG72" s="80">
        <f t="shared" si="77"/>
        <v>0</v>
      </c>
      <c r="BH72" s="84" t="e">
        <f t="shared" si="78"/>
        <v>#DIV/0!</v>
      </c>
      <c r="BI72" s="88"/>
      <c r="BJ72" s="88"/>
      <c r="BK72" s="84" t="e">
        <f t="shared" si="79"/>
        <v>#DIV/0!</v>
      </c>
      <c r="BL72" s="88">
        <f t="shared" si="80"/>
        <v>0</v>
      </c>
      <c r="BM72" s="88">
        <f t="shared" si="81"/>
        <v>0</v>
      </c>
      <c r="BN72" s="84" t="e">
        <f t="shared" si="82"/>
        <v>#DIV/0!</v>
      </c>
      <c r="BO72" s="80"/>
      <c r="BP72" s="80"/>
      <c r="BQ72" s="80"/>
      <c r="BR72" s="89">
        <f t="shared" si="83"/>
        <v>0</v>
      </c>
    </row>
    <row r="73" s="56" customFormat="1" customHeight="1" spans="1:70">
      <c r="A73" s="62" t="s">
        <v>416</v>
      </c>
      <c r="B73" s="63" t="s">
        <v>416</v>
      </c>
      <c r="C73" s="95" t="s">
        <v>510</v>
      </c>
      <c r="D73" s="83" t="s">
        <v>63</v>
      </c>
      <c r="E73" s="83" t="s">
        <v>63</v>
      </c>
      <c r="F73" s="83" t="s">
        <v>483</v>
      </c>
      <c r="G73" s="83"/>
      <c r="H73" s="63" t="s">
        <v>459</v>
      </c>
      <c r="I73" s="63">
        <v>0</v>
      </c>
      <c r="J73" s="80"/>
      <c r="K73" s="80"/>
      <c r="L73" s="84"/>
      <c r="M73" s="80"/>
      <c r="N73" s="80"/>
      <c r="O73" s="84"/>
      <c r="P73" s="80"/>
      <c r="Q73" s="80"/>
      <c r="R73" s="84"/>
      <c r="S73" s="85"/>
      <c r="T73" s="85"/>
      <c r="U73" s="84"/>
      <c r="V73" s="86"/>
      <c r="W73" s="86"/>
      <c r="X73" s="84"/>
      <c r="Y73" s="80"/>
      <c r="Z73" s="80"/>
      <c r="AA73" s="84"/>
      <c r="AB73" s="80"/>
      <c r="AC73" s="80"/>
      <c r="AD73" s="84"/>
      <c r="AE73" s="80"/>
      <c r="AF73" s="80"/>
      <c r="AG73" s="84" t="e">
        <f t="shared" si="42"/>
        <v>#DIV/0!</v>
      </c>
      <c r="AH73" s="80">
        <f t="shared" si="43"/>
        <v>0</v>
      </c>
      <c r="AI73" s="80">
        <f t="shared" si="44"/>
        <v>0</v>
      </c>
      <c r="AJ73" s="84" t="e">
        <f t="shared" si="45"/>
        <v>#DIV/0!</v>
      </c>
      <c r="AK73" s="87"/>
      <c r="AL73" s="87"/>
      <c r="AM73" s="84" t="e">
        <f t="shared" si="46"/>
        <v>#DIV/0!</v>
      </c>
      <c r="AN73" s="87">
        <f t="shared" si="47"/>
        <v>0</v>
      </c>
      <c r="AO73" s="87">
        <f t="shared" si="48"/>
        <v>0</v>
      </c>
      <c r="AP73" s="84" t="e">
        <f t="shared" si="49"/>
        <v>#DIV/0!</v>
      </c>
      <c r="AQ73" s="85"/>
      <c r="AR73" s="85"/>
      <c r="AS73" s="84" t="e">
        <f t="shared" si="67"/>
        <v>#DIV/0!</v>
      </c>
      <c r="AT73" s="85">
        <f t="shared" si="68"/>
        <v>0</v>
      </c>
      <c r="AU73" s="85">
        <f t="shared" si="69"/>
        <v>0</v>
      </c>
      <c r="AV73" s="84" t="e">
        <f t="shared" si="70"/>
        <v>#DIV/0!</v>
      </c>
      <c r="AW73" s="80"/>
      <c r="AX73" s="80"/>
      <c r="AY73" s="84" t="e">
        <f t="shared" si="71"/>
        <v>#DIV/0!</v>
      </c>
      <c r="AZ73" s="80">
        <f t="shared" si="72"/>
        <v>0</v>
      </c>
      <c r="BA73" s="80">
        <f t="shared" si="73"/>
        <v>0</v>
      </c>
      <c r="BB73" s="84" t="e">
        <f t="shared" si="74"/>
        <v>#DIV/0!</v>
      </c>
      <c r="BC73" s="80"/>
      <c r="BD73" s="80"/>
      <c r="BE73" s="84" t="e">
        <f t="shared" si="75"/>
        <v>#DIV/0!</v>
      </c>
      <c r="BF73" s="80">
        <f t="shared" si="76"/>
        <v>0</v>
      </c>
      <c r="BG73" s="80">
        <f t="shared" si="77"/>
        <v>0</v>
      </c>
      <c r="BH73" s="84" t="e">
        <f t="shared" si="78"/>
        <v>#DIV/0!</v>
      </c>
      <c r="BI73" s="88"/>
      <c r="BJ73" s="88"/>
      <c r="BK73" s="84" t="e">
        <f t="shared" si="79"/>
        <v>#DIV/0!</v>
      </c>
      <c r="BL73" s="88">
        <f t="shared" si="80"/>
        <v>0</v>
      </c>
      <c r="BM73" s="88">
        <f t="shared" si="81"/>
        <v>0</v>
      </c>
      <c r="BN73" s="84" t="e">
        <f t="shared" si="82"/>
        <v>#DIV/0!</v>
      </c>
      <c r="BO73" s="80"/>
      <c r="BP73" s="80"/>
      <c r="BQ73" s="80"/>
      <c r="BR73" s="89" t="e">
        <f t="shared" si="83"/>
        <v>#DIV/0!</v>
      </c>
    </row>
    <row r="74" s="56" customFormat="1" customHeight="1" spans="1:70">
      <c r="A74" s="62" t="s">
        <v>416</v>
      </c>
      <c r="B74" s="63" t="s">
        <v>416</v>
      </c>
      <c r="C74" s="95" t="s">
        <v>511</v>
      </c>
      <c r="D74" s="83" t="s">
        <v>63</v>
      </c>
      <c r="E74" s="83" t="s">
        <v>63</v>
      </c>
      <c r="F74" s="271" t="s">
        <v>418</v>
      </c>
      <c r="G74" s="271" t="s">
        <v>418</v>
      </c>
      <c r="H74" s="63" t="s">
        <v>419</v>
      </c>
      <c r="I74" s="63">
        <v>10</v>
      </c>
      <c r="J74" s="80"/>
      <c r="K74" s="80"/>
      <c r="L74" s="84" t="e">
        <f>K74/J74-1</f>
        <v>#DIV/0!</v>
      </c>
      <c r="M74" s="80"/>
      <c r="N74" s="80"/>
      <c r="O74" s="84" t="e">
        <f>N74/M74-1</f>
        <v>#DIV/0!</v>
      </c>
      <c r="P74" s="80">
        <f>M74+J74</f>
        <v>0</v>
      </c>
      <c r="Q74" s="80">
        <f>N74+K74</f>
        <v>0</v>
      </c>
      <c r="R74" s="84" t="e">
        <f>Q74/P74-1</f>
        <v>#DIV/0!</v>
      </c>
      <c r="S74" s="85"/>
      <c r="T74" s="85"/>
      <c r="U74" s="84" t="e">
        <f>T74/S74-1</f>
        <v>#DIV/0!</v>
      </c>
      <c r="V74" s="86">
        <f>S74+P74</f>
        <v>0</v>
      </c>
      <c r="W74" s="86">
        <f>T74+Q74</f>
        <v>0</v>
      </c>
      <c r="X74" s="84" t="e">
        <f>W74/V74-1</f>
        <v>#DIV/0!</v>
      </c>
      <c r="Y74" s="80"/>
      <c r="Z74" s="80"/>
      <c r="AA74" s="84" t="e">
        <f>Z74/Y74-1</f>
        <v>#DIV/0!</v>
      </c>
      <c r="AB74" s="80">
        <f>Y74+V74</f>
        <v>0</v>
      </c>
      <c r="AC74" s="80">
        <f>Z74+W74</f>
        <v>0</v>
      </c>
      <c r="AD74" s="84" t="e">
        <f>AC74/AB74-1</f>
        <v>#DIV/0!</v>
      </c>
      <c r="AE74" s="80"/>
      <c r="AF74" s="80"/>
      <c r="AG74" s="84" t="e">
        <f t="shared" si="42"/>
        <v>#DIV/0!</v>
      </c>
      <c r="AH74" s="80">
        <f t="shared" si="43"/>
        <v>0</v>
      </c>
      <c r="AI74" s="80">
        <f t="shared" si="44"/>
        <v>0</v>
      </c>
      <c r="AJ74" s="84" t="e">
        <f t="shared" si="45"/>
        <v>#DIV/0!</v>
      </c>
      <c r="AK74" s="87"/>
      <c r="AL74" s="87"/>
      <c r="AM74" s="84" t="e">
        <f t="shared" si="46"/>
        <v>#DIV/0!</v>
      </c>
      <c r="AN74" s="87">
        <f t="shared" si="47"/>
        <v>0</v>
      </c>
      <c r="AO74" s="87">
        <f t="shared" si="48"/>
        <v>0</v>
      </c>
      <c r="AP74" s="84" t="e">
        <f t="shared" si="49"/>
        <v>#DIV/0!</v>
      </c>
      <c r="AQ74" s="85"/>
      <c r="AR74" s="85"/>
      <c r="AS74" s="84" t="e">
        <f t="shared" si="67"/>
        <v>#DIV/0!</v>
      </c>
      <c r="AT74" s="85">
        <f t="shared" si="68"/>
        <v>0</v>
      </c>
      <c r="AU74" s="85">
        <f t="shared" si="69"/>
        <v>0</v>
      </c>
      <c r="AV74" s="84" t="e">
        <f t="shared" si="70"/>
        <v>#DIV/0!</v>
      </c>
      <c r="AW74" s="80"/>
      <c r="AX74" s="80"/>
      <c r="AY74" s="84" t="e">
        <f t="shared" si="71"/>
        <v>#DIV/0!</v>
      </c>
      <c r="AZ74" s="80">
        <f t="shared" si="72"/>
        <v>0</v>
      </c>
      <c r="BA74" s="80">
        <f t="shared" si="73"/>
        <v>0</v>
      </c>
      <c r="BB74" s="84" t="e">
        <f t="shared" si="74"/>
        <v>#DIV/0!</v>
      </c>
      <c r="BC74" s="80"/>
      <c r="BD74" s="80"/>
      <c r="BE74" s="84" t="e">
        <f t="shared" si="75"/>
        <v>#DIV/0!</v>
      </c>
      <c r="BF74" s="80">
        <f t="shared" si="76"/>
        <v>0</v>
      </c>
      <c r="BG74" s="80">
        <f t="shared" si="77"/>
        <v>0</v>
      </c>
      <c r="BH74" s="84" t="e">
        <f t="shared" si="78"/>
        <v>#DIV/0!</v>
      </c>
      <c r="BI74" s="88"/>
      <c r="BJ74" s="88"/>
      <c r="BK74" s="84" t="e">
        <f t="shared" si="79"/>
        <v>#DIV/0!</v>
      </c>
      <c r="BL74" s="88">
        <f t="shared" si="80"/>
        <v>0</v>
      </c>
      <c r="BM74" s="88">
        <f t="shared" si="81"/>
        <v>0</v>
      </c>
      <c r="BN74" s="84" t="e">
        <f t="shared" si="82"/>
        <v>#DIV/0!</v>
      </c>
      <c r="BO74" s="80">
        <v>2200</v>
      </c>
      <c r="BP74" s="80"/>
      <c r="BQ74" s="80">
        <v>2200</v>
      </c>
      <c r="BR74" s="89">
        <f t="shared" si="83"/>
        <v>0</v>
      </c>
    </row>
    <row r="75" s="56" customFormat="1" customHeight="1" spans="1:70">
      <c r="A75" s="62" t="s">
        <v>416</v>
      </c>
      <c r="B75" s="63" t="s">
        <v>416</v>
      </c>
      <c r="C75" s="97" t="s">
        <v>512</v>
      </c>
      <c r="D75" s="83" t="s">
        <v>63</v>
      </c>
      <c r="E75" s="83" t="s">
        <v>63</v>
      </c>
      <c r="F75" s="83" t="s">
        <v>466</v>
      </c>
      <c r="G75" s="83"/>
      <c r="H75" s="63" t="s">
        <v>437</v>
      </c>
      <c r="I75" s="98">
        <v>20</v>
      </c>
      <c r="J75" s="80"/>
      <c r="K75" s="80"/>
      <c r="L75" s="84"/>
      <c r="M75" s="80"/>
      <c r="N75" s="80"/>
      <c r="O75" s="84"/>
      <c r="P75" s="80"/>
      <c r="Q75" s="80"/>
      <c r="R75" s="84"/>
      <c r="S75" s="85"/>
      <c r="T75" s="85"/>
      <c r="U75" s="84"/>
      <c r="V75" s="86"/>
      <c r="W75" s="86"/>
      <c r="X75" s="84"/>
      <c r="Y75" s="80"/>
      <c r="Z75" s="80"/>
      <c r="AA75" s="84"/>
      <c r="AB75" s="80"/>
      <c r="AC75" s="80"/>
      <c r="AD75" s="84"/>
      <c r="AE75" s="80"/>
      <c r="AF75" s="80"/>
      <c r="AG75" s="84" t="e">
        <f t="shared" si="42"/>
        <v>#DIV/0!</v>
      </c>
      <c r="AH75" s="80">
        <f t="shared" si="43"/>
        <v>0</v>
      </c>
      <c r="AI75" s="80">
        <f t="shared" si="44"/>
        <v>0</v>
      </c>
      <c r="AJ75" s="84" t="e">
        <f t="shared" si="45"/>
        <v>#DIV/0!</v>
      </c>
      <c r="AK75" s="87"/>
      <c r="AL75" s="87"/>
      <c r="AM75" s="84" t="e">
        <f t="shared" si="46"/>
        <v>#DIV/0!</v>
      </c>
      <c r="AN75" s="87">
        <f t="shared" si="47"/>
        <v>0</v>
      </c>
      <c r="AO75" s="87">
        <f t="shared" si="48"/>
        <v>0</v>
      </c>
      <c r="AP75" s="84" t="e">
        <f t="shared" si="49"/>
        <v>#DIV/0!</v>
      </c>
      <c r="AQ75" s="85"/>
      <c r="AR75" s="85"/>
      <c r="AS75" s="84" t="e">
        <f t="shared" si="67"/>
        <v>#DIV/0!</v>
      </c>
      <c r="AT75" s="85">
        <f t="shared" si="68"/>
        <v>0</v>
      </c>
      <c r="AU75" s="85">
        <f t="shared" si="69"/>
        <v>0</v>
      </c>
      <c r="AV75" s="84" t="e">
        <f t="shared" si="70"/>
        <v>#DIV/0!</v>
      </c>
      <c r="AW75" s="80"/>
      <c r="AX75" s="80"/>
      <c r="AY75" s="84" t="e">
        <f t="shared" si="71"/>
        <v>#DIV/0!</v>
      </c>
      <c r="AZ75" s="80">
        <f t="shared" si="72"/>
        <v>0</v>
      </c>
      <c r="BA75" s="80">
        <f t="shared" si="73"/>
        <v>0</v>
      </c>
      <c r="BB75" s="84" t="e">
        <f t="shared" si="74"/>
        <v>#DIV/0!</v>
      </c>
      <c r="BC75" s="80"/>
      <c r="BD75" s="80"/>
      <c r="BE75" s="84" t="e">
        <f t="shared" si="75"/>
        <v>#DIV/0!</v>
      </c>
      <c r="BF75" s="80">
        <f t="shared" si="76"/>
        <v>0</v>
      </c>
      <c r="BG75" s="80">
        <f t="shared" si="77"/>
        <v>0</v>
      </c>
      <c r="BH75" s="84" t="e">
        <f t="shared" si="78"/>
        <v>#DIV/0!</v>
      </c>
      <c r="BI75" s="88"/>
      <c r="BJ75" s="88"/>
      <c r="BK75" s="84" t="e">
        <f t="shared" si="79"/>
        <v>#DIV/0!</v>
      </c>
      <c r="BL75" s="88">
        <f t="shared" si="80"/>
        <v>0</v>
      </c>
      <c r="BM75" s="88">
        <f t="shared" si="81"/>
        <v>0</v>
      </c>
      <c r="BN75" s="84" t="e">
        <f t="shared" si="82"/>
        <v>#DIV/0!</v>
      </c>
      <c r="BO75" s="80"/>
      <c r="BP75" s="80"/>
      <c r="BQ75" s="80"/>
      <c r="BR75" s="89">
        <f t="shared" si="83"/>
        <v>0</v>
      </c>
    </row>
    <row r="76" s="56" customFormat="1" customHeight="1" spans="1:70">
      <c r="A76" s="62" t="s">
        <v>416</v>
      </c>
      <c r="B76" s="63" t="s">
        <v>416</v>
      </c>
      <c r="C76" s="97" t="s">
        <v>513</v>
      </c>
      <c r="D76" s="83" t="s">
        <v>63</v>
      </c>
      <c r="E76" s="83" t="s">
        <v>63</v>
      </c>
      <c r="F76" s="83" t="s">
        <v>476</v>
      </c>
      <c r="G76" s="83"/>
      <c r="H76" s="63" t="s">
        <v>459</v>
      </c>
      <c r="I76" s="98">
        <v>10</v>
      </c>
      <c r="J76" s="80"/>
      <c r="K76" s="80"/>
      <c r="L76" s="84"/>
      <c r="M76" s="80"/>
      <c r="N76" s="80"/>
      <c r="O76" s="84"/>
      <c r="P76" s="80"/>
      <c r="Q76" s="80"/>
      <c r="R76" s="84"/>
      <c r="S76" s="85"/>
      <c r="T76" s="85"/>
      <c r="U76" s="84"/>
      <c r="V76" s="86"/>
      <c r="W76" s="86"/>
      <c r="X76" s="84"/>
      <c r="Y76" s="80"/>
      <c r="Z76" s="80"/>
      <c r="AA76" s="84"/>
      <c r="AB76" s="80"/>
      <c r="AC76" s="80"/>
      <c r="AD76" s="84"/>
      <c r="AE76" s="80"/>
      <c r="AF76" s="80"/>
      <c r="AG76" s="84" t="e">
        <f t="shared" si="42"/>
        <v>#DIV/0!</v>
      </c>
      <c r="AH76" s="80">
        <f t="shared" si="43"/>
        <v>0</v>
      </c>
      <c r="AI76" s="80">
        <f t="shared" si="44"/>
        <v>0</v>
      </c>
      <c r="AJ76" s="84" t="e">
        <f t="shared" si="45"/>
        <v>#DIV/0!</v>
      </c>
      <c r="AK76" s="87"/>
      <c r="AL76" s="87"/>
      <c r="AM76" s="84" t="e">
        <f t="shared" si="46"/>
        <v>#DIV/0!</v>
      </c>
      <c r="AN76" s="87">
        <f t="shared" si="47"/>
        <v>0</v>
      </c>
      <c r="AO76" s="87">
        <f t="shared" si="48"/>
        <v>0</v>
      </c>
      <c r="AP76" s="84" t="e">
        <f t="shared" si="49"/>
        <v>#DIV/0!</v>
      </c>
      <c r="AQ76" s="85"/>
      <c r="AR76" s="85">
        <v>18490</v>
      </c>
      <c r="AS76" s="84" t="e">
        <f t="shared" si="67"/>
        <v>#DIV/0!</v>
      </c>
      <c r="AT76" s="85">
        <f t="shared" si="68"/>
        <v>0</v>
      </c>
      <c r="AU76" s="85">
        <f t="shared" si="69"/>
        <v>18490</v>
      </c>
      <c r="AV76" s="84" t="e">
        <f t="shared" si="70"/>
        <v>#DIV/0!</v>
      </c>
      <c r="AW76" s="80"/>
      <c r="AX76" s="80">
        <v>3245</v>
      </c>
      <c r="AY76" s="84" t="e">
        <f t="shared" si="71"/>
        <v>#DIV/0!</v>
      </c>
      <c r="AZ76" s="80">
        <f t="shared" si="72"/>
        <v>0</v>
      </c>
      <c r="BA76" s="80">
        <f t="shared" si="73"/>
        <v>21735</v>
      </c>
      <c r="BB76" s="84" t="e">
        <f t="shared" si="74"/>
        <v>#DIV/0!</v>
      </c>
      <c r="BC76" s="80"/>
      <c r="BD76" s="80">
        <v>8850</v>
      </c>
      <c r="BE76" s="84" t="e">
        <f t="shared" si="75"/>
        <v>#DIV/0!</v>
      </c>
      <c r="BF76" s="80">
        <f t="shared" si="76"/>
        <v>0</v>
      </c>
      <c r="BG76" s="80">
        <f t="shared" si="77"/>
        <v>30585</v>
      </c>
      <c r="BH76" s="84" t="e">
        <f t="shared" si="78"/>
        <v>#DIV/0!</v>
      </c>
      <c r="BI76" s="88"/>
      <c r="BJ76" s="88">
        <v>7400</v>
      </c>
      <c r="BK76" s="84" t="e">
        <f t="shared" si="79"/>
        <v>#DIV/0!</v>
      </c>
      <c r="BL76" s="88">
        <f t="shared" si="80"/>
        <v>0</v>
      </c>
      <c r="BM76" s="88">
        <f t="shared" si="81"/>
        <v>37985</v>
      </c>
      <c r="BN76" s="84" t="e">
        <f t="shared" si="82"/>
        <v>#DIV/0!</v>
      </c>
      <c r="BO76" s="80"/>
      <c r="BP76" s="80"/>
      <c r="BQ76" s="80"/>
      <c r="BR76" s="89">
        <f t="shared" si="83"/>
        <v>0.37985</v>
      </c>
    </row>
    <row r="77" s="56" customFormat="1" customHeight="1" spans="1:70">
      <c r="A77" s="62" t="s">
        <v>416</v>
      </c>
      <c r="B77" s="63" t="s">
        <v>416</v>
      </c>
      <c r="C77" s="97" t="s">
        <v>514</v>
      </c>
      <c r="D77" s="83" t="s">
        <v>86</v>
      </c>
      <c r="E77" s="83" t="s">
        <v>86</v>
      </c>
      <c r="F77" s="271" t="s">
        <v>436</v>
      </c>
      <c r="G77" s="272" t="s">
        <v>436</v>
      </c>
      <c r="H77" s="63" t="s">
        <v>437</v>
      </c>
      <c r="I77" s="98">
        <v>100</v>
      </c>
      <c r="J77" s="80"/>
      <c r="K77" s="80"/>
      <c r="L77" s="84"/>
      <c r="M77" s="80"/>
      <c r="N77" s="80"/>
      <c r="O77" s="84"/>
      <c r="P77" s="80"/>
      <c r="Q77" s="80"/>
      <c r="R77" s="84"/>
      <c r="S77" s="85"/>
      <c r="T77" s="85"/>
      <c r="U77" s="84"/>
      <c r="V77" s="86"/>
      <c r="W77" s="86"/>
      <c r="X77" s="84"/>
      <c r="Y77" s="80"/>
      <c r="Z77" s="80"/>
      <c r="AA77" s="84"/>
      <c r="AB77" s="80"/>
      <c r="AC77" s="80"/>
      <c r="AD77" s="84"/>
      <c r="AE77" s="80"/>
      <c r="AF77" s="80"/>
      <c r="AG77" s="84"/>
      <c r="AH77" s="80"/>
      <c r="AI77" s="80"/>
      <c r="AJ77" s="84"/>
      <c r="AK77" s="87"/>
      <c r="AL77" s="87">
        <v>39993.5</v>
      </c>
      <c r="AM77" s="84" t="e">
        <f t="shared" si="46"/>
        <v>#DIV/0!</v>
      </c>
      <c r="AN77" s="87">
        <f t="shared" si="47"/>
        <v>0</v>
      </c>
      <c r="AO77" s="87">
        <f t="shared" si="48"/>
        <v>39993.5</v>
      </c>
      <c r="AP77" s="84" t="e">
        <f t="shared" si="49"/>
        <v>#DIV/0!</v>
      </c>
      <c r="AQ77" s="85"/>
      <c r="AR77" s="85">
        <v>28649</v>
      </c>
      <c r="AS77" s="84" t="e">
        <f t="shared" si="67"/>
        <v>#DIV/0!</v>
      </c>
      <c r="AT77" s="85">
        <f t="shared" si="68"/>
        <v>0</v>
      </c>
      <c r="AU77" s="85">
        <f t="shared" si="69"/>
        <v>68642.5</v>
      </c>
      <c r="AV77" s="84" t="e">
        <f t="shared" si="70"/>
        <v>#DIV/0!</v>
      </c>
      <c r="AW77" s="80"/>
      <c r="AX77" s="80"/>
      <c r="AY77" s="84" t="e">
        <f t="shared" si="71"/>
        <v>#DIV/0!</v>
      </c>
      <c r="AZ77" s="80">
        <f t="shared" si="72"/>
        <v>0</v>
      </c>
      <c r="BA77" s="80">
        <f t="shared" si="73"/>
        <v>68642.5</v>
      </c>
      <c r="BB77" s="84" t="e">
        <f t="shared" si="74"/>
        <v>#DIV/0!</v>
      </c>
      <c r="BC77" s="80"/>
      <c r="BD77" s="80">
        <v>11548</v>
      </c>
      <c r="BE77" s="84" t="e">
        <f t="shared" si="75"/>
        <v>#DIV/0!</v>
      </c>
      <c r="BF77" s="80">
        <f t="shared" si="76"/>
        <v>0</v>
      </c>
      <c r="BG77" s="80">
        <f t="shared" si="77"/>
        <v>80190.5</v>
      </c>
      <c r="BH77" s="84" t="e">
        <f t="shared" si="78"/>
        <v>#DIV/0!</v>
      </c>
      <c r="BI77" s="88"/>
      <c r="BJ77" s="88">
        <v>-152</v>
      </c>
      <c r="BK77" s="84" t="e">
        <f t="shared" si="79"/>
        <v>#DIV/0!</v>
      </c>
      <c r="BL77" s="88">
        <f t="shared" si="80"/>
        <v>0</v>
      </c>
      <c r="BM77" s="88">
        <f t="shared" si="81"/>
        <v>80038.5</v>
      </c>
      <c r="BN77" s="84" t="e">
        <f t="shared" si="82"/>
        <v>#DIV/0!</v>
      </c>
      <c r="BO77" s="80"/>
      <c r="BP77" s="80"/>
      <c r="BQ77" s="80"/>
      <c r="BR77" s="89">
        <f t="shared" si="83"/>
        <v>0.0800385</v>
      </c>
    </row>
    <row r="78" s="56" customFormat="1" customHeight="1" spans="1:70">
      <c r="A78" s="62" t="s">
        <v>416</v>
      </c>
      <c r="B78" s="63" t="s">
        <v>416</v>
      </c>
      <c r="C78" s="97" t="s">
        <v>515</v>
      </c>
      <c r="D78" s="83" t="s">
        <v>63</v>
      </c>
      <c r="E78" s="83" t="s">
        <v>63</v>
      </c>
      <c r="F78" s="83" t="s">
        <v>422</v>
      </c>
      <c r="G78" s="83"/>
      <c r="H78" s="63" t="s">
        <v>423</v>
      </c>
      <c r="I78" s="98">
        <v>10</v>
      </c>
      <c r="J78" s="80"/>
      <c r="K78" s="80"/>
      <c r="L78" s="84"/>
      <c r="M78" s="80"/>
      <c r="N78" s="80"/>
      <c r="O78" s="84"/>
      <c r="P78" s="80"/>
      <c r="Q78" s="80"/>
      <c r="R78" s="84"/>
      <c r="S78" s="85"/>
      <c r="T78" s="85"/>
      <c r="U78" s="84"/>
      <c r="V78" s="86"/>
      <c r="W78" s="86"/>
      <c r="X78" s="84"/>
      <c r="Y78" s="80"/>
      <c r="Z78" s="80"/>
      <c r="AA78" s="84"/>
      <c r="AB78" s="80"/>
      <c r="AC78" s="80"/>
      <c r="AD78" s="84"/>
      <c r="AE78" s="80"/>
      <c r="AF78" s="80"/>
      <c r="AG78" s="84" t="e">
        <f>AF78/AE78-1</f>
        <v>#DIV/0!</v>
      </c>
      <c r="AH78" s="80">
        <f>AE78+AB78</f>
        <v>0</v>
      </c>
      <c r="AI78" s="80">
        <f>AF78+AC78</f>
        <v>0</v>
      </c>
      <c r="AJ78" s="84" t="e">
        <f>AI78/AH78-1</f>
        <v>#DIV/0!</v>
      </c>
      <c r="AK78" s="87"/>
      <c r="AL78" s="87"/>
      <c r="AM78" s="84" t="e">
        <f t="shared" si="46"/>
        <v>#DIV/0!</v>
      </c>
      <c r="AN78" s="87">
        <f t="shared" si="47"/>
        <v>0</v>
      </c>
      <c r="AO78" s="87">
        <f t="shared" si="48"/>
        <v>0</v>
      </c>
      <c r="AP78" s="84" t="e">
        <f t="shared" si="49"/>
        <v>#DIV/0!</v>
      </c>
      <c r="AQ78" s="85"/>
      <c r="AR78" s="85"/>
      <c r="AS78" s="84" t="e">
        <f t="shared" si="67"/>
        <v>#DIV/0!</v>
      </c>
      <c r="AT78" s="85">
        <f t="shared" si="68"/>
        <v>0</v>
      </c>
      <c r="AU78" s="85">
        <f t="shared" si="69"/>
        <v>0</v>
      </c>
      <c r="AV78" s="84" t="e">
        <f t="shared" si="70"/>
        <v>#DIV/0!</v>
      </c>
      <c r="AW78" s="80"/>
      <c r="AX78" s="80"/>
      <c r="AY78" s="84" t="e">
        <f t="shared" si="71"/>
        <v>#DIV/0!</v>
      </c>
      <c r="AZ78" s="80">
        <f t="shared" si="72"/>
        <v>0</v>
      </c>
      <c r="BA78" s="80">
        <f t="shared" si="73"/>
        <v>0</v>
      </c>
      <c r="BB78" s="84" t="e">
        <f t="shared" si="74"/>
        <v>#DIV/0!</v>
      </c>
      <c r="BC78" s="80"/>
      <c r="BD78" s="80"/>
      <c r="BE78" s="84" t="e">
        <f t="shared" si="75"/>
        <v>#DIV/0!</v>
      </c>
      <c r="BF78" s="80">
        <f t="shared" si="76"/>
        <v>0</v>
      </c>
      <c r="BG78" s="80">
        <f t="shared" si="77"/>
        <v>0</v>
      </c>
      <c r="BH78" s="84" t="e">
        <f t="shared" si="78"/>
        <v>#DIV/0!</v>
      </c>
      <c r="BI78" s="88"/>
      <c r="BJ78" s="88"/>
      <c r="BK78" s="84" t="e">
        <f t="shared" si="79"/>
        <v>#DIV/0!</v>
      </c>
      <c r="BL78" s="88">
        <f t="shared" si="80"/>
        <v>0</v>
      </c>
      <c r="BM78" s="88">
        <f t="shared" si="81"/>
        <v>0</v>
      </c>
      <c r="BN78" s="84" t="e">
        <f t="shared" si="82"/>
        <v>#DIV/0!</v>
      </c>
      <c r="BO78" s="80"/>
      <c r="BP78" s="80"/>
      <c r="BQ78" s="80"/>
      <c r="BR78" s="89">
        <f t="shared" si="83"/>
        <v>0</v>
      </c>
    </row>
    <row r="79" s="56" customFormat="1" customHeight="1" spans="1:70">
      <c r="A79" s="62" t="s">
        <v>416</v>
      </c>
      <c r="B79" s="63" t="s">
        <v>416</v>
      </c>
      <c r="C79" s="99" t="s">
        <v>516</v>
      </c>
      <c r="D79" s="83" t="s">
        <v>63</v>
      </c>
      <c r="E79" s="83" t="s">
        <v>63</v>
      </c>
      <c r="F79" s="83" t="s">
        <v>517</v>
      </c>
      <c r="G79" s="83"/>
      <c r="H79" s="63" t="s">
        <v>459</v>
      </c>
      <c r="I79" s="87">
        <v>10</v>
      </c>
      <c r="J79" s="80"/>
      <c r="K79" s="80"/>
      <c r="L79" s="84"/>
      <c r="M79" s="80"/>
      <c r="N79" s="80"/>
      <c r="O79" s="84"/>
      <c r="P79" s="80"/>
      <c r="Q79" s="80"/>
      <c r="R79" s="84"/>
      <c r="S79" s="85"/>
      <c r="T79" s="85"/>
      <c r="U79" s="84"/>
      <c r="V79" s="86"/>
      <c r="W79" s="86"/>
      <c r="X79" s="84"/>
      <c r="Y79" s="80"/>
      <c r="Z79" s="80"/>
      <c r="AA79" s="84"/>
      <c r="AB79" s="80"/>
      <c r="AC79" s="80"/>
      <c r="AD79" s="84"/>
      <c r="AE79" s="80"/>
      <c r="AF79" s="80"/>
      <c r="AG79" s="84"/>
      <c r="AH79" s="80"/>
      <c r="AI79" s="80"/>
      <c r="AJ79" s="84"/>
      <c r="AK79" s="87"/>
      <c r="AL79" s="87"/>
      <c r="AM79" s="84"/>
      <c r="AN79" s="87"/>
      <c r="AO79" s="87"/>
      <c r="AP79" s="84"/>
      <c r="AQ79" s="85"/>
      <c r="AR79" s="85">
        <v>21900</v>
      </c>
      <c r="AS79" s="84" t="e">
        <f t="shared" si="67"/>
        <v>#DIV/0!</v>
      </c>
      <c r="AT79" s="85">
        <f t="shared" si="68"/>
        <v>0</v>
      </c>
      <c r="AU79" s="85">
        <f t="shared" si="69"/>
        <v>21900</v>
      </c>
      <c r="AV79" s="84" t="e">
        <f t="shared" si="70"/>
        <v>#DIV/0!</v>
      </c>
      <c r="AW79" s="80"/>
      <c r="AX79" s="80"/>
      <c r="AY79" s="84" t="e">
        <f t="shared" si="71"/>
        <v>#DIV/0!</v>
      </c>
      <c r="AZ79" s="80">
        <f t="shared" si="72"/>
        <v>0</v>
      </c>
      <c r="BA79" s="80">
        <f t="shared" si="73"/>
        <v>21900</v>
      </c>
      <c r="BB79" s="84" t="e">
        <f t="shared" si="74"/>
        <v>#DIV/0!</v>
      </c>
      <c r="BC79" s="80"/>
      <c r="BD79" s="80"/>
      <c r="BE79" s="84" t="e">
        <f t="shared" si="75"/>
        <v>#DIV/0!</v>
      </c>
      <c r="BF79" s="80">
        <f t="shared" si="76"/>
        <v>0</v>
      </c>
      <c r="BG79" s="80">
        <f t="shared" si="77"/>
        <v>21900</v>
      </c>
      <c r="BH79" s="84" t="e">
        <f t="shared" si="78"/>
        <v>#DIV/0!</v>
      </c>
      <c r="BI79" s="88"/>
      <c r="BJ79" s="88"/>
      <c r="BK79" s="84" t="e">
        <f t="shared" si="79"/>
        <v>#DIV/0!</v>
      </c>
      <c r="BL79" s="88">
        <f t="shared" si="80"/>
        <v>0</v>
      </c>
      <c r="BM79" s="88">
        <f t="shared" si="81"/>
        <v>21900</v>
      </c>
      <c r="BN79" s="84" t="e">
        <f t="shared" si="82"/>
        <v>#DIV/0!</v>
      </c>
      <c r="BO79" s="80"/>
      <c r="BP79" s="80"/>
      <c r="BQ79" s="80"/>
      <c r="BR79" s="89">
        <f t="shared" si="83"/>
        <v>0.219</v>
      </c>
    </row>
    <row r="80" s="56" customFormat="1" customHeight="1" spans="1:70">
      <c r="A80" s="62" t="s">
        <v>416</v>
      </c>
      <c r="B80" s="63" t="s">
        <v>416</v>
      </c>
      <c r="C80" s="99" t="s">
        <v>518</v>
      </c>
      <c r="D80" s="83" t="s">
        <v>63</v>
      </c>
      <c r="E80" s="83" t="s">
        <v>63</v>
      </c>
      <c r="F80" s="83" t="s">
        <v>457</v>
      </c>
      <c r="G80" s="83"/>
      <c r="H80" s="63" t="s">
        <v>459</v>
      </c>
      <c r="I80" s="87">
        <v>10</v>
      </c>
      <c r="J80" s="80"/>
      <c r="K80" s="80"/>
      <c r="L80" s="84"/>
      <c r="M80" s="80"/>
      <c r="N80" s="80"/>
      <c r="O80" s="84"/>
      <c r="P80" s="80"/>
      <c r="Q80" s="80"/>
      <c r="R80" s="84"/>
      <c r="S80" s="85"/>
      <c r="T80" s="85"/>
      <c r="U80" s="84"/>
      <c r="V80" s="86"/>
      <c r="W80" s="86"/>
      <c r="X80" s="84"/>
      <c r="Y80" s="80"/>
      <c r="Z80" s="80"/>
      <c r="AA80" s="84"/>
      <c r="AB80" s="80"/>
      <c r="AC80" s="80"/>
      <c r="AD80" s="84"/>
      <c r="AE80" s="80"/>
      <c r="AF80" s="80"/>
      <c r="AG80" s="84"/>
      <c r="AH80" s="80"/>
      <c r="AI80" s="80"/>
      <c r="AJ80" s="84"/>
      <c r="AK80" s="87"/>
      <c r="AL80" s="87"/>
      <c r="AM80" s="84"/>
      <c r="AN80" s="87"/>
      <c r="AO80" s="87"/>
      <c r="AP80" s="84"/>
      <c r="AQ80" s="85"/>
      <c r="AR80" s="85">
        <v>110500</v>
      </c>
      <c r="AS80" s="84" t="e">
        <f t="shared" si="67"/>
        <v>#DIV/0!</v>
      </c>
      <c r="AT80" s="85">
        <f t="shared" si="68"/>
        <v>0</v>
      </c>
      <c r="AU80" s="85">
        <f t="shared" si="69"/>
        <v>110500</v>
      </c>
      <c r="AV80" s="84" t="e">
        <f t="shared" si="70"/>
        <v>#DIV/0!</v>
      </c>
      <c r="AW80" s="80"/>
      <c r="AX80" s="80"/>
      <c r="AY80" s="84" t="e">
        <f t="shared" si="71"/>
        <v>#DIV/0!</v>
      </c>
      <c r="AZ80" s="80">
        <f t="shared" si="72"/>
        <v>0</v>
      </c>
      <c r="BA80" s="80">
        <f t="shared" si="73"/>
        <v>110500</v>
      </c>
      <c r="BB80" s="84" t="e">
        <f t="shared" si="74"/>
        <v>#DIV/0!</v>
      </c>
      <c r="BC80" s="80"/>
      <c r="BD80" s="80"/>
      <c r="BE80" s="84" t="e">
        <f t="shared" si="75"/>
        <v>#DIV/0!</v>
      </c>
      <c r="BF80" s="80">
        <f t="shared" si="76"/>
        <v>0</v>
      </c>
      <c r="BG80" s="80">
        <f t="shared" si="77"/>
        <v>110500</v>
      </c>
      <c r="BH80" s="84" t="e">
        <f t="shared" si="78"/>
        <v>#DIV/0!</v>
      </c>
      <c r="BI80" s="88"/>
      <c r="BJ80" s="88">
        <v>4800</v>
      </c>
      <c r="BK80" s="84" t="e">
        <f t="shared" si="79"/>
        <v>#DIV/0!</v>
      </c>
      <c r="BL80" s="88">
        <f t="shared" si="80"/>
        <v>0</v>
      </c>
      <c r="BM80" s="88">
        <f t="shared" si="81"/>
        <v>115300</v>
      </c>
      <c r="BN80" s="84" t="e">
        <f t="shared" si="82"/>
        <v>#DIV/0!</v>
      </c>
      <c r="BO80" s="80"/>
      <c r="BP80" s="80"/>
      <c r="BQ80" s="80"/>
      <c r="BR80" s="89">
        <f t="shared" si="83"/>
        <v>1.153</v>
      </c>
    </row>
    <row r="81" s="56" customFormat="1" customHeight="1" spans="1:70">
      <c r="A81" s="62" t="s">
        <v>416</v>
      </c>
      <c r="B81" s="63" t="s">
        <v>416</v>
      </c>
      <c r="C81" s="99" t="s">
        <v>519</v>
      </c>
      <c r="D81" s="83" t="s">
        <v>63</v>
      </c>
      <c r="E81" s="83" t="s">
        <v>63</v>
      </c>
      <c r="F81" s="83" t="s">
        <v>480</v>
      </c>
      <c r="G81" s="83"/>
      <c r="H81" s="63" t="s">
        <v>459</v>
      </c>
      <c r="I81" s="87">
        <v>10</v>
      </c>
      <c r="J81" s="80"/>
      <c r="K81" s="80"/>
      <c r="L81" s="84"/>
      <c r="M81" s="80"/>
      <c r="N81" s="80"/>
      <c r="O81" s="84"/>
      <c r="P81" s="80"/>
      <c r="Q81" s="80"/>
      <c r="R81" s="84"/>
      <c r="S81" s="85"/>
      <c r="T81" s="85"/>
      <c r="U81" s="84"/>
      <c r="V81" s="86"/>
      <c r="W81" s="86"/>
      <c r="X81" s="84"/>
      <c r="Y81" s="80"/>
      <c r="Z81" s="80"/>
      <c r="AA81" s="84"/>
      <c r="AB81" s="80"/>
      <c r="AC81" s="80"/>
      <c r="AD81" s="84"/>
      <c r="AE81" s="80"/>
      <c r="AF81" s="80"/>
      <c r="AG81" s="84"/>
      <c r="AH81" s="80"/>
      <c r="AI81" s="80"/>
      <c r="AJ81" s="84"/>
      <c r="AK81" s="87"/>
      <c r="AL81" s="87"/>
      <c r="AM81" s="84"/>
      <c r="AN81" s="87"/>
      <c r="AO81" s="87"/>
      <c r="AP81" s="84"/>
      <c r="AQ81" s="85"/>
      <c r="AR81" s="85">
        <v>55500</v>
      </c>
      <c r="AS81" s="84" t="e">
        <f t="shared" si="67"/>
        <v>#DIV/0!</v>
      </c>
      <c r="AT81" s="85">
        <f t="shared" si="68"/>
        <v>0</v>
      </c>
      <c r="AU81" s="85">
        <f t="shared" si="69"/>
        <v>55500</v>
      </c>
      <c r="AV81" s="84" t="e">
        <f t="shared" si="70"/>
        <v>#DIV/0!</v>
      </c>
      <c r="AW81" s="80"/>
      <c r="AX81" s="80">
        <v>1067</v>
      </c>
      <c r="AY81" s="84" t="e">
        <f t="shared" si="71"/>
        <v>#DIV/0!</v>
      </c>
      <c r="AZ81" s="80">
        <f t="shared" si="72"/>
        <v>0</v>
      </c>
      <c r="BA81" s="80">
        <f t="shared" si="73"/>
        <v>56567</v>
      </c>
      <c r="BB81" s="84" t="e">
        <f t="shared" si="74"/>
        <v>#DIV/0!</v>
      </c>
      <c r="BC81" s="80"/>
      <c r="BD81" s="80"/>
      <c r="BE81" s="84" t="e">
        <f t="shared" si="75"/>
        <v>#DIV/0!</v>
      </c>
      <c r="BF81" s="80">
        <f t="shared" si="76"/>
        <v>0</v>
      </c>
      <c r="BG81" s="80">
        <f t="shared" si="77"/>
        <v>56567</v>
      </c>
      <c r="BH81" s="84" t="e">
        <f t="shared" si="78"/>
        <v>#DIV/0!</v>
      </c>
      <c r="BI81" s="88"/>
      <c r="BJ81" s="88"/>
      <c r="BK81" s="84" t="e">
        <f t="shared" si="79"/>
        <v>#DIV/0!</v>
      </c>
      <c r="BL81" s="88">
        <f t="shared" si="80"/>
        <v>0</v>
      </c>
      <c r="BM81" s="88">
        <f t="shared" si="81"/>
        <v>56567</v>
      </c>
      <c r="BN81" s="84" t="e">
        <f t="shared" si="82"/>
        <v>#DIV/0!</v>
      </c>
      <c r="BO81" s="80"/>
      <c r="BP81" s="80"/>
      <c r="BQ81" s="80"/>
      <c r="BR81" s="89">
        <f t="shared" si="83"/>
        <v>0.56567</v>
      </c>
    </row>
    <row r="82" s="56" customFormat="1" customHeight="1" spans="1:70">
      <c r="A82" s="62" t="s">
        <v>416</v>
      </c>
      <c r="B82" s="63" t="s">
        <v>416</v>
      </c>
      <c r="C82" s="99" t="s">
        <v>520</v>
      </c>
      <c r="D82" s="83" t="s">
        <v>63</v>
      </c>
      <c r="E82" s="83" t="s">
        <v>63</v>
      </c>
      <c r="F82" s="83" t="s">
        <v>494</v>
      </c>
      <c r="G82" s="80" t="s">
        <v>494</v>
      </c>
      <c r="H82" s="63" t="s">
        <v>459</v>
      </c>
      <c r="I82" s="87">
        <v>10</v>
      </c>
      <c r="J82" s="80"/>
      <c r="K82" s="80"/>
      <c r="L82" s="84"/>
      <c r="M82" s="80"/>
      <c r="N82" s="80"/>
      <c r="O82" s="84"/>
      <c r="P82" s="80"/>
      <c r="Q82" s="80"/>
      <c r="R82" s="84"/>
      <c r="S82" s="85"/>
      <c r="T82" s="85"/>
      <c r="U82" s="84"/>
      <c r="V82" s="86"/>
      <c r="W82" s="86"/>
      <c r="X82" s="84"/>
      <c r="Y82" s="80"/>
      <c r="Z82" s="80"/>
      <c r="AA82" s="84"/>
      <c r="AB82" s="80"/>
      <c r="AC82" s="80"/>
      <c r="AD82" s="84"/>
      <c r="AE82" s="80"/>
      <c r="AF82" s="80"/>
      <c r="AG82" s="84"/>
      <c r="AH82" s="80"/>
      <c r="AI82" s="80"/>
      <c r="AJ82" s="84"/>
      <c r="AK82" s="87"/>
      <c r="AL82" s="87"/>
      <c r="AM82" s="84"/>
      <c r="AN82" s="87"/>
      <c r="AO82" s="87"/>
      <c r="AP82" s="84"/>
      <c r="AQ82" s="85"/>
      <c r="AR82" s="85">
        <v>36798</v>
      </c>
      <c r="AS82" s="84" t="e">
        <f t="shared" si="67"/>
        <v>#DIV/0!</v>
      </c>
      <c r="AT82" s="85">
        <f t="shared" si="68"/>
        <v>0</v>
      </c>
      <c r="AU82" s="85">
        <f t="shared" si="69"/>
        <v>36798</v>
      </c>
      <c r="AV82" s="84" t="e">
        <f t="shared" si="70"/>
        <v>#DIV/0!</v>
      </c>
      <c r="AW82" s="80"/>
      <c r="AX82" s="80">
        <v>4500</v>
      </c>
      <c r="AY82" s="84" t="e">
        <f t="shared" si="71"/>
        <v>#DIV/0!</v>
      </c>
      <c r="AZ82" s="80">
        <f t="shared" si="72"/>
        <v>0</v>
      </c>
      <c r="BA82" s="80">
        <f t="shared" si="73"/>
        <v>41298</v>
      </c>
      <c r="BB82" s="84" t="e">
        <f t="shared" si="74"/>
        <v>#DIV/0!</v>
      </c>
      <c r="BC82" s="80"/>
      <c r="BD82" s="80"/>
      <c r="BE82" s="84" t="e">
        <f t="shared" si="75"/>
        <v>#DIV/0!</v>
      </c>
      <c r="BF82" s="80">
        <f t="shared" si="76"/>
        <v>0</v>
      </c>
      <c r="BG82" s="80">
        <f t="shared" si="77"/>
        <v>41298</v>
      </c>
      <c r="BH82" s="84" t="e">
        <f t="shared" si="78"/>
        <v>#DIV/0!</v>
      </c>
      <c r="BI82" s="88"/>
      <c r="BJ82" s="88">
        <v>32000</v>
      </c>
      <c r="BK82" s="84" t="e">
        <f t="shared" si="79"/>
        <v>#DIV/0!</v>
      </c>
      <c r="BL82" s="88">
        <f t="shared" si="80"/>
        <v>0</v>
      </c>
      <c r="BM82" s="88">
        <f t="shared" si="81"/>
        <v>73298</v>
      </c>
      <c r="BN82" s="84" t="e">
        <f t="shared" si="82"/>
        <v>#DIV/0!</v>
      </c>
      <c r="BO82" s="80"/>
      <c r="BP82" s="80"/>
      <c r="BQ82" s="80"/>
      <c r="BR82" s="89">
        <f t="shared" si="83"/>
        <v>0.73298</v>
      </c>
    </row>
    <row r="83" s="56" customFormat="1" customHeight="1" spans="1:70">
      <c r="A83" s="62" t="s">
        <v>416</v>
      </c>
      <c r="B83" s="63" t="s">
        <v>416</v>
      </c>
      <c r="C83" s="100" t="s">
        <v>521</v>
      </c>
      <c r="D83" s="83" t="s">
        <v>63</v>
      </c>
      <c r="E83" s="83" t="s">
        <v>63</v>
      </c>
      <c r="F83" s="83" t="s">
        <v>466</v>
      </c>
      <c r="G83" s="83"/>
      <c r="H83" s="64" t="s">
        <v>437</v>
      </c>
      <c r="I83" s="87">
        <v>100</v>
      </c>
      <c r="J83" s="80"/>
      <c r="K83" s="80"/>
      <c r="L83" s="84"/>
      <c r="M83" s="80"/>
      <c r="N83" s="80"/>
      <c r="O83" s="84"/>
      <c r="P83" s="80"/>
      <c r="Q83" s="80"/>
      <c r="R83" s="84"/>
      <c r="S83" s="85"/>
      <c r="T83" s="85"/>
      <c r="U83" s="84"/>
      <c r="V83" s="86"/>
      <c r="W83" s="86"/>
      <c r="X83" s="84"/>
      <c r="Y83" s="80"/>
      <c r="Z83" s="80"/>
      <c r="AA83" s="84"/>
      <c r="AB83" s="80"/>
      <c r="AC83" s="80"/>
      <c r="AD83" s="84"/>
      <c r="AE83" s="80"/>
      <c r="AF83" s="80"/>
      <c r="AG83" s="84"/>
      <c r="AH83" s="80"/>
      <c r="AI83" s="80"/>
      <c r="AJ83" s="84"/>
      <c r="AK83" s="87"/>
      <c r="AL83" s="87"/>
      <c r="AM83" s="84"/>
      <c r="AN83" s="87"/>
      <c r="AO83" s="87"/>
      <c r="AP83" s="84"/>
      <c r="AQ83" s="85"/>
      <c r="AR83" s="85"/>
      <c r="AS83" s="84" t="e">
        <f t="shared" si="67"/>
        <v>#DIV/0!</v>
      </c>
      <c r="AT83" s="85">
        <f t="shared" si="68"/>
        <v>0</v>
      </c>
      <c r="AU83" s="85">
        <f t="shared" si="69"/>
        <v>0</v>
      </c>
      <c r="AV83" s="84" t="e">
        <f t="shared" si="70"/>
        <v>#DIV/0!</v>
      </c>
      <c r="AW83" s="80"/>
      <c r="AX83" s="80"/>
      <c r="AY83" s="84" t="e">
        <f t="shared" si="71"/>
        <v>#DIV/0!</v>
      </c>
      <c r="AZ83" s="80">
        <f t="shared" si="72"/>
        <v>0</v>
      </c>
      <c r="BA83" s="80">
        <f t="shared" si="73"/>
        <v>0</v>
      </c>
      <c r="BB83" s="84" t="e">
        <f t="shared" si="74"/>
        <v>#DIV/0!</v>
      </c>
      <c r="BC83" s="80"/>
      <c r="BD83" s="80"/>
      <c r="BE83" s="84" t="e">
        <f t="shared" si="75"/>
        <v>#DIV/0!</v>
      </c>
      <c r="BF83" s="80">
        <f t="shared" si="76"/>
        <v>0</v>
      </c>
      <c r="BG83" s="80">
        <f t="shared" si="77"/>
        <v>0</v>
      </c>
      <c r="BH83" s="84" t="e">
        <f t="shared" si="78"/>
        <v>#DIV/0!</v>
      </c>
      <c r="BI83" s="88"/>
      <c r="BJ83" s="88"/>
      <c r="BK83" s="84" t="e">
        <f t="shared" si="79"/>
        <v>#DIV/0!</v>
      </c>
      <c r="BL83" s="88">
        <f t="shared" si="80"/>
        <v>0</v>
      </c>
      <c r="BM83" s="88">
        <f t="shared" si="81"/>
        <v>0</v>
      </c>
      <c r="BN83" s="84" t="e">
        <f t="shared" si="82"/>
        <v>#DIV/0!</v>
      </c>
      <c r="BO83" s="80"/>
      <c r="BP83" s="80"/>
      <c r="BQ83" s="80"/>
      <c r="BR83" s="89">
        <f t="shared" si="83"/>
        <v>0</v>
      </c>
    </row>
    <row r="84" s="56" customFormat="1" spans="1:70">
      <c r="A84" s="62"/>
      <c r="B84" s="63">
        <v>57</v>
      </c>
      <c r="C84" s="96" t="s">
        <v>32</v>
      </c>
      <c r="D84" s="80"/>
      <c r="E84" s="83"/>
      <c r="F84" s="87"/>
      <c r="G84" s="80"/>
      <c r="H84" s="63"/>
      <c r="I84" s="80">
        <f>SUM(I3:I83)</f>
        <v>1381</v>
      </c>
      <c r="J84" s="80">
        <f>SUM(J3:J78)</f>
        <v>1223845.6</v>
      </c>
      <c r="K84" s="80">
        <f>SUM(K3:K78)</f>
        <v>595578.3</v>
      </c>
      <c r="L84" s="84">
        <f>K84/J84-1</f>
        <v>-0.51335503432786</v>
      </c>
      <c r="M84" s="80">
        <f>SUM(M3:M74)</f>
        <v>355310.4</v>
      </c>
      <c r="N84" s="80">
        <f>SUM(N3:N74)</f>
        <v>470333.56</v>
      </c>
      <c r="O84" s="84">
        <f>N84/M84-1</f>
        <v>0.323725846471142</v>
      </c>
      <c r="P84" s="80">
        <f>SUM(P3:P74)</f>
        <v>1579156</v>
      </c>
      <c r="Q84" s="80">
        <f>SUM(Q3:Q74)</f>
        <v>1065911.86</v>
      </c>
      <c r="R84" s="84">
        <f>Q84/P84-1</f>
        <v>-0.325011677123729</v>
      </c>
      <c r="S84" s="80">
        <f>SUM(S3:S74)</f>
        <v>756633.2</v>
      </c>
      <c r="T84" s="80">
        <f>SUM(T3:T74)</f>
        <v>1014927.78</v>
      </c>
      <c r="U84" s="84">
        <f>T84/S84-1</f>
        <v>0.341373574408313</v>
      </c>
      <c r="V84" s="80">
        <f>SUM(V3:V74)</f>
        <v>2335789.2</v>
      </c>
      <c r="W84" s="80">
        <f>SUM(W3:W74)</f>
        <v>2080839.64</v>
      </c>
      <c r="X84" s="84">
        <f>W84/V84-1</f>
        <v>-0.109149216033707</v>
      </c>
      <c r="Y84" s="80">
        <f>SUM(Y3:Y74)</f>
        <v>683687.2</v>
      </c>
      <c r="Z84" s="80">
        <f>SUM(Z3:Z78)</f>
        <v>937105.26</v>
      </c>
      <c r="AA84" s="84">
        <f>Z84/Y84-1</f>
        <v>0.370663747982996</v>
      </c>
      <c r="AB84" s="80">
        <f t="shared" ref="AB84:AF84" si="84">SUM(AB3:AB74)</f>
        <v>3019476.4</v>
      </c>
      <c r="AC84" s="80">
        <f t="shared" si="84"/>
        <v>3017944.9</v>
      </c>
      <c r="AD84" s="84">
        <f>AC84/AB84-1</f>
        <v>-0.0005072071435962</v>
      </c>
      <c r="AE84" s="80">
        <f t="shared" si="84"/>
        <v>541949.88</v>
      </c>
      <c r="AF84" s="80">
        <f t="shared" si="84"/>
        <v>704690</v>
      </c>
      <c r="AG84" s="84">
        <f>AF84/AE84-1</f>
        <v>0.300286292156758</v>
      </c>
      <c r="AH84" s="80">
        <f>SUM(AH3:AH74)</f>
        <v>3561426.28</v>
      </c>
      <c r="AI84" s="80">
        <f>SUM(AI3:AI74)</f>
        <v>3722634.9</v>
      </c>
      <c r="AJ84" s="84">
        <f>AI84/AH84-1</f>
        <v>0.0452651851605923</v>
      </c>
      <c r="AK84" s="80">
        <f>SUM(AK3:AK74)</f>
        <v>565078.8</v>
      </c>
      <c r="AL84" s="80">
        <f t="shared" ref="AL84:AO84" si="85">SUM(AL3:AL78)</f>
        <v>1078704.88</v>
      </c>
      <c r="AM84" s="84">
        <f>AL84/AK84-1</f>
        <v>0.908945938159421</v>
      </c>
      <c r="AN84" s="80">
        <f t="shared" si="85"/>
        <v>4126505.08</v>
      </c>
      <c r="AO84" s="80">
        <f t="shared" ref="AO84:AR84" si="86">SUM(AO3:AO83)</f>
        <v>4801339.78</v>
      </c>
      <c r="AP84" s="84">
        <f>AO84/AN84-1</f>
        <v>0.163536621648846</v>
      </c>
      <c r="AQ84" s="80">
        <f t="shared" si="86"/>
        <v>611348.06</v>
      </c>
      <c r="AR84" s="80">
        <f t="shared" si="86"/>
        <v>1118070.66</v>
      </c>
      <c r="AS84" s="84">
        <f t="shared" si="67"/>
        <v>0.828861058297952</v>
      </c>
      <c r="AT84" s="80">
        <f t="shared" ref="AT84:AX84" si="87">SUM(AT3:AT83)</f>
        <v>4737853.14</v>
      </c>
      <c r="AU84" s="80">
        <f t="shared" si="87"/>
        <v>5919410.44</v>
      </c>
      <c r="AV84" s="84">
        <f t="shared" si="70"/>
        <v>0.249386645192637</v>
      </c>
      <c r="AW84" s="80">
        <f t="shared" si="87"/>
        <v>565935</v>
      </c>
      <c r="AX84" s="80">
        <f t="shared" si="87"/>
        <v>529250</v>
      </c>
      <c r="AY84" s="84">
        <f t="shared" si="71"/>
        <v>-0.0648219318472969</v>
      </c>
      <c r="AZ84" s="80">
        <f t="shared" ref="AZ84:BD84" si="88">SUM(AZ3:AZ83)</f>
        <v>5303788.14</v>
      </c>
      <c r="BA84" s="80">
        <f t="shared" si="88"/>
        <v>6448660.44</v>
      </c>
      <c r="BB84" s="84">
        <f t="shared" si="74"/>
        <v>0.215859357459176</v>
      </c>
      <c r="BC84" s="80">
        <f t="shared" si="88"/>
        <v>1201478.64</v>
      </c>
      <c r="BD84" s="80">
        <f t="shared" si="88"/>
        <v>574943.16</v>
      </c>
      <c r="BE84" s="84">
        <f t="shared" si="75"/>
        <v>-0.521470344241825</v>
      </c>
      <c r="BF84" s="80">
        <f t="shared" ref="BF84:BJ84" si="89">SUM(BF3:BF83)</f>
        <v>6505266.78</v>
      </c>
      <c r="BG84" s="80">
        <f t="shared" si="89"/>
        <v>7023603.6</v>
      </c>
      <c r="BH84" s="84">
        <f t="shared" si="78"/>
        <v>0.0796795638871552</v>
      </c>
      <c r="BI84" s="80">
        <f t="shared" si="89"/>
        <v>2091707.07</v>
      </c>
      <c r="BJ84" s="80">
        <f t="shared" si="89"/>
        <v>407028.36</v>
      </c>
      <c r="BK84" s="84">
        <f t="shared" si="79"/>
        <v>-0.805408526921506</v>
      </c>
      <c r="BL84" s="80">
        <f>SUM(BL3:BL83)</f>
        <v>8596973.85</v>
      </c>
      <c r="BM84" s="80">
        <f>SUM(BM3:BM83)</f>
        <v>7430631.96</v>
      </c>
      <c r="BN84" s="84">
        <f t="shared" si="82"/>
        <v>-0.135668888884662</v>
      </c>
      <c r="BO84" s="88">
        <v>1301604.23</v>
      </c>
      <c r="BP84" s="88">
        <v>1864182.71</v>
      </c>
      <c r="BQ84" s="88">
        <v>11762760.79</v>
      </c>
      <c r="BR84" s="89">
        <f t="shared" si="83"/>
        <v>0.538061691527878</v>
      </c>
    </row>
  </sheetData>
  <autoFilter xmlns:etc="http://www.wps.cn/officeDocument/2017/etCustomData" ref="A2:BR84" etc:filterBottomFollowUsedRange="0">
    <extLst/>
  </autoFilter>
  <mergeCells count="46"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AZ1:BA1"/>
    <mergeCell ref="BC1:BD1"/>
    <mergeCell ref="BF1:BG1"/>
    <mergeCell ref="BI1:BJ1"/>
    <mergeCell ref="BL1:BM1"/>
    <mergeCell ref="C1:C2"/>
    <mergeCell ref="D1:D2"/>
    <mergeCell ref="E1:E2"/>
    <mergeCell ref="F1:F2"/>
    <mergeCell ref="G1:G2"/>
    <mergeCell ref="H1:H2"/>
    <mergeCell ref="I1:I2"/>
    <mergeCell ref="L1:L2"/>
    <mergeCell ref="O1:O2"/>
    <mergeCell ref="R1:R2"/>
    <mergeCell ref="U1:U2"/>
    <mergeCell ref="X1:X2"/>
    <mergeCell ref="AA1:AA2"/>
    <mergeCell ref="AD1:AD2"/>
    <mergeCell ref="AG1:AG2"/>
    <mergeCell ref="AJ1:AJ2"/>
    <mergeCell ref="AM1:AM2"/>
    <mergeCell ref="AP1:AP2"/>
    <mergeCell ref="AS1:AS2"/>
    <mergeCell ref="AV1:AV2"/>
    <mergeCell ref="AY1:AY2"/>
    <mergeCell ref="BB1:BB2"/>
    <mergeCell ref="BE1:BE2"/>
    <mergeCell ref="BH1:BH2"/>
    <mergeCell ref="BK1:BK2"/>
    <mergeCell ref="BN1:BN2"/>
    <mergeCell ref="BR1:BR2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0000"/>
  </sheetPr>
  <dimension ref="A1:CL15"/>
  <sheetViews>
    <sheetView workbookViewId="0">
      <pane xSplit="1" ySplit="2" topLeftCell="AT3" activePane="bottomRight" state="frozen"/>
      <selection/>
      <selection pane="topRight"/>
      <selection pane="bottomLeft"/>
      <selection pane="bottomRight" activeCell="BD8" sqref="BD8:BE8"/>
    </sheetView>
  </sheetViews>
  <sheetFormatPr defaultColWidth="9" defaultRowHeight="14"/>
  <cols>
    <col min="1" max="1" width="21.3727272727273" customWidth="1"/>
    <col min="2" max="4" width="9" customWidth="1"/>
    <col min="5" max="5" width="9" style="21" customWidth="1"/>
    <col min="6" max="8" width="9" customWidth="1"/>
    <col min="9" max="9" width="14.5090909090909" customWidth="1"/>
    <col min="10" max="20" width="9" customWidth="1"/>
    <col min="21" max="21" width="11.2545454545455" customWidth="1"/>
    <col min="22" max="28" width="9" customWidth="1"/>
    <col min="29" max="32" width="9" style="7" customWidth="1"/>
    <col min="33" max="33" width="11.1272727272727" style="7" customWidth="1"/>
    <col min="34" max="34" width="9" style="7" customWidth="1"/>
    <col min="35" max="58" width="9" customWidth="1"/>
    <col min="59" max="60" width="9" hidden="1" customWidth="1"/>
    <col min="61" max="61" width="15.1272727272727" hidden="1" customWidth="1"/>
  </cols>
  <sheetData>
    <row r="1" spans="1:90">
      <c r="A1" s="22" t="s">
        <v>48</v>
      </c>
      <c r="B1" s="22" t="s">
        <v>3</v>
      </c>
      <c r="C1" s="22"/>
      <c r="D1" s="22" t="s">
        <v>4</v>
      </c>
      <c r="E1" s="22" t="s">
        <v>5</v>
      </c>
      <c r="F1" s="22"/>
      <c r="G1" s="22" t="s">
        <v>4</v>
      </c>
      <c r="H1" s="22" t="s">
        <v>40</v>
      </c>
      <c r="I1" s="22"/>
      <c r="J1" s="22" t="s">
        <v>4</v>
      </c>
      <c r="K1" s="23" t="s">
        <v>6</v>
      </c>
      <c r="L1" s="23"/>
      <c r="M1" s="24" t="s">
        <v>4</v>
      </c>
      <c r="N1" s="23" t="s">
        <v>7</v>
      </c>
      <c r="O1" s="23"/>
      <c r="P1" s="24" t="s">
        <v>4</v>
      </c>
      <c r="Q1" s="23" t="s">
        <v>8</v>
      </c>
      <c r="R1" s="23"/>
      <c r="S1" s="24" t="s">
        <v>4</v>
      </c>
      <c r="T1" s="23" t="s">
        <v>9</v>
      </c>
      <c r="U1" s="23"/>
      <c r="V1" s="24" t="s">
        <v>4</v>
      </c>
      <c r="W1" s="23" t="s">
        <v>10</v>
      </c>
      <c r="X1" s="23"/>
      <c r="Y1" s="24" t="s">
        <v>4</v>
      </c>
      <c r="Z1" s="23" t="s">
        <v>11</v>
      </c>
      <c r="AA1" s="23"/>
      <c r="AB1" s="24" t="s">
        <v>4</v>
      </c>
      <c r="AC1" s="23" t="s">
        <v>12</v>
      </c>
      <c r="AD1" s="23"/>
      <c r="AE1" s="24" t="s">
        <v>4</v>
      </c>
      <c r="AF1" s="23" t="s">
        <v>13</v>
      </c>
      <c r="AG1" s="23"/>
      <c r="AH1" s="24" t="s">
        <v>4</v>
      </c>
      <c r="AI1" s="23" t="s">
        <v>14</v>
      </c>
      <c r="AJ1" s="23"/>
      <c r="AK1" s="24" t="s">
        <v>4</v>
      </c>
      <c r="AL1" s="23" t="s">
        <v>41</v>
      </c>
      <c r="AM1" s="23"/>
      <c r="AN1" s="24" t="s">
        <v>4</v>
      </c>
      <c r="AO1" s="23" t="s">
        <v>15</v>
      </c>
      <c r="AP1" s="23"/>
      <c r="AQ1" s="24" t="s">
        <v>4</v>
      </c>
      <c r="AR1" s="23" t="s">
        <v>42</v>
      </c>
      <c r="AS1" s="23"/>
      <c r="AT1" s="24" t="s">
        <v>4</v>
      </c>
      <c r="AU1" s="25" t="s">
        <v>16</v>
      </c>
      <c r="AV1" s="26"/>
      <c r="AW1" s="24" t="s">
        <v>4</v>
      </c>
      <c r="AX1" s="25" t="s">
        <v>18</v>
      </c>
      <c r="AY1" s="26"/>
      <c r="AZ1" s="24" t="s">
        <v>4</v>
      </c>
      <c r="BA1" s="25" t="s">
        <v>19</v>
      </c>
      <c r="BB1" s="26"/>
      <c r="BC1" s="24" t="s">
        <v>4</v>
      </c>
      <c r="BD1" s="25" t="s">
        <v>20</v>
      </c>
      <c r="BE1" s="26"/>
      <c r="BF1" s="24" t="s">
        <v>4</v>
      </c>
      <c r="BG1" s="27" t="s">
        <v>43</v>
      </c>
      <c r="BH1" s="27" t="s">
        <v>44</v>
      </c>
      <c r="BI1" s="22" t="s">
        <v>522</v>
      </c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</row>
    <row r="2" spans="1:90">
      <c r="A2" s="22"/>
      <c r="B2" s="29" t="s">
        <v>22</v>
      </c>
      <c r="C2" s="29" t="s">
        <v>23</v>
      </c>
      <c r="D2" s="22"/>
      <c r="E2" s="29" t="s">
        <v>22</v>
      </c>
      <c r="F2" s="29" t="s">
        <v>23</v>
      </c>
      <c r="G2" s="22"/>
      <c r="H2" s="29" t="s">
        <v>22</v>
      </c>
      <c r="I2" s="29" t="s">
        <v>23</v>
      </c>
      <c r="J2" s="22"/>
      <c r="K2" s="30" t="s">
        <v>22</v>
      </c>
      <c r="L2" s="30" t="s">
        <v>23</v>
      </c>
      <c r="M2" s="24"/>
      <c r="N2" s="30" t="s">
        <v>22</v>
      </c>
      <c r="O2" s="30" t="s">
        <v>23</v>
      </c>
      <c r="P2" s="24"/>
      <c r="Q2" s="30" t="s">
        <v>22</v>
      </c>
      <c r="R2" s="30" t="s">
        <v>23</v>
      </c>
      <c r="S2" s="24"/>
      <c r="T2" s="30" t="s">
        <v>22</v>
      </c>
      <c r="U2" s="30" t="s">
        <v>23</v>
      </c>
      <c r="V2" s="24"/>
      <c r="W2" s="30" t="s">
        <v>22</v>
      </c>
      <c r="X2" s="30" t="s">
        <v>23</v>
      </c>
      <c r="Y2" s="24"/>
      <c r="Z2" s="30" t="s">
        <v>22</v>
      </c>
      <c r="AA2" s="30" t="s">
        <v>23</v>
      </c>
      <c r="AB2" s="24"/>
      <c r="AC2" s="30" t="s">
        <v>22</v>
      </c>
      <c r="AD2" s="30" t="s">
        <v>23</v>
      </c>
      <c r="AE2" s="24"/>
      <c r="AF2" s="30" t="s">
        <v>22</v>
      </c>
      <c r="AG2" s="30" t="s">
        <v>23</v>
      </c>
      <c r="AH2" s="24"/>
      <c r="AI2" s="30" t="s">
        <v>22</v>
      </c>
      <c r="AJ2" s="30" t="s">
        <v>23</v>
      </c>
      <c r="AK2" s="24"/>
      <c r="AL2" s="30" t="s">
        <v>22</v>
      </c>
      <c r="AM2" s="30" t="s">
        <v>23</v>
      </c>
      <c r="AN2" s="24"/>
      <c r="AO2" s="30" t="s">
        <v>22</v>
      </c>
      <c r="AP2" s="30" t="s">
        <v>23</v>
      </c>
      <c r="AQ2" s="24"/>
      <c r="AR2" s="30" t="s">
        <v>22</v>
      </c>
      <c r="AS2" s="30" t="s">
        <v>23</v>
      </c>
      <c r="AT2" s="24"/>
      <c r="AU2" s="29" t="s">
        <v>22</v>
      </c>
      <c r="AV2" s="30" t="s">
        <v>23</v>
      </c>
      <c r="AW2" s="24"/>
      <c r="AX2" s="29" t="s">
        <v>22</v>
      </c>
      <c r="AY2" s="30" t="s">
        <v>23</v>
      </c>
      <c r="AZ2" s="24"/>
      <c r="BA2" s="29" t="s">
        <v>22</v>
      </c>
      <c r="BB2" s="30" t="s">
        <v>23</v>
      </c>
      <c r="BC2" s="24"/>
      <c r="BD2" s="29" t="s">
        <v>22</v>
      </c>
      <c r="BE2" s="30" t="s">
        <v>23</v>
      </c>
      <c r="BF2" s="24"/>
      <c r="BG2" s="29" t="s">
        <v>22</v>
      </c>
      <c r="BH2" s="29" t="s">
        <v>22</v>
      </c>
      <c r="BI2" s="29" t="s">
        <v>22</v>
      </c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</row>
    <row r="3" spans="1:90">
      <c r="A3" s="31" t="s">
        <v>38</v>
      </c>
      <c r="B3" s="29">
        <v>159223.48</v>
      </c>
      <c r="C3" s="29">
        <v>10985.2</v>
      </c>
      <c r="D3" s="32">
        <f>C3/B3-1</f>
        <v>-0.931007662940164</v>
      </c>
      <c r="E3" s="29">
        <v>17619.22</v>
      </c>
      <c r="F3" s="29">
        <v>3564.8</v>
      </c>
      <c r="G3" s="32">
        <f>F3/E3-1</f>
        <v>-0.797675493012744</v>
      </c>
      <c r="H3" s="29">
        <f>E3+B3</f>
        <v>176842.7</v>
      </c>
      <c r="I3" s="29">
        <f>F3+C3</f>
        <v>14550</v>
      </c>
      <c r="J3" s="32">
        <f>I3/H3-1</f>
        <v>-0.91772349098945</v>
      </c>
      <c r="K3" s="33">
        <v>15307.5</v>
      </c>
      <c r="L3" s="33">
        <v>165.6</v>
      </c>
      <c r="M3" s="32">
        <f>L3/K3-1</f>
        <v>-0.989181773640372</v>
      </c>
      <c r="N3" s="33">
        <f>H3+K3</f>
        <v>192150.2</v>
      </c>
      <c r="O3" s="33">
        <f>L3+I3</f>
        <v>14715.6</v>
      </c>
      <c r="P3" s="32">
        <f>O3/N3-1</f>
        <v>-0.92341616089913</v>
      </c>
      <c r="Q3" s="33">
        <v>26789.68</v>
      </c>
      <c r="R3" s="33"/>
      <c r="S3" s="32">
        <f>R3/Q3-1</f>
        <v>-1</v>
      </c>
      <c r="T3" s="33">
        <f>Q3+N3</f>
        <v>218939.88</v>
      </c>
      <c r="U3" s="33">
        <f>R3+O3</f>
        <v>14715.6</v>
      </c>
      <c r="V3" s="32">
        <f>U3/T3-1</f>
        <v>-0.932787028110183</v>
      </c>
      <c r="W3" s="34">
        <v>7356.6</v>
      </c>
      <c r="X3" s="34"/>
      <c r="Y3" s="34"/>
      <c r="Z3" s="34">
        <f t="shared" ref="Z3:Z7" si="0">W3+T3</f>
        <v>226296.48</v>
      </c>
      <c r="AA3" s="34">
        <f t="shared" ref="AA3:AA7" si="1">X3+U3</f>
        <v>14715.6</v>
      </c>
      <c r="AB3" s="32">
        <f t="shared" ref="AB3:AB8" si="2">AA3/Z3-1</f>
        <v>-0.934972033148726</v>
      </c>
      <c r="AC3" s="35">
        <v>10109.2</v>
      </c>
      <c r="AD3" s="35">
        <v>6590.6</v>
      </c>
      <c r="AE3" s="32">
        <f t="shared" ref="AE3:AE8" si="3">AD3/AC3-1</f>
        <v>-0.348059193605824</v>
      </c>
      <c r="AF3" s="36">
        <f>AC3+Z3</f>
        <v>236405.68</v>
      </c>
      <c r="AG3" s="36">
        <f>AD3+AA3</f>
        <v>21306.2</v>
      </c>
      <c r="AH3" s="32">
        <f>AG3/AF3-1</f>
        <v>-0.909874415876979</v>
      </c>
      <c r="AI3" s="34">
        <v>30218.12</v>
      </c>
      <c r="AJ3" s="34">
        <v>10907.2</v>
      </c>
      <c r="AK3" s="32">
        <f t="shared" ref="AK3:AK8" si="4">AJ3/AI3-1</f>
        <v>-0.639051006482203</v>
      </c>
      <c r="AL3" s="34">
        <f>AI3+AF3</f>
        <v>266623.8</v>
      </c>
      <c r="AM3" s="34">
        <f>AJ3+AG3</f>
        <v>32213.4</v>
      </c>
      <c r="AN3" s="32">
        <f t="shared" ref="AN3:AN8" si="5">AM3/AL3-1</f>
        <v>-0.879180328237764</v>
      </c>
      <c r="AO3" s="37">
        <v>18456</v>
      </c>
      <c r="AP3" s="37">
        <v>4860.8</v>
      </c>
      <c r="AQ3" s="32">
        <f t="shared" ref="AQ3:AQ8" si="6">AP3/AO3-1</f>
        <v>-0.736627654963156</v>
      </c>
      <c r="AR3" s="38">
        <f t="shared" ref="AR3:AR7" si="7">AO3+AL3</f>
        <v>285079.8</v>
      </c>
      <c r="AS3" s="38">
        <f t="shared" ref="AS3:AS7" si="8">AP3+AM3</f>
        <v>37074.2</v>
      </c>
      <c r="AT3" s="32">
        <f t="shared" ref="AT3:AT8" si="9">AS3/AR3-1</f>
        <v>-0.869951501298935</v>
      </c>
      <c r="AU3" s="34">
        <v>32843.62</v>
      </c>
      <c r="AV3" s="34">
        <v>6872.6</v>
      </c>
      <c r="AW3" s="32">
        <f t="shared" ref="AW3:AW8" si="10">AV3/AU3-1</f>
        <v>-0.79074779211305</v>
      </c>
      <c r="AX3" s="34">
        <f t="shared" ref="AX3:AX7" si="11">AU3+AR3</f>
        <v>317923.42</v>
      </c>
      <c r="AY3" s="34">
        <f t="shared" ref="AY3:AY7" si="12">AV3+AS3</f>
        <v>43946.8</v>
      </c>
      <c r="AZ3" s="32">
        <f t="shared" ref="AZ3:AZ8" si="13">AY3/AX3-1</f>
        <v>-0.861769227318956</v>
      </c>
      <c r="BA3" s="34">
        <v>6011.6</v>
      </c>
      <c r="BB3" s="34">
        <v>9287</v>
      </c>
      <c r="BC3" s="32">
        <f t="shared" ref="BC3:BC8" si="14">BB3/BA3-1</f>
        <v>0.544846629848958</v>
      </c>
      <c r="BD3" s="34">
        <f t="shared" ref="BD3:BD7" si="15">BA3+AX3</f>
        <v>323935.02</v>
      </c>
      <c r="BE3" s="34">
        <f t="shared" ref="BE3:BE7" si="16">BB3+AY3</f>
        <v>53233.8</v>
      </c>
      <c r="BF3" s="32">
        <f t="shared" ref="BF3:BF8" si="17">BE3/BD3-1</f>
        <v>-0.835665189889009</v>
      </c>
      <c r="BG3" s="37">
        <v>3455.76</v>
      </c>
      <c r="BH3" s="33">
        <v>11124.36</v>
      </c>
      <c r="BI3" s="33">
        <v>329302.08</v>
      </c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</row>
    <row r="4" ht="15" spans="1:90">
      <c r="A4" s="40"/>
      <c r="B4" s="40"/>
      <c r="C4" s="40"/>
      <c r="D4" s="40"/>
      <c r="E4" s="41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2"/>
      <c r="AD4" s="42"/>
      <c r="AE4" s="42"/>
      <c r="AF4" s="42"/>
      <c r="AG4" s="42"/>
      <c r="AH4" s="42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</row>
    <row r="5" ht="15" spans="1:90">
      <c r="A5" s="40"/>
      <c r="B5" s="40"/>
      <c r="C5" s="40"/>
      <c r="D5" s="40"/>
      <c r="E5" s="41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2"/>
      <c r="AD5" s="42"/>
      <c r="AE5" s="42"/>
      <c r="AF5" s="42"/>
      <c r="AG5" s="42"/>
      <c r="AH5" s="42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</row>
    <row r="6" ht="15" spans="1:90">
      <c r="A6" s="43" t="s">
        <v>523</v>
      </c>
      <c r="B6" s="44"/>
      <c r="C6" s="44">
        <v>646534</v>
      </c>
      <c r="D6" s="45" t="e">
        <f>C6/B6-1</f>
        <v>#DIV/0!</v>
      </c>
      <c r="E6" s="44"/>
      <c r="F6" s="44">
        <v>486138</v>
      </c>
      <c r="G6" s="45" t="e">
        <f>F6/E6-1</f>
        <v>#DIV/0!</v>
      </c>
      <c r="H6" s="44">
        <f>B6+E6</f>
        <v>0</v>
      </c>
      <c r="I6" s="44">
        <f>C6+F6</f>
        <v>1132672</v>
      </c>
      <c r="J6" s="45" t="e">
        <f>I6/H6-1</f>
        <v>#DIV/0!</v>
      </c>
      <c r="K6" s="29"/>
      <c r="L6" s="29">
        <v>376210</v>
      </c>
      <c r="M6" s="45" t="e">
        <f>L6/K6-1</f>
        <v>#DIV/0!</v>
      </c>
      <c r="N6" s="29"/>
      <c r="O6" s="29">
        <f>L6+I6</f>
        <v>1508882</v>
      </c>
      <c r="P6" s="45" t="e">
        <f>O6/N6-1</f>
        <v>#DIV/0!</v>
      </c>
      <c r="Q6" s="36">
        <v>127164</v>
      </c>
      <c r="R6" s="36">
        <v>332230</v>
      </c>
      <c r="S6" s="32">
        <f>R6/Q6-1</f>
        <v>1.61261048724482</v>
      </c>
      <c r="T6" s="36">
        <f>Q6+N6</f>
        <v>127164</v>
      </c>
      <c r="U6" s="36">
        <f>R6+O6</f>
        <v>1841112</v>
      </c>
      <c r="V6" s="32">
        <f>U6/T6-1</f>
        <v>13.4782485609135</v>
      </c>
      <c r="W6" s="46">
        <v>237373</v>
      </c>
      <c r="X6" s="46">
        <v>255957</v>
      </c>
      <c r="Y6" s="32">
        <f t="shared" ref="Y6:Y8" si="18">X6/W6-1</f>
        <v>0.0782902857528025</v>
      </c>
      <c r="Z6" s="34">
        <f t="shared" si="0"/>
        <v>364537</v>
      </c>
      <c r="AA6" s="34">
        <f t="shared" si="1"/>
        <v>2097069</v>
      </c>
      <c r="AB6" s="32">
        <f t="shared" si="2"/>
        <v>4.75269177065702</v>
      </c>
      <c r="AC6" s="36">
        <v>205722</v>
      </c>
      <c r="AD6" s="36">
        <v>226469</v>
      </c>
      <c r="AE6" s="32">
        <f t="shared" si="3"/>
        <v>0.100849690358834</v>
      </c>
      <c r="AF6" s="36">
        <f>AC6+Z6</f>
        <v>570259</v>
      </c>
      <c r="AG6" s="36">
        <f>AD6+AA6</f>
        <v>2323538</v>
      </c>
      <c r="AH6" s="32">
        <f t="shared" ref="AH6:AH8" si="19">AG6/AF6-1</f>
        <v>3.07453104641926</v>
      </c>
      <c r="AI6" s="36">
        <v>377153</v>
      </c>
      <c r="AJ6" s="36">
        <v>310892</v>
      </c>
      <c r="AK6" s="32">
        <f t="shared" si="4"/>
        <v>-0.175687320530395</v>
      </c>
      <c r="AL6" s="34">
        <f>AI6+AF6</f>
        <v>947412</v>
      </c>
      <c r="AM6" s="34">
        <f>AJ6+AG6</f>
        <v>2634430</v>
      </c>
      <c r="AN6" s="32">
        <f t="shared" si="5"/>
        <v>1.78065931189388</v>
      </c>
      <c r="AO6" s="47">
        <v>425201</v>
      </c>
      <c r="AP6" s="3">
        <v>323634</v>
      </c>
      <c r="AQ6" s="32">
        <f t="shared" si="6"/>
        <v>-0.238868205860287</v>
      </c>
      <c r="AR6" s="38">
        <f t="shared" si="7"/>
        <v>1372613</v>
      </c>
      <c r="AS6" s="38">
        <f t="shared" si="8"/>
        <v>2958064</v>
      </c>
      <c r="AT6" s="32">
        <f t="shared" si="9"/>
        <v>1.15506045768181</v>
      </c>
      <c r="AU6" s="47">
        <v>574651.12</v>
      </c>
      <c r="AV6" s="47">
        <v>496087</v>
      </c>
      <c r="AW6" s="32">
        <f t="shared" si="10"/>
        <v>-0.136716204433744</v>
      </c>
      <c r="AX6" s="34">
        <f t="shared" si="11"/>
        <v>1947264.12</v>
      </c>
      <c r="AY6" s="34">
        <f t="shared" si="12"/>
        <v>3454151</v>
      </c>
      <c r="AZ6" s="32">
        <f t="shared" si="13"/>
        <v>0.773848223527068</v>
      </c>
      <c r="BA6" s="48">
        <v>522761</v>
      </c>
      <c r="BB6" s="48">
        <v>532345</v>
      </c>
      <c r="BC6" s="32">
        <f t="shared" si="14"/>
        <v>0.0183334257911358</v>
      </c>
      <c r="BD6" s="34">
        <f t="shared" si="15"/>
        <v>2470025.12</v>
      </c>
      <c r="BE6" s="34">
        <f t="shared" si="16"/>
        <v>3986496</v>
      </c>
      <c r="BF6" s="32">
        <f t="shared" si="17"/>
        <v>0.613949577970284</v>
      </c>
      <c r="BG6" s="48">
        <v>840306</v>
      </c>
      <c r="BH6" s="48">
        <v>897576</v>
      </c>
      <c r="BI6" s="48">
        <v>4207907.12</v>
      </c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</row>
    <row r="7" ht="15" spans="1:90">
      <c r="A7" s="49" t="s">
        <v>524</v>
      </c>
      <c r="B7" s="50"/>
      <c r="C7" s="50"/>
      <c r="D7" s="50"/>
      <c r="E7" s="50"/>
      <c r="F7" s="50"/>
      <c r="G7" s="50"/>
      <c r="H7" s="50"/>
      <c r="I7" s="50"/>
      <c r="J7" s="50"/>
      <c r="K7" s="33"/>
      <c r="L7" s="33"/>
      <c r="M7" s="33"/>
      <c r="N7" s="33"/>
      <c r="O7" s="33"/>
      <c r="P7" s="33"/>
      <c r="Q7" s="50"/>
      <c r="R7" s="50"/>
      <c r="S7" s="50"/>
      <c r="T7" s="50"/>
      <c r="U7" s="50"/>
      <c r="V7" s="50"/>
      <c r="W7" s="50"/>
      <c r="X7" s="50">
        <f>16675+575</f>
        <v>17250</v>
      </c>
      <c r="Y7" s="32" t="e">
        <f t="shared" si="18"/>
        <v>#DIV/0!</v>
      </c>
      <c r="Z7" s="34">
        <f t="shared" si="0"/>
        <v>0</v>
      </c>
      <c r="AA7" s="34">
        <f t="shared" si="1"/>
        <v>17250</v>
      </c>
      <c r="AB7" s="32" t="e">
        <f t="shared" si="2"/>
        <v>#DIV/0!</v>
      </c>
      <c r="AC7" s="51"/>
      <c r="AD7" s="51">
        <v>125345</v>
      </c>
      <c r="AE7" s="32" t="e">
        <f t="shared" si="3"/>
        <v>#DIV/0!</v>
      </c>
      <c r="AF7" s="36">
        <f>AC7+Z7</f>
        <v>0</v>
      </c>
      <c r="AG7" s="36">
        <f>AD7+AA7</f>
        <v>142595</v>
      </c>
      <c r="AH7" s="32" t="e">
        <f t="shared" si="19"/>
        <v>#DIV/0!</v>
      </c>
      <c r="AI7" s="50"/>
      <c r="AJ7" s="50"/>
      <c r="AK7" s="50"/>
      <c r="AL7" s="50"/>
      <c r="AM7" s="34">
        <f>AJ7+AG7</f>
        <v>142595</v>
      </c>
      <c r="AN7" s="50"/>
      <c r="AO7" s="40"/>
      <c r="AP7" s="3">
        <v>27770</v>
      </c>
      <c r="AQ7" s="50"/>
      <c r="AR7" s="38">
        <f t="shared" si="7"/>
        <v>0</v>
      </c>
      <c r="AS7" s="38">
        <f t="shared" si="8"/>
        <v>170365</v>
      </c>
      <c r="AT7" s="32" t="e">
        <f t="shared" si="9"/>
        <v>#DIV/0!</v>
      </c>
      <c r="AU7" s="40"/>
      <c r="AV7" s="52">
        <v>37958</v>
      </c>
      <c r="AW7" s="32" t="e">
        <f t="shared" si="10"/>
        <v>#DIV/0!</v>
      </c>
      <c r="AX7" s="34">
        <f t="shared" si="11"/>
        <v>0</v>
      </c>
      <c r="AY7" s="34">
        <f t="shared" si="12"/>
        <v>208323</v>
      </c>
      <c r="AZ7" s="32" t="e">
        <f t="shared" si="13"/>
        <v>#DIV/0!</v>
      </c>
      <c r="BA7" s="40"/>
      <c r="BB7" s="40"/>
      <c r="BC7" s="32" t="e">
        <f t="shared" si="14"/>
        <v>#DIV/0!</v>
      </c>
      <c r="BD7" s="34">
        <f t="shared" si="15"/>
        <v>0</v>
      </c>
      <c r="BE7" s="34">
        <f t="shared" si="16"/>
        <v>208323</v>
      </c>
      <c r="BF7" s="32" t="e">
        <f t="shared" si="17"/>
        <v>#DIV/0!</v>
      </c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</row>
    <row r="8" s="20" customFormat="1" ht="13" spans="1:90">
      <c r="A8" s="53"/>
      <c r="B8" s="54"/>
      <c r="C8" s="54">
        <f>SUM(C6:C7)</f>
        <v>646534</v>
      </c>
      <c r="D8" s="54"/>
      <c r="E8" s="54"/>
      <c r="F8" s="54">
        <f>SUM(F6:F7)</f>
        <v>486138</v>
      </c>
      <c r="G8" s="54"/>
      <c r="H8" s="54"/>
      <c r="I8" s="54">
        <f>SUM(I6:I7)</f>
        <v>1132672</v>
      </c>
      <c r="J8" s="54"/>
      <c r="K8" s="54"/>
      <c r="L8" s="54">
        <f>SUM(L6:L7)</f>
        <v>376210</v>
      </c>
      <c r="M8" s="54"/>
      <c r="N8" s="54"/>
      <c r="O8" s="54">
        <f>SUM(O6:O7)</f>
        <v>1508882</v>
      </c>
      <c r="P8" s="54"/>
      <c r="Q8" s="54"/>
      <c r="R8" s="54">
        <f>SUM(R6:R7)</f>
        <v>332230</v>
      </c>
      <c r="S8" s="54"/>
      <c r="T8" s="54"/>
      <c r="U8" s="54">
        <f>SUM(U6:U7)</f>
        <v>1841112</v>
      </c>
      <c r="V8" s="54"/>
      <c r="W8" s="54">
        <f t="shared" ref="W8:AA8" si="20">SUM(W6:W7)</f>
        <v>237373</v>
      </c>
      <c r="X8" s="54">
        <f t="shared" si="20"/>
        <v>273207</v>
      </c>
      <c r="Y8" s="32">
        <f t="shared" si="18"/>
        <v>0.150960724260973</v>
      </c>
      <c r="Z8" s="54">
        <f t="shared" si="20"/>
        <v>364537</v>
      </c>
      <c r="AA8" s="54">
        <f t="shared" si="20"/>
        <v>2114319</v>
      </c>
      <c r="AB8" s="32">
        <f t="shared" si="2"/>
        <v>4.80001207010537</v>
      </c>
      <c r="AC8" s="54">
        <f t="shared" ref="AC8:AG8" si="21">SUM(AC6:AC7)</f>
        <v>205722</v>
      </c>
      <c r="AD8" s="54">
        <f t="shared" si="21"/>
        <v>351814</v>
      </c>
      <c r="AE8" s="32">
        <f t="shared" si="3"/>
        <v>0.710142814088916</v>
      </c>
      <c r="AF8" s="54">
        <f t="shared" si="21"/>
        <v>570259</v>
      </c>
      <c r="AG8" s="54">
        <f t="shared" si="21"/>
        <v>2466133</v>
      </c>
      <c r="AH8" s="32">
        <f t="shared" si="19"/>
        <v>3.32458409249131</v>
      </c>
      <c r="AI8" s="54">
        <f t="shared" ref="AI8:AM8" si="22">SUM(AI6:AI7)</f>
        <v>377153</v>
      </c>
      <c r="AJ8" s="54">
        <f t="shared" si="22"/>
        <v>310892</v>
      </c>
      <c r="AK8" s="32">
        <f t="shared" si="4"/>
        <v>-0.175687320530395</v>
      </c>
      <c r="AL8" s="54">
        <f t="shared" si="22"/>
        <v>947412</v>
      </c>
      <c r="AM8" s="54">
        <f t="shared" si="22"/>
        <v>2777025</v>
      </c>
      <c r="AN8" s="32">
        <f t="shared" si="5"/>
        <v>1.93116933287735</v>
      </c>
      <c r="AO8" s="54">
        <f t="shared" ref="AO8:AS8" si="23">SUM(AO6:AO7)</f>
        <v>425201</v>
      </c>
      <c r="AP8" s="54">
        <f t="shared" si="23"/>
        <v>351404</v>
      </c>
      <c r="AQ8" s="32">
        <f t="shared" si="6"/>
        <v>-0.1735579173144</v>
      </c>
      <c r="AR8" s="54">
        <f t="shared" si="23"/>
        <v>1372613</v>
      </c>
      <c r="AS8" s="54">
        <f t="shared" si="23"/>
        <v>3128429</v>
      </c>
      <c r="AT8" s="32">
        <f t="shared" si="9"/>
        <v>1.27917774347176</v>
      </c>
      <c r="AU8" s="54">
        <f t="shared" ref="AU8:AY8" si="24">SUM(AU6:AU7)</f>
        <v>574651.12</v>
      </c>
      <c r="AV8" s="54">
        <f t="shared" si="24"/>
        <v>534045</v>
      </c>
      <c r="AW8" s="32">
        <f t="shared" si="10"/>
        <v>-0.0706622132747257</v>
      </c>
      <c r="AX8" s="54">
        <f t="shared" si="24"/>
        <v>1947264.12</v>
      </c>
      <c r="AY8" s="54">
        <f t="shared" si="24"/>
        <v>3662474</v>
      </c>
      <c r="AZ8" s="32">
        <f t="shared" si="13"/>
        <v>0.880830629180391</v>
      </c>
      <c r="BA8" s="54">
        <f t="shared" ref="BA8:BE8" si="25">SUM(BA6:BA7)</f>
        <v>522761</v>
      </c>
      <c r="BB8" s="54">
        <f t="shared" si="25"/>
        <v>532345</v>
      </c>
      <c r="BC8" s="32">
        <f t="shared" si="14"/>
        <v>0.0183334257911358</v>
      </c>
      <c r="BD8" s="54">
        <f t="shared" si="25"/>
        <v>2470025.12</v>
      </c>
      <c r="BE8" s="54">
        <f t="shared" si="25"/>
        <v>4194819</v>
      </c>
      <c r="BF8" s="32">
        <f t="shared" si="17"/>
        <v>0.698290015771176</v>
      </c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</row>
    <row r="9" ht="15" spans="1:90">
      <c r="A9" s="40"/>
      <c r="B9" s="40"/>
      <c r="C9" s="40"/>
      <c r="D9" s="40"/>
      <c r="E9" s="41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2"/>
      <c r="AD9" s="42"/>
      <c r="AE9" s="42"/>
      <c r="AF9" s="42"/>
      <c r="AG9" s="42"/>
      <c r="AH9" s="42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</row>
    <row r="10" ht="15" spans="1:90">
      <c r="A10" s="55"/>
      <c r="B10" s="40"/>
      <c r="C10" s="40"/>
      <c r="D10" s="40"/>
      <c r="E10" s="41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2"/>
      <c r="AD10" s="42"/>
      <c r="AE10" s="42"/>
      <c r="AF10" s="42"/>
      <c r="AG10" s="42"/>
      <c r="AH10" s="42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</row>
    <row r="11" spans="1:90">
      <c r="U11">
        <f>Q8+W8+AC8</f>
        <v>443095</v>
      </c>
      <c r="V11">
        <f>R8+X8+AD8</f>
        <v>957251</v>
      </c>
    </row>
    <row r="13" spans="1:90">
      <c r="AD13" s="3"/>
    </row>
    <row r="14" spans="1:90">
      <c r="AD14" s="3"/>
      <c r="AO14" s="3"/>
    </row>
    <row r="15" spans="1:90">
      <c r="AO15" s="3"/>
    </row>
  </sheetData>
  <mergeCells count="39">
    <mergeCell ref="B1:C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X1:AY1"/>
    <mergeCell ref="BA1:BB1"/>
    <mergeCell ref="BD1:BE1"/>
    <mergeCell ref="A1:A2"/>
    <mergeCell ref="D1:D2"/>
    <mergeCell ref="G1:G2"/>
    <mergeCell ref="J1:J2"/>
    <mergeCell ref="M1:M2"/>
    <mergeCell ref="P1:P2"/>
    <mergeCell ref="S1:S2"/>
    <mergeCell ref="V1:V2"/>
    <mergeCell ref="Y1:Y2"/>
    <mergeCell ref="AB1:AB2"/>
    <mergeCell ref="AE1:AE2"/>
    <mergeCell ref="AH1:AH2"/>
    <mergeCell ref="AK1:AK2"/>
    <mergeCell ref="AN1:AN2"/>
    <mergeCell ref="AQ1:AQ2"/>
    <mergeCell ref="AT1:AT2"/>
    <mergeCell ref="AW1:AW2"/>
    <mergeCell ref="AZ1:AZ2"/>
    <mergeCell ref="BC1:BC2"/>
    <mergeCell ref="BF1:BF2"/>
  </mergeCells>
  <pageMargins left="0.7" right="0.7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7"/>
  <sheetViews>
    <sheetView workbookViewId="0">
      <selection activeCell="A1" sqref="A1:O1"/>
    </sheetView>
  </sheetViews>
  <sheetFormatPr defaultColWidth="11.5" defaultRowHeight="14"/>
  <cols>
    <col min="1" max="1" width="6" customWidth="1"/>
    <col min="2" max="2" width="9.25454545454545" customWidth="1"/>
    <col min="3" max="3" width="11.2545454545455" customWidth="1"/>
    <col min="4" max="6" width="9.37272727272727" customWidth="1"/>
    <col min="7" max="8" width="10" style="5" customWidth="1"/>
    <col min="9" max="9" width="10" customWidth="1"/>
    <col min="10" max="11" width="10" style="6" customWidth="1"/>
    <col min="12" max="12" width="10" style="7" customWidth="1"/>
    <col min="13" max="14" width="8" style="5" customWidth="1"/>
    <col min="15" max="15" width="8.75454545454545" customWidth="1"/>
    <col min="16" max="16376" width="11.5" customWidth="1"/>
  </cols>
  <sheetData>
    <row r="1" customFormat="1" ht="30" customHeight="1" spans="1:15">
      <c r="A1" s="8" t="s">
        <v>525</v>
      </c>
      <c r="B1" s="8"/>
      <c r="C1" s="8"/>
      <c r="D1" s="8"/>
      <c r="E1" s="8"/>
      <c r="F1" s="8"/>
      <c r="G1" s="9"/>
      <c r="H1" s="9"/>
      <c r="I1" s="8"/>
      <c r="J1" s="10"/>
      <c r="K1" s="10"/>
      <c r="L1" s="11"/>
      <c r="M1" s="9"/>
      <c r="N1" s="9"/>
      <c r="O1" s="8"/>
    </row>
    <row r="2" customFormat="1" ht="21" customHeight="1" spans="1:15">
      <c r="A2" s="12" t="s">
        <v>1</v>
      </c>
      <c r="B2" s="12" t="s">
        <v>163</v>
      </c>
      <c r="C2" s="12" t="s">
        <v>526</v>
      </c>
      <c r="D2" s="12" t="s">
        <v>527</v>
      </c>
      <c r="E2" s="12"/>
      <c r="F2" s="12" t="s">
        <v>528</v>
      </c>
      <c r="G2" s="9" t="s">
        <v>17</v>
      </c>
      <c r="H2" s="9"/>
      <c r="I2" s="8" t="s">
        <v>4</v>
      </c>
      <c r="J2" s="9" t="s">
        <v>19</v>
      </c>
      <c r="K2" s="9"/>
      <c r="L2" s="8" t="s">
        <v>4</v>
      </c>
      <c r="M2" s="9" t="s">
        <v>20</v>
      </c>
      <c r="N2" s="9"/>
      <c r="O2" s="8" t="s">
        <v>4</v>
      </c>
    </row>
    <row r="3" customFormat="1" ht="18" customHeight="1" spans="1:15">
      <c r="A3" s="12"/>
      <c r="B3" s="12"/>
      <c r="C3" s="12"/>
      <c r="D3" s="12" t="s">
        <v>529</v>
      </c>
      <c r="E3" s="12" t="s">
        <v>530</v>
      </c>
      <c r="F3" s="12"/>
      <c r="G3" s="9" t="s">
        <v>531</v>
      </c>
      <c r="H3" s="9" t="s">
        <v>527</v>
      </c>
      <c r="I3" s="8"/>
      <c r="J3" s="9" t="s">
        <v>531</v>
      </c>
      <c r="K3" s="9" t="s">
        <v>527</v>
      </c>
      <c r="L3" s="8"/>
      <c r="M3" s="9" t="s">
        <v>531</v>
      </c>
      <c r="N3" s="9" t="s">
        <v>527</v>
      </c>
      <c r="O3" s="8"/>
    </row>
    <row r="4" customFormat="1" ht="16.5" spans="1:15">
      <c r="A4" s="13" t="s">
        <v>25</v>
      </c>
      <c r="B4" s="13" t="s">
        <v>76</v>
      </c>
      <c r="C4" s="14">
        <v>32</v>
      </c>
      <c r="D4" s="14">
        <v>2.3359</v>
      </c>
      <c r="E4" s="14">
        <v>10.0505</v>
      </c>
      <c r="F4" s="15">
        <f t="shared" ref="F4:F67" si="0">E4/D4-1</f>
        <v>3.30262425617535</v>
      </c>
      <c r="G4" s="16">
        <v>10.6991</v>
      </c>
      <c r="H4" s="16">
        <v>4.9962</v>
      </c>
      <c r="I4" s="17">
        <f>H4/G4-1</f>
        <v>-0.533026142385808</v>
      </c>
      <c r="J4" s="16">
        <f>VLOOKUP(B4,Sheet1!A:B,2,0)</f>
        <v>7.5532</v>
      </c>
      <c r="K4" s="16">
        <f>VLOOKUP(B4,Sheet1!A:C,3,0)</f>
        <v>0</v>
      </c>
      <c r="L4" s="17">
        <f>K4/J4-1</f>
        <v>-1</v>
      </c>
      <c r="M4" s="14">
        <f>VLOOKUP(B4,Sheet1!A:D,4,0)</f>
        <v>25.5141</v>
      </c>
      <c r="N4" s="14">
        <f>VLOOKUP(B4,Sheet1!A:E,5,0)</f>
        <v>17.3826</v>
      </c>
      <c r="O4" s="17">
        <f t="shared" ref="O4:O67" si="1">N4/M4-1</f>
        <v>-0.318706127200254</v>
      </c>
    </row>
    <row r="5" customFormat="1" ht="16.5" spans="1:15">
      <c r="A5" s="13"/>
      <c r="B5" s="13" t="s">
        <v>70</v>
      </c>
      <c r="C5" s="14">
        <v>86.1</v>
      </c>
      <c r="D5" s="14">
        <v>16.4</v>
      </c>
      <c r="E5" s="14">
        <v>27.584</v>
      </c>
      <c r="F5" s="15">
        <f t="shared" si="0"/>
        <v>0.681951219512195</v>
      </c>
      <c r="G5" s="16">
        <v>40.5</v>
      </c>
      <c r="H5" s="16">
        <v>15.35</v>
      </c>
      <c r="I5" s="17">
        <f t="shared" ref="I5:I36" si="2">H5/G5-1</f>
        <v>-0.620987654320988</v>
      </c>
      <c r="J5" s="16">
        <f>VLOOKUP(B5,Sheet1!A:B,2,0)</f>
        <v>21.9169</v>
      </c>
      <c r="K5" s="16">
        <f>VLOOKUP(B5,Sheet1!A:C,3,0)</f>
        <v>3.4</v>
      </c>
      <c r="L5" s="17">
        <f t="shared" ref="L5:L36" si="3">K5/J5-1</f>
        <v>-0.844868571741441</v>
      </c>
      <c r="M5" s="14">
        <f>VLOOKUP(B5,Sheet1!A:D,4,0)</f>
        <v>185.561888</v>
      </c>
      <c r="N5" s="14">
        <f>VLOOKUP(B5,Sheet1!A:E,5,0)</f>
        <v>62.734</v>
      </c>
      <c r="O5" s="17">
        <f t="shared" si="1"/>
        <v>-0.661924112347898</v>
      </c>
    </row>
    <row r="6" customFormat="1" ht="16.5" spans="1:15">
      <c r="A6" s="13"/>
      <c r="B6" s="13" t="s">
        <v>78</v>
      </c>
      <c r="C6" s="14">
        <v>515.4</v>
      </c>
      <c r="D6" s="14">
        <v>536.568327</v>
      </c>
      <c r="E6" s="14">
        <v>603.413741</v>
      </c>
      <c r="F6" s="15">
        <f t="shared" si="0"/>
        <v>0.12457950019849</v>
      </c>
      <c r="G6" s="16">
        <v>431.888734</v>
      </c>
      <c r="H6" s="16">
        <v>347.937726</v>
      </c>
      <c r="I6" s="17">
        <f t="shared" si="2"/>
        <v>-0.194381101869631</v>
      </c>
      <c r="J6" s="16">
        <f>VLOOKUP(B6,Sheet1!A:B,2,0)</f>
        <v>271.034933</v>
      </c>
      <c r="K6" s="16">
        <f>VLOOKUP(B6,Sheet1!A:C,3,0)</f>
        <v>126.791869</v>
      </c>
      <c r="L6" s="17">
        <f t="shared" si="3"/>
        <v>-0.53219362686359</v>
      </c>
      <c r="M6" s="14">
        <f>VLOOKUP(B6,Sheet1!A:D,4,0)</f>
        <v>1421.296429</v>
      </c>
      <c r="N6" s="14">
        <f>VLOOKUP(B6,Sheet1!A:E,5,0)</f>
        <v>1614.711663</v>
      </c>
      <c r="O6" s="15">
        <f t="shared" si="1"/>
        <v>0.136083669847875</v>
      </c>
    </row>
    <row r="7" customFormat="1" ht="16.5" spans="1:15">
      <c r="A7" s="13"/>
      <c r="B7" s="13" t="s">
        <v>74</v>
      </c>
      <c r="C7" s="14">
        <v>44.4</v>
      </c>
      <c r="D7" s="14">
        <v>0</v>
      </c>
      <c r="E7" s="14">
        <v>0</v>
      </c>
      <c r="F7" s="15" t="e">
        <f t="shared" si="0"/>
        <v>#DIV/0!</v>
      </c>
      <c r="G7" s="16">
        <v>0</v>
      </c>
      <c r="H7" s="16">
        <v>0</v>
      </c>
      <c r="I7" s="15" t="e">
        <f t="shared" si="2"/>
        <v>#DIV/0!</v>
      </c>
      <c r="J7" s="16">
        <f>VLOOKUP(B7,Sheet1!A:B,2,0)</f>
        <v>0</v>
      </c>
      <c r="K7" s="16">
        <f>VLOOKUP(B7,Sheet1!A:C,3,0)</f>
        <v>0</v>
      </c>
      <c r="L7" s="15" t="e">
        <f t="shared" si="3"/>
        <v>#DIV/0!</v>
      </c>
      <c r="M7" s="14">
        <f>VLOOKUP(B7,Sheet1!A:D,4,0)</f>
        <v>3</v>
      </c>
      <c r="N7" s="14">
        <f>VLOOKUP(B7,Sheet1!A:E,5,0)</f>
        <v>0</v>
      </c>
      <c r="O7" s="17">
        <f t="shared" si="1"/>
        <v>-1</v>
      </c>
    </row>
    <row r="8" customFormat="1" ht="16.5" spans="1:15">
      <c r="A8" s="13"/>
      <c r="B8" s="13" t="s">
        <v>68</v>
      </c>
      <c r="C8" s="14">
        <v>65.6</v>
      </c>
      <c r="D8" s="14">
        <v>16.4361</v>
      </c>
      <c r="E8" s="14">
        <v>9.725374</v>
      </c>
      <c r="F8" s="15">
        <f t="shared" si="0"/>
        <v>-0.408291869725786</v>
      </c>
      <c r="G8" s="16">
        <v>4.3506</v>
      </c>
      <c r="H8" s="16">
        <v>14</v>
      </c>
      <c r="I8" s="15">
        <f t="shared" si="2"/>
        <v>2.217946949846</v>
      </c>
      <c r="J8" s="16">
        <f>VLOOKUP(B8,Sheet1!A:B,2,0)</f>
        <v>8.9609</v>
      </c>
      <c r="K8" s="16">
        <f>VLOOKUP(B8,Sheet1!A:C,3,0)</f>
        <v>4</v>
      </c>
      <c r="L8" s="17">
        <f t="shared" si="3"/>
        <v>-0.553616266223259</v>
      </c>
      <c r="M8" s="14">
        <f>VLOOKUP(B8,Sheet1!A:D,4,0)</f>
        <v>122.6251</v>
      </c>
      <c r="N8" s="14">
        <f>VLOOKUP(B8,Sheet1!A:E,5,0)</f>
        <v>44.161474</v>
      </c>
      <c r="O8" s="17">
        <f t="shared" si="1"/>
        <v>-0.639865949140918</v>
      </c>
    </row>
    <row r="9" customFormat="1" ht="16.5" spans="1:15">
      <c r="A9" s="13"/>
      <c r="B9" s="13" t="s">
        <v>64</v>
      </c>
      <c r="C9" s="14">
        <v>114.2</v>
      </c>
      <c r="D9" s="14">
        <v>32.2581</v>
      </c>
      <c r="E9" s="14">
        <v>49.331</v>
      </c>
      <c r="F9" s="15">
        <f t="shared" si="0"/>
        <v>0.529259317814751</v>
      </c>
      <c r="G9" s="16">
        <v>62.6801</v>
      </c>
      <c r="H9" s="16">
        <v>37.455</v>
      </c>
      <c r="I9" s="17">
        <f t="shared" si="2"/>
        <v>-0.402441923353664</v>
      </c>
      <c r="J9" s="16">
        <f>VLOOKUP(B9,Sheet1!A:B,2,0)</f>
        <v>28.51984</v>
      </c>
      <c r="K9" s="16">
        <f>VLOOKUP(B9,Sheet1!A:C,3,0)</f>
        <v>14.9284</v>
      </c>
      <c r="L9" s="17">
        <f t="shared" si="3"/>
        <v>-0.476560878321898</v>
      </c>
      <c r="M9" s="14">
        <f>VLOOKUP(B9,Sheet1!A:D,4,0)</f>
        <v>185.30364</v>
      </c>
      <c r="N9" s="14">
        <f>VLOOKUP(B9,Sheet1!A:E,5,0)</f>
        <v>133.9725</v>
      </c>
      <c r="O9" s="17">
        <f t="shared" si="1"/>
        <v>-0.277010964274636</v>
      </c>
    </row>
    <row r="10" customFormat="1" ht="16.5" spans="1:15">
      <c r="A10" s="13"/>
      <c r="B10" s="13" t="s">
        <v>72</v>
      </c>
      <c r="C10" s="14">
        <v>46.1</v>
      </c>
      <c r="D10" s="14">
        <v>38.118</v>
      </c>
      <c r="E10" s="14">
        <v>46.5</v>
      </c>
      <c r="F10" s="15">
        <f t="shared" si="0"/>
        <v>0.219896112073036</v>
      </c>
      <c r="G10" s="16">
        <v>0.6799</v>
      </c>
      <c r="H10" s="16">
        <v>4</v>
      </c>
      <c r="I10" s="15">
        <f t="shared" si="2"/>
        <v>4.88321812031181</v>
      </c>
      <c r="J10" s="16">
        <f>VLOOKUP(B10,Sheet1!A:B,2,0)</f>
        <v>13.702</v>
      </c>
      <c r="K10" s="16">
        <f>VLOOKUP(B10,Sheet1!A:C,3,0)</f>
        <v>10</v>
      </c>
      <c r="L10" s="17">
        <f t="shared" si="3"/>
        <v>-0.270179535834185</v>
      </c>
      <c r="M10" s="14">
        <f>VLOOKUP(B10,Sheet1!A:D,4,0)</f>
        <v>108.0477</v>
      </c>
      <c r="N10" s="14">
        <f>VLOOKUP(B10,Sheet1!A:E,5,0)</f>
        <v>98.618</v>
      </c>
      <c r="O10" s="17">
        <f t="shared" si="1"/>
        <v>-0.0872734912450706</v>
      </c>
    </row>
    <row r="11" customFormat="1" ht="16.5" spans="1:15">
      <c r="A11" s="13"/>
      <c r="B11" s="13" t="s">
        <v>59</v>
      </c>
      <c r="C11" s="14">
        <v>216.4</v>
      </c>
      <c r="D11" s="14">
        <v>96.067405</v>
      </c>
      <c r="E11" s="14">
        <v>285.048375</v>
      </c>
      <c r="F11" s="15">
        <f t="shared" si="0"/>
        <v>1.96717055071905</v>
      </c>
      <c r="G11" s="16">
        <v>145.49556</v>
      </c>
      <c r="H11" s="16">
        <v>162.09337</v>
      </c>
      <c r="I11" s="15">
        <f t="shared" si="2"/>
        <v>0.114077776668924</v>
      </c>
      <c r="J11" s="16">
        <f>VLOOKUP(B11,Sheet1!A:B,2,0)</f>
        <v>84.8396</v>
      </c>
      <c r="K11" s="16">
        <f>VLOOKUP(B11,Sheet1!A:C,3,0)</f>
        <v>65.09019</v>
      </c>
      <c r="L11" s="17">
        <f t="shared" si="3"/>
        <v>-0.232785279515698</v>
      </c>
      <c r="M11" s="14">
        <f>VLOOKUP(B11,Sheet1!A:D,4,0)</f>
        <v>515.788172</v>
      </c>
      <c r="N11" s="14">
        <f>VLOOKUP(B11,Sheet1!A:E,5,0)</f>
        <v>608.29934</v>
      </c>
      <c r="O11" s="15">
        <f t="shared" si="1"/>
        <v>0.17935883958192</v>
      </c>
    </row>
    <row r="12" customFormat="1" ht="16.5" spans="1:15">
      <c r="A12" s="13"/>
      <c r="B12" s="13" t="s">
        <v>532</v>
      </c>
      <c r="C12" s="14">
        <v>142.2</v>
      </c>
      <c r="D12" s="14"/>
      <c r="E12" s="14"/>
      <c r="F12" s="15" t="e">
        <f t="shared" si="0"/>
        <v>#DIV/0!</v>
      </c>
      <c r="G12" s="16">
        <v>0</v>
      </c>
      <c r="H12" s="16">
        <v>0</v>
      </c>
      <c r="I12" s="15" t="e">
        <f t="shared" si="2"/>
        <v>#DIV/0!</v>
      </c>
      <c r="J12" s="16"/>
      <c r="K12" s="16"/>
      <c r="L12" s="15" t="e">
        <f t="shared" si="3"/>
        <v>#DIV/0!</v>
      </c>
      <c r="M12" s="14"/>
      <c r="N12" s="14"/>
      <c r="O12" s="15" t="e">
        <f t="shared" si="1"/>
        <v>#DIV/0!</v>
      </c>
    </row>
    <row r="13" s="4" customFormat="1" ht="16.5" spans="1:15">
      <c r="A13" s="12"/>
      <c r="B13" s="12" t="s">
        <v>32</v>
      </c>
      <c r="C13" s="18">
        <f>SUM(C4:C12)</f>
        <v>1262.4</v>
      </c>
      <c r="D13" s="18">
        <f>SUM(D4:D12)</f>
        <v>738.183832</v>
      </c>
      <c r="E13" s="18">
        <f>SUM(E4:E12)</f>
        <v>1031.65299</v>
      </c>
      <c r="F13" s="19">
        <f t="shared" si="0"/>
        <v>0.397555656569839</v>
      </c>
      <c r="G13" s="18">
        <v>696.293994</v>
      </c>
      <c r="H13" s="18">
        <v>585.832296</v>
      </c>
      <c r="I13" s="19">
        <f t="shared" si="2"/>
        <v>-0.158642324868308</v>
      </c>
      <c r="J13" s="18">
        <f t="shared" ref="J13:N13" si="4">SUM(J4:J12)</f>
        <v>436.527373</v>
      </c>
      <c r="K13" s="18">
        <f t="shared" si="4"/>
        <v>224.210459</v>
      </c>
      <c r="L13" s="19">
        <f t="shared" si="3"/>
        <v>-0.486377091408653</v>
      </c>
      <c r="M13" s="18">
        <f t="shared" si="4"/>
        <v>2567.137029</v>
      </c>
      <c r="N13" s="18">
        <f t="shared" si="4"/>
        <v>2579.879577</v>
      </c>
      <c r="O13" s="19">
        <f t="shared" si="1"/>
        <v>0.00496371944935237</v>
      </c>
    </row>
    <row r="14" customFormat="1" ht="16.5" spans="1:15">
      <c r="A14" s="13" t="s">
        <v>28</v>
      </c>
      <c r="B14" s="13" t="s">
        <v>156</v>
      </c>
      <c r="C14" s="14">
        <v>60.4</v>
      </c>
      <c r="D14" s="14">
        <v>0</v>
      </c>
      <c r="E14" s="14">
        <v>0</v>
      </c>
      <c r="F14" s="15" t="e">
        <f t="shared" si="0"/>
        <v>#DIV/0!</v>
      </c>
      <c r="G14" s="16">
        <v>0</v>
      </c>
      <c r="H14" s="16">
        <v>0</v>
      </c>
      <c r="I14" s="15" t="e">
        <f t="shared" si="2"/>
        <v>#DIV/0!</v>
      </c>
      <c r="J14" s="16">
        <f>VLOOKUP(B14,Sheet1!A:B,2,0)</f>
        <v>0</v>
      </c>
      <c r="K14" s="16">
        <f>VLOOKUP(B14,Sheet1!A:C,3,0)</f>
        <v>0</v>
      </c>
      <c r="L14" s="15" t="e">
        <f t="shared" si="3"/>
        <v>#DIV/0!</v>
      </c>
      <c r="M14" s="14">
        <f>VLOOKUP(B14,Sheet1!A:D,4,0)</f>
        <v>1.6674</v>
      </c>
      <c r="N14" s="14">
        <f>VLOOKUP(B14,Sheet1!A:E,5,0)</f>
        <v>0</v>
      </c>
      <c r="O14" s="17">
        <f t="shared" si="1"/>
        <v>-1</v>
      </c>
    </row>
    <row r="15" customFormat="1" ht="16.5" spans="1:15">
      <c r="A15" s="13"/>
      <c r="B15" s="13" t="s">
        <v>146</v>
      </c>
      <c r="C15" s="14">
        <v>56.1</v>
      </c>
      <c r="D15" s="14">
        <v>15.4154</v>
      </c>
      <c r="E15" s="14">
        <v>5.6123</v>
      </c>
      <c r="F15" s="15">
        <f t="shared" si="0"/>
        <v>-0.635929006058876</v>
      </c>
      <c r="G15" s="16">
        <v>0.274626</v>
      </c>
      <c r="H15" s="16">
        <v>15.9471</v>
      </c>
      <c r="I15" s="15">
        <f t="shared" si="2"/>
        <v>57.0684276070001</v>
      </c>
      <c r="J15" s="16">
        <f>VLOOKUP(B15,Sheet1!A:B,2,0)</f>
        <v>3.5103</v>
      </c>
      <c r="K15" s="16">
        <f>VLOOKUP(B15,Sheet1!A:C,3,0)</f>
        <v>0</v>
      </c>
      <c r="L15" s="17">
        <f t="shared" si="3"/>
        <v>-1</v>
      </c>
      <c r="M15" s="14">
        <f>VLOOKUP(B15,Sheet1!A:D,4,0)</f>
        <v>36.788926</v>
      </c>
      <c r="N15" s="14">
        <f>VLOOKUP(B15,Sheet1!A:E,5,0)</f>
        <v>36.9748</v>
      </c>
      <c r="O15" s="15">
        <f t="shared" si="1"/>
        <v>0.00505244431435714</v>
      </c>
    </row>
    <row r="16" customFormat="1" ht="16.5" spans="1:15">
      <c r="A16" s="13"/>
      <c r="B16" s="13" t="s">
        <v>143</v>
      </c>
      <c r="C16" s="14">
        <v>106</v>
      </c>
      <c r="D16" s="14">
        <v>97.060104</v>
      </c>
      <c r="E16" s="14">
        <v>86.508308</v>
      </c>
      <c r="F16" s="15">
        <f t="shared" si="0"/>
        <v>-0.108714039704717</v>
      </c>
      <c r="G16" s="16">
        <v>80.27447</v>
      </c>
      <c r="H16" s="16">
        <v>66.8533</v>
      </c>
      <c r="I16" s="17">
        <f t="shared" si="2"/>
        <v>-0.16719101353145</v>
      </c>
      <c r="J16" s="16">
        <f>VLOOKUP(B16,Sheet1!A:B,2,0)</f>
        <v>44.933464</v>
      </c>
      <c r="K16" s="16">
        <f>VLOOKUP(B16,Sheet1!A:C,3,0)</f>
        <v>19.6308</v>
      </c>
      <c r="L16" s="17">
        <f t="shared" si="3"/>
        <v>-0.563114030113503</v>
      </c>
      <c r="M16" s="14">
        <f>VLOOKUP(B16,Sheet1!A:D,4,0)</f>
        <v>304.755708</v>
      </c>
      <c r="N16" s="14">
        <f>VLOOKUP(B16,Sheet1!A:E,5,0)</f>
        <v>270.052512</v>
      </c>
      <c r="O16" s="17">
        <f t="shared" si="1"/>
        <v>-0.113872177252214</v>
      </c>
    </row>
    <row r="17" customFormat="1" ht="16.5" spans="1:15">
      <c r="A17" s="13"/>
      <c r="B17" s="13" t="s">
        <v>140</v>
      </c>
      <c r="C17" s="14">
        <v>55.2</v>
      </c>
      <c r="D17" s="14">
        <v>2.651706</v>
      </c>
      <c r="E17" s="14">
        <v>11.982</v>
      </c>
      <c r="F17" s="15">
        <f t="shared" si="0"/>
        <v>3.51860047833357</v>
      </c>
      <c r="G17" s="16">
        <v>9.3318</v>
      </c>
      <c r="H17" s="16">
        <v>1.2322</v>
      </c>
      <c r="I17" s="17">
        <f t="shared" si="2"/>
        <v>-0.867956878630061</v>
      </c>
      <c r="J17" s="16">
        <f>VLOOKUP(B17,Sheet1!A:B,2,0)</f>
        <v>4</v>
      </c>
      <c r="K17" s="16">
        <f>VLOOKUP(B17,Sheet1!A:C,3,0)</f>
        <v>0</v>
      </c>
      <c r="L17" s="17">
        <f t="shared" si="3"/>
        <v>-1</v>
      </c>
      <c r="M17" s="14">
        <f>VLOOKUP(B17,Sheet1!A:D,4,0)</f>
        <v>34.5618</v>
      </c>
      <c r="N17" s="14">
        <f>VLOOKUP(B17,Sheet1!A:E,5,0)</f>
        <v>15.865906</v>
      </c>
      <c r="O17" s="17">
        <f t="shared" si="1"/>
        <v>-0.540940981083161</v>
      </c>
    </row>
    <row r="18" customFormat="1" ht="16.5" spans="1:15">
      <c r="A18" s="13"/>
      <c r="B18" s="13" t="s">
        <v>137</v>
      </c>
      <c r="C18" s="14">
        <v>68.8</v>
      </c>
      <c r="D18" s="14">
        <v>12.8507</v>
      </c>
      <c r="E18" s="14">
        <v>4.9717</v>
      </c>
      <c r="F18" s="15">
        <f t="shared" si="0"/>
        <v>-0.613118351529489</v>
      </c>
      <c r="G18" s="16">
        <v>15.9028</v>
      </c>
      <c r="H18" s="16">
        <v>-0.45314</v>
      </c>
      <c r="I18" s="17">
        <f t="shared" si="2"/>
        <v>-1.02849435319566</v>
      </c>
      <c r="J18" s="16">
        <f>VLOOKUP(B18,Sheet1!A:B,2,0)</f>
        <v>7.0557</v>
      </c>
      <c r="K18" s="16">
        <f>VLOOKUP(B18,Sheet1!A:C,3,0)</f>
        <v>0</v>
      </c>
      <c r="L18" s="17">
        <f t="shared" si="3"/>
        <v>-1</v>
      </c>
      <c r="M18" s="14">
        <f>VLOOKUP(B18,Sheet1!A:D,4,0)</f>
        <v>70.345482</v>
      </c>
      <c r="N18" s="14">
        <f>VLOOKUP(B18,Sheet1!A:E,5,0)</f>
        <v>17.36926</v>
      </c>
      <c r="O18" s="17">
        <f t="shared" si="1"/>
        <v>-0.753086346042806</v>
      </c>
    </row>
    <row r="19" s="4" customFormat="1" ht="16.5" spans="1:15">
      <c r="A19" s="12"/>
      <c r="B19" s="12" t="s">
        <v>32</v>
      </c>
      <c r="C19" s="18">
        <f t="shared" ref="C19:H19" si="5">SUM(C14:C18)</f>
        <v>346.5</v>
      </c>
      <c r="D19" s="18">
        <f t="shared" si="5"/>
        <v>127.97791</v>
      </c>
      <c r="E19" s="18">
        <f t="shared" si="5"/>
        <v>109.074308</v>
      </c>
      <c r="F19" s="19">
        <f t="shared" si="0"/>
        <v>-0.1477098821195</v>
      </c>
      <c r="G19" s="18">
        <f t="shared" si="5"/>
        <v>105.783696</v>
      </c>
      <c r="H19" s="18">
        <f t="shared" si="5"/>
        <v>83.57946</v>
      </c>
      <c r="I19" s="19">
        <f t="shared" si="2"/>
        <v>-0.209902251855522</v>
      </c>
      <c r="J19" s="18">
        <f t="shared" ref="J19:N19" si="6">SUM(J14:J18)</f>
        <v>59.499464</v>
      </c>
      <c r="K19" s="18">
        <f t="shared" si="6"/>
        <v>19.6308</v>
      </c>
      <c r="L19" s="19">
        <f t="shared" si="3"/>
        <v>-0.670067616071298</v>
      </c>
      <c r="M19" s="18">
        <f t="shared" si="6"/>
        <v>448.119316</v>
      </c>
      <c r="N19" s="18">
        <f t="shared" si="6"/>
        <v>340.262478</v>
      </c>
      <c r="O19" s="19">
        <f t="shared" si="1"/>
        <v>-0.240687768076483</v>
      </c>
    </row>
    <row r="20" customFormat="1" ht="16.5" spans="1:15">
      <c r="A20" s="13" t="s">
        <v>30</v>
      </c>
      <c r="B20" s="13" t="s">
        <v>166</v>
      </c>
      <c r="C20" s="14">
        <v>110.9</v>
      </c>
      <c r="D20" s="14">
        <v>131.54924</v>
      </c>
      <c r="E20" s="14">
        <v>61.675203</v>
      </c>
      <c r="F20" s="15">
        <f t="shared" si="0"/>
        <v>-0.531162604968299</v>
      </c>
      <c r="G20" s="16">
        <v>79.2372</v>
      </c>
      <c r="H20" s="16">
        <v>39.9052</v>
      </c>
      <c r="I20" s="17">
        <f t="shared" si="2"/>
        <v>-0.496383012019607</v>
      </c>
      <c r="J20" s="16">
        <f>VLOOKUP(B20,Sheet1!A:B,2,0)</f>
        <v>97.114591</v>
      </c>
      <c r="K20" s="16">
        <f>VLOOKUP(B20,Sheet1!A:C,3,0)</f>
        <v>24.7822</v>
      </c>
      <c r="L20" s="17">
        <f t="shared" si="3"/>
        <v>-0.744814865152447</v>
      </c>
      <c r="M20" s="14">
        <f>VLOOKUP(B20,Sheet1!A:D,4,0)</f>
        <v>327.065591</v>
      </c>
      <c r="N20" s="14">
        <f>VLOOKUP(B20,Sheet1!A:E,5,0)</f>
        <v>257.911843</v>
      </c>
      <c r="O20" s="17">
        <f t="shared" si="1"/>
        <v>-0.211436940793934</v>
      </c>
    </row>
    <row r="21" customFormat="1" ht="16.5" spans="1:15">
      <c r="A21" s="13"/>
      <c r="B21" s="13" t="s">
        <v>185</v>
      </c>
      <c r="C21" s="14">
        <v>47.7</v>
      </c>
      <c r="D21" s="14">
        <v>7.0713</v>
      </c>
      <c r="E21" s="14">
        <v>11.7556</v>
      </c>
      <c r="F21" s="15">
        <f t="shared" si="0"/>
        <v>0.662438306959116</v>
      </c>
      <c r="G21" s="16">
        <v>13.0919</v>
      </c>
      <c r="H21" s="16">
        <v>17.2415</v>
      </c>
      <c r="I21" s="15">
        <f t="shared" si="2"/>
        <v>0.316959341272084</v>
      </c>
      <c r="J21" s="16">
        <f>VLOOKUP(B21,Sheet1!A:B,2,0)</f>
        <v>18.2854</v>
      </c>
      <c r="K21" s="16">
        <f>VLOOKUP(B21,Sheet1!A:C,3,0)</f>
        <v>7.007</v>
      </c>
      <c r="L21" s="17">
        <f t="shared" si="3"/>
        <v>-0.616798101217365</v>
      </c>
      <c r="M21" s="14">
        <f>VLOOKUP(B21,Sheet1!A:D,4,0)</f>
        <v>46.0869</v>
      </c>
      <c r="N21" s="14">
        <f>VLOOKUP(B21,Sheet1!A:E,5,0)</f>
        <v>45.4301</v>
      </c>
      <c r="O21" s="17">
        <f t="shared" si="1"/>
        <v>-0.0142513382327732</v>
      </c>
    </row>
    <row r="22" customFormat="1" ht="16.5" spans="1:15">
      <c r="A22" s="13"/>
      <c r="B22" s="13" t="s">
        <v>183</v>
      </c>
      <c r="C22" s="14">
        <v>66.8</v>
      </c>
      <c r="D22" s="14">
        <v>12.3299</v>
      </c>
      <c r="E22" s="14">
        <v>12.4266</v>
      </c>
      <c r="F22" s="15">
        <f t="shared" si="0"/>
        <v>0.00784272378527007</v>
      </c>
      <c r="G22" s="16">
        <v>23.421217</v>
      </c>
      <c r="H22" s="16">
        <v>9.49804</v>
      </c>
      <c r="I22" s="17">
        <f t="shared" si="2"/>
        <v>-0.594468553875744</v>
      </c>
      <c r="J22" s="16">
        <f>VLOOKUP(B22,Sheet1!A:B,2,0)</f>
        <v>11.1268</v>
      </c>
      <c r="K22" s="16">
        <f>VLOOKUP(B22,Sheet1!A:C,3,0)</f>
        <v>3.456</v>
      </c>
      <c r="L22" s="17">
        <f t="shared" si="3"/>
        <v>-0.689398569220261</v>
      </c>
      <c r="M22" s="14">
        <f>VLOOKUP(B22,Sheet1!A:D,4,0)</f>
        <v>73.893017</v>
      </c>
      <c r="N22" s="14">
        <f>VLOOKUP(B22,Sheet1!A:E,5,0)</f>
        <v>35.35584</v>
      </c>
      <c r="O22" s="17">
        <f t="shared" si="1"/>
        <v>-0.521526641685235</v>
      </c>
    </row>
    <row r="23" customFormat="1" ht="16.5" spans="1:15">
      <c r="A23" s="13"/>
      <c r="B23" s="13" t="s">
        <v>170</v>
      </c>
      <c r="C23" s="14">
        <v>159.5</v>
      </c>
      <c r="D23" s="14">
        <v>73.754966</v>
      </c>
      <c r="E23" s="14">
        <v>133.816191</v>
      </c>
      <c r="F23" s="15">
        <f t="shared" si="0"/>
        <v>0.81433465781816</v>
      </c>
      <c r="G23" s="16">
        <v>79.919882</v>
      </c>
      <c r="H23" s="16">
        <v>114.785803</v>
      </c>
      <c r="I23" s="15">
        <f t="shared" si="2"/>
        <v>0.436260916901754</v>
      </c>
      <c r="J23" s="16">
        <f>VLOOKUP(B23,Sheet1!A:B,2,0)</f>
        <v>40.830318</v>
      </c>
      <c r="K23" s="16">
        <f>VLOOKUP(B23,Sheet1!A:C,3,0)</f>
        <v>27.645536</v>
      </c>
      <c r="L23" s="17">
        <f t="shared" si="3"/>
        <v>-0.322916466141655</v>
      </c>
      <c r="M23" s="14">
        <f>VLOOKUP(B23,Sheet1!A:D,4,0)</f>
        <v>267.29862</v>
      </c>
      <c r="N23" s="14">
        <f>VLOOKUP(B23,Sheet1!A:E,5,0)</f>
        <v>350.070986</v>
      </c>
      <c r="O23" s="15">
        <f t="shared" si="1"/>
        <v>0.30966252650313</v>
      </c>
    </row>
    <row r="24" customFormat="1" ht="16.5" spans="1:15">
      <c r="A24" s="13"/>
      <c r="B24" s="13" t="s">
        <v>175</v>
      </c>
      <c r="C24" s="14">
        <v>69.7</v>
      </c>
      <c r="D24" s="14">
        <v>6.915654</v>
      </c>
      <c r="E24" s="14">
        <v>22.6922</v>
      </c>
      <c r="F24" s="15">
        <f t="shared" si="0"/>
        <v>2.28128041107898</v>
      </c>
      <c r="G24" s="16">
        <v>32.0978</v>
      </c>
      <c r="H24" s="16">
        <v>34.6105</v>
      </c>
      <c r="I24" s="15">
        <f t="shared" si="2"/>
        <v>0.0782826237312215</v>
      </c>
      <c r="J24" s="16">
        <f>VLOOKUP(B24,Sheet1!A:B,2,0)</f>
        <v>26.96438</v>
      </c>
      <c r="K24" s="16">
        <f>VLOOKUP(B24,Sheet1!A:C,3,0)</f>
        <v>9.8522</v>
      </c>
      <c r="L24" s="17">
        <f t="shared" si="3"/>
        <v>-0.634621674965269</v>
      </c>
      <c r="M24" s="14">
        <f>VLOOKUP(B24,Sheet1!A:D,4,0)</f>
        <v>106.64248</v>
      </c>
      <c r="N24" s="14">
        <f>VLOOKUP(B24,Sheet1!A:E,5,0)</f>
        <v>74.070554</v>
      </c>
      <c r="O24" s="17">
        <f t="shared" si="1"/>
        <v>-0.305431062743477</v>
      </c>
    </row>
    <row r="25" customFormat="1" ht="16.5" spans="1:15">
      <c r="A25" s="13"/>
      <c r="B25" s="13" t="s">
        <v>179</v>
      </c>
      <c r="C25" s="14">
        <v>106.3</v>
      </c>
      <c r="D25" s="14">
        <v>66.33375</v>
      </c>
      <c r="E25" s="14">
        <v>69.966</v>
      </c>
      <c r="F25" s="15">
        <f t="shared" si="0"/>
        <v>0.0547571937362203</v>
      </c>
      <c r="G25" s="16">
        <v>56.8703</v>
      </c>
      <c r="H25" s="16">
        <v>65.5244</v>
      </c>
      <c r="I25" s="15">
        <f t="shared" si="2"/>
        <v>0.152172575140275</v>
      </c>
      <c r="J25" s="16">
        <f>VLOOKUP(B25,Sheet1!A:B,2,0)</f>
        <v>34.6219</v>
      </c>
      <c r="K25" s="16">
        <f>VLOOKUP(B25,Sheet1!A:C,3,0)</f>
        <v>18.3686</v>
      </c>
      <c r="L25" s="17">
        <f t="shared" si="3"/>
        <v>-0.469451416588922</v>
      </c>
      <c r="M25" s="14">
        <f>VLOOKUP(B25,Sheet1!A:D,4,0)</f>
        <v>226.376608</v>
      </c>
      <c r="N25" s="14">
        <f>VLOOKUP(B25,Sheet1!A:E,5,0)</f>
        <v>220.19275</v>
      </c>
      <c r="O25" s="17">
        <f t="shared" si="1"/>
        <v>-0.0273166828261691</v>
      </c>
    </row>
    <row r="26" s="4" customFormat="1" ht="16.5" spans="1:15">
      <c r="A26" s="12"/>
      <c r="B26" s="12" t="s">
        <v>32</v>
      </c>
      <c r="C26" s="18">
        <f t="shared" ref="C26:H26" si="7">SUM(C20:C25)</f>
        <v>560.9</v>
      </c>
      <c r="D26" s="18">
        <f t="shared" si="7"/>
        <v>297.95481</v>
      </c>
      <c r="E26" s="18">
        <f t="shared" si="7"/>
        <v>312.331794</v>
      </c>
      <c r="F26" s="19">
        <f t="shared" si="0"/>
        <v>0.0482522299270818</v>
      </c>
      <c r="G26" s="18">
        <f t="shared" si="7"/>
        <v>284.638299</v>
      </c>
      <c r="H26" s="18">
        <f t="shared" si="7"/>
        <v>281.565443</v>
      </c>
      <c r="I26" s="19">
        <f t="shared" si="2"/>
        <v>-0.0107956519231448</v>
      </c>
      <c r="J26" s="18">
        <f t="shared" ref="J26:N26" si="8">SUM(J20:J25)</f>
        <v>228.943389</v>
      </c>
      <c r="K26" s="18">
        <f t="shared" si="8"/>
        <v>91.111536</v>
      </c>
      <c r="L26" s="19">
        <f t="shared" si="3"/>
        <v>-0.602034649709846</v>
      </c>
      <c r="M26" s="18">
        <f t="shared" si="8"/>
        <v>1047.363216</v>
      </c>
      <c r="N26" s="18">
        <f t="shared" si="8"/>
        <v>983.032073</v>
      </c>
      <c r="O26" s="19">
        <f t="shared" si="1"/>
        <v>-0.0614219995673401</v>
      </c>
    </row>
    <row r="27" customFormat="1" ht="16.5" spans="1:15">
      <c r="A27" s="13" t="s">
        <v>258</v>
      </c>
      <c r="B27" s="13" t="s">
        <v>276</v>
      </c>
      <c r="C27" s="14">
        <v>109.5</v>
      </c>
      <c r="D27" s="14">
        <v>0.9484</v>
      </c>
      <c r="E27" s="14">
        <v>0.2766</v>
      </c>
      <c r="F27" s="15">
        <f t="shared" si="0"/>
        <v>-0.708350906790384</v>
      </c>
      <c r="G27" s="16">
        <v>0.3375</v>
      </c>
      <c r="H27" s="16">
        <v>0</v>
      </c>
      <c r="I27" s="17">
        <f t="shared" si="2"/>
        <v>-1</v>
      </c>
      <c r="J27" s="16">
        <f>VLOOKUP(B27,Sheet1!A:B,2,0)</f>
        <v>2.9878</v>
      </c>
      <c r="K27" s="16">
        <f>VLOOKUP(B27,Sheet1!A:C,3,0)</f>
        <v>0</v>
      </c>
      <c r="L27" s="17">
        <f t="shared" si="3"/>
        <v>-1</v>
      </c>
      <c r="M27" s="14">
        <f>VLOOKUP(B27,Sheet1!A:D,4,0)</f>
        <v>8.2196</v>
      </c>
      <c r="N27" s="14">
        <f>VLOOKUP(B27,Sheet1!A:E,5,0)</f>
        <v>1.225</v>
      </c>
      <c r="O27" s="17">
        <f t="shared" si="1"/>
        <v>-0.850965983746168</v>
      </c>
    </row>
    <row r="28" customFormat="1" ht="16.5" spans="1:15">
      <c r="A28" s="13"/>
      <c r="B28" s="13" t="s">
        <v>268</v>
      </c>
      <c r="C28" s="14">
        <v>150.9</v>
      </c>
      <c r="D28" s="14">
        <v>126.769178</v>
      </c>
      <c r="E28" s="14">
        <v>152.856611</v>
      </c>
      <c r="F28" s="15">
        <f t="shared" si="0"/>
        <v>0.205786875103032</v>
      </c>
      <c r="G28" s="16">
        <v>70.231702</v>
      </c>
      <c r="H28" s="16">
        <v>47.36649</v>
      </c>
      <c r="I28" s="17">
        <f t="shared" si="2"/>
        <v>-0.325568245519666</v>
      </c>
      <c r="J28" s="16">
        <f>VLOOKUP(B28,Sheet1!A:B,2,0)</f>
        <v>57.376397</v>
      </c>
      <c r="K28" s="16">
        <f>VLOOKUP(B28,Sheet1!A:C,3,0)</f>
        <v>14.12539</v>
      </c>
      <c r="L28" s="17">
        <f t="shared" si="3"/>
        <v>-0.753811833113188</v>
      </c>
      <c r="M28" s="14">
        <f>VLOOKUP(B28,Sheet1!A:D,4,0)</f>
        <v>241.219447</v>
      </c>
      <c r="N28" s="14">
        <f>VLOOKUP(B28,Sheet1!A:E,5,0)</f>
        <v>341.117669</v>
      </c>
      <c r="O28" s="15">
        <f t="shared" si="1"/>
        <v>0.414138342668533</v>
      </c>
    </row>
    <row r="29" customFormat="1" ht="16.5" spans="1:15">
      <c r="A29" s="13"/>
      <c r="B29" s="13" t="s">
        <v>278</v>
      </c>
      <c r="C29" s="14">
        <v>58.4</v>
      </c>
      <c r="D29" s="14">
        <v>3.3367</v>
      </c>
      <c r="E29" s="14">
        <v>0.1479</v>
      </c>
      <c r="F29" s="15">
        <f t="shared" si="0"/>
        <v>-0.955674768483831</v>
      </c>
      <c r="G29" s="16">
        <v>14.6072</v>
      </c>
      <c r="H29" s="16">
        <v>0</v>
      </c>
      <c r="I29" s="17">
        <f t="shared" si="2"/>
        <v>-1</v>
      </c>
      <c r="J29" s="16">
        <f>VLOOKUP(B29,Sheet1!A:B,2,0)</f>
        <v>3.3726</v>
      </c>
      <c r="K29" s="16">
        <f>VLOOKUP(B29,Sheet1!A:C,3,0)</f>
        <v>0</v>
      </c>
      <c r="L29" s="17">
        <f t="shared" si="3"/>
        <v>-1</v>
      </c>
      <c r="M29" s="14">
        <f>VLOOKUP(B29,Sheet1!A:D,4,0)</f>
        <v>53.6225</v>
      </c>
      <c r="N29" s="14">
        <f>VLOOKUP(B29,Sheet1!A:E,5,0)</f>
        <v>3.4846</v>
      </c>
      <c r="O29" s="17">
        <f t="shared" si="1"/>
        <v>-0.935016084665952</v>
      </c>
    </row>
    <row r="30" customFormat="1" ht="16.5" spans="1:15">
      <c r="A30" s="13"/>
      <c r="B30" s="13" t="s">
        <v>283</v>
      </c>
      <c r="C30" s="14">
        <v>17.9</v>
      </c>
      <c r="D30" s="14">
        <v>0</v>
      </c>
      <c r="E30" s="14">
        <v>0</v>
      </c>
      <c r="F30" s="15" t="e">
        <f t="shared" si="0"/>
        <v>#DIV/0!</v>
      </c>
      <c r="G30" s="16">
        <v>0</v>
      </c>
      <c r="H30" s="16">
        <v>0</v>
      </c>
      <c r="I30" s="15" t="e">
        <f t="shared" si="2"/>
        <v>#DIV/0!</v>
      </c>
      <c r="J30" s="16">
        <f>VLOOKUP(B30,Sheet1!A:B,2,0)</f>
        <v>0</v>
      </c>
      <c r="K30" s="16">
        <f>VLOOKUP(B30,Sheet1!A:C,3,0)</f>
        <v>0</v>
      </c>
      <c r="L30" s="15" t="e">
        <f t="shared" si="3"/>
        <v>#DIV/0!</v>
      </c>
      <c r="M30" s="14">
        <f>VLOOKUP(B30,Sheet1!A:D,4,0)</f>
        <v>0.6649</v>
      </c>
      <c r="N30" s="14">
        <f>VLOOKUP(B30,Sheet1!A:E,5,0)</f>
        <v>0</v>
      </c>
      <c r="O30" s="17">
        <f t="shared" si="1"/>
        <v>-1</v>
      </c>
    </row>
    <row r="31" customFormat="1" ht="16.5" spans="1:15">
      <c r="A31" s="13"/>
      <c r="B31" s="13" t="s">
        <v>533</v>
      </c>
      <c r="C31" s="14">
        <v>46.9</v>
      </c>
      <c r="D31" s="14"/>
      <c r="E31" s="14"/>
      <c r="F31" s="15" t="e">
        <f t="shared" si="0"/>
        <v>#DIV/0!</v>
      </c>
      <c r="G31" s="16">
        <v>0</v>
      </c>
      <c r="H31" s="16">
        <v>0</v>
      </c>
      <c r="I31" s="15" t="e">
        <f t="shared" si="2"/>
        <v>#DIV/0!</v>
      </c>
      <c r="J31" s="16"/>
      <c r="K31" s="16"/>
      <c r="L31" s="15" t="e">
        <f t="shared" si="3"/>
        <v>#DIV/0!</v>
      </c>
      <c r="M31" s="14"/>
      <c r="N31" s="14"/>
      <c r="O31" s="15" t="e">
        <f t="shared" si="1"/>
        <v>#DIV/0!</v>
      </c>
    </row>
    <row r="32" customFormat="1" ht="16.5" spans="1:15">
      <c r="A32" s="13"/>
      <c r="B32" s="13" t="s">
        <v>534</v>
      </c>
      <c r="C32" s="14">
        <v>47.4</v>
      </c>
      <c r="D32" s="14"/>
      <c r="E32" s="14"/>
      <c r="F32" s="15" t="e">
        <f t="shared" si="0"/>
        <v>#DIV/0!</v>
      </c>
      <c r="G32" s="16">
        <v>0</v>
      </c>
      <c r="H32" s="16">
        <v>0</v>
      </c>
      <c r="I32" s="15" t="e">
        <f t="shared" si="2"/>
        <v>#DIV/0!</v>
      </c>
      <c r="J32" s="16"/>
      <c r="K32" s="16"/>
      <c r="L32" s="15" t="e">
        <f t="shared" si="3"/>
        <v>#DIV/0!</v>
      </c>
      <c r="M32" s="14"/>
      <c r="N32" s="14"/>
      <c r="O32" s="15" t="e">
        <f t="shared" si="1"/>
        <v>#DIV/0!</v>
      </c>
    </row>
    <row r="33" customFormat="1" ht="16.5" spans="1:15">
      <c r="A33" s="13"/>
      <c r="B33" s="13" t="s">
        <v>260</v>
      </c>
      <c r="C33" s="14">
        <v>191.8</v>
      </c>
      <c r="D33" s="14">
        <v>23.594954</v>
      </c>
      <c r="E33" s="14">
        <v>34.1365</v>
      </c>
      <c r="F33" s="15">
        <f t="shared" si="0"/>
        <v>0.446771203707369</v>
      </c>
      <c r="G33" s="16">
        <v>54.8474</v>
      </c>
      <c r="H33" s="16">
        <v>16.0267</v>
      </c>
      <c r="I33" s="17">
        <f t="shared" si="2"/>
        <v>-0.707794717707676</v>
      </c>
      <c r="J33" s="16">
        <f>VLOOKUP(B33,Sheet1!A:B,2,0)</f>
        <v>19.4142</v>
      </c>
      <c r="K33" s="16">
        <f>VLOOKUP(B33,Sheet1!A:C,3,0)</f>
        <v>0.8362</v>
      </c>
      <c r="L33" s="17">
        <f t="shared" si="3"/>
        <v>-0.956928433826787</v>
      </c>
      <c r="M33" s="14">
        <f>VLOOKUP(B33,Sheet1!A:D,4,0)</f>
        <v>202.44573</v>
      </c>
      <c r="N33" s="14">
        <f>VLOOKUP(B33,Sheet1!A:E,5,0)</f>
        <v>74.594354</v>
      </c>
      <c r="O33" s="17">
        <f t="shared" si="1"/>
        <v>-0.631534070884083</v>
      </c>
    </row>
    <row r="34" customFormat="1" ht="16.5" spans="1:15">
      <c r="A34" s="13"/>
      <c r="B34" s="13" t="s">
        <v>535</v>
      </c>
      <c r="C34" s="14">
        <v>98.1</v>
      </c>
      <c r="D34" s="14"/>
      <c r="E34" s="14"/>
      <c r="F34" s="15" t="e">
        <f t="shared" si="0"/>
        <v>#DIV/0!</v>
      </c>
      <c r="G34" s="16">
        <v>0</v>
      </c>
      <c r="H34" s="16">
        <v>0</v>
      </c>
      <c r="I34" s="15" t="e">
        <f t="shared" si="2"/>
        <v>#DIV/0!</v>
      </c>
      <c r="J34" s="16"/>
      <c r="K34" s="16"/>
      <c r="L34" s="15" t="e">
        <f t="shared" si="3"/>
        <v>#DIV/0!</v>
      </c>
      <c r="M34" s="14"/>
      <c r="N34" s="14"/>
      <c r="O34" s="15" t="e">
        <f t="shared" si="1"/>
        <v>#DIV/0!</v>
      </c>
    </row>
    <row r="35" s="4" customFormat="1" ht="16.5" spans="1:15">
      <c r="A35" s="12"/>
      <c r="B35" s="12" t="s">
        <v>32</v>
      </c>
      <c r="C35" s="18">
        <f t="shared" ref="C35:H35" si="9">SUM(C27:C34)</f>
        <v>720.9</v>
      </c>
      <c r="D35" s="18">
        <f t="shared" si="9"/>
        <v>154.649232</v>
      </c>
      <c r="E35" s="18">
        <f t="shared" si="9"/>
        <v>187.417611</v>
      </c>
      <c r="F35" s="19">
        <f t="shared" si="0"/>
        <v>0.211888404334267</v>
      </c>
      <c r="G35" s="18">
        <f t="shared" si="9"/>
        <v>140.023802</v>
      </c>
      <c r="H35" s="18">
        <f t="shared" si="9"/>
        <v>63.39319</v>
      </c>
      <c r="I35" s="19">
        <f t="shared" si="2"/>
        <v>-0.547268470827553</v>
      </c>
      <c r="J35" s="18">
        <f t="shared" ref="J35:N35" si="10">SUM(J27:J34)</f>
        <v>83.150997</v>
      </c>
      <c r="K35" s="18">
        <f t="shared" si="10"/>
        <v>14.96159</v>
      </c>
      <c r="L35" s="19">
        <f t="shared" si="3"/>
        <v>-0.820067220601095</v>
      </c>
      <c r="M35" s="18">
        <f t="shared" si="10"/>
        <v>506.172177</v>
      </c>
      <c r="N35" s="18">
        <f t="shared" si="10"/>
        <v>420.421623</v>
      </c>
      <c r="O35" s="19">
        <f t="shared" si="1"/>
        <v>-0.169409852805876</v>
      </c>
    </row>
    <row r="36" customFormat="1" ht="16.5" spans="1:15">
      <c r="A36" s="13" t="s">
        <v>262</v>
      </c>
      <c r="B36" s="13" t="s">
        <v>293</v>
      </c>
      <c r="C36" s="14">
        <v>26.4</v>
      </c>
      <c r="D36" s="14">
        <v>0</v>
      </c>
      <c r="E36" s="14">
        <v>0</v>
      </c>
      <c r="F36" s="15" t="e">
        <f t="shared" si="0"/>
        <v>#DIV/0!</v>
      </c>
      <c r="G36" s="16">
        <v>1</v>
      </c>
      <c r="H36" s="16">
        <v>0</v>
      </c>
      <c r="I36" s="17">
        <f t="shared" si="2"/>
        <v>-1</v>
      </c>
      <c r="J36" s="16">
        <f>VLOOKUP(B36,Sheet1!A:B,2,0)</f>
        <v>0</v>
      </c>
      <c r="K36" s="16">
        <f>VLOOKUP(B36,Sheet1!A:C,3,0)</f>
        <v>0</v>
      </c>
      <c r="L36" s="15" t="e">
        <f t="shared" si="3"/>
        <v>#DIV/0!</v>
      </c>
      <c r="M36" s="14">
        <f>VLOOKUP(B36,Sheet1!A:D,4,0)</f>
        <v>3</v>
      </c>
      <c r="N36" s="14">
        <f>VLOOKUP(B36,Sheet1!A:E,5,0)</f>
        <v>0</v>
      </c>
      <c r="O36" s="17">
        <f t="shared" si="1"/>
        <v>-1</v>
      </c>
    </row>
    <row r="37" customFormat="1" ht="16.5" spans="1:15">
      <c r="A37" s="13"/>
      <c r="B37" s="13" t="s">
        <v>285</v>
      </c>
      <c r="C37" s="14">
        <v>49.2</v>
      </c>
      <c r="D37" s="14">
        <v>0</v>
      </c>
      <c r="E37" s="14">
        <v>0</v>
      </c>
      <c r="F37" s="15" t="e">
        <f t="shared" si="0"/>
        <v>#DIV/0!</v>
      </c>
      <c r="G37" s="16">
        <v>0</v>
      </c>
      <c r="H37" s="16">
        <v>0</v>
      </c>
      <c r="I37" s="15" t="e">
        <f t="shared" ref="I37:I77" si="11">H37/G37-1</f>
        <v>#DIV/0!</v>
      </c>
      <c r="J37" s="16">
        <f>VLOOKUP(B37,Sheet1!A:B,2,0)</f>
        <v>0</v>
      </c>
      <c r="K37" s="16">
        <f>VLOOKUP(B37,Sheet1!A:C,3,0)</f>
        <v>0</v>
      </c>
      <c r="L37" s="15" t="e">
        <f t="shared" ref="L37:L77" si="12">K37/J37-1</f>
        <v>#DIV/0!</v>
      </c>
      <c r="M37" s="14">
        <f>VLOOKUP(B37,Sheet1!A:D,4,0)</f>
        <v>1.9218</v>
      </c>
      <c r="N37" s="14">
        <f>VLOOKUP(B37,Sheet1!A:E,5,0)</f>
        <v>0</v>
      </c>
      <c r="O37" s="17">
        <f t="shared" si="1"/>
        <v>-1</v>
      </c>
    </row>
    <row r="38" customFormat="1" ht="16.5" spans="1:15">
      <c r="A38" s="13"/>
      <c r="B38" s="13" t="s">
        <v>536</v>
      </c>
      <c r="C38" s="14">
        <v>24.5</v>
      </c>
      <c r="D38" s="14"/>
      <c r="E38" s="14"/>
      <c r="F38" s="15" t="e">
        <f t="shared" si="0"/>
        <v>#DIV/0!</v>
      </c>
      <c r="G38" s="16">
        <v>0</v>
      </c>
      <c r="H38" s="16">
        <v>0</v>
      </c>
      <c r="I38" s="15" t="e">
        <f t="shared" si="11"/>
        <v>#DIV/0!</v>
      </c>
      <c r="J38" s="16"/>
      <c r="K38" s="16"/>
      <c r="L38" s="15" t="e">
        <f t="shared" si="12"/>
        <v>#DIV/0!</v>
      </c>
      <c r="M38" s="14"/>
      <c r="N38" s="14"/>
      <c r="O38" s="15" t="e">
        <f t="shared" si="1"/>
        <v>#DIV/0!</v>
      </c>
    </row>
    <row r="39" customFormat="1" ht="16.5" spans="1:15">
      <c r="A39" s="13"/>
      <c r="B39" s="13" t="s">
        <v>291</v>
      </c>
      <c r="C39" s="14">
        <v>36.9</v>
      </c>
      <c r="D39" s="14">
        <v>0.5612</v>
      </c>
      <c r="E39" s="14">
        <v>0</v>
      </c>
      <c r="F39" s="15">
        <f t="shared" si="0"/>
        <v>-1</v>
      </c>
      <c r="G39" s="16">
        <v>0</v>
      </c>
      <c r="H39" s="16">
        <v>0.4354</v>
      </c>
      <c r="I39" s="15" t="e">
        <f t="shared" si="11"/>
        <v>#DIV/0!</v>
      </c>
      <c r="J39" s="16">
        <f>VLOOKUP(B39,Sheet1!A:B,2,0)</f>
        <v>0.2334</v>
      </c>
      <c r="K39" s="16">
        <f>VLOOKUP(B39,Sheet1!A:C,3,0)</f>
        <v>0</v>
      </c>
      <c r="L39" s="17">
        <f t="shared" si="12"/>
        <v>-1</v>
      </c>
      <c r="M39" s="14">
        <f>VLOOKUP(B39,Sheet1!A:D,4,0)</f>
        <v>0.5332</v>
      </c>
      <c r="N39" s="14">
        <f>VLOOKUP(B39,Sheet1!A:E,5,0)</f>
        <v>0.9966</v>
      </c>
      <c r="O39" s="15">
        <f t="shared" si="1"/>
        <v>0.869092273068267</v>
      </c>
    </row>
    <row r="40" customFormat="1" ht="16.5" spans="1:15">
      <c r="A40" s="13"/>
      <c r="B40" s="13" t="s">
        <v>264</v>
      </c>
      <c r="C40" s="14">
        <v>92.9</v>
      </c>
      <c r="D40" s="14">
        <v>57.2951</v>
      </c>
      <c r="E40" s="14">
        <v>61.6171</v>
      </c>
      <c r="F40" s="15">
        <f t="shared" si="0"/>
        <v>0.0754340248991625</v>
      </c>
      <c r="G40" s="16">
        <v>37.3071</v>
      </c>
      <c r="H40" s="16">
        <v>33.5696</v>
      </c>
      <c r="I40" s="17">
        <f t="shared" si="11"/>
        <v>-0.10018200288953</v>
      </c>
      <c r="J40" s="16">
        <f>VLOOKUP(B40,Sheet1!A:B,2,0)</f>
        <v>26.1307</v>
      </c>
      <c r="K40" s="16">
        <f>VLOOKUP(B40,Sheet1!A:C,3,0)</f>
        <v>11.3244</v>
      </c>
      <c r="L40" s="17">
        <f t="shared" si="12"/>
        <v>-0.566624698151982</v>
      </c>
      <c r="M40" s="14">
        <f>VLOOKUP(B40,Sheet1!A:D,4,0)</f>
        <v>142.88534</v>
      </c>
      <c r="N40" s="14">
        <f>VLOOKUP(B40,Sheet1!A:E,5,0)</f>
        <v>163.8062</v>
      </c>
      <c r="O40" s="15">
        <f t="shared" si="1"/>
        <v>0.146417120188817</v>
      </c>
    </row>
    <row r="41" s="4" customFormat="1" ht="16.5" spans="1:15">
      <c r="A41" s="12"/>
      <c r="B41" s="12" t="s">
        <v>32</v>
      </c>
      <c r="C41" s="18">
        <f>SUM(C36:C40)</f>
        <v>229.9</v>
      </c>
      <c r="D41" s="18">
        <f>SUM(D36:D40)</f>
        <v>57.8563</v>
      </c>
      <c r="E41" s="18">
        <f>SUM(E36:E40)</f>
        <v>61.6171</v>
      </c>
      <c r="F41" s="19">
        <f t="shared" si="0"/>
        <v>0.0650024284304389</v>
      </c>
      <c r="G41" s="18">
        <v>38.3071</v>
      </c>
      <c r="H41" s="18">
        <v>34.005</v>
      </c>
      <c r="I41" s="19">
        <f t="shared" si="11"/>
        <v>-0.112305551712346</v>
      </c>
      <c r="J41" s="18">
        <f t="shared" ref="J41:N41" si="13">SUM(J36:J40)</f>
        <v>26.3641</v>
      </c>
      <c r="K41" s="18">
        <f t="shared" si="13"/>
        <v>11.3244</v>
      </c>
      <c r="L41" s="19">
        <f t="shared" si="12"/>
        <v>-0.570461347059069</v>
      </c>
      <c r="M41" s="18">
        <f t="shared" si="13"/>
        <v>148.34034</v>
      </c>
      <c r="N41" s="18">
        <f t="shared" si="13"/>
        <v>164.8028</v>
      </c>
      <c r="O41" s="19">
        <f t="shared" si="1"/>
        <v>0.11097763426995</v>
      </c>
    </row>
    <row r="42" customFormat="1" ht="16.5" spans="1:15">
      <c r="A42" s="13" t="s">
        <v>34</v>
      </c>
      <c r="B42" s="13" t="s">
        <v>369</v>
      </c>
      <c r="C42" s="14">
        <v>113.3</v>
      </c>
      <c r="D42" s="14">
        <v>33.4542</v>
      </c>
      <c r="E42" s="14">
        <v>45.9067</v>
      </c>
      <c r="F42" s="15">
        <f t="shared" si="0"/>
        <v>0.372225311022233</v>
      </c>
      <c r="G42" s="16">
        <v>70.4177</v>
      </c>
      <c r="H42" s="16">
        <v>49.188552</v>
      </c>
      <c r="I42" s="17">
        <f t="shared" si="11"/>
        <v>-0.301474600846094</v>
      </c>
      <c r="J42" s="16">
        <f>VLOOKUP(B42,Sheet1!A:B,2,0)</f>
        <v>16.2982</v>
      </c>
      <c r="K42" s="16">
        <f>VLOOKUP(B42,Sheet1!A:C,3,0)</f>
        <v>30.143036</v>
      </c>
      <c r="L42" s="15">
        <f t="shared" si="12"/>
        <v>0.849470248248273</v>
      </c>
      <c r="M42" s="14">
        <f>VLOOKUP(B42,Sheet1!A:D,4,0)</f>
        <v>191.987063</v>
      </c>
      <c r="N42" s="14">
        <f>VLOOKUP(B42,Sheet1!A:E,5,0)</f>
        <v>158.692488</v>
      </c>
      <c r="O42" s="17">
        <f t="shared" si="1"/>
        <v>-0.173420929930055</v>
      </c>
    </row>
    <row r="43" customFormat="1" ht="16.5" spans="1:15">
      <c r="A43" s="13"/>
      <c r="B43" s="13" t="s">
        <v>354</v>
      </c>
      <c r="C43" s="14">
        <v>80.9</v>
      </c>
      <c r="D43" s="14">
        <v>66.0383</v>
      </c>
      <c r="E43" s="14">
        <v>68.2072</v>
      </c>
      <c r="F43" s="15">
        <f t="shared" si="0"/>
        <v>0.0328430622835536</v>
      </c>
      <c r="G43" s="16">
        <v>75.976</v>
      </c>
      <c r="H43" s="16">
        <v>62.1374</v>
      </c>
      <c r="I43" s="17">
        <f t="shared" si="11"/>
        <v>-0.182144361377277</v>
      </c>
      <c r="J43" s="16">
        <f>VLOOKUP(B43,Sheet1!A:B,2,0)</f>
        <v>32.0741</v>
      </c>
      <c r="K43" s="16">
        <f>VLOOKUP(B43,Sheet1!A:C,3,0)</f>
        <v>26.7373</v>
      </c>
      <c r="L43" s="17">
        <f t="shared" si="12"/>
        <v>-0.166389703842041</v>
      </c>
      <c r="M43" s="14">
        <f>VLOOKUP(B43,Sheet1!A:D,4,0)</f>
        <v>233.6702</v>
      </c>
      <c r="N43" s="14">
        <f>VLOOKUP(B43,Sheet1!A:E,5,0)</f>
        <v>223.1202</v>
      </c>
      <c r="O43" s="17">
        <f t="shared" si="1"/>
        <v>-0.0451491033088515</v>
      </c>
    </row>
    <row r="44" customFormat="1" ht="16.5" spans="1:15">
      <c r="A44" s="13"/>
      <c r="B44" s="13" t="s">
        <v>362</v>
      </c>
      <c r="C44" s="14">
        <v>113.6</v>
      </c>
      <c r="D44" s="14">
        <v>125.266023</v>
      </c>
      <c r="E44" s="14">
        <v>209.230953</v>
      </c>
      <c r="F44" s="15">
        <f t="shared" si="0"/>
        <v>0.670292933304029</v>
      </c>
      <c r="G44" s="16">
        <v>125.365448</v>
      </c>
      <c r="H44" s="16">
        <v>73.436323</v>
      </c>
      <c r="I44" s="17">
        <f t="shared" si="11"/>
        <v>-0.414221987225699</v>
      </c>
      <c r="J44" s="16">
        <f>VLOOKUP(B44,Sheet1!A:B,2,0)</f>
        <v>69.706723</v>
      </c>
      <c r="K44" s="16">
        <f>VLOOKUP(B44,Sheet1!A:C,3,0)</f>
        <v>44.109501</v>
      </c>
      <c r="L44" s="17">
        <f t="shared" si="12"/>
        <v>-0.367213102242663</v>
      </c>
      <c r="M44" s="14">
        <f>VLOOKUP(B44,Sheet1!A:D,4,0)</f>
        <v>487.804749</v>
      </c>
      <c r="N44" s="14">
        <f>VLOOKUP(B44,Sheet1!A:E,5,0)</f>
        <v>452.0428</v>
      </c>
      <c r="O44" s="17">
        <f t="shared" si="1"/>
        <v>-0.0733120148446935</v>
      </c>
    </row>
    <row r="45" customFormat="1" ht="16.5" spans="1:15">
      <c r="A45" s="13"/>
      <c r="B45" s="13" t="s">
        <v>379</v>
      </c>
      <c r="C45" s="14">
        <v>69.8</v>
      </c>
      <c r="D45" s="14">
        <v>31.6704</v>
      </c>
      <c r="E45" s="14">
        <v>20.1731</v>
      </c>
      <c r="F45" s="15">
        <f t="shared" si="0"/>
        <v>-0.363029832272406</v>
      </c>
      <c r="G45" s="16">
        <v>8.0314</v>
      </c>
      <c r="H45" s="16">
        <v>15.8675</v>
      </c>
      <c r="I45" s="15">
        <f t="shared" si="11"/>
        <v>0.975682944443061</v>
      </c>
      <c r="J45" s="16">
        <f>VLOOKUP(B45,Sheet1!A:B,2,0)</f>
        <v>14.3877</v>
      </c>
      <c r="K45" s="16">
        <f>VLOOKUP(B45,Sheet1!A:C,3,0)</f>
        <v>2.2651</v>
      </c>
      <c r="L45" s="17">
        <f t="shared" si="12"/>
        <v>-0.842566914795277</v>
      </c>
      <c r="M45" s="14">
        <f>VLOOKUP(B45,Sheet1!A:D,4,0)</f>
        <v>71.3771</v>
      </c>
      <c r="N45" s="14">
        <f>VLOOKUP(B45,Sheet1!A:E,5,0)</f>
        <v>69.9761</v>
      </c>
      <c r="O45" s="17">
        <f t="shared" si="1"/>
        <v>-0.0196281440405957</v>
      </c>
    </row>
    <row r="46" customFormat="1" ht="16.5" spans="1:15">
      <c r="A46" s="13"/>
      <c r="B46" s="13" t="s">
        <v>359</v>
      </c>
      <c r="C46" s="14">
        <v>41.5</v>
      </c>
      <c r="D46" s="14">
        <v>7</v>
      </c>
      <c r="E46" s="14">
        <v>0</v>
      </c>
      <c r="F46" s="15">
        <f t="shared" si="0"/>
        <v>-1</v>
      </c>
      <c r="G46" s="16">
        <v>2</v>
      </c>
      <c r="H46" s="16">
        <v>0</v>
      </c>
      <c r="I46" s="17">
        <f t="shared" si="11"/>
        <v>-1</v>
      </c>
      <c r="J46" s="16">
        <f>VLOOKUP(B46,Sheet1!A:B,2,0)</f>
        <v>0</v>
      </c>
      <c r="K46" s="16">
        <f>VLOOKUP(B46,Sheet1!A:C,3,0)</f>
        <v>0</v>
      </c>
      <c r="L46" s="15" t="e">
        <f t="shared" si="12"/>
        <v>#DIV/0!</v>
      </c>
      <c r="M46" s="14">
        <f>VLOOKUP(B46,Sheet1!A:D,4,0)</f>
        <v>11.48</v>
      </c>
      <c r="N46" s="14">
        <f>VLOOKUP(B46,Sheet1!A:E,5,0)</f>
        <v>7</v>
      </c>
      <c r="O46" s="17">
        <f t="shared" si="1"/>
        <v>-0.390243902439024</v>
      </c>
    </row>
    <row r="47" customFormat="1" ht="16.5" spans="1:15">
      <c r="A47" s="13"/>
      <c r="B47" s="13" t="s">
        <v>350</v>
      </c>
      <c r="C47" s="14">
        <v>123.8</v>
      </c>
      <c r="D47" s="14">
        <v>207.0517</v>
      </c>
      <c r="E47" s="14">
        <v>194.6313</v>
      </c>
      <c r="F47" s="15">
        <f t="shared" si="0"/>
        <v>-0.0599869501192214</v>
      </c>
      <c r="G47" s="16">
        <v>212.1702</v>
      </c>
      <c r="H47" s="16">
        <v>144.3275</v>
      </c>
      <c r="I47" s="17">
        <f t="shared" si="11"/>
        <v>-0.319756026058325</v>
      </c>
      <c r="J47" s="16">
        <f>VLOOKUP(B47,Sheet1!A:B,2,0)</f>
        <v>79.3262</v>
      </c>
      <c r="K47" s="16">
        <f>VLOOKUP(B47,Sheet1!A:C,3,0)</f>
        <v>60.4796</v>
      </c>
      <c r="L47" s="17">
        <f t="shared" si="12"/>
        <v>-0.237583547428214</v>
      </c>
      <c r="M47" s="14">
        <f>VLOOKUP(B47,Sheet1!A:D,4,0)</f>
        <v>542.4908</v>
      </c>
      <c r="N47" s="14">
        <f>VLOOKUP(B47,Sheet1!A:E,5,0)</f>
        <v>606.4901</v>
      </c>
      <c r="O47" s="15">
        <f t="shared" si="1"/>
        <v>0.117973060556972</v>
      </c>
    </row>
    <row r="48" s="4" customFormat="1" ht="16.5" spans="1:15">
      <c r="A48" s="12"/>
      <c r="B48" s="12" t="s">
        <v>32</v>
      </c>
      <c r="C48" s="18">
        <f t="shared" ref="C48:H48" si="14">SUM(C42:C47)</f>
        <v>542.9</v>
      </c>
      <c r="D48" s="18">
        <f t="shared" si="14"/>
        <v>470.480623</v>
      </c>
      <c r="E48" s="18">
        <f t="shared" si="14"/>
        <v>538.149253</v>
      </c>
      <c r="F48" s="19">
        <f t="shared" si="0"/>
        <v>0.143828728946399</v>
      </c>
      <c r="G48" s="18">
        <f t="shared" si="14"/>
        <v>493.960748</v>
      </c>
      <c r="H48" s="18">
        <f t="shared" si="14"/>
        <v>344.957275</v>
      </c>
      <c r="I48" s="19">
        <f t="shared" si="11"/>
        <v>-0.301650431948897</v>
      </c>
      <c r="J48" s="18">
        <f t="shared" ref="J48:N48" si="15">SUM(J42:J47)</f>
        <v>211.792923</v>
      </c>
      <c r="K48" s="18">
        <f t="shared" si="15"/>
        <v>163.734537</v>
      </c>
      <c r="L48" s="19">
        <f t="shared" si="12"/>
        <v>-0.226912142857578</v>
      </c>
      <c r="M48" s="18">
        <f t="shared" si="15"/>
        <v>1538.809912</v>
      </c>
      <c r="N48" s="18">
        <f t="shared" si="15"/>
        <v>1517.321688</v>
      </c>
      <c r="O48" s="19">
        <f t="shared" si="1"/>
        <v>-0.0139641835111861</v>
      </c>
    </row>
    <row r="49" customFormat="1" ht="16.5" spans="1:15">
      <c r="A49" s="13" t="s">
        <v>31</v>
      </c>
      <c r="B49" s="13" t="s">
        <v>310</v>
      </c>
      <c r="C49" s="14">
        <v>111.1</v>
      </c>
      <c r="D49" s="14">
        <v>50.8594</v>
      </c>
      <c r="E49" s="14">
        <v>53.5233</v>
      </c>
      <c r="F49" s="15">
        <f t="shared" si="0"/>
        <v>0.0523777315501166</v>
      </c>
      <c r="G49" s="16">
        <v>58.5086</v>
      </c>
      <c r="H49" s="16">
        <v>3.8359</v>
      </c>
      <c r="I49" s="17">
        <f t="shared" si="11"/>
        <v>-0.934438697900821</v>
      </c>
      <c r="J49" s="16">
        <f>VLOOKUP(B49,Sheet1!A:B,2,0)</f>
        <v>0.4176</v>
      </c>
      <c r="K49" s="16">
        <f>VLOOKUP(B49,Sheet1!A:C,3,0)</f>
        <v>1.6034</v>
      </c>
      <c r="L49" s="15">
        <f t="shared" si="12"/>
        <v>2.83955938697318</v>
      </c>
      <c r="M49" s="14">
        <f>VLOOKUP(B49,Sheet1!A:D,4,0)</f>
        <v>113.3438</v>
      </c>
      <c r="N49" s="14">
        <f>VLOOKUP(B49,Sheet1!A:E,5,0)</f>
        <v>109.822</v>
      </c>
      <c r="O49" s="17">
        <f t="shared" si="1"/>
        <v>-0.0310718363068823</v>
      </c>
    </row>
    <row r="50" customFormat="1" ht="16.5" spans="1:15">
      <c r="A50" s="13"/>
      <c r="B50" s="13" t="s">
        <v>345</v>
      </c>
      <c r="C50" s="14">
        <v>38.8</v>
      </c>
      <c r="D50" s="14">
        <v>0</v>
      </c>
      <c r="E50" s="14">
        <v>0</v>
      </c>
      <c r="F50" s="15" t="e">
        <f t="shared" si="0"/>
        <v>#DIV/0!</v>
      </c>
      <c r="G50" s="16">
        <v>2.1616</v>
      </c>
      <c r="H50" s="16">
        <v>0</v>
      </c>
      <c r="I50" s="17">
        <f t="shared" si="11"/>
        <v>-1</v>
      </c>
      <c r="J50" s="16">
        <f>VLOOKUP(B50,Sheet1!A:B,2,0)</f>
        <v>0.6071</v>
      </c>
      <c r="K50" s="16">
        <f>VLOOKUP(B50,Sheet1!A:C,3,0)</f>
        <v>0</v>
      </c>
      <c r="L50" s="17">
        <f t="shared" si="12"/>
        <v>-1</v>
      </c>
      <c r="M50" s="14">
        <f>VLOOKUP(B50,Sheet1!A:D,4,0)</f>
        <v>3.6087</v>
      </c>
      <c r="N50" s="14">
        <f>VLOOKUP(B50,Sheet1!A:E,5,0)</f>
        <v>0</v>
      </c>
      <c r="O50" s="17">
        <f t="shared" si="1"/>
        <v>-1</v>
      </c>
    </row>
    <row r="51" customFormat="1" ht="16.5" spans="1:15">
      <c r="A51" s="13"/>
      <c r="B51" s="13" t="s">
        <v>305</v>
      </c>
      <c r="C51" s="14">
        <v>222.7</v>
      </c>
      <c r="D51" s="14">
        <v>142.365123</v>
      </c>
      <c r="E51" s="14">
        <v>195.288168</v>
      </c>
      <c r="F51" s="15">
        <f t="shared" si="0"/>
        <v>0.371741644897114</v>
      </c>
      <c r="G51" s="16">
        <v>160.157694</v>
      </c>
      <c r="H51" s="16">
        <v>135.487557</v>
      </c>
      <c r="I51" s="17">
        <f t="shared" si="11"/>
        <v>-0.154036539761867</v>
      </c>
      <c r="J51" s="16">
        <f>VLOOKUP(B51,Sheet1!A:B,2,0)</f>
        <v>55.744457</v>
      </c>
      <c r="K51" s="16">
        <f>VLOOKUP(B51,Sheet1!A:C,3,0)</f>
        <v>56.802368</v>
      </c>
      <c r="L51" s="15">
        <f t="shared" si="12"/>
        <v>0.0189778689565494</v>
      </c>
      <c r="M51" s="14">
        <f>VLOOKUP(B51,Sheet1!A:D,4,0)</f>
        <v>445.738034</v>
      </c>
      <c r="N51" s="14">
        <f>VLOOKUP(B51,Sheet1!A:E,5,0)</f>
        <v>529.943216</v>
      </c>
      <c r="O51" s="15">
        <f t="shared" si="1"/>
        <v>0.188911817204273</v>
      </c>
    </row>
    <row r="52" customFormat="1" ht="16.5" spans="1:15">
      <c r="A52" s="13"/>
      <c r="B52" s="13" t="s">
        <v>324</v>
      </c>
      <c r="C52" s="14">
        <v>46.8</v>
      </c>
      <c r="D52" s="14">
        <v>6.8919</v>
      </c>
      <c r="E52" s="14">
        <v>3.4862</v>
      </c>
      <c r="F52" s="15">
        <f t="shared" si="0"/>
        <v>-0.494159810792379</v>
      </c>
      <c r="G52" s="16">
        <v>8.8924</v>
      </c>
      <c r="H52" s="16">
        <v>6.1985</v>
      </c>
      <c r="I52" s="17">
        <f t="shared" si="11"/>
        <v>-0.302944087085601</v>
      </c>
      <c r="J52" s="16">
        <f>VLOOKUP(B52,Sheet1!A:B,2,0)</f>
        <v>0</v>
      </c>
      <c r="K52" s="16">
        <f>VLOOKUP(B52,Sheet1!A:C,3,0)</f>
        <v>0.5786</v>
      </c>
      <c r="L52" s="15" t="e">
        <f t="shared" si="12"/>
        <v>#DIV/0!</v>
      </c>
      <c r="M52" s="14">
        <f>VLOOKUP(B52,Sheet1!A:D,4,0)</f>
        <v>29.1953</v>
      </c>
      <c r="N52" s="14">
        <f>VLOOKUP(B52,Sheet1!A:E,5,0)</f>
        <v>17.1552</v>
      </c>
      <c r="O52" s="17">
        <f t="shared" si="1"/>
        <v>-0.412398571002867</v>
      </c>
    </row>
    <row r="53" customFormat="1" ht="16.5" spans="1:15">
      <c r="A53" s="13"/>
      <c r="B53" s="13" t="s">
        <v>334</v>
      </c>
      <c r="C53" s="14">
        <v>145.8</v>
      </c>
      <c r="D53" s="14">
        <v>15.1983</v>
      </c>
      <c r="E53" s="14">
        <v>26.4142</v>
      </c>
      <c r="F53" s="15">
        <f t="shared" si="0"/>
        <v>0.737970694090787</v>
      </c>
      <c r="G53" s="16">
        <v>14.0309</v>
      </c>
      <c r="H53" s="16">
        <v>8.65705</v>
      </c>
      <c r="I53" s="17">
        <f t="shared" si="11"/>
        <v>-0.383001090450363</v>
      </c>
      <c r="J53" s="16">
        <f>VLOOKUP(B53,Sheet1!A:B,2,0)</f>
        <v>13.9827</v>
      </c>
      <c r="K53" s="16">
        <f>VLOOKUP(B53,Sheet1!A:C,3,0)</f>
        <v>3.92201</v>
      </c>
      <c r="L53" s="17">
        <f t="shared" si="12"/>
        <v>-0.719509822852525</v>
      </c>
      <c r="M53" s="14">
        <f>VLOOKUP(B53,Sheet1!A:D,4,0)</f>
        <v>64.7063</v>
      </c>
      <c r="N53" s="14">
        <f>VLOOKUP(B53,Sheet1!A:E,5,0)</f>
        <v>54.19156</v>
      </c>
      <c r="O53" s="17">
        <f t="shared" si="1"/>
        <v>-0.162499478412457</v>
      </c>
    </row>
    <row r="54" customFormat="1" ht="16.5" spans="1:15">
      <c r="A54" s="13"/>
      <c r="B54" s="13" t="s">
        <v>314</v>
      </c>
      <c r="C54" s="14">
        <v>43.4</v>
      </c>
      <c r="D54" s="14">
        <v>12.9675</v>
      </c>
      <c r="E54" s="14">
        <v>10.0565</v>
      </c>
      <c r="F54" s="15">
        <f t="shared" si="0"/>
        <v>-0.224484287642182</v>
      </c>
      <c r="G54" s="16">
        <v>11.6212</v>
      </c>
      <c r="H54" s="16">
        <v>15.0697</v>
      </c>
      <c r="I54" s="15">
        <f t="shared" si="11"/>
        <v>0.296742160878395</v>
      </c>
      <c r="J54" s="16">
        <f>VLOOKUP(B54,Sheet1!A:B,2,0)</f>
        <v>4.7019</v>
      </c>
      <c r="K54" s="16">
        <f>VLOOKUP(B54,Sheet1!A:C,3,0)</f>
        <v>3.7183</v>
      </c>
      <c r="L54" s="17">
        <f t="shared" si="12"/>
        <v>-0.209192028754333</v>
      </c>
      <c r="M54" s="14">
        <f>VLOOKUP(B54,Sheet1!A:D,4,0)</f>
        <v>61.3285</v>
      </c>
      <c r="N54" s="14">
        <f>VLOOKUP(B54,Sheet1!A:E,5,0)</f>
        <v>41.812</v>
      </c>
      <c r="O54" s="17">
        <f t="shared" si="1"/>
        <v>-0.318228882167345</v>
      </c>
    </row>
    <row r="55" customFormat="1" ht="16.5" spans="1:15">
      <c r="A55" s="13"/>
      <c r="B55" s="13" t="s">
        <v>339</v>
      </c>
      <c r="C55" s="14">
        <v>64.3</v>
      </c>
      <c r="D55" s="14">
        <v>1.9172</v>
      </c>
      <c r="E55" s="14">
        <v>1.5968</v>
      </c>
      <c r="F55" s="15">
        <f t="shared" si="0"/>
        <v>-0.167118714792406</v>
      </c>
      <c r="G55" s="16">
        <v>2.7357</v>
      </c>
      <c r="H55" s="16">
        <v>3.7004</v>
      </c>
      <c r="I55" s="15">
        <f t="shared" si="11"/>
        <v>0.352633695215119</v>
      </c>
      <c r="J55" s="16">
        <f>VLOOKUP(B55,Sheet1!A:B,2,0)</f>
        <v>1.3781</v>
      </c>
      <c r="K55" s="16">
        <f>VLOOKUP(B55,Sheet1!A:C,3,0)</f>
        <v>0</v>
      </c>
      <c r="L55" s="17">
        <f t="shared" si="12"/>
        <v>-1</v>
      </c>
      <c r="M55" s="14">
        <f>VLOOKUP(B55,Sheet1!A:D,4,0)</f>
        <v>12.1362</v>
      </c>
      <c r="N55" s="14">
        <f>VLOOKUP(B55,Sheet1!A:E,5,0)</f>
        <v>7.2144</v>
      </c>
      <c r="O55" s="17">
        <f t="shared" si="1"/>
        <v>-0.4055470410837</v>
      </c>
    </row>
    <row r="56" s="4" customFormat="1" ht="16.5" spans="1:15">
      <c r="A56" s="12"/>
      <c r="B56" s="12" t="s">
        <v>32</v>
      </c>
      <c r="C56" s="18">
        <f t="shared" ref="C56:H56" si="16">SUM(C49:C55)</f>
        <v>672.9</v>
      </c>
      <c r="D56" s="18">
        <f t="shared" si="16"/>
        <v>230.199423</v>
      </c>
      <c r="E56" s="18">
        <f t="shared" si="16"/>
        <v>290.365168</v>
      </c>
      <c r="F56" s="19">
        <f t="shared" si="0"/>
        <v>0.261363578656755</v>
      </c>
      <c r="G56" s="18">
        <f t="shared" si="16"/>
        <v>258.108094</v>
      </c>
      <c r="H56" s="18">
        <f t="shared" si="16"/>
        <v>172.949107</v>
      </c>
      <c r="I56" s="19">
        <f t="shared" si="11"/>
        <v>-0.329935360337828</v>
      </c>
      <c r="J56" s="18">
        <f t="shared" ref="J56:N56" si="17">SUM(J49:J55)</f>
        <v>76.831857</v>
      </c>
      <c r="K56" s="18">
        <f t="shared" si="17"/>
        <v>66.624678</v>
      </c>
      <c r="L56" s="19">
        <f t="shared" si="12"/>
        <v>-0.132850869399135</v>
      </c>
      <c r="M56" s="18">
        <f t="shared" si="17"/>
        <v>730.056834</v>
      </c>
      <c r="N56" s="18">
        <f t="shared" si="17"/>
        <v>760.138376</v>
      </c>
      <c r="O56" s="19">
        <f t="shared" si="1"/>
        <v>0.0412043838219862</v>
      </c>
    </row>
    <row r="57" customFormat="1" ht="16.5" spans="1:15">
      <c r="A57" s="13" t="s">
        <v>416</v>
      </c>
      <c r="B57" s="13" t="s">
        <v>466</v>
      </c>
      <c r="C57" s="14">
        <v>85.1</v>
      </c>
      <c r="D57" s="14">
        <v>12.1106</v>
      </c>
      <c r="E57" s="14">
        <v>14.4136</v>
      </c>
      <c r="F57" s="15">
        <f t="shared" si="0"/>
        <v>0.190163988571995</v>
      </c>
      <c r="G57" s="16">
        <v>25.0464</v>
      </c>
      <c r="H57" s="16">
        <v>4.79366</v>
      </c>
      <c r="I57" s="17">
        <f t="shared" si="11"/>
        <v>-0.808608822026319</v>
      </c>
      <c r="J57" s="16">
        <f>VLOOKUP(B57,Sheet1!A:B,2,0)</f>
        <v>27.07232</v>
      </c>
      <c r="K57" s="16">
        <f>VLOOKUP(B57,Sheet1!A:C,3,0)</f>
        <v>0.7344</v>
      </c>
      <c r="L57" s="17">
        <f t="shared" si="12"/>
        <v>-0.972872661079656</v>
      </c>
      <c r="M57" s="14">
        <f>VLOOKUP(B57,Sheet1!A:D,4,0)</f>
        <v>90.43902</v>
      </c>
      <c r="N57" s="14">
        <f>VLOOKUP(B57,Sheet1!A:E,5,0)</f>
        <v>32.05226</v>
      </c>
      <c r="O57" s="17">
        <f t="shared" si="1"/>
        <v>-0.645592577186263</v>
      </c>
    </row>
    <row r="58" customFormat="1" ht="16.5" spans="1:15">
      <c r="A58" s="13"/>
      <c r="B58" s="13" t="s">
        <v>422</v>
      </c>
      <c r="C58" s="14">
        <v>148.5</v>
      </c>
      <c r="D58" s="14">
        <v>62.474308</v>
      </c>
      <c r="E58" s="14">
        <v>54.350968</v>
      </c>
      <c r="F58" s="15">
        <f t="shared" si="0"/>
        <v>-0.130026890413896</v>
      </c>
      <c r="G58" s="16">
        <v>78.73902</v>
      </c>
      <c r="H58" s="16">
        <v>43.530564</v>
      </c>
      <c r="I58" s="17">
        <f t="shared" si="11"/>
        <v>-0.447153850784528</v>
      </c>
      <c r="J58" s="16">
        <f>VLOOKUP(B58,Sheet1!A:B,2,0)</f>
        <v>74.9722</v>
      </c>
      <c r="K58" s="16">
        <f>VLOOKUP(B58,Sheet1!A:C,3,0)</f>
        <v>12.6329</v>
      </c>
      <c r="L58" s="17">
        <f t="shared" si="12"/>
        <v>-0.831498875583216</v>
      </c>
      <c r="M58" s="14">
        <f>VLOOKUP(B58,Sheet1!A:D,4,0)</f>
        <v>292.808908</v>
      </c>
      <c r="N58" s="14">
        <f>VLOOKUP(B58,Sheet1!A:E,5,0)</f>
        <v>172.98874</v>
      </c>
      <c r="O58" s="17">
        <f t="shared" si="1"/>
        <v>-0.409209435663754</v>
      </c>
    </row>
    <row r="59" customFormat="1" ht="16.5" spans="1:15">
      <c r="A59" s="13"/>
      <c r="B59" s="13" t="s">
        <v>445</v>
      </c>
      <c r="C59" s="14">
        <v>47.7</v>
      </c>
      <c r="D59" s="14">
        <v>2.3231</v>
      </c>
      <c r="E59" s="14">
        <v>16.49115</v>
      </c>
      <c r="F59" s="15">
        <f t="shared" si="0"/>
        <v>6.09876888640179</v>
      </c>
      <c r="G59" s="16">
        <v>10.2836</v>
      </c>
      <c r="H59" s="16">
        <v>5.757946</v>
      </c>
      <c r="I59" s="17">
        <f t="shared" si="11"/>
        <v>-0.440084600723482</v>
      </c>
      <c r="J59" s="16">
        <f>VLOOKUP(B59,Sheet1!A:B,2,0)</f>
        <v>11.9231</v>
      </c>
      <c r="K59" s="16">
        <f>VLOOKUP(B59,Sheet1!A:C,3,0)</f>
        <v>2.347</v>
      </c>
      <c r="L59" s="17">
        <f t="shared" si="12"/>
        <v>-0.803155219699575</v>
      </c>
      <c r="M59" s="14">
        <f>VLOOKUP(B59,Sheet1!A:D,4,0)</f>
        <v>42.9266</v>
      </c>
      <c r="N59" s="14">
        <f>VLOOKUP(B59,Sheet1!A:E,5,0)</f>
        <v>26.919196</v>
      </c>
      <c r="O59" s="17">
        <f t="shared" si="1"/>
        <v>-0.372901743907041</v>
      </c>
    </row>
    <row r="60" customFormat="1" ht="16.5" spans="1:15">
      <c r="A60" s="13"/>
      <c r="B60" s="13" t="s">
        <v>436</v>
      </c>
      <c r="C60" s="14">
        <v>87.7</v>
      </c>
      <c r="D60" s="14">
        <v>0</v>
      </c>
      <c r="E60" s="14">
        <v>3.99935</v>
      </c>
      <c r="F60" s="15" t="e">
        <f t="shared" si="0"/>
        <v>#DIV/0!</v>
      </c>
      <c r="G60" s="16">
        <v>0</v>
      </c>
      <c r="H60" s="16">
        <v>4.0197</v>
      </c>
      <c r="I60" s="15" t="e">
        <f t="shared" si="11"/>
        <v>#DIV/0!</v>
      </c>
      <c r="J60" s="16">
        <f>VLOOKUP(B60,Sheet1!A:B,2,0)</f>
        <v>0</v>
      </c>
      <c r="K60" s="16">
        <f>VLOOKUP(B60,Sheet1!A:C,3,0)</f>
        <v>-0.0152</v>
      </c>
      <c r="L60" s="15" t="e">
        <f t="shared" si="12"/>
        <v>#DIV/0!</v>
      </c>
      <c r="M60" s="14">
        <f>VLOOKUP(B60,Sheet1!A:D,4,0)</f>
        <v>0</v>
      </c>
      <c r="N60" s="14">
        <f>VLOOKUP(B60,Sheet1!A:E,5,0)</f>
        <v>8.00385</v>
      </c>
      <c r="O60" s="15" t="e">
        <f t="shared" si="1"/>
        <v>#DIV/0!</v>
      </c>
    </row>
    <row r="61" customFormat="1" ht="16.5" spans="1:15">
      <c r="A61" s="13"/>
      <c r="B61" s="13" t="s">
        <v>418</v>
      </c>
      <c r="C61" s="14">
        <v>154.5</v>
      </c>
      <c r="D61" s="14">
        <v>57.57885</v>
      </c>
      <c r="E61" s="14">
        <v>59.4731</v>
      </c>
      <c r="F61" s="15">
        <f t="shared" si="0"/>
        <v>0.0328983645904704</v>
      </c>
      <c r="G61" s="16">
        <v>37.8999</v>
      </c>
      <c r="H61" s="16">
        <v>84.789656</v>
      </c>
      <c r="I61" s="15">
        <f t="shared" si="11"/>
        <v>1.23719999261212</v>
      </c>
      <c r="J61" s="16">
        <f>VLOOKUP(B61,Sheet1!A:B,2,0)</f>
        <v>34.3161</v>
      </c>
      <c r="K61" s="16">
        <f>VLOOKUP(B61,Sheet1!A:C,3,0)</f>
        <v>8.0555</v>
      </c>
      <c r="L61" s="17">
        <f t="shared" si="12"/>
        <v>-0.765255958573381</v>
      </c>
      <c r="M61" s="14">
        <f>VLOOKUP(B61,Sheet1!A:D,4,0)</f>
        <v>101.094</v>
      </c>
      <c r="N61" s="14">
        <f>VLOOKUP(B61,Sheet1!A:E,5,0)</f>
        <v>209.897106</v>
      </c>
      <c r="O61" s="15">
        <f t="shared" si="1"/>
        <v>1.0762568104932</v>
      </c>
    </row>
    <row r="62" customFormat="1" ht="16.5" spans="1:15">
      <c r="A62" s="13"/>
      <c r="B62" s="13" t="s">
        <v>473</v>
      </c>
      <c r="C62" s="14">
        <v>27.1</v>
      </c>
      <c r="D62" s="14">
        <v>0</v>
      </c>
      <c r="E62" s="14">
        <v>0</v>
      </c>
      <c r="F62" s="15" t="e">
        <f t="shared" si="0"/>
        <v>#DIV/0!</v>
      </c>
      <c r="G62" s="16">
        <v>0</v>
      </c>
      <c r="H62" s="16">
        <v>0</v>
      </c>
      <c r="I62" s="15" t="e">
        <f t="shared" si="11"/>
        <v>#DIV/0!</v>
      </c>
      <c r="J62" s="16">
        <f>VLOOKUP(B62,Sheet1!A:B,2,0)</f>
        <v>0</v>
      </c>
      <c r="K62" s="16">
        <f>VLOOKUP(B62,Sheet1!A:C,3,0)</f>
        <v>0</v>
      </c>
      <c r="L62" s="15" t="e">
        <f t="shared" si="12"/>
        <v>#DIV/0!</v>
      </c>
      <c r="M62" s="14">
        <f>VLOOKUP(B62,Sheet1!A:D,4,0)</f>
        <v>0</v>
      </c>
      <c r="N62" s="14">
        <f>VLOOKUP(B62,Sheet1!A:E,5,0)</f>
        <v>0</v>
      </c>
      <c r="O62" s="15" t="e">
        <f t="shared" si="1"/>
        <v>#DIV/0!</v>
      </c>
    </row>
    <row r="63" customFormat="1" ht="16.5" spans="1:15">
      <c r="A63" s="13"/>
      <c r="B63" s="13" t="s">
        <v>430</v>
      </c>
      <c r="C63" s="14">
        <v>316.8</v>
      </c>
      <c r="D63" s="14">
        <v>45.196606</v>
      </c>
      <c r="E63" s="14">
        <v>76.777146</v>
      </c>
      <c r="F63" s="15">
        <f t="shared" si="0"/>
        <v>0.698736980382996</v>
      </c>
      <c r="G63" s="16">
        <v>56.69735</v>
      </c>
      <c r="H63" s="16">
        <v>33.730556</v>
      </c>
      <c r="I63" s="17">
        <f t="shared" si="11"/>
        <v>-0.40507702740957</v>
      </c>
      <c r="J63" s="16">
        <f>VLOOKUP(B63,Sheet1!A:B,2,0)</f>
        <v>47.898987</v>
      </c>
      <c r="K63" s="16">
        <f>VLOOKUP(B63,Sheet1!A:C,3,0)</f>
        <v>9.495736</v>
      </c>
      <c r="L63" s="17">
        <f t="shared" si="12"/>
        <v>-0.801754972396389</v>
      </c>
      <c r="M63" s="14">
        <f>VLOOKUP(B63,Sheet1!A:D,4,0)</f>
        <v>234.051157</v>
      </c>
      <c r="N63" s="14">
        <f>VLOOKUP(B63,Sheet1!A:E,5,0)</f>
        <v>165.200044</v>
      </c>
      <c r="O63" s="17">
        <f t="shared" si="1"/>
        <v>-0.294171214030786</v>
      </c>
    </row>
    <row r="64" customFormat="1" ht="16.5" spans="1:15">
      <c r="A64" s="13"/>
      <c r="B64" s="13" t="s">
        <v>537</v>
      </c>
      <c r="C64" s="14">
        <v>29.3</v>
      </c>
      <c r="D64" s="14"/>
      <c r="E64" s="14"/>
      <c r="F64" s="15" t="e">
        <f t="shared" si="0"/>
        <v>#DIV/0!</v>
      </c>
      <c r="G64" s="16">
        <v>0</v>
      </c>
      <c r="H64" s="16">
        <v>0</v>
      </c>
      <c r="I64" s="15" t="e">
        <f t="shared" si="11"/>
        <v>#DIV/0!</v>
      </c>
      <c r="J64" s="16"/>
      <c r="K64" s="16"/>
      <c r="L64" s="15" t="e">
        <f t="shared" si="12"/>
        <v>#DIV/0!</v>
      </c>
      <c r="M64" s="14"/>
      <c r="N64" s="14"/>
      <c r="O64" s="15" t="e">
        <f t="shared" si="1"/>
        <v>#DIV/0!</v>
      </c>
    </row>
    <row r="65" customFormat="1" ht="16.5" spans="1:15">
      <c r="A65" s="13"/>
      <c r="B65" s="13" t="s">
        <v>433</v>
      </c>
      <c r="C65" s="14">
        <v>88.6</v>
      </c>
      <c r="D65" s="14">
        <v>1.074</v>
      </c>
      <c r="E65" s="14">
        <v>2.2916</v>
      </c>
      <c r="F65" s="15">
        <f t="shared" si="0"/>
        <v>1.13370577281192</v>
      </c>
      <c r="G65" s="16">
        <v>0.901</v>
      </c>
      <c r="H65" s="16">
        <v>0.1838</v>
      </c>
      <c r="I65" s="17">
        <f t="shared" si="11"/>
        <v>-0.796004439511654</v>
      </c>
      <c r="J65" s="16">
        <f>VLOOKUP(B65,Sheet1!A:B,2,0)</f>
        <v>0.785</v>
      </c>
      <c r="K65" s="16">
        <f>VLOOKUP(B65,Sheet1!A:C,3,0)</f>
        <v>0.2775</v>
      </c>
      <c r="L65" s="17">
        <f t="shared" si="12"/>
        <v>-0.646496815286624</v>
      </c>
      <c r="M65" s="14">
        <f>VLOOKUP(B65,Sheet1!A:D,4,0)</f>
        <v>17.9865</v>
      </c>
      <c r="N65" s="14">
        <f>VLOOKUP(B65,Sheet1!A:E,5,0)</f>
        <v>3.8269</v>
      </c>
      <c r="O65" s="17">
        <f t="shared" si="1"/>
        <v>-0.787234870597392</v>
      </c>
    </row>
    <row r="66" s="4" customFormat="1" ht="16.5" spans="1:15">
      <c r="A66" s="12"/>
      <c r="B66" s="12" t="s">
        <v>32</v>
      </c>
      <c r="C66" s="18">
        <f t="shared" ref="C66:H66" si="18">SUM(C57:C65)</f>
        <v>985.3</v>
      </c>
      <c r="D66" s="18">
        <f t="shared" si="18"/>
        <v>180.757464</v>
      </c>
      <c r="E66" s="18">
        <f t="shared" si="18"/>
        <v>227.796914</v>
      </c>
      <c r="F66" s="19">
        <f t="shared" si="0"/>
        <v>0.260235173469794</v>
      </c>
      <c r="G66" s="18">
        <f t="shared" si="18"/>
        <v>209.56727</v>
      </c>
      <c r="H66" s="18">
        <f t="shared" si="18"/>
        <v>176.805882</v>
      </c>
      <c r="I66" s="19">
        <f t="shared" si="11"/>
        <v>-0.156328743510377</v>
      </c>
      <c r="J66" s="18">
        <f t="shared" ref="J66:N66" si="19">SUM(J57:J65)</f>
        <v>196.967707</v>
      </c>
      <c r="K66" s="18">
        <f t="shared" si="19"/>
        <v>33.527836</v>
      </c>
      <c r="L66" s="19">
        <f t="shared" si="12"/>
        <v>-0.829780035973105</v>
      </c>
      <c r="M66" s="18">
        <f t="shared" si="19"/>
        <v>779.306185</v>
      </c>
      <c r="N66" s="18">
        <f t="shared" si="19"/>
        <v>618.888096</v>
      </c>
      <c r="O66" s="19">
        <f t="shared" si="1"/>
        <v>-0.205847319176608</v>
      </c>
    </row>
    <row r="67" customFormat="1" ht="16.5" spans="1:15">
      <c r="A67" s="13" t="s">
        <v>455</v>
      </c>
      <c r="B67" s="13" t="s">
        <v>538</v>
      </c>
      <c r="C67" s="14">
        <v>40.9</v>
      </c>
      <c r="D67" s="14"/>
      <c r="E67" s="14"/>
      <c r="F67" s="15" t="e">
        <f t="shared" si="0"/>
        <v>#DIV/0!</v>
      </c>
      <c r="G67" s="16">
        <v>0</v>
      </c>
      <c r="H67" s="16">
        <v>0</v>
      </c>
      <c r="I67" s="15" t="e">
        <f t="shared" si="11"/>
        <v>#DIV/0!</v>
      </c>
      <c r="J67" s="16"/>
      <c r="K67" s="16"/>
      <c r="L67" s="15" t="e">
        <f t="shared" si="12"/>
        <v>#DIV/0!</v>
      </c>
      <c r="M67" s="14"/>
      <c r="N67" s="14"/>
      <c r="O67" s="15" t="e">
        <f t="shared" si="1"/>
        <v>#DIV/0!</v>
      </c>
    </row>
    <row r="68" customFormat="1" ht="16.5" spans="1:15">
      <c r="A68" s="13"/>
      <c r="B68" s="13" t="s">
        <v>539</v>
      </c>
      <c r="C68" s="14">
        <v>11.1</v>
      </c>
      <c r="D68" s="14"/>
      <c r="E68" s="14"/>
      <c r="F68" s="15" t="e">
        <f t="shared" ref="F68:F77" si="20">E68/D68-1</f>
        <v>#DIV/0!</v>
      </c>
      <c r="G68" s="16">
        <v>0</v>
      </c>
      <c r="H68" s="16">
        <v>0</v>
      </c>
      <c r="I68" s="15" t="e">
        <f t="shared" si="11"/>
        <v>#DIV/0!</v>
      </c>
      <c r="J68" s="16"/>
      <c r="K68" s="16"/>
      <c r="L68" s="15" t="e">
        <f t="shared" si="12"/>
        <v>#DIV/0!</v>
      </c>
      <c r="M68" s="14"/>
      <c r="N68" s="14"/>
      <c r="O68" s="15" t="e">
        <f t="shared" ref="O68:O77" si="21">N68/M68-1</f>
        <v>#DIV/0!</v>
      </c>
    </row>
    <row r="69" customFormat="1" ht="16.5" spans="1:15">
      <c r="A69" s="13"/>
      <c r="B69" s="13" t="s">
        <v>457</v>
      </c>
      <c r="C69" s="14">
        <v>57.9</v>
      </c>
      <c r="D69" s="14">
        <v>19.7415</v>
      </c>
      <c r="E69" s="14">
        <v>29.6531</v>
      </c>
      <c r="F69" s="15">
        <f t="shared" si="20"/>
        <v>0.502069244991515</v>
      </c>
      <c r="G69" s="16">
        <v>22.8339</v>
      </c>
      <c r="H69" s="16">
        <v>6.2712</v>
      </c>
      <c r="I69" s="17">
        <f t="shared" si="11"/>
        <v>-0.725355721098892</v>
      </c>
      <c r="J69" s="16">
        <f>VLOOKUP(B69,Sheet1!A:B,2,0)</f>
        <v>6.728</v>
      </c>
      <c r="K69" s="16">
        <f>VLOOKUP(B69,Sheet1!A:C,3,0)</f>
        <v>3.235</v>
      </c>
      <c r="L69" s="17">
        <f t="shared" si="12"/>
        <v>-0.519173602853745</v>
      </c>
      <c r="M69" s="14">
        <f>VLOOKUP(B69,Sheet1!A:D,4,0)</f>
        <v>53.2084</v>
      </c>
      <c r="N69" s="14">
        <f>VLOOKUP(B69,Sheet1!A:E,5,0)</f>
        <v>58.9008</v>
      </c>
      <c r="O69" s="15">
        <f t="shared" si="21"/>
        <v>0.106983107930327</v>
      </c>
    </row>
    <row r="70" customFormat="1" ht="16.5" spans="1:15">
      <c r="A70" s="13"/>
      <c r="B70" s="13" t="s">
        <v>483</v>
      </c>
      <c r="C70" s="14">
        <v>25.2</v>
      </c>
      <c r="D70" s="14">
        <v>7.585</v>
      </c>
      <c r="E70" s="14">
        <v>14.6</v>
      </c>
      <c r="F70" s="15">
        <f t="shared" si="20"/>
        <v>0.924851680949242</v>
      </c>
      <c r="G70" s="16">
        <v>5.475</v>
      </c>
      <c r="H70" s="16">
        <v>21.9</v>
      </c>
      <c r="I70" s="15">
        <f t="shared" si="11"/>
        <v>3</v>
      </c>
      <c r="J70" s="16">
        <f>VLOOKUP(B70,Sheet1!A:B,2,0)</f>
        <v>5.475</v>
      </c>
      <c r="K70" s="16">
        <f>VLOOKUP(B70,Sheet1!A:C,3,0)</f>
        <v>0</v>
      </c>
      <c r="L70" s="17">
        <f t="shared" si="12"/>
        <v>-1</v>
      </c>
      <c r="M70" s="14">
        <f>VLOOKUP(B70,Sheet1!A:D,4,0)</f>
        <v>19.25</v>
      </c>
      <c r="N70" s="14">
        <f>VLOOKUP(B70,Sheet1!A:E,5,0)</f>
        <v>44.085</v>
      </c>
      <c r="O70" s="15">
        <f t="shared" si="21"/>
        <v>1.29012987012987</v>
      </c>
    </row>
    <row r="71" customFormat="1" ht="16.5" spans="1:15">
      <c r="A71" s="13"/>
      <c r="B71" s="13" t="s">
        <v>476</v>
      </c>
      <c r="C71" s="14">
        <v>51.8</v>
      </c>
      <c r="D71" s="14">
        <v>0</v>
      </c>
      <c r="E71" s="14">
        <v>0</v>
      </c>
      <c r="F71" s="15" t="e">
        <f t="shared" si="20"/>
        <v>#DIV/0!</v>
      </c>
      <c r="G71" s="16">
        <v>0</v>
      </c>
      <c r="H71" s="16">
        <v>5.2728</v>
      </c>
      <c r="I71" s="15" t="e">
        <f t="shared" si="11"/>
        <v>#DIV/0!</v>
      </c>
      <c r="J71" s="16">
        <f>VLOOKUP(B71,Sheet1!A:B,2,0)</f>
        <v>0</v>
      </c>
      <c r="K71" s="16">
        <f>VLOOKUP(B71,Sheet1!A:C,3,0)</f>
        <v>0.74</v>
      </c>
      <c r="L71" s="15" t="e">
        <f t="shared" si="12"/>
        <v>#DIV/0!</v>
      </c>
      <c r="M71" s="14">
        <f>VLOOKUP(B71,Sheet1!A:D,4,0)</f>
        <v>4.1668</v>
      </c>
      <c r="N71" s="14">
        <f>VLOOKUP(B71,Sheet1!A:E,5,0)</f>
        <v>6.0128</v>
      </c>
      <c r="O71" s="15">
        <f t="shared" si="21"/>
        <v>0.443025823173658</v>
      </c>
    </row>
    <row r="72" customFormat="1" ht="16.5" spans="1:15">
      <c r="A72" s="13"/>
      <c r="B72" s="13" t="s">
        <v>540</v>
      </c>
      <c r="C72" s="14">
        <v>14.1</v>
      </c>
      <c r="D72" s="14"/>
      <c r="E72" s="14"/>
      <c r="F72" s="15" t="e">
        <f t="shared" si="20"/>
        <v>#DIV/0!</v>
      </c>
      <c r="G72" s="16">
        <v>0</v>
      </c>
      <c r="H72" s="16">
        <v>0</v>
      </c>
      <c r="I72" s="15" t="e">
        <f t="shared" si="11"/>
        <v>#DIV/0!</v>
      </c>
      <c r="J72" s="16"/>
      <c r="K72" s="16"/>
      <c r="L72" s="15" t="e">
        <f t="shared" si="12"/>
        <v>#DIV/0!</v>
      </c>
      <c r="M72" s="14"/>
      <c r="N72" s="14"/>
      <c r="O72" s="15" t="e">
        <f t="shared" si="21"/>
        <v>#DIV/0!</v>
      </c>
    </row>
    <row r="73" customFormat="1" ht="16.5" spans="1:15">
      <c r="A73" s="13"/>
      <c r="B73" s="13" t="s">
        <v>494</v>
      </c>
      <c r="C73" s="14">
        <v>20.3</v>
      </c>
      <c r="D73" s="14">
        <v>0</v>
      </c>
      <c r="E73" s="14">
        <v>0</v>
      </c>
      <c r="F73" s="15" t="e">
        <f t="shared" si="20"/>
        <v>#DIV/0!</v>
      </c>
      <c r="G73" s="16">
        <v>0</v>
      </c>
      <c r="H73" s="16">
        <v>4.1298</v>
      </c>
      <c r="I73" s="15" t="e">
        <f t="shared" si="11"/>
        <v>#DIV/0!</v>
      </c>
      <c r="J73" s="16">
        <f>VLOOKUP(B73,Sheet1!A:B,2,0)</f>
        <v>0</v>
      </c>
      <c r="K73" s="16">
        <f>VLOOKUP(B73,Sheet1!A:C,3,0)</f>
        <v>3.2</v>
      </c>
      <c r="L73" s="15" t="e">
        <f t="shared" si="12"/>
        <v>#DIV/0!</v>
      </c>
      <c r="M73" s="14">
        <f>VLOOKUP(B73,Sheet1!A:D,4,0)</f>
        <v>0.8</v>
      </c>
      <c r="N73" s="14">
        <f>VLOOKUP(B73,Sheet1!A:E,5,0)</f>
        <v>7.3298</v>
      </c>
      <c r="O73" s="15">
        <f t="shared" si="21"/>
        <v>8.16225</v>
      </c>
    </row>
    <row r="74" customFormat="1" ht="16.5" spans="1:15">
      <c r="A74" s="13"/>
      <c r="B74" s="13" t="s">
        <v>480</v>
      </c>
      <c r="C74" s="14">
        <v>19.4</v>
      </c>
      <c r="D74" s="14">
        <v>0</v>
      </c>
      <c r="E74" s="14">
        <v>0</v>
      </c>
      <c r="F74" s="15" t="e">
        <f t="shared" si="20"/>
        <v>#DIV/0!</v>
      </c>
      <c r="G74" s="16">
        <v>0</v>
      </c>
      <c r="H74" s="16">
        <v>5.6567</v>
      </c>
      <c r="I74" s="15" t="e">
        <f t="shared" si="11"/>
        <v>#DIV/0!</v>
      </c>
      <c r="J74" s="16">
        <f>VLOOKUP(B74,Sheet1!A:B,2,0)</f>
        <v>0</v>
      </c>
      <c r="K74" s="16">
        <f>VLOOKUP(B74,Sheet1!A:C,3,0)</f>
        <v>0</v>
      </c>
      <c r="L74" s="15" t="e">
        <f t="shared" si="12"/>
        <v>#DIV/0!</v>
      </c>
      <c r="M74" s="14">
        <f>VLOOKUP(B74,Sheet1!A:D,4,0)</f>
        <v>2.966</v>
      </c>
      <c r="N74" s="14">
        <f>VLOOKUP(B74,Sheet1!A:E,5,0)</f>
        <v>5.6567</v>
      </c>
      <c r="O74" s="15">
        <f t="shared" si="21"/>
        <v>0.907181389076197</v>
      </c>
    </row>
    <row r="75" customFormat="1" ht="16.5" spans="1:15">
      <c r="A75" s="13"/>
      <c r="B75" s="13" t="s">
        <v>517</v>
      </c>
      <c r="C75" s="14">
        <v>12.6</v>
      </c>
      <c r="D75" s="14"/>
      <c r="E75" s="14"/>
      <c r="F75" s="15" t="e">
        <f t="shared" si="20"/>
        <v>#DIV/0!</v>
      </c>
      <c r="G75" s="16">
        <v>0</v>
      </c>
      <c r="H75" s="16">
        <v>2.19</v>
      </c>
      <c r="I75" s="15" t="e">
        <f t="shared" si="11"/>
        <v>#DIV/0!</v>
      </c>
      <c r="J75" s="16">
        <f>VLOOKUP(B75,Sheet1!A:B,2,0)</f>
        <v>0</v>
      </c>
      <c r="K75" s="16">
        <f>VLOOKUP(B75,Sheet1!A:C,3,0)</f>
        <v>0</v>
      </c>
      <c r="L75" s="15" t="e">
        <f t="shared" si="12"/>
        <v>#DIV/0!</v>
      </c>
      <c r="M75" s="14">
        <f>VLOOKUP(B75,Sheet1!A:D,4,0)</f>
        <v>0</v>
      </c>
      <c r="N75" s="14">
        <f>VLOOKUP(B75,Sheet1!A:E,5,0)</f>
        <v>2.19</v>
      </c>
      <c r="O75" s="15" t="e">
        <f t="shared" si="21"/>
        <v>#DIV/0!</v>
      </c>
    </row>
    <row r="76" s="4" customFormat="1" ht="16.5" spans="1:15">
      <c r="A76" s="12"/>
      <c r="B76" s="12" t="s">
        <v>32</v>
      </c>
      <c r="C76" s="18">
        <f t="shared" ref="C76:H76" si="22">SUM(C67:C75)</f>
        <v>253.3</v>
      </c>
      <c r="D76" s="18">
        <f t="shared" si="22"/>
        <v>27.3265</v>
      </c>
      <c r="E76" s="18">
        <f t="shared" si="22"/>
        <v>44.2531</v>
      </c>
      <c r="F76" s="19">
        <f t="shared" si="20"/>
        <v>0.619420708835746</v>
      </c>
      <c r="G76" s="18">
        <f t="shared" si="22"/>
        <v>28.3089</v>
      </c>
      <c r="H76" s="18">
        <f t="shared" si="22"/>
        <v>45.4205</v>
      </c>
      <c r="I76" s="19">
        <f t="shared" si="11"/>
        <v>0.604460081458481</v>
      </c>
      <c r="J76" s="18">
        <f t="shared" ref="J76:N76" si="23">SUM(J67:J75)</f>
        <v>12.203</v>
      </c>
      <c r="K76" s="18">
        <f t="shared" si="23"/>
        <v>7.175</v>
      </c>
      <c r="L76" s="19">
        <f t="shared" si="12"/>
        <v>-0.41202982873064</v>
      </c>
      <c r="M76" s="18">
        <f t="shared" si="23"/>
        <v>80.3912</v>
      </c>
      <c r="N76" s="18">
        <f t="shared" si="23"/>
        <v>124.1751</v>
      </c>
      <c r="O76" s="19">
        <f t="shared" si="21"/>
        <v>0.544635482490621</v>
      </c>
    </row>
    <row r="77" s="4" customFormat="1" ht="16.5" spans="1:15">
      <c r="A77" s="12" t="s">
        <v>541</v>
      </c>
      <c r="B77" s="12"/>
      <c r="C77" s="9">
        <f t="shared" ref="C77:H77" si="24">C76+C66++C56+C48+C41+C35+C26+C19+C13</f>
        <v>5575</v>
      </c>
      <c r="D77" s="9">
        <f t="shared" si="24"/>
        <v>2285.386094</v>
      </c>
      <c r="E77" s="9">
        <f t="shared" si="24"/>
        <v>2802.658238</v>
      </c>
      <c r="F77" s="19">
        <f t="shared" si="20"/>
        <v>0.226339061639534</v>
      </c>
      <c r="G77" s="9">
        <f t="shared" si="24"/>
        <v>2254.991903</v>
      </c>
      <c r="H77" s="9">
        <f t="shared" si="24"/>
        <v>1788.508153</v>
      </c>
      <c r="I77" s="19">
        <f t="shared" si="11"/>
        <v>-0.206867150777525</v>
      </c>
      <c r="J77" s="9">
        <f t="shared" ref="J77:N77" si="25">J76+J66++J56+J48+J41+J35+J26+J19+J13</f>
        <v>1332.28081</v>
      </c>
      <c r="K77" s="9">
        <f t="shared" si="25"/>
        <v>632.300836</v>
      </c>
      <c r="L77" s="19">
        <f t="shared" si="12"/>
        <v>-0.525399727104078</v>
      </c>
      <c r="M77" s="9">
        <f t="shared" si="25"/>
        <v>7845.696209</v>
      </c>
      <c r="N77" s="9">
        <f t="shared" si="25"/>
        <v>7508.921811</v>
      </c>
      <c r="O77" s="19">
        <f t="shared" si="21"/>
        <v>-0.0429247308369749</v>
      </c>
    </row>
  </sheetData>
  <mergeCells count="22">
    <mergeCell ref="A1:O1"/>
    <mergeCell ref="D2:E2"/>
    <mergeCell ref="G2:H2"/>
    <mergeCell ref="J2:K2"/>
    <mergeCell ref="M2:N2"/>
    <mergeCell ref="A77:B77"/>
    <mergeCell ref="A2:A3"/>
    <mergeCell ref="A4:A13"/>
    <mergeCell ref="A14:A19"/>
    <mergeCell ref="A20:A26"/>
    <mergeCell ref="A27:A35"/>
    <mergeCell ref="A36:A41"/>
    <mergeCell ref="A42:A48"/>
    <mergeCell ref="A49:A56"/>
    <mergeCell ref="A57:A66"/>
    <mergeCell ref="A67:A76"/>
    <mergeCell ref="B2:B3"/>
    <mergeCell ref="C2:C3"/>
    <mergeCell ref="F2:F3"/>
    <mergeCell ref="I2:I3"/>
    <mergeCell ref="L2:L3"/>
    <mergeCell ref="O2:O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46"/>
  <sheetViews>
    <sheetView topLeftCell="A85" workbookViewId="0">
      <selection activeCell="B135" sqref="B135"/>
    </sheetView>
  </sheetViews>
  <sheetFormatPr defaultColWidth="9" defaultRowHeight="14" outlineLevelCol="2"/>
  <cols>
    <col min="1" max="1" width="7.87272727272727" style="3" customWidth="1"/>
    <col min="2" max="2" width="39.8727272727273" style="3" customWidth="1"/>
    <col min="3" max="3" width="22.8727272727273" style="3"/>
  </cols>
  <sheetData>
    <row r="3" spans="1:3">
      <c r="A3" s="3" t="s">
        <v>542</v>
      </c>
      <c r="B3" s="3" t="s">
        <v>543</v>
      </c>
      <c r="C3" s="3" t="s">
        <v>544</v>
      </c>
    </row>
    <row r="4" spans="1:3">
      <c r="A4" s="3" t="s">
        <v>38</v>
      </c>
      <c r="C4" s="3">
        <v>9287</v>
      </c>
    </row>
    <row r="5" spans="1:3">
      <c r="B5" s="3" t="s">
        <v>545</v>
      </c>
      <c r="C5" s="3">
        <v>9287</v>
      </c>
    </row>
    <row r="6" spans="1:3">
      <c r="A6" s="3" t="s">
        <v>25</v>
      </c>
      <c r="C6" s="3">
        <v>2278106.59</v>
      </c>
    </row>
    <row r="7" spans="1:3">
      <c r="B7" s="3" t="s">
        <v>546</v>
      </c>
      <c r="C7" s="3">
        <v>2745</v>
      </c>
    </row>
    <row r="8" spans="1:3">
      <c r="B8" s="3" t="s">
        <v>101</v>
      </c>
      <c r="C8" s="3">
        <v>85329</v>
      </c>
    </row>
    <row r="9" spans="1:3">
      <c r="B9" s="3" t="s">
        <v>128</v>
      </c>
      <c r="C9" s="3">
        <v>36202</v>
      </c>
    </row>
    <row r="10" spans="1:3">
      <c r="B10" s="3" t="s">
        <v>123</v>
      </c>
      <c r="C10" s="3">
        <v>266862</v>
      </c>
    </row>
    <row r="11" spans="1:3">
      <c r="B11" s="3" t="s">
        <v>99</v>
      </c>
      <c r="C11" s="3">
        <v>65384</v>
      </c>
    </row>
    <row r="12" spans="1:3">
      <c r="B12" s="3" t="s">
        <v>109</v>
      </c>
      <c r="C12" s="3">
        <v>300290.75</v>
      </c>
    </row>
    <row r="13" spans="1:3">
      <c r="B13" s="3" t="s">
        <v>69</v>
      </c>
      <c r="C13" s="3">
        <v>34000</v>
      </c>
    </row>
    <row r="14" spans="1:3">
      <c r="B14" s="3" t="s">
        <v>122</v>
      </c>
      <c r="C14" s="3">
        <v>1397.6</v>
      </c>
    </row>
    <row r="15" spans="1:3">
      <c r="B15" s="3" t="s">
        <v>89</v>
      </c>
      <c r="C15" s="3">
        <v>330288.06</v>
      </c>
    </row>
    <row r="16" spans="1:3">
      <c r="B16" s="3" t="s">
        <v>66</v>
      </c>
      <c r="C16" s="3">
        <v>40000</v>
      </c>
    </row>
    <row r="17" spans="1:3">
      <c r="B17" s="3" t="s">
        <v>85</v>
      </c>
      <c r="C17" s="3">
        <v>49284</v>
      </c>
    </row>
    <row r="18" spans="1:3">
      <c r="B18" s="3" t="s">
        <v>62</v>
      </c>
      <c r="C18" s="3">
        <v>100000</v>
      </c>
    </row>
    <row r="19" spans="1:3">
      <c r="B19" s="3" t="s">
        <v>132</v>
      </c>
      <c r="C19" s="3">
        <v>41710</v>
      </c>
    </row>
    <row r="20" spans="1:3">
      <c r="B20" s="3" t="s">
        <v>117</v>
      </c>
      <c r="C20" s="3">
        <v>125003.28</v>
      </c>
    </row>
    <row r="21" spans="1:3">
      <c r="B21" s="3" t="s">
        <v>126</v>
      </c>
      <c r="C21" s="3">
        <v>4590</v>
      </c>
    </row>
    <row r="22" spans="1:3">
      <c r="B22" s="3" t="s">
        <v>71</v>
      </c>
      <c r="C22" s="3">
        <v>100000</v>
      </c>
    </row>
    <row r="23" spans="1:3">
      <c r="B23" s="3" t="s">
        <v>124</v>
      </c>
      <c r="C23" s="3">
        <v>123428</v>
      </c>
    </row>
    <row r="24" spans="1:3">
      <c r="B24" s="3" t="s">
        <v>547</v>
      </c>
      <c r="C24" s="3">
        <v>300000</v>
      </c>
    </row>
    <row r="25" spans="1:3">
      <c r="B25" s="3" t="s">
        <v>61</v>
      </c>
      <c r="C25" s="3">
        <v>224728.9</v>
      </c>
    </row>
    <row r="26" spans="1:3">
      <c r="B26" s="3" t="s">
        <v>118</v>
      </c>
      <c r="C26" s="3">
        <v>46864</v>
      </c>
    </row>
    <row r="27" spans="1:3">
      <c r="A27" s="3" t="s">
        <v>28</v>
      </c>
      <c r="C27" s="3">
        <v>196308</v>
      </c>
    </row>
    <row r="28" spans="1:3">
      <c r="B28" s="3" t="s">
        <v>148</v>
      </c>
      <c r="C28" s="3">
        <v>21969</v>
      </c>
    </row>
    <row r="29" spans="1:3">
      <c r="B29" s="3" t="s">
        <v>142</v>
      </c>
      <c r="C29" s="3">
        <v>150000</v>
      </c>
    </row>
    <row r="30" spans="1:3">
      <c r="B30" s="3" t="s">
        <v>160</v>
      </c>
      <c r="C30" s="3">
        <v>24339</v>
      </c>
    </row>
    <row r="31" spans="1:3">
      <c r="A31" s="3" t="s">
        <v>30</v>
      </c>
      <c r="C31" s="3">
        <v>891115.36</v>
      </c>
    </row>
    <row r="32" spans="1:3">
      <c r="B32" s="3" t="s">
        <v>548</v>
      </c>
      <c r="C32" s="3">
        <v>30000</v>
      </c>
    </row>
    <row r="33" spans="2:3">
      <c r="B33" s="3" t="s">
        <v>200</v>
      </c>
      <c r="C33" s="3">
        <v>2400</v>
      </c>
    </row>
    <row r="34" spans="2:3">
      <c r="B34" s="3" t="s">
        <v>219</v>
      </c>
      <c r="C34" s="3">
        <v>15422</v>
      </c>
    </row>
    <row r="35" spans="2:3">
      <c r="B35" s="3" t="s">
        <v>165</v>
      </c>
      <c r="C35" s="3">
        <v>200000</v>
      </c>
    </row>
    <row r="36" spans="2:3">
      <c r="B36" s="3" t="s">
        <v>251</v>
      </c>
      <c r="C36" s="3">
        <v>2400</v>
      </c>
    </row>
    <row r="37" spans="2:3">
      <c r="B37" s="3" t="s">
        <v>231</v>
      </c>
      <c r="C37" s="3">
        <v>17670</v>
      </c>
    </row>
    <row r="38" spans="2:3">
      <c r="B38" s="3" t="s">
        <v>217</v>
      </c>
      <c r="C38" s="3">
        <v>7460.9</v>
      </c>
    </row>
    <row r="39" spans="2:3">
      <c r="B39" s="3" t="s">
        <v>142</v>
      </c>
      <c r="C39" s="3">
        <v>80000</v>
      </c>
    </row>
    <row r="40" spans="2:3">
      <c r="B40" s="3" t="s">
        <v>182</v>
      </c>
      <c r="C40" s="3">
        <v>19333</v>
      </c>
    </row>
    <row r="41" spans="2:3">
      <c r="B41" s="3" t="s">
        <v>184</v>
      </c>
      <c r="C41" s="3">
        <v>50000</v>
      </c>
    </row>
    <row r="42" spans="2:3">
      <c r="B42" s="3" t="s">
        <v>177</v>
      </c>
      <c r="C42" s="3">
        <v>123898</v>
      </c>
    </row>
    <row r="43" spans="2:3">
      <c r="B43" s="3" t="s">
        <v>549</v>
      </c>
      <c r="C43" s="3">
        <v>50896</v>
      </c>
    </row>
    <row r="44" spans="2:3">
      <c r="B44" s="3" t="s">
        <v>214</v>
      </c>
      <c r="C44" s="3">
        <v>6279</v>
      </c>
    </row>
    <row r="45" spans="2:3">
      <c r="B45" s="3" t="s">
        <v>180</v>
      </c>
      <c r="C45" s="3">
        <v>7900</v>
      </c>
    </row>
    <row r="46" spans="2:3">
      <c r="B46" s="3" t="s">
        <v>190</v>
      </c>
      <c r="C46" s="3">
        <v>109216.46</v>
      </c>
    </row>
    <row r="47" spans="2:3">
      <c r="B47" s="3" t="s">
        <v>254</v>
      </c>
      <c r="C47" s="3">
        <v>27626</v>
      </c>
    </row>
    <row r="48" spans="2:3">
      <c r="B48" s="3" t="s">
        <v>194</v>
      </c>
      <c r="C48" s="3">
        <v>15262</v>
      </c>
    </row>
    <row r="49" spans="1:3">
      <c r="B49" s="3" t="s">
        <v>215</v>
      </c>
      <c r="C49" s="3">
        <v>6439</v>
      </c>
    </row>
    <row r="50" spans="1:3">
      <c r="B50" s="3" t="s">
        <v>550</v>
      </c>
      <c r="C50" s="3">
        <v>29296</v>
      </c>
    </row>
    <row r="51" spans="1:3">
      <c r="B51" s="3" t="s">
        <v>237</v>
      </c>
      <c r="C51" s="3">
        <v>20000</v>
      </c>
    </row>
    <row r="52" spans="1:3">
      <c r="B52" s="3" t="s">
        <v>203</v>
      </c>
      <c r="C52" s="3">
        <v>15227</v>
      </c>
    </row>
    <row r="53" spans="1:3">
      <c r="B53" s="3" t="s">
        <v>181</v>
      </c>
      <c r="C53" s="3">
        <v>33985</v>
      </c>
    </row>
    <row r="54" spans="1:3">
      <c r="B54" s="3" t="s">
        <v>178</v>
      </c>
      <c r="C54" s="3">
        <v>12950</v>
      </c>
    </row>
    <row r="55" spans="1:3">
      <c r="B55" s="3" t="s">
        <v>186</v>
      </c>
      <c r="C55" s="3">
        <v>3899</v>
      </c>
    </row>
    <row r="56" spans="1:3">
      <c r="B56" s="3" t="s">
        <v>233</v>
      </c>
      <c r="C56" s="3">
        <v>3556</v>
      </c>
    </row>
    <row r="57" spans="1:3">
      <c r="A57" s="3" t="s">
        <v>258</v>
      </c>
      <c r="C57" s="3">
        <v>191307.9</v>
      </c>
    </row>
    <row r="58" spans="1:3">
      <c r="B58" s="3" t="s">
        <v>551</v>
      </c>
      <c r="C58" s="3">
        <v>-2.27373675443232e-13</v>
      </c>
    </row>
    <row r="59" spans="1:3">
      <c r="B59" s="3" t="s">
        <v>279</v>
      </c>
      <c r="C59" s="3">
        <v>57125</v>
      </c>
    </row>
    <row r="60" spans="1:3">
      <c r="B60" s="3" t="s">
        <v>301</v>
      </c>
      <c r="C60" s="3">
        <v>136.9</v>
      </c>
    </row>
    <row r="61" spans="1:3">
      <c r="B61" s="3" t="s">
        <v>298</v>
      </c>
      <c r="C61" s="3">
        <v>25150</v>
      </c>
    </row>
    <row r="62" spans="1:3">
      <c r="B62" s="3" t="s">
        <v>273</v>
      </c>
      <c r="C62" s="3">
        <v>19913</v>
      </c>
    </row>
    <row r="63" spans="1:3">
      <c r="B63" s="3" t="s">
        <v>552</v>
      </c>
      <c r="C63" s="3">
        <v>8362</v>
      </c>
    </row>
    <row r="64" spans="1:3">
      <c r="B64" s="3" t="s">
        <v>303</v>
      </c>
      <c r="C64" s="3">
        <v>7490</v>
      </c>
    </row>
    <row r="65" spans="1:3">
      <c r="B65" s="3" t="s">
        <v>263</v>
      </c>
      <c r="C65" s="3">
        <v>73131</v>
      </c>
    </row>
    <row r="66" spans="1:3">
      <c r="A66" s="3" t="s">
        <v>34</v>
      </c>
      <c r="C66" s="3">
        <v>1637345.37</v>
      </c>
    </row>
    <row r="67" spans="1:3">
      <c r="B67" s="3" t="s">
        <v>553</v>
      </c>
      <c r="C67" s="3">
        <v>106883.4</v>
      </c>
    </row>
    <row r="68" spans="1:3">
      <c r="B68" s="3" t="s">
        <v>372</v>
      </c>
      <c r="C68" s="3">
        <v>72981</v>
      </c>
    </row>
    <row r="69" spans="1:3">
      <c r="B69" s="3" t="s">
        <v>410</v>
      </c>
      <c r="C69" s="3">
        <v>33512.36</v>
      </c>
    </row>
    <row r="70" spans="1:3">
      <c r="B70" s="3" t="s">
        <v>357</v>
      </c>
      <c r="C70" s="3">
        <v>50000</v>
      </c>
    </row>
    <row r="71" spans="1:3">
      <c r="B71" s="3" t="s">
        <v>411</v>
      </c>
      <c r="C71" s="3">
        <v>35816</v>
      </c>
    </row>
    <row r="72" spans="1:3">
      <c r="B72" s="3" t="s">
        <v>412</v>
      </c>
      <c r="C72" s="3">
        <v>2200</v>
      </c>
    </row>
    <row r="73" spans="1:3">
      <c r="B73" s="3" t="s">
        <v>364</v>
      </c>
      <c r="C73" s="3">
        <v>49036</v>
      </c>
    </row>
    <row r="74" spans="1:3">
      <c r="B74" s="3" t="s">
        <v>371</v>
      </c>
      <c r="C74" s="3">
        <v>105078.9</v>
      </c>
    </row>
    <row r="75" spans="1:3">
      <c r="B75" s="3" t="s">
        <v>413</v>
      </c>
      <c r="C75" s="3">
        <v>36250</v>
      </c>
    </row>
    <row r="76" spans="1:3">
      <c r="B76" s="3" t="s">
        <v>409</v>
      </c>
      <c r="C76" s="3">
        <v>26682</v>
      </c>
    </row>
    <row r="77" spans="1:3">
      <c r="B77" s="3" t="s">
        <v>407</v>
      </c>
      <c r="C77" s="3">
        <v>68714.66</v>
      </c>
    </row>
    <row r="78" spans="1:3">
      <c r="B78" s="3" t="s">
        <v>374</v>
      </c>
      <c r="C78" s="3">
        <v>30000</v>
      </c>
    </row>
    <row r="79" spans="1:3">
      <c r="B79" s="3" t="s">
        <v>368</v>
      </c>
      <c r="C79" s="3">
        <v>30000</v>
      </c>
    </row>
    <row r="80" spans="1:3">
      <c r="B80" s="3" t="s">
        <v>366</v>
      </c>
      <c r="C80" s="3">
        <v>193420.35</v>
      </c>
    </row>
    <row r="81" spans="1:3">
      <c r="B81" s="3" t="s">
        <v>414</v>
      </c>
      <c r="C81" s="3">
        <v>36802.7</v>
      </c>
    </row>
    <row r="82" spans="1:3">
      <c r="B82" s="3" t="s">
        <v>554</v>
      </c>
      <c r="C82" s="3">
        <v>22651</v>
      </c>
    </row>
    <row r="83" spans="1:3">
      <c r="B83" s="3" t="s">
        <v>555</v>
      </c>
      <c r="C83" s="3">
        <v>80000</v>
      </c>
    </row>
    <row r="84" spans="1:3">
      <c r="B84" s="3" t="s">
        <v>397</v>
      </c>
      <c r="C84" s="3">
        <v>52521</v>
      </c>
    </row>
    <row r="85" spans="1:3">
      <c r="B85" s="3" t="s">
        <v>349</v>
      </c>
      <c r="C85" s="3">
        <v>290000</v>
      </c>
    </row>
    <row r="86" spans="1:3">
      <c r="B86" s="3" t="s">
        <v>370</v>
      </c>
      <c r="C86" s="3">
        <v>305000</v>
      </c>
    </row>
    <row r="87" spans="1:3">
      <c r="B87" s="3" t="s">
        <v>415</v>
      </c>
      <c r="C87" s="3">
        <v>4800</v>
      </c>
    </row>
    <row r="88" spans="1:3">
      <c r="B88" s="3" t="s">
        <v>356</v>
      </c>
      <c r="C88" s="3">
        <v>4996</v>
      </c>
    </row>
    <row r="89" spans="1:3">
      <c r="A89" s="3" t="s">
        <v>31</v>
      </c>
      <c r="C89" s="3">
        <v>666246.78</v>
      </c>
    </row>
    <row r="90" spans="1:3">
      <c r="B90" s="3" t="s">
        <v>321</v>
      </c>
      <c r="C90" s="3">
        <v>24600</v>
      </c>
    </row>
    <row r="91" spans="1:3">
      <c r="B91" s="3" t="s">
        <v>347</v>
      </c>
      <c r="C91" s="3">
        <v>1038</v>
      </c>
    </row>
    <row r="92" spans="1:3">
      <c r="B92" s="3" t="s">
        <v>556</v>
      </c>
      <c r="C92" s="3">
        <v>30000</v>
      </c>
    </row>
    <row r="93" spans="1:3">
      <c r="B93" s="3" t="s">
        <v>557</v>
      </c>
      <c r="C93" s="3">
        <v>71511.68</v>
      </c>
    </row>
    <row r="94" spans="1:3">
      <c r="B94" s="3" t="s">
        <v>318</v>
      </c>
      <c r="C94" s="3">
        <v>6034</v>
      </c>
    </row>
    <row r="95" spans="1:3">
      <c r="B95" s="3" t="s">
        <v>326</v>
      </c>
      <c r="C95" s="3">
        <v>239224</v>
      </c>
    </row>
    <row r="96" spans="1:3">
      <c r="B96" s="3" t="s">
        <v>341</v>
      </c>
      <c r="C96" s="3">
        <v>49109</v>
      </c>
    </row>
    <row r="97" spans="1:3">
      <c r="B97" s="3" t="s">
        <v>308</v>
      </c>
      <c r="C97" s="3">
        <v>4006</v>
      </c>
    </row>
    <row r="98" spans="1:3">
      <c r="B98" s="3" t="s">
        <v>342</v>
      </c>
      <c r="C98" s="3">
        <v>3791</v>
      </c>
    </row>
    <row r="99" spans="1:3">
      <c r="B99" s="3" t="s">
        <v>304</v>
      </c>
      <c r="C99" s="3">
        <v>12134</v>
      </c>
    </row>
    <row r="100" spans="1:3">
      <c r="B100" s="3" t="s">
        <v>337</v>
      </c>
      <c r="C100" s="3">
        <v>32980</v>
      </c>
    </row>
    <row r="101" spans="1:3">
      <c r="B101" s="3" t="s">
        <v>329</v>
      </c>
      <c r="C101" s="3">
        <v>10000</v>
      </c>
    </row>
    <row r="102" spans="1:3">
      <c r="B102" s="3" t="s">
        <v>323</v>
      </c>
      <c r="C102" s="3">
        <v>5786</v>
      </c>
    </row>
    <row r="103" spans="1:3">
      <c r="B103" s="3" t="s">
        <v>333</v>
      </c>
      <c r="C103" s="3">
        <v>39220.1</v>
      </c>
    </row>
    <row r="104" spans="1:3">
      <c r="B104" s="3" t="s">
        <v>327</v>
      </c>
      <c r="C104" s="3">
        <v>35423</v>
      </c>
    </row>
    <row r="105" spans="1:3">
      <c r="B105" s="3" t="s">
        <v>328</v>
      </c>
      <c r="C105" s="3">
        <v>1760</v>
      </c>
    </row>
    <row r="106" spans="1:3">
      <c r="B106" s="3" t="s">
        <v>319</v>
      </c>
      <c r="C106" s="3">
        <v>99630</v>
      </c>
    </row>
    <row r="107" spans="1:3">
      <c r="A107" s="3" t="s">
        <v>416</v>
      </c>
      <c r="C107" s="3">
        <v>407028.36</v>
      </c>
    </row>
    <row r="108" spans="1:3">
      <c r="B108" s="3" t="s">
        <v>486</v>
      </c>
      <c r="C108" s="3">
        <v>6088</v>
      </c>
    </row>
    <row r="109" spans="1:3">
      <c r="B109" s="3" t="s">
        <v>505</v>
      </c>
      <c r="C109" s="3">
        <v>56093</v>
      </c>
    </row>
    <row r="110" spans="1:3">
      <c r="B110" s="3" t="s">
        <v>425</v>
      </c>
      <c r="C110" s="3">
        <v>3800</v>
      </c>
    </row>
    <row r="111" spans="1:3">
      <c r="B111" s="3" t="s">
        <v>421</v>
      </c>
      <c r="C111" s="3">
        <v>3372</v>
      </c>
    </row>
    <row r="112" spans="1:3">
      <c r="B112" s="3" t="s">
        <v>497</v>
      </c>
      <c r="C112" s="3">
        <v>27550</v>
      </c>
    </row>
    <row r="113" spans="2:3">
      <c r="B113" s="3" t="s">
        <v>518</v>
      </c>
      <c r="C113" s="3">
        <v>4800</v>
      </c>
    </row>
    <row r="114" spans="2:3">
      <c r="B114" s="3" t="s">
        <v>471</v>
      </c>
      <c r="C114" s="3">
        <v>1736</v>
      </c>
    </row>
    <row r="115" spans="2:3">
      <c r="B115" s="3" t="s">
        <v>514</v>
      </c>
      <c r="C115" s="3">
        <v>-152</v>
      </c>
    </row>
    <row r="116" spans="2:3">
      <c r="B116" s="3" t="s">
        <v>513</v>
      </c>
      <c r="C116" s="3">
        <v>7400</v>
      </c>
    </row>
    <row r="117" spans="2:3">
      <c r="B117" s="3" t="s">
        <v>417</v>
      </c>
      <c r="C117" s="3">
        <v>3950</v>
      </c>
    </row>
    <row r="118" spans="2:3">
      <c r="B118" s="3" t="s">
        <v>508</v>
      </c>
      <c r="C118" s="3">
        <v>66605</v>
      </c>
    </row>
    <row r="119" spans="2:3">
      <c r="B119" s="3" t="s">
        <v>520</v>
      </c>
      <c r="C119" s="3">
        <v>32000</v>
      </c>
    </row>
    <row r="120" spans="2:3">
      <c r="B120" s="3" t="s">
        <v>465</v>
      </c>
      <c r="C120" s="3">
        <v>5608</v>
      </c>
    </row>
    <row r="121" spans="2:3">
      <c r="B121" s="3" t="s">
        <v>451</v>
      </c>
      <c r="C121" s="3">
        <v>14900</v>
      </c>
    </row>
    <row r="122" spans="2:3">
      <c r="B122" s="3" t="s">
        <v>452</v>
      </c>
      <c r="C122" s="3">
        <v>3613.36</v>
      </c>
    </row>
    <row r="123" spans="2:3">
      <c r="B123" s="3" t="s">
        <v>448</v>
      </c>
      <c r="C123" s="3">
        <v>11801</v>
      </c>
    </row>
    <row r="124" spans="2:3">
      <c r="B124" s="3" t="s">
        <v>454</v>
      </c>
      <c r="C124" s="3">
        <v>23470</v>
      </c>
    </row>
    <row r="125" spans="2:3">
      <c r="B125" s="3" t="s">
        <v>469</v>
      </c>
      <c r="C125" s="3">
        <v>76444</v>
      </c>
    </row>
    <row r="126" spans="2:3">
      <c r="B126" s="3" t="s">
        <v>434</v>
      </c>
      <c r="C126" s="3">
        <v>10000</v>
      </c>
    </row>
    <row r="127" spans="2:3">
      <c r="B127" s="3" t="s">
        <v>501</v>
      </c>
      <c r="C127" s="3">
        <v>2775</v>
      </c>
    </row>
    <row r="128" spans="2:3">
      <c r="B128" s="3" t="s">
        <v>431</v>
      </c>
      <c r="C128" s="3">
        <v>29952</v>
      </c>
    </row>
    <row r="129" spans="1:3">
      <c r="B129" s="3" t="s">
        <v>424</v>
      </c>
      <c r="C129" s="3">
        <v>9452</v>
      </c>
    </row>
    <row r="130" spans="1:3">
      <c r="B130" s="3" t="s">
        <v>428</v>
      </c>
      <c r="C130" s="3">
        <v>5771</v>
      </c>
    </row>
    <row r="131" spans="1:3">
      <c r="A131" s="3" t="s">
        <v>558</v>
      </c>
      <c r="C131" s="3">
        <v>532345</v>
      </c>
    </row>
    <row r="132" spans="1:3">
      <c r="B132" s="3" t="s">
        <v>523</v>
      </c>
      <c r="C132" s="3">
        <v>532345</v>
      </c>
    </row>
    <row r="133" spans="1:3">
      <c r="A133" s="3" t="s">
        <v>559</v>
      </c>
      <c r="C133" s="3">
        <v>198796.61</v>
      </c>
    </row>
    <row r="134" spans="1:3">
      <c r="B134" s="3" t="s">
        <v>560</v>
      </c>
      <c r="C134" s="3">
        <v>15739.2</v>
      </c>
    </row>
    <row r="135" spans="1:3">
      <c r="B135" s="3" t="s">
        <v>89</v>
      </c>
      <c r="C135" s="3">
        <v>9847.7</v>
      </c>
    </row>
    <row r="136" spans="1:3">
      <c r="B136" s="3" t="s">
        <v>561</v>
      </c>
      <c r="C136" s="3">
        <v>9108.1</v>
      </c>
    </row>
    <row r="137" spans="1:3">
      <c r="B137" s="3" t="s">
        <v>132</v>
      </c>
      <c r="C137" s="3">
        <v>416.63</v>
      </c>
    </row>
    <row r="138" spans="1:3">
      <c r="B138" s="3" t="s">
        <v>562</v>
      </c>
      <c r="C138" s="3">
        <v>7961</v>
      </c>
    </row>
    <row r="139" spans="1:3">
      <c r="B139" s="3" t="s">
        <v>120</v>
      </c>
      <c r="C139" s="3">
        <v>30887.28</v>
      </c>
    </row>
    <row r="140" spans="1:3">
      <c r="B140" s="3" t="s">
        <v>563</v>
      </c>
      <c r="C140" s="3">
        <v>36276.48</v>
      </c>
    </row>
    <row r="141" spans="1:3">
      <c r="B141" s="3" t="s">
        <v>564</v>
      </c>
      <c r="C141" s="3">
        <v>10970</v>
      </c>
    </row>
    <row r="142" spans="1:3">
      <c r="B142" s="3" t="s">
        <v>565</v>
      </c>
      <c r="C142" s="3">
        <v>11543.15</v>
      </c>
    </row>
    <row r="143" spans="1:3">
      <c r="B143" s="3" t="s">
        <v>566</v>
      </c>
      <c r="C143" s="3">
        <v>66047.06</v>
      </c>
    </row>
    <row r="144" spans="1:3">
      <c r="B144" s="3" t="s">
        <v>567</v>
      </c>
      <c r="C144" s="3">
        <v>0.01</v>
      </c>
    </row>
    <row r="145" spans="1:3">
      <c r="B145" s="3" t="s">
        <v>559</v>
      </c>
    </row>
    <row r="146" spans="1:3">
      <c r="A146" s="3" t="s">
        <v>541</v>
      </c>
      <c r="C146" s="3">
        <v>7007886.97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opLeftCell="A40" workbookViewId="0">
      <selection activeCell="B135" sqref="B135"/>
    </sheetView>
  </sheetViews>
  <sheetFormatPr defaultColWidth="9" defaultRowHeight="14" outlineLevelCol="4"/>
  <sheetData>
    <row r="1" spans="1:5">
      <c r="A1" s="1" t="s">
        <v>51</v>
      </c>
      <c r="B1" s="1" t="s">
        <v>568</v>
      </c>
      <c r="C1" s="1" t="s">
        <v>569</v>
      </c>
      <c r="D1" s="1" t="s">
        <v>570</v>
      </c>
      <c r="E1" s="1" t="s">
        <v>571</v>
      </c>
    </row>
    <row r="2" spans="1:5">
      <c r="A2" s="2" t="s">
        <v>156</v>
      </c>
      <c r="B2" s="2">
        <v>0</v>
      </c>
      <c r="C2" s="2">
        <v>0</v>
      </c>
      <c r="D2" s="2">
        <v>1.6674</v>
      </c>
      <c r="E2" s="2">
        <v>0</v>
      </c>
    </row>
    <row r="3" spans="1:5">
      <c r="A3" s="2" t="s">
        <v>466</v>
      </c>
      <c r="B3" s="2">
        <v>27.07232</v>
      </c>
      <c r="C3" s="2">
        <v>0.7344</v>
      </c>
      <c r="D3" s="2">
        <v>90.43902</v>
      </c>
      <c r="E3" s="2">
        <v>32.05226</v>
      </c>
    </row>
    <row r="4" spans="1:5">
      <c r="A4" s="2" t="s">
        <v>293</v>
      </c>
      <c r="B4" s="2">
        <v>0</v>
      </c>
      <c r="C4" s="2">
        <v>0</v>
      </c>
      <c r="D4" s="2">
        <v>3</v>
      </c>
      <c r="E4" s="2">
        <v>0</v>
      </c>
    </row>
    <row r="5" spans="1:5">
      <c r="A5" s="2" t="s">
        <v>76</v>
      </c>
      <c r="B5" s="2">
        <v>7.5532</v>
      </c>
      <c r="C5" s="2">
        <v>0</v>
      </c>
      <c r="D5" s="2">
        <v>25.5141</v>
      </c>
      <c r="E5" s="2">
        <v>17.3826</v>
      </c>
    </row>
    <row r="6" spans="1:5">
      <c r="A6" s="2" t="s">
        <v>146</v>
      </c>
      <c r="B6" s="2">
        <v>3.5103</v>
      </c>
      <c r="C6" s="2">
        <v>0</v>
      </c>
      <c r="D6" s="2">
        <v>36.788926</v>
      </c>
      <c r="E6" s="2">
        <v>36.9748</v>
      </c>
    </row>
    <row r="7" spans="1:5">
      <c r="A7" s="2" t="s">
        <v>276</v>
      </c>
      <c r="B7" s="2">
        <v>2.9878</v>
      </c>
      <c r="C7" s="2">
        <v>0</v>
      </c>
      <c r="D7" s="2">
        <v>8.2196</v>
      </c>
      <c r="E7" s="2">
        <v>1.225</v>
      </c>
    </row>
    <row r="8" spans="1:5">
      <c r="A8" s="2" t="s">
        <v>70</v>
      </c>
      <c r="B8" s="2">
        <v>21.9169</v>
      </c>
      <c r="C8" s="2">
        <v>3.4</v>
      </c>
      <c r="D8" s="2">
        <v>185.561888</v>
      </c>
      <c r="E8" s="2">
        <v>62.734</v>
      </c>
    </row>
    <row r="9" spans="1:5">
      <c r="A9" s="2" t="s">
        <v>166</v>
      </c>
      <c r="B9" s="2">
        <v>97.114591</v>
      </c>
      <c r="C9" s="2">
        <v>24.7822</v>
      </c>
      <c r="D9" s="2">
        <v>327.065591</v>
      </c>
      <c r="E9" s="2">
        <v>257.911843</v>
      </c>
    </row>
    <row r="10" spans="1:5">
      <c r="A10" s="2" t="s">
        <v>185</v>
      </c>
      <c r="B10" s="2">
        <v>18.2854</v>
      </c>
      <c r="C10" s="2">
        <v>7.007</v>
      </c>
      <c r="D10" s="2">
        <v>46.0869</v>
      </c>
      <c r="E10" s="2">
        <v>45.4301</v>
      </c>
    </row>
    <row r="11" spans="1:5">
      <c r="A11" s="2" t="s">
        <v>78</v>
      </c>
      <c r="B11" s="2">
        <v>271.034933</v>
      </c>
      <c r="C11" s="2">
        <v>126.791869</v>
      </c>
      <c r="D11" s="2">
        <v>1421.296429</v>
      </c>
      <c r="E11" s="2">
        <v>1614.711663</v>
      </c>
    </row>
    <row r="12" spans="1:5">
      <c r="A12" s="2" t="s">
        <v>143</v>
      </c>
      <c r="B12" s="2">
        <v>44.933464</v>
      </c>
      <c r="C12" s="2">
        <v>19.6308</v>
      </c>
      <c r="D12" s="2">
        <v>304.755708</v>
      </c>
      <c r="E12" s="2">
        <v>270.052512</v>
      </c>
    </row>
    <row r="13" spans="1:5">
      <c r="A13" s="2" t="s">
        <v>183</v>
      </c>
      <c r="B13" s="2">
        <v>11.1268</v>
      </c>
      <c r="C13" s="2">
        <v>3.456</v>
      </c>
      <c r="D13" s="2">
        <v>73.893017</v>
      </c>
      <c r="E13" s="2">
        <v>35.35584</v>
      </c>
    </row>
    <row r="14" spans="1:5">
      <c r="A14" s="2" t="s">
        <v>170</v>
      </c>
      <c r="B14" s="2">
        <v>40.830318</v>
      </c>
      <c r="C14" s="2">
        <v>27.645536</v>
      </c>
      <c r="D14" s="2">
        <v>267.29862</v>
      </c>
      <c r="E14" s="2">
        <v>350.070986</v>
      </c>
    </row>
    <row r="15" spans="1:5">
      <c r="A15" s="2" t="s">
        <v>74</v>
      </c>
      <c r="B15" s="2">
        <v>0</v>
      </c>
      <c r="C15" s="2">
        <v>0</v>
      </c>
      <c r="D15" s="2">
        <v>3</v>
      </c>
      <c r="E15" s="2">
        <v>0</v>
      </c>
    </row>
    <row r="16" spans="1:5">
      <c r="A16" s="2" t="s">
        <v>285</v>
      </c>
      <c r="B16" s="2">
        <v>0</v>
      </c>
      <c r="C16" s="2">
        <v>0</v>
      </c>
      <c r="D16" s="2">
        <v>1.9218</v>
      </c>
      <c r="E16" s="2">
        <v>0</v>
      </c>
    </row>
    <row r="17" spans="1:5">
      <c r="A17" s="2" t="s">
        <v>268</v>
      </c>
      <c r="B17" s="2">
        <v>57.376397</v>
      </c>
      <c r="C17" s="2">
        <v>14.12539</v>
      </c>
      <c r="D17" s="2">
        <v>241.219447</v>
      </c>
      <c r="E17" s="2">
        <v>341.117669</v>
      </c>
    </row>
    <row r="18" spans="1:5">
      <c r="A18" s="2" t="s">
        <v>489</v>
      </c>
      <c r="B18" s="2">
        <v>0</v>
      </c>
      <c r="C18" s="2">
        <v>0</v>
      </c>
      <c r="D18" s="2">
        <v>0</v>
      </c>
      <c r="E18" s="2">
        <v>0</v>
      </c>
    </row>
    <row r="19" spans="1:5">
      <c r="A19" s="2" t="s">
        <v>369</v>
      </c>
      <c r="B19" s="2">
        <v>16.2982</v>
      </c>
      <c r="C19" s="2">
        <v>30.143036</v>
      </c>
      <c r="D19" s="2">
        <v>191.987063</v>
      </c>
      <c r="E19" s="2">
        <v>158.692488</v>
      </c>
    </row>
    <row r="20" spans="1:5">
      <c r="A20" s="2" t="s">
        <v>278</v>
      </c>
      <c r="B20" s="2">
        <v>3.3726</v>
      </c>
      <c r="C20" s="2">
        <v>0</v>
      </c>
      <c r="D20" s="2">
        <v>53.6225</v>
      </c>
      <c r="E20" s="2">
        <v>3.4846</v>
      </c>
    </row>
    <row r="21" spans="1:5">
      <c r="A21" s="2" t="s">
        <v>422</v>
      </c>
      <c r="B21" s="2">
        <v>74.9722</v>
      </c>
      <c r="C21" s="2">
        <v>12.6329</v>
      </c>
      <c r="D21" s="2">
        <v>292.808908</v>
      </c>
      <c r="E21" s="2">
        <v>172.98874</v>
      </c>
    </row>
    <row r="22" spans="1:5">
      <c r="A22" s="2" t="s">
        <v>457</v>
      </c>
      <c r="B22" s="2">
        <v>6.728</v>
      </c>
      <c r="C22" s="2">
        <v>3.235</v>
      </c>
      <c r="D22" s="2">
        <v>53.2084</v>
      </c>
      <c r="E22" s="2">
        <v>58.9008</v>
      </c>
    </row>
    <row r="23" spans="1:5">
      <c r="A23" s="2" t="s">
        <v>68</v>
      </c>
      <c r="B23" s="2">
        <v>8.9609</v>
      </c>
      <c r="C23" s="2">
        <v>4</v>
      </c>
      <c r="D23" s="2">
        <v>122.6251</v>
      </c>
      <c r="E23" s="2">
        <v>44.161474</v>
      </c>
    </row>
    <row r="24" spans="1:5">
      <c r="A24" s="2" t="s">
        <v>310</v>
      </c>
      <c r="B24" s="2">
        <v>0.4176</v>
      </c>
      <c r="C24" s="2">
        <v>1.6034</v>
      </c>
      <c r="D24" s="2">
        <v>113.3438</v>
      </c>
      <c r="E24" s="2">
        <v>109.822</v>
      </c>
    </row>
    <row r="25" spans="1:5">
      <c r="A25" s="2" t="s">
        <v>64</v>
      </c>
      <c r="B25" s="2">
        <v>28.51984</v>
      </c>
      <c r="C25" s="2">
        <v>14.9284</v>
      </c>
      <c r="D25" s="2">
        <v>185.30364</v>
      </c>
      <c r="E25" s="2">
        <v>133.9725</v>
      </c>
    </row>
    <row r="26" spans="1:5">
      <c r="A26" s="2" t="s">
        <v>445</v>
      </c>
      <c r="B26" s="2">
        <v>11.9231</v>
      </c>
      <c r="C26" s="2">
        <v>2.347</v>
      </c>
      <c r="D26" s="2">
        <v>42.9266</v>
      </c>
      <c r="E26" s="2">
        <v>26.919196</v>
      </c>
    </row>
    <row r="27" spans="1:5">
      <c r="A27" s="2" t="s">
        <v>483</v>
      </c>
      <c r="B27" s="2">
        <v>5.475</v>
      </c>
      <c r="C27" s="2">
        <v>0</v>
      </c>
      <c r="D27" s="2">
        <v>19.25</v>
      </c>
      <c r="E27" s="2">
        <v>44.085</v>
      </c>
    </row>
    <row r="28" spans="1:5">
      <c r="A28" s="2" t="s">
        <v>291</v>
      </c>
      <c r="B28" s="2">
        <v>0.2334</v>
      </c>
      <c r="C28" s="2">
        <v>0</v>
      </c>
      <c r="D28" s="2">
        <v>0.5332</v>
      </c>
      <c r="E28" s="2">
        <v>0.9966</v>
      </c>
    </row>
    <row r="29" spans="1:5">
      <c r="A29" s="2" t="s">
        <v>140</v>
      </c>
      <c r="B29" s="2">
        <v>4</v>
      </c>
      <c r="C29" s="2">
        <v>0</v>
      </c>
      <c r="D29" s="2">
        <v>34.5618</v>
      </c>
      <c r="E29" s="2">
        <v>15.865906</v>
      </c>
    </row>
    <row r="30" spans="1:5">
      <c r="A30" s="2" t="s">
        <v>283</v>
      </c>
      <c r="B30" s="2">
        <v>0</v>
      </c>
      <c r="C30" s="2">
        <v>0</v>
      </c>
      <c r="D30" s="2">
        <v>0.6649</v>
      </c>
      <c r="E30" s="2">
        <v>0</v>
      </c>
    </row>
    <row r="31" spans="1:5">
      <c r="A31" s="2" t="s">
        <v>175</v>
      </c>
      <c r="B31" s="2">
        <v>26.96438</v>
      </c>
      <c r="C31" s="2">
        <v>9.8522</v>
      </c>
      <c r="D31" s="2">
        <v>106.64248</v>
      </c>
      <c r="E31" s="2">
        <v>74.070554</v>
      </c>
    </row>
    <row r="32" spans="1:5">
      <c r="A32" s="2" t="s">
        <v>436</v>
      </c>
      <c r="B32" s="2">
        <v>0</v>
      </c>
      <c r="C32" s="2">
        <v>-0.0152</v>
      </c>
      <c r="D32" s="2">
        <v>0</v>
      </c>
      <c r="E32" s="2">
        <v>8.00385</v>
      </c>
    </row>
    <row r="33" spans="1:5">
      <c r="A33" s="2" t="s">
        <v>476</v>
      </c>
      <c r="B33" s="2">
        <v>0</v>
      </c>
      <c r="C33" s="2">
        <v>0.74</v>
      </c>
      <c r="D33" s="2">
        <v>4.1668</v>
      </c>
      <c r="E33" s="2">
        <v>6.0128</v>
      </c>
    </row>
    <row r="34" spans="1:5">
      <c r="A34" s="2" t="s">
        <v>264</v>
      </c>
      <c r="B34" s="2">
        <v>26.1307</v>
      </c>
      <c r="C34" s="2">
        <v>11.3244</v>
      </c>
      <c r="D34" s="2">
        <v>142.88534</v>
      </c>
      <c r="E34" s="2">
        <v>163.8062</v>
      </c>
    </row>
    <row r="35" spans="1:5">
      <c r="A35" s="2" t="s">
        <v>418</v>
      </c>
      <c r="B35" s="2">
        <v>34.3161</v>
      </c>
      <c r="C35" s="2">
        <v>8.0555</v>
      </c>
      <c r="D35" s="2">
        <v>101.094</v>
      </c>
      <c r="E35" s="2">
        <v>209.897106</v>
      </c>
    </row>
    <row r="36" spans="1:5">
      <c r="A36" s="2" t="s">
        <v>345</v>
      </c>
      <c r="B36" s="2">
        <v>0.6071</v>
      </c>
      <c r="C36" s="2">
        <v>0</v>
      </c>
      <c r="D36" s="2">
        <v>3.6087</v>
      </c>
      <c r="E36" s="2">
        <v>0</v>
      </c>
    </row>
    <row r="37" spans="1:5">
      <c r="A37" s="2" t="s">
        <v>354</v>
      </c>
      <c r="B37" s="2">
        <v>32.0741</v>
      </c>
      <c r="C37" s="2">
        <v>26.7373</v>
      </c>
      <c r="D37" s="2">
        <v>233.6702</v>
      </c>
      <c r="E37" s="2">
        <v>223.1202</v>
      </c>
    </row>
    <row r="38" spans="1:5">
      <c r="A38" s="2" t="s">
        <v>362</v>
      </c>
      <c r="B38" s="2">
        <v>69.706723</v>
      </c>
      <c r="C38" s="2">
        <v>44.109501</v>
      </c>
      <c r="D38" s="2">
        <v>487.804749</v>
      </c>
      <c r="E38" s="2">
        <v>452.0428</v>
      </c>
    </row>
    <row r="39" spans="1:5">
      <c r="A39" s="2" t="s">
        <v>379</v>
      </c>
      <c r="B39" s="2">
        <v>14.3877</v>
      </c>
      <c r="C39" s="2">
        <v>2.2651</v>
      </c>
      <c r="D39" s="2">
        <v>71.3771</v>
      </c>
      <c r="E39" s="2">
        <v>69.9761</v>
      </c>
    </row>
    <row r="40" spans="1:5">
      <c r="A40" s="2" t="s">
        <v>494</v>
      </c>
      <c r="B40" s="2">
        <v>0</v>
      </c>
      <c r="C40" s="2">
        <v>3.2</v>
      </c>
      <c r="D40" s="2">
        <v>0.8</v>
      </c>
      <c r="E40" s="2">
        <v>7.3298</v>
      </c>
    </row>
    <row r="41" spans="1:5">
      <c r="A41" s="2" t="s">
        <v>480</v>
      </c>
      <c r="B41" s="2">
        <v>0</v>
      </c>
      <c r="C41" s="2">
        <v>0</v>
      </c>
      <c r="D41" s="2">
        <v>2.966</v>
      </c>
      <c r="E41" s="2">
        <v>5.6567</v>
      </c>
    </row>
    <row r="42" spans="1:5">
      <c r="A42" s="2" t="s">
        <v>305</v>
      </c>
      <c r="B42" s="2">
        <v>55.744457</v>
      </c>
      <c r="C42" s="2">
        <v>56.802368</v>
      </c>
      <c r="D42" s="2">
        <v>445.738034</v>
      </c>
      <c r="E42" s="2">
        <v>529.943216</v>
      </c>
    </row>
    <row r="43" spans="1:5">
      <c r="A43" s="2" t="s">
        <v>473</v>
      </c>
      <c r="B43" s="2">
        <v>0</v>
      </c>
      <c r="C43" s="2">
        <v>0</v>
      </c>
      <c r="D43" s="2">
        <v>0</v>
      </c>
      <c r="E43" s="2">
        <v>0</v>
      </c>
    </row>
    <row r="44" spans="1:5">
      <c r="A44" s="2" t="s">
        <v>324</v>
      </c>
      <c r="B44" s="2">
        <v>0</v>
      </c>
      <c r="C44" s="2">
        <v>0.5786</v>
      </c>
      <c r="D44" s="2">
        <v>29.1953</v>
      </c>
      <c r="E44" s="2">
        <v>17.1552</v>
      </c>
    </row>
    <row r="45" spans="1:5">
      <c r="A45" s="2" t="s">
        <v>72</v>
      </c>
      <c r="B45" s="2">
        <v>13.702</v>
      </c>
      <c r="C45" s="2">
        <v>10</v>
      </c>
      <c r="D45" s="2">
        <v>108.0477</v>
      </c>
      <c r="E45" s="2">
        <v>98.618</v>
      </c>
    </row>
    <row r="46" spans="1:5">
      <c r="A46" s="2" t="s">
        <v>179</v>
      </c>
      <c r="B46" s="2">
        <v>34.6219</v>
      </c>
      <c r="C46" s="2">
        <v>18.3686</v>
      </c>
      <c r="D46" s="2">
        <v>226.376608</v>
      </c>
      <c r="E46" s="2">
        <v>220.19275</v>
      </c>
    </row>
    <row r="47" spans="1:5">
      <c r="A47" s="2" t="s">
        <v>334</v>
      </c>
      <c r="B47" s="2">
        <v>13.9827</v>
      </c>
      <c r="C47" s="2">
        <v>3.92201</v>
      </c>
      <c r="D47" s="2">
        <v>64.7063</v>
      </c>
      <c r="E47" s="2">
        <v>54.19156</v>
      </c>
    </row>
    <row r="48" spans="1:5">
      <c r="A48" s="2" t="s">
        <v>430</v>
      </c>
      <c r="B48" s="2">
        <v>47.898987</v>
      </c>
      <c r="C48" s="2">
        <v>9.495736</v>
      </c>
      <c r="D48" s="2">
        <v>234.051157</v>
      </c>
      <c r="E48" s="2">
        <v>165.200044</v>
      </c>
    </row>
    <row r="49" spans="1:5">
      <c r="A49" s="2" t="s">
        <v>314</v>
      </c>
      <c r="B49" s="2">
        <v>4.7019</v>
      </c>
      <c r="C49" s="2">
        <v>3.7183</v>
      </c>
      <c r="D49" s="2">
        <v>61.3285</v>
      </c>
      <c r="E49" s="2">
        <v>41.812</v>
      </c>
    </row>
    <row r="50" spans="1:5">
      <c r="A50" s="2" t="s">
        <v>59</v>
      </c>
      <c r="B50" s="2">
        <v>84.8396</v>
      </c>
      <c r="C50" s="2">
        <v>65.09019</v>
      </c>
      <c r="D50" s="2">
        <v>515.788172</v>
      </c>
      <c r="E50" s="2">
        <v>608.29934</v>
      </c>
    </row>
    <row r="51" spans="1:5">
      <c r="A51" s="2" t="s">
        <v>359</v>
      </c>
      <c r="B51" s="2">
        <v>0</v>
      </c>
      <c r="C51" s="2">
        <v>0</v>
      </c>
      <c r="D51" s="2">
        <v>11.48</v>
      </c>
      <c r="E51" s="2">
        <v>7</v>
      </c>
    </row>
    <row r="52" spans="1:5">
      <c r="A52" s="2" t="s">
        <v>260</v>
      </c>
      <c r="B52" s="2">
        <v>19.4142</v>
      </c>
      <c r="C52" s="2">
        <v>0.8362</v>
      </c>
      <c r="D52" s="2">
        <v>202.44573</v>
      </c>
      <c r="E52" s="2">
        <v>74.594354</v>
      </c>
    </row>
    <row r="53" spans="1:5">
      <c r="A53" s="2" t="s">
        <v>433</v>
      </c>
      <c r="B53" s="2">
        <v>0.785</v>
      </c>
      <c r="C53" s="2">
        <v>0.2775</v>
      </c>
      <c r="D53" s="2">
        <v>17.9865</v>
      </c>
      <c r="E53" s="2">
        <v>3.8269</v>
      </c>
    </row>
    <row r="54" spans="1:5">
      <c r="A54" s="2" t="s">
        <v>339</v>
      </c>
      <c r="B54" s="2">
        <v>1.3781</v>
      </c>
      <c r="C54" s="2">
        <v>0</v>
      </c>
      <c r="D54" s="2">
        <v>12.1362</v>
      </c>
      <c r="E54" s="2">
        <v>7.2144</v>
      </c>
    </row>
    <row r="55" spans="1:5">
      <c r="A55" s="2" t="s">
        <v>517</v>
      </c>
      <c r="B55" s="2">
        <v>0</v>
      </c>
      <c r="C55" s="2">
        <v>0</v>
      </c>
      <c r="D55" s="2">
        <v>0</v>
      </c>
      <c r="E55" s="2">
        <v>2.19</v>
      </c>
    </row>
    <row r="56" spans="1:5">
      <c r="A56" s="2" t="s">
        <v>137</v>
      </c>
      <c r="B56" s="2">
        <v>7.0557</v>
      </c>
      <c r="C56" s="2">
        <v>0</v>
      </c>
      <c r="D56" s="2">
        <v>70.345482</v>
      </c>
      <c r="E56" s="2">
        <v>17.36926</v>
      </c>
    </row>
    <row r="57" spans="1:5">
      <c r="A57" s="2" t="s">
        <v>350</v>
      </c>
      <c r="B57" s="2">
        <v>79.3262</v>
      </c>
      <c r="C57" s="2">
        <v>60.4796</v>
      </c>
      <c r="D57" s="2">
        <v>542.4908</v>
      </c>
      <c r="E57" s="2">
        <v>606.4901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汇总1</vt:lpstr>
      <vt:lpstr>杭州</vt:lpstr>
      <vt:lpstr>湖州</vt:lpstr>
      <vt:lpstr>嘉兴</vt:lpstr>
      <vt:lpstr>金衢</vt:lpstr>
      <vt:lpstr>台州</vt:lpstr>
      <vt:lpstr>绍兴</vt:lpstr>
      <vt:lpstr>温丽 </vt:lpstr>
      <vt:lpstr>电商 以旧换新</vt:lpstr>
      <vt:lpstr>区域数据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两两</cp:lastModifiedBy>
  <dcterms:created xsi:type="dcterms:W3CDTF">2006-09-13T11:21:00Z</dcterms:created>
  <dcterms:modified xsi:type="dcterms:W3CDTF">2025-11-10T07:18:51Z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FC757BE5EE1847B39B348F5275C95D29_13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